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46045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46045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46045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46045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46045</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46045</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46045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46045</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46045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46045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46045</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46045</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46045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46045</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46045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46045</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46045</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46045</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46045</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46045</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46045</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46045</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46045</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46045</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44517-2023</t>
        </is>
      </c>
      <c r="B27" s="1" t="n">
        <v>45184</v>
      </c>
      <c r="C27" s="1" t="n">
        <v>46045</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21283-2025</t>
        </is>
      </c>
      <c r="B28" s="1" t="n">
        <v>45779.6775</v>
      </c>
      <c r="C28" s="1" t="n">
        <v>46045</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46045</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36183-2025</t>
        </is>
      </c>
      <c r="B30" s="1" t="n">
        <v>45867.41709490741</v>
      </c>
      <c r="C30" s="1" t="n">
        <v>46045</v>
      </c>
      <c r="D30" t="inlineStr">
        <is>
          <t>JÄMTLANDS LÄN</t>
        </is>
      </c>
      <c r="E30" t="inlineStr">
        <is>
          <t>BRÄCKE</t>
        </is>
      </c>
      <c r="G30" t="n">
        <v>28.8</v>
      </c>
      <c r="H30" t="n">
        <v>11</v>
      </c>
      <c r="I30" t="n">
        <v>11</v>
      </c>
      <c r="J30" t="n">
        <v>11</v>
      </c>
      <c r="K30" t="n">
        <v>2</v>
      </c>
      <c r="L30" t="n">
        <v>0</v>
      </c>
      <c r="M30" t="n">
        <v>0</v>
      </c>
      <c r="N30" t="n">
        <v>0</v>
      </c>
      <c r="O30" t="n">
        <v>13</v>
      </c>
      <c r="P30" t="n">
        <v>2</v>
      </c>
      <c r="Q30" t="n">
        <v>28</v>
      </c>
      <c r="R30"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0">
        <f>HYPERLINK("https://klasma.github.io/Logging_2305/artfynd/A 36183-2025 artfynd.xlsx", "A 36183-2025")</f>
        <v/>
      </c>
      <c r="T30">
        <f>HYPERLINK("https://klasma.github.io/Logging_2305/kartor/A 36183-2025 karta.png", "A 36183-2025")</f>
        <v/>
      </c>
      <c r="U30">
        <f>HYPERLINK("https://klasma.github.io/Logging_2305/knärot/A 36183-2025 karta knärot.png", "A 36183-2025")</f>
        <v/>
      </c>
      <c r="V30">
        <f>HYPERLINK("https://klasma.github.io/Logging_2305/klagomål/A 36183-2025 FSC-klagomål.docx", "A 36183-2025")</f>
        <v/>
      </c>
      <c r="W30">
        <f>HYPERLINK("https://klasma.github.io/Logging_2305/klagomålsmail/A 36183-2025 FSC-klagomål mail.docx", "A 36183-2025")</f>
        <v/>
      </c>
      <c r="X30">
        <f>HYPERLINK("https://klasma.github.io/Logging_2305/tillsyn/A 36183-2025 tillsynsbegäran.docx", "A 36183-2025")</f>
        <v/>
      </c>
      <c r="Y30">
        <f>HYPERLINK("https://klasma.github.io/Logging_2305/tillsynsmail/A 36183-2025 tillsynsbegäran mail.docx", "A 36183-2025")</f>
        <v/>
      </c>
      <c r="Z30">
        <f>HYPERLINK("https://klasma.github.io/Logging_2305/fåglar/A 36183-2025 prioriterade fågelarter.docx", "A 36183-2025")</f>
        <v/>
      </c>
    </row>
    <row r="31" ht="15" customHeight="1">
      <c r="A31" t="inlineStr">
        <is>
          <t>A 41207-2025</t>
        </is>
      </c>
      <c r="B31" s="1" t="n">
        <v>45898.57672453704</v>
      </c>
      <c r="C31" s="1" t="n">
        <v>46045</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46328-2022</t>
        </is>
      </c>
      <c r="B32" s="1" t="n">
        <v>44847</v>
      </c>
      <c r="C32" s="1" t="n">
        <v>46045</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46045</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46045</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33875-2021</t>
        </is>
      </c>
      <c r="B35" s="1" t="n">
        <v>44378</v>
      </c>
      <c r="C35" s="1" t="n">
        <v>46045</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26044-2024</t>
        </is>
      </c>
      <c r="B36" s="1" t="n">
        <v>45468</v>
      </c>
      <c r="C36" s="1" t="n">
        <v>46045</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46045</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38116-2024</t>
        </is>
      </c>
      <c r="B38" s="1" t="n">
        <v>45545</v>
      </c>
      <c r="C38" s="1" t="n">
        <v>46045</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46045</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46045</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46045</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46045</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46045</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46045</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55431-2024</t>
        </is>
      </c>
      <c r="B45" s="1" t="n">
        <v>45622</v>
      </c>
      <c r="C45" s="1" t="n">
        <v>46045</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8515-2025</t>
        </is>
      </c>
      <c r="B46" s="1" t="n">
        <v>45709.55239583334</v>
      </c>
      <c r="C46" s="1" t="n">
        <v>46045</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41411-2024</t>
        </is>
      </c>
      <c r="B47" s="1" t="n">
        <v>45560</v>
      </c>
      <c r="C47" s="1" t="n">
        <v>46045</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52745-2025</t>
        </is>
      </c>
      <c r="B48" s="1" t="n">
        <v>45957.38400462963</v>
      </c>
      <c r="C48" s="1" t="n">
        <v>46045</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46045</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32341-2025</t>
        </is>
      </c>
      <c r="B50" s="1" t="n">
        <v>45837</v>
      </c>
      <c r="C50" s="1" t="n">
        <v>46045</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38791-2025</t>
        </is>
      </c>
      <c r="B51" s="1" t="n">
        <v>45887.44892361111</v>
      </c>
      <c r="C51" s="1" t="n">
        <v>46045</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55408-2024</t>
        </is>
      </c>
      <c r="B52" s="1" t="n">
        <v>45622</v>
      </c>
      <c r="C52" s="1" t="n">
        <v>46045</v>
      </c>
      <c r="D52" t="inlineStr">
        <is>
          <t>JÄMTLANDS LÄN</t>
        </is>
      </c>
      <c r="E52" t="inlineStr">
        <is>
          <t>RAGUNDA</t>
        </is>
      </c>
      <c r="G52" t="n">
        <v>3.1</v>
      </c>
      <c r="H52" t="n">
        <v>3</v>
      </c>
      <c r="I52" t="n">
        <v>5</v>
      </c>
      <c r="J52" t="n">
        <v>16</v>
      </c>
      <c r="K52" t="n">
        <v>2</v>
      </c>
      <c r="L52" t="n">
        <v>0</v>
      </c>
      <c r="M52" t="n">
        <v>0</v>
      </c>
      <c r="N52" t="n">
        <v>0</v>
      </c>
      <c r="O52" t="n">
        <v>18</v>
      </c>
      <c r="P52" t="n">
        <v>2</v>
      </c>
      <c r="Q52" t="n">
        <v>24</v>
      </c>
      <c r="R5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2">
        <f>HYPERLINK("https://klasma.github.io/Logging_2303/artfynd/A 55408-2024 artfynd.xlsx", "A 55408-2024")</f>
        <v/>
      </c>
      <c r="T52">
        <f>HYPERLINK("https://klasma.github.io/Logging_2303/kartor/A 55408-2024 karta.png", "A 55408-2024")</f>
        <v/>
      </c>
      <c r="U52">
        <f>HYPERLINK("https://klasma.github.io/Logging_2303/knärot/A 55408-2024 karta knärot.png", "A 55408-2024")</f>
        <v/>
      </c>
      <c r="V52">
        <f>HYPERLINK("https://klasma.github.io/Logging_2303/klagomål/A 55408-2024 FSC-klagomål.docx", "A 55408-2024")</f>
        <v/>
      </c>
      <c r="W52">
        <f>HYPERLINK("https://klasma.github.io/Logging_2303/klagomålsmail/A 55408-2024 FSC-klagomål mail.docx", "A 55408-2024")</f>
        <v/>
      </c>
      <c r="X52">
        <f>HYPERLINK("https://klasma.github.io/Logging_2303/tillsyn/A 55408-2024 tillsynsbegäran.docx", "A 55408-2024")</f>
        <v/>
      </c>
      <c r="Y52">
        <f>HYPERLINK("https://klasma.github.io/Logging_2303/tillsynsmail/A 55408-2024 tillsynsbegäran mail.docx", "A 55408-2024")</f>
        <v/>
      </c>
      <c r="Z52">
        <f>HYPERLINK("https://klasma.github.io/Logging_2303/fåglar/A 55408-2024 prioriterade fågelarter.docx", "A 55408-2024")</f>
        <v/>
      </c>
    </row>
    <row r="53" ht="15" customHeight="1">
      <c r="A53" t="inlineStr">
        <is>
          <t>A 50503-2023</t>
        </is>
      </c>
      <c r="B53" s="1" t="n">
        <v>45216</v>
      </c>
      <c r="C53" s="1" t="n">
        <v>46045</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30780-2024</t>
        </is>
      </c>
      <c r="B54" s="1" t="n">
        <v>45496.95030092593</v>
      </c>
      <c r="C54" s="1" t="n">
        <v>46045</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46045</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43777-2022</t>
        </is>
      </c>
      <c r="B56" s="1" t="n">
        <v>44837</v>
      </c>
      <c r="C56" s="1" t="n">
        <v>46045</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46045</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56149-2025</t>
        </is>
      </c>
      <c r="B58" s="1" t="n">
        <v>45974</v>
      </c>
      <c r="C58" s="1" t="n">
        <v>46045</v>
      </c>
      <c r="D58" t="inlineStr">
        <is>
          <t>JÄMTLANDS LÄN</t>
        </is>
      </c>
      <c r="E58" t="inlineStr">
        <is>
          <t>STRÖMSUND</t>
        </is>
      </c>
      <c r="F58" t="inlineStr">
        <is>
          <t>Holmen skog AB</t>
        </is>
      </c>
      <c r="G58" t="n">
        <v>16.4</v>
      </c>
      <c r="H58" t="n">
        <v>7</v>
      </c>
      <c r="I58" t="n">
        <v>6</v>
      </c>
      <c r="J58" t="n">
        <v>14</v>
      </c>
      <c r="K58" t="n">
        <v>3</v>
      </c>
      <c r="L58" t="n">
        <v>0</v>
      </c>
      <c r="M58" t="n">
        <v>0</v>
      </c>
      <c r="N58" t="n">
        <v>0</v>
      </c>
      <c r="O58" t="n">
        <v>17</v>
      </c>
      <c r="P58" t="n">
        <v>3</v>
      </c>
      <c r="Q58" t="n">
        <v>23</v>
      </c>
      <c r="R58"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8">
        <f>HYPERLINK("https://klasma.github.io/Logging_2313/artfynd/A 56149-2025 artfynd.xlsx", "A 56149-2025")</f>
        <v/>
      </c>
      <c r="T58">
        <f>HYPERLINK("https://klasma.github.io/Logging_2313/kartor/A 56149-2025 karta.png", "A 56149-2025")</f>
        <v/>
      </c>
      <c r="U58">
        <f>HYPERLINK("https://klasma.github.io/Logging_2313/knärot/A 56149-2025 karta knärot.png", "A 56149-2025")</f>
        <v/>
      </c>
      <c r="V58">
        <f>HYPERLINK("https://klasma.github.io/Logging_2313/klagomål/A 56149-2025 FSC-klagomål.docx", "A 56149-2025")</f>
        <v/>
      </c>
      <c r="W58">
        <f>HYPERLINK("https://klasma.github.io/Logging_2313/klagomålsmail/A 56149-2025 FSC-klagomål mail.docx", "A 56149-2025")</f>
        <v/>
      </c>
      <c r="X58">
        <f>HYPERLINK("https://klasma.github.io/Logging_2313/tillsyn/A 56149-2025 tillsynsbegäran.docx", "A 56149-2025")</f>
        <v/>
      </c>
      <c r="Y58">
        <f>HYPERLINK("https://klasma.github.io/Logging_2313/tillsynsmail/A 56149-2025 tillsynsbegäran mail.docx", "A 56149-2025")</f>
        <v/>
      </c>
      <c r="Z58">
        <f>HYPERLINK("https://klasma.github.io/Logging_2313/fåglar/A 56149-2025 prioriterade fågelarter.docx", "A 56149-2025")</f>
        <v/>
      </c>
    </row>
    <row r="59" ht="15" customHeight="1">
      <c r="A59" t="inlineStr">
        <is>
          <t>A 34013-2025</t>
        </is>
      </c>
      <c r="B59" s="1" t="n">
        <v>45845</v>
      </c>
      <c r="C59" s="1" t="n">
        <v>46045</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41877-2025</t>
        </is>
      </c>
      <c r="B60" s="1" t="n">
        <v>45903.345625</v>
      </c>
      <c r="C60" s="1" t="n">
        <v>46045</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48059-2025</t>
        </is>
      </c>
      <c r="B61" s="1" t="n">
        <v>45932</v>
      </c>
      <c r="C61" s="1" t="n">
        <v>46045</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40068-2025</t>
        </is>
      </c>
      <c r="B62" s="1" t="n">
        <v>45894</v>
      </c>
      <c r="C62" s="1" t="n">
        <v>46045</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45855-2024</t>
        </is>
      </c>
      <c r="B63" s="1" t="n">
        <v>45580.34505787037</v>
      </c>
      <c r="C63" s="1" t="n">
        <v>46045</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28769-2022</t>
        </is>
      </c>
      <c r="B64" s="1" t="n">
        <v>44749</v>
      </c>
      <c r="C64" s="1" t="n">
        <v>46045</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69142-2021</t>
        </is>
      </c>
      <c r="B65" s="1" t="n">
        <v>44530.94625</v>
      </c>
      <c r="C65" s="1" t="n">
        <v>46045</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71219-2021</t>
        </is>
      </c>
      <c r="B66" s="1" t="n">
        <v>44538</v>
      </c>
      <c r="C66" s="1" t="n">
        <v>46045</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40318-2025</t>
        </is>
      </c>
      <c r="B67" s="1" t="n">
        <v>45895.43939814815</v>
      </c>
      <c r="C67" s="1" t="n">
        <v>46045</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57844-2022</t>
        </is>
      </c>
      <c r="B68" s="1" t="n">
        <v>44897</v>
      </c>
      <c r="C68" s="1" t="n">
        <v>46045</v>
      </c>
      <c r="D68" t="inlineStr">
        <is>
          <t>JÄMTLANDS LÄN</t>
        </is>
      </c>
      <c r="E68" t="inlineStr">
        <is>
          <t>STRÖMSUND</t>
        </is>
      </c>
      <c r="F68" t="inlineStr">
        <is>
          <t>SCA</t>
        </is>
      </c>
      <c r="G68" t="n">
        <v>6.5</v>
      </c>
      <c r="H68" t="n">
        <v>4</v>
      </c>
      <c r="I68" t="n">
        <v>7</v>
      </c>
      <c r="J68" t="n">
        <v>13</v>
      </c>
      <c r="K68" t="n">
        <v>1</v>
      </c>
      <c r="L68" t="n">
        <v>0</v>
      </c>
      <c r="M68" t="n">
        <v>0</v>
      </c>
      <c r="N68" t="n">
        <v>0</v>
      </c>
      <c r="O68" t="n">
        <v>14</v>
      </c>
      <c r="P68" t="n">
        <v>1</v>
      </c>
      <c r="Q68" t="n">
        <v>22</v>
      </c>
      <c r="R6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8">
        <f>HYPERLINK("https://klasma.github.io/Logging_2313/artfynd/A 57844-2022 artfynd.xlsx", "A 57844-2022")</f>
        <v/>
      </c>
      <c r="T68">
        <f>HYPERLINK("https://klasma.github.io/Logging_2313/kartor/A 57844-2022 karta.png", "A 57844-2022")</f>
        <v/>
      </c>
      <c r="V68">
        <f>HYPERLINK("https://klasma.github.io/Logging_2313/klagomål/A 57844-2022 FSC-klagomål.docx", "A 57844-2022")</f>
        <v/>
      </c>
      <c r="W68">
        <f>HYPERLINK("https://klasma.github.io/Logging_2313/klagomålsmail/A 57844-2022 FSC-klagomål mail.docx", "A 57844-2022")</f>
        <v/>
      </c>
      <c r="X68">
        <f>HYPERLINK("https://klasma.github.io/Logging_2313/tillsyn/A 57844-2022 tillsynsbegäran.docx", "A 57844-2022")</f>
        <v/>
      </c>
      <c r="Y68">
        <f>HYPERLINK("https://klasma.github.io/Logging_2313/tillsynsmail/A 57844-2022 tillsynsbegäran mail.docx", "A 57844-2022")</f>
        <v/>
      </c>
      <c r="Z68">
        <f>HYPERLINK("https://klasma.github.io/Logging_2313/fåglar/A 57844-2022 prioriterade fågelarter.docx", "A 57844-2022")</f>
        <v/>
      </c>
    </row>
    <row r="69" ht="15" customHeight="1">
      <c r="A69" t="inlineStr">
        <is>
          <t>A 47636-2022</t>
        </is>
      </c>
      <c r="B69" s="1" t="n">
        <v>44854</v>
      </c>
      <c r="C69" s="1" t="n">
        <v>46045</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58266-2025</t>
        </is>
      </c>
      <c r="B70" s="1" t="n">
        <v>45985.42282407408</v>
      </c>
      <c r="C70" s="1" t="n">
        <v>46045</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52368-2025</t>
        </is>
      </c>
      <c r="B71" s="1" t="n">
        <v>45953</v>
      </c>
      <c r="C71" s="1" t="n">
        <v>46045</v>
      </c>
      <c r="D71" t="inlineStr">
        <is>
          <t>JÄMTLANDS LÄN</t>
        </is>
      </c>
      <c r="E71" t="inlineStr">
        <is>
          <t>HÄRJEDALEN</t>
        </is>
      </c>
      <c r="G71" t="n">
        <v>74.3</v>
      </c>
      <c r="H71" t="n">
        <v>3</v>
      </c>
      <c r="I71" t="n">
        <v>9</v>
      </c>
      <c r="J71" t="n">
        <v>12</v>
      </c>
      <c r="K71" t="n">
        <v>1</v>
      </c>
      <c r="L71" t="n">
        <v>0</v>
      </c>
      <c r="M71" t="n">
        <v>0</v>
      </c>
      <c r="N71" t="n">
        <v>0</v>
      </c>
      <c r="O71" t="n">
        <v>13</v>
      </c>
      <c r="P71" t="n">
        <v>1</v>
      </c>
      <c r="Q71" t="n">
        <v>22</v>
      </c>
      <c r="R7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1">
        <f>HYPERLINK("https://klasma.github.io/Logging_2361/artfynd/A 52368-2025 artfynd.xlsx", "A 52368-2025")</f>
        <v/>
      </c>
      <c r="T71">
        <f>HYPERLINK("https://klasma.github.io/Logging_2361/kartor/A 52368-2025 karta.png", "A 52368-2025")</f>
        <v/>
      </c>
      <c r="V71">
        <f>HYPERLINK("https://klasma.github.io/Logging_2361/klagomål/A 52368-2025 FSC-klagomål.docx", "A 52368-2025")</f>
        <v/>
      </c>
      <c r="W71">
        <f>HYPERLINK("https://klasma.github.io/Logging_2361/klagomålsmail/A 52368-2025 FSC-klagomål mail.docx", "A 52368-2025")</f>
        <v/>
      </c>
      <c r="X71">
        <f>HYPERLINK("https://klasma.github.io/Logging_2361/tillsyn/A 52368-2025 tillsynsbegäran.docx", "A 52368-2025")</f>
        <v/>
      </c>
      <c r="Y71">
        <f>HYPERLINK("https://klasma.github.io/Logging_2361/tillsynsmail/A 52368-2025 tillsynsbegäran mail.docx", "A 52368-2025")</f>
        <v/>
      </c>
      <c r="Z71">
        <f>HYPERLINK("https://klasma.github.io/Logging_2361/fåglar/A 52368-2025 prioriterade fågelarter.docx", "A 52368-2025")</f>
        <v/>
      </c>
    </row>
    <row r="72" ht="15" customHeight="1">
      <c r="A72" t="inlineStr">
        <is>
          <t>A 43555-2025</t>
        </is>
      </c>
      <c r="B72" s="1" t="n">
        <v>45911</v>
      </c>
      <c r="C72" s="1" t="n">
        <v>46045</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18116-2025</t>
        </is>
      </c>
      <c r="B73" s="1" t="n">
        <v>45761.58262731481</v>
      </c>
      <c r="C73" s="1" t="n">
        <v>46045</v>
      </c>
      <c r="D73" t="inlineStr">
        <is>
          <t>JÄMTLANDS LÄN</t>
        </is>
      </c>
      <c r="E73" t="inlineStr">
        <is>
          <t>HÄRJEDALEN</t>
        </is>
      </c>
      <c r="G73" t="n">
        <v>17.8</v>
      </c>
      <c r="H73" t="n">
        <v>5</v>
      </c>
      <c r="I73" t="n">
        <v>6</v>
      </c>
      <c r="J73" t="n">
        <v>13</v>
      </c>
      <c r="K73" t="n">
        <v>1</v>
      </c>
      <c r="L73" t="n">
        <v>0</v>
      </c>
      <c r="M73" t="n">
        <v>0</v>
      </c>
      <c r="N73" t="n">
        <v>0</v>
      </c>
      <c r="O73" t="n">
        <v>14</v>
      </c>
      <c r="P73" t="n">
        <v>1</v>
      </c>
      <c r="Q73" t="n">
        <v>21</v>
      </c>
      <c r="R7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3">
        <f>HYPERLINK("https://klasma.github.io/Logging_2361/artfynd/A 18116-2025 artfynd.xlsx", "A 18116-2025")</f>
        <v/>
      </c>
      <c r="T73">
        <f>HYPERLINK("https://klasma.github.io/Logging_2361/kartor/A 18116-2025 karta.png", "A 18116-2025")</f>
        <v/>
      </c>
      <c r="U73">
        <f>HYPERLINK("https://klasma.github.io/Logging_2361/knärot/A 18116-2025 karta knärot.png", "A 18116-2025")</f>
        <v/>
      </c>
      <c r="V73">
        <f>HYPERLINK("https://klasma.github.io/Logging_2361/klagomål/A 18116-2025 FSC-klagomål.docx", "A 18116-2025")</f>
        <v/>
      </c>
      <c r="W73">
        <f>HYPERLINK("https://klasma.github.io/Logging_2361/klagomålsmail/A 18116-2025 FSC-klagomål mail.docx", "A 18116-2025")</f>
        <v/>
      </c>
      <c r="X73">
        <f>HYPERLINK("https://klasma.github.io/Logging_2361/tillsyn/A 18116-2025 tillsynsbegäran.docx", "A 18116-2025")</f>
        <v/>
      </c>
      <c r="Y73">
        <f>HYPERLINK("https://klasma.github.io/Logging_2361/tillsynsmail/A 18116-2025 tillsynsbegäran mail.docx", "A 18116-2025")</f>
        <v/>
      </c>
      <c r="Z73">
        <f>HYPERLINK("https://klasma.github.io/Logging_2361/fåglar/A 18116-2025 prioriterade fågelarter.docx", "A 18116-2025")</f>
        <v/>
      </c>
    </row>
    <row r="74" ht="15" customHeight="1">
      <c r="A74" t="inlineStr">
        <is>
          <t>A 38362-2021</t>
        </is>
      </c>
      <c r="B74" s="1" t="n">
        <v>44406</v>
      </c>
      <c r="C74" s="1" t="n">
        <v>46045</v>
      </c>
      <c r="D74" t="inlineStr">
        <is>
          <t>JÄMTLANDS LÄN</t>
        </is>
      </c>
      <c r="E74" t="inlineStr">
        <is>
          <t>HÄRJEDALEN</t>
        </is>
      </c>
      <c r="G74" t="n">
        <v>88</v>
      </c>
      <c r="H74" t="n">
        <v>3</v>
      </c>
      <c r="I74" t="n">
        <v>4</v>
      </c>
      <c r="J74" t="n">
        <v>15</v>
      </c>
      <c r="K74" t="n">
        <v>1</v>
      </c>
      <c r="L74" t="n">
        <v>0</v>
      </c>
      <c r="M74" t="n">
        <v>0</v>
      </c>
      <c r="N74" t="n">
        <v>0</v>
      </c>
      <c r="O74" t="n">
        <v>16</v>
      </c>
      <c r="P74" t="n">
        <v>1</v>
      </c>
      <c r="Q74" t="n">
        <v>21</v>
      </c>
      <c r="R7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4">
        <f>HYPERLINK("https://klasma.github.io/Logging_2361/artfynd/A 38362-2021 artfynd.xlsx", "A 38362-2021")</f>
        <v/>
      </c>
      <c r="T74">
        <f>HYPERLINK("https://klasma.github.io/Logging_2361/kartor/A 38362-2021 karta.png", "A 38362-2021")</f>
        <v/>
      </c>
      <c r="U74">
        <f>HYPERLINK("https://klasma.github.io/Logging_2361/knärot/A 38362-2021 karta knärot.png", "A 38362-2021")</f>
        <v/>
      </c>
      <c r="V74">
        <f>HYPERLINK("https://klasma.github.io/Logging_2361/klagomål/A 38362-2021 FSC-klagomål.docx", "A 38362-2021")</f>
        <v/>
      </c>
      <c r="W74">
        <f>HYPERLINK("https://klasma.github.io/Logging_2361/klagomålsmail/A 38362-2021 FSC-klagomål mail.docx", "A 38362-2021")</f>
        <v/>
      </c>
      <c r="X74">
        <f>HYPERLINK("https://klasma.github.io/Logging_2361/tillsyn/A 38362-2021 tillsynsbegäran.docx", "A 38362-2021")</f>
        <v/>
      </c>
      <c r="Y74">
        <f>HYPERLINK("https://klasma.github.io/Logging_2361/tillsynsmail/A 38362-2021 tillsynsbegäran mail.docx", "A 38362-2021")</f>
        <v/>
      </c>
      <c r="Z74">
        <f>HYPERLINK("https://klasma.github.io/Logging_2361/fåglar/A 38362-2021 prioriterade fågelarter.docx", "A 38362-2021")</f>
        <v/>
      </c>
    </row>
    <row r="75" ht="15" customHeight="1">
      <c r="A75" t="inlineStr">
        <is>
          <t>A 26649-2024</t>
        </is>
      </c>
      <c r="B75" s="1" t="n">
        <v>45469</v>
      </c>
      <c r="C75" s="1" t="n">
        <v>46045</v>
      </c>
      <c r="D75" t="inlineStr">
        <is>
          <t>JÄMTLANDS LÄN</t>
        </is>
      </c>
      <c r="E75" t="inlineStr">
        <is>
          <t>BERG</t>
        </is>
      </c>
      <c r="F75" t="inlineStr">
        <is>
          <t>SCA</t>
        </is>
      </c>
      <c r="G75" t="n">
        <v>8.800000000000001</v>
      </c>
      <c r="H75" t="n">
        <v>4</v>
      </c>
      <c r="I75" t="n">
        <v>3</v>
      </c>
      <c r="J75" t="n">
        <v>13</v>
      </c>
      <c r="K75" t="n">
        <v>3</v>
      </c>
      <c r="L75" t="n">
        <v>0</v>
      </c>
      <c r="M75" t="n">
        <v>0</v>
      </c>
      <c r="N75" t="n">
        <v>0</v>
      </c>
      <c r="O75" t="n">
        <v>16</v>
      </c>
      <c r="P75" t="n">
        <v>3</v>
      </c>
      <c r="Q75" t="n">
        <v>21</v>
      </c>
      <c r="R7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5">
        <f>HYPERLINK("https://klasma.github.io/Logging_2326/artfynd/A 26649-2024 artfynd.xlsx", "A 26649-2024")</f>
        <v/>
      </c>
      <c r="T75">
        <f>HYPERLINK("https://klasma.github.io/Logging_2326/kartor/A 26649-2024 karta.png", "A 26649-2024")</f>
        <v/>
      </c>
      <c r="V75">
        <f>HYPERLINK("https://klasma.github.io/Logging_2326/klagomål/A 26649-2024 FSC-klagomål.docx", "A 26649-2024")</f>
        <v/>
      </c>
      <c r="W75">
        <f>HYPERLINK("https://klasma.github.io/Logging_2326/klagomålsmail/A 26649-2024 FSC-klagomål mail.docx", "A 26649-2024")</f>
        <v/>
      </c>
      <c r="X75">
        <f>HYPERLINK("https://klasma.github.io/Logging_2326/tillsyn/A 26649-2024 tillsynsbegäran.docx", "A 26649-2024")</f>
        <v/>
      </c>
      <c r="Y75">
        <f>HYPERLINK("https://klasma.github.io/Logging_2326/tillsynsmail/A 26649-2024 tillsynsbegäran mail.docx", "A 26649-2024")</f>
        <v/>
      </c>
      <c r="Z75">
        <f>HYPERLINK("https://klasma.github.io/Logging_2326/fåglar/A 26649-2024 prioriterade fågelarter.docx", "A 26649-2024")</f>
        <v/>
      </c>
    </row>
    <row r="76" ht="15" customHeight="1">
      <c r="A76" t="inlineStr">
        <is>
          <t>A 51287-2025</t>
        </is>
      </c>
      <c r="B76" s="1" t="n">
        <v>45950.34521990741</v>
      </c>
      <c r="C76" s="1" t="n">
        <v>46045</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61937-2022</t>
        </is>
      </c>
      <c r="B77" s="1" t="n">
        <v>44917</v>
      </c>
      <c r="C77" s="1" t="n">
        <v>46045</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5221-2025</t>
        </is>
      </c>
      <c r="B78" s="1" t="n">
        <v>45691</v>
      </c>
      <c r="C78" s="1" t="n">
        <v>46045</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45985-2025</t>
        </is>
      </c>
      <c r="B79" s="1" t="n">
        <v>45924</v>
      </c>
      <c r="C79" s="1" t="n">
        <v>46045</v>
      </c>
      <c r="D79" t="inlineStr">
        <is>
          <t>JÄMTLANDS LÄN</t>
        </is>
      </c>
      <c r="E79" t="inlineStr">
        <is>
          <t>ÖSTERSUND</t>
        </is>
      </c>
      <c r="G79" t="n">
        <v>11.8</v>
      </c>
      <c r="H79" t="n">
        <v>8</v>
      </c>
      <c r="I79" t="n">
        <v>7</v>
      </c>
      <c r="J79" t="n">
        <v>9</v>
      </c>
      <c r="K79" t="n">
        <v>3</v>
      </c>
      <c r="L79" t="n">
        <v>0</v>
      </c>
      <c r="M79" t="n">
        <v>0</v>
      </c>
      <c r="N79" t="n">
        <v>0</v>
      </c>
      <c r="O79" t="n">
        <v>12</v>
      </c>
      <c r="P79" t="n">
        <v>3</v>
      </c>
      <c r="Q79" t="n">
        <v>21</v>
      </c>
      <c r="R79" s="2" t="inlineStr">
        <is>
          <t>Blackticka
Knärot
Rynkskinn
Garnlav
Granticka
Lunglav
Rosenticka
Skrovellav
Spillkråka
Talltita
Tretåig hackspett
Ullticka
Grönkulla
Korallrot
Kransrams
Luddlav
Svavelriska
Trådticka
Underviol
Blåsippa
Revlummer</t>
        </is>
      </c>
      <c r="S79">
        <f>HYPERLINK("https://klasma.github.io/Logging_2380/artfynd/A 45985-2025 artfynd.xlsx", "A 45985-2025")</f>
        <v/>
      </c>
      <c r="T79">
        <f>HYPERLINK("https://klasma.github.io/Logging_2380/kartor/A 45985-2025 karta.png", "A 45985-2025")</f>
        <v/>
      </c>
      <c r="U79">
        <f>HYPERLINK("https://klasma.github.io/Logging_2380/knärot/A 45985-2025 karta knärot.png", "A 45985-2025")</f>
        <v/>
      </c>
      <c r="V79">
        <f>HYPERLINK("https://klasma.github.io/Logging_2380/klagomål/A 45985-2025 FSC-klagomål.docx", "A 45985-2025")</f>
        <v/>
      </c>
      <c r="W79">
        <f>HYPERLINK("https://klasma.github.io/Logging_2380/klagomålsmail/A 45985-2025 FSC-klagomål mail.docx", "A 45985-2025")</f>
        <v/>
      </c>
      <c r="X79">
        <f>HYPERLINK("https://klasma.github.io/Logging_2380/tillsyn/A 45985-2025 tillsynsbegäran.docx", "A 45985-2025")</f>
        <v/>
      </c>
      <c r="Y79">
        <f>HYPERLINK("https://klasma.github.io/Logging_2380/tillsynsmail/A 45985-2025 tillsynsbegäran mail.docx", "A 45985-2025")</f>
        <v/>
      </c>
      <c r="Z79">
        <f>HYPERLINK("https://klasma.github.io/Logging_2380/fåglar/A 45985-2025 prioriterade fågelarter.docx", "A 45985-2025")</f>
        <v/>
      </c>
    </row>
    <row r="80" ht="15" customHeight="1">
      <c r="A80" t="inlineStr">
        <is>
          <t>A 31327-2023</t>
        </is>
      </c>
      <c r="B80" s="1" t="n">
        <v>45114</v>
      </c>
      <c r="C80" s="1" t="n">
        <v>46045</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28823-2024</t>
        </is>
      </c>
      <c r="B81" s="1" t="n">
        <v>45478</v>
      </c>
      <c r="C81" s="1" t="n">
        <v>46045</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26155-2021</t>
        </is>
      </c>
      <c r="B82" s="1" t="n">
        <v>44344</v>
      </c>
      <c r="C82" s="1" t="n">
        <v>46045</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43131-2023</t>
        </is>
      </c>
      <c r="B83" s="1" t="n">
        <v>45182</v>
      </c>
      <c r="C83" s="1" t="n">
        <v>46045</v>
      </c>
      <c r="D83" t="inlineStr">
        <is>
          <t>JÄMTLANDS LÄN</t>
        </is>
      </c>
      <c r="E83" t="inlineStr">
        <is>
          <t>BRÄCKE</t>
        </is>
      </c>
      <c r="F83" t="inlineStr">
        <is>
          <t>SCA</t>
        </is>
      </c>
      <c r="G83" t="n">
        <v>22.1</v>
      </c>
      <c r="H83" t="n">
        <v>12</v>
      </c>
      <c r="I83" t="n">
        <v>4</v>
      </c>
      <c r="J83" t="n">
        <v>9</v>
      </c>
      <c r="K83" t="n">
        <v>1</v>
      </c>
      <c r="L83" t="n">
        <v>0</v>
      </c>
      <c r="M83" t="n">
        <v>0</v>
      </c>
      <c r="N83" t="n">
        <v>0</v>
      </c>
      <c r="O83" t="n">
        <v>10</v>
      </c>
      <c r="P83" t="n">
        <v>1</v>
      </c>
      <c r="Q83" t="n">
        <v>20</v>
      </c>
      <c r="R83" s="2" t="inlineStr">
        <is>
          <t>Knärot
Garnlav
Granticka
Gränsticka
Lunglav
Skrovellav
Spillkråka
Talltita
Tretåig hackspett
Vedtrappmossa
Korallblylav
Korallrot
Spindelblomster
Stuplav
Kungsfågel
Lavskrika
Tjäder
Huggorm
Fläcknycklar
Revlummer</t>
        </is>
      </c>
      <c r="S83">
        <f>HYPERLINK("https://klasma.github.io/Logging_2305/artfynd/A 43131-2023 artfynd.xlsx", "A 43131-2023")</f>
        <v/>
      </c>
      <c r="T83">
        <f>HYPERLINK("https://klasma.github.io/Logging_2305/kartor/A 43131-2023 karta.png", "A 43131-2023")</f>
        <v/>
      </c>
      <c r="U83">
        <f>HYPERLINK("https://klasma.github.io/Logging_2305/knärot/A 43131-2023 karta knärot.png", "A 43131-2023")</f>
        <v/>
      </c>
      <c r="V83">
        <f>HYPERLINK("https://klasma.github.io/Logging_2305/klagomål/A 43131-2023 FSC-klagomål.docx", "A 43131-2023")</f>
        <v/>
      </c>
      <c r="W83">
        <f>HYPERLINK("https://klasma.github.io/Logging_2305/klagomålsmail/A 43131-2023 FSC-klagomål mail.docx", "A 43131-2023")</f>
        <v/>
      </c>
      <c r="X83">
        <f>HYPERLINK("https://klasma.github.io/Logging_2305/tillsyn/A 43131-2023 tillsynsbegäran.docx", "A 43131-2023")</f>
        <v/>
      </c>
      <c r="Y83">
        <f>HYPERLINK("https://klasma.github.io/Logging_2305/tillsynsmail/A 43131-2023 tillsynsbegäran mail.docx", "A 43131-2023")</f>
        <v/>
      </c>
      <c r="Z83">
        <f>HYPERLINK("https://klasma.github.io/Logging_2305/fåglar/A 43131-2023 prioriterade fågelarter.docx", "A 43131-2023")</f>
        <v/>
      </c>
    </row>
    <row r="84" ht="15" customHeight="1">
      <c r="A84" t="inlineStr">
        <is>
          <t>A 12943-2022</t>
        </is>
      </c>
      <c r="B84" s="1" t="n">
        <v>44642</v>
      </c>
      <c r="C84" s="1" t="n">
        <v>46045</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34927-2023</t>
        </is>
      </c>
      <c r="B85" s="1" t="n">
        <v>45142</v>
      </c>
      <c r="C85" s="1" t="n">
        <v>46045</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49645-2023</t>
        </is>
      </c>
      <c r="B86" s="1" t="n">
        <v>45211</v>
      </c>
      <c r="C86" s="1" t="n">
        <v>46045</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15924-2025</t>
        </is>
      </c>
      <c r="B87" s="1" t="n">
        <v>45749</v>
      </c>
      <c r="C87" s="1" t="n">
        <v>46045</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18320-2021</t>
        </is>
      </c>
      <c r="B88" s="1" t="n">
        <v>44305</v>
      </c>
      <c r="C88" s="1" t="n">
        <v>46045</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136-2025</t>
        </is>
      </c>
      <c r="B89" s="1" t="n">
        <v>45659.57361111111</v>
      </c>
      <c r="C89" s="1" t="n">
        <v>46045</v>
      </c>
      <c r="D89" t="inlineStr">
        <is>
          <t>JÄMTLANDS LÄN</t>
        </is>
      </c>
      <c r="E89" t="inlineStr">
        <is>
          <t>HÄRJEDALEN</t>
        </is>
      </c>
      <c r="F89" t="inlineStr">
        <is>
          <t>Holmen skog AB</t>
        </is>
      </c>
      <c r="G89" t="n">
        <v>10.6</v>
      </c>
      <c r="H89" t="n">
        <v>4</v>
      </c>
      <c r="I89" t="n">
        <v>3</v>
      </c>
      <c r="J89" t="n">
        <v>13</v>
      </c>
      <c r="K89" t="n">
        <v>2</v>
      </c>
      <c r="L89" t="n">
        <v>0</v>
      </c>
      <c r="M89" t="n">
        <v>0</v>
      </c>
      <c r="N89" t="n">
        <v>0</v>
      </c>
      <c r="O89" t="n">
        <v>15</v>
      </c>
      <c r="P89" t="n">
        <v>2</v>
      </c>
      <c r="Q89" t="n">
        <v>19</v>
      </c>
      <c r="R8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9">
        <f>HYPERLINK("https://klasma.github.io/Logging_2361/artfynd/A 136-2025 artfynd.xlsx", "A 136-2025")</f>
        <v/>
      </c>
      <c r="T89">
        <f>HYPERLINK("https://klasma.github.io/Logging_2361/kartor/A 136-2025 karta.png", "A 136-2025")</f>
        <v/>
      </c>
      <c r="U89">
        <f>HYPERLINK("https://klasma.github.io/Logging_2361/knärot/A 136-2025 karta knärot.png", "A 136-2025")</f>
        <v/>
      </c>
      <c r="V89">
        <f>HYPERLINK("https://klasma.github.io/Logging_2361/klagomål/A 136-2025 FSC-klagomål.docx", "A 136-2025")</f>
        <v/>
      </c>
      <c r="W89">
        <f>HYPERLINK("https://klasma.github.io/Logging_2361/klagomålsmail/A 136-2025 FSC-klagomål mail.docx", "A 136-2025")</f>
        <v/>
      </c>
      <c r="X89">
        <f>HYPERLINK("https://klasma.github.io/Logging_2361/tillsyn/A 136-2025 tillsynsbegäran.docx", "A 136-2025")</f>
        <v/>
      </c>
      <c r="Y89">
        <f>HYPERLINK("https://klasma.github.io/Logging_2361/tillsynsmail/A 136-2025 tillsynsbegäran mail.docx", "A 136-2025")</f>
        <v/>
      </c>
      <c r="Z89">
        <f>HYPERLINK("https://klasma.github.io/Logging_2361/fåglar/A 136-2025 prioriterade fågelarter.docx", "A 136-2025")</f>
        <v/>
      </c>
    </row>
    <row r="90" ht="15" customHeight="1">
      <c r="A90" t="inlineStr">
        <is>
          <t>A 42342-2022</t>
        </is>
      </c>
      <c r="B90" s="1" t="n">
        <v>44831</v>
      </c>
      <c r="C90" s="1" t="n">
        <v>46045</v>
      </c>
      <c r="D90" t="inlineStr">
        <is>
          <t>JÄMTLANDS LÄN</t>
        </is>
      </c>
      <c r="E90" t="inlineStr">
        <is>
          <t>HÄRJEDALEN</t>
        </is>
      </c>
      <c r="G90" t="n">
        <v>54.4</v>
      </c>
      <c r="H90" t="n">
        <v>1</v>
      </c>
      <c r="I90" t="n">
        <v>1</v>
      </c>
      <c r="J90" t="n">
        <v>16</v>
      </c>
      <c r="K90" t="n">
        <v>2</v>
      </c>
      <c r="L90" t="n">
        <v>0</v>
      </c>
      <c r="M90" t="n">
        <v>0</v>
      </c>
      <c r="N90" t="n">
        <v>0</v>
      </c>
      <c r="O90" t="n">
        <v>18</v>
      </c>
      <c r="P90" t="n">
        <v>2</v>
      </c>
      <c r="Q90" t="n">
        <v>19</v>
      </c>
      <c r="R90" s="2" t="inlineStr">
        <is>
          <t>Gräddporing
Knärot
Blanksvart spiklav
Blågrå svartspik
Dvärgbägarlav
Garnlav
Gränsticka
Knottrig blåslav
Kolflarnlav
Kortskaftad ärgspik
Ladlav
Lunglav
Mörk kolflarnlav
Nordtagging
Rosenticka
Vaddporing
Vedflamlav
Vedskivlav
Vedticka</t>
        </is>
      </c>
      <c r="S90">
        <f>HYPERLINK("https://klasma.github.io/Logging_2361/artfynd/A 42342-2022 artfynd.xlsx", "A 42342-2022")</f>
        <v/>
      </c>
      <c r="T90">
        <f>HYPERLINK("https://klasma.github.io/Logging_2361/kartor/A 42342-2022 karta.png", "A 42342-2022")</f>
        <v/>
      </c>
      <c r="U90">
        <f>HYPERLINK("https://klasma.github.io/Logging_2361/knärot/A 42342-2022 karta knärot.png", "A 42342-2022")</f>
        <v/>
      </c>
      <c r="V90">
        <f>HYPERLINK("https://klasma.github.io/Logging_2361/klagomål/A 42342-2022 FSC-klagomål.docx", "A 42342-2022")</f>
        <v/>
      </c>
      <c r="W90">
        <f>HYPERLINK("https://klasma.github.io/Logging_2361/klagomålsmail/A 42342-2022 FSC-klagomål mail.docx", "A 42342-2022")</f>
        <v/>
      </c>
      <c r="X90">
        <f>HYPERLINK("https://klasma.github.io/Logging_2361/tillsyn/A 42342-2022 tillsynsbegäran.docx", "A 42342-2022")</f>
        <v/>
      </c>
      <c r="Y90">
        <f>HYPERLINK("https://klasma.github.io/Logging_2361/tillsynsmail/A 42342-2022 tillsynsbegäran mail.docx", "A 42342-2022")</f>
        <v/>
      </c>
    </row>
    <row r="91" ht="15" customHeight="1">
      <c r="A91" t="inlineStr">
        <is>
          <t>A 18411-2024</t>
        </is>
      </c>
      <c r="B91" s="1" t="n">
        <v>45425</v>
      </c>
      <c r="C91" s="1" t="n">
        <v>46045</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31892-2025</t>
        </is>
      </c>
      <c r="B92" s="1" t="n">
        <v>45834</v>
      </c>
      <c r="C92" s="1" t="n">
        <v>46045</v>
      </c>
      <c r="D92" t="inlineStr">
        <is>
          <t>JÄMTLANDS LÄN</t>
        </is>
      </c>
      <c r="E92" t="inlineStr">
        <is>
          <t>HÄRJEDALEN</t>
        </is>
      </c>
      <c r="G92" t="n">
        <v>13.7</v>
      </c>
      <c r="H92" t="n">
        <v>7</v>
      </c>
      <c r="I92" t="n">
        <v>3</v>
      </c>
      <c r="J92" t="n">
        <v>13</v>
      </c>
      <c r="K92" t="n">
        <v>1</v>
      </c>
      <c r="L92" t="n">
        <v>0</v>
      </c>
      <c r="M92" t="n">
        <v>0</v>
      </c>
      <c r="N92" t="n">
        <v>0</v>
      </c>
      <c r="O92" t="n">
        <v>14</v>
      </c>
      <c r="P92" t="n">
        <v>1</v>
      </c>
      <c r="Q92" t="n">
        <v>19</v>
      </c>
      <c r="R92" s="2" t="inlineStr">
        <is>
          <t>Knärot
Blågrå svartspik
Dvärgbägarlav
Garnlav
Järpe
Knottrig blåslav
Kolflarnlav
Mjölsvärting
Mörk kolflarnlav
Talltita
Tretåig hackspett
Vedflamlav
Vedskivlav
Violettgrå tagellav
Dropptaggsvamp
Luddlav
Plattlummer
Lavskrika
Revlummer</t>
        </is>
      </c>
      <c r="S92">
        <f>HYPERLINK("https://klasma.github.io/Logging_2361/artfynd/A 31892-2025 artfynd.xlsx", "A 31892-2025")</f>
        <v/>
      </c>
      <c r="T92">
        <f>HYPERLINK("https://klasma.github.io/Logging_2361/kartor/A 31892-2025 karta.png", "A 31892-2025")</f>
        <v/>
      </c>
      <c r="U92">
        <f>HYPERLINK("https://klasma.github.io/Logging_2361/knärot/A 31892-2025 karta knärot.png", "A 31892-2025")</f>
        <v/>
      </c>
      <c r="V92">
        <f>HYPERLINK("https://klasma.github.io/Logging_2361/klagomål/A 31892-2025 FSC-klagomål.docx", "A 31892-2025")</f>
        <v/>
      </c>
      <c r="W92">
        <f>HYPERLINK("https://klasma.github.io/Logging_2361/klagomålsmail/A 31892-2025 FSC-klagomål mail.docx", "A 31892-2025")</f>
        <v/>
      </c>
      <c r="X92">
        <f>HYPERLINK("https://klasma.github.io/Logging_2361/tillsyn/A 31892-2025 tillsynsbegäran.docx", "A 31892-2025")</f>
        <v/>
      </c>
      <c r="Y92">
        <f>HYPERLINK("https://klasma.github.io/Logging_2361/tillsynsmail/A 31892-2025 tillsynsbegäran mail.docx", "A 31892-2025")</f>
        <v/>
      </c>
      <c r="Z92">
        <f>HYPERLINK("https://klasma.github.io/Logging_2361/fåglar/A 31892-2025 prioriterade fågelarter.docx", "A 31892-2025")</f>
        <v/>
      </c>
    </row>
    <row r="93" ht="15" customHeight="1">
      <c r="A93" t="inlineStr">
        <is>
          <t>A 16493-2025</t>
        </is>
      </c>
      <c r="B93" s="1" t="n">
        <v>45751</v>
      </c>
      <c r="C93" s="1" t="n">
        <v>46045</v>
      </c>
      <c r="D93" t="inlineStr">
        <is>
          <t>JÄMTLANDS LÄN</t>
        </is>
      </c>
      <c r="E93" t="inlineStr">
        <is>
          <t>BERG</t>
        </is>
      </c>
      <c r="F93" t="inlineStr">
        <is>
          <t>Kommuner</t>
        </is>
      </c>
      <c r="G93" t="n">
        <v>24.1</v>
      </c>
      <c r="H93" t="n">
        <v>3</v>
      </c>
      <c r="I93" t="n">
        <v>3</v>
      </c>
      <c r="J93" t="n">
        <v>13</v>
      </c>
      <c r="K93" t="n">
        <v>3</v>
      </c>
      <c r="L93" t="n">
        <v>0</v>
      </c>
      <c r="M93" t="n">
        <v>0</v>
      </c>
      <c r="N93" t="n">
        <v>0</v>
      </c>
      <c r="O93" t="n">
        <v>16</v>
      </c>
      <c r="P93" t="n">
        <v>3</v>
      </c>
      <c r="Q93" t="n">
        <v>19</v>
      </c>
      <c r="R93" s="2" t="inlineStr">
        <is>
          <t>Knärot
Rynkskinn
Skuggnål
Gammelgransskål
Garnlav
Granticka
Gränsticka
Harticka
Järpe
Liten svartspik
Lunglav
Rosenticka
Skrovellav
Stjärntagging
Tretåig hackspett
Ullticka
Korallblylav
Luddlav
Stuplav</t>
        </is>
      </c>
      <c r="S93">
        <f>HYPERLINK("https://klasma.github.io/Logging_2326/artfynd/A 16493-2025 artfynd.xlsx", "A 16493-2025")</f>
        <v/>
      </c>
      <c r="T93">
        <f>HYPERLINK("https://klasma.github.io/Logging_2326/kartor/A 16493-2025 karta.png", "A 16493-2025")</f>
        <v/>
      </c>
      <c r="U93">
        <f>HYPERLINK("https://klasma.github.io/Logging_2326/knärot/A 16493-2025 karta knärot.png", "A 16493-2025")</f>
        <v/>
      </c>
      <c r="V93">
        <f>HYPERLINK("https://klasma.github.io/Logging_2326/klagomål/A 16493-2025 FSC-klagomål.docx", "A 16493-2025")</f>
        <v/>
      </c>
      <c r="W93">
        <f>HYPERLINK("https://klasma.github.io/Logging_2326/klagomålsmail/A 16493-2025 FSC-klagomål mail.docx", "A 16493-2025")</f>
        <v/>
      </c>
      <c r="X93">
        <f>HYPERLINK("https://klasma.github.io/Logging_2326/tillsyn/A 16493-2025 tillsynsbegäran.docx", "A 16493-2025")</f>
        <v/>
      </c>
      <c r="Y93">
        <f>HYPERLINK("https://klasma.github.io/Logging_2326/tillsynsmail/A 16493-2025 tillsynsbegäran mail.docx", "A 16493-2025")</f>
        <v/>
      </c>
      <c r="Z93">
        <f>HYPERLINK("https://klasma.github.io/Logging_2326/fåglar/A 16493-2025 prioriterade fågelarter.docx", "A 16493-2025")</f>
        <v/>
      </c>
    </row>
    <row r="94" ht="15" customHeight="1">
      <c r="A94" t="inlineStr">
        <is>
          <t>A 58015-2025</t>
        </is>
      </c>
      <c r="B94" s="1" t="n">
        <v>45982.46971064815</v>
      </c>
      <c r="C94" s="1" t="n">
        <v>46045</v>
      </c>
      <c r="D94" t="inlineStr">
        <is>
          <t>JÄMTLANDS LÄN</t>
        </is>
      </c>
      <c r="E94" t="inlineStr">
        <is>
          <t>BERG</t>
        </is>
      </c>
      <c r="F94" t="inlineStr">
        <is>
          <t>SCA</t>
        </is>
      </c>
      <c r="G94" t="n">
        <v>5.3</v>
      </c>
      <c r="H94" t="n">
        <v>3</v>
      </c>
      <c r="I94" t="n">
        <v>2</v>
      </c>
      <c r="J94" t="n">
        <v>15</v>
      </c>
      <c r="K94" t="n">
        <v>2</v>
      </c>
      <c r="L94" t="n">
        <v>0</v>
      </c>
      <c r="M94" t="n">
        <v>0</v>
      </c>
      <c r="N94" t="n">
        <v>0</v>
      </c>
      <c r="O94" t="n">
        <v>17</v>
      </c>
      <c r="P94" t="n">
        <v>2</v>
      </c>
      <c r="Q94" t="n">
        <v>19</v>
      </c>
      <c r="R9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4">
        <f>HYPERLINK("https://klasma.github.io/Logging_2326/artfynd/A 58015-2025 artfynd.xlsx", "A 58015-2025")</f>
        <v/>
      </c>
      <c r="T94">
        <f>HYPERLINK("https://klasma.github.io/Logging_2326/kartor/A 58015-2025 karta.png", "A 58015-2025")</f>
        <v/>
      </c>
      <c r="V94">
        <f>HYPERLINK("https://klasma.github.io/Logging_2326/klagomål/A 58015-2025 FSC-klagomål.docx", "A 58015-2025")</f>
        <v/>
      </c>
      <c r="W94">
        <f>HYPERLINK("https://klasma.github.io/Logging_2326/klagomålsmail/A 58015-2025 FSC-klagomål mail.docx", "A 58015-2025")</f>
        <v/>
      </c>
      <c r="X94">
        <f>HYPERLINK("https://klasma.github.io/Logging_2326/tillsyn/A 58015-2025 tillsynsbegäran.docx", "A 58015-2025")</f>
        <v/>
      </c>
      <c r="Y94">
        <f>HYPERLINK("https://klasma.github.io/Logging_2326/tillsynsmail/A 58015-2025 tillsynsbegäran mail.docx", "A 58015-2025")</f>
        <v/>
      </c>
      <c r="Z94">
        <f>HYPERLINK("https://klasma.github.io/Logging_2326/fåglar/A 58015-2025 prioriterade fågelarter.docx", "A 58015-2025")</f>
        <v/>
      </c>
    </row>
    <row r="95" ht="15" customHeight="1">
      <c r="A95" t="inlineStr">
        <is>
          <t>A 50126-2024</t>
        </is>
      </c>
      <c r="B95" s="1" t="n">
        <v>45600</v>
      </c>
      <c r="C95" s="1" t="n">
        <v>46045</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59147-2025</t>
        </is>
      </c>
      <c r="B96" s="1" t="n">
        <v>45988.52288194445</v>
      </c>
      <c r="C96" s="1" t="n">
        <v>46045</v>
      </c>
      <c r="D96" t="inlineStr">
        <is>
          <t>JÄMTLANDS LÄN</t>
        </is>
      </c>
      <c r="E96" t="inlineStr">
        <is>
          <t>ÖSTERSUND</t>
        </is>
      </c>
      <c r="F96" t="inlineStr">
        <is>
          <t>Kommuner</t>
        </is>
      </c>
      <c r="G96" t="n">
        <v>5.7</v>
      </c>
      <c r="H96" t="n">
        <v>4</v>
      </c>
      <c r="I96" t="n">
        <v>4</v>
      </c>
      <c r="J96" t="n">
        <v>12</v>
      </c>
      <c r="K96" t="n">
        <v>3</v>
      </c>
      <c r="L96" t="n">
        <v>0</v>
      </c>
      <c r="M96" t="n">
        <v>0</v>
      </c>
      <c r="N96" t="n">
        <v>0</v>
      </c>
      <c r="O96" t="n">
        <v>15</v>
      </c>
      <c r="P96" t="n">
        <v>3</v>
      </c>
      <c r="Q96" t="n">
        <v>19</v>
      </c>
      <c r="R96" s="2" t="inlineStr">
        <is>
          <t>Knärot
Rynkskinn
Sprickporing
Garnlav
Granticka
Gränsticka
Harticka
Järpe
Liten svartspik
Lunglav
Rosenticka
Talltita
Tretåig hackspett
Ullticka
Vitgrynig nållav
Skinnlav
Stuplav
Trådticka
Vedticka</t>
        </is>
      </c>
      <c r="S96">
        <f>HYPERLINK("https://klasma.github.io/Logging_2380/artfynd/A 59147-2025 artfynd.xlsx", "A 59147-2025")</f>
        <v/>
      </c>
      <c r="T96">
        <f>HYPERLINK("https://klasma.github.io/Logging_2380/kartor/A 59147-2025 karta.png", "A 59147-2025")</f>
        <v/>
      </c>
      <c r="U96">
        <f>HYPERLINK("https://klasma.github.io/Logging_2380/knärot/A 59147-2025 karta knärot.png", "A 59147-2025")</f>
        <v/>
      </c>
      <c r="V96">
        <f>HYPERLINK("https://klasma.github.io/Logging_2380/klagomål/A 59147-2025 FSC-klagomål.docx", "A 59147-2025")</f>
        <v/>
      </c>
      <c r="W96">
        <f>HYPERLINK("https://klasma.github.io/Logging_2380/klagomålsmail/A 59147-2025 FSC-klagomål mail.docx", "A 59147-2025")</f>
        <v/>
      </c>
      <c r="X96">
        <f>HYPERLINK("https://klasma.github.io/Logging_2380/tillsyn/A 59147-2025 tillsynsbegäran.docx", "A 59147-2025")</f>
        <v/>
      </c>
      <c r="Y96">
        <f>HYPERLINK("https://klasma.github.io/Logging_2380/tillsynsmail/A 59147-2025 tillsynsbegäran mail.docx", "A 59147-2025")</f>
        <v/>
      </c>
      <c r="Z96">
        <f>HYPERLINK("https://klasma.github.io/Logging_2380/fåglar/A 59147-2025 prioriterade fågelarter.docx", "A 59147-2025")</f>
        <v/>
      </c>
    </row>
    <row r="97" ht="15" customHeight="1">
      <c r="A97" t="inlineStr">
        <is>
          <t>A 33846-2023</t>
        </is>
      </c>
      <c r="B97" s="1" t="n">
        <v>45121</v>
      </c>
      <c r="C97" s="1" t="n">
        <v>46045</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61248-2025</t>
        </is>
      </c>
      <c r="B98" s="1" t="n">
        <v>46000.66444444445</v>
      </c>
      <c r="C98" s="1" t="n">
        <v>46045</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19512-2025</t>
        </is>
      </c>
      <c r="B99" s="1" t="n">
        <v>45770</v>
      </c>
      <c r="C99" s="1" t="n">
        <v>46045</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43368-2025</t>
        </is>
      </c>
      <c r="B100" s="1" t="n">
        <v>45911</v>
      </c>
      <c r="C100" s="1" t="n">
        <v>46045</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8327-2021</t>
        </is>
      </c>
      <c r="B101" s="1" t="n">
        <v>44244</v>
      </c>
      <c r="C101" s="1" t="n">
        <v>46045</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46045</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46045</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40429-2025</t>
        </is>
      </c>
      <c r="B104" s="1" t="n">
        <v>45895</v>
      </c>
      <c r="C104" s="1" t="n">
        <v>46045</v>
      </c>
      <c r="D104" t="inlineStr">
        <is>
          <t>JÄMTLANDS LÄN</t>
        </is>
      </c>
      <c r="E104" t="inlineStr">
        <is>
          <t>BERG</t>
        </is>
      </c>
      <c r="F104" t="inlineStr">
        <is>
          <t>SCA</t>
        </is>
      </c>
      <c r="G104" t="n">
        <v>5.1</v>
      </c>
      <c r="H104" t="n">
        <v>2</v>
      </c>
      <c r="I104" t="n">
        <v>4</v>
      </c>
      <c r="J104" t="n">
        <v>11</v>
      </c>
      <c r="K104" t="n">
        <v>3</v>
      </c>
      <c r="L104" t="n">
        <v>0</v>
      </c>
      <c r="M104" t="n">
        <v>0</v>
      </c>
      <c r="N104" t="n">
        <v>0</v>
      </c>
      <c r="O104" t="n">
        <v>14</v>
      </c>
      <c r="P104" t="n">
        <v>3</v>
      </c>
      <c r="Q104" t="n">
        <v>18</v>
      </c>
      <c r="R104" s="2" t="inlineStr">
        <is>
          <t>Doftticka
Gräddporing
Knärot
Blågrå svartspik
Brunpudrad nållav
Dvärgbägarlav
Garnlav
Knottrig blåslav
Kolflarnlav
Kortskaftad ärgspik
Lunglav
Mörk kolflarnlav
Skrovellav
Vedflamlav
Dropptaggsvamp
Skinnlav
Stuplav
Vedticka</t>
        </is>
      </c>
      <c r="S104">
        <f>HYPERLINK("https://klasma.github.io/Logging_2326/artfynd/A 40429-2025 artfynd.xlsx", "A 40429-2025")</f>
        <v/>
      </c>
      <c r="T104">
        <f>HYPERLINK("https://klasma.github.io/Logging_2326/kartor/A 40429-2025 karta.png", "A 40429-2025")</f>
        <v/>
      </c>
      <c r="U104">
        <f>HYPERLINK("https://klasma.github.io/Logging_2326/knärot/A 40429-2025 karta knärot.png", "A 40429-2025")</f>
        <v/>
      </c>
      <c r="V104">
        <f>HYPERLINK("https://klasma.github.io/Logging_2326/klagomål/A 40429-2025 FSC-klagomål.docx", "A 40429-2025")</f>
        <v/>
      </c>
      <c r="W104">
        <f>HYPERLINK("https://klasma.github.io/Logging_2326/klagomålsmail/A 40429-2025 FSC-klagomål mail.docx", "A 40429-2025")</f>
        <v/>
      </c>
      <c r="X104">
        <f>HYPERLINK("https://klasma.github.io/Logging_2326/tillsyn/A 40429-2025 tillsynsbegäran.docx", "A 40429-2025")</f>
        <v/>
      </c>
      <c r="Y104">
        <f>HYPERLINK("https://klasma.github.io/Logging_2326/tillsynsmail/A 40429-2025 tillsynsbegäran mail.docx", "A 40429-2025")</f>
        <v/>
      </c>
    </row>
    <row r="105" ht="15" customHeight="1">
      <c r="A105" t="inlineStr">
        <is>
          <t>A 1242-2025</t>
        </is>
      </c>
      <c r="B105" s="1" t="n">
        <v>45667</v>
      </c>
      <c r="C105" s="1" t="n">
        <v>46045</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438-2022</t>
        </is>
      </c>
      <c r="B106" s="1" t="n">
        <v>44565</v>
      </c>
      <c r="C106" s="1" t="n">
        <v>46045</v>
      </c>
      <c r="D106" t="inlineStr">
        <is>
          <t>JÄMTLANDS LÄN</t>
        </is>
      </c>
      <c r="E106" t="inlineStr">
        <is>
          <t>KROKOM</t>
        </is>
      </c>
      <c r="G106" t="n">
        <v>4.5</v>
      </c>
      <c r="H106" t="n">
        <v>5</v>
      </c>
      <c r="I106" t="n">
        <v>6</v>
      </c>
      <c r="J106" t="n">
        <v>10</v>
      </c>
      <c r="K106" t="n">
        <v>1</v>
      </c>
      <c r="L106" t="n">
        <v>0</v>
      </c>
      <c r="M106" t="n">
        <v>0</v>
      </c>
      <c r="N106" t="n">
        <v>0</v>
      </c>
      <c r="O106" t="n">
        <v>11</v>
      </c>
      <c r="P106" t="n">
        <v>1</v>
      </c>
      <c r="Q106" t="n">
        <v>18</v>
      </c>
      <c r="R106" s="2" t="inlineStr">
        <is>
          <t>Ulltickeporing
Brunpudrad nållav
Gammelgransskål
Garnlav
Granticka
Järpe
Skrovellav
Talltita
Tretåig hackspett
Ullticka
Vitgrynig nållav
Gytterlav
Korallblylav
Spindelblomster
Stuplav
Vedticka
Ögonpyrola
Fläcknycklar</t>
        </is>
      </c>
      <c r="S106">
        <f>HYPERLINK("https://klasma.github.io/Logging_2309/artfynd/A 438-2022 artfynd.xlsx", "A 438-2022")</f>
        <v/>
      </c>
      <c r="T106">
        <f>HYPERLINK("https://klasma.github.io/Logging_2309/kartor/A 438-2022 karta.png", "A 438-2022")</f>
        <v/>
      </c>
      <c r="V106">
        <f>HYPERLINK("https://klasma.github.io/Logging_2309/klagomål/A 438-2022 FSC-klagomål.docx", "A 438-2022")</f>
        <v/>
      </c>
      <c r="W106">
        <f>HYPERLINK("https://klasma.github.io/Logging_2309/klagomålsmail/A 438-2022 FSC-klagomål mail.docx", "A 438-2022")</f>
        <v/>
      </c>
      <c r="X106">
        <f>HYPERLINK("https://klasma.github.io/Logging_2309/tillsyn/A 438-2022 tillsynsbegäran.docx", "A 438-2022")</f>
        <v/>
      </c>
      <c r="Y106">
        <f>HYPERLINK("https://klasma.github.io/Logging_2309/tillsynsmail/A 438-2022 tillsynsbegäran mail.docx", "A 438-2022")</f>
        <v/>
      </c>
      <c r="Z106">
        <f>HYPERLINK("https://klasma.github.io/Logging_2309/fåglar/A 438-2022 prioriterade fågelarter.docx", "A 438-2022")</f>
        <v/>
      </c>
    </row>
    <row r="107" ht="15" customHeight="1">
      <c r="A107" t="inlineStr">
        <is>
          <t>A 40673-2024</t>
        </is>
      </c>
      <c r="B107" s="1" t="n">
        <v>45558</v>
      </c>
      <c r="C107" s="1" t="n">
        <v>46045</v>
      </c>
      <c r="D107" t="inlineStr">
        <is>
          <t>JÄMTLANDS LÄN</t>
        </is>
      </c>
      <c r="E107" t="inlineStr">
        <is>
          <t>STRÖMSUND</t>
        </is>
      </c>
      <c r="G107" t="n">
        <v>7.7</v>
      </c>
      <c r="H107" t="n">
        <v>7</v>
      </c>
      <c r="I107" t="n">
        <v>9</v>
      </c>
      <c r="J107" t="n">
        <v>8</v>
      </c>
      <c r="K107" t="n">
        <v>1</v>
      </c>
      <c r="L107" t="n">
        <v>0</v>
      </c>
      <c r="M107" t="n">
        <v>0</v>
      </c>
      <c r="N107" t="n">
        <v>0</v>
      </c>
      <c r="O107" t="n">
        <v>9</v>
      </c>
      <c r="P107" t="n">
        <v>1</v>
      </c>
      <c r="Q107" t="n">
        <v>18</v>
      </c>
      <c r="R107" s="2" t="inlineStr">
        <is>
          <t>Lappuggla
Garnlav
Granticka
Harticka
Skrovellav
Spillkråka
Tallticka
Talltita
Tretåig hackspett
Bårdlav
Fjällig taggsvamp s.str.
Guckusko
Korallrot
Luddlav
Plattlummer
Rödgul trumpetsvamp
Svavelriska
Trådticka</t>
        </is>
      </c>
      <c r="S107">
        <f>HYPERLINK("https://klasma.github.io/Logging_2313/artfynd/A 40673-2024 artfynd.xlsx", "A 40673-2024")</f>
        <v/>
      </c>
      <c r="T107">
        <f>HYPERLINK("https://klasma.github.io/Logging_2313/kartor/A 40673-2024 karta.png", "A 40673-2024")</f>
        <v/>
      </c>
      <c r="V107">
        <f>HYPERLINK("https://klasma.github.io/Logging_2313/klagomål/A 40673-2024 FSC-klagomål.docx", "A 40673-2024")</f>
        <v/>
      </c>
      <c r="W107">
        <f>HYPERLINK("https://klasma.github.io/Logging_2313/klagomålsmail/A 40673-2024 FSC-klagomål mail.docx", "A 40673-2024")</f>
        <v/>
      </c>
      <c r="X107">
        <f>HYPERLINK("https://klasma.github.io/Logging_2313/tillsyn/A 40673-2024 tillsynsbegäran.docx", "A 40673-2024")</f>
        <v/>
      </c>
      <c r="Y107">
        <f>HYPERLINK("https://klasma.github.io/Logging_2313/tillsynsmail/A 40673-2024 tillsynsbegäran mail.docx", "A 40673-2024")</f>
        <v/>
      </c>
      <c r="Z107">
        <f>HYPERLINK("https://klasma.github.io/Logging_2313/fåglar/A 40673-2024 prioriterade fågelarter.docx", "A 40673-2024")</f>
        <v/>
      </c>
    </row>
    <row r="108" ht="15" customHeight="1">
      <c r="A108" t="inlineStr">
        <is>
          <t>A 61459-2024</t>
        </is>
      </c>
      <c r="B108" s="1" t="n">
        <v>45646</v>
      </c>
      <c r="C108" s="1" t="n">
        <v>46045</v>
      </c>
      <c r="D108" t="inlineStr">
        <is>
          <t>JÄMTLANDS LÄN</t>
        </is>
      </c>
      <c r="E108" t="inlineStr">
        <is>
          <t>KROKOM</t>
        </is>
      </c>
      <c r="G108" t="n">
        <v>16.6</v>
      </c>
      <c r="H108" t="n">
        <v>4</v>
      </c>
      <c r="I108" t="n">
        <v>8</v>
      </c>
      <c r="J108" t="n">
        <v>8</v>
      </c>
      <c r="K108" t="n">
        <v>0</v>
      </c>
      <c r="L108" t="n">
        <v>0</v>
      </c>
      <c r="M108" t="n">
        <v>0</v>
      </c>
      <c r="N108" t="n">
        <v>0</v>
      </c>
      <c r="O108" t="n">
        <v>8</v>
      </c>
      <c r="P108" t="n">
        <v>0</v>
      </c>
      <c r="Q108" t="n">
        <v>18</v>
      </c>
      <c r="R108" s="2" t="inlineStr">
        <is>
          <t>Garnlav
Granticka
Knottrig blåslav
Lunglav
Skrovellav
Tretåig hackspett
Ullticka
Vitgrynig nållav
Bårdlav
Gytterlav
Korallrot
Kransrams
Kärrkammossa
Luddlav
Mörk husmossa
Stuplav
Vanlig groda
Revlummer</t>
        </is>
      </c>
      <c r="S108">
        <f>HYPERLINK("https://klasma.github.io/Logging_2309/artfynd/A 61459-2024 artfynd.xlsx", "A 61459-2024")</f>
        <v/>
      </c>
      <c r="T108">
        <f>HYPERLINK("https://klasma.github.io/Logging_2309/kartor/A 61459-2024 karta.png", "A 61459-2024")</f>
        <v/>
      </c>
      <c r="V108">
        <f>HYPERLINK("https://klasma.github.io/Logging_2309/klagomål/A 61459-2024 FSC-klagomål.docx", "A 61459-2024")</f>
        <v/>
      </c>
      <c r="W108">
        <f>HYPERLINK("https://klasma.github.io/Logging_2309/klagomålsmail/A 61459-2024 FSC-klagomål mail.docx", "A 61459-2024")</f>
        <v/>
      </c>
      <c r="X108">
        <f>HYPERLINK("https://klasma.github.io/Logging_2309/tillsyn/A 61459-2024 tillsynsbegäran.docx", "A 61459-2024")</f>
        <v/>
      </c>
      <c r="Y108">
        <f>HYPERLINK("https://klasma.github.io/Logging_2309/tillsynsmail/A 61459-2024 tillsynsbegäran mail.docx", "A 61459-2024")</f>
        <v/>
      </c>
      <c r="Z108">
        <f>HYPERLINK("https://klasma.github.io/Logging_2309/fåglar/A 61459-2024 prioriterade fågelarter.docx", "A 61459-2024")</f>
        <v/>
      </c>
    </row>
    <row r="109" ht="15" customHeight="1">
      <c r="A109" t="inlineStr">
        <is>
          <t>A 54050-2023</t>
        </is>
      </c>
      <c r="B109" s="1" t="n">
        <v>45231</v>
      </c>
      <c r="C109" s="1" t="n">
        <v>46045</v>
      </c>
      <c r="D109" t="inlineStr">
        <is>
          <t>JÄMTLANDS LÄN</t>
        </is>
      </c>
      <c r="E109" t="inlineStr">
        <is>
          <t>BRÄCKE</t>
        </is>
      </c>
      <c r="F109" t="inlineStr">
        <is>
          <t>SCA</t>
        </is>
      </c>
      <c r="G109" t="n">
        <v>11.3</v>
      </c>
      <c r="H109" t="n">
        <v>1</v>
      </c>
      <c r="I109" t="n">
        <v>3</v>
      </c>
      <c r="J109" t="n">
        <v>14</v>
      </c>
      <c r="K109" t="n">
        <v>1</v>
      </c>
      <c r="L109" t="n">
        <v>0</v>
      </c>
      <c r="M109" t="n">
        <v>0</v>
      </c>
      <c r="N109" t="n">
        <v>0</v>
      </c>
      <c r="O109" t="n">
        <v>15</v>
      </c>
      <c r="P109" t="n">
        <v>1</v>
      </c>
      <c r="Q109" t="n">
        <v>18</v>
      </c>
      <c r="R10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9">
        <f>HYPERLINK("https://klasma.github.io/Logging_2305/artfynd/A 54050-2023 artfynd.xlsx", "A 54050-2023")</f>
        <v/>
      </c>
      <c r="T109">
        <f>HYPERLINK("https://klasma.github.io/Logging_2305/kartor/A 54050-2023 karta.png", "A 54050-2023")</f>
        <v/>
      </c>
      <c r="U109">
        <f>HYPERLINK("https://klasma.github.io/Logging_2305/knärot/A 54050-2023 karta knärot.png", "A 54050-2023")</f>
        <v/>
      </c>
      <c r="V109">
        <f>HYPERLINK("https://klasma.github.io/Logging_2305/klagomål/A 54050-2023 FSC-klagomål.docx", "A 54050-2023")</f>
        <v/>
      </c>
      <c r="W109">
        <f>HYPERLINK("https://klasma.github.io/Logging_2305/klagomålsmail/A 54050-2023 FSC-klagomål mail.docx", "A 54050-2023")</f>
        <v/>
      </c>
      <c r="X109">
        <f>HYPERLINK("https://klasma.github.io/Logging_2305/tillsyn/A 54050-2023 tillsynsbegäran.docx", "A 54050-2023")</f>
        <v/>
      </c>
      <c r="Y109">
        <f>HYPERLINK("https://klasma.github.io/Logging_2305/tillsynsmail/A 54050-2023 tillsynsbegäran mail.docx", "A 54050-2023")</f>
        <v/>
      </c>
      <c r="Z109">
        <f>HYPERLINK("https://klasma.github.io/Logging_2305/fåglar/A 54050-2023 prioriterade fågelarter.docx", "A 54050-2023")</f>
        <v/>
      </c>
    </row>
    <row r="110" ht="15" customHeight="1">
      <c r="A110" t="inlineStr">
        <is>
          <t>A 62949-2021</t>
        </is>
      </c>
      <c r="B110" s="1" t="n">
        <v>44504</v>
      </c>
      <c r="C110" s="1" t="n">
        <v>46045</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37027-2023</t>
        </is>
      </c>
      <c r="B111" s="1" t="n">
        <v>45155</v>
      </c>
      <c r="C111" s="1" t="n">
        <v>46045</v>
      </c>
      <c r="D111" t="inlineStr">
        <is>
          <t>JÄMTLANDS LÄN</t>
        </is>
      </c>
      <c r="E111" t="inlineStr">
        <is>
          <t>KROKOM</t>
        </is>
      </c>
      <c r="F111" t="inlineStr">
        <is>
          <t>Kyrkan</t>
        </is>
      </c>
      <c r="G111" t="n">
        <v>16.3</v>
      </c>
      <c r="H111" t="n">
        <v>2</v>
      </c>
      <c r="I111" t="n">
        <v>5</v>
      </c>
      <c r="J111" t="n">
        <v>11</v>
      </c>
      <c r="K111" t="n">
        <v>2</v>
      </c>
      <c r="L111" t="n">
        <v>0</v>
      </c>
      <c r="M111" t="n">
        <v>0</v>
      </c>
      <c r="N111" t="n">
        <v>0</v>
      </c>
      <c r="O111" t="n">
        <v>13</v>
      </c>
      <c r="P111" t="n">
        <v>2</v>
      </c>
      <c r="Q111" t="n">
        <v>18</v>
      </c>
      <c r="R11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1">
        <f>HYPERLINK("https://klasma.github.io/Logging_2309/artfynd/A 37027-2023 artfynd.xlsx", "A 37027-2023")</f>
        <v/>
      </c>
      <c r="T111">
        <f>HYPERLINK("https://klasma.github.io/Logging_2309/kartor/A 37027-2023 karta.png", "A 37027-2023")</f>
        <v/>
      </c>
      <c r="V111">
        <f>HYPERLINK("https://klasma.github.io/Logging_2309/klagomål/A 37027-2023 FSC-klagomål.docx", "A 37027-2023")</f>
        <v/>
      </c>
      <c r="W111">
        <f>HYPERLINK("https://klasma.github.io/Logging_2309/klagomålsmail/A 37027-2023 FSC-klagomål mail.docx", "A 37027-2023")</f>
        <v/>
      </c>
      <c r="X111">
        <f>HYPERLINK("https://klasma.github.io/Logging_2309/tillsyn/A 37027-2023 tillsynsbegäran.docx", "A 37027-2023")</f>
        <v/>
      </c>
      <c r="Y111">
        <f>HYPERLINK("https://klasma.github.io/Logging_2309/tillsynsmail/A 37027-2023 tillsynsbegäran mail.docx", "A 37027-2023")</f>
        <v/>
      </c>
      <c r="Z111">
        <f>HYPERLINK("https://klasma.github.io/Logging_2309/fåglar/A 37027-2023 prioriterade fågelarter.docx", "A 37027-2023")</f>
        <v/>
      </c>
    </row>
    <row r="112" ht="15" customHeight="1">
      <c r="A112" t="inlineStr">
        <is>
          <t>A 50145-2022</t>
        </is>
      </c>
      <c r="B112" s="1" t="n">
        <v>44865.57574074074</v>
      </c>
      <c r="C112" s="1" t="n">
        <v>46045</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68643-2021</t>
        </is>
      </c>
      <c r="B113" s="1" t="n">
        <v>44529</v>
      </c>
      <c r="C113" s="1" t="n">
        <v>46045</v>
      </c>
      <c r="D113" t="inlineStr">
        <is>
          <t>JÄMTLANDS LÄN</t>
        </is>
      </c>
      <c r="E113" t="inlineStr">
        <is>
          <t>STRÖMSUND</t>
        </is>
      </c>
      <c r="G113" t="n">
        <v>40.8</v>
      </c>
      <c r="H113" t="n">
        <v>4</v>
      </c>
      <c r="I113" t="n">
        <v>6</v>
      </c>
      <c r="J113" t="n">
        <v>11</v>
      </c>
      <c r="K113" t="n">
        <v>1</v>
      </c>
      <c r="L113" t="n">
        <v>0</v>
      </c>
      <c r="M113" t="n">
        <v>0</v>
      </c>
      <c r="N113" t="n">
        <v>0</v>
      </c>
      <c r="O113" t="n">
        <v>12</v>
      </c>
      <c r="P113" t="n">
        <v>1</v>
      </c>
      <c r="Q113" t="n">
        <v>18</v>
      </c>
      <c r="R113" s="2" t="inlineStr">
        <is>
          <t>Knärot
Blanksvart spiklav
Blågrå svartspik
Brunpudrad nållav
Dvärgbägarlav
Garnlav
Kolflarnlav
Lunglav
Skrovellav
Tretåig hackspett
Vedskivlav
Vitplätt
Dropptaggsvamp
Plattlummer
Skinnlav
Skuggblåslav
Spindelblomster
Stuplav</t>
        </is>
      </c>
      <c r="S113">
        <f>HYPERLINK("https://klasma.github.io/Logging_2313/artfynd/A 68643-2021 artfynd.xlsx", "A 68643-2021")</f>
        <v/>
      </c>
      <c r="T113">
        <f>HYPERLINK("https://klasma.github.io/Logging_2313/kartor/A 68643-2021 karta.png", "A 68643-2021")</f>
        <v/>
      </c>
      <c r="U113">
        <f>HYPERLINK("https://klasma.github.io/Logging_2313/knärot/A 68643-2021 karta knärot.png", "A 68643-2021")</f>
        <v/>
      </c>
      <c r="V113">
        <f>HYPERLINK("https://klasma.github.io/Logging_2313/klagomål/A 68643-2021 FSC-klagomål.docx", "A 68643-2021")</f>
        <v/>
      </c>
      <c r="W113">
        <f>HYPERLINK("https://klasma.github.io/Logging_2313/klagomålsmail/A 68643-2021 FSC-klagomål mail.docx", "A 68643-2021")</f>
        <v/>
      </c>
      <c r="X113">
        <f>HYPERLINK("https://klasma.github.io/Logging_2313/tillsyn/A 68643-2021 tillsynsbegäran.docx", "A 68643-2021")</f>
        <v/>
      </c>
      <c r="Y113">
        <f>HYPERLINK("https://klasma.github.io/Logging_2313/tillsynsmail/A 68643-2021 tillsynsbegäran mail.docx", "A 68643-2021")</f>
        <v/>
      </c>
      <c r="Z113">
        <f>HYPERLINK("https://klasma.github.io/Logging_2313/fåglar/A 68643-2021 prioriterade fågelarter.docx", "A 68643-2021")</f>
        <v/>
      </c>
    </row>
    <row r="114" ht="15" customHeight="1">
      <c r="A114" t="inlineStr">
        <is>
          <t>A 2751-2025</t>
        </is>
      </c>
      <c r="B114" s="1" t="n">
        <v>45674</v>
      </c>
      <c r="C114" s="1" t="n">
        <v>46045</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27999-2025</t>
        </is>
      </c>
      <c r="B115" s="1" t="n">
        <v>45817</v>
      </c>
      <c r="C115" s="1" t="n">
        <v>46045</v>
      </c>
      <c r="D115" t="inlineStr">
        <is>
          <t>JÄMTLANDS LÄN</t>
        </is>
      </c>
      <c r="E115" t="inlineStr">
        <is>
          <t>STRÖMSUND</t>
        </is>
      </c>
      <c r="F115" t="inlineStr">
        <is>
          <t>SCA</t>
        </is>
      </c>
      <c r="G115" t="n">
        <v>7.5</v>
      </c>
      <c r="H115" t="n">
        <v>3</v>
      </c>
      <c r="I115" t="n">
        <v>3</v>
      </c>
      <c r="J115" t="n">
        <v>12</v>
      </c>
      <c r="K115" t="n">
        <v>2</v>
      </c>
      <c r="L115" t="n">
        <v>0</v>
      </c>
      <c r="M115" t="n">
        <v>0</v>
      </c>
      <c r="N115" t="n">
        <v>0</v>
      </c>
      <c r="O115" t="n">
        <v>14</v>
      </c>
      <c r="P115" t="n">
        <v>2</v>
      </c>
      <c r="Q115" t="n">
        <v>18</v>
      </c>
      <c r="R115"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5">
        <f>HYPERLINK("https://klasma.github.io/Logging_2313/artfynd/A 27999-2025 artfynd.xlsx", "A 27999-2025")</f>
        <v/>
      </c>
      <c r="T115">
        <f>HYPERLINK("https://klasma.github.io/Logging_2313/kartor/A 27999-2025 karta.png", "A 27999-2025")</f>
        <v/>
      </c>
      <c r="U115">
        <f>HYPERLINK("https://klasma.github.io/Logging_2313/knärot/A 27999-2025 karta knärot.png", "A 27999-2025")</f>
        <v/>
      </c>
      <c r="V115">
        <f>HYPERLINK("https://klasma.github.io/Logging_2313/klagomål/A 27999-2025 FSC-klagomål.docx", "A 27999-2025")</f>
        <v/>
      </c>
      <c r="W115">
        <f>HYPERLINK("https://klasma.github.io/Logging_2313/klagomålsmail/A 27999-2025 FSC-klagomål mail.docx", "A 27999-2025")</f>
        <v/>
      </c>
      <c r="X115">
        <f>HYPERLINK("https://klasma.github.io/Logging_2313/tillsyn/A 27999-2025 tillsynsbegäran.docx", "A 27999-2025")</f>
        <v/>
      </c>
      <c r="Y115">
        <f>HYPERLINK("https://klasma.github.io/Logging_2313/tillsynsmail/A 27999-2025 tillsynsbegäran mail.docx", "A 27999-2025")</f>
        <v/>
      </c>
      <c r="Z115">
        <f>HYPERLINK("https://klasma.github.io/Logging_2313/fåglar/A 27999-2025 prioriterade fågelarter.docx", "A 27999-2025")</f>
        <v/>
      </c>
    </row>
    <row r="116" ht="15" customHeight="1">
      <c r="A116" t="inlineStr">
        <is>
          <t>A 48260-2022</t>
        </is>
      </c>
      <c r="B116" s="1" t="n">
        <v>44853</v>
      </c>
      <c r="C116" s="1" t="n">
        <v>46045</v>
      </c>
      <c r="D116" t="inlineStr">
        <is>
          <t>JÄMTLANDS LÄN</t>
        </is>
      </c>
      <c r="E116" t="inlineStr">
        <is>
          <t>BERG</t>
        </is>
      </c>
      <c r="G116" t="n">
        <v>10.8</v>
      </c>
      <c r="H116" t="n">
        <v>3</v>
      </c>
      <c r="I116" t="n">
        <v>3</v>
      </c>
      <c r="J116" t="n">
        <v>11</v>
      </c>
      <c r="K116" t="n">
        <v>3</v>
      </c>
      <c r="L116" t="n">
        <v>0</v>
      </c>
      <c r="M116" t="n">
        <v>0</v>
      </c>
      <c r="N116" t="n">
        <v>0</v>
      </c>
      <c r="O116" t="n">
        <v>14</v>
      </c>
      <c r="P116" t="n">
        <v>3</v>
      </c>
      <c r="Q116" t="n">
        <v>18</v>
      </c>
      <c r="R1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40143-2023</t>
        </is>
      </c>
      <c r="B117" s="1" t="n">
        <v>45169.34751157407</v>
      </c>
      <c r="C117" s="1" t="n">
        <v>46045</v>
      </c>
      <c r="D117" t="inlineStr">
        <is>
          <t>JÄMTLANDS LÄN</t>
        </is>
      </c>
      <c r="E117" t="inlineStr">
        <is>
          <t>ÅRE</t>
        </is>
      </c>
      <c r="G117" t="n">
        <v>8</v>
      </c>
      <c r="H117" t="n">
        <v>6</v>
      </c>
      <c r="I117" t="n">
        <v>7</v>
      </c>
      <c r="J117" t="n">
        <v>7</v>
      </c>
      <c r="K117" t="n">
        <v>1</v>
      </c>
      <c r="L117" t="n">
        <v>0</v>
      </c>
      <c r="M117" t="n">
        <v>0</v>
      </c>
      <c r="N117" t="n">
        <v>0</v>
      </c>
      <c r="O117" t="n">
        <v>8</v>
      </c>
      <c r="P117" t="n">
        <v>1</v>
      </c>
      <c r="Q117" t="n">
        <v>18</v>
      </c>
      <c r="R117" s="2" t="inlineStr">
        <is>
          <t>Knärot
Garnlav
Granticka
Harticka
Liten svartspik
Talltita
Ullticka
Vitgrynig nållav
Korallblylav
Mörk husmossa
Skogshakmossa
Spindelblomster
Svavelriska
Trådticka
Ögonpyrola
Kungsfågel
Tjäder
Blåsippa</t>
        </is>
      </c>
      <c r="S117">
        <f>HYPERLINK("https://klasma.github.io/Logging_2321/artfynd/A 40143-2023 artfynd.xlsx", "A 40143-2023")</f>
        <v/>
      </c>
      <c r="T117">
        <f>HYPERLINK("https://klasma.github.io/Logging_2321/kartor/A 40143-2023 karta.png", "A 40143-2023")</f>
        <v/>
      </c>
      <c r="U117">
        <f>HYPERLINK("https://klasma.github.io/Logging_2321/knärot/A 40143-2023 karta knärot.png", "A 40143-2023")</f>
        <v/>
      </c>
      <c r="V117">
        <f>HYPERLINK("https://klasma.github.io/Logging_2321/klagomål/A 40143-2023 FSC-klagomål.docx", "A 40143-2023")</f>
        <v/>
      </c>
      <c r="W117">
        <f>HYPERLINK("https://klasma.github.io/Logging_2321/klagomålsmail/A 40143-2023 FSC-klagomål mail.docx", "A 40143-2023")</f>
        <v/>
      </c>
      <c r="X117">
        <f>HYPERLINK("https://klasma.github.io/Logging_2321/tillsyn/A 40143-2023 tillsynsbegäran.docx", "A 40143-2023")</f>
        <v/>
      </c>
      <c r="Y117">
        <f>HYPERLINK("https://klasma.github.io/Logging_2321/tillsynsmail/A 40143-2023 tillsynsbegäran mail.docx", "A 40143-2023")</f>
        <v/>
      </c>
      <c r="Z117">
        <f>HYPERLINK("https://klasma.github.io/Logging_2321/fåglar/A 40143-2023 prioriterade fågelarter.docx", "A 40143-2023")</f>
        <v/>
      </c>
    </row>
    <row r="118" ht="15" customHeight="1">
      <c r="A118" t="inlineStr">
        <is>
          <t>A 14183-2021</t>
        </is>
      </c>
      <c r="B118" s="1" t="n">
        <v>44278</v>
      </c>
      <c r="C118" s="1" t="n">
        <v>46045</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57461-2024</t>
        </is>
      </c>
      <c r="B119" s="1" t="n">
        <v>45630</v>
      </c>
      <c r="C119" s="1" t="n">
        <v>46045</v>
      </c>
      <c r="D119" t="inlineStr">
        <is>
          <t>JÄMTLANDS LÄN</t>
        </is>
      </c>
      <c r="E119" t="inlineStr">
        <is>
          <t>KROKOM</t>
        </is>
      </c>
      <c r="G119" t="n">
        <v>4.6</v>
      </c>
      <c r="H119" t="n">
        <v>1</v>
      </c>
      <c r="I119" t="n">
        <v>9</v>
      </c>
      <c r="J119" t="n">
        <v>6</v>
      </c>
      <c r="K119" t="n">
        <v>2</v>
      </c>
      <c r="L119" t="n">
        <v>0</v>
      </c>
      <c r="M119" t="n">
        <v>0</v>
      </c>
      <c r="N119" t="n">
        <v>0</v>
      </c>
      <c r="O119" t="n">
        <v>8</v>
      </c>
      <c r="P119" t="n">
        <v>2</v>
      </c>
      <c r="Q119" t="n">
        <v>17</v>
      </c>
      <c r="R119" s="2" t="inlineStr">
        <is>
          <t>Knärot
Rynkskinn
Barrviolspindling
Garnlav
Granticka
Persiljespindling
Ullticka
Vitgrynig nållav
Bårdlav
Dvärgtufs
Fjällig taggsvamp s.str.
Gytterlav
Korallblylav
Luddlav
Skinnlav
Stuplav
Svavelriska</t>
        </is>
      </c>
      <c r="S119">
        <f>HYPERLINK("https://klasma.github.io/Logging_2309/artfynd/A 57461-2024 artfynd.xlsx", "A 57461-2024")</f>
        <v/>
      </c>
      <c r="T119">
        <f>HYPERLINK("https://klasma.github.io/Logging_2309/kartor/A 57461-2024 karta.png", "A 57461-2024")</f>
        <v/>
      </c>
      <c r="U119">
        <f>HYPERLINK("https://klasma.github.io/Logging_2309/knärot/A 57461-2024 karta knärot.png", "A 57461-2024")</f>
        <v/>
      </c>
      <c r="V119">
        <f>HYPERLINK("https://klasma.github.io/Logging_2309/klagomål/A 57461-2024 FSC-klagomål.docx", "A 57461-2024")</f>
        <v/>
      </c>
      <c r="W119">
        <f>HYPERLINK("https://klasma.github.io/Logging_2309/klagomålsmail/A 57461-2024 FSC-klagomål mail.docx", "A 57461-2024")</f>
        <v/>
      </c>
      <c r="X119">
        <f>HYPERLINK("https://klasma.github.io/Logging_2309/tillsyn/A 57461-2024 tillsynsbegäran.docx", "A 57461-2024")</f>
        <v/>
      </c>
      <c r="Y119">
        <f>HYPERLINK("https://klasma.github.io/Logging_2309/tillsynsmail/A 57461-2024 tillsynsbegäran mail.docx", "A 57461-2024")</f>
        <v/>
      </c>
    </row>
    <row r="120" ht="15" customHeight="1">
      <c r="A120" t="inlineStr">
        <is>
          <t>A 68593-2021</t>
        </is>
      </c>
      <c r="B120" s="1" t="n">
        <v>44529</v>
      </c>
      <c r="C120" s="1" t="n">
        <v>46045</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56201-2021</t>
        </is>
      </c>
      <c r="B121" s="1" t="n">
        <v>44477</v>
      </c>
      <c r="C121" s="1" t="n">
        <v>46045</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23434-2024</t>
        </is>
      </c>
      <c r="B122" s="1" t="n">
        <v>45453</v>
      </c>
      <c r="C122" s="1" t="n">
        <v>46045</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49977-2024</t>
        </is>
      </c>
      <c r="B123" s="1" t="n">
        <v>45597</v>
      </c>
      <c r="C123" s="1" t="n">
        <v>46045</v>
      </c>
      <c r="D123" t="inlineStr">
        <is>
          <t>JÄMTLANDS LÄN</t>
        </is>
      </c>
      <c r="E123" t="inlineStr">
        <is>
          <t>ÅRE</t>
        </is>
      </c>
      <c r="G123" t="n">
        <v>13.3</v>
      </c>
      <c r="H123" t="n">
        <v>2</v>
      </c>
      <c r="I123" t="n">
        <v>9</v>
      </c>
      <c r="J123" t="n">
        <v>6</v>
      </c>
      <c r="K123" t="n">
        <v>1</v>
      </c>
      <c r="L123" t="n">
        <v>1</v>
      </c>
      <c r="M123" t="n">
        <v>0</v>
      </c>
      <c r="N123" t="n">
        <v>0</v>
      </c>
      <c r="O123" t="n">
        <v>8</v>
      </c>
      <c r="P123" t="n">
        <v>2</v>
      </c>
      <c r="Q123" t="n">
        <v>17</v>
      </c>
      <c r="R123" s="2" t="inlineStr">
        <is>
          <t>Skrovellavsknapp
Norsk näverlav
Garnlav
Kavernularia
Lunglav
Nordlig nållav
Skrovellav
Tretåig hackspett
Barkkornlav
Bårdlav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50826-2023</t>
        </is>
      </c>
      <c r="B124" s="1" t="n">
        <v>45217</v>
      </c>
      <c r="C124" s="1" t="n">
        <v>46045</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43579-2025</t>
        </is>
      </c>
      <c r="B125" s="1" t="n">
        <v>45911</v>
      </c>
      <c r="C125" s="1" t="n">
        <v>46045</v>
      </c>
      <c r="D125" t="inlineStr">
        <is>
          <t>JÄMTLANDS LÄN</t>
        </is>
      </c>
      <c r="E125" t="inlineStr">
        <is>
          <t>HÄRJEDALEN</t>
        </is>
      </c>
      <c r="F125" t="inlineStr">
        <is>
          <t>Övriga Aktiebolag</t>
        </is>
      </c>
      <c r="G125" t="n">
        <v>8</v>
      </c>
      <c r="H125" t="n">
        <v>3</v>
      </c>
      <c r="I125" t="n">
        <v>1</v>
      </c>
      <c r="J125" t="n">
        <v>16</v>
      </c>
      <c r="K125" t="n">
        <v>0</v>
      </c>
      <c r="L125" t="n">
        <v>0</v>
      </c>
      <c r="M125" t="n">
        <v>0</v>
      </c>
      <c r="N125" t="n">
        <v>0</v>
      </c>
      <c r="O125" t="n">
        <v>16</v>
      </c>
      <c r="P125" t="n">
        <v>0</v>
      </c>
      <c r="Q125" t="n">
        <v>17</v>
      </c>
      <c r="R125" s="2" t="inlineStr">
        <is>
          <t>Blågrå svartspik
Dvärgbägarlav
Gammelgransskål
Garnlav
Granticka
Järpe
Knottrig blåslav
Kolflarnlav
Lunglav
Mörk kolflarnlav
Talltita
Tretåig hackspett
Vaddporing
Vedflamlav
Vedskivlav
Vitgrynig nållav
Dropptaggsvamp</t>
        </is>
      </c>
      <c r="S125">
        <f>HYPERLINK("https://klasma.github.io/Logging_2361/artfynd/A 43579-2025 artfynd.xlsx", "A 43579-2025")</f>
        <v/>
      </c>
      <c r="T125">
        <f>HYPERLINK("https://klasma.github.io/Logging_2361/kartor/A 43579-2025 karta.png", "A 43579-2025")</f>
        <v/>
      </c>
      <c r="V125">
        <f>HYPERLINK("https://klasma.github.io/Logging_2361/klagomål/A 43579-2025 FSC-klagomål.docx", "A 43579-2025")</f>
        <v/>
      </c>
      <c r="W125">
        <f>HYPERLINK("https://klasma.github.io/Logging_2361/klagomålsmail/A 43579-2025 FSC-klagomål mail.docx", "A 43579-2025")</f>
        <v/>
      </c>
      <c r="X125">
        <f>HYPERLINK("https://klasma.github.io/Logging_2361/tillsyn/A 43579-2025 tillsynsbegäran.docx", "A 43579-2025")</f>
        <v/>
      </c>
      <c r="Y125">
        <f>HYPERLINK("https://klasma.github.io/Logging_2361/tillsynsmail/A 43579-2025 tillsynsbegäran mail.docx", "A 43579-2025")</f>
        <v/>
      </c>
      <c r="Z125">
        <f>HYPERLINK("https://klasma.github.io/Logging_2361/fåglar/A 43579-2025 prioriterade fågelarter.docx", "A 43579-2025")</f>
        <v/>
      </c>
    </row>
    <row r="126" ht="15" customHeight="1">
      <c r="A126" t="inlineStr">
        <is>
          <t>A 34768-2025</t>
        </is>
      </c>
      <c r="B126" s="1" t="n">
        <v>45848</v>
      </c>
      <c r="C126" s="1" t="n">
        <v>46045</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55395-2024</t>
        </is>
      </c>
      <c r="B127" s="1" t="n">
        <v>45622</v>
      </c>
      <c r="C127" s="1" t="n">
        <v>46045</v>
      </c>
      <c r="D127" t="inlineStr">
        <is>
          <t>JÄMTLANDS LÄN</t>
        </is>
      </c>
      <c r="E127" t="inlineStr">
        <is>
          <t>RAGUNDA</t>
        </is>
      </c>
      <c r="G127" t="n">
        <v>3.2</v>
      </c>
      <c r="H127" t="n">
        <v>5</v>
      </c>
      <c r="I127" t="n">
        <v>3</v>
      </c>
      <c r="J127" t="n">
        <v>12</v>
      </c>
      <c r="K127" t="n">
        <v>1</v>
      </c>
      <c r="L127" t="n">
        <v>0</v>
      </c>
      <c r="M127" t="n">
        <v>0</v>
      </c>
      <c r="N127" t="n">
        <v>0</v>
      </c>
      <c r="O127" t="n">
        <v>13</v>
      </c>
      <c r="P127" t="n">
        <v>1</v>
      </c>
      <c r="Q127" t="n">
        <v>17</v>
      </c>
      <c r="R127" s="2" t="inlineStr">
        <is>
          <t>Doftticka
Dvärgbägarlav
Garnlav
Järpe
Kolflarnlav
Liten svartspik
Lunglav
Mörk kolflarnlav
Skrovellav
Talltita
Tretåig hackspett
Vedskivlav
Vitgrynig nållav
Korallblylav
Skinnlav
Vedticka
Tjäder</t>
        </is>
      </c>
      <c r="S127">
        <f>HYPERLINK("https://klasma.github.io/Logging_2303/artfynd/A 55395-2024 artfynd.xlsx", "A 55395-2024")</f>
        <v/>
      </c>
      <c r="T127">
        <f>HYPERLINK("https://klasma.github.io/Logging_2303/kartor/A 55395-2024 karta.png", "A 55395-2024")</f>
        <v/>
      </c>
      <c r="V127">
        <f>HYPERLINK("https://klasma.github.io/Logging_2303/klagomål/A 55395-2024 FSC-klagomål.docx", "A 55395-2024")</f>
        <v/>
      </c>
      <c r="W127">
        <f>HYPERLINK("https://klasma.github.io/Logging_2303/klagomålsmail/A 55395-2024 FSC-klagomål mail.docx", "A 55395-2024")</f>
        <v/>
      </c>
      <c r="X127">
        <f>HYPERLINK("https://klasma.github.io/Logging_2303/tillsyn/A 55395-2024 tillsynsbegäran.docx", "A 55395-2024")</f>
        <v/>
      </c>
      <c r="Y127">
        <f>HYPERLINK("https://klasma.github.io/Logging_2303/tillsynsmail/A 55395-2024 tillsynsbegäran mail.docx", "A 55395-2024")</f>
        <v/>
      </c>
      <c r="Z127">
        <f>HYPERLINK("https://klasma.github.io/Logging_2303/fåglar/A 55395-2024 prioriterade fågelarter.docx", "A 55395-2024")</f>
        <v/>
      </c>
    </row>
    <row r="128" ht="15" customHeight="1">
      <c r="A128" t="inlineStr">
        <is>
          <t>A 13305-2022</t>
        </is>
      </c>
      <c r="B128" s="1" t="n">
        <v>44644</v>
      </c>
      <c r="C128" s="1" t="n">
        <v>46045</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41701-2024</t>
        </is>
      </c>
      <c r="B129" s="1" t="n">
        <v>45560.69207175926</v>
      </c>
      <c r="C129" s="1" t="n">
        <v>46045</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13974-2022</t>
        </is>
      </c>
      <c r="B130" s="1" t="n">
        <v>44650</v>
      </c>
      <c r="C130" s="1" t="n">
        <v>46045</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58154-2023</t>
        </is>
      </c>
      <c r="B131" s="1" t="n">
        <v>45250</v>
      </c>
      <c r="C131" s="1" t="n">
        <v>46045</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8533-2024</t>
        </is>
      </c>
      <c r="B132" s="1" t="n">
        <v>45351</v>
      </c>
      <c r="C132" s="1" t="n">
        <v>46045</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42444-2023</t>
        </is>
      </c>
      <c r="B133" s="1" t="n">
        <v>45180</v>
      </c>
      <c r="C133" s="1" t="n">
        <v>46045</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52647-2023</t>
        </is>
      </c>
      <c r="B134" s="1" t="n">
        <v>45219</v>
      </c>
      <c r="C134" s="1" t="n">
        <v>46045</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54246-2022</t>
        </is>
      </c>
      <c r="B135" s="1" t="n">
        <v>44881</v>
      </c>
      <c r="C135" s="1" t="n">
        <v>46045</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15382-2025</t>
        </is>
      </c>
      <c r="B136" s="1" t="n">
        <v>45747</v>
      </c>
      <c r="C136" s="1" t="n">
        <v>46045</v>
      </c>
      <c r="D136" t="inlineStr">
        <is>
          <t>JÄMTLANDS LÄN</t>
        </is>
      </c>
      <c r="E136" t="inlineStr">
        <is>
          <t>ÖSTERSUND</t>
        </is>
      </c>
      <c r="G136" t="n">
        <v>11.4</v>
      </c>
      <c r="H136" t="n">
        <v>5</v>
      </c>
      <c r="I136" t="n">
        <v>2</v>
      </c>
      <c r="J136" t="n">
        <v>11</v>
      </c>
      <c r="K136" t="n">
        <v>1</v>
      </c>
      <c r="L136" t="n">
        <v>0</v>
      </c>
      <c r="M136" t="n">
        <v>0</v>
      </c>
      <c r="N136" t="n">
        <v>0</v>
      </c>
      <c r="O136" t="n">
        <v>12</v>
      </c>
      <c r="P136" t="n">
        <v>1</v>
      </c>
      <c r="Q136" t="n">
        <v>16</v>
      </c>
      <c r="R136" s="2" t="inlineStr">
        <is>
          <t>Knärot
Gammelgransskål
Garnlav
Gränsticka
Harticka
Järpe
Rosenticka
Stjärntagging
Tretåig hackspett
Ullticka
Vedtrappmossa
Vitgrynig nållav
Skinnlav
Vedticka
Kungsfågel
Blåsippa</t>
        </is>
      </c>
      <c r="S136">
        <f>HYPERLINK("https://klasma.github.io/Logging_2380/artfynd/A 15382-2025 artfynd.xlsx", "A 15382-2025")</f>
        <v/>
      </c>
      <c r="T136">
        <f>HYPERLINK("https://klasma.github.io/Logging_2380/kartor/A 15382-2025 karta.png", "A 15382-2025")</f>
        <v/>
      </c>
      <c r="U136">
        <f>HYPERLINK("https://klasma.github.io/Logging_2380/knärot/A 15382-2025 karta knärot.png", "A 15382-2025")</f>
        <v/>
      </c>
      <c r="V136">
        <f>HYPERLINK("https://klasma.github.io/Logging_2380/klagomål/A 15382-2025 FSC-klagomål.docx", "A 15382-2025")</f>
        <v/>
      </c>
      <c r="W136">
        <f>HYPERLINK("https://klasma.github.io/Logging_2380/klagomålsmail/A 15382-2025 FSC-klagomål mail.docx", "A 15382-2025")</f>
        <v/>
      </c>
      <c r="X136">
        <f>HYPERLINK("https://klasma.github.io/Logging_2380/tillsyn/A 15382-2025 tillsynsbegäran.docx", "A 15382-2025")</f>
        <v/>
      </c>
      <c r="Y136">
        <f>HYPERLINK("https://klasma.github.io/Logging_2380/tillsynsmail/A 15382-2025 tillsynsbegäran mail.docx", "A 15382-2025")</f>
        <v/>
      </c>
      <c r="Z136">
        <f>HYPERLINK("https://klasma.github.io/Logging_2380/fåglar/A 15382-2025 prioriterade fågelarter.docx", "A 15382-2025")</f>
        <v/>
      </c>
    </row>
    <row r="137" ht="15" customHeight="1">
      <c r="A137" t="inlineStr">
        <is>
          <t>A 49534-2024</t>
        </is>
      </c>
      <c r="B137" s="1" t="n">
        <v>45596.42497685185</v>
      </c>
      <c r="C137" s="1" t="n">
        <v>46045</v>
      </c>
      <c r="D137" t="inlineStr">
        <is>
          <t>JÄMTLANDS LÄN</t>
        </is>
      </c>
      <c r="E137" t="inlineStr">
        <is>
          <t>ÅRE</t>
        </is>
      </c>
      <c r="F137" t="inlineStr">
        <is>
          <t>Övriga Aktiebolag</t>
        </is>
      </c>
      <c r="G137" t="n">
        <v>3.7</v>
      </c>
      <c r="H137" t="n">
        <v>1</v>
      </c>
      <c r="I137" t="n">
        <v>5</v>
      </c>
      <c r="J137" t="n">
        <v>8</v>
      </c>
      <c r="K137" t="n">
        <v>3</v>
      </c>
      <c r="L137" t="n">
        <v>0</v>
      </c>
      <c r="M137" t="n">
        <v>0</v>
      </c>
      <c r="N137" t="n">
        <v>0</v>
      </c>
      <c r="O137" t="n">
        <v>11</v>
      </c>
      <c r="P137" t="n">
        <v>3</v>
      </c>
      <c r="Q137" t="n">
        <v>16</v>
      </c>
      <c r="R137" s="2" t="inlineStr">
        <is>
          <t>Almlav
Fjällig knopplav
Smalskaftslav
Barkporlav
Gammelgransskål
Garnlav
Grynig filtlav
Liten svartspik
Skrovellav
Tretåig hackspett
Vitgrynig nållav
Gytterlav
Platt fjädermossa
Skinnlav
Skogstimmia
Stuplav</t>
        </is>
      </c>
      <c r="S137">
        <f>HYPERLINK("https://klasma.github.io/Logging_2321/artfynd/A 49534-2024 artfynd.xlsx", "A 49534-2024")</f>
        <v/>
      </c>
      <c r="T137">
        <f>HYPERLINK("https://klasma.github.io/Logging_2321/kartor/A 49534-2024 karta.png", "A 49534-2024")</f>
        <v/>
      </c>
      <c r="V137">
        <f>HYPERLINK("https://klasma.github.io/Logging_2321/klagomål/A 49534-2024 FSC-klagomål.docx", "A 49534-2024")</f>
        <v/>
      </c>
      <c r="W137">
        <f>HYPERLINK("https://klasma.github.io/Logging_2321/klagomålsmail/A 49534-2024 FSC-klagomål mail.docx", "A 49534-2024")</f>
        <v/>
      </c>
      <c r="X137">
        <f>HYPERLINK("https://klasma.github.io/Logging_2321/tillsyn/A 49534-2024 tillsynsbegäran.docx", "A 49534-2024")</f>
        <v/>
      </c>
      <c r="Y137">
        <f>HYPERLINK("https://klasma.github.io/Logging_2321/tillsynsmail/A 49534-2024 tillsynsbegäran mail.docx", "A 49534-2024")</f>
        <v/>
      </c>
      <c r="Z137">
        <f>HYPERLINK("https://klasma.github.io/Logging_2321/fåglar/A 49534-2024 prioriterade fågelarter.docx", "A 49534-2024")</f>
        <v/>
      </c>
    </row>
    <row r="138" ht="15" customHeight="1">
      <c r="A138" t="inlineStr">
        <is>
          <t>A 7488-2023</t>
        </is>
      </c>
      <c r="B138" s="1" t="n">
        <v>44966</v>
      </c>
      <c r="C138" s="1" t="n">
        <v>46045</v>
      </c>
      <c r="D138" t="inlineStr">
        <is>
          <t>JÄMTLANDS LÄN</t>
        </is>
      </c>
      <c r="E138" t="inlineStr">
        <is>
          <t>BERG</t>
        </is>
      </c>
      <c r="G138" t="n">
        <v>19.5</v>
      </c>
      <c r="H138" t="n">
        <v>0</v>
      </c>
      <c r="I138" t="n">
        <v>5</v>
      </c>
      <c r="J138" t="n">
        <v>9</v>
      </c>
      <c r="K138" t="n">
        <v>2</v>
      </c>
      <c r="L138" t="n">
        <v>0</v>
      </c>
      <c r="M138" t="n">
        <v>0</v>
      </c>
      <c r="N138" t="n">
        <v>0</v>
      </c>
      <c r="O138" t="n">
        <v>11</v>
      </c>
      <c r="P138" t="n">
        <v>2</v>
      </c>
      <c r="Q138" t="n">
        <v>16</v>
      </c>
      <c r="R138" s="2" t="inlineStr">
        <is>
          <t>Fläckporing
Smalfotad taggsvamp
Dvärgbägarlav
Gäckporing
Kortskaftad ärgspik
Nordtagging
Reliktbock
Stjärntagging
Vaddporing
Vedflamlav
Vedskivlav
Bårdlav
Dropptaggsvamp
Mindre märgborre
Skinnlav
Vedticka</t>
        </is>
      </c>
      <c r="S138">
        <f>HYPERLINK("https://klasma.github.io/Logging_2326/artfynd/A 7488-2023 artfynd.xlsx", "A 7488-2023")</f>
        <v/>
      </c>
      <c r="T138">
        <f>HYPERLINK("https://klasma.github.io/Logging_2326/kartor/A 7488-2023 karta.png", "A 7488-2023")</f>
        <v/>
      </c>
      <c r="V138">
        <f>HYPERLINK("https://klasma.github.io/Logging_2326/klagomål/A 7488-2023 FSC-klagomål.docx", "A 7488-2023")</f>
        <v/>
      </c>
      <c r="W138">
        <f>HYPERLINK("https://klasma.github.io/Logging_2326/klagomålsmail/A 7488-2023 FSC-klagomål mail.docx", "A 7488-2023")</f>
        <v/>
      </c>
      <c r="X138">
        <f>HYPERLINK("https://klasma.github.io/Logging_2326/tillsyn/A 7488-2023 tillsynsbegäran.docx", "A 7488-2023")</f>
        <v/>
      </c>
      <c r="Y138">
        <f>HYPERLINK("https://klasma.github.io/Logging_2326/tillsynsmail/A 7488-2023 tillsynsbegäran mail.docx", "A 7488-2023")</f>
        <v/>
      </c>
    </row>
    <row r="139" ht="15" customHeight="1">
      <c r="A139" t="inlineStr">
        <is>
          <t>A 18570-2023</t>
        </is>
      </c>
      <c r="B139" s="1" t="n">
        <v>45041</v>
      </c>
      <c r="C139" s="1" t="n">
        <v>46045</v>
      </c>
      <c r="D139" t="inlineStr">
        <is>
          <t>JÄMTLANDS LÄN</t>
        </is>
      </c>
      <c r="E139" t="inlineStr">
        <is>
          <t>KROKOM</t>
        </is>
      </c>
      <c r="G139" t="n">
        <v>21.8</v>
      </c>
      <c r="H139" t="n">
        <v>3</v>
      </c>
      <c r="I139" t="n">
        <v>6</v>
      </c>
      <c r="J139" t="n">
        <v>9</v>
      </c>
      <c r="K139" t="n">
        <v>1</v>
      </c>
      <c r="L139" t="n">
        <v>0</v>
      </c>
      <c r="M139" t="n">
        <v>0</v>
      </c>
      <c r="N139" t="n">
        <v>0</v>
      </c>
      <c r="O139" t="n">
        <v>10</v>
      </c>
      <c r="P139" t="n">
        <v>1</v>
      </c>
      <c r="Q139" t="n">
        <v>16</v>
      </c>
      <c r="R139" s="2" t="inlineStr">
        <is>
          <t>Doftticka
Brunpudrad nållav
Garnlav
Granticka
Harticka
Rödbrun blekspik
Skrovellav
Spillkråka
Tretåig hackspett
Ullticka
Granriska
Gulnål
Gytterlav
Stuplav
Trådticka
Vedticka</t>
        </is>
      </c>
      <c r="S139">
        <f>HYPERLINK("https://klasma.github.io/Logging_2309/artfynd/A 18570-2023 artfynd.xlsx", "A 18570-2023")</f>
        <v/>
      </c>
      <c r="T139">
        <f>HYPERLINK("https://klasma.github.io/Logging_2309/kartor/A 18570-2023 karta.png", "A 18570-2023")</f>
        <v/>
      </c>
      <c r="V139">
        <f>HYPERLINK("https://klasma.github.io/Logging_2309/klagomål/A 18570-2023 FSC-klagomål.docx", "A 18570-2023")</f>
        <v/>
      </c>
      <c r="W139">
        <f>HYPERLINK("https://klasma.github.io/Logging_2309/klagomålsmail/A 18570-2023 FSC-klagomål mail.docx", "A 18570-2023")</f>
        <v/>
      </c>
      <c r="X139">
        <f>HYPERLINK("https://klasma.github.io/Logging_2309/tillsyn/A 18570-2023 tillsynsbegäran.docx", "A 18570-2023")</f>
        <v/>
      </c>
      <c r="Y139">
        <f>HYPERLINK("https://klasma.github.io/Logging_2309/tillsynsmail/A 18570-2023 tillsynsbegäran mail.docx", "A 18570-2023")</f>
        <v/>
      </c>
      <c r="Z139">
        <f>HYPERLINK("https://klasma.github.io/Logging_2309/fåglar/A 18570-2023 prioriterade fågelarter.docx", "A 18570-2023")</f>
        <v/>
      </c>
    </row>
    <row r="140" ht="15" customHeight="1">
      <c r="A140" t="inlineStr">
        <is>
          <t>A 22929-2025</t>
        </is>
      </c>
      <c r="B140" s="1" t="n">
        <v>45790.4484375</v>
      </c>
      <c r="C140" s="1" t="n">
        <v>46045</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26003-2025</t>
        </is>
      </c>
      <c r="B141" s="1" t="n">
        <v>45804.6678587963</v>
      </c>
      <c r="C141" s="1" t="n">
        <v>46045</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29467-2025</t>
        </is>
      </c>
      <c r="B142" s="1" t="n">
        <v>45824.69877314815</v>
      </c>
      <c r="C142" s="1" t="n">
        <v>46045</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41415-2024</t>
        </is>
      </c>
      <c r="B143" s="1" t="n">
        <v>45560.34532407407</v>
      </c>
      <c r="C143" s="1" t="n">
        <v>46045</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56633-2024</t>
        </is>
      </c>
      <c r="B144" s="1" t="n">
        <v>45625</v>
      </c>
      <c r="C144" s="1" t="n">
        <v>46045</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29068-2023</t>
        </is>
      </c>
      <c r="B145" s="1" t="n">
        <v>45104</v>
      </c>
      <c r="C145" s="1" t="n">
        <v>46045</v>
      </c>
      <c r="D145" t="inlineStr">
        <is>
          <t>JÄMTLANDS LÄN</t>
        </is>
      </c>
      <c r="E145" t="inlineStr">
        <is>
          <t>RAGUNDA</t>
        </is>
      </c>
      <c r="F145" t="inlineStr">
        <is>
          <t>SCA</t>
        </is>
      </c>
      <c r="G145" t="n">
        <v>10.8</v>
      </c>
      <c r="H145" t="n">
        <v>0</v>
      </c>
      <c r="I145" t="n">
        <v>2</v>
      </c>
      <c r="J145" t="n">
        <v>10</v>
      </c>
      <c r="K145" t="n">
        <v>4</v>
      </c>
      <c r="L145" t="n">
        <v>0</v>
      </c>
      <c r="M145" t="n">
        <v>0</v>
      </c>
      <c r="N145" t="n">
        <v>0</v>
      </c>
      <c r="O145" t="n">
        <v>14</v>
      </c>
      <c r="P145" t="n">
        <v>4</v>
      </c>
      <c r="Q145" t="n">
        <v>16</v>
      </c>
      <c r="R145" s="2" t="inlineStr">
        <is>
          <t>Fläckporing
Goliatmusseron
Gräddporing
Smalfotad taggsvamp
Blanksvart spiklav
Blå taggsvamp
Dvärgbägarlav
Garnlav
Motaggsvamp
Orange taggsvamp
Skrovlig taggsvamp
Svartvit taggsvamp
Tallriska
Vedflamlav
Dropptaggsvamp
Skarp dropptaggsvamp</t>
        </is>
      </c>
      <c r="S145">
        <f>HYPERLINK("https://klasma.github.io/Logging_2303/artfynd/A 29068-2023 artfynd.xlsx", "A 29068-2023")</f>
        <v/>
      </c>
      <c r="T145">
        <f>HYPERLINK("https://klasma.github.io/Logging_2303/kartor/A 29068-2023 karta.png", "A 29068-2023")</f>
        <v/>
      </c>
      <c r="V145">
        <f>HYPERLINK("https://klasma.github.io/Logging_2303/klagomål/A 29068-2023 FSC-klagomål.docx", "A 29068-2023")</f>
        <v/>
      </c>
      <c r="W145">
        <f>HYPERLINK("https://klasma.github.io/Logging_2303/klagomålsmail/A 29068-2023 FSC-klagomål mail.docx", "A 29068-2023")</f>
        <v/>
      </c>
      <c r="X145">
        <f>HYPERLINK("https://klasma.github.io/Logging_2303/tillsyn/A 29068-2023 tillsynsbegäran.docx", "A 29068-2023")</f>
        <v/>
      </c>
      <c r="Y145">
        <f>HYPERLINK("https://klasma.github.io/Logging_2303/tillsynsmail/A 29068-2023 tillsynsbegäran mail.docx", "A 29068-2023")</f>
        <v/>
      </c>
    </row>
    <row r="146" ht="15" customHeight="1">
      <c r="A146" t="inlineStr">
        <is>
          <t>A 28153-2025</t>
        </is>
      </c>
      <c r="B146" s="1" t="n">
        <v>45818.35738425926</v>
      </c>
      <c r="C146" s="1" t="n">
        <v>46045</v>
      </c>
      <c r="D146" t="inlineStr">
        <is>
          <t>JÄMTLANDS LÄN</t>
        </is>
      </c>
      <c r="E146" t="inlineStr">
        <is>
          <t>BRÄCKE</t>
        </is>
      </c>
      <c r="F146" t="inlineStr">
        <is>
          <t>Övriga Aktiebolag</t>
        </is>
      </c>
      <c r="G146" t="n">
        <v>16.2</v>
      </c>
      <c r="H146" t="n">
        <v>6</v>
      </c>
      <c r="I146" t="n">
        <v>4</v>
      </c>
      <c r="J146" t="n">
        <v>8</v>
      </c>
      <c r="K146" t="n">
        <v>2</v>
      </c>
      <c r="L146" t="n">
        <v>0</v>
      </c>
      <c r="M146" t="n">
        <v>0</v>
      </c>
      <c r="N146" t="n">
        <v>0</v>
      </c>
      <c r="O146" t="n">
        <v>10</v>
      </c>
      <c r="P146" t="n">
        <v>2</v>
      </c>
      <c r="Q146" t="n">
        <v>16</v>
      </c>
      <c r="R146" s="2" t="inlineStr">
        <is>
          <t>Doftticka
Knärot
Järpe
Kolflarnlav
Lunglav
Rosa skärelav
Skrovellav
Tretåig hackspett
Ullticka
Vedflamlav
Barkkornlav
Bårdlav
Nästlav
Rostfläck
Lavskrika
Sparvuggla</t>
        </is>
      </c>
      <c r="S146">
        <f>HYPERLINK("https://klasma.github.io/Logging_2305/artfynd/A 28153-2025 artfynd.xlsx", "A 28153-2025")</f>
        <v/>
      </c>
      <c r="T146">
        <f>HYPERLINK("https://klasma.github.io/Logging_2305/kartor/A 28153-2025 karta.png", "A 28153-2025")</f>
        <v/>
      </c>
      <c r="U146">
        <f>HYPERLINK("https://klasma.github.io/Logging_2305/knärot/A 28153-2025 karta knärot.png", "A 28153-2025")</f>
        <v/>
      </c>
      <c r="V146">
        <f>HYPERLINK("https://klasma.github.io/Logging_2305/klagomål/A 28153-2025 FSC-klagomål.docx", "A 28153-2025")</f>
        <v/>
      </c>
      <c r="W146">
        <f>HYPERLINK("https://klasma.github.io/Logging_2305/klagomålsmail/A 28153-2025 FSC-klagomål mail.docx", "A 28153-2025")</f>
        <v/>
      </c>
      <c r="X146">
        <f>HYPERLINK("https://klasma.github.io/Logging_2305/tillsyn/A 28153-2025 tillsynsbegäran.docx", "A 28153-2025")</f>
        <v/>
      </c>
      <c r="Y146">
        <f>HYPERLINK("https://klasma.github.io/Logging_2305/tillsynsmail/A 28153-2025 tillsynsbegäran mail.docx", "A 28153-2025")</f>
        <v/>
      </c>
      <c r="Z146">
        <f>HYPERLINK("https://klasma.github.io/Logging_2305/fåglar/A 28153-2025 prioriterade fågelarter.docx", "A 28153-2025")</f>
        <v/>
      </c>
    </row>
    <row r="147" ht="15" customHeight="1">
      <c r="A147" t="inlineStr">
        <is>
          <t>A 31470-2024</t>
        </is>
      </c>
      <c r="B147" s="1" t="n">
        <v>45505</v>
      </c>
      <c r="C147" s="1" t="n">
        <v>46045</v>
      </c>
      <c r="D147" t="inlineStr">
        <is>
          <t>JÄMTLANDS LÄN</t>
        </is>
      </c>
      <c r="E147" t="inlineStr">
        <is>
          <t>BRÄCKE</t>
        </is>
      </c>
      <c r="F147" t="inlineStr">
        <is>
          <t>SCA</t>
        </is>
      </c>
      <c r="G147" t="n">
        <v>12.1</v>
      </c>
      <c r="H147" t="n">
        <v>4</v>
      </c>
      <c r="I147" t="n">
        <v>4</v>
      </c>
      <c r="J147" t="n">
        <v>8</v>
      </c>
      <c r="K147" t="n">
        <v>3</v>
      </c>
      <c r="L147" t="n">
        <v>0</v>
      </c>
      <c r="M147" t="n">
        <v>0</v>
      </c>
      <c r="N147" t="n">
        <v>0</v>
      </c>
      <c r="O147" t="n">
        <v>11</v>
      </c>
      <c r="P147" t="n">
        <v>3</v>
      </c>
      <c r="Q147" t="n">
        <v>16</v>
      </c>
      <c r="R147" s="2" t="inlineStr">
        <is>
          <t>Knärot
Sprickporing
Spricktaggsvamp
Dofttaggsvamp
Garnlav
Grantaggsvamp
Granticka
Spillkråka
Tretåig hackspett
Ullticka
Äggvaxskivling
Dropptaggsvamp
Skarp dropptaggsvamp
Stuplav
Svart trolldruva
Kungsfågel</t>
        </is>
      </c>
      <c r="S147">
        <f>HYPERLINK("https://klasma.github.io/Logging_2305/artfynd/A 31470-2024 artfynd.xlsx", "A 31470-2024")</f>
        <v/>
      </c>
      <c r="T147">
        <f>HYPERLINK("https://klasma.github.io/Logging_2305/kartor/A 31470-2024 karta.png", "A 31470-2024")</f>
        <v/>
      </c>
      <c r="U147">
        <f>HYPERLINK("https://klasma.github.io/Logging_2305/knärot/A 31470-2024 karta knärot.png", "A 31470-2024")</f>
        <v/>
      </c>
      <c r="V147">
        <f>HYPERLINK("https://klasma.github.io/Logging_2305/klagomål/A 31470-2024 FSC-klagomål.docx", "A 31470-2024")</f>
        <v/>
      </c>
      <c r="W147">
        <f>HYPERLINK("https://klasma.github.io/Logging_2305/klagomålsmail/A 31470-2024 FSC-klagomål mail.docx", "A 31470-2024")</f>
        <v/>
      </c>
      <c r="X147">
        <f>HYPERLINK("https://klasma.github.io/Logging_2305/tillsyn/A 31470-2024 tillsynsbegäran.docx", "A 31470-2024")</f>
        <v/>
      </c>
      <c r="Y147">
        <f>HYPERLINK("https://klasma.github.io/Logging_2305/tillsynsmail/A 31470-2024 tillsynsbegäran mail.docx", "A 31470-2024")</f>
        <v/>
      </c>
      <c r="Z147">
        <f>HYPERLINK("https://klasma.github.io/Logging_2305/fåglar/A 31470-2024 prioriterade fågelarter.docx", "A 31470-2024")</f>
        <v/>
      </c>
    </row>
    <row r="148" ht="15" customHeight="1">
      <c r="A148" t="inlineStr">
        <is>
          <t>A 61201-2025</t>
        </is>
      </c>
      <c r="B148" s="1" t="n">
        <v>46000.61008101852</v>
      </c>
      <c r="C148" s="1" t="n">
        <v>46045</v>
      </c>
      <c r="D148" t="inlineStr">
        <is>
          <t>JÄMTLANDS LÄN</t>
        </is>
      </c>
      <c r="E148" t="inlineStr">
        <is>
          <t>KROKOM</t>
        </is>
      </c>
      <c r="F148" t="inlineStr">
        <is>
          <t>Övriga Aktiebolag</t>
        </is>
      </c>
      <c r="G148" t="n">
        <v>3.2</v>
      </c>
      <c r="H148" t="n">
        <v>2</v>
      </c>
      <c r="I148" t="n">
        <v>5</v>
      </c>
      <c r="J148" t="n">
        <v>9</v>
      </c>
      <c r="K148" t="n">
        <v>1</v>
      </c>
      <c r="L148" t="n">
        <v>0</v>
      </c>
      <c r="M148" t="n">
        <v>0</v>
      </c>
      <c r="N148" t="n">
        <v>0</v>
      </c>
      <c r="O148" t="n">
        <v>10</v>
      </c>
      <c r="P148" t="n">
        <v>1</v>
      </c>
      <c r="Q148" t="n">
        <v>16</v>
      </c>
      <c r="R148" s="2" t="inlineStr">
        <is>
          <t>Knärot
Garnlav
Harticka
Liten svartspik
Lunglav
Mjölig dropplav
Skrovellav
Ullticka
Vitgrynig nållav
Vitskaftad svartspik
Norrlandslav
Rostfläck
Stuplav
Trådfräken
Vedticka
Revlummer</t>
        </is>
      </c>
      <c r="S148">
        <f>HYPERLINK("https://klasma.github.io/Logging_2309/artfynd/A 61201-2025 artfynd.xlsx", "A 61201-2025")</f>
        <v/>
      </c>
      <c r="T148">
        <f>HYPERLINK("https://klasma.github.io/Logging_2309/kartor/A 61201-2025 karta.png", "A 61201-2025")</f>
        <v/>
      </c>
      <c r="U148">
        <f>HYPERLINK("https://klasma.github.io/Logging_2309/knärot/A 61201-2025 karta knärot.png", "A 61201-2025")</f>
        <v/>
      </c>
      <c r="V148">
        <f>HYPERLINK("https://klasma.github.io/Logging_2309/klagomål/A 61201-2025 FSC-klagomål.docx", "A 61201-2025")</f>
        <v/>
      </c>
      <c r="W148">
        <f>HYPERLINK("https://klasma.github.io/Logging_2309/klagomålsmail/A 61201-2025 FSC-klagomål mail.docx", "A 61201-2025")</f>
        <v/>
      </c>
      <c r="X148">
        <f>HYPERLINK("https://klasma.github.io/Logging_2309/tillsyn/A 61201-2025 tillsynsbegäran.docx", "A 61201-2025")</f>
        <v/>
      </c>
      <c r="Y148">
        <f>HYPERLINK("https://klasma.github.io/Logging_2309/tillsynsmail/A 61201-2025 tillsynsbegäran mail.docx", "A 61201-2025")</f>
        <v/>
      </c>
    </row>
    <row r="149" ht="15" customHeight="1">
      <c r="A149" t="inlineStr">
        <is>
          <t>A 34775-2023</t>
        </is>
      </c>
      <c r="B149" s="1" t="n">
        <v>45140</v>
      </c>
      <c r="C149" s="1" t="n">
        <v>46045</v>
      </c>
      <c r="D149" t="inlineStr">
        <is>
          <t>JÄMTLANDS LÄN</t>
        </is>
      </c>
      <c r="E149" t="inlineStr">
        <is>
          <t>STRÖMSUND</t>
        </is>
      </c>
      <c r="G149" t="n">
        <v>9.199999999999999</v>
      </c>
      <c r="H149" t="n">
        <v>9</v>
      </c>
      <c r="I149" t="n">
        <v>4</v>
      </c>
      <c r="J149" t="n">
        <v>8</v>
      </c>
      <c r="K149" t="n">
        <v>2</v>
      </c>
      <c r="L149" t="n">
        <v>0</v>
      </c>
      <c r="M149" t="n">
        <v>0</v>
      </c>
      <c r="N149" t="n">
        <v>0</v>
      </c>
      <c r="O149" t="n">
        <v>10</v>
      </c>
      <c r="P149" t="n">
        <v>2</v>
      </c>
      <c r="Q149" t="n">
        <v>16</v>
      </c>
      <c r="R149" s="2" t="inlineStr">
        <is>
          <t>Knärot
Kopparspindling
Granticka
Järpe
Lunglav
Puderspindling
Skogsfru
Spillkråka
Tretåig hackspett
Äggvaxskivling
Bårdlav
Korallrot
Spindelblomster
Stor aspticka
Lavskrika
Fläcknycklar</t>
        </is>
      </c>
      <c r="S149">
        <f>HYPERLINK("https://klasma.github.io/Logging_2313/artfynd/A 34775-2023 artfynd.xlsx", "A 34775-2023")</f>
        <v/>
      </c>
      <c r="T149">
        <f>HYPERLINK("https://klasma.github.io/Logging_2313/kartor/A 34775-2023 karta.png", "A 34775-2023")</f>
        <v/>
      </c>
      <c r="U149">
        <f>HYPERLINK("https://klasma.github.io/Logging_2313/knärot/A 34775-2023 karta knärot.png", "A 34775-2023")</f>
        <v/>
      </c>
      <c r="V149">
        <f>HYPERLINK("https://klasma.github.io/Logging_2313/klagomål/A 34775-2023 FSC-klagomål.docx", "A 34775-2023")</f>
        <v/>
      </c>
      <c r="W149">
        <f>HYPERLINK("https://klasma.github.io/Logging_2313/klagomålsmail/A 34775-2023 FSC-klagomål mail.docx", "A 34775-2023")</f>
        <v/>
      </c>
      <c r="X149">
        <f>HYPERLINK("https://klasma.github.io/Logging_2313/tillsyn/A 34775-2023 tillsynsbegäran.docx", "A 34775-2023")</f>
        <v/>
      </c>
      <c r="Y149">
        <f>HYPERLINK("https://klasma.github.io/Logging_2313/tillsynsmail/A 34775-2023 tillsynsbegäran mail.docx", "A 34775-2023")</f>
        <v/>
      </c>
      <c r="Z149">
        <f>HYPERLINK("https://klasma.github.io/Logging_2313/fåglar/A 34775-2023 prioriterade fågelarter.docx", "A 34775-2023")</f>
        <v/>
      </c>
    </row>
    <row r="150" ht="15" customHeight="1">
      <c r="A150" t="inlineStr">
        <is>
          <t>A 30683-2023</t>
        </is>
      </c>
      <c r="B150" s="1" t="n">
        <v>45112</v>
      </c>
      <c r="C150" s="1" t="n">
        <v>46045</v>
      </c>
      <c r="D150" t="inlineStr">
        <is>
          <t>JÄMTLANDS LÄN</t>
        </is>
      </c>
      <c r="E150" t="inlineStr">
        <is>
          <t>ÖSTERSUND</t>
        </is>
      </c>
      <c r="G150" t="n">
        <v>3.2</v>
      </c>
      <c r="H150" t="n">
        <v>3</v>
      </c>
      <c r="I150" t="n">
        <v>2</v>
      </c>
      <c r="J150" t="n">
        <v>8</v>
      </c>
      <c r="K150" t="n">
        <v>4</v>
      </c>
      <c r="L150" t="n">
        <v>0</v>
      </c>
      <c r="M150" t="n">
        <v>0</v>
      </c>
      <c r="N150" t="n">
        <v>0</v>
      </c>
      <c r="O150" t="n">
        <v>12</v>
      </c>
      <c r="P150" t="n">
        <v>4</v>
      </c>
      <c r="Q150" t="n">
        <v>15</v>
      </c>
      <c r="R150" s="2" t="inlineStr">
        <is>
          <t>Bitter taggsvamp
Doftticka
Läderdoftande fingersvamp
Taggfingersvamp
Druvfingersvamp
Grantaggsvamp
Grynig filtlav
Gultoppig fingersvamp
Lunglav
Orange taggsvamp
Skogsfru
Slåtterfibbla
Kryddspindling
Vårärt
Skogsrör</t>
        </is>
      </c>
      <c r="S150">
        <f>HYPERLINK("https://klasma.github.io/Logging_2380/artfynd/A 30683-2023 artfynd.xlsx", "A 30683-2023")</f>
        <v/>
      </c>
      <c r="T150">
        <f>HYPERLINK("https://klasma.github.io/Logging_2380/kartor/A 30683-2023 karta.png", "A 30683-2023")</f>
        <v/>
      </c>
      <c r="V150">
        <f>HYPERLINK("https://klasma.github.io/Logging_2380/klagomål/A 30683-2023 FSC-klagomål.docx", "A 30683-2023")</f>
        <v/>
      </c>
      <c r="W150">
        <f>HYPERLINK("https://klasma.github.io/Logging_2380/klagomålsmail/A 30683-2023 FSC-klagomål mail.docx", "A 30683-2023")</f>
        <v/>
      </c>
      <c r="X150">
        <f>HYPERLINK("https://klasma.github.io/Logging_2380/tillsyn/A 30683-2023 tillsynsbegäran.docx", "A 30683-2023")</f>
        <v/>
      </c>
      <c r="Y150">
        <f>HYPERLINK("https://klasma.github.io/Logging_2380/tillsynsmail/A 30683-2023 tillsynsbegäran mail.docx", "A 30683-2023")</f>
        <v/>
      </c>
    </row>
    <row r="151" ht="15" customHeight="1">
      <c r="A151" t="inlineStr">
        <is>
          <t>A 28599-2021</t>
        </is>
      </c>
      <c r="B151" s="1" t="n">
        <v>44356</v>
      </c>
      <c r="C151" s="1" t="n">
        <v>46045</v>
      </c>
      <c r="D151" t="inlineStr">
        <is>
          <t>JÄMTLANDS LÄN</t>
        </is>
      </c>
      <c r="E151" t="inlineStr">
        <is>
          <t>BRÄCKE</t>
        </is>
      </c>
      <c r="F151" t="inlineStr">
        <is>
          <t>SCA</t>
        </is>
      </c>
      <c r="G151" t="n">
        <v>14.6</v>
      </c>
      <c r="H151" t="n">
        <v>8</v>
      </c>
      <c r="I151" t="n">
        <v>5</v>
      </c>
      <c r="J151" t="n">
        <v>7</v>
      </c>
      <c r="K151" t="n">
        <v>2</v>
      </c>
      <c r="L151" t="n">
        <v>0</v>
      </c>
      <c r="M151" t="n">
        <v>0</v>
      </c>
      <c r="N151" t="n">
        <v>0</v>
      </c>
      <c r="O151" t="n">
        <v>9</v>
      </c>
      <c r="P151" t="n">
        <v>2</v>
      </c>
      <c r="Q151" t="n">
        <v>15</v>
      </c>
      <c r="R151" s="2" t="inlineStr">
        <is>
          <t>Doftticka
Knärot
Garnlav
Lunglav
Rödvingetrast
Talltita
Tretåig hackspett
Äggvaxskivling
Ärtsångare
Fjällig taggsvamp s.str.
Skarp dropptaggsvamp
Spindelblomster
Stuplav
Trådticka
Trädlärka</t>
        </is>
      </c>
      <c r="S151">
        <f>HYPERLINK("https://klasma.github.io/Logging_2305/artfynd/A 28599-2021 artfynd.xlsx", "A 28599-2021")</f>
        <v/>
      </c>
      <c r="T151">
        <f>HYPERLINK("https://klasma.github.io/Logging_2305/kartor/A 28599-2021 karta.png", "A 28599-2021")</f>
        <v/>
      </c>
      <c r="U151">
        <f>HYPERLINK("https://klasma.github.io/Logging_2305/knärot/A 28599-2021 karta knärot.png", "A 28599-2021")</f>
        <v/>
      </c>
      <c r="V151">
        <f>HYPERLINK("https://klasma.github.io/Logging_2305/klagomål/A 28599-2021 FSC-klagomål.docx", "A 28599-2021")</f>
        <v/>
      </c>
      <c r="W151">
        <f>HYPERLINK("https://klasma.github.io/Logging_2305/klagomålsmail/A 28599-2021 FSC-klagomål mail.docx", "A 28599-2021")</f>
        <v/>
      </c>
      <c r="X151">
        <f>HYPERLINK("https://klasma.github.io/Logging_2305/tillsyn/A 28599-2021 tillsynsbegäran.docx", "A 28599-2021")</f>
        <v/>
      </c>
      <c r="Y151">
        <f>HYPERLINK("https://klasma.github.io/Logging_2305/tillsynsmail/A 28599-2021 tillsynsbegäran mail.docx", "A 28599-2021")</f>
        <v/>
      </c>
      <c r="Z151">
        <f>HYPERLINK("https://klasma.github.io/Logging_2305/fåglar/A 28599-2021 prioriterade fågelarter.docx", "A 28599-2021")</f>
        <v/>
      </c>
    </row>
    <row r="152" ht="15" customHeight="1">
      <c r="A152" t="inlineStr">
        <is>
          <t>A 35741-2022</t>
        </is>
      </c>
      <c r="B152" s="1" t="n">
        <v>44799</v>
      </c>
      <c r="C152" s="1" t="n">
        <v>46045</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30779-2024</t>
        </is>
      </c>
      <c r="B153" s="1" t="n">
        <v>45496.95019675926</v>
      </c>
      <c r="C153" s="1" t="n">
        <v>46045</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31196-2023</t>
        </is>
      </c>
      <c r="B154" s="1" t="n">
        <v>45113</v>
      </c>
      <c r="C154" s="1" t="n">
        <v>46045</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29103-2024</t>
        </is>
      </c>
      <c r="B155" s="1" t="n">
        <v>45481.95140046296</v>
      </c>
      <c r="C155" s="1" t="n">
        <v>46045</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12040-2025</t>
        </is>
      </c>
      <c r="B156" s="1" t="n">
        <v>45728.65684027778</v>
      </c>
      <c r="C156" s="1" t="n">
        <v>46045</v>
      </c>
      <c r="D156" t="inlineStr">
        <is>
          <t>JÄMTLANDS LÄN</t>
        </is>
      </c>
      <c r="E156" t="inlineStr">
        <is>
          <t>RAGUNDA</t>
        </is>
      </c>
      <c r="F156" t="inlineStr">
        <is>
          <t>SCA</t>
        </is>
      </c>
      <c r="G156" t="n">
        <v>28.5</v>
      </c>
      <c r="H156" t="n">
        <v>1</v>
      </c>
      <c r="I156" t="n">
        <v>3</v>
      </c>
      <c r="J156" t="n">
        <v>12</v>
      </c>
      <c r="K156" t="n">
        <v>0</v>
      </c>
      <c r="L156" t="n">
        <v>0</v>
      </c>
      <c r="M156" t="n">
        <v>0</v>
      </c>
      <c r="N156" t="n">
        <v>0</v>
      </c>
      <c r="O156" t="n">
        <v>12</v>
      </c>
      <c r="P156" t="n">
        <v>0</v>
      </c>
      <c r="Q156" t="n">
        <v>15</v>
      </c>
      <c r="R156" s="2" t="inlineStr">
        <is>
          <t>Blå taggsvamp
Garnlav
Grantaggsvamp
Kolflarnlav
Lunglav
Skrovlig taggsvamp
Tallriska
Talltita
Ullticka
Vedskivlav
Vitgrynig nållav
Äggvaxskivling
Dropptaggsvamp
Skarp dropptaggsvamp
Tallfingersvamp</t>
        </is>
      </c>
      <c r="S156">
        <f>HYPERLINK("https://klasma.github.io/Logging_2303/artfynd/A 12040-2025 artfynd.xlsx", "A 12040-2025")</f>
        <v/>
      </c>
      <c r="T156">
        <f>HYPERLINK("https://klasma.github.io/Logging_2303/kartor/A 12040-2025 karta.png", "A 12040-2025")</f>
        <v/>
      </c>
      <c r="V156">
        <f>HYPERLINK("https://klasma.github.io/Logging_2303/klagomål/A 12040-2025 FSC-klagomål.docx", "A 12040-2025")</f>
        <v/>
      </c>
      <c r="W156">
        <f>HYPERLINK("https://klasma.github.io/Logging_2303/klagomålsmail/A 12040-2025 FSC-klagomål mail.docx", "A 12040-2025")</f>
        <v/>
      </c>
      <c r="X156">
        <f>HYPERLINK("https://klasma.github.io/Logging_2303/tillsyn/A 12040-2025 tillsynsbegäran.docx", "A 12040-2025")</f>
        <v/>
      </c>
      <c r="Y156">
        <f>HYPERLINK("https://klasma.github.io/Logging_2303/tillsynsmail/A 12040-2025 tillsynsbegäran mail.docx", "A 12040-2025")</f>
        <v/>
      </c>
      <c r="Z156">
        <f>HYPERLINK("https://klasma.github.io/Logging_2303/fåglar/A 12040-2025 prioriterade fågelarter.docx", "A 12040-2025")</f>
        <v/>
      </c>
    </row>
    <row r="157" ht="15" customHeight="1">
      <c r="A157" t="inlineStr">
        <is>
          <t>A 37835-2024</t>
        </is>
      </c>
      <c r="B157" s="1" t="n">
        <v>45544.35653935185</v>
      </c>
      <c r="C157" s="1" t="n">
        <v>46045</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58174-2022</t>
        </is>
      </c>
      <c r="B158" s="1" t="n">
        <v>44900</v>
      </c>
      <c r="C158" s="1" t="n">
        <v>46045</v>
      </c>
      <c r="D158" t="inlineStr">
        <is>
          <t>JÄMTLANDS LÄN</t>
        </is>
      </c>
      <c r="E158" t="inlineStr">
        <is>
          <t>STRÖMSUND</t>
        </is>
      </c>
      <c r="G158" t="n">
        <v>0.3</v>
      </c>
      <c r="H158" t="n">
        <v>14</v>
      </c>
      <c r="I158" t="n">
        <v>0</v>
      </c>
      <c r="J158" t="n">
        <v>12</v>
      </c>
      <c r="K158" t="n">
        <v>0</v>
      </c>
      <c r="L158" t="n">
        <v>0</v>
      </c>
      <c r="M158" t="n">
        <v>0</v>
      </c>
      <c r="N158" t="n">
        <v>0</v>
      </c>
      <c r="O158" t="n">
        <v>12</v>
      </c>
      <c r="P158" t="n">
        <v>0</v>
      </c>
      <c r="Q158" t="n">
        <v>15</v>
      </c>
      <c r="R158" s="2" t="inlineStr">
        <is>
          <t>Björktrast
Drillsnäppa
Fiskmås
Järpe
Kråka
Rödvingetrast
Skogshare
Spillkråka
Svartvit flugsnappare
Talltita
Tretåig hackspett
Ärtsångare
Fiskgjuse
Gråkråka
Lavskrika</t>
        </is>
      </c>
      <c r="S158">
        <f>HYPERLINK("https://klasma.github.io/Logging_2313/artfynd/A 58174-2022 artfynd.xlsx", "A 58174-2022")</f>
        <v/>
      </c>
      <c r="T158">
        <f>HYPERLINK("https://klasma.github.io/Logging_2313/kartor/A 58174-2022 karta.png", "A 58174-2022")</f>
        <v/>
      </c>
      <c r="V158">
        <f>HYPERLINK("https://klasma.github.io/Logging_2313/klagomål/A 58174-2022 FSC-klagomål.docx", "A 58174-2022")</f>
        <v/>
      </c>
      <c r="W158">
        <f>HYPERLINK("https://klasma.github.io/Logging_2313/klagomålsmail/A 58174-2022 FSC-klagomål mail.docx", "A 58174-2022")</f>
        <v/>
      </c>
      <c r="X158">
        <f>HYPERLINK("https://klasma.github.io/Logging_2313/tillsyn/A 58174-2022 tillsynsbegäran.docx", "A 58174-2022")</f>
        <v/>
      </c>
      <c r="Y158">
        <f>HYPERLINK("https://klasma.github.io/Logging_2313/tillsynsmail/A 58174-2022 tillsynsbegäran mail.docx", "A 58174-2022")</f>
        <v/>
      </c>
      <c r="Z158">
        <f>HYPERLINK("https://klasma.github.io/Logging_2313/fåglar/A 58174-2022 prioriterade fågelarter.docx", "A 58174-2022")</f>
        <v/>
      </c>
    </row>
    <row r="159" ht="15" customHeight="1">
      <c r="A159" t="inlineStr">
        <is>
          <t>A 32865-2024</t>
        </is>
      </c>
      <c r="B159" s="1" t="n">
        <v>45516</v>
      </c>
      <c r="C159" s="1" t="n">
        <v>46045</v>
      </c>
      <c r="D159" t="inlineStr">
        <is>
          <t>JÄMTLANDS LÄN</t>
        </is>
      </c>
      <c r="E159" t="inlineStr">
        <is>
          <t>ÅRE</t>
        </is>
      </c>
      <c r="G159" t="n">
        <v>29.5</v>
      </c>
      <c r="H159" t="n">
        <v>1</v>
      </c>
      <c r="I159" t="n">
        <v>5</v>
      </c>
      <c r="J159" t="n">
        <v>8</v>
      </c>
      <c r="K159" t="n">
        <v>2</v>
      </c>
      <c r="L159" t="n">
        <v>0</v>
      </c>
      <c r="M159" t="n">
        <v>0</v>
      </c>
      <c r="N159" t="n">
        <v>0</v>
      </c>
      <c r="O159" t="n">
        <v>10</v>
      </c>
      <c r="P159" t="n">
        <v>2</v>
      </c>
      <c r="Q159" t="n">
        <v>15</v>
      </c>
      <c r="R159" s="2" t="inlineStr">
        <is>
          <t>Kejsarskivling
Norsk näverlav
Doftskinn
Garnlav
Granticka
Liten svartspik
Lunglav
Skrovellav
Tretåig hackspett
Vitgrynig nållav
Diskvaxskivling
Mörk husmossa
Strimspindling
Svavelriska
Trådticka</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394-2025</t>
        </is>
      </c>
      <c r="B160" s="1" t="n">
        <v>45663</v>
      </c>
      <c r="C160" s="1" t="n">
        <v>46045</v>
      </c>
      <c r="D160" t="inlineStr">
        <is>
          <t>JÄMTLANDS LÄN</t>
        </is>
      </c>
      <c r="E160" t="inlineStr">
        <is>
          <t>KROKOM</t>
        </is>
      </c>
      <c r="G160" t="n">
        <v>15.1</v>
      </c>
      <c r="H160" t="n">
        <v>4</v>
      </c>
      <c r="I160" t="n">
        <v>0</v>
      </c>
      <c r="J160" t="n">
        <v>11</v>
      </c>
      <c r="K160" t="n">
        <v>2</v>
      </c>
      <c r="L160" t="n">
        <v>0</v>
      </c>
      <c r="M160" t="n">
        <v>0</v>
      </c>
      <c r="N160" t="n">
        <v>0</v>
      </c>
      <c r="O160" t="n">
        <v>13</v>
      </c>
      <c r="P160" t="n">
        <v>2</v>
      </c>
      <c r="Q160" t="n">
        <v>15</v>
      </c>
      <c r="R160" s="2" t="inlineStr">
        <is>
          <t>Gräddticka
Sprickporing
Doftskinn
Gammelgransskål
Garnlav
Granticka
Lunglav
Mörk kolflarnlav
Talltita
Tretåig hackspett
Ullticka
Vitgrynig nållav
Vitskaftad svartspik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22902-2025</t>
        </is>
      </c>
      <c r="B161" s="1" t="n">
        <v>45790</v>
      </c>
      <c r="C161" s="1" t="n">
        <v>46045</v>
      </c>
      <c r="D161" t="inlineStr">
        <is>
          <t>JÄMTLANDS LÄN</t>
        </is>
      </c>
      <c r="E161" t="inlineStr">
        <is>
          <t>KROKOM</t>
        </is>
      </c>
      <c r="G161" t="n">
        <v>91.09999999999999</v>
      </c>
      <c r="H161" t="n">
        <v>7</v>
      </c>
      <c r="I161" t="n">
        <v>3</v>
      </c>
      <c r="J161" t="n">
        <v>9</v>
      </c>
      <c r="K161" t="n">
        <v>1</v>
      </c>
      <c r="L161" t="n">
        <v>0</v>
      </c>
      <c r="M161" t="n">
        <v>0</v>
      </c>
      <c r="N161" t="n">
        <v>0</v>
      </c>
      <c r="O161" t="n">
        <v>10</v>
      </c>
      <c r="P161" t="n">
        <v>1</v>
      </c>
      <c r="Q161" t="n">
        <v>15</v>
      </c>
      <c r="R161" s="2" t="inlineStr">
        <is>
          <t>Ulltickeporing
Drillsnäppa
Garnlav
Granticka
Lunglav
Skrovellav
Svartvit flugsnappare
Talltita
Tretåig hackspett
Ullticka
Luddlav
Norrlandslav
Spindelblomster
Kungsfågel
Tjäder</t>
        </is>
      </c>
      <c r="S161">
        <f>HYPERLINK("https://klasma.github.io/Logging_2309/artfynd/A 22902-2025 artfynd.xlsx", "A 22902-2025")</f>
        <v/>
      </c>
      <c r="T161">
        <f>HYPERLINK("https://klasma.github.io/Logging_2309/kartor/A 22902-2025 karta.png", "A 22902-2025")</f>
        <v/>
      </c>
      <c r="V161">
        <f>HYPERLINK("https://klasma.github.io/Logging_2309/klagomål/A 22902-2025 FSC-klagomål.docx", "A 22902-2025")</f>
        <v/>
      </c>
      <c r="W161">
        <f>HYPERLINK("https://klasma.github.io/Logging_2309/klagomålsmail/A 22902-2025 FSC-klagomål mail.docx", "A 22902-2025")</f>
        <v/>
      </c>
      <c r="X161">
        <f>HYPERLINK("https://klasma.github.io/Logging_2309/tillsyn/A 22902-2025 tillsynsbegäran.docx", "A 22902-2025")</f>
        <v/>
      </c>
      <c r="Y161">
        <f>HYPERLINK("https://klasma.github.io/Logging_2309/tillsynsmail/A 22902-2025 tillsynsbegäran mail.docx", "A 22902-2025")</f>
        <v/>
      </c>
      <c r="Z161">
        <f>HYPERLINK("https://klasma.github.io/Logging_2309/fåglar/A 22902-2025 prioriterade fågelarter.docx", "A 22902-2025")</f>
        <v/>
      </c>
    </row>
    <row r="162" ht="15" customHeight="1">
      <c r="A162" t="inlineStr">
        <is>
          <t>A 12970-2024</t>
        </is>
      </c>
      <c r="B162" s="1" t="n">
        <v>45385</v>
      </c>
      <c r="C162" s="1" t="n">
        <v>46045</v>
      </c>
      <c r="D162" t="inlineStr">
        <is>
          <t>JÄMTLANDS LÄN</t>
        </is>
      </c>
      <c r="E162" t="inlineStr">
        <is>
          <t>BERG</t>
        </is>
      </c>
      <c r="G162" t="n">
        <v>6.8</v>
      </c>
      <c r="H162" t="n">
        <v>2</v>
      </c>
      <c r="I162" t="n">
        <v>2</v>
      </c>
      <c r="J162" t="n">
        <v>10</v>
      </c>
      <c r="K162" t="n">
        <v>3</v>
      </c>
      <c r="L162" t="n">
        <v>0</v>
      </c>
      <c r="M162" t="n">
        <v>0</v>
      </c>
      <c r="N162" t="n">
        <v>0</v>
      </c>
      <c r="O162" t="n">
        <v>13</v>
      </c>
      <c r="P162" t="n">
        <v>3</v>
      </c>
      <c r="Q162" t="n">
        <v>15</v>
      </c>
      <c r="R162" s="2" t="inlineStr">
        <is>
          <t>Knärot
Smalskaftslav
Sprickporing
Gammelgransskål
Garnlav
Granticka
Knottrig blåslav
Liten svartspik
Lunglav
Rosenticka
Skrovellav
Tretåig hackspett
Ullticka
Korallblylav
Trådticka</t>
        </is>
      </c>
      <c r="S162">
        <f>HYPERLINK("https://klasma.github.io/Logging_2326/artfynd/A 12970-2024 artfynd.xlsx", "A 12970-2024")</f>
        <v/>
      </c>
      <c r="T162">
        <f>HYPERLINK("https://klasma.github.io/Logging_2326/kartor/A 12970-2024 karta.png", "A 12970-2024")</f>
        <v/>
      </c>
      <c r="U162">
        <f>HYPERLINK("https://klasma.github.io/Logging_2326/knärot/A 12970-2024 karta knärot.png", "A 12970-2024")</f>
        <v/>
      </c>
      <c r="V162">
        <f>HYPERLINK("https://klasma.github.io/Logging_2326/klagomål/A 12970-2024 FSC-klagomål.docx", "A 12970-2024")</f>
        <v/>
      </c>
      <c r="W162">
        <f>HYPERLINK("https://klasma.github.io/Logging_2326/klagomålsmail/A 12970-2024 FSC-klagomål mail.docx", "A 12970-2024")</f>
        <v/>
      </c>
      <c r="X162">
        <f>HYPERLINK("https://klasma.github.io/Logging_2326/tillsyn/A 12970-2024 tillsynsbegäran.docx", "A 12970-2024")</f>
        <v/>
      </c>
      <c r="Y162">
        <f>HYPERLINK("https://klasma.github.io/Logging_2326/tillsynsmail/A 12970-2024 tillsynsbegäran mail.docx", "A 12970-2024")</f>
        <v/>
      </c>
      <c r="Z162">
        <f>HYPERLINK("https://klasma.github.io/Logging_2326/fåglar/A 12970-2024 prioriterade fågelarter.docx", "A 12970-2024")</f>
        <v/>
      </c>
    </row>
    <row r="163" ht="15" customHeight="1">
      <c r="A163" t="inlineStr">
        <is>
          <t>A 40322-2024</t>
        </is>
      </c>
      <c r="B163" s="1" t="n">
        <v>45554</v>
      </c>
      <c r="C163" s="1" t="n">
        <v>46045</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21351-2023</t>
        </is>
      </c>
      <c r="B164" s="1" t="n">
        <v>45062</v>
      </c>
      <c r="C164" s="1" t="n">
        <v>46045</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57804-2024</t>
        </is>
      </c>
      <c r="B165" s="1" t="n">
        <v>45631</v>
      </c>
      <c r="C165" s="1" t="n">
        <v>46045</v>
      </c>
      <c r="D165" t="inlineStr">
        <is>
          <t>JÄMTLANDS LÄN</t>
        </is>
      </c>
      <c r="E165" t="inlineStr">
        <is>
          <t>HÄRJEDALEN</t>
        </is>
      </c>
      <c r="F165" t="inlineStr">
        <is>
          <t>Bergvik skog väst AB</t>
        </is>
      </c>
      <c r="G165" t="n">
        <v>161.6</v>
      </c>
      <c r="H165" t="n">
        <v>1</v>
      </c>
      <c r="I165" t="n">
        <v>2</v>
      </c>
      <c r="J165" t="n">
        <v>12</v>
      </c>
      <c r="K165" t="n">
        <v>1</v>
      </c>
      <c r="L165" t="n">
        <v>0</v>
      </c>
      <c r="M165" t="n">
        <v>0</v>
      </c>
      <c r="N165" t="n">
        <v>0</v>
      </c>
      <c r="O165" t="n">
        <v>13</v>
      </c>
      <c r="P165" t="n">
        <v>1</v>
      </c>
      <c r="Q165" t="n">
        <v>15</v>
      </c>
      <c r="R165" s="2" t="inlineStr">
        <is>
          <t>Lappticka
Doftskinn
Gammelgransskål
Garnlav
Granticka
Gränsticka
Harticka
Knottrig blåslav
Rosenticka
Tretåig hackspett
Ullticka
Violmussling
Vitgrynig nållav
Vedticka
Vågbandad barkbock</t>
        </is>
      </c>
      <c r="S165">
        <f>HYPERLINK("https://klasma.github.io/Logging_2361/artfynd/A 57804-2024 artfynd.xlsx", "A 57804-2024")</f>
        <v/>
      </c>
      <c r="T165">
        <f>HYPERLINK("https://klasma.github.io/Logging_2361/kartor/A 57804-2024 karta.png", "A 57804-2024")</f>
        <v/>
      </c>
      <c r="V165">
        <f>HYPERLINK("https://klasma.github.io/Logging_2361/klagomål/A 57804-2024 FSC-klagomål.docx", "A 57804-2024")</f>
        <v/>
      </c>
      <c r="W165">
        <f>HYPERLINK("https://klasma.github.io/Logging_2361/klagomålsmail/A 57804-2024 FSC-klagomål mail.docx", "A 57804-2024")</f>
        <v/>
      </c>
      <c r="X165">
        <f>HYPERLINK("https://klasma.github.io/Logging_2361/tillsyn/A 57804-2024 tillsynsbegäran.docx", "A 57804-2024")</f>
        <v/>
      </c>
      <c r="Y165">
        <f>HYPERLINK("https://klasma.github.io/Logging_2361/tillsynsmail/A 57804-2024 tillsynsbegäran mail.docx", "A 57804-2024")</f>
        <v/>
      </c>
      <c r="Z165">
        <f>HYPERLINK("https://klasma.github.io/Logging_2361/fåglar/A 57804-2024 prioriterade fågelarter.docx", "A 57804-2024")</f>
        <v/>
      </c>
    </row>
    <row r="166" ht="15" customHeight="1">
      <c r="A166" t="inlineStr">
        <is>
          <t>A 57211-2025</t>
        </is>
      </c>
      <c r="B166" s="1" t="n">
        <v>45979</v>
      </c>
      <c r="C166" s="1" t="n">
        <v>46045</v>
      </c>
      <c r="D166" t="inlineStr">
        <is>
          <t>JÄMTLANDS LÄN</t>
        </is>
      </c>
      <c r="E166" t="inlineStr">
        <is>
          <t>KROKOM</t>
        </is>
      </c>
      <c r="G166" t="n">
        <v>31</v>
      </c>
      <c r="H166" t="n">
        <v>2</v>
      </c>
      <c r="I166" t="n">
        <v>6</v>
      </c>
      <c r="J166" t="n">
        <v>9</v>
      </c>
      <c r="K166" t="n">
        <v>0</v>
      </c>
      <c r="L166" t="n">
        <v>0</v>
      </c>
      <c r="M166" t="n">
        <v>0</v>
      </c>
      <c r="N166" t="n">
        <v>0</v>
      </c>
      <c r="O166" t="n">
        <v>9</v>
      </c>
      <c r="P166" t="n">
        <v>0</v>
      </c>
      <c r="Q166" t="n">
        <v>15</v>
      </c>
      <c r="R166" s="2" t="inlineStr">
        <is>
          <t>Gammelgransskål
Garnlav
Granticka
Järpe
Liten svartspik
Skrovellav
Tretåig hackspett
Ullticka
Vitgrynig nållav
Blodticka
Korallblylav
Luddlav
Stuplav
Trådticka
Vedticka</t>
        </is>
      </c>
      <c r="S166">
        <f>HYPERLINK("https://klasma.github.io/Logging_2309/artfynd/A 57211-2025 artfynd.xlsx", "A 57211-2025")</f>
        <v/>
      </c>
      <c r="T166">
        <f>HYPERLINK("https://klasma.github.io/Logging_2309/kartor/A 57211-2025 karta.png", "A 57211-2025")</f>
        <v/>
      </c>
      <c r="V166">
        <f>HYPERLINK("https://klasma.github.io/Logging_2309/klagomål/A 57211-2025 FSC-klagomål.docx", "A 57211-2025")</f>
        <v/>
      </c>
      <c r="W166">
        <f>HYPERLINK("https://klasma.github.io/Logging_2309/klagomålsmail/A 57211-2025 FSC-klagomål mail.docx", "A 57211-2025")</f>
        <v/>
      </c>
      <c r="X166">
        <f>HYPERLINK("https://klasma.github.io/Logging_2309/tillsyn/A 57211-2025 tillsynsbegäran.docx", "A 57211-2025")</f>
        <v/>
      </c>
      <c r="Y166">
        <f>HYPERLINK("https://klasma.github.io/Logging_2309/tillsynsmail/A 57211-2025 tillsynsbegäran mail.docx", "A 57211-2025")</f>
        <v/>
      </c>
      <c r="Z166">
        <f>HYPERLINK("https://klasma.github.io/Logging_2309/fåglar/A 57211-2025 prioriterade fågelarter.docx", "A 57211-2025")</f>
        <v/>
      </c>
    </row>
    <row r="167" ht="15" customHeight="1">
      <c r="A167" t="inlineStr">
        <is>
          <t>A 33400-2024</t>
        </is>
      </c>
      <c r="B167" s="1" t="n">
        <v>45519</v>
      </c>
      <c r="C167" s="1" t="n">
        <v>46045</v>
      </c>
      <c r="D167" t="inlineStr">
        <is>
          <t>JÄMTLANDS LÄN</t>
        </is>
      </c>
      <c r="E167" t="inlineStr">
        <is>
          <t>BERG</t>
        </is>
      </c>
      <c r="G167" t="n">
        <v>19.1</v>
      </c>
      <c r="H167" t="n">
        <v>2</v>
      </c>
      <c r="I167" t="n">
        <v>2</v>
      </c>
      <c r="J167" t="n">
        <v>11</v>
      </c>
      <c r="K167" t="n">
        <v>1</v>
      </c>
      <c r="L167" t="n">
        <v>0</v>
      </c>
      <c r="M167" t="n">
        <v>0</v>
      </c>
      <c r="N167" t="n">
        <v>0</v>
      </c>
      <c r="O167" t="n">
        <v>12</v>
      </c>
      <c r="P167" t="n">
        <v>1</v>
      </c>
      <c r="Q167" t="n">
        <v>15</v>
      </c>
      <c r="R167" s="2" t="inlineStr">
        <is>
          <t>Ulltickeporing
Blanksvart spiklav
Doftskinn
Gammelgransskål
Garnlav
Granticka
Gränsticka
Knottrig blåslav
Kolflarnlav
Rosenticka
Tretåig hackspett
Ullticka
Luddlav
Stuplav
Lavskrika</t>
        </is>
      </c>
      <c r="S167">
        <f>HYPERLINK("https://klasma.github.io/Logging_2326/artfynd/A 33400-2024 artfynd.xlsx", "A 33400-2024")</f>
        <v/>
      </c>
      <c r="T167">
        <f>HYPERLINK("https://klasma.github.io/Logging_2326/kartor/A 33400-2024 karta.png", "A 33400-2024")</f>
        <v/>
      </c>
      <c r="V167">
        <f>HYPERLINK("https://klasma.github.io/Logging_2326/klagomål/A 33400-2024 FSC-klagomål.docx", "A 33400-2024")</f>
        <v/>
      </c>
      <c r="W167">
        <f>HYPERLINK("https://klasma.github.io/Logging_2326/klagomålsmail/A 33400-2024 FSC-klagomål mail.docx", "A 33400-2024")</f>
        <v/>
      </c>
      <c r="X167">
        <f>HYPERLINK("https://klasma.github.io/Logging_2326/tillsyn/A 33400-2024 tillsynsbegäran.docx", "A 33400-2024")</f>
        <v/>
      </c>
      <c r="Y167">
        <f>HYPERLINK("https://klasma.github.io/Logging_2326/tillsynsmail/A 33400-2024 tillsynsbegäran mail.docx", "A 33400-2024")</f>
        <v/>
      </c>
      <c r="Z167">
        <f>HYPERLINK("https://klasma.github.io/Logging_2326/fåglar/A 33400-2024 prioriterade fågelarter.docx", "A 33400-2024")</f>
        <v/>
      </c>
    </row>
    <row r="168" ht="15" customHeight="1">
      <c r="A168" t="inlineStr">
        <is>
          <t>A 47364-2025</t>
        </is>
      </c>
      <c r="B168" s="1" t="n">
        <v>45930.58876157407</v>
      </c>
      <c r="C168" s="1" t="n">
        <v>46045</v>
      </c>
      <c r="D168" t="inlineStr">
        <is>
          <t>JÄMTLANDS LÄN</t>
        </is>
      </c>
      <c r="E168" t="inlineStr">
        <is>
          <t>STRÖMSUND</t>
        </is>
      </c>
      <c r="G168" t="n">
        <v>10.6</v>
      </c>
      <c r="H168" t="n">
        <v>7</v>
      </c>
      <c r="I168" t="n">
        <v>4</v>
      </c>
      <c r="J168" t="n">
        <v>6</v>
      </c>
      <c r="K168" t="n">
        <v>3</v>
      </c>
      <c r="L168" t="n">
        <v>0</v>
      </c>
      <c r="M168" t="n">
        <v>0</v>
      </c>
      <c r="N168" t="n">
        <v>0</v>
      </c>
      <c r="O168" t="n">
        <v>9</v>
      </c>
      <c r="P168" t="n">
        <v>3</v>
      </c>
      <c r="Q168" t="n">
        <v>15</v>
      </c>
      <c r="R168" s="2" t="inlineStr">
        <is>
          <t>Doftticka
Knärot
Ulltickeporing
Doftskinn
Garnlav
Lunglav
Talltita
Tretåig hackspett
Ullticka
Grönkulla
Rödgul trumpetsvamp
Skinnlav
Svavelriska
Fläcknycklar
Blåsippa</t>
        </is>
      </c>
      <c r="S168">
        <f>HYPERLINK("https://klasma.github.io/Logging_2313/artfynd/A 47364-2025 artfynd.xlsx", "A 47364-2025")</f>
        <v/>
      </c>
      <c r="T168">
        <f>HYPERLINK("https://klasma.github.io/Logging_2313/kartor/A 47364-2025 karta.png", "A 47364-2025")</f>
        <v/>
      </c>
      <c r="U168">
        <f>HYPERLINK("https://klasma.github.io/Logging_2313/knärot/A 47364-2025 karta knärot.png", "A 47364-2025")</f>
        <v/>
      </c>
      <c r="V168">
        <f>HYPERLINK("https://klasma.github.io/Logging_2313/klagomål/A 47364-2025 FSC-klagomål.docx", "A 47364-2025")</f>
        <v/>
      </c>
      <c r="W168">
        <f>HYPERLINK("https://klasma.github.io/Logging_2313/klagomålsmail/A 47364-2025 FSC-klagomål mail.docx", "A 47364-2025")</f>
        <v/>
      </c>
      <c r="X168">
        <f>HYPERLINK("https://klasma.github.io/Logging_2313/tillsyn/A 47364-2025 tillsynsbegäran.docx", "A 47364-2025")</f>
        <v/>
      </c>
      <c r="Y168">
        <f>HYPERLINK("https://klasma.github.io/Logging_2313/tillsynsmail/A 47364-2025 tillsynsbegäran mail.docx", "A 47364-2025")</f>
        <v/>
      </c>
      <c r="Z168">
        <f>HYPERLINK("https://klasma.github.io/Logging_2313/fåglar/A 47364-2025 prioriterade fågelarter.docx", "A 47364-2025")</f>
        <v/>
      </c>
    </row>
    <row r="169" ht="15" customHeight="1">
      <c r="A169" t="inlineStr">
        <is>
          <t>A 57244-2025</t>
        </is>
      </c>
      <c r="B169" s="1" t="n">
        <v>45979.63030092593</v>
      </c>
      <c r="C169" s="1" t="n">
        <v>46045</v>
      </c>
      <c r="D169" t="inlineStr">
        <is>
          <t>JÄMTLANDS LÄN</t>
        </is>
      </c>
      <c r="E169" t="inlineStr">
        <is>
          <t>BERG</t>
        </is>
      </c>
      <c r="G169" t="n">
        <v>17.7</v>
      </c>
      <c r="H169" t="n">
        <v>4</v>
      </c>
      <c r="I169" t="n">
        <v>1</v>
      </c>
      <c r="J169" t="n">
        <v>12</v>
      </c>
      <c r="K169" t="n">
        <v>1</v>
      </c>
      <c r="L169" t="n">
        <v>0</v>
      </c>
      <c r="M169" t="n">
        <v>0</v>
      </c>
      <c r="N169" t="n">
        <v>0</v>
      </c>
      <c r="O169" t="n">
        <v>13</v>
      </c>
      <c r="P169" t="n">
        <v>1</v>
      </c>
      <c r="Q169" t="n">
        <v>15</v>
      </c>
      <c r="R169" s="2" t="inlineStr">
        <is>
          <t>Doftticka
Blågrå svartspik
Brunpudrad nållav
Gammelgransskål
Garnlav
Kolflarnlav
Lunglav
Mörk kolflarnlav
Skrovellav
Spillkråka
Talltita
Vedflamlav
Violettgrå tagellav
Vedticka
Tjäder</t>
        </is>
      </c>
      <c r="S169">
        <f>HYPERLINK("https://klasma.github.io/Logging_2326/artfynd/A 57244-2025 artfynd.xlsx", "A 57244-2025")</f>
        <v/>
      </c>
      <c r="T169">
        <f>HYPERLINK("https://klasma.github.io/Logging_2326/kartor/A 57244-2025 karta.png", "A 57244-2025")</f>
        <v/>
      </c>
      <c r="V169">
        <f>HYPERLINK("https://klasma.github.io/Logging_2326/klagomål/A 57244-2025 FSC-klagomål.docx", "A 57244-2025")</f>
        <v/>
      </c>
      <c r="W169">
        <f>HYPERLINK("https://klasma.github.io/Logging_2326/klagomålsmail/A 57244-2025 FSC-klagomål mail.docx", "A 57244-2025")</f>
        <v/>
      </c>
      <c r="X169">
        <f>HYPERLINK("https://klasma.github.io/Logging_2326/tillsyn/A 57244-2025 tillsynsbegäran.docx", "A 57244-2025")</f>
        <v/>
      </c>
      <c r="Y169">
        <f>HYPERLINK("https://klasma.github.io/Logging_2326/tillsynsmail/A 57244-2025 tillsynsbegäran mail.docx", "A 57244-2025")</f>
        <v/>
      </c>
      <c r="Z169">
        <f>HYPERLINK("https://klasma.github.io/Logging_2326/fåglar/A 57244-2025 prioriterade fågelarter.docx", "A 57244-2025")</f>
        <v/>
      </c>
    </row>
    <row r="170" ht="15" customHeight="1">
      <c r="A170" t="inlineStr">
        <is>
          <t>A 34803-2025</t>
        </is>
      </c>
      <c r="B170" s="1" t="n">
        <v>45849</v>
      </c>
      <c r="C170" s="1" t="n">
        <v>46045</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Leptoporus mollis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47954-2025</t>
        </is>
      </c>
      <c r="B171" s="1" t="n">
        <v>45932.58673611111</v>
      </c>
      <c r="C171" s="1" t="n">
        <v>46045</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39937-2024</t>
        </is>
      </c>
      <c r="B172" s="1" t="n">
        <v>45553</v>
      </c>
      <c r="C172" s="1" t="n">
        <v>46045</v>
      </c>
      <c r="D172" t="inlineStr">
        <is>
          <t>JÄMTLANDS LÄN</t>
        </is>
      </c>
      <c r="E172" t="inlineStr">
        <is>
          <t>KROKOM</t>
        </is>
      </c>
      <c r="G172" t="n">
        <v>16.9</v>
      </c>
      <c r="H172" t="n">
        <v>4</v>
      </c>
      <c r="I172" t="n">
        <v>4</v>
      </c>
      <c r="J172" t="n">
        <v>10</v>
      </c>
      <c r="K172" t="n">
        <v>1</v>
      </c>
      <c r="L172" t="n">
        <v>0</v>
      </c>
      <c r="M172" t="n">
        <v>0</v>
      </c>
      <c r="N172" t="n">
        <v>0</v>
      </c>
      <c r="O172" t="n">
        <v>11</v>
      </c>
      <c r="P172" t="n">
        <v>1</v>
      </c>
      <c r="Q172" t="n">
        <v>15</v>
      </c>
      <c r="R172" s="2" t="inlineStr">
        <is>
          <t>Knärot
Brunpudrad nållav
Garnlav
Granticka
Järpe
Kolflarnlav
Lunglav
Skrovellav
Spillkråka
Tretåig hackspett
Ullticka
Bårdlav
Luddlav
Stuplav
Trådticka</t>
        </is>
      </c>
      <c r="S172">
        <f>HYPERLINK("https://klasma.github.io/Logging_2309/artfynd/A 39937-2024 artfynd.xlsx", "A 39937-2024")</f>
        <v/>
      </c>
      <c r="T172">
        <f>HYPERLINK("https://klasma.github.io/Logging_2309/kartor/A 39937-2024 karta.png", "A 39937-2024")</f>
        <v/>
      </c>
      <c r="U172">
        <f>HYPERLINK("https://klasma.github.io/Logging_2309/knärot/A 39937-2024 karta knärot.png", "A 39937-2024")</f>
        <v/>
      </c>
      <c r="V172">
        <f>HYPERLINK("https://klasma.github.io/Logging_2309/klagomål/A 39937-2024 FSC-klagomål.docx", "A 39937-2024")</f>
        <v/>
      </c>
      <c r="W172">
        <f>HYPERLINK("https://klasma.github.io/Logging_2309/klagomålsmail/A 39937-2024 FSC-klagomål mail.docx", "A 39937-2024")</f>
        <v/>
      </c>
      <c r="X172">
        <f>HYPERLINK("https://klasma.github.io/Logging_2309/tillsyn/A 39937-2024 tillsynsbegäran.docx", "A 39937-2024")</f>
        <v/>
      </c>
      <c r="Y172">
        <f>HYPERLINK("https://klasma.github.io/Logging_2309/tillsynsmail/A 39937-2024 tillsynsbegäran mail.docx", "A 39937-2024")</f>
        <v/>
      </c>
      <c r="Z172">
        <f>HYPERLINK("https://klasma.github.io/Logging_2309/fåglar/A 39937-2024 prioriterade fågelarter.docx", "A 39937-2024")</f>
        <v/>
      </c>
    </row>
    <row r="173" ht="15" customHeight="1">
      <c r="A173" t="inlineStr">
        <is>
          <t>A 18916-2022</t>
        </is>
      </c>
      <c r="B173" s="1" t="n">
        <v>44690</v>
      </c>
      <c r="C173" s="1" t="n">
        <v>46045</v>
      </c>
      <c r="D173" t="inlineStr">
        <is>
          <t>JÄMTLANDS LÄN</t>
        </is>
      </c>
      <c r="E173" t="inlineStr">
        <is>
          <t>HÄRJEDALEN</t>
        </is>
      </c>
      <c r="F173" t="inlineStr">
        <is>
          <t>Holmen skog AB</t>
        </is>
      </c>
      <c r="G173" t="n">
        <v>61.8</v>
      </c>
      <c r="H173" t="n">
        <v>4</v>
      </c>
      <c r="I173" t="n">
        <v>4</v>
      </c>
      <c r="J173" t="n">
        <v>8</v>
      </c>
      <c r="K173" t="n">
        <v>2</v>
      </c>
      <c r="L173" t="n">
        <v>0</v>
      </c>
      <c r="M173" t="n">
        <v>0</v>
      </c>
      <c r="N173" t="n">
        <v>0</v>
      </c>
      <c r="O173" t="n">
        <v>10</v>
      </c>
      <c r="P173" t="n">
        <v>2</v>
      </c>
      <c r="Q173" t="n">
        <v>15</v>
      </c>
      <c r="R173" s="2" t="inlineStr">
        <is>
          <t>Doftticka
Knärot
Blå taggsvamp
Dvärgbägarlav
Kolflarnlav
Motaggsvamp
Orange taggsvamp
Skrovlig taggsvamp
Svart taggsvamp
Vedskivlav
Dropptaggsvamp
Plattlummer
Rödgul trumpetsvamp
Skarp dropptaggsvamp
Tjäder</t>
        </is>
      </c>
      <c r="S173">
        <f>HYPERLINK("https://klasma.github.io/Logging_2361/artfynd/A 18916-2022 artfynd.xlsx", "A 18916-2022")</f>
        <v/>
      </c>
      <c r="T173">
        <f>HYPERLINK("https://klasma.github.io/Logging_2361/kartor/A 18916-2022 karta.png", "A 18916-2022")</f>
        <v/>
      </c>
      <c r="U173">
        <f>HYPERLINK("https://klasma.github.io/Logging_2361/knärot/A 18916-2022 karta knärot.png", "A 18916-2022")</f>
        <v/>
      </c>
      <c r="V173">
        <f>HYPERLINK("https://klasma.github.io/Logging_2361/klagomål/A 18916-2022 FSC-klagomål.docx", "A 18916-2022")</f>
        <v/>
      </c>
      <c r="W173">
        <f>HYPERLINK("https://klasma.github.io/Logging_2361/klagomålsmail/A 18916-2022 FSC-klagomål mail.docx", "A 18916-2022")</f>
        <v/>
      </c>
      <c r="X173">
        <f>HYPERLINK("https://klasma.github.io/Logging_2361/tillsyn/A 18916-2022 tillsynsbegäran.docx", "A 18916-2022")</f>
        <v/>
      </c>
      <c r="Y173">
        <f>HYPERLINK("https://klasma.github.io/Logging_2361/tillsynsmail/A 18916-2022 tillsynsbegäran mail.docx", "A 18916-2022")</f>
        <v/>
      </c>
      <c r="Z173">
        <f>HYPERLINK("https://klasma.github.io/Logging_2361/fåglar/A 18916-2022 prioriterade fågelarter.docx", "A 18916-2022")</f>
        <v/>
      </c>
    </row>
    <row r="174" ht="15" customHeight="1">
      <c r="A174" t="inlineStr">
        <is>
          <t>A 61561-2021</t>
        </is>
      </c>
      <c r="B174" s="1" t="n">
        <v>44501</v>
      </c>
      <c r="C174" s="1" t="n">
        <v>46045</v>
      </c>
      <c r="D174" t="inlineStr">
        <is>
          <t>JÄMTLANDS LÄN</t>
        </is>
      </c>
      <c r="E174" t="inlineStr">
        <is>
          <t>HÄRJEDALEN</t>
        </is>
      </c>
      <c r="F174" t="inlineStr">
        <is>
          <t>Bergvik skog väst AB</t>
        </is>
      </c>
      <c r="G174" t="n">
        <v>16.2</v>
      </c>
      <c r="H174" t="n">
        <v>4</v>
      </c>
      <c r="I174" t="n">
        <v>4</v>
      </c>
      <c r="J174" t="n">
        <v>8</v>
      </c>
      <c r="K174" t="n">
        <v>2</v>
      </c>
      <c r="L174" t="n">
        <v>0</v>
      </c>
      <c r="M174" t="n">
        <v>0</v>
      </c>
      <c r="N174" t="n">
        <v>0</v>
      </c>
      <c r="O174" t="n">
        <v>10</v>
      </c>
      <c r="P174" t="n">
        <v>2</v>
      </c>
      <c r="Q174" t="n">
        <v>15</v>
      </c>
      <c r="R174" s="2" t="inlineStr">
        <is>
          <t>Doftticka
Knärot
Dvärgbägarlav
Garnlav
Lunglav
Mörk kolflarnlav
Skrovellav
Talltita
Vedskivlav
Violettgrå tagellav
Bårdlav
Dropptaggsvamp
Skinnlav
Skuggblåslav
Revlummer</t>
        </is>
      </c>
      <c r="S174">
        <f>HYPERLINK("https://klasma.github.io/Logging_2361/artfynd/A 61561-2021 artfynd.xlsx", "A 61561-2021")</f>
        <v/>
      </c>
      <c r="T174">
        <f>HYPERLINK("https://klasma.github.io/Logging_2361/kartor/A 61561-2021 karta.png", "A 61561-2021")</f>
        <v/>
      </c>
      <c r="U174">
        <f>HYPERLINK("https://klasma.github.io/Logging_2361/knärot/A 61561-2021 karta knärot.png", "A 61561-2021")</f>
        <v/>
      </c>
      <c r="V174">
        <f>HYPERLINK("https://klasma.github.io/Logging_2361/klagomål/A 61561-2021 FSC-klagomål.docx", "A 61561-2021")</f>
        <v/>
      </c>
      <c r="W174">
        <f>HYPERLINK("https://klasma.github.io/Logging_2361/klagomålsmail/A 61561-2021 FSC-klagomål mail.docx", "A 61561-2021")</f>
        <v/>
      </c>
      <c r="X174">
        <f>HYPERLINK("https://klasma.github.io/Logging_2361/tillsyn/A 61561-2021 tillsynsbegäran.docx", "A 61561-2021")</f>
        <v/>
      </c>
      <c r="Y174">
        <f>HYPERLINK("https://klasma.github.io/Logging_2361/tillsynsmail/A 61561-2021 tillsynsbegäran mail.docx", "A 61561-2021")</f>
        <v/>
      </c>
      <c r="Z174">
        <f>HYPERLINK("https://klasma.github.io/Logging_2361/fåglar/A 61561-2021 prioriterade fågelarter.docx", "A 61561-2021")</f>
        <v/>
      </c>
    </row>
    <row r="175" ht="15" customHeight="1">
      <c r="A175" t="inlineStr">
        <is>
          <t>A 59023-2021</t>
        </is>
      </c>
      <c r="B175" s="1" t="n">
        <v>44490</v>
      </c>
      <c r="C175" s="1" t="n">
        <v>46045</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46045</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46045</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54693-2022</t>
        </is>
      </c>
      <c r="B178" s="1" t="n">
        <v>44883.49158564815</v>
      </c>
      <c r="C178" s="1" t="n">
        <v>46045</v>
      </c>
      <c r="D178" t="inlineStr">
        <is>
          <t>JÄMTLANDS LÄN</t>
        </is>
      </c>
      <c r="E178" t="inlineStr">
        <is>
          <t>ÅRE</t>
        </is>
      </c>
      <c r="G178" t="n">
        <v>9.9</v>
      </c>
      <c r="H178" t="n">
        <v>1</v>
      </c>
      <c r="I178" t="n">
        <v>4</v>
      </c>
      <c r="J178" t="n">
        <v>7</v>
      </c>
      <c r="K178" t="n">
        <v>3</v>
      </c>
      <c r="L178" t="n">
        <v>0</v>
      </c>
      <c r="M178" t="n">
        <v>0</v>
      </c>
      <c r="N178" t="n">
        <v>0</v>
      </c>
      <c r="O178" t="n">
        <v>10</v>
      </c>
      <c r="P178" t="n">
        <v>3</v>
      </c>
      <c r="Q178" t="n">
        <v>14</v>
      </c>
      <c r="R178" s="2" t="inlineStr">
        <is>
          <t>Amerikansk sönderfallslav
Norsk näverlav
Skuggnål
Brunpudrad nållav
Granticka
Kavernularia
Liten svartspik
Rödbrun blekspik
Tretåig hackspett
Vitgrynig nållav
Barkkornlav
Kornig nållav
Rostfläck
Vedticka</t>
        </is>
      </c>
      <c r="S178">
        <f>HYPERLINK("https://klasma.github.io/Logging_2321/artfynd/A 54693-2022 artfynd.xlsx", "A 54693-2022")</f>
        <v/>
      </c>
      <c r="T178">
        <f>HYPERLINK("https://klasma.github.io/Logging_2321/kartor/A 54693-2022 karta.png", "A 54693-2022")</f>
        <v/>
      </c>
      <c r="V178">
        <f>HYPERLINK("https://klasma.github.io/Logging_2321/klagomål/A 54693-2022 FSC-klagomål.docx", "A 54693-2022")</f>
        <v/>
      </c>
      <c r="W178">
        <f>HYPERLINK("https://klasma.github.io/Logging_2321/klagomålsmail/A 54693-2022 FSC-klagomål mail.docx", "A 54693-2022")</f>
        <v/>
      </c>
      <c r="X178">
        <f>HYPERLINK("https://klasma.github.io/Logging_2321/tillsyn/A 54693-2022 tillsynsbegäran.docx", "A 54693-2022")</f>
        <v/>
      </c>
      <c r="Y178">
        <f>HYPERLINK("https://klasma.github.io/Logging_2321/tillsynsmail/A 54693-2022 tillsynsbegäran mail.docx", "A 54693-2022")</f>
        <v/>
      </c>
      <c r="Z178">
        <f>HYPERLINK("https://klasma.github.io/Logging_2321/fåglar/A 54693-2022 prioriterade fågelarter.docx", "A 54693-2022")</f>
        <v/>
      </c>
    </row>
    <row r="179" ht="15" customHeight="1">
      <c r="A179" t="inlineStr">
        <is>
          <t>A 54810-2021</t>
        </is>
      </c>
      <c r="B179" s="1" t="n">
        <v>44473</v>
      </c>
      <c r="C179" s="1" t="n">
        <v>46045</v>
      </c>
      <c r="D179" t="inlineStr">
        <is>
          <t>JÄMTLANDS LÄN</t>
        </is>
      </c>
      <c r="E179" t="inlineStr">
        <is>
          <t>RAGUNDA</t>
        </is>
      </c>
      <c r="F179" t="inlineStr">
        <is>
          <t>SCA</t>
        </is>
      </c>
      <c r="G179" t="n">
        <v>4.5</v>
      </c>
      <c r="H179" t="n">
        <v>0</v>
      </c>
      <c r="I179" t="n">
        <v>5</v>
      </c>
      <c r="J179" t="n">
        <v>9</v>
      </c>
      <c r="K179" t="n">
        <v>0</v>
      </c>
      <c r="L179" t="n">
        <v>0</v>
      </c>
      <c r="M179" t="n">
        <v>0</v>
      </c>
      <c r="N179" t="n">
        <v>0</v>
      </c>
      <c r="O179" t="n">
        <v>9</v>
      </c>
      <c r="P179" t="n">
        <v>0</v>
      </c>
      <c r="Q179" t="n">
        <v>14</v>
      </c>
      <c r="R179" s="2" t="inlineStr">
        <is>
          <t>Brunpudrad nållav
Kolflarnlav
Liten svartspik
Lunglav
Parknål
Skrovellav
Vedflamlav
Vedtrappmossa
Vitgrynig nållav
Gulnål
Kornig nållav
Luddlav
Stuplav
Vedticka</t>
        </is>
      </c>
      <c r="S179">
        <f>HYPERLINK("https://klasma.github.io/Logging_2303/artfynd/A 54810-2021 artfynd.xlsx", "A 54810-2021")</f>
        <v/>
      </c>
      <c r="T179">
        <f>HYPERLINK("https://klasma.github.io/Logging_2303/kartor/A 54810-2021 karta.png", "A 54810-2021")</f>
        <v/>
      </c>
      <c r="V179">
        <f>HYPERLINK("https://klasma.github.io/Logging_2303/klagomål/A 54810-2021 FSC-klagomål.docx", "A 54810-2021")</f>
        <v/>
      </c>
      <c r="W179">
        <f>HYPERLINK("https://klasma.github.io/Logging_2303/klagomålsmail/A 54810-2021 FSC-klagomål mail.docx", "A 54810-2021")</f>
        <v/>
      </c>
      <c r="X179">
        <f>HYPERLINK("https://klasma.github.io/Logging_2303/tillsyn/A 54810-2021 tillsynsbegäran.docx", "A 54810-2021")</f>
        <v/>
      </c>
      <c r="Y179">
        <f>HYPERLINK("https://klasma.github.io/Logging_2303/tillsynsmail/A 54810-2021 tillsynsbegäran mail.docx", "A 54810-2021")</f>
        <v/>
      </c>
    </row>
    <row r="180" ht="15" customHeight="1">
      <c r="A180" t="inlineStr">
        <is>
          <t>A 65292-2021</t>
        </is>
      </c>
      <c r="B180" s="1" t="n">
        <v>44515</v>
      </c>
      <c r="C180" s="1" t="n">
        <v>46045</v>
      </c>
      <c r="D180" t="inlineStr">
        <is>
          <t>JÄMTLANDS LÄN</t>
        </is>
      </c>
      <c r="E180" t="inlineStr">
        <is>
          <t>ÅRE</t>
        </is>
      </c>
      <c r="G180" t="n">
        <v>25.6</v>
      </c>
      <c r="H180" t="n">
        <v>2</v>
      </c>
      <c r="I180" t="n">
        <v>3</v>
      </c>
      <c r="J180" t="n">
        <v>10</v>
      </c>
      <c r="K180" t="n">
        <v>1</v>
      </c>
      <c r="L180" t="n">
        <v>0</v>
      </c>
      <c r="M180" t="n">
        <v>0</v>
      </c>
      <c r="N180" t="n">
        <v>0</v>
      </c>
      <c r="O180" t="n">
        <v>11</v>
      </c>
      <c r="P180" t="n">
        <v>1</v>
      </c>
      <c r="Q180" t="n">
        <v>14</v>
      </c>
      <c r="R180" s="2" t="inlineStr">
        <is>
          <t>Liten hornflikmossa
Doftskinn
Gammelgransskål
Garnlav
Granticka
Harticka
Skrovellav
Spillkråka
Tretåig hackspett
Ullticka
Vedtrappmossa
Gytterlav
Stuplav
Vedticka</t>
        </is>
      </c>
      <c r="S180">
        <f>HYPERLINK("https://klasma.github.io/Logging_2321/artfynd/A 65292-2021 artfynd.xlsx", "A 65292-2021")</f>
        <v/>
      </c>
      <c r="T180">
        <f>HYPERLINK("https://klasma.github.io/Logging_2321/kartor/A 65292-2021 karta.png", "A 65292-2021")</f>
        <v/>
      </c>
      <c r="V180">
        <f>HYPERLINK("https://klasma.github.io/Logging_2321/klagomål/A 65292-2021 FSC-klagomål.docx", "A 65292-2021")</f>
        <v/>
      </c>
      <c r="W180">
        <f>HYPERLINK("https://klasma.github.io/Logging_2321/klagomålsmail/A 65292-2021 FSC-klagomål mail.docx", "A 65292-2021")</f>
        <v/>
      </c>
      <c r="X180">
        <f>HYPERLINK("https://klasma.github.io/Logging_2321/tillsyn/A 65292-2021 tillsynsbegäran.docx", "A 65292-2021")</f>
        <v/>
      </c>
      <c r="Y180">
        <f>HYPERLINK("https://klasma.github.io/Logging_2321/tillsynsmail/A 65292-2021 tillsynsbegäran mail.docx", "A 65292-2021")</f>
        <v/>
      </c>
      <c r="Z180">
        <f>HYPERLINK("https://klasma.github.io/Logging_2321/fåglar/A 65292-2021 prioriterade fågelarter.docx", "A 65292-2021")</f>
        <v/>
      </c>
    </row>
    <row r="181" ht="15" customHeight="1">
      <c r="A181" t="inlineStr">
        <is>
          <t>A 10625-2024</t>
        </is>
      </c>
      <c r="B181" s="1" t="n">
        <v>45367.04916666666</v>
      </c>
      <c r="C181" s="1" t="n">
        <v>46045</v>
      </c>
      <c r="D181" t="inlineStr">
        <is>
          <t>JÄMTLANDS LÄN</t>
        </is>
      </c>
      <c r="E181" t="inlineStr">
        <is>
          <t>RAGUNDA</t>
        </is>
      </c>
      <c r="F181" t="inlineStr">
        <is>
          <t>SCA</t>
        </is>
      </c>
      <c r="G181" t="n">
        <v>18.1</v>
      </c>
      <c r="H181" t="n">
        <v>4</v>
      </c>
      <c r="I181" t="n">
        <v>2</v>
      </c>
      <c r="J181" t="n">
        <v>8</v>
      </c>
      <c r="K181" t="n">
        <v>2</v>
      </c>
      <c r="L181" t="n">
        <v>0</v>
      </c>
      <c r="M181" t="n">
        <v>0</v>
      </c>
      <c r="N181" t="n">
        <v>0</v>
      </c>
      <c r="O181" t="n">
        <v>10</v>
      </c>
      <c r="P181" t="n">
        <v>2</v>
      </c>
      <c r="Q181" t="n">
        <v>14</v>
      </c>
      <c r="R181" s="2" t="inlineStr">
        <is>
          <t>Gräddporing
Knärot
Dvärgbägarlav
Garnlav
Kolflarnlav
Lunglav
Mörk kolflarnlav
Nordtagging
Tretåig hackspett
Vedskivlav
Dropptaggsvamp
Vedticka
Tjäder
Fläcknycklar</t>
        </is>
      </c>
      <c r="S181">
        <f>HYPERLINK("https://klasma.github.io/Logging_2303/artfynd/A 10625-2024 artfynd.xlsx", "A 10625-2024")</f>
        <v/>
      </c>
      <c r="T181">
        <f>HYPERLINK("https://klasma.github.io/Logging_2303/kartor/A 10625-2024 karta.png", "A 10625-2024")</f>
        <v/>
      </c>
      <c r="U181">
        <f>HYPERLINK("https://klasma.github.io/Logging_2303/knärot/A 10625-2024 karta knärot.png", "A 10625-2024")</f>
        <v/>
      </c>
      <c r="V181">
        <f>HYPERLINK("https://klasma.github.io/Logging_2303/klagomål/A 10625-2024 FSC-klagomål.docx", "A 10625-2024")</f>
        <v/>
      </c>
      <c r="W181">
        <f>HYPERLINK("https://klasma.github.io/Logging_2303/klagomålsmail/A 10625-2024 FSC-klagomål mail.docx", "A 10625-2024")</f>
        <v/>
      </c>
      <c r="X181">
        <f>HYPERLINK("https://klasma.github.io/Logging_2303/tillsyn/A 10625-2024 tillsynsbegäran.docx", "A 10625-2024")</f>
        <v/>
      </c>
      <c r="Y181">
        <f>HYPERLINK("https://klasma.github.io/Logging_2303/tillsynsmail/A 10625-2024 tillsynsbegäran mail.docx", "A 10625-2024")</f>
        <v/>
      </c>
      <c r="Z181">
        <f>HYPERLINK("https://klasma.github.io/Logging_2303/fåglar/A 10625-2024 prioriterade fågelarter.docx", "A 10625-2024")</f>
        <v/>
      </c>
    </row>
    <row r="182" ht="15" customHeight="1">
      <c r="A182" t="inlineStr">
        <is>
          <t>A 13031-2023</t>
        </is>
      </c>
      <c r="B182" s="1" t="n">
        <v>44998</v>
      </c>
      <c r="C182" s="1" t="n">
        <v>46045</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42043-2025</t>
        </is>
      </c>
      <c r="B183" s="1" t="n">
        <v>45903.62199074074</v>
      </c>
      <c r="C183" s="1" t="n">
        <v>46045</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42675-2025</t>
        </is>
      </c>
      <c r="B184" s="1" t="n">
        <v>45908.31796296296</v>
      </c>
      <c r="C184" s="1" t="n">
        <v>46045</v>
      </c>
      <c r="D184" t="inlineStr">
        <is>
          <t>JÄMTLANDS LÄN</t>
        </is>
      </c>
      <c r="E184" t="inlineStr">
        <is>
          <t>HÄRJEDALEN</t>
        </is>
      </c>
      <c r="F184" t="inlineStr">
        <is>
          <t>Holmen skog AB</t>
        </is>
      </c>
      <c r="G184" t="n">
        <v>2.1</v>
      </c>
      <c r="H184" t="n">
        <v>1</v>
      </c>
      <c r="I184" t="n">
        <v>3</v>
      </c>
      <c r="J184" t="n">
        <v>10</v>
      </c>
      <c r="K184" t="n">
        <v>1</v>
      </c>
      <c r="L184" t="n">
        <v>0</v>
      </c>
      <c r="M184" t="n">
        <v>0</v>
      </c>
      <c r="N184" t="n">
        <v>0</v>
      </c>
      <c r="O184" t="n">
        <v>11</v>
      </c>
      <c r="P184" t="n">
        <v>1</v>
      </c>
      <c r="Q184" t="n">
        <v>14</v>
      </c>
      <c r="R184" s="2" t="inlineStr">
        <is>
          <t>Knärot
Blågrå svartspik
Dvärgbägarlav
Garnlav
Knottrig blåslav
Lunglav
Mörk kolflarnlav
Skrovellav
Vedflamlav
Vedskivlav
Violettgrå tagellav
Bårdlav
Dropptaggsvamp
Luddlav</t>
        </is>
      </c>
      <c r="S184">
        <f>HYPERLINK("https://klasma.github.io/Logging_2361/artfynd/A 42675-2025 artfynd.xlsx", "A 42675-2025")</f>
        <v/>
      </c>
      <c r="T184">
        <f>HYPERLINK("https://klasma.github.io/Logging_2361/kartor/A 42675-2025 karta.png", "A 42675-2025")</f>
        <v/>
      </c>
      <c r="U184">
        <f>HYPERLINK("https://klasma.github.io/Logging_2361/knärot/A 42675-2025 karta knärot.png", "A 42675-2025")</f>
        <v/>
      </c>
      <c r="V184">
        <f>HYPERLINK("https://klasma.github.io/Logging_2361/klagomål/A 42675-2025 FSC-klagomål.docx", "A 42675-2025")</f>
        <v/>
      </c>
      <c r="W184">
        <f>HYPERLINK("https://klasma.github.io/Logging_2361/klagomålsmail/A 42675-2025 FSC-klagomål mail.docx", "A 42675-2025")</f>
        <v/>
      </c>
      <c r="X184">
        <f>HYPERLINK("https://klasma.github.io/Logging_2361/tillsyn/A 42675-2025 tillsynsbegäran.docx", "A 42675-2025")</f>
        <v/>
      </c>
      <c r="Y184">
        <f>HYPERLINK("https://klasma.github.io/Logging_2361/tillsynsmail/A 42675-2025 tillsynsbegäran mail.docx", "A 42675-2025")</f>
        <v/>
      </c>
    </row>
    <row r="185" ht="15" customHeight="1">
      <c r="A185" t="inlineStr">
        <is>
          <t>A 13097-2024</t>
        </is>
      </c>
      <c r="B185" s="1" t="n">
        <v>45385</v>
      </c>
      <c r="C185" s="1" t="n">
        <v>46045</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56368-2022</t>
        </is>
      </c>
      <c r="B186" s="1" t="n">
        <v>44887</v>
      </c>
      <c r="C186" s="1" t="n">
        <v>46045</v>
      </c>
      <c r="D186" t="inlineStr">
        <is>
          <t>JÄMTLANDS LÄN</t>
        </is>
      </c>
      <c r="E186" t="inlineStr">
        <is>
          <t>ÅRE</t>
        </is>
      </c>
      <c r="G186" t="n">
        <v>28.3</v>
      </c>
      <c r="H186" t="n">
        <v>2</v>
      </c>
      <c r="I186" t="n">
        <v>6</v>
      </c>
      <c r="J186" t="n">
        <v>7</v>
      </c>
      <c r="K186" t="n">
        <v>1</v>
      </c>
      <c r="L186" t="n">
        <v>0</v>
      </c>
      <c r="M186" t="n">
        <v>0</v>
      </c>
      <c r="N186" t="n">
        <v>0</v>
      </c>
      <c r="O186" t="n">
        <v>8</v>
      </c>
      <c r="P186" t="n">
        <v>1</v>
      </c>
      <c r="Q186" t="n">
        <v>14</v>
      </c>
      <c r="R186" s="2" t="inlineStr">
        <is>
          <t>Skuggkraterlav
Brunpudrad nållav
Garnlav
Granticka
Gränsticka
Rödbrun blekspik
Tretåig hackspett
Vitgrynig nållav
Gytterlav
Kambräken
Kransrams
Spindelblomster
Vedticka
Västlig hakmossa</t>
        </is>
      </c>
      <c r="S186">
        <f>HYPERLINK("https://klasma.github.io/Logging_2321/artfynd/A 56368-2022 artfynd.xlsx", "A 56368-2022")</f>
        <v/>
      </c>
      <c r="T186">
        <f>HYPERLINK("https://klasma.github.io/Logging_2321/kartor/A 56368-2022 karta.png", "A 56368-2022")</f>
        <v/>
      </c>
      <c r="V186">
        <f>HYPERLINK("https://klasma.github.io/Logging_2321/klagomål/A 56368-2022 FSC-klagomål.docx", "A 56368-2022")</f>
        <v/>
      </c>
      <c r="W186">
        <f>HYPERLINK("https://klasma.github.io/Logging_2321/klagomålsmail/A 56368-2022 FSC-klagomål mail.docx", "A 56368-2022")</f>
        <v/>
      </c>
      <c r="X186">
        <f>HYPERLINK("https://klasma.github.io/Logging_2321/tillsyn/A 56368-2022 tillsynsbegäran.docx", "A 56368-2022")</f>
        <v/>
      </c>
      <c r="Y186">
        <f>HYPERLINK("https://klasma.github.io/Logging_2321/tillsynsmail/A 56368-2022 tillsynsbegäran mail.docx", "A 56368-2022")</f>
        <v/>
      </c>
      <c r="Z186">
        <f>HYPERLINK("https://klasma.github.io/Logging_2321/fåglar/A 56368-2022 prioriterade fågelarter.docx", "A 56368-2022")</f>
        <v/>
      </c>
    </row>
    <row r="187" ht="15" customHeight="1">
      <c r="A187" t="inlineStr">
        <is>
          <t>A 60873-2024</t>
        </is>
      </c>
      <c r="B187" s="1" t="n">
        <v>45644</v>
      </c>
      <c r="C187" s="1" t="n">
        <v>46045</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44532-2025</t>
        </is>
      </c>
      <c r="B188" s="1" t="n">
        <v>45916.80152777778</v>
      </c>
      <c r="C188" s="1" t="n">
        <v>46045</v>
      </c>
      <c r="D188" t="inlineStr">
        <is>
          <t>JÄMTLANDS LÄN</t>
        </is>
      </c>
      <c r="E188" t="inlineStr">
        <is>
          <t>ÖSTERSUND</t>
        </is>
      </c>
      <c r="G188" t="n">
        <v>2.9</v>
      </c>
      <c r="H188" t="n">
        <v>2</v>
      </c>
      <c r="I188" t="n">
        <v>3</v>
      </c>
      <c r="J188" t="n">
        <v>9</v>
      </c>
      <c r="K188" t="n">
        <v>2</v>
      </c>
      <c r="L188" t="n">
        <v>0</v>
      </c>
      <c r="M188" t="n">
        <v>0</v>
      </c>
      <c r="N188" t="n">
        <v>0</v>
      </c>
      <c r="O188" t="n">
        <v>11</v>
      </c>
      <c r="P188" t="n">
        <v>2</v>
      </c>
      <c r="Q188" t="n">
        <v>14</v>
      </c>
      <c r="R188" s="2" t="inlineStr">
        <is>
          <t>Knärot
Rynkskinn
Garnlav
Harticka
Liten svartspik
Rosenticka
Talltita
Ullticka
Vedtrappmossa
Vitgrynig nållav
Äggvaxskivling
Svavelriska
Trådticka
Vedticka</t>
        </is>
      </c>
      <c r="S188">
        <f>HYPERLINK("https://klasma.github.io/Logging_2380/artfynd/A 44532-2025 artfynd.xlsx", "A 44532-2025")</f>
        <v/>
      </c>
      <c r="T188">
        <f>HYPERLINK("https://klasma.github.io/Logging_2380/kartor/A 44532-2025 karta.png", "A 44532-2025")</f>
        <v/>
      </c>
      <c r="U188">
        <f>HYPERLINK("https://klasma.github.io/Logging_2380/knärot/A 44532-2025 karta knärot.png", "A 44532-2025")</f>
        <v/>
      </c>
      <c r="V188">
        <f>HYPERLINK("https://klasma.github.io/Logging_2380/klagomål/A 44532-2025 FSC-klagomål.docx", "A 44532-2025")</f>
        <v/>
      </c>
      <c r="W188">
        <f>HYPERLINK("https://klasma.github.io/Logging_2380/klagomålsmail/A 44532-2025 FSC-klagomål mail.docx", "A 44532-2025")</f>
        <v/>
      </c>
      <c r="X188">
        <f>HYPERLINK("https://klasma.github.io/Logging_2380/tillsyn/A 44532-2025 tillsynsbegäran.docx", "A 44532-2025")</f>
        <v/>
      </c>
      <c r="Y188">
        <f>HYPERLINK("https://klasma.github.io/Logging_2380/tillsynsmail/A 44532-2025 tillsynsbegäran mail.docx", "A 44532-2025")</f>
        <v/>
      </c>
      <c r="Z188">
        <f>HYPERLINK("https://klasma.github.io/Logging_2380/fåglar/A 44532-2025 prioriterade fågelarter.docx", "A 44532-2025")</f>
        <v/>
      </c>
    </row>
    <row r="189" ht="15" customHeight="1">
      <c r="A189" t="inlineStr">
        <is>
          <t>A 49572-2024</t>
        </is>
      </c>
      <c r="B189" s="1" t="n">
        <v>45596.5093287037</v>
      </c>
      <c r="C189" s="1" t="n">
        <v>46045</v>
      </c>
      <c r="D189" t="inlineStr">
        <is>
          <t>JÄMTLANDS LÄN</t>
        </is>
      </c>
      <c r="E189" t="inlineStr">
        <is>
          <t>KROKOM</t>
        </is>
      </c>
      <c r="G189" t="n">
        <v>9</v>
      </c>
      <c r="H189" t="n">
        <v>4</v>
      </c>
      <c r="I189" t="n">
        <v>7</v>
      </c>
      <c r="J189" t="n">
        <v>5</v>
      </c>
      <c r="K189" t="n">
        <v>1</v>
      </c>
      <c r="L189" t="n">
        <v>0</v>
      </c>
      <c r="M189" t="n">
        <v>0</v>
      </c>
      <c r="N189" t="n">
        <v>0</v>
      </c>
      <c r="O189" t="n">
        <v>6</v>
      </c>
      <c r="P189" t="n">
        <v>1</v>
      </c>
      <c r="Q189" t="n">
        <v>14</v>
      </c>
      <c r="R189" s="2" t="inlineStr">
        <is>
          <t>Läderdoftande fingersvamp
Garnlav
Puderspindling
Talltita
Tretåig hackspett
Äggvaxskivling
Dropptaggsvamp
Fjällig taggsvamp s.str.
Grönkulla
Korallblylav
Kryddspindling
Skarp dropptaggsvamp
Svavelriska
Blåsippa</t>
        </is>
      </c>
      <c r="S189">
        <f>HYPERLINK("https://klasma.github.io/Logging_2309/artfynd/A 49572-2024 artfynd.xlsx", "A 49572-2024")</f>
        <v/>
      </c>
      <c r="T189">
        <f>HYPERLINK("https://klasma.github.io/Logging_2309/kartor/A 49572-2024 karta.png", "A 49572-2024")</f>
        <v/>
      </c>
      <c r="V189">
        <f>HYPERLINK("https://klasma.github.io/Logging_2309/klagomål/A 49572-2024 FSC-klagomål.docx", "A 49572-2024")</f>
        <v/>
      </c>
      <c r="W189">
        <f>HYPERLINK("https://klasma.github.io/Logging_2309/klagomålsmail/A 49572-2024 FSC-klagomål mail.docx", "A 49572-2024")</f>
        <v/>
      </c>
      <c r="X189">
        <f>HYPERLINK("https://klasma.github.io/Logging_2309/tillsyn/A 49572-2024 tillsynsbegäran.docx", "A 49572-2024")</f>
        <v/>
      </c>
      <c r="Y189">
        <f>HYPERLINK("https://klasma.github.io/Logging_2309/tillsynsmail/A 49572-2024 tillsynsbegäran mail.docx", "A 49572-2024")</f>
        <v/>
      </c>
      <c r="Z189">
        <f>HYPERLINK("https://klasma.github.io/Logging_2309/fåglar/A 49572-2024 prioriterade fågelarter.docx", "A 49572-2024")</f>
        <v/>
      </c>
    </row>
    <row r="190" ht="15" customHeight="1">
      <c r="A190" t="inlineStr">
        <is>
          <t>A 55352-2021</t>
        </is>
      </c>
      <c r="B190" s="1" t="n">
        <v>44475</v>
      </c>
      <c r="C190" s="1" t="n">
        <v>46045</v>
      </c>
      <c r="D190" t="inlineStr">
        <is>
          <t>JÄMTLANDS LÄN</t>
        </is>
      </c>
      <c r="E190" t="inlineStr">
        <is>
          <t>KROKOM</t>
        </is>
      </c>
      <c r="G190" t="n">
        <v>1.5</v>
      </c>
      <c r="H190" t="n">
        <v>3</v>
      </c>
      <c r="I190" t="n">
        <v>4</v>
      </c>
      <c r="J190" t="n">
        <v>8</v>
      </c>
      <c r="K190" t="n">
        <v>2</v>
      </c>
      <c r="L190" t="n">
        <v>0</v>
      </c>
      <c r="M190" t="n">
        <v>0</v>
      </c>
      <c r="N190" t="n">
        <v>0</v>
      </c>
      <c r="O190" t="n">
        <v>10</v>
      </c>
      <c r="P190" t="n">
        <v>2</v>
      </c>
      <c r="Q190" t="n">
        <v>14</v>
      </c>
      <c r="R190" s="2" t="inlineStr">
        <is>
          <t>Grantickeporing
Knärot
Garnlav
Granticka
Gränsticka
Spillkråka
Tretåig hackspett
Ullticka
Vitgrynig nållav
Äggvaxskivling
Guldkremla
Korallblylav
Svart trolldruva
Trådticka</t>
        </is>
      </c>
      <c r="S190">
        <f>HYPERLINK("https://klasma.github.io/Logging_2309/artfynd/A 55352-2021 artfynd.xlsx", "A 55352-2021")</f>
        <v/>
      </c>
      <c r="T190">
        <f>HYPERLINK("https://klasma.github.io/Logging_2309/kartor/A 55352-2021 karta.png", "A 55352-2021")</f>
        <v/>
      </c>
      <c r="U190">
        <f>HYPERLINK("https://klasma.github.io/Logging_2309/knärot/A 55352-2021 karta knärot.png", "A 55352-2021")</f>
        <v/>
      </c>
      <c r="V190">
        <f>HYPERLINK("https://klasma.github.io/Logging_2309/klagomål/A 55352-2021 FSC-klagomål.docx", "A 55352-2021")</f>
        <v/>
      </c>
      <c r="W190">
        <f>HYPERLINK("https://klasma.github.io/Logging_2309/klagomålsmail/A 55352-2021 FSC-klagomål mail.docx", "A 55352-2021")</f>
        <v/>
      </c>
      <c r="X190">
        <f>HYPERLINK("https://klasma.github.io/Logging_2309/tillsyn/A 55352-2021 tillsynsbegäran.docx", "A 55352-2021")</f>
        <v/>
      </c>
      <c r="Y190">
        <f>HYPERLINK("https://klasma.github.io/Logging_2309/tillsynsmail/A 55352-2021 tillsynsbegäran mail.docx", "A 55352-2021")</f>
        <v/>
      </c>
      <c r="Z190">
        <f>HYPERLINK("https://klasma.github.io/Logging_2309/fåglar/A 55352-2021 prioriterade fågelarter.docx", "A 55352-2021")</f>
        <v/>
      </c>
    </row>
    <row r="191" ht="15" customHeight="1">
      <c r="A191" t="inlineStr">
        <is>
          <t>A 36309-2024</t>
        </is>
      </c>
      <c r="B191" s="1" t="n">
        <v>45534</v>
      </c>
      <c r="C191" s="1" t="n">
        <v>46045</v>
      </c>
      <c r="D191" t="inlineStr">
        <is>
          <t>JÄMTLANDS LÄN</t>
        </is>
      </c>
      <c r="E191" t="inlineStr">
        <is>
          <t>KROKOM</t>
        </is>
      </c>
      <c r="F191" t="inlineStr">
        <is>
          <t>Övriga Aktiebolag</t>
        </is>
      </c>
      <c r="G191" t="n">
        <v>10.5</v>
      </c>
      <c r="H191" t="n">
        <v>3</v>
      </c>
      <c r="I191" t="n">
        <v>2</v>
      </c>
      <c r="J191" t="n">
        <v>9</v>
      </c>
      <c r="K191" t="n">
        <v>2</v>
      </c>
      <c r="L191" t="n">
        <v>0</v>
      </c>
      <c r="M191" t="n">
        <v>0</v>
      </c>
      <c r="N191" t="n">
        <v>0</v>
      </c>
      <c r="O191" t="n">
        <v>11</v>
      </c>
      <c r="P191" t="n">
        <v>2</v>
      </c>
      <c r="Q191" t="n">
        <v>14</v>
      </c>
      <c r="R191" s="2" t="inlineStr">
        <is>
          <t>Knärot
Sprickporing
Doftskinn
Garnlav
Granticka
Harticka
Koralltaggsvamp
Lunglav
Skrovellav
Tretåig hackspett
Ullticka
Diskvaxskivling
Korallblylav
Lavskrika</t>
        </is>
      </c>
      <c r="S191">
        <f>HYPERLINK("https://klasma.github.io/Logging_2309/artfynd/A 36309-2024 artfynd.xlsx", "A 36309-2024")</f>
        <v/>
      </c>
      <c r="T191">
        <f>HYPERLINK("https://klasma.github.io/Logging_2309/kartor/A 36309-2024 karta.png", "A 36309-2024")</f>
        <v/>
      </c>
      <c r="U191">
        <f>HYPERLINK("https://klasma.github.io/Logging_2309/knärot/A 36309-2024 karta knärot.png", "A 36309-2024")</f>
        <v/>
      </c>
      <c r="V191">
        <f>HYPERLINK("https://klasma.github.io/Logging_2309/klagomål/A 36309-2024 FSC-klagomål.docx", "A 36309-2024")</f>
        <v/>
      </c>
      <c r="W191">
        <f>HYPERLINK("https://klasma.github.io/Logging_2309/klagomålsmail/A 36309-2024 FSC-klagomål mail.docx", "A 36309-2024")</f>
        <v/>
      </c>
      <c r="X191">
        <f>HYPERLINK("https://klasma.github.io/Logging_2309/tillsyn/A 36309-2024 tillsynsbegäran.docx", "A 36309-2024")</f>
        <v/>
      </c>
      <c r="Y191">
        <f>HYPERLINK("https://klasma.github.io/Logging_2309/tillsynsmail/A 36309-2024 tillsynsbegäran mail.docx", "A 36309-2024")</f>
        <v/>
      </c>
      <c r="Z191">
        <f>HYPERLINK("https://klasma.github.io/Logging_2309/fåglar/A 36309-2024 prioriterade fågelarter.docx", "A 36309-2024")</f>
        <v/>
      </c>
    </row>
    <row r="192" ht="15" customHeight="1">
      <c r="A192" t="inlineStr">
        <is>
          <t>A 38683-2022</t>
        </is>
      </c>
      <c r="B192" s="1" t="n">
        <v>44813</v>
      </c>
      <c r="C192" s="1" t="n">
        <v>46045</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33076-2024</t>
        </is>
      </c>
      <c r="B193" s="1" t="n">
        <v>45517</v>
      </c>
      <c r="C193" s="1" t="n">
        <v>46045</v>
      </c>
      <c r="D193" t="inlineStr">
        <is>
          <t>JÄMTLANDS LÄN</t>
        </is>
      </c>
      <c r="E193" t="inlineStr">
        <is>
          <t>BERG</t>
        </is>
      </c>
      <c r="G193" t="n">
        <v>7.9</v>
      </c>
      <c r="H193" t="n">
        <v>5</v>
      </c>
      <c r="I193" t="n">
        <v>2</v>
      </c>
      <c r="J193" t="n">
        <v>9</v>
      </c>
      <c r="K193" t="n">
        <v>1</v>
      </c>
      <c r="L193" t="n">
        <v>0</v>
      </c>
      <c r="M193" t="n">
        <v>0</v>
      </c>
      <c r="N193" t="n">
        <v>0</v>
      </c>
      <c r="O193" t="n">
        <v>10</v>
      </c>
      <c r="P193" t="n">
        <v>1</v>
      </c>
      <c r="Q193" t="n">
        <v>14</v>
      </c>
      <c r="R193" s="2" t="inlineStr">
        <is>
          <t>Knärot
Blanksvart spiklav
Garnlav
Granticka
Lunglav
Mörk kolflarnlav
Talltita
Tretåig hackspett
Ullticka
Vitgrynig nållav
Dropptaggsvamp
Sotlav
Orre
Tjäder</t>
        </is>
      </c>
      <c r="S193">
        <f>HYPERLINK("https://klasma.github.io/Logging_2326/artfynd/A 33076-2024 artfynd.xlsx", "A 33076-2024")</f>
        <v/>
      </c>
      <c r="T193">
        <f>HYPERLINK("https://klasma.github.io/Logging_2326/kartor/A 33076-2024 karta.png", "A 33076-2024")</f>
        <v/>
      </c>
      <c r="U193">
        <f>HYPERLINK("https://klasma.github.io/Logging_2326/knärot/A 33076-2024 karta knärot.png", "A 33076-2024")</f>
        <v/>
      </c>
      <c r="V193">
        <f>HYPERLINK("https://klasma.github.io/Logging_2326/klagomål/A 33076-2024 FSC-klagomål.docx", "A 33076-2024")</f>
        <v/>
      </c>
      <c r="W193">
        <f>HYPERLINK("https://klasma.github.io/Logging_2326/klagomålsmail/A 33076-2024 FSC-klagomål mail.docx", "A 33076-2024")</f>
        <v/>
      </c>
      <c r="X193">
        <f>HYPERLINK("https://klasma.github.io/Logging_2326/tillsyn/A 33076-2024 tillsynsbegäran.docx", "A 33076-2024")</f>
        <v/>
      </c>
      <c r="Y193">
        <f>HYPERLINK("https://klasma.github.io/Logging_2326/tillsynsmail/A 33076-2024 tillsynsbegäran mail.docx", "A 33076-2024")</f>
        <v/>
      </c>
      <c r="Z193">
        <f>HYPERLINK("https://klasma.github.io/Logging_2326/fåglar/A 33076-2024 prioriterade fågelarter.docx", "A 33076-2024")</f>
        <v/>
      </c>
    </row>
    <row r="194" ht="15" customHeight="1">
      <c r="A194" t="inlineStr">
        <is>
          <t>A 19403-2024</t>
        </is>
      </c>
      <c r="B194" s="1" t="n">
        <v>45428</v>
      </c>
      <c r="C194" s="1" t="n">
        <v>46045</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22528-2021</t>
        </is>
      </c>
      <c r="B195" s="1" t="n">
        <v>44326</v>
      </c>
      <c r="C195" s="1" t="n">
        <v>46045</v>
      </c>
      <c r="D195" t="inlineStr">
        <is>
          <t>JÄMTLANDS LÄN</t>
        </is>
      </c>
      <c r="E195" t="inlineStr">
        <is>
          <t>STRÖMSUND</t>
        </is>
      </c>
      <c r="F195" t="inlineStr">
        <is>
          <t>SCA</t>
        </is>
      </c>
      <c r="G195" t="n">
        <v>5.9</v>
      </c>
      <c r="H195" t="n">
        <v>5</v>
      </c>
      <c r="I195" t="n">
        <v>3</v>
      </c>
      <c r="J195" t="n">
        <v>8</v>
      </c>
      <c r="K195" t="n">
        <v>2</v>
      </c>
      <c r="L195" t="n">
        <v>0</v>
      </c>
      <c r="M195" t="n">
        <v>0</v>
      </c>
      <c r="N195" t="n">
        <v>0</v>
      </c>
      <c r="O195" t="n">
        <v>10</v>
      </c>
      <c r="P195" t="n">
        <v>2</v>
      </c>
      <c r="Q195" t="n">
        <v>14</v>
      </c>
      <c r="R195" s="2" t="inlineStr">
        <is>
          <t>Knärot
Smultronkantarell
Garnlav
Kolflarnlav
Rosenticka
Tallticka
Talltita
Tretåig hackspett
Ullticka
Vedskivlav
Dropptaggsvamp
Flagellkvastmossa
Plattlummer
Revlummer</t>
        </is>
      </c>
      <c r="S195">
        <f>HYPERLINK("https://klasma.github.io/Logging_2313/artfynd/A 22528-2021 artfynd.xlsx", "A 22528-2021")</f>
        <v/>
      </c>
      <c r="T195">
        <f>HYPERLINK("https://klasma.github.io/Logging_2313/kartor/A 22528-2021 karta.png", "A 22528-2021")</f>
        <v/>
      </c>
      <c r="U195">
        <f>HYPERLINK("https://klasma.github.io/Logging_2313/knärot/A 22528-2021 karta knärot.png", "A 22528-2021")</f>
        <v/>
      </c>
      <c r="V195">
        <f>HYPERLINK("https://klasma.github.io/Logging_2313/klagomål/A 22528-2021 FSC-klagomål.docx", "A 22528-2021")</f>
        <v/>
      </c>
      <c r="W195">
        <f>HYPERLINK("https://klasma.github.io/Logging_2313/klagomålsmail/A 22528-2021 FSC-klagomål mail.docx", "A 22528-2021")</f>
        <v/>
      </c>
      <c r="X195">
        <f>HYPERLINK("https://klasma.github.io/Logging_2313/tillsyn/A 22528-2021 tillsynsbegäran.docx", "A 22528-2021")</f>
        <v/>
      </c>
      <c r="Y195">
        <f>HYPERLINK("https://klasma.github.io/Logging_2313/tillsynsmail/A 22528-2021 tillsynsbegäran mail.docx", "A 22528-2021")</f>
        <v/>
      </c>
      <c r="Z195">
        <f>HYPERLINK("https://klasma.github.io/Logging_2313/fåglar/A 22528-2021 prioriterade fågelarter.docx", "A 22528-2021")</f>
        <v/>
      </c>
    </row>
    <row r="196" ht="15" customHeight="1">
      <c r="A196" t="inlineStr">
        <is>
          <t>A 54353-2025</t>
        </is>
      </c>
      <c r="B196" s="1" t="n">
        <v>45965.3778125</v>
      </c>
      <c r="C196" s="1" t="n">
        <v>46045</v>
      </c>
      <c r="D196" t="inlineStr">
        <is>
          <t>JÄMTLANDS LÄN</t>
        </is>
      </c>
      <c r="E196" t="inlineStr">
        <is>
          <t>KROKOM</t>
        </is>
      </c>
      <c r="G196" t="n">
        <v>6.9</v>
      </c>
      <c r="H196" t="n">
        <v>3</v>
      </c>
      <c r="I196" t="n">
        <v>2</v>
      </c>
      <c r="J196" t="n">
        <v>9</v>
      </c>
      <c r="K196" t="n">
        <v>1</v>
      </c>
      <c r="L196" t="n">
        <v>0</v>
      </c>
      <c r="M196" t="n">
        <v>0</v>
      </c>
      <c r="N196" t="n">
        <v>0</v>
      </c>
      <c r="O196" t="n">
        <v>10</v>
      </c>
      <c r="P196" t="n">
        <v>1</v>
      </c>
      <c r="Q196" t="n">
        <v>14</v>
      </c>
      <c r="R196" s="2" t="inlineStr">
        <is>
          <t>Rynkskinn
Doftskinn
Garnlav
Granticka
Gränsticka
Harticka
Lunglav
Skrovellav
Tretåig hackspett
Ullticka
Luddlav
Stuplav
Lavskrika
Revlummer</t>
        </is>
      </c>
      <c r="S196">
        <f>HYPERLINK("https://klasma.github.io/Logging_2309/artfynd/A 54353-2025 artfynd.xlsx", "A 54353-2025")</f>
        <v/>
      </c>
      <c r="T196">
        <f>HYPERLINK("https://klasma.github.io/Logging_2309/kartor/A 54353-2025 karta.png", "A 54353-2025")</f>
        <v/>
      </c>
      <c r="V196">
        <f>HYPERLINK("https://klasma.github.io/Logging_2309/klagomål/A 54353-2025 FSC-klagomål.docx", "A 54353-2025")</f>
        <v/>
      </c>
      <c r="W196">
        <f>HYPERLINK("https://klasma.github.io/Logging_2309/klagomålsmail/A 54353-2025 FSC-klagomål mail.docx", "A 54353-2025")</f>
        <v/>
      </c>
      <c r="X196">
        <f>HYPERLINK("https://klasma.github.io/Logging_2309/tillsyn/A 54353-2025 tillsynsbegäran.docx", "A 54353-2025")</f>
        <v/>
      </c>
      <c r="Y196">
        <f>HYPERLINK("https://klasma.github.io/Logging_2309/tillsynsmail/A 54353-2025 tillsynsbegäran mail.docx", "A 54353-2025")</f>
        <v/>
      </c>
      <c r="Z196">
        <f>HYPERLINK("https://klasma.github.io/Logging_2309/fåglar/A 54353-2025 prioriterade fågelarter.docx", "A 54353-2025")</f>
        <v/>
      </c>
    </row>
    <row r="197" ht="15" customHeight="1">
      <c r="A197" t="inlineStr">
        <is>
          <t>A 18303-2024</t>
        </is>
      </c>
      <c r="B197" s="1" t="n">
        <v>45422</v>
      </c>
      <c r="C197" s="1" t="n">
        <v>46045</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57827-2024</t>
        </is>
      </c>
      <c r="B198" s="1" t="n">
        <v>45631</v>
      </c>
      <c r="C198" s="1" t="n">
        <v>46045</v>
      </c>
      <c r="D198" t="inlineStr">
        <is>
          <t>JÄMTLANDS LÄN</t>
        </is>
      </c>
      <c r="E198" t="inlineStr">
        <is>
          <t>HÄRJEDALEN</t>
        </is>
      </c>
      <c r="F198" t="inlineStr">
        <is>
          <t>Bergvik skog väst AB</t>
        </is>
      </c>
      <c r="G198" t="n">
        <v>273.9</v>
      </c>
      <c r="H198" t="n">
        <v>2</v>
      </c>
      <c r="I198" t="n">
        <v>0</v>
      </c>
      <c r="J198" t="n">
        <v>12</v>
      </c>
      <c r="K198" t="n">
        <v>2</v>
      </c>
      <c r="L198" t="n">
        <v>0</v>
      </c>
      <c r="M198" t="n">
        <v>0</v>
      </c>
      <c r="N198" t="n">
        <v>0</v>
      </c>
      <c r="O198" t="n">
        <v>14</v>
      </c>
      <c r="P198" t="n">
        <v>2</v>
      </c>
      <c r="Q198" t="n">
        <v>14</v>
      </c>
      <c r="R198" s="2" t="inlineStr">
        <is>
          <t>Gräddporing
Ostticka
Blanksvart spiklav
Gammelgransskål
Garnlav
Granticka
Gränsticka
Harticka
Knottrig blåslav
Rosenticka
Talltita
Tretåig hackspett
Ullticka
Vedflamlav</t>
        </is>
      </c>
      <c r="S198">
        <f>HYPERLINK("https://klasma.github.io/Logging_2361/artfynd/A 57827-2024 artfynd.xlsx", "A 57827-2024")</f>
        <v/>
      </c>
      <c r="T198">
        <f>HYPERLINK("https://klasma.github.io/Logging_2361/kartor/A 57827-2024 karta.png", "A 57827-2024")</f>
        <v/>
      </c>
      <c r="V198">
        <f>HYPERLINK("https://klasma.github.io/Logging_2361/klagomål/A 57827-2024 FSC-klagomål.docx", "A 57827-2024")</f>
        <v/>
      </c>
      <c r="W198">
        <f>HYPERLINK("https://klasma.github.io/Logging_2361/klagomålsmail/A 57827-2024 FSC-klagomål mail.docx", "A 57827-2024")</f>
        <v/>
      </c>
      <c r="X198">
        <f>HYPERLINK("https://klasma.github.io/Logging_2361/tillsyn/A 57827-2024 tillsynsbegäran.docx", "A 57827-2024")</f>
        <v/>
      </c>
      <c r="Y198">
        <f>HYPERLINK("https://klasma.github.io/Logging_2361/tillsynsmail/A 57827-2024 tillsynsbegäran mail.docx", "A 57827-2024")</f>
        <v/>
      </c>
      <c r="Z198">
        <f>HYPERLINK("https://klasma.github.io/Logging_2361/fåglar/A 57827-2024 prioriterade fågelarter.docx", "A 57827-2024")</f>
        <v/>
      </c>
    </row>
    <row r="199" ht="15" customHeight="1">
      <c r="A199" t="inlineStr">
        <is>
          <t>A 43927-2024</t>
        </is>
      </c>
      <c r="B199" s="1" t="n">
        <v>45572</v>
      </c>
      <c r="C199" s="1" t="n">
        <v>46045</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31817-2025</t>
        </is>
      </c>
      <c r="B200" s="1" t="n">
        <v>45834</v>
      </c>
      <c r="C200" s="1" t="n">
        <v>46045</v>
      </c>
      <c r="D200" t="inlineStr">
        <is>
          <t>JÄMTLANDS LÄN</t>
        </is>
      </c>
      <c r="E200" t="inlineStr">
        <is>
          <t>STRÖMSUND</t>
        </is>
      </c>
      <c r="G200" t="n">
        <v>28.1</v>
      </c>
      <c r="H200" t="n">
        <v>2</v>
      </c>
      <c r="I200" t="n">
        <v>1</v>
      </c>
      <c r="J200" t="n">
        <v>11</v>
      </c>
      <c r="K200" t="n">
        <v>2</v>
      </c>
      <c r="L200" t="n">
        <v>0</v>
      </c>
      <c r="M200" t="n">
        <v>0</v>
      </c>
      <c r="N200" t="n">
        <v>0</v>
      </c>
      <c r="O200" t="n">
        <v>13</v>
      </c>
      <c r="P200" t="n">
        <v>2</v>
      </c>
      <c r="Q200" t="n">
        <v>14</v>
      </c>
      <c r="R200" s="2" t="inlineStr">
        <is>
          <t>Rynkskinn
Ulltickeporing
Doftskinn
Garnlav
Granticka
Gränsticka
Harticka
Lunglav
Rosenticka
Skrovellav
Spillkråka
Tretåig hackspett
Ullticka
Brun klibbskivling</t>
        </is>
      </c>
      <c r="S200">
        <f>HYPERLINK("https://klasma.github.io/Logging_2313/artfynd/A 31817-2025 artfynd.xlsx", "A 31817-2025")</f>
        <v/>
      </c>
      <c r="T200">
        <f>HYPERLINK("https://klasma.github.io/Logging_2313/kartor/A 31817-2025 karta.png", "A 31817-2025")</f>
        <v/>
      </c>
      <c r="V200">
        <f>HYPERLINK("https://klasma.github.io/Logging_2313/klagomål/A 31817-2025 FSC-klagomål.docx", "A 31817-2025")</f>
        <v/>
      </c>
      <c r="W200">
        <f>HYPERLINK("https://klasma.github.io/Logging_2313/klagomålsmail/A 31817-2025 FSC-klagomål mail.docx", "A 31817-2025")</f>
        <v/>
      </c>
      <c r="X200">
        <f>HYPERLINK("https://klasma.github.io/Logging_2313/tillsyn/A 31817-2025 tillsynsbegäran.docx", "A 31817-2025")</f>
        <v/>
      </c>
      <c r="Y200">
        <f>HYPERLINK("https://klasma.github.io/Logging_2313/tillsynsmail/A 31817-2025 tillsynsbegäran mail.docx", "A 31817-2025")</f>
        <v/>
      </c>
      <c r="Z200">
        <f>HYPERLINK("https://klasma.github.io/Logging_2313/fåglar/A 31817-2025 prioriterade fågelarter.docx", "A 31817-2025")</f>
        <v/>
      </c>
    </row>
    <row r="201" ht="15" customHeight="1">
      <c r="A201" t="inlineStr">
        <is>
          <t>A 2979-2023</t>
        </is>
      </c>
      <c r="B201" s="1" t="n">
        <v>44945</v>
      </c>
      <c r="C201" s="1" t="n">
        <v>46045</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39928-2022</t>
        </is>
      </c>
      <c r="B202" s="1" t="n">
        <v>44819</v>
      </c>
      <c r="C202" s="1" t="n">
        <v>46045</v>
      </c>
      <c r="D202" t="inlineStr">
        <is>
          <t>JÄMTLANDS LÄN</t>
        </is>
      </c>
      <c r="E202" t="inlineStr">
        <is>
          <t>ÖSTERSUND</t>
        </is>
      </c>
      <c r="F202" t="inlineStr">
        <is>
          <t>SCA</t>
        </is>
      </c>
      <c r="G202" t="n">
        <v>8.9</v>
      </c>
      <c r="H202" t="n">
        <v>2</v>
      </c>
      <c r="I202" t="n">
        <v>3</v>
      </c>
      <c r="J202" t="n">
        <v>8</v>
      </c>
      <c r="K202" t="n">
        <v>3</v>
      </c>
      <c r="L202" t="n">
        <v>0</v>
      </c>
      <c r="M202" t="n">
        <v>0</v>
      </c>
      <c r="N202" t="n">
        <v>0</v>
      </c>
      <c r="O202" t="n">
        <v>11</v>
      </c>
      <c r="P202" t="n">
        <v>3</v>
      </c>
      <c r="Q202" t="n">
        <v>14</v>
      </c>
      <c r="R202" s="2" t="inlineStr">
        <is>
          <t>Grangråticka
Läderdoftande fingersvamp
Rynkskinn
Blå taggsvamp
Grantaggsvamp
Granticka
Harticka
Rosenticka
Spillkråka
Svart taggsvamp
Tretåig hackspett
Fjällig taggsvamp s.str.
Svavelriska
Trådticka</t>
        </is>
      </c>
      <c r="S202">
        <f>HYPERLINK("https://klasma.github.io/Logging_2380/artfynd/A 39928-2022 artfynd.xlsx", "A 39928-2022")</f>
        <v/>
      </c>
      <c r="T202">
        <f>HYPERLINK("https://klasma.github.io/Logging_2380/kartor/A 39928-2022 karta.png", "A 39928-2022")</f>
        <v/>
      </c>
      <c r="V202">
        <f>HYPERLINK("https://klasma.github.io/Logging_2380/klagomål/A 39928-2022 FSC-klagomål.docx", "A 39928-2022")</f>
        <v/>
      </c>
      <c r="W202">
        <f>HYPERLINK("https://klasma.github.io/Logging_2380/klagomålsmail/A 39928-2022 FSC-klagomål mail.docx", "A 39928-2022")</f>
        <v/>
      </c>
      <c r="X202">
        <f>HYPERLINK("https://klasma.github.io/Logging_2380/tillsyn/A 39928-2022 tillsynsbegäran.docx", "A 39928-2022")</f>
        <v/>
      </c>
      <c r="Y202">
        <f>HYPERLINK("https://klasma.github.io/Logging_2380/tillsynsmail/A 39928-2022 tillsynsbegäran mail.docx", "A 39928-2022")</f>
        <v/>
      </c>
      <c r="Z202">
        <f>HYPERLINK("https://klasma.github.io/Logging_2380/fåglar/A 39928-2022 prioriterade fågelarter.docx", "A 39928-2022")</f>
        <v/>
      </c>
    </row>
    <row r="203" ht="15" customHeight="1">
      <c r="A203" t="inlineStr">
        <is>
          <t>A 18561-2021</t>
        </is>
      </c>
      <c r="B203" s="1" t="n">
        <v>44306.52587962963</v>
      </c>
      <c r="C203" s="1" t="n">
        <v>46045</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46045</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46045</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45557-2021</t>
        </is>
      </c>
      <c r="B206" s="1" t="n">
        <v>44440</v>
      </c>
      <c r="C206" s="1" t="n">
        <v>46045</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22204-2021</t>
        </is>
      </c>
      <c r="B207" s="1" t="n">
        <v>44326</v>
      </c>
      <c r="C207" s="1" t="n">
        <v>46045</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58085-2024</t>
        </is>
      </c>
      <c r="B208" s="1" t="n">
        <v>45632</v>
      </c>
      <c r="C208" s="1" t="n">
        <v>46045</v>
      </c>
      <c r="D208" t="inlineStr">
        <is>
          <t>JÄMTLANDS LÄN</t>
        </is>
      </c>
      <c r="E208" t="inlineStr">
        <is>
          <t>BRÄCKE</t>
        </is>
      </c>
      <c r="F208" t="inlineStr">
        <is>
          <t>SCA</t>
        </is>
      </c>
      <c r="G208" t="n">
        <v>12.3</v>
      </c>
      <c r="H208" t="n">
        <v>3</v>
      </c>
      <c r="I208" t="n">
        <v>5</v>
      </c>
      <c r="J208" t="n">
        <v>6</v>
      </c>
      <c r="K208" t="n">
        <v>1</v>
      </c>
      <c r="L208" t="n">
        <v>0</v>
      </c>
      <c r="M208" t="n">
        <v>0</v>
      </c>
      <c r="N208" t="n">
        <v>0</v>
      </c>
      <c r="O208" t="n">
        <v>7</v>
      </c>
      <c r="P208" t="n">
        <v>1</v>
      </c>
      <c r="Q208" t="n">
        <v>13</v>
      </c>
      <c r="R208" s="2" t="inlineStr">
        <is>
          <t>Knärot
Garnlav
Granticka
Lunglav
Tretåig hackspett
Ullticka
Vitgrynig nållav
Barkkornlav
Luddlav
Mörk husmossa
Stor aspticka
Stuplav
Revlummer</t>
        </is>
      </c>
      <c r="S208">
        <f>HYPERLINK("https://klasma.github.io/Logging_2305/artfynd/A 58085-2024 artfynd.xlsx", "A 58085-2024")</f>
        <v/>
      </c>
      <c r="T208">
        <f>HYPERLINK("https://klasma.github.io/Logging_2305/kartor/A 58085-2024 karta.png", "A 58085-2024")</f>
        <v/>
      </c>
      <c r="U208">
        <f>HYPERLINK("https://klasma.github.io/Logging_2305/knärot/A 58085-2024 karta knärot.png", "A 58085-2024")</f>
        <v/>
      </c>
      <c r="V208">
        <f>HYPERLINK("https://klasma.github.io/Logging_2305/klagomål/A 58085-2024 FSC-klagomål.docx", "A 58085-2024")</f>
        <v/>
      </c>
      <c r="W208">
        <f>HYPERLINK("https://klasma.github.io/Logging_2305/klagomålsmail/A 58085-2024 FSC-klagomål mail.docx", "A 58085-2024")</f>
        <v/>
      </c>
      <c r="X208">
        <f>HYPERLINK("https://klasma.github.io/Logging_2305/tillsyn/A 58085-2024 tillsynsbegäran.docx", "A 58085-2024")</f>
        <v/>
      </c>
      <c r="Y208">
        <f>HYPERLINK("https://klasma.github.io/Logging_2305/tillsynsmail/A 58085-2024 tillsynsbegäran mail.docx", "A 58085-2024")</f>
        <v/>
      </c>
      <c r="Z208">
        <f>HYPERLINK("https://klasma.github.io/Logging_2305/fåglar/A 58085-2024 prioriterade fågelarter.docx", "A 58085-2024")</f>
        <v/>
      </c>
    </row>
    <row r="209" ht="15" customHeight="1">
      <c r="A209" t="inlineStr">
        <is>
          <t>A 3005-2022</t>
        </is>
      </c>
      <c r="B209" s="1" t="n">
        <v>44581</v>
      </c>
      <c r="C209" s="1" t="n">
        <v>46045</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4945-2025</t>
        </is>
      </c>
      <c r="B210" s="1" t="n">
        <v>45688</v>
      </c>
      <c r="C210" s="1" t="n">
        <v>46045</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38064-2024</t>
        </is>
      </c>
      <c r="B211" s="1" t="n">
        <v>45544</v>
      </c>
      <c r="C211" s="1" t="n">
        <v>46045</v>
      </c>
      <c r="D211" t="inlineStr">
        <is>
          <t>JÄMTLANDS LÄN</t>
        </is>
      </c>
      <c r="E211" t="inlineStr">
        <is>
          <t>HÄRJEDALEN</t>
        </is>
      </c>
      <c r="G211" t="n">
        <v>13</v>
      </c>
      <c r="H211" t="n">
        <v>3</v>
      </c>
      <c r="I211" t="n">
        <v>1</v>
      </c>
      <c r="J211" t="n">
        <v>11</v>
      </c>
      <c r="K211" t="n">
        <v>0</v>
      </c>
      <c r="L211" t="n">
        <v>0</v>
      </c>
      <c r="M211" t="n">
        <v>0</v>
      </c>
      <c r="N211" t="n">
        <v>0</v>
      </c>
      <c r="O211" t="n">
        <v>11</v>
      </c>
      <c r="P211" t="n">
        <v>0</v>
      </c>
      <c r="Q211" t="n">
        <v>13</v>
      </c>
      <c r="R211" s="2" t="inlineStr">
        <is>
          <t>Garnlav
Granticka
Gränsticka
Harticka
Kolflarnlav
Rosenticka
Skrovellav
Tretåig hackspett
Ullticka
Varglav
Vitgrynig nållav
Luddlav
Tjäder</t>
        </is>
      </c>
      <c r="S211">
        <f>HYPERLINK("https://klasma.github.io/Logging_2361/artfynd/A 38064-2024 artfynd.xlsx", "A 38064-2024")</f>
        <v/>
      </c>
      <c r="T211">
        <f>HYPERLINK("https://klasma.github.io/Logging_2361/kartor/A 38064-2024 karta.png", "A 38064-2024")</f>
        <v/>
      </c>
      <c r="V211">
        <f>HYPERLINK("https://klasma.github.io/Logging_2361/klagomål/A 38064-2024 FSC-klagomål.docx", "A 38064-2024")</f>
        <v/>
      </c>
      <c r="W211">
        <f>HYPERLINK("https://klasma.github.io/Logging_2361/klagomålsmail/A 38064-2024 FSC-klagomål mail.docx", "A 38064-2024")</f>
        <v/>
      </c>
      <c r="X211">
        <f>HYPERLINK("https://klasma.github.io/Logging_2361/tillsyn/A 38064-2024 tillsynsbegäran.docx", "A 38064-2024")</f>
        <v/>
      </c>
      <c r="Y211">
        <f>HYPERLINK("https://klasma.github.io/Logging_2361/tillsynsmail/A 38064-2024 tillsynsbegäran mail.docx", "A 38064-2024")</f>
        <v/>
      </c>
      <c r="Z211">
        <f>HYPERLINK("https://klasma.github.io/Logging_2361/fåglar/A 38064-2024 prioriterade fågelarter.docx", "A 38064-2024")</f>
        <v/>
      </c>
    </row>
    <row r="212" ht="15" customHeight="1">
      <c r="A212" t="inlineStr">
        <is>
          <t>A 6089-2025</t>
        </is>
      </c>
      <c r="B212" s="1" t="n">
        <v>45697.72040509259</v>
      </c>
      <c r="C212" s="1" t="n">
        <v>46045</v>
      </c>
      <c r="D212" t="inlineStr">
        <is>
          <t>JÄMTLANDS LÄN</t>
        </is>
      </c>
      <c r="E212" t="inlineStr">
        <is>
          <t>ÅRE</t>
        </is>
      </c>
      <c r="G212" t="n">
        <v>56.2</v>
      </c>
      <c r="H212" t="n">
        <v>0</v>
      </c>
      <c r="I212" t="n">
        <v>3</v>
      </c>
      <c r="J212" t="n">
        <v>10</v>
      </c>
      <c r="K212" t="n">
        <v>0</v>
      </c>
      <c r="L212" t="n">
        <v>0</v>
      </c>
      <c r="M212" t="n">
        <v>0</v>
      </c>
      <c r="N212" t="n">
        <v>0</v>
      </c>
      <c r="O212" t="n">
        <v>10</v>
      </c>
      <c r="P212" t="n">
        <v>0</v>
      </c>
      <c r="Q212" t="n">
        <v>13</v>
      </c>
      <c r="R212" s="2" t="inlineStr">
        <is>
          <t>Gammelgransskål
Garnlav
Granticka
Gränsticka
Kavernularia
Leptoporus mollis
Liten svartspik
Rödbrun blekspik
Skorpgelélav
Skrovellav
Gytterlav
Korallblylav
Stuplav</t>
        </is>
      </c>
      <c r="S212">
        <f>HYPERLINK("https://klasma.github.io/Logging_2321/artfynd/A 6089-2025 artfynd.xlsx", "A 6089-2025")</f>
        <v/>
      </c>
      <c r="T212">
        <f>HYPERLINK("https://klasma.github.io/Logging_2321/kartor/A 6089-2025 karta.png", "A 6089-2025")</f>
        <v/>
      </c>
      <c r="V212">
        <f>HYPERLINK("https://klasma.github.io/Logging_2321/klagomål/A 6089-2025 FSC-klagomål.docx", "A 6089-2025")</f>
        <v/>
      </c>
      <c r="W212">
        <f>HYPERLINK("https://klasma.github.io/Logging_2321/klagomålsmail/A 6089-2025 FSC-klagomål mail.docx", "A 6089-2025")</f>
        <v/>
      </c>
      <c r="X212">
        <f>HYPERLINK("https://klasma.github.io/Logging_2321/tillsyn/A 6089-2025 tillsynsbegäran.docx", "A 6089-2025")</f>
        <v/>
      </c>
      <c r="Y212">
        <f>HYPERLINK("https://klasma.github.io/Logging_2321/tillsynsmail/A 6089-2025 tillsynsbegäran mail.docx", "A 6089-2025")</f>
        <v/>
      </c>
    </row>
    <row r="213" ht="15" customHeight="1">
      <c r="A213" t="inlineStr">
        <is>
          <t>A 27736-2024</t>
        </is>
      </c>
      <c r="B213" s="1" t="n">
        <v>45475</v>
      </c>
      <c r="C213" s="1" t="n">
        <v>46045</v>
      </c>
      <c r="D213" t="inlineStr">
        <is>
          <t>JÄMTLANDS LÄN</t>
        </is>
      </c>
      <c r="E213" t="inlineStr">
        <is>
          <t>KROKOM</t>
        </is>
      </c>
      <c r="F213" t="inlineStr">
        <is>
          <t>Allmännings- och besparingsskogar</t>
        </is>
      </c>
      <c r="G213" t="n">
        <v>39.5</v>
      </c>
      <c r="H213" t="n">
        <v>5</v>
      </c>
      <c r="I213" t="n">
        <v>2</v>
      </c>
      <c r="J213" t="n">
        <v>7</v>
      </c>
      <c r="K213" t="n">
        <v>2</v>
      </c>
      <c r="L213" t="n">
        <v>0</v>
      </c>
      <c r="M213" t="n">
        <v>0</v>
      </c>
      <c r="N213" t="n">
        <v>0</v>
      </c>
      <c r="O213" t="n">
        <v>9</v>
      </c>
      <c r="P213" t="n">
        <v>2</v>
      </c>
      <c r="Q213" t="n">
        <v>13</v>
      </c>
      <c r="R213" s="2" t="inlineStr">
        <is>
          <t>Knärot
Ulltickeporing
Brunklöver
Doftskinn
Garnlav
Granticka
Månlåsbräken
Tretåig hackspett
Ullticka
Gräsull
Tvåblad
Fläcknycklar
Blåsippa</t>
        </is>
      </c>
      <c r="S213">
        <f>HYPERLINK("https://klasma.github.io/Logging_2309/artfynd/A 27736-2024 artfynd.xlsx", "A 27736-2024")</f>
        <v/>
      </c>
      <c r="T213">
        <f>HYPERLINK("https://klasma.github.io/Logging_2309/kartor/A 27736-2024 karta.png", "A 27736-2024")</f>
        <v/>
      </c>
      <c r="U213">
        <f>HYPERLINK("https://klasma.github.io/Logging_2309/knärot/A 27736-2024 karta knärot.png", "A 27736-2024")</f>
        <v/>
      </c>
      <c r="V213">
        <f>HYPERLINK("https://klasma.github.io/Logging_2309/klagomål/A 27736-2024 FSC-klagomål.docx", "A 27736-2024")</f>
        <v/>
      </c>
      <c r="W213">
        <f>HYPERLINK("https://klasma.github.io/Logging_2309/klagomålsmail/A 27736-2024 FSC-klagomål mail.docx", "A 27736-2024")</f>
        <v/>
      </c>
      <c r="X213">
        <f>HYPERLINK("https://klasma.github.io/Logging_2309/tillsyn/A 27736-2024 tillsynsbegäran.docx", "A 27736-2024")</f>
        <v/>
      </c>
      <c r="Y213">
        <f>HYPERLINK("https://klasma.github.io/Logging_2309/tillsynsmail/A 27736-2024 tillsynsbegäran mail.docx", "A 27736-2024")</f>
        <v/>
      </c>
      <c r="Z213">
        <f>HYPERLINK("https://klasma.github.io/Logging_2309/fåglar/A 27736-2024 prioriterade fågelarter.docx", "A 27736-2024")</f>
        <v/>
      </c>
    </row>
    <row r="214" ht="15" customHeight="1">
      <c r="A214" t="inlineStr">
        <is>
          <t>A 23499-2025</t>
        </is>
      </c>
      <c r="B214" s="1" t="n">
        <v>45792</v>
      </c>
      <c r="C214" s="1" t="n">
        <v>46045</v>
      </c>
      <c r="D214" t="inlineStr">
        <is>
          <t>JÄMTLANDS LÄN</t>
        </is>
      </c>
      <c r="E214" t="inlineStr">
        <is>
          <t>KROKOM</t>
        </is>
      </c>
      <c r="G214" t="n">
        <v>4.6</v>
      </c>
      <c r="H214" t="n">
        <v>3</v>
      </c>
      <c r="I214" t="n">
        <v>10</v>
      </c>
      <c r="J214" t="n">
        <v>1</v>
      </c>
      <c r="K214" t="n">
        <v>1</v>
      </c>
      <c r="L214" t="n">
        <v>0</v>
      </c>
      <c r="M214" t="n">
        <v>0</v>
      </c>
      <c r="N214" t="n">
        <v>0</v>
      </c>
      <c r="O214" t="n">
        <v>2</v>
      </c>
      <c r="P214" t="n">
        <v>1</v>
      </c>
      <c r="Q214" t="n">
        <v>13</v>
      </c>
      <c r="R214" s="2" t="inlineStr">
        <is>
          <t>Frösöstarr
Kalkbräken
Brandmusseron
Finbräken
Skogsknipprot
Svart trolldruva
Svavelriska
Tibast
Trådfräken
Tvåblad
Underviol
Ögonpyrola
Blåsippa</t>
        </is>
      </c>
      <c r="S214">
        <f>HYPERLINK("https://klasma.github.io/Logging_2309/artfynd/A 23499-2025 artfynd.xlsx", "A 23499-2025")</f>
        <v/>
      </c>
      <c r="T214">
        <f>HYPERLINK("https://klasma.github.io/Logging_2309/kartor/A 23499-2025 karta.png", "A 23499-2025")</f>
        <v/>
      </c>
      <c r="V214">
        <f>HYPERLINK("https://klasma.github.io/Logging_2309/klagomål/A 23499-2025 FSC-klagomål.docx", "A 23499-2025")</f>
        <v/>
      </c>
      <c r="W214">
        <f>HYPERLINK("https://klasma.github.io/Logging_2309/klagomålsmail/A 23499-2025 FSC-klagomål mail.docx", "A 23499-2025")</f>
        <v/>
      </c>
      <c r="X214">
        <f>HYPERLINK("https://klasma.github.io/Logging_2309/tillsyn/A 23499-2025 tillsynsbegäran.docx", "A 23499-2025")</f>
        <v/>
      </c>
      <c r="Y214">
        <f>HYPERLINK("https://klasma.github.io/Logging_2309/tillsynsmail/A 23499-2025 tillsynsbegäran mail.docx", "A 23499-2025")</f>
        <v/>
      </c>
    </row>
    <row r="215" ht="15" customHeight="1">
      <c r="A215" t="inlineStr">
        <is>
          <t>A 59464-2023</t>
        </is>
      </c>
      <c r="B215" s="1" t="n">
        <v>45254</v>
      </c>
      <c r="C215" s="1" t="n">
        <v>46045</v>
      </c>
      <c r="D215" t="inlineStr">
        <is>
          <t>JÄMTLANDS LÄN</t>
        </is>
      </c>
      <c r="E215" t="inlineStr">
        <is>
          <t>KROKOM</t>
        </is>
      </c>
      <c r="F215" t="inlineStr">
        <is>
          <t>Övriga Aktiebolag</t>
        </is>
      </c>
      <c r="G215" t="n">
        <v>2.5</v>
      </c>
      <c r="H215" t="n">
        <v>3</v>
      </c>
      <c r="I215" t="n">
        <v>3</v>
      </c>
      <c r="J215" t="n">
        <v>7</v>
      </c>
      <c r="K215" t="n">
        <v>2</v>
      </c>
      <c r="L215" t="n">
        <v>0</v>
      </c>
      <c r="M215" t="n">
        <v>0</v>
      </c>
      <c r="N215" t="n">
        <v>0</v>
      </c>
      <c r="O215" t="n">
        <v>9</v>
      </c>
      <c r="P215" t="n">
        <v>2</v>
      </c>
      <c r="Q215" t="n">
        <v>13</v>
      </c>
      <c r="R215" s="2" t="inlineStr">
        <is>
          <t>Norsk näverlav
Rynkskinn
Garnlav
Granticka
Liten svartspik
Spillkråka
Talltita
Ullticka
Vitgrynig nållav
Barkkornlav
Gulnål
Rostfläck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31911-2025</t>
        </is>
      </c>
      <c r="B216" s="1" t="n">
        <v>45834</v>
      </c>
      <c r="C216" s="1" t="n">
        <v>46045</v>
      </c>
      <c r="D216" t="inlineStr">
        <is>
          <t>JÄMTLANDS LÄN</t>
        </is>
      </c>
      <c r="E216" t="inlineStr">
        <is>
          <t>HÄRJEDALEN</t>
        </is>
      </c>
      <c r="F216" t="inlineStr">
        <is>
          <t>Övriga Aktiebolag</t>
        </is>
      </c>
      <c r="G216" t="n">
        <v>4.3</v>
      </c>
      <c r="H216" t="n">
        <v>1</v>
      </c>
      <c r="I216" t="n">
        <v>1</v>
      </c>
      <c r="J216" t="n">
        <v>11</v>
      </c>
      <c r="K216" t="n">
        <v>1</v>
      </c>
      <c r="L216" t="n">
        <v>0</v>
      </c>
      <c r="M216" t="n">
        <v>0</v>
      </c>
      <c r="N216" t="n">
        <v>0</v>
      </c>
      <c r="O216" t="n">
        <v>12</v>
      </c>
      <c r="P216" t="n">
        <v>1</v>
      </c>
      <c r="Q216" t="n">
        <v>13</v>
      </c>
      <c r="R216" s="2" t="inlineStr">
        <is>
          <t>Knärot
Blanksvart spiklav
Blågrå svartspik
Dvärgbägarlav
Kolflarnlav
Kortskaftad ärgspik
Lunglav
Mörk kolflarnlav
Skrovellav
Vedflamlav
Vedskivlav
Violettgrå tagellav
Stuplav</t>
        </is>
      </c>
      <c r="S216">
        <f>HYPERLINK("https://klasma.github.io/Logging_2361/artfynd/A 31911-2025 artfynd.xlsx", "A 31911-2025")</f>
        <v/>
      </c>
      <c r="T216">
        <f>HYPERLINK("https://klasma.github.io/Logging_2361/kartor/A 31911-2025 karta.png", "A 31911-2025")</f>
        <v/>
      </c>
      <c r="U216">
        <f>HYPERLINK("https://klasma.github.io/Logging_2361/knärot/A 31911-2025 karta knärot.png", "A 31911-2025")</f>
        <v/>
      </c>
      <c r="V216">
        <f>HYPERLINK("https://klasma.github.io/Logging_2361/klagomål/A 31911-2025 FSC-klagomål.docx", "A 31911-2025")</f>
        <v/>
      </c>
      <c r="W216">
        <f>HYPERLINK("https://klasma.github.io/Logging_2361/klagomålsmail/A 31911-2025 FSC-klagomål mail.docx", "A 31911-2025")</f>
        <v/>
      </c>
      <c r="X216">
        <f>HYPERLINK("https://klasma.github.io/Logging_2361/tillsyn/A 31911-2025 tillsynsbegäran.docx", "A 31911-2025")</f>
        <v/>
      </c>
      <c r="Y216">
        <f>HYPERLINK("https://klasma.github.io/Logging_2361/tillsynsmail/A 31911-2025 tillsynsbegäran mail.docx", "A 31911-2025")</f>
        <v/>
      </c>
    </row>
    <row r="217" ht="15" customHeight="1">
      <c r="A217" t="inlineStr">
        <is>
          <t>A 61981-2025</t>
        </is>
      </c>
      <c r="B217" s="1" t="n">
        <v>46003.61548611111</v>
      </c>
      <c r="C217" s="1" t="n">
        <v>46045</v>
      </c>
      <c r="D217" t="inlineStr">
        <is>
          <t>JÄMTLANDS LÄN</t>
        </is>
      </c>
      <c r="E217" t="inlineStr">
        <is>
          <t>BRÄCKE</t>
        </is>
      </c>
      <c r="F217" t="inlineStr">
        <is>
          <t>SCA</t>
        </is>
      </c>
      <c r="G217" t="n">
        <v>8</v>
      </c>
      <c r="H217" t="n">
        <v>2</v>
      </c>
      <c r="I217" t="n">
        <v>1</v>
      </c>
      <c r="J217" t="n">
        <v>7</v>
      </c>
      <c r="K217" t="n">
        <v>4</v>
      </c>
      <c r="L217" t="n">
        <v>0</v>
      </c>
      <c r="M217" t="n">
        <v>0</v>
      </c>
      <c r="N217" t="n">
        <v>0</v>
      </c>
      <c r="O217" t="n">
        <v>11</v>
      </c>
      <c r="P217" t="n">
        <v>4</v>
      </c>
      <c r="Q217" t="n">
        <v>13</v>
      </c>
      <c r="R217" s="2" t="inlineStr">
        <is>
          <t>Fläckporing
Gräddporing
Knärot
Rynkskinn
Dvärgbägarlav
Kolflarnlav
Mörk kolflarnlav
Nordtagging
Ullticka
Vedflamlav
Vedskivlav
Vedticka
Revlummer</t>
        </is>
      </c>
      <c r="S217">
        <f>HYPERLINK("https://klasma.github.io/Logging_2305/artfynd/A 61981-2025 artfynd.xlsx", "A 61981-2025")</f>
        <v/>
      </c>
      <c r="T217">
        <f>HYPERLINK("https://klasma.github.io/Logging_2305/kartor/A 61981-2025 karta.png", "A 61981-2025")</f>
        <v/>
      </c>
      <c r="U217">
        <f>HYPERLINK("https://klasma.github.io/Logging_2305/knärot/A 61981-2025 karta knärot.png", "A 61981-2025")</f>
        <v/>
      </c>
      <c r="V217">
        <f>HYPERLINK("https://klasma.github.io/Logging_2305/klagomål/A 61981-2025 FSC-klagomål.docx", "A 61981-2025")</f>
        <v/>
      </c>
      <c r="W217">
        <f>HYPERLINK("https://klasma.github.io/Logging_2305/klagomålsmail/A 61981-2025 FSC-klagomål mail.docx", "A 61981-2025")</f>
        <v/>
      </c>
      <c r="X217">
        <f>HYPERLINK("https://klasma.github.io/Logging_2305/tillsyn/A 61981-2025 tillsynsbegäran.docx", "A 61981-2025")</f>
        <v/>
      </c>
      <c r="Y217">
        <f>HYPERLINK("https://klasma.github.io/Logging_2305/tillsynsmail/A 61981-2025 tillsynsbegäran mail.docx", "A 61981-2025")</f>
        <v/>
      </c>
    </row>
    <row r="218" ht="15" customHeight="1">
      <c r="A218" t="inlineStr">
        <is>
          <t>A 54517-2025</t>
        </is>
      </c>
      <c r="B218" s="1" t="n">
        <v>45965</v>
      </c>
      <c r="C218" s="1" t="n">
        <v>46045</v>
      </c>
      <c r="D218" t="inlineStr">
        <is>
          <t>JÄMTLANDS LÄN</t>
        </is>
      </c>
      <c r="E218" t="inlineStr">
        <is>
          <t>ÖSTERSUND</t>
        </is>
      </c>
      <c r="G218" t="n">
        <v>2.3</v>
      </c>
      <c r="H218" t="n">
        <v>6</v>
      </c>
      <c r="I218" t="n">
        <v>1</v>
      </c>
      <c r="J218" t="n">
        <v>7</v>
      </c>
      <c r="K218" t="n">
        <v>2</v>
      </c>
      <c r="L218" t="n">
        <v>0</v>
      </c>
      <c r="M218" t="n">
        <v>0</v>
      </c>
      <c r="N218" t="n">
        <v>0</v>
      </c>
      <c r="O218" t="n">
        <v>9</v>
      </c>
      <c r="P218" t="n">
        <v>2</v>
      </c>
      <c r="Q218" t="n">
        <v>13</v>
      </c>
      <c r="R218" s="2" t="inlineStr">
        <is>
          <t>Knärot
Sprickporing
Björktrast
Garnlav
Granticka
Lunglav
Rosenticka
Talltita
Ullticka
Stuplav
Kungsfågel
Blåsippa
Revlummer</t>
        </is>
      </c>
      <c r="S218">
        <f>HYPERLINK("https://klasma.github.io/Logging_2380/artfynd/A 54517-2025 artfynd.xlsx", "A 54517-2025")</f>
        <v/>
      </c>
      <c r="T218">
        <f>HYPERLINK("https://klasma.github.io/Logging_2380/kartor/A 54517-2025 karta.png", "A 54517-2025")</f>
        <v/>
      </c>
      <c r="U218">
        <f>HYPERLINK("https://klasma.github.io/Logging_2380/knärot/A 54517-2025 karta knärot.png", "A 54517-2025")</f>
        <v/>
      </c>
      <c r="V218">
        <f>HYPERLINK("https://klasma.github.io/Logging_2380/klagomål/A 54517-2025 FSC-klagomål.docx", "A 54517-2025")</f>
        <v/>
      </c>
      <c r="W218">
        <f>HYPERLINK("https://klasma.github.io/Logging_2380/klagomålsmail/A 54517-2025 FSC-klagomål mail.docx", "A 54517-2025")</f>
        <v/>
      </c>
      <c r="X218">
        <f>HYPERLINK("https://klasma.github.io/Logging_2380/tillsyn/A 54517-2025 tillsynsbegäran.docx", "A 54517-2025")</f>
        <v/>
      </c>
      <c r="Y218">
        <f>HYPERLINK("https://klasma.github.io/Logging_2380/tillsynsmail/A 54517-2025 tillsynsbegäran mail.docx", "A 54517-2025")</f>
        <v/>
      </c>
      <c r="Z218">
        <f>HYPERLINK("https://klasma.github.io/Logging_2380/fåglar/A 54517-2025 prioriterade fågelarter.docx", "A 54517-2025")</f>
        <v/>
      </c>
    </row>
    <row r="219" ht="15" customHeight="1">
      <c r="A219" t="inlineStr">
        <is>
          <t>A 32037-2025</t>
        </is>
      </c>
      <c r="B219" s="1" t="n">
        <v>45835.42688657407</v>
      </c>
      <c r="C219" s="1" t="n">
        <v>46045</v>
      </c>
      <c r="D219" t="inlineStr">
        <is>
          <t>JÄMTLANDS LÄN</t>
        </is>
      </c>
      <c r="E219" t="inlineStr">
        <is>
          <t>ÅRE</t>
        </is>
      </c>
      <c r="G219" t="n">
        <v>16.6</v>
      </c>
      <c r="H219" t="n">
        <v>7</v>
      </c>
      <c r="I219" t="n">
        <v>2</v>
      </c>
      <c r="J219" t="n">
        <v>6</v>
      </c>
      <c r="K219" t="n">
        <v>1</v>
      </c>
      <c r="L219" t="n">
        <v>0</v>
      </c>
      <c r="M219" t="n">
        <v>0</v>
      </c>
      <c r="N219" t="n">
        <v>0</v>
      </c>
      <c r="O219" t="n">
        <v>7</v>
      </c>
      <c r="P219" t="n">
        <v>1</v>
      </c>
      <c r="Q219" t="n">
        <v>13</v>
      </c>
      <c r="R219" s="2" t="inlineStr">
        <is>
          <t>Knärot
Gammelgransskål
Garnlav
Lunglav
Skrovellav
Ullticka
Vitgrynig nållav
Spindelblomster
Tvåblad
Tjäder
Fläcknycklar
Ängsnycklar
Revlummer</t>
        </is>
      </c>
      <c r="S219">
        <f>HYPERLINK("https://klasma.github.io/Logging_2321/artfynd/A 32037-2025 artfynd.xlsx", "A 32037-2025")</f>
        <v/>
      </c>
      <c r="T219">
        <f>HYPERLINK("https://klasma.github.io/Logging_2321/kartor/A 32037-2025 karta.png", "A 32037-2025")</f>
        <v/>
      </c>
      <c r="U219">
        <f>HYPERLINK("https://klasma.github.io/Logging_2321/knärot/A 32037-2025 karta knärot.png", "A 32037-2025")</f>
        <v/>
      </c>
      <c r="V219">
        <f>HYPERLINK("https://klasma.github.io/Logging_2321/klagomål/A 32037-2025 FSC-klagomål.docx", "A 32037-2025")</f>
        <v/>
      </c>
      <c r="W219">
        <f>HYPERLINK("https://klasma.github.io/Logging_2321/klagomålsmail/A 32037-2025 FSC-klagomål mail.docx", "A 32037-2025")</f>
        <v/>
      </c>
      <c r="X219">
        <f>HYPERLINK("https://klasma.github.io/Logging_2321/tillsyn/A 32037-2025 tillsynsbegäran.docx", "A 32037-2025")</f>
        <v/>
      </c>
      <c r="Y219">
        <f>HYPERLINK("https://klasma.github.io/Logging_2321/tillsynsmail/A 32037-2025 tillsynsbegäran mail.docx", "A 32037-2025")</f>
        <v/>
      </c>
      <c r="Z219">
        <f>HYPERLINK("https://klasma.github.io/Logging_2321/fåglar/A 32037-2025 prioriterade fågelarter.docx", "A 32037-2025")</f>
        <v/>
      </c>
    </row>
    <row r="220" ht="15" customHeight="1">
      <c r="A220" t="inlineStr">
        <is>
          <t>A 1318-2026</t>
        </is>
      </c>
      <c r="B220" s="1" t="n">
        <v>46031.54258101852</v>
      </c>
      <c r="C220" s="1" t="n">
        <v>46045</v>
      </c>
      <c r="D220" t="inlineStr">
        <is>
          <t>JÄMTLANDS LÄN</t>
        </is>
      </c>
      <c r="E220" t="inlineStr">
        <is>
          <t>STRÖMSUND</t>
        </is>
      </c>
      <c r="G220" t="n">
        <v>28.4</v>
      </c>
      <c r="H220" t="n">
        <v>3</v>
      </c>
      <c r="I220" t="n">
        <v>8</v>
      </c>
      <c r="J220" t="n">
        <v>5</v>
      </c>
      <c r="K220" t="n">
        <v>0</v>
      </c>
      <c r="L220" t="n">
        <v>0</v>
      </c>
      <c r="M220" t="n">
        <v>0</v>
      </c>
      <c r="N220" t="n">
        <v>0</v>
      </c>
      <c r="O220" t="n">
        <v>5</v>
      </c>
      <c r="P220" t="n">
        <v>0</v>
      </c>
      <c r="Q220" t="n">
        <v>13</v>
      </c>
      <c r="R220" s="2" t="inlineStr">
        <is>
          <t>Garnlav
Granticka
Lunglav
Skrovellav
Tretåig hackspett
Finbräken
Kransrams
Luddlav
Plattlummer
Stuplav
Svart trolldruva
Tvåblad
Underviol</t>
        </is>
      </c>
      <c r="S220">
        <f>HYPERLINK("https://klasma.github.io/Logging_2313/artfynd/A 1318-2026 artfynd.xlsx", "A 1318-2026")</f>
        <v/>
      </c>
      <c r="T220">
        <f>HYPERLINK("https://klasma.github.io/Logging_2313/kartor/A 1318-2026 karta.png", "A 1318-2026")</f>
        <v/>
      </c>
      <c r="V220">
        <f>HYPERLINK("https://klasma.github.io/Logging_2313/klagomål/A 1318-2026 FSC-klagomål.docx", "A 1318-2026")</f>
        <v/>
      </c>
      <c r="W220">
        <f>HYPERLINK("https://klasma.github.io/Logging_2313/klagomålsmail/A 1318-2026 FSC-klagomål mail.docx", "A 1318-2026")</f>
        <v/>
      </c>
      <c r="X220">
        <f>HYPERLINK("https://klasma.github.io/Logging_2313/tillsyn/A 1318-2026 tillsynsbegäran.docx", "A 1318-2026")</f>
        <v/>
      </c>
      <c r="Y220">
        <f>HYPERLINK("https://klasma.github.io/Logging_2313/tillsynsmail/A 1318-2026 tillsynsbegäran mail.docx", "A 1318-2026")</f>
        <v/>
      </c>
      <c r="Z220">
        <f>HYPERLINK("https://klasma.github.io/Logging_2313/fåglar/A 1318-2026 prioriterade fågelarter.docx", "A 1318-2026")</f>
        <v/>
      </c>
    </row>
    <row r="221" ht="15" customHeight="1">
      <c r="A221" t="inlineStr">
        <is>
          <t>A 56899-2025</t>
        </is>
      </c>
      <c r="B221" s="1" t="n">
        <v>45978.57238425926</v>
      </c>
      <c r="C221" s="1" t="n">
        <v>46045</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15905-2025</t>
        </is>
      </c>
      <c r="B222" s="1" t="n">
        <v>45749</v>
      </c>
      <c r="C222" s="1" t="n">
        <v>46045</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46045</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43533-2025</t>
        </is>
      </c>
      <c r="B224" s="1" t="n">
        <v>45911</v>
      </c>
      <c r="C224" s="1" t="n">
        <v>46045</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47128-2025</t>
        </is>
      </c>
      <c r="B225" s="1" t="n">
        <v>45929</v>
      </c>
      <c r="C225" s="1" t="n">
        <v>46045</v>
      </c>
      <c r="D225" t="inlineStr">
        <is>
          <t>JÄMTLANDS LÄN</t>
        </is>
      </c>
      <c r="E225" t="inlineStr">
        <is>
          <t>ÖSTERSUND</t>
        </is>
      </c>
      <c r="G225" t="n">
        <v>4.1</v>
      </c>
      <c r="H225" t="n">
        <v>3</v>
      </c>
      <c r="I225" t="n">
        <v>5</v>
      </c>
      <c r="J225" t="n">
        <v>7</v>
      </c>
      <c r="K225" t="n">
        <v>0</v>
      </c>
      <c r="L225" t="n">
        <v>0</v>
      </c>
      <c r="M225" t="n">
        <v>0</v>
      </c>
      <c r="N225" t="n">
        <v>0</v>
      </c>
      <c r="O225" t="n">
        <v>7</v>
      </c>
      <c r="P225" t="n">
        <v>0</v>
      </c>
      <c r="Q225" t="n">
        <v>13</v>
      </c>
      <c r="R225" s="2" t="inlineStr">
        <is>
          <t>Garnlav
Granticka
Lunglav
Talltita
Tretåig hackspett
Ullticka
Vitgrynig nållav
Barkkornlav
Korallblylav
Luddlav
Stuplav
Vedticka
Blåsippa</t>
        </is>
      </c>
      <c r="S225">
        <f>HYPERLINK("https://klasma.github.io/Logging_2380/artfynd/A 47128-2025 artfynd.xlsx", "A 47128-2025")</f>
        <v/>
      </c>
      <c r="T225">
        <f>HYPERLINK("https://klasma.github.io/Logging_2380/kartor/A 47128-2025 karta.png", "A 47128-2025")</f>
        <v/>
      </c>
      <c r="V225">
        <f>HYPERLINK("https://klasma.github.io/Logging_2380/klagomål/A 47128-2025 FSC-klagomål.docx", "A 47128-2025")</f>
        <v/>
      </c>
      <c r="W225">
        <f>HYPERLINK("https://klasma.github.io/Logging_2380/klagomålsmail/A 47128-2025 FSC-klagomål mail.docx", "A 47128-2025")</f>
        <v/>
      </c>
      <c r="X225">
        <f>HYPERLINK("https://klasma.github.io/Logging_2380/tillsyn/A 47128-2025 tillsynsbegäran.docx", "A 47128-2025")</f>
        <v/>
      </c>
      <c r="Y225">
        <f>HYPERLINK("https://klasma.github.io/Logging_2380/tillsynsmail/A 47128-2025 tillsynsbegäran mail.docx", "A 47128-2025")</f>
        <v/>
      </c>
      <c r="Z225">
        <f>HYPERLINK("https://klasma.github.io/Logging_2380/fåglar/A 47128-2025 prioriterade fågelarter.docx", "A 47128-2025")</f>
        <v/>
      </c>
    </row>
    <row r="226" ht="15" customHeight="1">
      <c r="A226" t="inlineStr">
        <is>
          <t>A 59762-2024</t>
        </is>
      </c>
      <c r="B226" s="1" t="n">
        <v>45639.55269675926</v>
      </c>
      <c r="C226" s="1" t="n">
        <v>46045</v>
      </c>
      <c r="D226" t="inlineStr">
        <is>
          <t>JÄMTLANDS LÄN</t>
        </is>
      </c>
      <c r="E226" t="inlineStr">
        <is>
          <t>RAGUNDA</t>
        </is>
      </c>
      <c r="F226" t="inlineStr">
        <is>
          <t>SCA</t>
        </is>
      </c>
      <c r="G226" t="n">
        <v>16.9</v>
      </c>
      <c r="H226" t="n">
        <v>3</v>
      </c>
      <c r="I226" t="n">
        <v>7</v>
      </c>
      <c r="J226" t="n">
        <v>4</v>
      </c>
      <c r="K226" t="n">
        <v>0</v>
      </c>
      <c r="L226" t="n">
        <v>0</v>
      </c>
      <c r="M226" t="n">
        <v>0</v>
      </c>
      <c r="N226" t="n">
        <v>0</v>
      </c>
      <c r="O226" t="n">
        <v>4</v>
      </c>
      <c r="P226" t="n">
        <v>0</v>
      </c>
      <c r="Q226" t="n">
        <v>13</v>
      </c>
      <c r="R226" s="2" t="inlineStr">
        <is>
          <t>Kolflarnlav
Lunglav
Mörk kolflarnlav
Skrovellav
Dropptaggsvamp
Guckusko
Kransrams
Norrlandslav
Stuplav
Tibast
Underviol
Nattviol
Blåsippa</t>
        </is>
      </c>
      <c r="S226">
        <f>HYPERLINK("https://klasma.github.io/Logging_2303/artfynd/A 59762-2024 artfynd.xlsx", "A 59762-2024")</f>
        <v/>
      </c>
      <c r="T226">
        <f>HYPERLINK("https://klasma.github.io/Logging_2303/kartor/A 59762-2024 karta.png", "A 59762-2024")</f>
        <v/>
      </c>
      <c r="V226">
        <f>HYPERLINK("https://klasma.github.io/Logging_2303/klagomål/A 59762-2024 FSC-klagomål.docx", "A 59762-2024")</f>
        <v/>
      </c>
      <c r="W226">
        <f>HYPERLINK("https://klasma.github.io/Logging_2303/klagomålsmail/A 59762-2024 FSC-klagomål mail.docx", "A 59762-2024")</f>
        <v/>
      </c>
      <c r="X226">
        <f>HYPERLINK("https://klasma.github.io/Logging_2303/tillsyn/A 59762-2024 tillsynsbegäran.docx", "A 59762-2024")</f>
        <v/>
      </c>
      <c r="Y226">
        <f>HYPERLINK("https://klasma.github.io/Logging_2303/tillsynsmail/A 59762-2024 tillsynsbegäran mail.docx", "A 59762-2024")</f>
        <v/>
      </c>
    </row>
    <row r="227" ht="15" customHeight="1">
      <c r="A227" t="inlineStr">
        <is>
          <t>A 55404-2024</t>
        </is>
      </c>
      <c r="B227" s="1" t="n">
        <v>45622</v>
      </c>
      <c r="C227" s="1" t="n">
        <v>46045</v>
      </c>
      <c r="D227" t="inlineStr">
        <is>
          <t>JÄMTLANDS LÄN</t>
        </is>
      </c>
      <c r="E227" t="inlineStr">
        <is>
          <t>RAGUNDA</t>
        </is>
      </c>
      <c r="G227" t="n">
        <v>3.5</v>
      </c>
      <c r="H227" t="n">
        <v>1</v>
      </c>
      <c r="I227" t="n">
        <v>4</v>
      </c>
      <c r="J227" t="n">
        <v>9</v>
      </c>
      <c r="K227" t="n">
        <v>0</v>
      </c>
      <c r="L227" t="n">
        <v>0</v>
      </c>
      <c r="M227" t="n">
        <v>0</v>
      </c>
      <c r="N227" t="n">
        <v>0</v>
      </c>
      <c r="O227" t="n">
        <v>9</v>
      </c>
      <c r="P227" t="n">
        <v>0</v>
      </c>
      <c r="Q227" t="n">
        <v>13</v>
      </c>
      <c r="R227" s="2" t="inlineStr">
        <is>
          <t>Blek lundlav
Garnlav
Kolflarnlav
Lunglav
Mörk kolflarnlav
Tretåig hackspett
Ullticka
Vedtrappmossa
Vitgrynig nållav
Gulnål
Norrlandslav
Skinnlav
Stuplav</t>
        </is>
      </c>
      <c r="S227">
        <f>HYPERLINK("https://klasma.github.io/Logging_2303/artfynd/A 55404-2024 artfynd.xlsx", "A 55404-2024")</f>
        <v/>
      </c>
      <c r="T227">
        <f>HYPERLINK("https://klasma.github.io/Logging_2303/kartor/A 55404-2024 karta.png", "A 55404-2024")</f>
        <v/>
      </c>
      <c r="V227">
        <f>HYPERLINK("https://klasma.github.io/Logging_2303/klagomål/A 55404-2024 FSC-klagomål.docx", "A 55404-2024")</f>
        <v/>
      </c>
      <c r="W227">
        <f>HYPERLINK("https://klasma.github.io/Logging_2303/klagomålsmail/A 55404-2024 FSC-klagomål mail.docx", "A 55404-2024")</f>
        <v/>
      </c>
      <c r="X227">
        <f>HYPERLINK("https://klasma.github.io/Logging_2303/tillsyn/A 55404-2024 tillsynsbegäran.docx", "A 55404-2024")</f>
        <v/>
      </c>
      <c r="Y227">
        <f>HYPERLINK("https://klasma.github.io/Logging_2303/tillsynsmail/A 55404-2024 tillsynsbegäran mail.docx", "A 55404-2024")</f>
        <v/>
      </c>
      <c r="Z227">
        <f>HYPERLINK("https://klasma.github.io/Logging_2303/fåglar/A 55404-2024 prioriterade fågelarter.docx", "A 55404-2024")</f>
        <v/>
      </c>
    </row>
    <row r="228" ht="15" customHeight="1">
      <c r="A228" t="inlineStr">
        <is>
          <t>A 56499-2024</t>
        </is>
      </c>
      <c r="B228" s="1" t="n">
        <v>45625.49736111111</v>
      </c>
      <c r="C228" s="1" t="n">
        <v>46045</v>
      </c>
      <c r="D228" t="inlineStr">
        <is>
          <t>JÄMTLANDS LÄN</t>
        </is>
      </c>
      <c r="E228" t="inlineStr">
        <is>
          <t>HÄRJEDALEN</t>
        </is>
      </c>
      <c r="G228" t="n">
        <v>3.4</v>
      </c>
      <c r="H228" t="n">
        <v>3</v>
      </c>
      <c r="I228" t="n">
        <v>2</v>
      </c>
      <c r="J228" t="n">
        <v>10</v>
      </c>
      <c r="K228" t="n">
        <v>1</v>
      </c>
      <c r="L228" t="n">
        <v>0</v>
      </c>
      <c r="M228" t="n">
        <v>0</v>
      </c>
      <c r="N228" t="n">
        <v>0</v>
      </c>
      <c r="O228" t="n">
        <v>11</v>
      </c>
      <c r="P228" t="n">
        <v>1</v>
      </c>
      <c r="Q228" t="n">
        <v>13</v>
      </c>
      <c r="R228" s="2" t="inlineStr">
        <is>
          <t>Knärot
Garnlav
Kolflarnlav
Lunglav
Mörk kolflarnlav
Tallticka
Talltita
Tretåig hackspett
Vedflamlav
Vedskivlav
Violettgrå tagellav
Dropptaggsvamp
Grönpyrola</t>
        </is>
      </c>
      <c r="S228">
        <f>HYPERLINK("https://klasma.github.io/Logging_2361/artfynd/A 56499-2024 artfynd.xlsx", "A 56499-2024")</f>
        <v/>
      </c>
      <c r="T228">
        <f>HYPERLINK("https://klasma.github.io/Logging_2361/kartor/A 56499-2024 karta.png", "A 56499-2024")</f>
        <v/>
      </c>
      <c r="U228">
        <f>HYPERLINK("https://klasma.github.io/Logging_2361/knärot/A 56499-2024 karta knärot.png", "A 56499-2024")</f>
        <v/>
      </c>
      <c r="V228">
        <f>HYPERLINK("https://klasma.github.io/Logging_2361/klagomål/A 56499-2024 FSC-klagomål.docx", "A 56499-2024")</f>
        <v/>
      </c>
      <c r="W228">
        <f>HYPERLINK("https://klasma.github.io/Logging_2361/klagomålsmail/A 56499-2024 FSC-klagomål mail.docx", "A 56499-2024")</f>
        <v/>
      </c>
      <c r="X228">
        <f>HYPERLINK("https://klasma.github.io/Logging_2361/tillsyn/A 56499-2024 tillsynsbegäran.docx", "A 56499-2024")</f>
        <v/>
      </c>
      <c r="Y228">
        <f>HYPERLINK("https://klasma.github.io/Logging_2361/tillsynsmail/A 56499-2024 tillsynsbegäran mail.docx", "A 56499-2024")</f>
        <v/>
      </c>
      <c r="Z228">
        <f>HYPERLINK("https://klasma.github.io/Logging_2361/fåglar/A 56499-2024 prioriterade fågelarter.docx", "A 56499-2024")</f>
        <v/>
      </c>
    </row>
    <row r="229" ht="15" customHeight="1">
      <c r="A229" t="inlineStr">
        <is>
          <t>A 38354-2021</t>
        </is>
      </c>
      <c r="B229" s="1" t="n">
        <v>44406</v>
      </c>
      <c r="C229" s="1" t="n">
        <v>46045</v>
      </c>
      <c r="D229" t="inlineStr">
        <is>
          <t>JÄMTLANDS LÄN</t>
        </is>
      </c>
      <c r="E229" t="inlineStr">
        <is>
          <t>HÄRJEDALEN</t>
        </is>
      </c>
      <c r="G229" t="n">
        <v>15.8</v>
      </c>
      <c r="H229" t="n">
        <v>2</v>
      </c>
      <c r="I229" t="n">
        <v>3</v>
      </c>
      <c r="J229" t="n">
        <v>9</v>
      </c>
      <c r="K229" t="n">
        <v>1</v>
      </c>
      <c r="L229" t="n">
        <v>0</v>
      </c>
      <c r="M229" t="n">
        <v>0</v>
      </c>
      <c r="N229" t="n">
        <v>0</v>
      </c>
      <c r="O229" t="n">
        <v>10</v>
      </c>
      <c r="P229" t="n">
        <v>1</v>
      </c>
      <c r="Q229" t="n">
        <v>13</v>
      </c>
      <c r="R229" s="2" t="inlineStr">
        <is>
          <t>Doftticka
Blå taggsvamp
Blågrå svartspik
Dvärgbägarlav
Mörk kolflarnlav
Orange taggsvamp
Tallriska
Varglav
Vedflamlav
Vedskivlav
Dropptaggsvamp
Skarp dropptaggsvamp
Skinnlav</t>
        </is>
      </c>
      <c r="S229">
        <f>HYPERLINK("https://klasma.github.io/Logging_2361/artfynd/A 38354-2021 artfynd.xlsx", "A 38354-2021")</f>
        <v/>
      </c>
      <c r="T229">
        <f>HYPERLINK("https://klasma.github.io/Logging_2361/kartor/A 38354-2021 karta.png", "A 38354-2021")</f>
        <v/>
      </c>
      <c r="V229">
        <f>HYPERLINK("https://klasma.github.io/Logging_2361/klagomål/A 38354-2021 FSC-klagomål.docx", "A 38354-2021")</f>
        <v/>
      </c>
      <c r="W229">
        <f>HYPERLINK("https://klasma.github.io/Logging_2361/klagomålsmail/A 38354-2021 FSC-klagomål mail.docx", "A 38354-2021")</f>
        <v/>
      </c>
      <c r="X229">
        <f>HYPERLINK("https://klasma.github.io/Logging_2361/tillsyn/A 38354-2021 tillsynsbegäran.docx", "A 38354-2021")</f>
        <v/>
      </c>
      <c r="Y229">
        <f>HYPERLINK("https://klasma.github.io/Logging_2361/tillsynsmail/A 38354-2021 tillsynsbegäran mail.docx", "A 38354-2021")</f>
        <v/>
      </c>
    </row>
    <row r="230" ht="15" customHeight="1">
      <c r="A230" t="inlineStr">
        <is>
          <t>A 32142-2022</t>
        </is>
      </c>
      <c r="B230" s="1" t="n">
        <v>44780</v>
      </c>
      <c r="C230" s="1" t="n">
        <v>46045</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Dactylorhiza incarnata subsp. incarnata
Fläcknycklar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29209-2024</t>
        </is>
      </c>
      <c r="B231" s="1" t="n">
        <v>45482.63819444444</v>
      </c>
      <c r="C231" s="1" t="n">
        <v>46045</v>
      </c>
      <c r="D231" t="inlineStr">
        <is>
          <t>JÄMTLANDS LÄN</t>
        </is>
      </c>
      <c r="E231" t="inlineStr">
        <is>
          <t>RAGUNDA</t>
        </is>
      </c>
      <c r="G231" t="n">
        <v>8.5</v>
      </c>
      <c r="H231" t="n">
        <v>4</v>
      </c>
      <c r="I231" t="n">
        <v>4</v>
      </c>
      <c r="J231" t="n">
        <v>6</v>
      </c>
      <c r="K231" t="n">
        <v>2</v>
      </c>
      <c r="L231" t="n">
        <v>0</v>
      </c>
      <c r="M231" t="n">
        <v>0</v>
      </c>
      <c r="N231" t="n">
        <v>0</v>
      </c>
      <c r="O231" t="n">
        <v>8</v>
      </c>
      <c r="P231" t="n">
        <v>2</v>
      </c>
      <c r="Q231" t="n">
        <v>12</v>
      </c>
      <c r="R231" s="2" t="inlineStr">
        <is>
          <t>Knärot
Rynkskinn
Garnlav
Kolflarnlav
Lunglav
Rosenticka
Talltita
Ullticka
Bårdlav
Korallblylav
Plattlummer
Spindelblomster</t>
        </is>
      </c>
      <c r="S231">
        <f>HYPERLINK("https://klasma.github.io/Logging_2303/artfynd/A 29209-2024 artfynd.xlsx", "A 29209-2024")</f>
        <v/>
      </c>
      <c r="T231">
        <f>HYPERLINK("https://klasma.github.io/Logging_2303/kartor/A 29209-2024 karta.png", "A 29209-2024")</f>
        <v/>
      </c>
      <c r="U231">
        <f>HYPERLINK("https://klasma.github.io/Logging_2303/knärot/A 29209-2024 karta knärot.png", "A 29209-2024")</f>
        <v/>
      </c>
      <c r="V231">
        <f>HYPERLINK("https://klasma.github.io/Logging_2303/klagomål/A 29209-2024 FSC-klagomål.docx", "A 29209-2024")</f>
        <v/>
      </c>
      <c r="W231">
        <f>HYPERLINK("https://klasma.github.io/Logging_2303/klagomålsmail/A 29209-2024 FSC-klagomål mail.docx", "A 29209-2024")</f>
        <v/>
      </c>
      <c r="X231">
        <f>HYPERLINK("https://klasma.github.io/Logging_2303/tillsyn/A 29209-2024 tillsynsbegäran.docx", "A 29209-2024")</f>
        <v/>
      </c>
      <c r="Y231">
        <f>HYPERLINK("https://klasma.github.io/Logging_2303/tillsynsmail/A 29209-2024 tillsynsbegäran mail.docx", "A 29209-2024")</f>
        <v/>
      </c>
      <c r="Z231">
        <f>HYPERLINK("https://klasma.github.io/Logging_2303/fåglar/A 29209-2024 prioriterade fågelarter.docx", "A 29209-2024")</f>
        <v/>
      </c>
    </row>
    <row r="232" ht="15" customHeight="1">
      <c r="A232" t="inlineStr">
        <is>
          <t>A 29244-2024</t>
        </is>
      </c>
      <c r="B232" s="1" t="n">
        <v>45482</v>
      </c>
      <c r="C232" s="1" t="n">
        <v>46045</v>
      </c>
      <c r="D232" t="inlineStr">
        <is>
          <t>JÄMTLANDS LÄN</t>
        </is>
      </c>
      <c r="E232" t="inlineStr">
        <is>
          <t>BRÄCKE</t>
        </is>
      </c>
      <c r="F232" t="inlineStr">
        <is>
          <t>SCA</t>
        </is>
      </c>
      <c r="G232" t="n">
        <v>7.5</v>
      </c>
      <c r="H232" t="n">
        <v>2</v>
      </c>
      <c r="I232" t="n">
        <v>2</v>
      </c>
      <c r="J232" t="n">
        <v>9</v>
      </c>
      <c r="K232" t="n">
        <v>1</v>
      </c>
      <c r="L232" t="n">
        <v>0</v>
      </c>
      <c r="M232" t="n">
        <v>0</v>
      </c>
      <c r="N232" t="n">
        <v>0</v>
      </c>
      <c r="O232" t="n">
        <v>10</v>
      </c>
      <c r="P232" t="n">
        <v>1</v>
      </c>
      <c r="Q232" t="n">
        <v>12</v>
      </c>
      <c r="R232" s="2" t="inlineStr">
        <is>
          <t>Knärot
Garnlav
Kolflarnlav
Lunglav
Mörk kolflarnlav
Orange taggsvamp
Svart taggsvamp
Tretåig hackspett
Ullticka
Vedskivlav
Dropptaggsvamp
Korallblylav</t>
        </is>
      </c>
      <c r="S232">
        <f>HYPERLINK("https://klasma.github.io/Logging_2305/artfynd/A 29244-2024 artfynd.xlsx", "A 29244-2024")</f>
        <v/>
      </c>
      <c r="T232">
        <f>HYPERLINK("https://klasma.github.io/Logging_2305/kartor/A 29244-2024 karta.png", "A 29244-2024")</f>
        <v/>
      </c>
      <c r="U232">
        <f>HYPERLINK("https://klasma.github.io/Logging_2305/knärot/A 29244-2024 karta knärot.png", "A 29244-2024")</f>
        <v/>
      </c>
      <c r="V232">
        <f>HYPERLINK("https://klasma.github.io/Logging_2305/klagomål/A 29244-2024 FSC-klagomål.docx", "A 29244-2024")</f>
        <v/>
      </c>
      <c r="W232">
        <f>HYPERLINK("https://klasma.github.io/Logging_2305/klagomålsmail/A 29244-2024 FSC-klagomål mail.docx", "A 29244-2024")</f>
        <v/>
      </c>
      <c r="X232">
        <f>HYPERLINK("https://klasma.github.io/Logging_2305/tillsyn/A 29244-2024 tillsynsbegäran.docx", "A 29244-2024")</f>
        <v/>
      </c>
      <c r="Y232">
        <f>HYPERLINK("https://klasma.github.io/Logging_2305/tillsynsmail/A 29244-2024 tillsynsbegäran mail.docx", "A 29244-2024")</f>
        <v/>
      </c>
      <c r="Z232">
        <f>HYPERLINK("https://klasma.github.io/Logging_2305/fåglar/A 29244-2024 prioriterade fågelarter.docx", "A 29244-2024")</f>
        <v/>
      </c>
    </row>
    <row r="233" ht="15" customHeight="1">
      <c r="A233" t="inlineStr">
        <is>
          <t>A 40397-2023</t>
        </is>
      </c>
      <c r="B233" s="1" t="n">
        <v>45169.93773148148</v>
      </c>
      <c r="C233" s="1" t="n">
        <v>46045</v>
      </c>
      <c r="D233" t="inlineStr">
        <is>
          <t>JÄMTLANDS LÄN</t>
        </is>
      </c>
      <c r="E233" t="inlineStr">
        <is>
          <t>STRÖMSUND</t>
        </is>
      </c>
      <c r="F233" t="inlineStr">
        <is>
          <t>SCA</t>
        </is>
      </c>
      <c r="G233" t="n">
        <v>5.4</v>
      </c>
      <c r="H233" t="n">
        <v>0</v>
      </c>
      <c r="I233" t="n">
        <v>4</v>
      </c>
      <c r="J233" t="n">
        <v>8</v>
      </c>
      <c r="K233" t="n">
        <v>0</v>
      </c>
      <c r="L233" t="n">
        <v>0</v>
      </c>
      <c r="M233" t="n">
        <v>0</v>
      </c>
      <c r="N233" t="n">
        <v>0</v>
      </c>
      <c r="O233" t="n">
        <v>8</v>
      </c>
      <c r="P233" t="n">
        <v>0</v>
      </c>
      <c r="Q233" t="n">
        <v>12</v>
      </c>
      <c r="R233" s="2" t="inlineStr">
        <is>
          <t>Brunpudrad nållav
Gammelgransskål
Granticka
Lunglav
Rosenticka
Skrovellav
Ullticka
Vitgrynig nållav
Gulnål
Kransrams
Svavelriska
Vedticka</t>
        </is>
      </c>
      <c r="S233">
        <f>HYPERLINK("https://klasma.github.io/Logging_2313/artfynd/A 40397-2023 artfynd.xlsx", "A 40397-2023")</f>
        <v/>
      </c>
      <c r="T233">
        <f>HYPERLINK("https://klasma.github.io/Logging_2313/kartor/A 40397-2023 karta.png", "A 40397-2023")</f>
        <v/>
      </c>
      <c r="V233">
        <f>HYPERLINK("https://klasma.github.io/Logging_2313/klagomål/A 40397-2023 FSC-klagomål.docx", "A 40397-2023")</f>
        <v/>
      </c>
      <c r="W233">
        <f>HYPERLINK("https://klasma.github.io/Logging_2313/klagomålsmail/A 40397-2023 FSC-klagomål mail.docx", "A 40397-2023")</f>
        <v/>
      </c>
      <c r="X233">
        <f>HYPERLINK("https://klasma.github.io/Logging_2313/tillsyn/A 40397-2023 tillsynsbegäran.docx", "A 40397-2023")</f>
        <v/>
      </c>
      <c r="Y233">
        <f>HYPERLINK("https://klasma.github.io/Logging_2313/tillsynsmail/A 40397-2023 tillsynsbegäran mail.docx", "A 40397-2023")</f>
        <v/>
      </c>
    </row>
    <row r="234" ht="15" customHeight="1">
      <c r="A234" t="inlineStr">
        <is>
          <t>A 29102-2024</t>
        </is>
      </c>
      <c r="B234" s="1" t="n">
        <v>45481.95128472222</v>
      </c>
      <c r="C234" s="1" t="n">
        <v>46045</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67343-2021</t>
        </is>
      </c>
      <c r="B235" s="1" t="n">
        <v>44523</v>
      </c>
      <c r="C235" s="1" t="n">
        <v>46045</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4866-2024</t>
        </is>
      </c>
      <c r="B236" s="1" t="n">
        <v>45329</v>
      </c>
      <c r="C236" s="1" t="n">
        <v>46045</v>
      </c>
      <c r="D236" t="inlineStr">
        <is>
          <t>JÄMTLANDS LÄN</t>
        </is>
      </c>
      <c r="E236" t="inlineStr">
        <is>
          <t>STRÖMSUND</t>
        </is>
      </c>
      <c r="G236" t="n">
        <v>16.8</v>
      </c>
      <c r="H236" t="n">
        <v>4</v>
      </c>
      <c r="I236" t="n">
        <v>0</v>
      </c>
      <c r="J236" t="n">
        <v>11</v>
      </c>
      <c r="K236" t="n">
        <v>0</v>
      </c>
      <c r="L236" t="n">
        <v>0</v>
      </c>
      <c r="M236" t="n">
        <v>0</v>
      </c>
      <c r="N236" t="n">
        <v>0</v>
      </c>
      <c r="O236" t="n">
        <v>11</v>
      </c>
      <c r="P236" t="n">
        <v>0</v>
      </c>
      <c r="Q236" t="n">
        <v>12</v>
      </c>
      <c r="R236" s="2" t="inlineStr">
        <is>
          <t>Gammelgransskål
Garnlav
Granticka
Harticka
Järpe
Leptoporus mollis
Rödbrun blekspik
Skrovellav
Spillkråka
Tretåig hackspett
Ullticka
Lavskrika</t>
        </is>
      </c>
      <c r="S236">
        <f>HYPERLINK("https://klasma.github.io/Logging_2313/artfynd/A 4866-2024 artfynd.xlsx", "A 4866-2024")</f>
        <v/>
      </c>
      <c r="T236">
        <f>HYPERLINK("https://klasma.github.io/Logging_2313/kartor/A 4866-2024 karta.png", "A 4866-2024")</f>
        <v/>
      </c>
      <c r="V236">
        <f>HYPERLINK("https://klasma.github.io/Logging_2313/klagomål/A 4866-2024 FSC-klagomål.docx", "A 4866-2024")</f>
        <v/>
      </c>
      <c r="W236">
        <f>HYPERLINK("https://klasma.github.io/Logging_2313/klagomålsmail/A 4866-2024 FSC-klagomål mail.docx", "A 4866-2024")</f>
        <v/>
      </c>
      <c r="X236">
        <f>HYPERLINK("https://klasma.github.io/Logging_2313/tillsyn/A 4866-2024 tillsynsbegäran.docx", "A 4866-2024")</f>
        <v/>
      </c>
      <c r="Y236">
        <f>HYPERLINK("https://klasma.github.io/Logging_2313/tillsynsmail/A 4866-2024 tillsynsbegäran mail.docx", "A 4866-2024")</f>
        <v/>
      </c>
      <c r="Z236">
        <f>HYPERLINK("https://klasma.github.io/Logging_2313/fåglar/A 4866-2024 prioriterade fågelarter.docx", "A 4866-2024")</f>
        <v/>
      </c>
    </row>
    <row r="237" ht="15" customHeight="1">
      <c r="A237" t="inlineStr">
        <is>
          <t>A 50311-2024</t>
        </is>
      </c>
      <c r="B237" s="1" t="n">
        <v>45600</v>
      </c>
      <c r="C237" s="1" t="n">
        <v>46045</v>
      </c>
      <c r="D237" t="inlineStr">
        <is>
          <t>JÄMTLANDS LÄN</t>
        </is>
      </c>
      <c r="E237" t="inlineStr">
        <is>
          <t>ÅRE</t>
        </is>
      </c>
      <c r="F237" t="inlineStr">
        <is>
          <t>Övriga Aktiebolag</t>
        </is>
      </c>
      <c r="G237" t="n">
        <v>13.5</v>
      </c>
      <c r="H237" t="n">
        <v>1</v>
      </c>
      <c r="I237" t="n">
        <v>3</v>
      </c>
      <c r="J237" t="n">
        <v>8</v>
      </c>
      <c r="K237" t="n">
        <v>1</v>
      </c>
      <c r="L237" t="n">
        <v>0</v>
      </c>
      <c r="M237" t="n">
        <v>0</v>
      </c>
      <c r="N237" t="n">
        <v>0</v>
      </c>
      <c r="O237" t="n">
        <v>9</v>
      </c>
      <c r="P237" t="n">
        <v>1</v>
      </c>
      <c r="Q237" t="n">
        <v>12</v>
      </c>
      <c r="R237" s="2" t="inlineStr">
        <is>
          <t>Liten hornflikmossa
Brunpudrad nållav
Doftskinn
Gammelgransskål
Garnlav
Granticka
Gränsticka
Skrovellav
Tretåig hackspett
Kambräken
Purpurmylia
Stuplav</t>
        </is>
      </c>
      <c r="S237">
        <f>HYPERLINK("https://klasma.github.io/Logging_2321/artfynd/A 50311-2024 artfynd.xlsx", "A 50311-2024")</f>
        <v/>
      </c>
      <c r="T237">
        <f>HYPERLINK("https://klasma.github.io/Logging_2321/kartor/A 50311-2024 karta.png", "A 50311-2024")</f>
        <v/>
      </c>
      <c r="V237">
        <f>HYPERLINK("https://klasma.github.io/Logging_2321/klagomål/A 50311-2024 FSC-klagomål.docx", "A 50311-2024")</f>
        <v/>
      </c>
      <c r="W237">
        <f>HYPERLINK("https://klasma.github.io/Logging_2321/klagomålsmail/A 50311-2024 FSC-klagomål mail.docx", "A 50311-2024")</f>
        <v/>
      </c>
      <c r="X237">
        <f>HYPERLINK("https://klasma.github.io/Logging_2321/tillsyn/A 50311-2024 tillsynsbegäran.docx", "A 50311-2024")</f>
        <v/>
      </c>
      <c r="Y237">
        <f>HYPERLINK("https://klasma.github.io/Logging_2321/tillsynsmail/A 50311-2024 tillsynsbegäran mail.docx", "A 50311-2024")</f>
        <v/>
      </c>
      <c r="Z237">
        <f>HYPERLINK("https://klasma.github.io/Logging_2321/fåglar/A 50311-2024 prioriterade fågelarter.docx", "A 50311-2024")</f>
        <v/>
      </c>
    </row>
    <row r="238" ht="15" customHeight="1">
      <c r="A238" t="inlineStr">
        <is>
          <t>A 43789-2024</t>
        </is>
      </c>
      <c r="B238" s="1" t="n">
        <v>45571</v>
      </c>
      <c r="C238" s="1" t="n">
        <v>46045</v>
      </c>
      <c r="D238" t="inlineStr">
        <is>
          <t>JÄMTLANDS LÄN</t>
        </is>
      </c>
      <c r="E238" t="inlineStr">
        <is>
          <t>HÄRJEDALEN</t>
        </is>
      </c>
      <c r="G238" t="n">
        <v>24.6</v>
      </c>
      <c r="H238" t="n">
        <v>3</v>
      </c>
      <c r="I238" t="n">
        <v>0</v>
      </c>
      <c r="J238" t="n">
        <v>10</v>
      </c>
      <c r="K238" t="n">
        <v>1</v>
      </c>
      <c r="L238" t="n">
        <v>0</v>
      </c>
      <c r="M238" t="n">
        <v>0</v>
      </c>
      <c r="N238" t="n">
        <v>0</v>
      </c>
      <c r="O238" t="n">
        <v>11</v>
      </c>
      <c r="P238" t="n">
        <v>1</v>
      </c>
      <c r="Q238" t="n">
        <v>12</v>
      </c>
      <c r="R238" s="2" t="inlineStr">
        <is>
          <t>Rynkskinn
Gammelgransskål
Garnlav
Granticka
Kolflarnlav
Talltita
Tretåig hackspett
Ullticka
Vedflamlav
Vedskivlav
Vitgrynig nållav
Lavskrika</t>
        </is>
      </c>
      <c r="S238">
        <f>HYPERLINK("https://klasma.github.io/Logging_2361/artfynd/A 43789-2024 artfynd.xlsx", "A 43789-2024")</f>
        <v/>
      </c>
      <c r="T238">
        <f>HYPERLINK("https://klasma.github.io/Logging_2361/kartor/A 43789-2024 karta.png", "A 43789-2024")</f>
        <v/>
      </c>
      <c r="V238">
        <f>HYPERLINK("https://klasma.github.io/Logging_2361/klagomål/A 43789-2024 FSC-klagomål.docx", "A 43789-2024")</f>
        <v/>
      </c>
      <c r="W238">
        <f>HYPERLINK("https://klasma.github.io/Logging_2361/klagomålsmail/A 43789-2024 FSC-klagomål mail.docx", "A 43789-2024")</f>
        <v/>
      </c>
      <c r="X238">
        <f>HYPERLINK("https://klasma.github.io/Logging_2361/tillsyn/A 43789-2024 tillsynsbegäran.docx", "A 43789-2024")</f>
        <v/>
      </c>
      <c r="Y238">
        <f>HYPERLINK("https://klasma.github.io/Logging_2361/tillsynsmail/A 43789-2024 tillsynsbegäran mail.docx", "A 43789-2024")</f>
        <v/>
      </c>
      <c r="Z238">
        <f>HYPERLINK("https://klasma.github.io/Logging_2361/fåglar/A 43789-2024 prioriterade fågelarter.docx", "A 43789-2024")</f>
        <v/>
      </c>
    </row>
    <row r="239" ht="15" customHeight="1">
      <c r="A239" t="inlineStr">
        <is>
          <t>A 4716-2023</t>
        </is>
      </c>
      <c r="B239" s="1" t="n">
        <v>44953</v>
      </c>
      <c r="C239" s="1" t="n">
        <v>46045</v>
      </c>
      <c r="D239" t="inlineStr">
        <is>
          <t>JÄMTLANDS LÄN</t>
        </is>
      </c>
      <c r="E239" t="inlineStr">
        <is>
          <t>BERG</t>
        </is>
      </c>
      <c r="G239" t="n">
        <v>9.6</v>
      </c>
      <c r="H239" t="n">
        <v>2</v>
      </c>
      <c r="I239" t="n">
        <v>3</v>
      </c>
      <c r="J239" t="n">
        <v>7</v>
      </c>
      <c r="K239" t="n">
        <v>2</v>
      </c>
      <c r="L239" t="n">
        <v>0</v>
      </c>
      <c r="M239" t="n">
        <v>0</v>
      </c>
      <c r="N239" t="n">
        <v>0</v>
      </c>
      <c r="O239" t="n">
        <v>9</v>
      </c>
      <c r="P239" t="n">
        <v>2</v>
      </c>
      <c r="Q239" t="n">
        <v>12</v>
      </c>
      <c r="R239" s="2" t="inlineStr">
        <is>
          <t>Blackticka
Knärot
Garnlav
Granticka
Gultoppig fingersvamp
Lunglav
Rosenticka
Ullticka
Violettgrå tagellav
Plattlummer
Stuplav
Vedticka</t>
        </is>
      </c>
      <c r="S239">
        <f>HYPERLINK("https://klasma.github.io/Logging_2326/artfynd/A 4716-2023 artfynd.xlsx", "A 4716-2023")</f>
        <v/>
      </c>
      <c r="T239">
        <f>HYPERLINK("https://klasma.github.io/Logging_2326/kartor/A 4716-2023 karta.png", "A 4716-2023")</f>
        <v/>
      </c>
      <c r="U239">
        <f>HYPERLINK("https://klasma.github.io/Logging_2326/knärot/A 4716-2023 karta knärot.png", "A 4716-2023")</f>
        <v/>
      </c>
      <c r="V239">
        <f>HYPERLINK("https://klasma.github.io/Logging_2326/klagomål/A 4716-2023 FSC-klagomål.docx", "A 4716-2023")</f>
        <v/>
      </c>
      <c r="W239">
        <f>HYPERLINK("https://klasma.github.io/Logging_2326/klagomålsmail/A 4716-2023 FSC-klagomål mail.docx", "A 4716-2023")</f>
        <v/>
      </c>
      <c r="X239">
        <f>HYPERLINK("https://klasma.github.io/Logging_2326/tillsyn/A 4716-2023 tillsynsbegäran.docx", "A 4716-2023")</f>
        <v/>
      </c>
      <c r="Y239">
        <f>HYPERLINK("https://klasma.github.io/Logging_2326/tillsynsmail/A 4716-2023 tillsynsbegäran mail.docx", "A 4716-2023")</f>
        <v/>
      </c>
    </row>
    <row r="240" ht="15" customHeight="1">
      <c r="A240" t="inlineStr">
        <is>
          <t>A 36974-2025</t>
        </is>
      </c>
      <c r="B240" s="1" t="n">
        <v>45874.63766203704</v>
      </c>
      <c r="C240" s="1" t="n">
        <v>46045</v>
      </c>
      <c r="D240" t="inlineStr">
        <is>
          <t>JÄMTLANDS LÄN</t>
        </is>
      </c>
      <c r="E240" t="inlineStr">
        <is>
          <t>ÅRE</t>
        </is>
      </c>
      <c r="F240" t="inlineStr">
        <is>
          <t>Övriga Aktiebolag</t>
        </is>
      </c>
      <c r="G240" t="n">
        <v>2.2</v>
      </c>
      <c r="H240" t="n">
        <v>1</v>
      </c>
      <c r="I240" t="n">
        <v>1</v>
      </c>
      <c r="J240" t="n">
        <v>9</v>
      </c>
      <c r="K240" t="n">
        <v>2</v>
      </c>
      <c r="L240" t="n">
        <v>0</v>
      </c>
      <c r="M240" t="n">
        <v>0</v>
      </c>
      <c r="N240" t="n">
        <v>0</v>
      </c>
      <c r="O240" t="n">
        <v>11</v>
      </c>
      <c r="P240" t="n">
        <v>2</v>
      </c>
      <c r="Q240" t="n">
        <v>12</v>
      </c>
      <c r="R240" s="2" t="inlineStr">
        <is>
          <t>Liten sotlav
Norsk näverlav
Doftskinn
Garnlav
Granticka
Gränsticka
Harticka
Rosenticka
Stjärntagging
Tretåig hackspett
Ullticka
Trådticka</t>
        </is>
      </c>
      <c r="S240">
        <f>HYPERLINK("https://klasma.github.io/Logging_2321/artfynd/A 36974-2025 artfynd.xlsx", "A 36974-2025")</f>
        <v/>
      </c>
      <c r="T240">
        <f>HYPERLINK("https://klasma.github.io/Logging_2321/kartor/A 36974-2025 karta.png", "A 36974-2025")</f>
        <v/>
      </c>
      <c r="V240">
        <f>HYPERLINK("https://klasma.github.io/Logging_2321/klagomål/A 36974-2025 FSC-klagomål.docx", "A 36974-2025")</f>
        <v/>
      </c>
      <c r="W240">
        <f>HYPERLINK("https://klasma.github.io/Logging_2321/klagomålsmail/A 36974-2025 FSC-klagomål mail.docx", "A 36974-2025")</f>
        <v/>
      </c>
      <c r="X240">
        <f>HYPERLINK("https://klasma.github.io/Logging_2321/tillsyn/A 36974-2025 tillsynsbegäran.docx", "A 36974-2025")</f>
        <v/>
      </c>
      <c r="Y240">
        <f>HYPERLINK("https://klasma.github.io/Logging_2321/tillsynsmail/A 36974-2025 tillsynsbegäran mail.docx", "A 36974-2025")</f>
        <v/>
      </c>
      <c r="Z240">
        <f>HYPERLINK("https://klasma.github.io/Logging_2321/fåglar/A 36974-2025 prioriterade fågelarter.docx", "A 36974-2025")</f>
        <v/>
      </c>
    </row>
    <row r="241" ht="15" customHeight="1">
      <c r="A241" t="inlineStr">
        <is>
          <t>A 7669-2025</t>
        </is>
      </c>
      <c r="B241" s="1" t="n">
        <v>45706.34467592592</v>
      </c>
      <c r="C241" s="1" t="n">
        <v>46045</v>
      </c>
      <c r="D241" t="inlineStr">
        <is>
          <t>JÄMTLANDS LÄN</t>
        </is>
      </c>
      <c r="E241" t="inlineStr">
        <is>
          <t>BRÄCKE</t>
        </is>
      </c>
      <c r="F241" t="inlineStr">
        <is>
          <t>SCA</t>
        </is>
      </c>
      <c r="G241" t="n">
        <v>5</v>
      </c>
      <c r="H241" t="n">
        <v>3</v>
      </c>
      <c r="I241" t="n">
        <v>3</v>
      </c>
      <c r="J241" t="n">
        <v>7</v>
      </c>
      <c r="K241" t="n">
        <v>2</v>
      </c>
      <c r="L241" t="n">
        <v>0</v>
      </c>
      <c r="M241" t="n">
        <v>0</v>
      </c>
      <c r="N241" t="n">
        <v>0</v>
      </c>
      <c r="O241" t="n">
        <v>9</v>
      </c>
      <c r="P241" t="n">
        <v>2</v>
      </c>
      <c r="Q241" t="n">
        <v>12</v>
      </c>
      <c r="R241" s="2" t="inlineStr">
        <is>
          <t>Doftticka
Knärot
Garnlav
Kolflarnlav
Lunglav
Mörk kolflarnlav
Skrovellav
Vedskivlav
Vitgrynig nållav
Dropptaggsvamp
Kransrams
Spindelblomster</t>
        </is>
      </c>
      <c r="S241">
        <f>HYPERLINK("https://klasma.github.io/Logging_2305/artfynd/A 7669-2025 artfynd.xlsx", "A 7669-2025")</f>
        <v/>
      </c>
      <c r="T241">
        <f>HYPERLINK("https://klasma.github.io/Logging_2305/kartor/A 7669-2025 karta.png", "A 7669-2025")</f>
        <v/>
      </c>
      <c r="U241">
        <f>HYPERLINK("https://klasma.github.io/Logging_2305/knärot/A 7669-2025 karta knärot.png", "A 7669-2025")</f>
        <v/>
      </c>
      <c r="V241">
        <f>HYPERLINK("https://klasma.github.io/Logging_2305/klagomål/A 7669-2025 FSC-klagomål.docx", "A 7669-2025")</f>
        <v/>
      </c>
      <c r="W241">
        <f>HYPERLINK("https://klasma.github.io/Logging_2305/klagomålsmail/A 7669-2025 FSC-klagomål mail.docx", "A 7669-2025")</f>
        <v/>
      </c>
      <c r="X241">
        <f>HYPERLINK("https://klasma.github.io/Logging_2305/tillsyn/A 7669-2025 tillsynsbegäran.docx", "A 7669-2025")</f>
        <v/>
      </c>
      <c r="Y241">
        <f>HYPERLINK("https://klasma.github.io/Logging_2305/tillsynsmail/A 7669-2025 tillsynsbegäran mail.docx", "A 7669-2025")</f>
        <v/>
      </c>
    </row>
    <row r="242" ht="15" customHeight="1">
      <c r="A242" t="inlineStr">
        <is>
          <t>A 46938-2025</t>
        </is>
      </c>
      <c r="B242" s="1" t="n">
        <v>45929.45290509259</v>
      </c>
      <c r="C242" s="1" t="n">
        <v>46045</v>
      </c>
      <c r="D242" t="inlineStr">
        <is>
          <t>JÄMTLANDS LÄN</t>
        </is>
      </c>
      <c r="E242" t="inlineStr">
        <is>
          <t>BERG</t>
        </is>
      </c>
      <c r="G242" t="n">
        <v>10.7</v>
      </c>
      <c r="H242" t="n">
        <v>6</v>
      </c>
      <c r="I242" t="n">
        <v>4</v>
      </c>
      <c r="J242" t="n">
        <v>6</v>
      </c>
      <c r="K242" t="n">
        <v>1</v>
      </c>
      <c r="L242" t="n">
        <v>0</v>
      </c>
      <c r="M242" t="n">
        <v>0</v>
      </c>
      <c r="N242" t="n">
        <v>0</v>
      </c>
      <c r="O242" t="n">
        <v>7</v>
      </c>
      <c r="P242" t="n">
        <v>1</v>
      </c>
      <c r="Q242" t="n">
        <v>12</v>
      </c>
      <c r="R242" s="2" t="inlineStr">
        <is>
          <t>Knärot
Garnlav
Granticka
Harticka
Talltita
Tretåig hackspett
Ullticka
Korallrot
Spindelblomster
Stuplav
Ögonpyrola
Tjäder</t>
        </is>
      </c>
      <c r="S242">
        <f>HYPERLINK("https://klasma.github.io/Logging_2326/artfynd/A 46938-2025 artfynd.xlsx", "A 46938-2025")</f>
        <v/>
      </c>
      <c r="T242">
        <f>HYPERLINK("https://klasma.github.io/Logging_2326/kartor/A 46938-2025 karta.png", "A 46938-2025")</f>
        <v/>
      </c>
      <c r="U242">
        <f>HYPERLINK("https://klasma.github.io/Logging_2326/knärot/A 46938-2025 karta knärot.png", "A 46938-2025")</f>
        <v/>
      </c>
      <c r="V242">
        <f>HYPERLINK("https://klasma.github.io/Logging_2326/klagomål/A 46938-2025 FSC-klagomål.docx", "A 46938-2025")</f>
        <v/>
      </c>
      <c r="W242">
        <f>HYPERLINK("https://klasma.github.io/Logging_2326/klagomålsmail/A 46938-2025 FSC-klagomål mail.docx", "A 46938-2025")</f>
        <v/>
      </c>
      <c r="X242">
        <f>HYPERLINK("https://klasma.github.io/Logging_2326/tillsyn/A 46938-2025 tillsynsbegäran.docx", "A 46938-2025")</f>
        <v/>
      </c>
      <c r="Y242">
        <f>HYPERLINK("https://klasma.github.io/Logging_2326/tillsynsmail/A 46938-2025 tillsynsbegäran mail.docx", "A 46938-2025")</f>
        <v/>
      </c>
      <c r="Z242">
        <f>HYPERLINK("https://klasma.github.io/Logging_2326/fåglar/A 46938-2025 prioriterade fågelarter.docx", "A 46938-2025")</f>
        <v/>
      </c>
    </row>
    <row r="243" ht="15" customHeight="1">
      <c r="A243" t="inlineStr">
        <is>
          <t>A 29434-2023</t>
        </is>
      </c>
      <c r="B243" s="1" t="n">
        <v>45106</v>
      </c>
      <c r="C243" s="1" t="n">
        <v>46045</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22983-2024</t>
        </is>
      </c>
      <c r="B244" s="1" t="n">
        <v>45449</v>
      </c>
      <c r="C244" s="1" t="n">
        <v>46045</v>
      </c>
      <c r="D244" t="inlineStr">
        <is>
          <t>JÄMTLANDS LÄN</t>
        </is>
      </c>
      <c r="E244" t="inlineStr">
        <is>
          <t>BRÄCKE</t>
        </is>
      </c>
      <c r="F244" t="inlineStr">
        <is>
          <t>SCA</t>
        </is>
      </c>
      <c r="G244" t="n">
        <v>1.8</v>
      </c>
      <c r="H244" t="n">
        <v>2</v>
      </c>
      <c r="I244" t="n">
        <v>3</v>
      </c>
      <c r="J244" t="n">
        <v>7</v>
      </c>
      <c r="K244" t="n">
        <v>2</v>
      </c>
      <c r="L244" t="n">
        <v>0</v>
      </c>
      <c r="M244" t="n">
        <v>0</v>
      </c>
      <c r="N244" t="n">
        <v>0</v>
      </c>
      <c r="O244" t="n">
        <v>9</v>
      </c>
      <c r="P244" t="n">
        <v>2</v>
      </c>
      <c r="Q244" t="n">
        <v>12</v>
      </c>
      <c r="R244" s="2" t="inlineStr">
        <is>
          <t>Knärot
Rynkskinn
Garnlav
Kolflarnlav
Lunglav
Mörk kolflarnlav
Skrovellav
Tretåig hackspett
Vedskivlav
Korallblylav
Luddlav
Mörk husmossa</t>
        </is>
      </c>
      <c r="S244">
        <f>HYPERLINK("https://klasma.github.io/Logging_2305/artfynd/A 22983-2024 artfynd.xlsx", "A 22983-2024")</f>
        <v/>
      </c>
      <c r="T244">
        <f>HYPERLINK("https://klasma.github.io/Logging_2305/kartor/A 22983-2024 karta.png", "A 22983-2024")</f>
        <v/>
      </c>
      <c r="U244">
        <f>HYPERLINK("https://klasma.github.io/Logging_2305/knärot/A 22983-2024 karta knärot.png", "A 22983-2024")</f>
        <v/>
      </c>
      <c r="V244">
        <f>HYPERLINK("https://klasma.github.io/Logging_2305/klagomål/A 22983-2024 FSC-klagomål.docx", "A 22983-2024")</f>
        <v/>
      </c>
      <c r="W244">
        <f>HYPERLINK("https://klasma.github.io/Logging_2305/klagomålsmail/A 22983-2024 FSC-klagomål mail.docx", "A 22983-2024")</f>
        <v/>
      </c>
      <c r="X244">
        <f>HYPERLINK("https://klasma.github.io/Logging_2305/tillsyn/A 22983-2024 tillsynsbegäran.docx", "A 22983-2024")</f>
        <v/>
      </c>
      <c r="Y244">
        <f>HYPERLINK("https://klasma.github.io/Logging_2305/tillsynsmail/A 22983-2024 tillsynsbegäran mail.docx", "A 22983-2024")</f>
        <v/>
      </c>
      <c r="Z244">
        <f>HYPERLINK("https://klasma.github.io/Logging_2305/fåglar/A 22983-2024 prioriterade fågelarter.docx", "A 22983-2024")</f>
        <v/>
      </c>
    </row>
    <row r="245" ht="15" customHeight="1">
      <c r="A245" t="inlineStr">
        <is>
          <t>A 24589-2025</t>
        </is>
      </c>
      <c r="B245" s="1" t="n">
        <v>45798.53172453704</v>
      </c>
      <c r="C245" s="1" t="n">
        <v>46045</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21932-2025</t>
        </is>
      </c>
      <c r="B246" s="1" t="n">
        <v>45784</v>
      </c>
      <c r="C246" s="1" t="n">
        <v>46045</v>
      </c>
      <c r="D246" t="inlineStr">
        <is>
          <t>JÄMTLANDS LÄN</t>
        </is>
      </c>
      <c r="E246" t="inlineStr">
        <is>
          <t>KROKOM</t>
        </is>
      </c>
      <c r="G246" t="n">
        <v>12.6</v>
      </c>
      <c r="H246" t="n">
        <v>7</v>
      </c>
      <c r="I246" t="n">
        <v>6</v>
      </c>
      <c r="J246" t="n">
        <v>4</v>
      </c>
      <c r="K246" t="n">
        <v>0</v>
      </c>
      <c r="L246" t="n">
        <v>0</v>
      </c>
      <c r="M246" t="n">
        <v>0</v>
      </c>
      <c r="N246" t="n">
        <v>0</v>
      </c>
      <c r="O246" t="n">
        <v>4</v>
      </c>
      <c r="P246" t="n">
        <v>0</v>
      </c>
      <c r="Q246" t="n">
        <v>12</v>
      </c>
      <c r="R246" s="2" t="inlineStr">
        <is>
          <t>Garnlav
Lunglav
Spillkråka
Tretåig hackspett
Bårdlav
Guckusko
Kransrams
Luddlav
Spindelblomster
Tvåblad
Kungsfågel
Fläcknycklar</t>
        </is>
      </c>
      <c r="S246">
        <f>HYPERLINK("https://klasma.github.io/Logging_2309/artfynd/A 21932-2025 artfynd.xlsx", "A 21932-2025")</f>
        <v/>
      </c>
      <c r="T246">
        <f>HYPERLINK("https://klasma.github.io/Logging_2309/kartor/A 21932-2025 karta.png", "A 21932-2025")</f>
        <v/>
      </c>
      <c r="V246">
        <f>HYPERLINK("https://klasma.github.io/Logging_2309/klagomål/A 21932-2025 FSC-klagomål.docx", "A 21932-2025")</f>
        <v/>
      </c>
      <c r="W246">
        <f>HYPERLINK("https://klasma.github.io/Logging_2309/klagomålsmail/A 21932-2025 FSC-klagomål mail.docx", "A 21932-2025")</f>
        <v/>
      </c>
      <c r="X246">
        <f>HYPERLINK("https://klasma.github.io/Logging_2309/tillsyn/A 21932-2025 tillsynsbegäran.docx", "A 21932-2025")</f>
        <v/>
      </c>
      <c r="Y246">
        <f>HYPERLINK("https://klasma.github.io/Logging_2309/tillsynsmail/A 21932-2025 tillsynsbegäran mail.docx", "A 21932-2025")</f>
        <v/>
      </c>
      <c r="Z246">
        <f>HYPERLINK("https://klasma.github.io/Logging_2309/fåglar/A 21932-2025 prioriterade fågelarter.docx", "A 21932-2025")</f>
        <v/>
      </c>
    </row>
    <row r="247" ht="15" customHeight="1">
      <c r="A247" t="inlineStr">
        <is>
          <t>A 43967-2024</t>
        </is>
      </c>
      <c r="B247" s="1" t="n">
        <v>45572</v>
      </c>
      <c r="C247" s="1" t="n">
        <v>46045</v>
      </c>
      <c r="D247" t="inlineStr">
        <is>
          <t>JÄMTLANDS LÄN</t>
        </is>
      </c>
      <c r="E247" t="inlineStr">
        <is>
          <t>ÅRE</t>
        </is>
      </c>
      <c r="G247" t="n">
        <v>18.2</v>
      </c>
      <c r="H247" t="n">
        <v>1</v>
      </c>
      <c r="I247" t="n">
        <v>6</v>
      </c>
      <c r="J247" t="n">
        <v>5</v>
      </c>
      <c r="K247" t="n">
        <v>1</v>
      </c>
      <c r="L247" t="n">
        <v>0</v>
      </c>
      <c r="M247" t="n">
        <v>0</v>
      </c>
      <c r="N247" t="n">
        <v>0</v>
      </c>
      <c r="O247" t="n">
        <v>6</v>
      </c>
      <c r="P247" t="n">
        <v>1</v>
      </c>
      <c r="Q247" t="n">
        <v>12</v>
      </c>
      <c r="R247" s="2" t="inlineStr">
        <is>
          <t>Gropig skägglav
Gammelgransskål
Garnlav
Rödbrun blekspik
Vedflikmossa
Vitgrynig nållav
Källpraktmossa
Mörk husmossa
Purpurmylia
Spindelblomster
Stor revmossa
Västlig hakmossa</t>
        </is>
      </c>
      <c r="S247">
        <f>HYPERLINK("https://klasma.github.io/Logging_2321/artfynd/A 43967-2024 artfynd.xlsx", "A 43967-2024")</f>
        <v/>
      </c>
      <c r="T247">
        <f>HYPERLINK("https://klasma.github.io/Logging_2321/kartor/A 43967-2024 karta.png", "A 43967-2024")</f>
        <v/>
      </c>
      <c r="V247">
        <f>HYPERLINK("https://klasma.github.io/Logging_2321/klagomål/A 43967-2024 FSC-klagomål.docx", "A 43967-2024")</f>
        <v/>
      </c>
      <c r="W247">
        <f>HYPERLINK("https://klasma.github.io/Logging_2321/klagomålsmail/A 43967-2024 FSC-klagomål mail.docx", "A 43967-2024")</f>
        <v/>
      </c>
      <c r="X247">
        <f>HYPERLINK("https://klasma.github.io/Logging_2321/tillsyn/A 43967-2024 tillsynsbegäran.docx", "A 43967-2024")</f>
        <v/>
      </c>
      <c r="Y247">
        <f>HYPERLINK("https://klasma.github.io/Logging_2321/tillsynsmail/A 43967-2024 tillsynsbegäran mail.docx", "A 43967-2024")</f>
        <v/>
      </c>
    </row>
    <row r="248" ht="15" customHeight="1">
      <c r="A248" t="inlineStr">
        <is>
          <t>A 39541-2025</t>
        </is>
      </c>
      <c r="B248" s="1" t="n">
        <v>45890</v>
      </c>
      <c r="C248" s="1" t="n">
        <v>46045</v>
      </c>
      <c r="D248" t="inlineStr">
        <is>
          <t>JÄMTLANDS LÄN</t>
        </is>
      </c>
      <c r="E248" t="inlineStr">
        <is>
          <t>ÖSTERSUND</t>
        </is>
      </c>
      <c r="G248" t="n">
        <v>9</v>
      </c>
      <c r="H248" t="n">
        <v>4</v>
      </c>
      <c r="I248" t="n">
        <v>1</v>
      </c>
      <c r="J248" t="n">
        <v>9</v>
      </c>
      <c r="K248" t="n">
        <v>1</v>
      </c>
      <c r="L248" t="n">
        <v>0</v>
      </c>
      <c r="M248" t="n">
        <v>0</v>
      </c>
      <c r="N248" t="n">
        <v>0</v>
      </c>
      <c r="O248" t="n">
        <v>10</v>
      </c>
      <c r="P248" t="n">
        <v>1</v>
      </c>
      <c r="Q248" t="n">
        <v>12</v>
      </c>
      <c r="R248" s="2" t="inlineStr">
        <is>
          <t>Knärot
Doftskinn
Gammelgransskål
Garnlav
Granticka
Harticka
Liten svartspik
Talltita
Tretåig hackspett
Vitgrynig nållav
Skinnlav
Sparvuggla</t>
        </is>
      </c>
      <c r="S248">
        <f>HYPERLINK("https://klasma.github.io/Logging_2380/artfynd/A 39541-2025 artfynd.xlsx", "A 39541-2025")</f>
        <v/>
      </c>
      <c r="T248">
        <f>HYPERLINK("https://klasma.github.io/Logging_2380/kartor/A 39541-2025 karta.png", "A 39541-2025")</f>
        <v/>
      </c>
      <c r="U248">
        <f>HYPERLINK("https://klasma.github.io/Logging_2380/knärot/A 39541-2025 karta knärot.png", "A 39541-2025")</f>
        <v/>
      </c>
      <c r="V248">
        <f>HYPERLINK("https://klasma.github.io/Logging_2380/klagomål/A 39541-2025 FSC-klagomål.docx", "A 39541-2025")</f>
        <v/>
      </c>
      <c r="W248">
        <f>HYPERLINK("https://klasma.github.io/Logging_2380/klagomålsmail/A 39541-2025 FSC-klagomål mail.docx", "A 39541-2025")</f>
        <v/>
      </c>
      <c r="X248">
        <f>HYPERLINK("https://klasma.github.io/Logging_2380/tillsyn/A 39541-2025 tillsynsbegäran.docx", "A 39541-2025")</f>
        <v/>
      </c>
      <c r="Y248">
        <f>HYPERLINK("https://klasma.github.io/Logging_2380/tillsynsmail/A 39541-2025 tillsynsbegäran mail.docx", "A 39541-2025")</f>
        <v/>
      </c>
      <c r="Z248">
        <f>HYPERLINK("https://klasma.github.io/Logging_2380/fåglar/A 39541-2025 prioriterade fågelarter.docx", "A 39541-2025")</f>
        <v/>
      </c>
    </row>
    <row r="249" ht="15" customHeight="1">
      <c r="A249" t="inlineStr">
        <is>
          <t>A 50604-2023</t>
        </is>
      </c>
      <c r="B249" s="1" t="n">
        <v>45217</v>
      </c>
      <c r="C249" s="1" t="n">
        <v>46045</v>
      </c>
      <c r="D249" t="inlineStr">
        <is>
          <t>JÄMTLANDS LÄN</t>
        </is>
      </c>
      <c r="E249" t="inlineStr">
        <is>
          <t>HÄRJEDALEN</t>
        </is>
      </c>
      <c r="G249" t="n">
        <v>51</v>
      </c>
      <c r="H249" t="n">
        <v>4</v>
      </c>
      <c r="I249" t="n">
        <v>2</v>
      </c>
      <c r="J249" t="n">
        <v>7</v>
      </c>
      <c r="K249" t="n">
        <v>1</v>
      </c>
      <c r="L249" t="n">
        <v>0</v>
      </c>
      <c r="M249" t="n">
        <v>0</v>
      </c>
      <c r="N249" t="n">
        <v>0</v>
      </c>
      <c r="O249" t="n">
        <v>8</v>
      </c>
      <c r="P249" t="n">
        <v>1</v>
      </c>
      <c r="Q249" t="n">
        <v>12</v>
      </c>
      <c r="R249" s="2" t="inlineStr">
        <is>
          <t>Knärot
Blågrå svartspik
Kolflarnlav
Lunglav
Mörk kolflarnlav
Skrovellav
Tretåig hackspett
Vedflamlav
Bårdlav
Stuplav
Gråspett
Lavskrika</t>
        </is>
      </c>
      <c r="S249">
        <f>HYPERLINK("https://klasma.github.io/Logging_2361/artfynd/A 50604-2023 artfynd.xlsx", "A 50604-2023")</f>
        <v/>
      </c>
      <c r="T249">
        <f>HYPERLINK("https://klasma.github.io/Logging_2361/kartor/A 50604-2023 karta.png", "A 50604-2023")</f>
        <v/>
      </c>
      <c r="U249">
        <f>HYPERLINK("https://klasma.github.io/Logging_2361/knärot/A 50604-2023 karta knärot.png", "A 50604-2023")</f>
        <v/>
      </c>
      <c r="V249">
        <f>HYPERLINK("https://klasma.github.io/Logging_2361/klagomål/A 50604-2023 FSC-klagomål.docx", "A 50604-2023")</f>
        <v/>
      </c>
      <c r="W249">
        <f>HYPERLINK("https://klasma.github.io/Logging_2361/klagomålsmail/A 50604-2023 FSC-klagomål mail.docx", "A 50604-2023")</f>
        <v/>
      </c>
      <c r="X249">
        <f>HYPERLINK("https://klasma.github.io/Logging_2361/tillsyn/A 50604-2023 tillsynsbegäran.docx", "A 50604-2023")</f>
        <v/>
      </c>
      <c r="Y249">
        <f>HYPERLINK("https://klasma.github.io/Logging_2361/tillsynsmail/A 50604-2023 tillsynsbegäran mail.docx", "A 50604-2023")</f>
        <v/>
      </c>
      <c r="Z249">
        <f>HYPERLINK("https://klasma.github.io/Logging_2361/fåglar/A 50604-2023 prioriterade fågelarter.docx", "A 50604-2023")</f>
        <v/>
      </c>
    </row>
    <row r="250" ht="15" customHeight="1">
      <c r="A250" t="inlineStr">
        <is>
          <t>A 43107-2023</t>
        </is>
      </c>
      <c r="B250" s="1" t="n">
        <v>45182</v>
      </c>
      <c r="C250" s="1" t="n">
        <v>46045</v>
      </c>
      <c r="D250" t="inlineStr">
        <is>
          <t>JÄMTLANDS LÄN</t>
        </is>
      </c>
      <c r="E250" t="inlineStr">
        <is>
          <t>RAGUNDA</t>
        </is>
      </c>
      <c r="F250" t="inlineStr">
        <is>
          <t>SCA</t>
        </is>
      </c>
      <c r="G250" t="n">
        <v>8.6</v>
      </c>
      <c r="H250" t="n">
        <v>0</v>
      </c>
      <c r="I250" t="n">
        <v>3</v>
      </c>
      <c r="J250" t="n">
        <v>8</v>
      </c>
      <c r="K250" t="n">
        <v>1</v>
      </c>
      <c r="L250" t="n">
        <v>0</v>
      </c>
      <c r="M250" t="n">
        <v>0</v>
      </c>
      <c r="N250" t="n">
        <v>0</v>
      </c>
      <c r="O250" t="n">
        <v>9</v>
      </c>
      <c r="P250" t="n">
        <v>1</v>
      </c>
      <c r="Q250" t="n">
        <v>12</v>
      </c>
      <c r="R250" s="2" t="inlineStr">
        <is>
          <t>Gräddporing
Dvärgbägarlav
Garnlav
Kolflarnlav
Kortskaftad ärgspik
Lunglav
Mörk kolflarnlav
Vedskivlav
Vitgrynig nållav
Dropptaggsvamp
Stuplav
Svavelriska</t>
        </is>
      </c>
      <c r="S250">
        <f>HYPERLINK("https://klasma.github.io/Logging_2303/artfynd/A 43107-2023 artfynd.xlsx", "A 43107-2023")</f>
        <v/>
      </c>
      <c r="T250">
        <f>HYPERLINK("https://klasma.github.io/Logging_2303/kartor/A 43107-2023 karta.png", "A 43107-2023")</f>
        <v/>
      </c>
      <c r="V250">
        <f>HYPERLINK("https://klasma.github.io/Logging_2303/klagomål/A 43107-2023 FSC-klagomål.docx", "A 43107-2023")</f>
        <v/>
      </c>
      <c r="W250">
        <f>HYPERLINK("https://klasma.github.io/Logging_2303/klagomålsmail/A 43107-2023 FSC-klagomål mail.docx", "A 43107-2023")</f>
        <v/>
      </c>
      <c r="X250">
        <f>HYPERLINK("https://klasma.github.io/Logging_2303/tillsyn/A 43107-2023 tillsynsbegäran.docx", "A 43107-2023")</f>
        <v/>
      </c>
      <c r="Y250">
        <f>HYPERLINK("https://klasma.github.io/Logging_2303/tillsynsmail/A 43107-2023 tillsynsbegäran mail.docx", "A 43107-2023")</f>
        <v/>
      </c>
    </row>
    <row r="251" ht="15" customHeight="1">
      <c r="A251" t="inlineStr">
        <is>
          <t>A 49928-2025</t>
        </is>
      </c>
      <c r="B251" s="1" t="n">
        <v>45940.65138888889</v>
      </c>
      <c r="C251" s="1" t="n">
        <v>46045</v>
      </c>
      <c r="D251" t="inlineStr">
        <is>
          <t>JÄMTLANDS LÄN</t>
        </is>
      </c>
      <c r="E251" t="inlineStr">
        <is>
          <t>ÖSTERSUND</t>
        </is>
      </c>
      <c r="G251" t="n">
        <v>6.4</v>
      </c>
      <c r="H251" t="n">
        <v>4</v>
      </c>
      <c r="I251" t="n">
        <v>2</v>
      </c>
      <c r="J251" t="n">
        <v>7</v>
      </c>
      <c r="K251" t="n">
        <v>1</v>
      </c>
      <c r="L251" t="n">
        <v>1</v>
      </c>
      <c r="M251" t="n">
        <v>0</v>
      </c>
      <c r="N251" t="n">
        <v>0</v>
      </c>
      <c r="O251" t="n">
        <v>9</v>
      </c>
      <c r="P251" t="n">
        <v>2</v>
      </c>
      <c r="Q251" t="n">
        <v>12</v>
      </c>
      <c r="R251" s="2" t="inlineStr">
        <is>
          <t>Mikroskapania
Knärot
Doftskinn
Garnlav
Granticka
Harticka
Platt spretmossa
Tretåig hackspett
Ullticka
Rödgul trumpetsvamp
Trådticka
Revlummer</t>
        </is>
      </c>
      <c r="S251">
        <f>HYPERLINK("https://klasma.github.io/Logging_2380/artfynd/A 49928-2025 artfynd.xlsx", "A 49928-2025")</f>
        <v/>
      </c>
      <c r="T251">
        <f>HYPERLINK("https://klasma.github.io/Logging_2380/kartor/A 49928-2025 karta.png", "A 49928-2025")</f>
        <v/>
      </c>
      <c r="U251">
        <f>HYPERLINK("https://klasma.github.io/Logging_2380/knärot/A 49928-2025 karta knärot.png", "A 49928-2025")</f>
        <v/>
      </c>
      <c r="V251">
        <f>HYPERLINK("https://klasma.github.io/Logging_2380/klagomål/A 49928-2025 FSC-klagomål.docx", "A 49928-2025")</f>
        <v/>
      </c>
      <c r="W251">
        <f>HYPERLINK("https://klasma.github.io/Logging_2380/klagomålsmail/A 49928-2025 FSC-klagomål mail.docx", "A 49928-2025")</f>
        <v/>
      </c>
      <c r="X251">
        <f>HYPERLINK("https://klasma.github.io/Logging_2380/tillsyn/A 49928-2025 tillsynsbegäran.docx", "A 49928-2025")</f>
        <v/>
      </c>
      <c r="Y251">
        <f>HYPERLINK("https://klasma.github.io/Logging_2380/tillsynsmail/A 49928-2025 tillsynsbegäran mail.docx", "A 49928-2025")</f>
        <v/>
      </c>
      <c r="Z251">
        <f>HYPERLINK("https://klasma.github.io/Logging_2380/fåglar/A 49928-2025 prioriterade fågelarter.docx", "A 49928-2025")</f>
        <v/>
      </c>
    </row>
    <row r="252" ht="15" customHeight="1">
      <c r="A252" t="inlineStr">
        <is>
          <t>A 32340-2025</t>
        </is>
      </c>
      <c r="B252" s="1" t="n">
        <v>45837</v>
      </c>
      <c r="C252" s="1" t="n">
        <v>46045</v>
      </c>
      <c r="D252" t="inlineStr">
        <is>
          <t>JÄMTLANDS LÄN</t>
        </is>
      </c>
      <c r="E252" t="inlineStr">
        <is>
          <t>HÄRJEDALEN</t>
        </is>
      </c>
      <c r="G252" t="n">
        <v>19.9</v>
      </c>
      <c r="H252" t="n">
        <v>1</v>
      </c>
      <c r="I252" t="n">
        <v>1</v>
      </c>
      <c r="J252" t="n">
        <v>10</v>
      </c>
      <c r="K252" t="n">
        <v>1</v>
      </c>
      <c r="L252" t="n">
        <v>0</v>
      </c>
      <c r="M252" t="n">
        <v>0</v>
      </c>
      <c r="N252" t="n">
        <v>0</v>
      </c>
      <c r="O252" t="n">
        <v>11</v>
      </c>
      <c r="P252" t="n">
        <v>1</v>
      </c>
      <c r="Q252" t="n">
        <v>12</v>
      </c>
      <c r="R252" s="2" t="inlineStr">
        <is>
          <t>Gräddporing
Blanksvart spiklav
Blågrå svartspik
Dvärgbägarlav
Gammelgransskål
Granticka
Knottrig blåslav
Tretåig hackspett
Vedflamlav
Vedskivlav
Vitgrynig nållav
Stuplav</t>
        </is>
      </c>
      <c r="S252">
        <f>HYPERLINK("https://klasma.github.io/Logging_2361/artfynd/A 32340-2025 artfynd.xlsx", "A 32340-2025")</f>
        <v/>
      </c>
      <c r="T252">
        <f>HYPERLINK("https://klasma.github.io/Logging_2361/kartor/A 32340-2025 karta.png", "A 32340-2025")</f>
        <v/>
      </c>
      <c r="V252">
        <f>HYPERLINK("https://klasma.github.io/Logging_2361/klagomål/A 32340-2025 FSC-klagomål.docx", "A 32340-2025")</f>
        <v/>
      </c>
      <c r="W252">
        <f>HYPERLINK("https://klasma.github.io/Logging_2361/klagomålsmail/A 32340-2025 FSC-klagomål mail.docx", "A 32340-2025")</f>
        <v/>
      </c>
      <c r="X252">
        <f>HYPERLINK("https://klasma.github.io/Logging_2361/tillsyn/A 32340-2025 tillsynsbegäran.docx", "A 32340-2025")</f>
        <v/>
      </c>
      <c r="Y252">
        <f>HYPERLINK("https://klasma.github.io/Logging_2361/tillsynsmail/A 32340-2025 tillsynsbegäran mail.docx", "A 32340-2025")</f>
        <v/>
      </c>
      <c r="Z252">
        <f>HYPERLINK("https://klasma.github.io/Logging_2361/fåglar/A 32340-2025 prioriterade fågelarter.docx", "A 32340-2025")</f>
        <v/>
      </c>
    </row>
    <row r="253" ht="15" customHeight="1">
      <c r="A253" t="inlineStr">
        <is>
          <t>A 39282-2025</t>
        </is>
      </c>
      <c r="B253" s="1" t="n">
        <v>45889</v>
      </c>
      <c r="C253" s="1" t="n">
        <v>46045</v>
      </c>
      <c r="D253" t="inlineStr">
        <is>
          <t>JÄMTLANDS LÄN</t>
        </is>
      </c>
      <c r="E253" t="inlineStr">
        <is>
          <t>BERG</t>
        </is>
      </c>
      <c r="G253" t="n">
        <v>12.9</v>
      </c>
      <c r="H253" t="n">
        <v>3</v>
      </c>
      <c r="I253" t="n">
        <v>1</v>
      </c>
      <c r="J253" t="n">
        <v>9</v>
      </c>
      <c r="K253" t="n">
        <v>1</v>
      </c>
      <c r="L253" t="n">
        <v>0</v>
      </c>
      <c r="M253" t="n">
        <v>0</v>
      </c>
      <c r="N253" t="n">
        <v>0</v>
      </c>
      <c r="O253" t="n">
        <v>10</v>
      </c>
      <c r="P253" t="n">
        <v>1</v>
      </c>
      <c r="Q253" t="n">
        <v>12</v>
      </c>
      <c r="R253" s="2" t="inlineStr">
        <is>
          <t>Smalskaftslav
Gammelgransskål
Garnlav
Granticka
Lunglav
Rosenticka
Talltita
Tretåig hackspett
Ullticka
Vitgrynig nållav
Gulnål
Lavskrika</t>
        </is>
      </c>
      <c r="S253">
        <f>HYPERLINK("https://klasma.github.io/Logging_2326/artfynd/A 39282-2025 artfynd.xlsx", "A 39282-2025")</f>
        <v/>
      </c>
      <c r="T253">
        <f>HYPERLINK("https://klasma.github.io/Logging_2326/kartor/A 39282-2025 karta.png", "A 39282-2025")</f>
        <v/>
      </c>
      <c r="U253">
        <f>HYPERLINK("https://klasma.github.io/Logging_2326/knärot/A 39282-2025 karta knärot.png", "A 39282-2025")</f>
        <v/>
      </c>
      <c r="V253">
        <f>HYPERLINK("https://klasma.github.io/Logging_2326/klagomål/A 39282-2025 FSC-klagomål.docx", "A 39282-2025")</f>
        <v/>
      </c>
      <c r="W253">
        <f>HYPERLINK("https://klasma.github.io/Logging_2326/klagomålsmail/A 39282-2025 FSC-klagomål mail.docx", "A 39282-2025")</f>
        <v/>
      </c>
      <c r="X253">
        <f>HYPERLINK("https://klasma.github.io/Logging_2326/tillsyn/A 39282-2025 tillsynsbegäran.docx", "A 39282-2025")</f>
        <v/>
      </c>
      <c r="Y253">
        <f>HYPERLINK("https://klasma.github.io/Logging_2326/tillsynsmail/A 39282-2025 tillsynsbegäran mail.docx", "A 39282-2025")</f>
        <v/>
      </c>
      <c r="Z253">
        <f>HYPERLINK("https://klasma.github.io/Logging_2326/fåglar/A 39282-2025 prioriterade fågelarter.docx", "A 39282-2025")</f>
        <v/>
      </c>
    </row>
    <row r="254" ht="15" customHeight="1">
      <c r="A254" t="inlineStr">
        <is>
          <t>A 19727-2025</t>
        </is>
      </c>
      <c r="B254" s="1" t="n">
        <v>45771.36538194444</v>
      </c>
      <c r="C254" s="1" t="n">
        <v>46045</v>
      </c>
      <c r="D254" t="inlineStr">
        <is>
          <t>JÄMTLANDS LÄN</t>
        </is>
      </c>
      <c r="E254" t="inlineStr">
        <is>
          <t>RAGUNDA</t>
        </is>
      </c>
      <c r="F254" t="inlineStr">
        <is>
          <t>SCA</t>
        </is>
      </c>
      <c r="G254" t="n">
        <v>9</v>
      </c>
      <c r="H254" t="n">
        <v>1</v>
      </c>
      <c r="I254" t="n">
        <v>2</v>
      </c>
      <c r="J254" t="n">
        <v>7</v>
      </c>
      <c r="K254" t="n">
        <v>3</v>
      </c>
      <c r="L254" t="n">
        <v>0</v>
      </c>
      <c r="M254" t="n">
        <v>0</v>
      </c>
      <c r="N254" t="n">
        <v>0</v>
      </c>
      <c r="O254" t="n">
        <v>10</v>
      </c>
      <c r="P254" t="n">
        <v>3</v>
      </c>
      <c r="Q254" t="n">
        <v>12</v>
      </c>
      <c r="R254" s="2" t="inlineStr">
        <is>
          <t>Knärot
Lappticka
Rynkskinn
Gammelgransskål
Garnlav
Granticka
Lunglav
Rosenticka
Ullticka
Vitgrynig nållav
Barkkornlav
Bårdlav</t>
        </is>
      </c>
      <c r="S254">
        <f>HYPERLINK("https://klasma.github.io/Logging_2303/artfynd/A 19727-2025 artfynd.xlsx", "A 19727-2025")</f>
        <v/>
      </c>
      <c r="T254">
        <f>HYPERLINK("https://klasma.github.io/Logging_2303/kartor/A 19727-2025 karta.png", "A 19727-2025")</f>
        <v/>
      </c>
      <c r="U254">
        <f>HYPERLINK("https://klasma.github.io/Logging_2303/knärot/A 19727-2025 karta knärot.png", "A 19727-2025")</f>
        <v/>
      </c>
      <c r="V254">
        <f>HYPERLINK("https://klasma.github.io/Logging_2303/klagomål/A 19727-2025 FSC-klagomål.docx", "A 19727-2025")</f>
        <v/>
      </c>
      <c r="W254">
        <f>HYPERLINK("https://klasma.github.io/Logging_2303/klagomålsmail/A 19727-2025 FSC-klagomål mail.docx", "A 19727-2025")</f>
        <v/>
      </c>
      <c r="X254">
        <f>HYPERLINK("https://klasma.github.io/Logging_2303/tillsyn/A 19727-2025 tillsynsbegäran.docx", "A 19727-2025")</f>
        <v/>
      </c>
      <c r="Y254">
        <f>HYPERLINK("https://klasma.github.io/Logging_2303/tillsynsmail/A 19727-2025 tillsynsbegäran mail.docx", "A 19727-2025")</f>
        <v/>
      </c>
    </row>
    <row r="255" ht="15" customHeight="1">
      <c r="A255" t="inlineStr">
        <is>
          <t>A 31197-2023</t>
        </is>
      </c>
      <c r="B255" s="1" t="n">
        <v>45113</v>
      </c>
      <c r="C255" s="1" t="n">
        <v>46045</v>
      </c>
      <c r="D255" t="inlineStr">
        <is>
          <t>JÄMTLANDS LÄN</t>
        </is>
      </c>
      <c r="E255" t="inlineStr">
        <is>
          <t>RAGUNDA</t>
        </is>
      </c>
      <c r="F255" t="inlineStr">
        <is>
          <t>SCA</t>
        </is>
      </c>
      <c r="G255" t="n">
        <v>4.6</v>
      </c>
      <c r="H255" t="n">
        <v>0</v>
      </c>
      <c r="I255" t="n">
        <v>2</v>
      </c>
      <c r="J255" t="n">
        <v>7</v>
      </c>
      <c r="K255" t="n">
        <v>3</v>
      </c>
      <c r="L255" t="n">
        <v>0</v>
      </c>
      <c r="M255" t="n">
        <v>0</v>
      </c>
      <c r="N255" t="n">
        <v>0</v>
      </c>
      <c r="O255" t="n">
        <v>10</v>
      </c>
      <c r="P255" t="n">
        <v>3</v>
      </c>
      <c r="Q255" t="n">
        <v>12</v>
      </c>
      <c r="R255" s="2" t="inlineStr">
        <is>
          <t>Gräddporing
Smalfotad taggsvamp
Tajgataggsvamp
Dvärgbägarlav
Garnlav
Lunglav
Nordtagging
Skrovlig taggsvamp
Vaddporing
Vedskivlav
Dropptaggsvamp
Skarp dropptaggsvamp</t>
        </is>
      </c>
      <c r="S255">
        <f>HYPERLINK("https://klasma.github.io/Logging_2303/artfynd/A 31197-2023 artfynd.xlsx", "A 31197-2023")</f>
        <v/>
      </c>
      <c r="T255">
        <f>HYPERLINK("https://klasma.github.io/Logging_2303/kartor/A 31197-2023 karta.png", "A 31197-2023")</f>
        <v/>
      </c>
      <c r="V255">
        <f>HYPERLINK("https://klasma.github.io/Logging_2303/klagomål/A 31197-2023 FSC-klagomål.docx", "A 31197-2023")</f>
        <v/>
      </c>
      <c r="W255">
        <f>HYPERLINK("https://klasma.github.io/Logging_2303/klagomålsmail/A 31197-2023 FSC-klagomål mail.docx", "A 31197-2023")</f>
        <v/>
      </c>
      <c r="X255">
        <f>HYPERLINK("https://klasma.github.io/Logging_2303/tillsyn/A 31197-2023 tillsynsbegäran.docx", "A 31197-2023")</f>
        <v/>
      </c>
      <c r="Y255">
        <f>HYPERLINK("https://klasma.github.io/Logging_2303/tillsynsmail/A 31197-2023 tillsynsbegäran mail.docx", "A 31197-2023")</f>
        <v/>
      </c>
    </row>
    <row r="256" ht="15" customHeight="1">
      <c r="A256" t="inlineStr">
        <is>
          <t>A 14188-2021</t>
        </is>
      </c>
      <c r="B256" s="1" t="n">
        <v>44278</v>
      </c>
      <c r="C256" s="1" t="n">
        <v>46045</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58223-2021</t>
        </is>
      </c>
      <c r="B257" s="1" t="n">
        <v>44487</v>
      </c>
      <c r="C257" s="1" t="n">
        <v>46045</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31328-2022</t>
        </is>
      </c>
      <c r="B258" s="1" t="n">
        <v>44774</v>
      </c>
      <c r="C258" s="1" t="n">
        <v>46045</v>
      </c>
      <c r="D258" t="inlineStr">
        <is>
          <t>JÄMTLANDS LÄN</t>
        </is>
      </c>
      <c r="E258" t="inlineStr">
        <is>
          <t>HÄRJEDALEN</t>
        </is>
      </c>
      <c r="G258" t="n">
        <v>10.9</v>
      </c>
      <c r="H258" t="n">
        <v>1</v>
      </c>
      <c r="I258" t="n">
        <v>0</v>
      </c>
      <c r="J258" t="n">
        <v>11</v>
      </c>
      <c r="K258" t="n">
        <v>0</v>
      </c>
      <c r="L258" t="n">
        <v>0</v>
      </c>
      <c r="M258" t="n">
        <v>0</v>
      </c>
      <c r="N258" t="n">
        <v>0</v>
      </c>
      <c r="O258" t="n">
        <v>11</v>
      </c>
      <c r="P258" t="n">
        <v>0</v>
      </c>
      <c r="Q258" t="n">
        <v>11</v>
      </c>
      <c r="R258" s="2" t="inlineStr">
        <is>
          <t>Blanksvart spiklav
Gammelgransskål
Garnlav
Granticka
Halmgul örnlav
Harticka
Rödbrun blekspik
Tretåig hackspett
Ullticka
Vedskivlav
Vitgrynig nållav</t>
        </is>
      </c>
      <c r="S258">
        <f>HYPERLINK("https://klasma.github.io/Logging_2361/artfynd/A 31328-2022 artfynd.xlsx", "A 31328-2022")</f>
        <v/>
      </c>
      <c r="T258">
        <f>HYPERLINK("https://klasma.github.io/Logging_2361/kartor/A 31328-2022 karta.png", "A 31328-2022")</f>
        <v/>
      </c>
      <c r="V258">
        <f>HYPERLINK("https://klasma.github.io/Logging_2361/klagomål/A 31328-2022 FSC-klagomål.docx", "A 31328-2022")</f>
        <v/>
      </c>
      <c r="W258">
        <f>HYPERLINK("https://klasma.github.io/Logging_2361/klagomålsmail/A 31328-2022 FSC-klagomål mail.docx", "A 31328-2022")</f>
        <v/>
      </c>
      <c r="X258">
        <f>HYPERLINK("https://klasma.github.io/Logging_2361/tillsyn/A 31328-2022 tillsynsbegäran.docx", "A 31328-2022")</f>
        <v/>
      </c>
      <c r="Y258">
        <f>HYPERLINK("https://klasma.github.io/Logging_2361/tillsynsmail/A 31328-2022 tillsynsbegäran mail.docx", "A 31328-2022")</f>
        <v/>
      </c>
      <c r="Z258">
        <f>HYPERLINK("https://klasma.github.io/Logging_2361/fåglar/A 31328-2022 prioriterade fågelarter.docx", "A 31328-2022")</f>
        <v/>
      </c>
    </row>
    <row r="259" ht="15" customHeight="1">
      <c r="A259" t="inlineStr">
        <is>
          <t>A 28713-2021</t>
        </is>
      </c>
      <c r="B259" s="1" t="n">
        <v>44357</v>
      </c>
      <c r="C259" s="1" t="n">
        <v>46045</v>
      </c>
      <c r="D259" t="inlineStr">
        <is>
          <t>JÄMTLANDS LÄN</t>
        </is>
      </c>
      <c r="E259" t="inlineStr">
        <is>
          <t>HÄRJEDALEN</t>
        </is>
      </c>
      <c r="G259" t="n">
        <v>17.3</v>
      </c>
      <c r="H259" t="n">
        <v>1</v>
      </c>
      <c r="I259" t="n">
        <v>1</v>
      </c>
      <c r="J259" t="n">
        <v>9</v>
      </c>
      <c r="K259" t="n">
        <v>1</v>
      </c>
      <c r="L259" t="n">
        <v>0</v>
      </c>
      <c r="M259" t="n">
        <v>0</v>
      </c>
      <c r="N259" t="n">
        <v>0</v>
      </c>
      <c r="O259" t="n">
        <v>10</v>
      </c>
      <c r="P259" t="n">
        <v>1</v>
      </c>
      <c r="Q259" t="n">
        <v>11</v>
      </c>
      <c r="R259" s="2" t="inlineStr">
        <is>
          <t>Sprickporing
Brunpudrad nållav
Doftskinn
Gammelgransskål
Garnlav
Granticka
Knottrig blåslav
Tretåig hackspett
Ullticka
Vitgrynig nållav
Gytterlav</t>
        </is>
      </c>
      <c r="S259">
        <f>HYPERLINK("https://klasma.github.io/Logging_2361/artfynd/A 28713-2021 artfynd.xlsx", "A 28713-2021")</f>
        <v/>
      </c>
      <c r="T259">
        <f>HYPERLINK("https://klasma.github.io/Logging_2361/kartor/A 28713-2021 karta.png", "A 28713-2021")</f>
        <v/>
      </c>
      <c r="V259">
        <f>HYPERLINK("https://klasma.github.io/Logging_2361/klagomål/A 28713-2021 FSC-klagomål.docx", "A 28713-2021")</f>
        <v/>
      </c>
      <c r="W259">
        <f>HYPERLINK("https://klasma.github.io/Logging_2361/klagomålsmail/A 28713-2021 FSC-klagomål mail.docx", "A 28713-2021")</f>
        <v/>
      </c>
      <c r="X259">
        <f>HYPERLINK("https://klasma.github.io/Logging_2361/tillsyn/A 28713-2021 tillsynsbegäran.docx", "A 28713-2021")</f>
        <v/>
      </c>
      <c r="Y259">
        <f>HYPERLINK("https://klasma.github.io/Logging_2361/tillsynsmail/A 28713-2021 tillsynsbegäran mail.docx", "A 28713-2021")</f>
        <v/>
      </c>
      <c r="Z259">
        <f>HYPERLINK("https://klasma.github.io/Logging_2361/fåglar/A 28713-2021 prioriterade fågelarter.docx", "A 28713-2021")</f>
        <v/>
      </c>
    </row>
    <row r="260" ht="15" customHeight="1">
      <c r="A260" t="inlineStr">
        <is>
          <t>A 47986-2022</t>
        </is>
      </c>
      <c r="B260" s="1" t="n">
        <v>44853</v>
      </c>
      <c r="C260" s="1" t="n">
        <v>46045</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24299-2023</t>
        </is>
      </c>
      <c r="B261" s="1" t="n">
        <v>45079</v>
      </c>
      <c r="C261" s="1" t="n">
        <v>46045</v>
      </c>
      <c r="D261" t="inlineStr">
        <is>
          <t>JÄMTLANDS LÄN</t>
        </is>
      </c>
      <c r="E261" t="inlineStr">
        <is>
          <t>STRÖMSUND</t>
        </is>
      </c>
      <c r="F261" t="inlineStr">
        <is>
          <t>SCA</t>
        </is>
      </c>
      <c r="G261" t="n">
        <v>5.2</v>
      </c>
      <c r="H261" t="n">
        <v>0</v>
      </c>
      <c r="I261" t="n">
        <v>4</v>
      </c>
      <c r="J261" t="n">
        <v>5</v>
      </c>
      <c r="K261" t="n">
        <v>2</v>
      </c>
      <c r="L261" t="n">
        <v>0</v>
      </c>
      <c r="M261" t="n">
        <v>0</v>
      </c>
      <c r="N261" t="n">
        <v>0</v>
      </c>
      <c r="O261" t="n">
        <v>7</v>
      </c>
      <c r="P261" t="n">
        <v>2</v>
      </c>
      <c r="Q261" t="n">
        <v>11</v>
      </c>
      <c r="R261" s="2" t="inlineStr">
        <is>
          <t>Fläckporing
Gräddporing
Garnlav
Kolflarnlav
Lunglav
Skrovellav
Vitgrynig nållav
Bårdlav
Dropptaggsvamp
Källmossa
Stuplav</t>
        </is>
      </c>
      <c r="S261">
        <f>HYPERLINK("https://klasma.github.io/Logging_2313/artfynd/A 24299-2023 artfynd.xlsx", "A 24299-2023")</f>
        <v/>
      </c>
      <c r="T261">
        <f>HYPERLINK("https://klasma.github.io/Logging_2313/kartor/A 24299-2023 karta.png", "A 24299-2023")</f>
        <v/>
      </c>
      <c r="V261">
        <f>HYPERLINK("https://klasma.github.io/Logging_2313/klagomål/A 24299-2023 FSC-klagomål.docx", "A 24299-2023")</f>
        <v/>
      </c>
      <c r="W261">
        <f>HYPERLINK("https://klasma.github.io/Logging_2313/klagomålsmail/A 24299-2023 FSC-klagomål mail.docx", "A 24299-2023")</f>
        <v/>
      </c>
      <c r="X261">
        <f>HYPERLINK("https://klasma.github.io/Logging_2313/tillsyn/A 24299-2023 tillsynsbegäran.docx", "A 24299-2023")</f>
        <v/>
      </c>
      <c r="Y261">
        <f>HYPERLINK("https://klasma.github.io/Logging_2313/tillsynsmail/A 24299-2023 tillsynsbegäran mail.docx", "A 24299-2023")</f>
        <v/>
      </c>
    </row>
    <row r="262" ht="15" customHeight="1">
      <c r="A262" t="inlineStr">
        <is>
          <t>A 3187-2025</t>
        </is>
      </c>
      <c r="B262" s="1" t="n">
        <v>45679.40699074074</v>
      </c>
      <c r="C262" s="1" t="n">
        <v>46045</v>
      </c>
      <c r="D262" t="inlineStr">
        <is>
          <t>JÄMTLANDS LÄN</t>
        </is>
      </c>
      <c r="E262" t="inlineStr">
        <is>
          <t>BERG</t>
        </is>
      </c>
      <c r="F262" t="inlineStr">
        <is>
          <t>SCA</t>
        </is>
      </c>
      <c r="G262" t="n">
        <v>4.2</v>
      </c>
      <c r="H262" t="n">
        <v>0</v>
      </c>
      <c r="I262" t="n">
        <v>2</v>
      </c>
      <c r="J262" t="n">
        <v>7</v>
      </c>
      <c r="K262" t="n">
        <v>2</v>
      </c>
      <c r="L262" t="n">
        <v>0</v>
      </c>
      <c r="M262" t="n">
        <v>0</v>
      </c>
      <c r="N262" t="n">
        <v>0</v>
      </c>
      <c r="O262" t="n">
        <v>9</v>
      </c>
      <c r="P262" t="n">
        <v>2</v>
      </c>
      <c r="Q262" t="n">
        <v>11</v>
      </c>
      <c r="R262" s="2" t="inlineStr">
        <is>
          <t>Fläckporing
Gräddporing
Dvärgbägarlav
Mörk kolflarnlav
Nordtagging
Orange taggsvamp
Vaddporing
Vedflamlav
Vedskivlav
Dropptaggsvamp
Skarp dropptaggsvamp</t>
        </is>
      </c>
      <c r="S262">
        <f>HYPERLINK("https://klasma.github.io/Logging_2326/artfynd/A 3187-2025 artfynd.xlsx", "A 3187-2025")</f>
        <v/>
      </c>
      <c r="T262">
        <f>HYPERLINK("https://klasma.github.io/Logging_2326/kartor/A 3187-2025 karta.png", "A 3187-2025")</f>
        <v/>
      </c>
      <c r="V262">
        <f>HYPERLINK("https://klasma.github.io/Logging_2326/klagomål/A 3187-2025 FSC-klagomål.docx", "A 3187-2025")</f>
        <v/>
      </c>
      <c r="W262">
        <f>HYPERLINK("https://klasma.github.io/Logging_2326/klagomålsmail/A 3187-2025 FSC-klagomål mail.docx", "A 3187-2025")</f>
        <v/>
      </c>
      <c r="X262">
        <f>HYPERLINK("https://klasma.github.io/Logging_2326/tillsyn/A 3187-2025 tillsynsbegäran.docx", "A 3187-2025")</f>
        <v/>
      </c>
      <c r="Y262">
        <f>HYPERLINK("https://klasma.github.io/Logging_2326/tillsynsmail/A 3187-2025 tillsynsbegäran mail.docx", "A 3187-2025")</f>
        <v/>
      </c>
    </row>
    <row r="263" ht="15" customHeight="1">
      <c r="A263" t="inlineStr">
        <is>
          <t>A 38609-2025</t>
        </is>
      </c>
      <c r="B263" s="1" t="n">
        <v>45884.53554398148</v>
      </c>
      <c r="C263" s="1" t="n">
        <v>46045</v>
      </c>
      <c r="D263" t="inlineStr">
        <is>
          <t>JÄMTLANDS LÄN</t>
        </is>
      </c>
      <c r="E263" t="inlineStr">
        <is>
          <t>ÅRE</t>
        </is>
      </c>
      <c r="G263" t="n">
        <v>6.1</v>
      </c>
      <c r="H263" t="n">
        <v>3</v>
      </c>
      <c r="I263" t="n">
        <v>5</v>
      </c>
      <c r="J263" t="n">
        <v>4</v>
      </c>
      <c r="K263" t="n">
        <v>1</v>
      </c>
      <c r="L263" t="n">
        <v>0</v>
      </c>
      <c r="M263" t="n">
        <v>0</v>
      </c>
      <c r="N263" t="n">
        <v>0</v>
      </c>
      <c r="O263" t="n">
        <v>5</v>
      </c>
      <c r="P263" t="n">
        <v>1</v>
      </c>
      <c r="Q263" t="n">
        <v>11</v>
      </c>
      <c r="R263" s="2" t="inlineStr">
        <is>
          <t>Knärot
Garnlav
Tretåig hackspett
Ullticka
Vitgrynig nållav
Fjällig taggsvamp s.str.
Skogshakmossa
Svavelriska
Trådticka
Ögonpyrola
Blåsippa</t>
        </is>
      </c>
      <c r="S263">
        <f>HYPERLINK("https://klasma.github.io/Logging_2321/artfynd/A 38609-2025 artfynd.xlsx", "A 38609-2025")</f>
        <v/>
      </c>
      <c r="T263">
        <f>HYPERLINK("https://klasma.github.io/Logging_2321/kartor/A 38609-2025 karta.png", "A 38609-2025")</f>
        <v/>
      </c>
      <c r="U263">
        <f>HYPERLINK("https://klasma.github.io/Logging_2321/knärot/A 38609-2025 karta knärot.png", "A 38609-2025")</f>
        <v/>
      </c>
      <c r="V263">
        <f>HYPERLINK("https://klasma.github.io/Logging_2321/klagomål/A 38609-2025 FSC-klagomål.docx", "A 38609-2025")</f>
        <v/>
      </c>
      <c r="W263">
        <f>HYPERLINK("https://klasma.github.io/Logging_2321/klagomålsmail/A 38609-2025 FSC-klagomål mail.docx", "A 38609-2025")</f>
        <v/>
      </c>
      <c r="X263">
        <f>HYPERLINK("https://klasma.github.io/Logging_2321/tillsyn/A 38609-2025 tillsynsbegäran.docx", "A 38609-2025")</f>
        <v/>
      </c>
      <c r="Y263">
        <f>HYPERLINK("https://klasma.github.io/Logging_2321/tillsynsmail/A 38609-2025 tillsynsbegäran mail.docx", "A 38609-2025")</f>
        <v/>
      </c>
      <c r="Z263">
        <f>HYPERLINK("https://klasma.github.io/Logging_2321/fåglar/A 38609-2025 prioriterade fågelarter.docx", "A 38609-2025")</f>
        <v/>
      </c>
    </row>
    <row r="264" ht="15" customHeight="1">
      <c r="A264" t="inlineStr">
        <is>
          <t>A 24249-2024</t>
        </is>
      </c>
      <c r="B264" s="1" t="n">
        <v>45457.38396990741</v>
      </c>
      <c r="C264" s="1" t="n">
        <v>46045</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41555-2023</t>
        </is>
      </c>
      <c r="B265" s="1" t="n">
        <v>45175</v>
      </c>
      <c r="C265" s="1" t="n">
        <v>46045</v>
      </c>
      <c r="D265" t="inlineStr">
        <is>
          <t>JÄMTLANDS LÄN</t>
        </is>
      </c>
      <c r="E265" t="inlineStr">
        <is>
          <t>HÄRJEDALEN</t>
        </is>
      </c>
      <c r="F265" t="inlineStr">
        <is>
          <t>Bergvik skog väst AB</t>
        </is>
      </c>
      <c r="G265" t="n">
        <v>10.2</v>
      </c>
      <c r="H265" t="n">
        <v>2</v>
      </c>
      <c r="I265" t="n">
        <v>1</v>
      </c>
      <c r="J265" t="n">
        <v>9</v>
      </c>
      <c r="K265" t="n">
        <v>1</v>
      </c>
      <c r="L265" t="n">
        <v>0</v>
      </c>
      <c r="M265" t="n">
        <v>0</v>
      </c>
      <c r="N265" t="n">
        <v>0</v>
      </c>
      <c r="O265" t="n">
        <v>10</v>
      </c>
      <c r="P265" t="n">
        <v>1</v>
      </c>
      <c r="Q265" t="n">
        <v>11</v>
      </c>
      <c r="R265" s="2" t="inlineStr">
        <is>
          <t>Knärot
Dvärgbägarlav
Garnlav
Kolflarnlav
Mörk kolflarnlav
Tretåig hackspett
Ullticka
Vedflamlav
Vedskivlav
Violettgrå tagellav
Vedticka</t>
        </is>
      </c>
      <c r="S265">
        <f>HYPERLINK("https://klasma.github.io/Logging_2361/artfynd/A 41555-2023 artfynd.xlsx", "A 41555-2023")</f>
        <v/>
      </c>
      <c r="T265">
        <f>HYPERLINK("https://klasma.github.io/Logging_2361/kartor/A 41555-2023 karta.png", "A 41555-2023")</f>
        <v/>
      </c>
      <c r="U265">
        <f>HYPERLINK("https://klasma.github.io/Logging_2361/knärot/A 41555-2023 karta knärot.png", "A 41555-2023")</f>
        <v/>
      </c>
      <c r="V265">
        <f>HYPERLINK("https://klasma.github.io/Logging_2361/klagomål/A 41555-2023 FSC-klagomål.docx", "A 41555-2023")</f>
        <v/>
      </c>
      <c r="W265">
        <f>HYPERLINK("https://klasma.github.io/Logging_2361/klagomålsmail/A 41555-2023 FSC-klagomål mail.docx", "A 41555-2023")</f>
        <v/>
      </c>
      <c r="X265">
        <f>HYPERLINK("https://klasma.github.io/Logging_2361/tillsyn/A 41555-2023 tillsynsbegäran.docx", "A 41555-2023")</f>
        <v/>
      </c>
      <c r="Y265">
        <f>HYPERLINK("https://klasma.github.io/Logging_2361/tillsynsmail/A 41555-2023 tillsynsbegäran mail.docx", "A 41555-2023")</f>
        <v/>
      </c>
      <c r="Z265">
        <f>HYPERLINK("https://klasma.github.io/Logging_2361/fåglar/A 41555-2023 prioriterade fågelarter.docx", "A 41555-2023")</f>
        <v/>
      </c>
    </row>
    <row r="266" ht="15" customHeight="1">
      <c r="A266" t="inlineStr">
        <is>
          <t>A 17109-2024</t>
        </is>
      </c>
      <c r="B266" s="1" t="n">
        <v>45412</v>
      </c>
      <c r="C266" s="1" t="n">
        <v>46045</v>
      </c>
      <c r="D266" t="inlineStr">
        <is>
          <t>JÄMTLANDS LÄN</t>
        </is>
      </c>
      <c r="E266" t="inlineStr">
        <is>
          <t>BERG</t>
        </is>
      </c>
      <c r="G266" t="n">
        <v>18</v>
      </c>
      <c r="H266" t="n">
        <v>1</v>
      </c>
      <c r="I266" t="n">
        <v>3</v>
      </c>
      <c r="J266" t="n">
        <v>8</v>
      </c>
      <c r="K266" t="n">
        <v>0</v>
      </c>
      <c r="L266" t="n">
        <v>0</v>
      </c>
      <c r="M266" t="n">
        <v>0</v>
      </c>
      <c r="N266" t="n">
        <v>0</v>
      </c>
      <c r="O266" t="n">
        <v>8</v>
      </c>
      <c r="P266" t="n">
        <v>0</v>
      </c>
      <c r="Q266" t="n">
        <v>11</v>
      </c>
      <c r="R266" s="2" t="inlineStr">
        <is>
          <t>Garnlav
Granticka
Gränsticka
Harticka
Skrovellav
Tretåig hackspett
Vedtrappmossa
Vitgrynig nållav
Bårdlav
Luddlav
Ögonpyrola</t>
        </is>
      </c>
      <c r="S266">
        <f>HYPERLINK("https://klasma.github.io/Logging_2326/artfynd/A 17109-2024 artfynd.xlsx", "A 17109-2024")</f>
        <v/>
      </c>
      <c r="T266">
        <f>HYPERLINK("https://klasma.github.io/Logging_2326/kartor/A 17109-2024 karta.png", "A 17109-2024")</f>
        <v/>
      </c>
      <c r="V266">
        <f>HYPERLINK("https://klasma.github.io/Logging_2326/klagomål/A 17109-2024 FSC-klagomål.docx", "A 17109-2024")</f>
        <v/>
      </c>
      <c r="W266">
        <f>HYPERLINK("https://klasma.github.io/Logging_2326/klagomålsmail/A 17109-2024 FSC-klagomål mail.docx", "A 17109-2024")</f>
        <v/>
      </c>
      <c r="X266">
        <f>HYPERLINK("https://klasma.github.io/Logging_2326/tillsyn/A 17109-2024 tillsynsbegäran.docx", "A 17109-2024")</f>
        <v/>
      </c>
      <c r="Y266">
        <f>HYPERLINK("https://klasma.github.io/Logging_2326/tillsynsmail/A 17109-2024 tillsynsbegäran mail.docx", "A 17109-2024")</f>
        <v/>
      </c>
      <c r="Z266">
        <f>HYPERLINK("https://klasma.github.io/Logging_2326/fåglar/A 17109-2024 prioriterade fågelarter.docx", "A 17109-2024")</f>
        <v/>
      </c>
    </row>
    <row r="267" ht="15" customHeight="1">
      <c r="A267" t="inlineStr">
        <is>
          <t>A 5877-2021</t>
        </is>
      </c>
      <c r="B267" s="1" t="n">
        <v>44231</v>
      </c>
      <c r="C267" s="1" t="n">
        <v>46045</v>
      </c>
      <c r="D267" t="inlineStr">
        <is>
          <t>JÄMTLANDS LÄN</t>
        </is>
      </c>
      <c r="E267" t="inlineStr">
        <is>
          <t>KROKOM</t>
        </is>
      </c>
      <c r="G267" t="n">
        <v>10.5</v>
      </c>
      <c r="H267" t="n">
        <v>2</v>
      </c>
      <c r="I267" t="n">
        <v>1</v>
      </c>
      <c r="J267" t="n">
        <v>6</v>
      </c>
      <c r="K267" t="n">
        <v>4</v>
      </c>
      <c r="L267" t="n">
        <v>0</v>
      </c>
      <c r="M267" t="n">
        <v>0</v>
      </c>
      <c r="N267" t="n">
        <v>0</v>
      </c>
      <c r="O267" t="n">
        <v>10</v>
      </c>
      <c r="P267" t="n">
        <v>4</v>
      </c>
      <c r="Q267" t="n">
        <v>11</v>
      </c>
      <c r="R267" s="2" t="inlineStr">
        <is>
          <t>Borsttagging
Doftticka
Läderlappslav
Smalskaftslav
Garnlav
Lunglav
Skrovellav
Solfjäderlav
Spillkråka
Vitgrynig nållav
Korallblylav</t>
        </is>
      </c>
      <c r="S267">
        <f>HYPERLINK("https://klasma.github.io/Logging_2309/artfynd/A 5877-2021 artfynd.xlsx", "A 5877-2021")</f>
        <v/>
      </c>
      <c r="T267">
        <f>HYPERLINK("https://klasma.github.io/Logging_2309/kartor/A 5877-2021 karta.png", "A 5877-2021")</f>
        <v/>
      </c>
      <c r="V267">
        <f>HYPERLINK("https://klasma.github.io/Logging_2309/klagomål/A 5877-2021 FSC-klagomål.docx", "A 5877-2021")</f>
        <v/>
      </c>
      <c r="W267">
        <f>HYPERLINK("https://klasma.github.io/Logging_2309/klagomålsmail/A 5877-2021 FSC-klagomål mail.docx", "A 5877-2021")</f>
        <v/>
      </c>
      <c r="X267">
        <f>HYPERLINK("https://klasma.github.io/Logging_2309/tillsyn/A 5877-2021 tillsynsbegäran.docx", "A 5877-2021")</f>
        <v/>
      </c>
      <c r="Y267">
        <f>HYPERLINK("https://klasma.github.io/Logging_2309/tillsynsmail/A 5877-2021 tillsynsbegäran mail.docx", "A 5877-2021")</f>
        <v/>
      </c>
      <c r="Z267">
        <f>HYPERLINK("https://klasma.github.io/Logging_2309/fåglar/A 5877-2021 prioriterade fågelarter.docx", "A 5877-2021")</f>
        <v/>
      </c>
    </row>
    <row r="268" ht="15" customHeight="1">
      <c r="A268" t="inlineStr">
        <is>
          <t>A 9347-2024</t>
        </is>
      </c>
      <c r="B268" s="1" t="n">
        <v>45358.99375</v>
      </c>
      <c r="C268" s="1" t="n">
        <v>46045</v>
      </c>
      <c r="D268" t="inlineStr">
        <is>
          <t>JÄMTLANDS LÄN</t>
        </is>
      </c>
      <c r="E268" t="inlineStr">
        <is>
          <t>RAGUNDA</t>
        </is>
      </c>
      <c r="F268" t="inlineStr">
        <is>
          <t>SCA</t>
        </is>
      </c>
      <c r="G268" t="n">
        <v>1.6</v>
      </c>
      <c r="H268" t="n">
        <v>2</v>
      </c>
      <c r="I268" t="n">
        <v>3</v>
      </c>
      <c r="J268" t="n">
        <v>6</v>
      </c>
      <c r="K268" t="n">
        <v>2</v>
      </c>
      <c r="L268" t="n">
        <v>0</v>
      </c>
      <c r="M268" t="n">
        <v>0</v>
      </c>
      <c r="N268" t="n">
        <v>0</v>
      </c>
      <c r="O268" t="n">
        <v>8</v>
      </c>
      <c r="P268" t="n">
        <v>2</v>
      </c>
      <c r="Q268" t="n">
        <v>11</v>
      </c>
      <c r="R268" s="2" t="inlineStr">
        <is>
          <t>Knärot
Rynkskinn
Garnlav
Gultoppig fingersvamp
Kolflarnlav
Mörk kolflarnlav
Rosenticka
Vedskivlav
Rödfläckig zontaggsvamp
Svavelriska
Tvåblad</t>
        </is>
      </c>
      <c r="S268">
        <f>HYPERLINK("https://klasma.github.io/Logging_2303/artfynd/A 9347-2024 artfynd.xlsx", "A 9347-2024")</f>
        <v/>
      </c>
      <c r="T268">
        <f>HYPERLINK("https://klasma.github.io/Logging_2303/kartor/A 9347-2024 karta.png", "A 9347-2024")</f>
        <v/>
      </c>
      <c r="U268">
        <f>HYPERLINK("https://klasma.github.io/Logging_2303/knärot/A 9347-2024 karta knärot.png", "A 9347-2024")</f>
        <v/>
      </c>
      <c r="V268">
        <f>HYPERLINK("https://klasma.github.io/Logging_2303/klagomål/A 9347-2024 FSC-klagomål.docx", "A 9347-2024")</f>
        <v/>
      </c>
      <c r="W268">
        <f>HYPERLINK("https://klasma.github.io/Logging_2303/klagomålsmail/A 9347-2024 FSC-klagomål mail.docx", "A 9347-2024")</f>
        <v/>
      </c>
      <c r="X268">
        <f>HYPERLINK("https://klasma.github.io/Logging_2303/tillsyn/A 9347-2024 tillsynsbegäran.docx", "A 9347-2024")</f>
        <v/>
      </c>
      <c r="Y268">
        <f>HYPERLINK("https://klasma.github.io/Logging_2303/tillsynsmail/A 9347-2024 tillsynsbegäran mail.docx", "A 9347-2024")</f>
        <v/>
      </c>
    </row>
    <row r="269" ht="15" customHeight="1">
      <c r="A269" t="inlineStr">
        <is>
          <t>A 33262-2024</t>
        </is>
      </c>
      <c r="B269" s="1" t="n">
        <v>45518</v>
      </c>
      <c r="C269" s="1" t="n">
        <v>46045</v>
      </c>
      <c r="D269" t="inlineStr">
        <is>
          <t>JÄMTLANDS LÄN</t>
        </is>
      </c>
      <c r="E269" t="inlineStr">
        <is>
          <t>STRÖMSUND</t>
        </is>
      </c>
      <c r="G269" t="n">
        <v>32.8</v>
      </c>
      <c r="H269" t="n">
        <v>4</v>
      </c>
      <c r="I269" t="n">
        <v>1</v>
      </c>
      <c r="J269" t="n">
        <v>8</v>
      </c>
      <c r="K269" t="n">
        <v>1</v>
      </c>
      <c r="L269" t="n">
        <v>0</v>
      </c>
      <c r="M269" t="n">
        <v>0</v>
      </c>
      <c r="N269" t="n">
        <v>0</v>
      </c>
      <c r="O269" t="n">
        <v>9</v>
      </c>
      <c r="P269" t="n">
        <v>1</v>
      </c>
      <c r="Q269" t="n">
        <v>11</v>
      </c>
      <c r="R269" s="2" t="inlineStr">
        <is>
          <t>Doftticka
Garnlav
Granticka
Harticka
Lunglav
Spillkråka
Tretåig hackspett
Ullticka
Äggvaxskivling
Trådticka
Lavskrika</t>
        </is>
      </c>
      <c r="S269">
        <f>HYPERLINK("https://klasma.github.io/Logging_2313/artfynd/A 33262-2024 artfynd.xlsx", "A 33262-2024")</f>
        <v/>
      </c>
      <c r="T269">
        <f>HYPERLINK("https://klasma.github.io/Logging_2313/kartor/A 33262-2024 karta.png", "A 33262-2024")</f>
        <v/>
      </c>
      <c r="V269">
        <f>HYPERLINK("https://klasma.github.io/Logging_2313/klagomål/A 33262-2024 FSC-klagomål.docx", "A 33262-2024")</f>
        <v/>
      </c>
      <c r="W269">
        <f>HYPERLINK("https://klasma.github.io/Logging_2313/klagomålsmail/A 33262-2024 FSC-klagomål mail.docx", "A 33262-2024")</f>
        <v/>
      </c>
      <c r="X269">
        <f>HYPERLINK("https://klasma.github.io/Logging_2313/tillsyn/A 33262-2024 tillsynsbegäran.docx", "A 33262-2024")</f>
        <v/>
      </c>
      <c r="Y269">
        <f>HYPERLINK("https://klasma.github.io/Logging_2313/tillsynsmail/A 33262-2024 tillsynsbegäran mail.docx", "A 33262-2024")</f>
        <v/>
      </c>
      <c r="Z269">
        <f>HYPERLINK("https://klasma.github.io/Logging_2313/fåglar/A 33262-2024 prioriterade fågelarter.docx", "A 33262-2024")</f>
        <v/>
      </c>
    </row>
    <row r="270" ht="15" customHeight="1">
      <c r="A270" t="inlineStr">
        <is>
          <t>A 19337-2024</t>
        </is>
      </c>
      <c r="B270" s="1" t="n">
        <v>45428.97097222223</v>
      </c>
      <c r="C270" s="1" t="n">
        <v>46045</v>
      </c>
      <c r="D270" t="inlineStr">
        <is>
          <t>JÄMTLANDS LÄN</t>
        </is>
      </c>
      <c r="E270" t="inlineStr">
        <is>
          <t>BRÄCKE</t>
        </is>
      </c>
      <c r="F270" t="inlineStr">
        <is>
          <t>SCA</t>
        </is>
      </c>
      <c r="G270" t="n">
        <v>6</v>
      </c>
      <c r="H270" t="n">
        <v>3</v>
      </c>
      <c r="I270" t="n">
        <v>5</v>
      </c>
      <c r="J270" t="n">
        <v>5</v>
      </c>
      <c r="K270" t="n">
        <v>0</v>
      </c>
      <c r="L270" t="n">
        <v>0</v>
      </c>
      <c r="M270" t="n">
        <v>0</v>
      </c>
      <c r="N270" t="n">
        <v>0</v>
      </c>
      <c r="O270" t="n">
        <v>5</v>
      </c>
      <c r="P270" t="n">
        <v>0</v>
      </c>
      <c r="Q270" t="n">
        <v>11</v>
      </c>
      <c r="R270" s="2" t="inlineStr">
        <is>
          <t>Gammelgransskål
Granticka
Spillkråka
Ullticka
Vedtrappmossa
Guckusko
Kransrams
Svavelriska
Tibast
Underviol
Blåsippa</t>
        </is>
      </c>
      <c r="S270">
        <f>HYPERLINK("https://klasma.github.io/Logging_2305/artfynd/A 19337-2024 artfynd.xlsx", "A 19337-2024")</f>
        <v/>
      </c>
      <c r="T270">
        <f>HYPERLINK("https://klasma.github.io/Logging_2305/kartor/A 19337-2024 karta.png", "A 19337-2024")</f>
        <v/>
      </c>
      <c r="V270">
        <f>HYPERLINK("https://klasma.github.io/Logging_2305/klagomål/A 19337-2024 FSC-klagomål.docx", "A 19337-2024")</f>
        <v/>
      </c>
      <c r="W270">
        <f>HYPERLINK("https://klasma.github.io/Logging_2305/klagomålsmail/A 19337-2024 FSC-klagomål mail.docx", "A 19337-2024")</f>
        <v/>
      </c>
      <c r="X270">
        <f>HYPERLINK("https://klasma.github.io/Logging_2305/tillsyn/A 19337-2024 tillsynsbegäran.docx", "A 19337-2024")</f>
        <v/>
      </c>
      <c r="Y270">
        <f>HYPERLINK("https://klasma.github.io/Logging_2305/tillsynsmail/A 19337-2024 tillsynsbegäran mail.docx", "A 19337-2024")</f>
        <v/>
      </c>
      <c r="Z270">
        <f>HYPERLINK("https://klasma.github.io/Logging_2305/fåglar/A 19337-2024 prioriterade fågelarter.docx", "A 19337-2024")</f>
        <v/>
      </c>
    </row>
    <row r="271" ht="15" customHeight="1">
      <c r="A271" t="inlineStr">
        <is>
          <t>A 61434-2024</t>
        </is>
      </c>
      <c r="B271" s="1" t="n">
        <v>45646</v>
      </c>
      <c r="C271" s="1" t="n">
        <v>46045</v>
      </c>
      <c r="D271" t="inlineStr">
        <is>
          <t>JÄMTLANDS LÄN</t>
        </is>
      </c>
      <c r="E271" t="inlineStr">
        <is>
          <t>KROKOM</t>
        </is>
      </c>
      <c r="G271" t="n">
        <v>33.7</v>
      </c>
      <c r="H271" t="n">
        <v>1</v>
      </c>
      <c r="I271" t="n">
        <v>3</v>
      </c>
      <c r="J271" t="n">
        <v>7</v>
      </c>
      <c r="K271" t="n">
        <v>1</v>
      </c>
      <c r="L271" t="n">
        <v>0</v>
      </c>
      <c r="M271" t="n">
        <v>0</v>
      </c>
      <c r="N271" t="n">
        <v>0</v>
      </c>
      <c r="O271" t="n">
        <v>8</v>
      </c>
      <c r="P271" t="n">
        <v>1</v>
      </c>
      <c r="Q271" t="n">
        <v>11</v>
      </c>
      <c r="R271" s="2" t="inlineStr">
        <is>
          <t>Rynkskinn
Brunpudrad nållav
Garnlav
Granticka
Gränsticka
Skrovellav
Ullticka
Vitgrynig nållav
Kärrkammossa
Trådticka
Tvåblad</t>
        </is>
      </c>
      <c r="S271">
        <f>HYPERLINK("https://klasma.github.io/Logging_2309/artfynd/A 61434-2024 artfynd.xlsx", "A 61434-2024")</f>
        <v/>
      </c>
      <c r="T271">
        <f>HYPERLINK("https://klasma.github.io/Logging_2309/kartor/A 61434-2024 karta.png", "A 61434-2024")</f>
        <v/>
      </c>
      <c r="V271">
        <f>HYPERLINK("https://klasma.github.io/Logging_2309/klagomål/A 61434-2024 FSC-klagomål.docx", "A 61434-2024")</f>
        <v/>
      </c>
      <c r="W271">
        <f>HYPERLINK("https://klasma.github.io/Logging_2309/klagomålsmail/A 61434-2024 FSC-klagomål mail.docx", "A 61434-2024")</f>
        <v/>
      </c>
      <c r="X271">
        <f>HYPERLINK("https://klasma.github.io/Logging_2309/tillsyn/A 61434-2024 tillsynsbegäran.docx", "A 61434-2024")</f>
        <v/>
      </c>
      <c r="Y271">
        <f>HYPERLINK("https://klasma.github.io/Logging_2309/tillsynsmail/A 61434-2024 tillsynsbegäran mail.docx", "A 61434-2024")</f>
        <v/>
      </c>
    </row>
    <row r="272" ht="15" customHeight="1">
      <c r="A272" t="inlineStr">
        <is>
          <t>A 61388-2024</t>
        </is>
      </c>
      <c r="B272" s="1" t="n">
        <v>45646</v>
      </c>
      <c r="C272" s="1" t="n">
        <v>46045</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46633-2023</t>
        </is>
      </c>
      <c r="B273" s="1" t="n">
        <v>45198</v>
      </c>
      <c r="C273" s="1" t="n">
        <v>46045</v>
      </c>
      <c r="D273" t="inlineStr">
        <is>
          <t>JÄMTLANDS LÄN</t>
        </is>
      </c>
      <c r="E273" t="inlineStr">
        <is>
          <t>HÄRJEDALEN</t>
        </is>
      </c>
      <c r="F273" t="inlineStr">
        <is>
          <t>Bergvik skog väst AB</t>
        </is>
      </c>
      <c r="G273" t="n">
        <v>13.3</v>
      </c>
      <c r="H273" t="n">
        <v>5</v>
      </c>
      <c r="I273" t="n">
        <v>4</v>
      </c>
      <c r="J273" t="n">
        <v>5</v>
      </c>
      <c r="K273" t="n">
        <v>1</v>
      </c>
      <c r="L273" t="n">
        <v>0</v>
      </c>
      <c r="M273" t="n">
        <v>0</v>
      </c>
      <c r="N273" t="n">
        <v>0</v>
      </c>
      <c r="O273" t="n">
        <v>6</v>
      </c>
      <c r="P273" t="n">
        <v>1</v>
      </c>
      <c r="Q273" t="n">
        <v>11</v>
      </c>
      <c r="R273" s="2" t="inlineStr">
        <is>
          <t>Knärot
Dvärgbägarlav
Garnlav
Lunglav
Skrovellav
Talltita
Korallrot
Spindelblomster
Stuplav
Vedticka
Huggorm</t>
        </is>
      </c>
      <c r="S273">
        <f>HYPERLINK("https://klasma.github.io/Logging_2361/artfynd/A 46633-2023 artfynd.xlsx", "A 46633-2023")</f>
        <v/>
      </c>
      <c r="T273">
        <f>HYPERLINK("https://klasma.github.io/Logging_2361/kartor/A 46633-2023 karta.png", "A 46633-2023")</f>
        <v/>
      </c>
      <c r="U273">
        <f>HYPERLINK("https://klasma.github.io/Logging_2361/knärot/A 46633-2023 karta knärot.png", "A 46633-2023")</f>
        <v/>
      </c>
      <c r="V273">
        <f>HYPERLINK("https://klasma.github.io/Logging_2361/klagomål/A 46633-2023 FSC-klagomål.docx", "A 46633-2023")</f>
        <v/>
      </c>
      <c r="W273">
        <f>HYPERLINK("https://klasma.github.io/Logging_2361/klagomålsmail/A 46633-2023 FSC-klagomål mail.docx", "A 46633-2023")</f>
        <v/>
      </c>
      <c r="X273">
        <f>HYPERLINK("https://klasma.github.io/Logging_2361/tillsyn/A 46633-2023 tillsynsbegäran.docx", "A 46633-2023")</f>
        <v/>
      </c>
      <c r="Y273">
        <f>HYPERLINK("https://klasma.github.io/Logging_2361/tillsynsmail/A 46633-2023 tillsynsbegäran mail.docx", "A 46633-2023")</f>
        <v/>
      </c>
      <c r="Z273">
        <f>HYPERLINK("https://klasma.github.io/Logging_2361/fåglar/A 46633-2023 prioriterade fågelarter.docx", "A 46633-2023")</f>
        <v/>
      </c>
    </row>
    <row r="274" ht="15" customHeight="1">
      <c r="A274" t="inlineStr">
        <is>
          <t>A 44933-2025</t>
        </is>
      </c>
      <c r="B274" s="1" t="n">
        <v>45918.57365740741</v>
      </c>
      <c r="C274" s="1" t="n">
        <v>46045</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32741-2025</t>
        </is>
      </c>
      <c r="B275" s="1" t="n">
        <v>45839.42482638889</v>
      </c>
      <c r="C275" s="1" t="n">
        <v>46045</v>
      </c>
      <c r="D275" t="inlineStr">
        <is>
          <t>JÄMTLANDS LÄN</t>
        </is>
      </c>
      <c r="E275" t="inlineStr">
        <is>
          <t>RAGUNDA</t>
        </is>
      </c>
      <c r="G275" t="n">
        <v>4.2</v>
      </c>
      <c r="H275" t="n">
        <v>4</v>
      </c>
      <c r="I275" t="n">
        <v>2</v>
      </c>
      <c r="J275" t="n">
        <v>8</v>
      </c>
      <c r="K275" t="n">
        <v>1</v>
      </c>
      <c r="L275" t="n">
        <v>0</v>
      </c>
      <c r="M275" t="n">
        <v>0</v>
      </c>
      <c r="N275" t="n">
        <v>0</v>
      </c>
      <c r="O275" t="n">
        <v>9</v>
      </c>
      <c r="P275" t="n">
        <v>1</v>
      </c>
      <c r="Q275" t="n">
        <v>11</v>
      </c>
      <c r="R275" s="2" t="inlineStr">
        <is>
          <t>Knärot
Garnlav
Kolflarnlav
Lunglav
Talltita
Tretåig hackspett
Ullticka
Vedtrappmossa
Vitgrynig nållav
Spindelblomster
Stuplav</t>
        </is>
      </c>
      <c r="S275">
        <f>HYPERLINK("https://klasma.github.io/Logging_2303/artfynd/A 32741-2025 artfynd.xlsx", "A 32741-2025")</f>
        <v/>
      </c>
      <c r="T275">
        <f>HYPERLINK("https://klasma.github.io/Logging_2303/kartor/A 32741-2025 karta.png", "A 32741-2025")</f>
        <v/>
      </c>
      <c r="U275">
        <f>HYPERLINK("https://klasma.github.io/Logging_2303/knärot/A 32741-2025 karta knärot.png", "A 32741-2025")</f>
        <v/>
      </c>
      <c r="V275">
        <f>HYPERLINK("https://klasma.github.io/Logging_2303/klagomål/A 32741-2025 FSC-klagomål.docx", "A 32741-2025")</f>
        <v/>
      </c>
      <c r="W275">
        <f>HYPERLINK("https://klasma.github.io/Logging_2303/klagomålsmail/A 32741-2025 FSC-klagomål mail.docx", "A 32741-2025")</f>
        <v/>
      </c>
      <c r="X275">
        <f>HYPERLINK("https://klasma.github.io/Logging_2303/tillsyn/A 32741-2025 tillsynsbegäran.docx", "A 32741-2025")</f>
        <v/>
      </c>
      <c r="Y275">
        <f>HYPERLINK("https://klasma.github.io/Logging_2303/tillsynsmail/A 32741-2025 tillsynsbegäran mail.docx", "A 32741-2025")</f>
        <v/>
      </c>
      <c r="Z275">
        <f>HYPERLINK("https://klasma.github.io/Logging_2303/fåglar/A 32741-2025 prioriterade fågelarter.docx", "A 32741-2025")</f>
        <v/>
      </c>
    </row>
    <row r="276" ht="15" customHeight="1">
      <c r="A276" t="inlineStr">
        <is>
          <t>A 26140-2022</t>
        </is>
      </c>
      <c r="B276" s="1" t="n">
        <v>44734</v>
      </c>
      <c r="C276" s="1" t="n">
        <v>46045</v>
      </c>
      <c r="D276" t="inlineStr">
        <is>
          <t>JÄMTLANDS LÄN</t>
        </is>
      </c>
      <c r="E276" t="inlineStr">
        <is>
          <t>STRÖMSUND</t>
        </is>
      </c>
      <c r="F276" t="inlineStr">
        <is>
          <t>SCA</t>
        </is>
      </c>
      <c r="G276" t="n">
        <v>7.9</v>
      </c>
      <c r="H276" t="n">
        <v>3</v>
      </c>
      <c r="I276" t="n">
        <v>5</v>
      </c>
      <c r="J276" t="n">
        <v>5</v>
      </c>
      <c r="K276" t="n">
        <v>0</v>
      </c>
      <c r="L276" t="n">
        <v>0</v>
      </c>
      <c r="M276" t="n">
        <v>0</v>
      </c>
      <c r="N276" t="n">
        <v>0</v>
      </c>
      <c r="O276" t="n">
        <v>5</v>
      </c>
      <c r="P276" t="n">
        <v>0</v>
      </c>
      <c r="Q276" t="n">
        <v>11</v>
      </c>
      <c r="R276" s="2" t="inlineStr">
        <is>
          <t>Garnlav
Granticka
Lunglav
Skrovellav
Tretåig hackspett
Gulnål
Luddlav
Mörk husmossa
Spindelblomster
Stuplav
Revlummer</t>
        </is>
      </c>
      <c r="S276">
        <f>HYPERLINK("https://klasma.github.io/Logging_2313/artfynd/A 26140-2022 artfynd.xlsx", "A 26140-2022")</f>
        <v/>
      </c>
      <c r="T276">
        <f>HYPERLINK("https://klasma.github.io/Logging_2313/kartor/A 26140-2022 karta.png", "A 26140-2022")</f>
        <v/>
      </c>
      <c r="V276">
        <f>HYPERLINK("https://klasma.github.io/Logging_2313/klagomål/A 26140-2022 FSC-klagomål.docx", "A 26140-2022")</f>
        <v/>
      </c>
      <c r="W276">
        <f>HYPERLINK("https://klasma.github.io/Logging_2313/klagomålsmail/A 26140-2022 FSC-klagomål mail.docx", "A 26140-2022")</f>
        <v/>
      </c>
      <c r="X276">
        <f>HYPERLINK("https://klasma.github.io/Logging_2313/tillsyn/A 26140-2022 tillsynsbegäran.docx", "A 26140-2022")</f>
        <v/>
      </c>
      <c r="Y276">
        <f>HYPERLINK("https://klasma.github.io/Logging_2313/tillsynsmail/A 26140-2022 tillsynsbegäran mail.docx", "A 26140-2022")</f>
        <v/>
      </c>
      <c r="Z276">
        <f>HYPERLINK("https://klasma.github.io/Logging_2313/fåglar/A 26140-2022 prioriterade fågelarter.docx", "A 26140-2022")</f>
        <v/>
      </c>
    </row>
    <row r="277" ht="15" customHeight="1">
      <c r="A277" t="inlineStr">
        <is>
          <t>A 38070-2024</t>
        </is>
      </c>
      <c r="B277" s="1" t="n">
        <v>45544</v>
      </c>
      <c r="C277" s="1" t="n">
        <v>46045</v>
      </c>
      <c r="D277" t="inlineStr">
        <is>
          <t>JÄMTLANDS LÄN</t>
        </is>
      </c>
      <c r="E277" t="inlineStr">
        <is>
          <t>HÄRJEDALEN</t>
        </is>
      </c>
      <c r="G277" t="n">
        <v>5.1</v>
      </c>
      <c r="H277" t="n">
        <v>2</v>
      </c>
      <c r="I277" t="n">
        <v>1</v>
      </c>
      <c r="J277" t="n">
        <v>9</v>
      </c>
      <c r="K277" t="n">
        <v>0</v>
      </c>
      <c r="L277" t="n">
        <v>0</v>
      </c>
      <c r="M277" t="n">
        <v>0</v>
      </c>
      <c r="N277" t="n">
        <v>0</v>
      </c>
      <c r="O277" t="n">
        <v>9</v>
      </c>
      <c r="P277" t="n">
        <v>0</v>
      </c>
      <c r="Q277" t="n">
        <v>11</v>
      </c>
      <c r="R277" s="2" t="inlineStr">
        <is>
          <t>Garnlav
Granticka
Gränsticka
Rosenticka
Skrovellav
Talltita
Ullticka
Vitgrynig nållav
Vitskaftad svartspik
Stuplav
Lavskrika</t>
        </is>
      </c>
      <c r="S277">
        <f>HYPERLINK("https://klasma.github.io/Logging_2361/artfynd/A 38070-2024 artfynd.xlsx", "A 38070-2024")</f>
        <v/>
      </c>
      <c r="T277">
        <f>HYPERLINK("https://klasma.github.io/Logging_2361/kartor/A 38070-2024 karta.png", "A 38070-2024")</f>
        <v/>
      </c>
      <c r="V277">
        <f>HYPERLINK("https://klasma.github.io/Logging_2361/klagomål/A 38070-2024 FSC-klagomål.docx", "A 38070-2024")</f>
        <v/>
      </c>
      <c r="W277">
        <f>HYPERLINK("https://klasma.github.io/Logging_2361/klagomålsmail/A 38070-2024 FSC-klagomål mail.docx", "A 38070-2024")</f>
        <v/>
      </c>
      <c r="X277">
        <f>HYPERLINK("https://klasma.github.io/Logging_2361/tillsyn/A 38070-2024 tillsynsbegäran.docx", "A 38070-2024")</f>
        <v/>
      </c>
      <c r="Y277">
        <f>HYPERLINK("https://klasma.github.io/Logging_2361/tillsynsmail/A 38070-2024 tillsynsbegäran mail.docx", "A 38070-2024")</f>
        <v/>
      </c>
      <c r="Z277">
        <f>HYPERLINK("https://klasma.github.io/Logging_2361/fåglar/A 38070-2024 prioriterade fågelarter.docx", "A 38070-2024")</f>
        <v/>
      </c>
    </row>
    <row r="278" ht="15" customHeight="1">
      <c r="A278" t="inlineStr">
        <is>
          <t>A 47109-2025</t>
        </is>
      </c>
      <c r="B278" s="1" t="n">
        <v>45929.66552083333</v>
      </c>
      <c r="C278" s="1" t="n">
        <v>46045</v>
      </c>
      <c r="D278" t="inlineStr">
        <is>
          <t>JÄMTLANDS LÄN</t>
        </is>
      </c>
      <c r="E278" t="inlineStr">
        <is>
          <t>HÄRJEDALEN</t>
        </is>
      </c>
      <c r="F278" t="inlineStr">
        <is>
          <t>Övriga Aktiebolag</t>
        </is>
      </c>
      <c r="G278" t="n">
        <v>4.5</v>
      </c>
      <c r="H278" t="n">
        <v>2</v>
      </c>
      <c r="I278" t="n">
        <v>2</v>
      </c>
      <c r="J278" t="n">
        <v>8</v>
      </c>
      <c r="K278" t="n">
        <v>1</v>
      </c>
      <c r="L278" t="n">
        <v>0</v>
      </c>
      <c r="M278" t="n">
        <v>0</v>
      </c>
      <c r="N278" t="n">
        <v>0</v>
      </c>
      <c r="O278" t="n">
        <v>9</v>
      </c>
      <c r="P278" t="n">
        <v>1</v>
      </c>
      <c r="Q278" t="n">
        <v>11</v>
      </c>
      <c r="R278" s="2" t="inlineStr">
        <is>
          <t>Knärot
Blågrå svartspik
Dvärgbägarlav
Kolflarnlav
Mörk kolflarnlav
Tretåig hackspett
Vedflamlav
Vedskivlav
Vitgrynig nållav
Dropptaggsvamp
Norrlandslav</t>
        </is>
      </c>
      <c r="S278">
        <f>HYPERLINK("https://klasma.github.io/Logging_2361/artfynd/A 47109-2025 artfynd.xlsx", "A 47109-2025")</f>
        <v/>
      </c>
      <c r="T278">
        <f>HYPERLINK("https://klasma.github.io/Logging_2361/kartor/A 47109-2025 karta.png", "A 47109-2025")</f>
        <v/>
      </c>
      <c r="U278">
        <f>HYPERLINK("https://klasma.github.io/Logging_2361/knärot/A 47109-2025 karta knärot.png", "A 47109-2025")</f>
        <v/>
      </c>
      <c r="V278">
        <f>HYPERLINK("https://klasma.github.io/Logging_2361/klagomål/A 47109-2025 FSC-klagomål.docx", "A 47109-2025")</f>
        <v/>
      </c>
      <c r="W278">
        <f>HYPERLINK("https://klasma.github.io/Logging_2361/klagomålsmail/A 47109-2025 FSC-klagomål mail.docx", "A 47109-2025")</f>
        <v/>
      </c>
      <c r="X278">
        <f>HYPERLINK("https://klasma.github.io/Logging_2361/tillsyn/A 47109-2025 tillsynsbegäran.docx", "A 47109-2025")</f>
        <v/>
      </c>
      <c r="Y278">
        <f>HYPERLINK("https://klasma.github.io/Logging_2361/tillsynsmail/A 47109-2025 tillsynsbegäran mail.docx", "A 47109-2025")</f>
        <v/>
      </c>
      <c r="Z278">
        <f>HYPERLINK("https://klasma.github.io/Logging_2361/fåglar/A 47109-2025 prioriterade fågelarter.docx", "A 47109-2025")</f>
        <v/>
      </c>
    </row>
    <row r="279" ht="15" customHeight="1">
      <c r="A279" t="inlineStr">
        <is>
          <t>A 49139-2025</t>
        </is>
      </c>
      <c r="B279" s="1" t="n">
        <v>45938.31291666667</v>
      </c>
      <c r="C279" s="1" t="n">
        <v>46045</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23506-2025</t>
        </is>
      </c>
      <c r="B280" s="1" t="n">
        <v>45792.49002314815</v>
      </c>
      <c r="C280" s="1" t="n">
        <v>46045</v>
      </c>
      <c r="D280" t="inlineStr">
        <is>
          <t>JÄMTLANDS LÄN</t>
        </is>
      </c>
      <c r="E280" t="inlineStr">
        <is>
          <t>BRÄCKE</t>
        </is>
      </c>
      <c r="F280" t="inlineStr">
        <is>
          <t>SCA</t>
        </is>
      </c>
      <c r="G280" t="n">
        <v>9.6</v>
      </c>
      <c r="H280" t="n">
        <v>2</v>
      </c>
      <c r="I280" t="n">
        <v>4</v>
      </c>
      <c r="J280" t="n">
        <v>6</v>
      </c>
      <c r="K280" t="n">
        <v>1</v>
      </c>
      <c r="L280" t="n">
        <v>0</v>
      </c>
      <c r="M280" t="n">
        <v>0</v>
      </c>
      <c r="N280" t="n">
        <v>0</v>
      </c>
      <c r="O280" t="n">
        <v>7</v>
      </c>
      <c r="P280" t="n">
        <v>1</v>
      </c>
      <c r="Q280" t="n">
        <v>11</v>
      </c>
      <c r="R280" s="2" t="inlineStr">
        <is>
          <t>Knärot
Blå taggsvamp
Dvärgbägarlav
Garnlav
Lunglav
Tretåig hackspett
Vedskivlav
Barkticka
Dropptaggsvamp
Norrlandslav
Skinnlav</t>
        </is>
      </c>
      <c r="S280">
        <f>HYPERLINK("https://klasma.github.io/Logging_2305/artfynd/A 23506-2025 artfynd.xlsx", "A 23506-2025")</f>
        <v/>
      </c>
      <c r="T280">
        <f>HYPERLINK("https://klasma.github.io/Logging_2305/kartor/A 23506-2025 karta.png", "A 23506-2025")</f>
        <v/>
      </c>
      <c r="U280">
        <f>HYPERLINK("https://klasma.github.io/Logging_2305/knärot/A 23506-2025 karta knärot.png", "A 23506-2025")</f>
        <v/>
      </c>
      <c r="V280">
        <f>HYPERLINK("https://klasma.github.io/Logging_2305/klagomål/A 23506-2025 FSC-klagomål.docx", "A 23506-2025")</f>
        <v/>
      </c>
      <c r="W280">
        <f>HYPERLINK("https://klasma.github.io/Logging_2305/klagomålsmail/A 23506-2025 FSC-klagomål mail.docx", "A 23506-2025")</f>
        <v/>
      </c>
      <c r="X280">
        <f>HYPERLINK("https://klasma.github.io/Logging_2305/tillsyn/A 23506-2025 tillsynsbegäran.docx", "A 23506-2025")</f>
        <v/>
      </c>
      <c r="Y280">
        <f>HYPERLINK("https://klasma.github.io/Logging_2305/tillsynsmail/A 23506-2025 tillsynsbegäran mail.docx", "A 23506-2025")</f>
        <v/>
      </c>
      <c r="Z280">
        <f>HYPERLINK("https://klasma.github.io/Logging_2305/fåglar/A 23506-2025 prioriterade fågelarter.docx", "A 23506-2025")</f>
        <v/>
      </c>
    </row>
    <row r="281" ht="15" customHeight="1">
      <c r="A281" t="inlineStr">
        <is>
          <t>A 55314-2024</t>
        </is>
      </c>
      <c r="B281" s="1" t="n">
        <v>45621</v>
      </c>
      <c r="C281" s="1" t="n">
        <v>46045</v>
      </c>
      <c r="D281" t="inlineStr">
        <is>
          <t>JÄMTLANDS LÄN</t>
        </is>
      </c>
      <c r="E281" t="inlineStr">
        <is>
          <t>ÖSTERSUND</t>
        </is>
      </c>
      <c r="G281" t="n">
        <v>14.2</v>
      </c>
      <c r="H281" t="n">
        <v>4</v>
      </c>
      <c r="I281" t="n">
        <v>3</v>
      </c>
      <c r="J281" t="n">
        <v>7</v>
      </c>
      <c r="K281" t="n">
        <v>0</v>
      </c>
      <c r="L281" t="n">
        <v>0</v>
      </c>
      <c r="M281" t="n">
        <v>0</v>
      </c>
      <c r="N281" t="n">
        <v>0</v>
      </c>
      <c r="O281" t="n">
        <v>7</v>
      </c>
      <c r="P281" t="n">
        <v>0</v>
      </c>
      <c r="Q281" t="n">
        <v>11</v>
      </c>
      <c r="R281" s="2" t="inlineStr">
        <is>
          <t>Garnlav
Granticka
Lunglav
Skrovellav
Spillkråka
Talltita
Tretåig hackspett
Bårdlav
Luddlav
Stuplav
Tjäder</t>
        </is>
      </c>
      <c r="S281">
        <f>HYPERLINK("https://klasma.github.io/Logging_2380/artfynd/A 55314-2024 artfynd.xlsx", "A 55314-2024")</f>
        <v/>
      </c>
      <c r="T281">
        <f>HYPERLINK("https://klasma.github.io/Logging_2380/kartor/A 55314-2024 karta.png", "A 55314-2024")</f>
        <v/>
      </c>
      <c r="V281">
        <f>HYPERLINK("https://klasma.github.io/Logging_2380/klagomål/A 55314-2024 FSC-klagomål.docx", "A 55314-2024")</f>
        <v/>
      </c>
      <c r="W281">
        <f>HYPERLINK("https://klasma.github.io/Logging_2380/klagomålsmail/A 55314-2024 FSC-klagomål mail.docx", "A 55314-2024")</f>
        <v/>
      </c>
      <c r="X281">
        <f>HYPERLINK("https://klasma.github.io/Logging_2380/tillsyn/A 55314-2024 tillsynsbegäran.docx", "A 55314-2024")</f>
        <v/>
      </c>
      <c r="Y281">
        <f>HYPERLINK("https://klasma.github.io/Logging_2380/tillsynsmail/A 55314-2024 tillsynsbegäran mail.docx", "A 55314-2024")</f>
        <v/>
      </c>
      <c r="Z281">
        <f>HYPERLINK("https://klasma.github.io/Logging_2380/fåglar/A 55314-2024 prioriterade fågelarter.docx", "A 55314-2024")</f>
        <v/>
      </c>
    </row>
    <row r="282" ht="15" customHeight="1">
      <c r="A282" t="inlineStr">
        <is>
          <t>A 53455-2024</t>
        </is>
      </c>
      <c r="B282" s="1" t="n">
        <v>45614.54873842592</v>
      </c>
      <c r="C282" s="1" t="n">
        <v>46045</v>
      </c>
      <c r="D282" t="inlineStr">
        <is>
          <t>JÄMTLANDS LÄN</t>
        </is>
      </c>
      <c r="E282" t="inlineStr">
        <is>
          <t>BERG</t>
        </is>
      </c>
      <c r="G282" t="n">
        <v>4</v>
      </c>
      <c r="H282" t="n">
        <v>4</v>
      </c>
      <c r="I282" t="n">
        <v>1</v>
      </c>
      <c r="J282" t="n">
        <v>9</v>
      </c>
      <c r="K282" t="n">
        <v>1</v>
      </c>
      <c r="L282" t="n">
        <v>0</v>
      </c>
      <c r="M282" t="n">
        <v>0</v>
      </c>
      <c r="N282" t="n">
        <v>0</v>
      </c>
      <c r="O282" t="n">
        <v>10</v>
      </c>
      <c r="P282" t="n">
        <v>1</v>
      </c>
      <c r="Q282" t="n">
        <v>11</v>
      </c>
      <c r="R282" s="2" t="inlineStr">
        <is>
          <t>Knärot
Doftskinn
Gammelgransskål
Garnlav
Gultoppig fingersvamp
Rödvingetrast
Talltita
Tretåig hackspett
Ullticka
Vitgrynig nållav
Vedticka</t>
        </is>
      </c>
      <c r="S282">
        <f>HYPERLINK("https://klasma.github.io/Logging_2326/artfynd/A 53455-2024 artfynd.xlsx", "A 53455-2024")</f>
        <v/>
      </c>
      <c r="T282">
        <f>HYPERLINK("https://klasma.github.io/Logging_2326/kartor/A 53455-2024 karta.png", "A 53455-2024")</f>
        <v/>
      </c>
      <c r="U282">
        <f>HYPERLINK("https://klasma.github.io/Logging_2326/knärot/A 53455-2024 karta knärot.png", "A 53455-2024")</f>
        <v/>
      </c>
      <c r="V282">
        <f>HYPERLINK("https://klasma.github.io/Logging_2326/klagomål/A 53455-2024 FSC-klagomål.docx", "A 53455-2024")</f>
        <v/>
      </c>
      <c r="W282">
        <f>HYPERLINK("https://klasma.github.io/Logging_2326/klagomålsmail/A 53455-2024 FSC-klagomål mail.docx", "A 53455-2024")</f>
        <v/>
      </c>
      <c r="X282">
        <f>HYPERLINK("https://klasma.github.io/Logging_2326/tillsyn/A 53455-2024 tillsynsbegäran.docx", "A 53455-2024")</f>
        <v/>
      </c>
      <c r="Y282">
        <f>HYPERLINK("https://klasma.github.io/Logging_2326/tillsynsmail/A 53455-2024 tillsynsbegäran mail.docx", "A 53455-2024")</f>
        <v/>
      </c>
      <c r="Z282">
        <f>HYPERLINK("https://klasma.github.io/Logging_2326/fåglar/A 53455-2024 prioriterade fågelarter.docx", "A 53455-2024")</f>
        <v/>
      </c>
    </row>
    <row r="283" ht="15" customHeight="1">
      <c r="A283" t="inlineStr">
        <is>
          <t>A 25632-2025</t>
        </is>
      </c>
      <c r="B283" s="1" t="n">
        <v>45803.59474537037</v>
      </c>
      <c r="C283" s="1" t="n">
        <v>46045</v>
      </c>
      <c r="D283" t="inlineStr">
        <is>
          <t>JÄMTLANDS LÄN</t>
        </is>
      </c>
      <c r="E283" t="inlineStr">
        <is>
          <t>RAGUNDA</t>
        </is>
      </c>
      <c r="G283" t="n">
        <v>13.3</v>
      </c>
      <c r="H283" t="n">
        <v>6</v>
      </c>
      <c r="I283" t="n">
        <v>3</v>
      </c>
      <c r="J283" t="n">
        <v>5</v>
      </c>
      <c r="K283" t="n">
        <v>1</v>
      </c>
      <c r="L283" t="n">
        <v>0</v>
      </c>
      <c r="M283" t="n">
        <v>0</v>
      </c>
      <c r="N283" t="n">
        <v>0</v>
      </c>
      <c r="O283" t="n">
        <v>6</v>
      </c>
      <c r="P283" t="n">
        <v>1</v>
      </c>
      <c r="Q283" t="n">
        <v>11</v>
      </c>
      <c r="R283" s="2" t="inlineStr">
        <is>
          <t>Knärot
Lunglav
Rödvingetrast
Skrovellav
Spillkråka
Tretåig hackspett
Bårdlav
Stuplav
Svart trolldruva
Blåsippa
Revlummer</t>
        </is>
      </c>
      <c r="S283">
        <f>HYPERLINK("https://klasma.github.io/Logging_2303/artfynd/A 25632-2025 artfynd.xlsx", "A 25632-2025")</f>
        <v/>
      </c>
      <c r="T283">
        <f>HYPERLINK("https://klasma.github.io/Logging_2303/kartor/A 25632-2025 karta.png", "A 25632-2025")</f>
        <v/>
      </c>
      <c r="U283">
        <f>HYPERLINK("https://klasma.github.io/Logging_2303/knärot/A 25632-2025 karta knärot.png", "A 25632-2025")</f>
        <v/>
      </c>
      <c r="V283">
        <f>HYPERLINK("https://klasma.github.io/Logging_2303/klagomål/A 25632-2025 FSC-klagomål.docx", "A 25632-2025")</f>
        <v/>
      </c>
      <c r="W283">
        <f>HYPERLINK("https://klasma.github.io/Logging_2303/klagomålsmail/A 25632-2025 FSC-klagomål mail.docx", "A 25632-2025")</f>
        <v/>
      </c>
      <c r="X283">
        <f>HYPERLINK("https://klasma.github.io/Logging_2303/tillsyn/A 25632-2025 tillsynsbegäran.docx", "A 25632-2025")</f>
        <v/>
      </c>
      <c r="Y283">
        <f>HYPERLINK("https://klasma.github.io/Logging_2303/tillsynsmail/A 25632-2025 tillsynsbegäran mail.docx", "A 25632-2025")</f>
        <v/>
      </c>
      <c r="Z283">
        <f>HYPERLINK("https://klasma.github.io/Logging_2303/fåglar/A 25632-2025 prioriterade fågelarter.docx", "A 25632-2025")</f>
        <v/>
      </c>
    </row>
    <row r="284" ht="15" customHeight="1">
      <c r="A284" t="inlineStr">
        <is>
          <t>A 28615-2025</t>
        </is>
      </c>
      <c r="B284" s="1" t="n">
        <v>45819.60576388889</v>
      </c>
      <c r="C284" s="1" t="n">
        <v>46045</v>
      </c>
      <c r="D284" t="inlineStr">
        <is>
          <t>JÄMTLANDS LÄN</t>
        </is>
      </c>
      <c r="E284" t="inlineStr">
        <is>
          <t>BERG</t>
        </is>
      </c>
      <c r="G284" t="n">
        <v>11</v>
      </c>
      <c r="H284" t="n">
        <v>2</v>
      </c>
      <c r="I284" t="n">
        <v>2</v>
      </c>
      <c r="J284" t="n">
        <v>7</v>
      </c>
      <c r="K284" t="n">
        <v>1</v>
      </c>
      <c r="L284" t="n">
        <v>0</v>
      </c>
      <c r="M284" t="n">
        <v>0</v>
      </c>
      <c r="N284" t="n">
        <v>0</v>
      </c>
      <c r="O284" t="n">
        <v>8</v>
      </c>
      <c r="P284" t="n">
        <v>1</v>
      </c>
      <c r="Q284" t="n">
        <v>11</v>
      </c>
      <c r="R284" s="2" t="inlineStr">
        <is>
          <t>Knärot
Blanksvart spiklav
Blågrå svartspik
Dvärgbägarlav
Garnlav
Lunglav
Mörk kolflarnlav
Vedflamlav
Norrlandslav
Stuplav
Tjäder</t>
        </is>
      </c>
      <c r="S284">
        <f>HYPERLINK("https://klasma.github.io/Logging_2326/artfynd/A 28615-2025 artfynd.xlsx", "A 28615-2025")</f>
        <v/>
      </c>
      <c r="T284">
        <f>HYPERLINK("https://klasma.github.io/Logging_2326/kartor/A 28615-2025 karta.png", "A 28615-2025")</f>
        <v/>
      </c>
      <c r="U284">
        <f>HYPERLINK("https://klasma.github.io/Logging_2326/knärot/A 28615-2025 karta knärot.png", "A 28615-2025")</f>
        <v/>
      </c>
      <c r="V284">
        <f>HYPERLINK("https://klasma.github.io/Logging_2326/klagomål/A 28615-2025 FSC-klagomål.docx", "A 28615-2025")</f>
        <v/>
      </c>
      <c r="W284">
        <f>HYPERLINK("https://klasma.github.io/Logging_2326/klagomålsmail/A 28615-2025 FSC-klagomål mail.docx", "A 28615-2025")</f>
        <v/>
      </c>
      <c r="X284">
        <f>HYPERLINK("https://klasma.github.io/Logging_2326/tillsyn/A 28615-2025 tillsynsbegäran.docx", "A 28615-2025")</f>
        <v/>
      </c>
      <c r="Y284">
        <f>HYPERLINK("https://klasma.github.io/Logging_2326/tillsynsmail/A 28615-2025 tillsynsbegäran mail.docx", "A 28615-2025")</f>
        <v/>
      </c>
      <c r="Z284">
        <f>HYPERLINK("https://klasma.github.io/Logging_2326/fåglar/A 28615-2025 prioriterade fågelarter.docx", "A 28615-2025")</f>
        <v/>
      </c>
    </row>
    <row r="285" ht="15" customHeight="1">
      <c r="A285" t="inlineStr">
        <is>
          <t>A 56865-2025</t>
        </is>
      </c>
      <c r="B285" s="1" t="n">
        <v>45978.51783564815</v>
      </c>
      <c r="C285" s="1" t="n">
        <v>46045</v>
      </c>
      <c r="D285" t="inlineStr">
        <is>
          <t>JÄMTLANDS LÄN</t>
        </is>
      </c>
      <c r="E285" t="inlineStr">
        <is>
          <t>ÅRE</t>
        </is>
      </c>
      <c r="G285" t="n">
        <v>20.6</v>
      </c>
      <c r="H285" t="n">
        <v>2</v>
      </c>
      <c r="I285" t="n">
        <v>4</v>
      </c>
      <c r="J285" t="n">
        <v>7</v>
      </c>
      <c r="K285" t="n">
        <v>0</v>
      </c>
      <c r="L285" t="n">
        <v>0</v>
      </c>
      <c r="M285" t="n">
        <v>0</v>
      </c>
      <c r="N285" t="n">
        <v>0</v>
      </c>
      <c r="O285" t="n">
        <v>7</v>
      </c>
      <c r="P285" t="n">
        <v>0</v>
      </c>
      <c r="Q285" t="n">
        <v>11</v>
      </c>
      <c r="R285" s="2" t="inlineStr">
        <is>
          <t>Garnlav
Granticka
Gränsticka
Rödbrun blekspik
Skrovellav
Tretåig hackspett
Ullticka
Kransrams
Spindelblomster
Stuplav
Trådticka</t>
        </is>
      </c>
      <c r="S285">
        <f>HYPERLINK("https://klasma.github.io/Logging_2321/artfynd/A 56865-2025 artfynd.xlsx", "A 56865-2025")</f>
        <v/>
      </c>
      <c r="T285">
        <f>HYPERLINK("https://klasma.github.io/Logging_2321/kartor/A 56865-2025 karta.png", "A 56865-2025")</f>
        <v/>
      </c>
      <c r="V285">
        <f>HYPERLINK("https://klasma.github.io/Logging_2321/klagomål/A 56865-2025 FSC-klagomål.docx", "A 56865-2025")</f>
        <v/>
      </c>
      <c r="W285">
        <f>HYPERLINK("https://klasma.github.io/Logging_2321/klagomålsmail/A 56865-2025 FSC-klagomål mail.docx", "A 56865-2025")</f>
        <v/>
      </c>
      <c r="X285">
        <f>HYPERLINK("https://klasma.github.io/Logging_2321/tillsyn/A 56865-2025 tillsynsbegäran.docx", "A 56865-2025")</f>
        <v/>
      </c>
      <c r="Y285">
        <f>HYPERLINK("https://klasma.github.io/Logging_2321/tillsynsmail/A 56865-2025 tillsynsbegäran mail.docx", "A 56865-2025")</f>
        <v/>
      </c>
      <c r="Z285">
        <f>HYPERLINK("https://klasma.github.io/Logging_2321/fåglar/A 56865-2025 prioriterade fågelarter.docx", "A 56865-2025")</f>
        <v/>
      </c>
    </row>
    <row r="286" ht="15" customHeight="1">
      <c r="A286" t="inlineStr">
        <is>
          <t>A 61483-2024</t>
        </is>
      </c>
      <c r="B286" s="1" t="n">
        <v>45646.52915509259</v>
      </c>
      <c r="C286" s="1" t="n">
        <v>46045</v>
      </c>
      <c r="D286" t="inlineStr">
        <is>
          <t>JÄMTLANDS LÄN</t>
        </is>
      </c>
      <c r="E286" t="inlineStr">
        <is>
          <t>BRÄCKE</t>
        </is>
      </c>
      <c r="F286" t="inlineStr">
        <is>
          <t>Övriga Aktiebolag</t>
        </is>
      </c>
      <c r="G286" t="n">
        <v>13.8</v>
      </c>
      <c r="H286" t="n">
        <v>4</v>
      </c>
      <c r="I286" t="n">
        <v>0</v>
      </c>
      <c r="J286" t="n">
        <v>10</v>
      </c>
      <c r="K286" t="n">
        <v>1</v>
      </c>
      <c r="L286" t="n">
        <v>0</v>
      </c>
      <c r="M286" t="n">
        <v>0</v>
      </c>
      <c r="N286" t="n">
        <v>0</v>
      </c>
      <c r="O286" t="n">
        <v>11</v>
      </c>
      <c r="P286" t="n">
        <v>1</v>
      </c>
      <c r="Q286" t="n">
        <v>11</v>
      </c>
      <c r="R286" s="2" t="inlineStr">
        <is>
          <t>Knärot
Gammelgransskål
Garnlav
Kolflarnlav
Lunglav
Skogshare
Spillkråka
Talltita
Tretåig hackspett
Ullticka
Vitgrynig nållav</t>
        </is>
      </c>
      <c r="S286">
        <f>HYPERLINK("https://klasma.github.io/Logging_2305/artfynd/A 61483-2024 artfynd.xlsx", "A 61483-2024")</f>
        <v/>
      </c>
      <c r="T286">
        <f>HYPERLINK("https://klasma.github.io/Logging_2305/kartor/A 61483-2024 karta.png", "A 61483-2024")</f>
        <v/>
      </c>
      <c r="U286">
        <f>HYPERLINK("https://klasma.github.io/Logging_2305/knärot/A 61483-2024 karta knärot.png", "A 61483-2024")</f>
        <v/>
      </c>
      <c r="V286">
        <f>HYPERLINK("https://klasma.github.io/Logging_2305/klagomål/A 61483-2024 FSC-klagomål.docx", "A 61483-2024")</f>
        <v/>
      </c>
      <c r="W286">
        <f>HYPERLINK("https://klasma.github.io/Logging_2305/klagomålsmail/A 61483-2024 FSC-klagomål mail.docx", "A 61483-2024")</f>
        <v/>
      </c>
      <c r="X286">
        <f>HYPERLINK("https://klasma.github.io/Logging_2305/tillsyn/A 61483-2024 tillsynsbegäran.docx", "A 61483-2024")</f>
        <v/>
      </c>
      <c r="Y286">
        <f>HYPERLINK("https://klasma.github.io/Logging_2305/tillsynsmail/A 61483-2024 tillsynsbegäran mail.docx", "A 61483-2024")</f>
        <v/>
      </c>
      <c r="Z286">
        <f>HYPERLINK("https://klasma.github.io/Logging_2305/fåglar/A 61483-2024 prioriterade fågelarter.docx", "A 61483-2024")</f>
        <v/>
      </c>
    </row>
    <row r="287" ht="15" customHeight="1">
      <c r="A287" t="inlineStr">
        <is>
          <t>A 31469-2024</t>
        </is>
      </c>
      <c r="B287" s="1" t="n">
        <v>45505</v>
      </c>
      <c r="C287" s="1" t="n">
        <v>46045</v>
      </c>
      <c r="D287" t="inlineStr">
        <is>
          <t>JÄMTLANDS LÄN</t>
        </is>
      </c>
      <c r="E287" t="inlineStr">
        <is>
          <t>BRÄCKE</t>
        </is>
      </c>
      <c r="F287" t="inlineStr">
        <is>
          <t>SCA</t>
        </is>
      </c>
      <c r="G287" t="n">
        <v>11.5</v>
      </c>
      <c r="H287" t="n">
        <v>3</v>
      </c>
      <c r="I287" t="n">
        <v>0</v>
      </c>
      <c r="J287" t="n">
        <v>10</v>
      </c>
      <c r="K287" t="n">
        <v>1</v>
      </c>
      <c r="L287" t="n">
        <v>0</v>
      </c>
      <c r="M287" t="n">
        <v>0</v>
      </c>
      <c r="N287" t="n">
        <v>0</v>
      </c>
      <c r="O287" t="n">
        <v>11</v>
      </c>
      <c r="P287" t="n">
        <v>1</v>
      </c>
      <c r="Q287" t="n">
        <v>11</v>
      </c>
      <c r="R287" s="2" t="inlineStr">
        <is>
          <t>Knärot
Gammelgransskål
Garnlav
Granticka
Lunglav
Skrovellav
Talltita
Tretåig hackspett
Ullticka
Vitgrynig nållav
Äggvaxskivling</t>
        </is>
      </c>
      <c r="S287">
        <f>HYPERLINK("https://klasma.github.io/Logging_2305/artfynd/A 31469-2024 artfynd.xlsx", "A 31469-2024")</f>
        <v/>
      </c>
      <c r="T287">
        <f>HYPERLINK("https://klasma.github.io/Logging_2305/kartor/A 31469-2024 karta.png", "A 31469-2024")</f>
        <v/>
      </c>
      <c r="U287">
        <f>HYPERLINK("https://klasma.github.io/Logging_2305/knärot/A 31469-2024 karta knärot.png", "A 31469-2024")</f>
        <v/>
      </c>
      <c r="V287">
        <f>HYPERLINK("https://klasma.github.io/Logging_2305/klagomål/A 31469-2024 FSC-klagomål.docx", "A 31469-2024")</f>
        <v/>
      </c>
      <c r="W287">
        <f>HYPERLINK("https://klasma.github.io/Logging_2305/klagomålsmail/A 31469-2024 FSC-klagomål mail.docx", "A 31469-2024")</f>
        <v/>
      </c>
      <c r="X287">
        <f>HYPERLINK("https://klasma.github.io/Logging_2305/tillsyn/A 31469-2024 tillsynsbegäran.docx", "A 31469-2024")</f>
        <v/>
      </c>
      <c r="Y287">
        <f>HYPERLINK("https://klasma.github.io/Logging_2305/tillsynsmail/A 31469-2024 tillsynsbegäran mail.docx", "A 31469-2024")</f>
        <v/>
      </c>
      <c r="Z287">
        <f>HYPERLINK("https://klasma.github.io/Logging_2305/fåglar/A 31469-2024 prioriterade fågelarter.docx", "A 31469-2024")</f>
        <v/>
      </c>
    </row>
    <row r="288" ht="15" customHeight="1">
      <c r="A288" t="inlineStr">
        <is>
          <t>A 48959-2025</t>
        </is>
      </c>
      <c r="B288" s="1" t="n">
        <v>45937.55055555556</v>
      </c>
      <c r="C288" s="1" t="n">
        <v>46045</v>
      </c>
      <c r="D288" t="inlineStr">
        <is>
          <t>JÄMTLANDS LÄN</t>
        </is>
      </c>
      <c r="E288" t="inlineStr">
        <is>
          <t>ÖSTERSUND</t>
        </is>
      </c>
      <c r="G288" t="n">
        <v>10.5</v>
      </c>
      <c r="H288" t="n">
        <v>6</v>
      </c>
      <c r="I288" t="n">
        <v>2</v>
      </c>
      <c r="J288" t="n">
        <v>7</v>
      </c>
      <c r="K288" t="n">
        <v>1</v>
      </c>
      <c r="L288" t="n">
        <v>0</v>
      </c>
      <c r="M288" t="n">
        <v>0</v>
      </c>
      <c r="N288" t="n">
        <v>0</v>
      </c>
      <c r="O288" t="n">
        <v>8</v>
      </c>
      <c r="P288" t="n">
        <v>1</v>
      </c>
      <c r="Q288" t="n">
        <v>11</v>
      </c>
      <c r="R288" s="2" t="inlineStr">
        <is>
          <t>Knärot
Garnlav
Granticka
Harticka
Spillkråka
Talltita
Tretåig hackspett
Ullticka
Korallrot
Trådticka
Fläcknycklar</t>
        </is>
      </c>
      <c r="S288">
        <f>HYPERLINK("https://klasma.github.io/Logging_2380/artfynd/A 48959-2025 artfynd.xlsx", "A 48959-2025")</f>
        <v/>
      </c>
      <c r="T288">
        <f>HYPERLINK("https://klasma.github.io/Logging_2380/kartor/A 48959-2025 karta.png", "A 48959-2025")</f>
        <v/>
      </c>
      <c r="U288">
        <f>HYPERLINK("https://klasma.github.io/Logging_2380/knärot/A 48959-2025 karta knärot.png", "A 48959-2025")</f>
        <v/>
      </c>
      <c r="V288">
        <f>HYPERLINK("https://klasma.github.io/Logging_2380/klagomål/A 48959-2025 FSC-klagomål.docx", "A 48959-2025")</f>
        <v/>
      </c>
      <c r="W288">
        <f>HYPERLINK("https://klasma.github.io/Logging_2380/klagomålsmail/A 48959-2025 FSC-klagomål mail.docx", "A 48959-2025")</f>
        <v/>
      </c>
      <c r="X288">
        <f>HYPERLINK("https://klasma.github.io/Logging_2380/tillsyn/A 48959-2025 tillsynsbegäran.docx", "A 48959-2025")</f>
        <v/>
      </c>
      <c r="Y288">
        <f>HYPERLINK("https://klasma.github.io/Logging_2380/tillsynsmail/A 48959-2025 tillsynsbegäran mail.docx", "A 48959-2025")</f>
        <v/>
      </c>
      <c r="Z288">
        <f>HYPERLINK("https://klasma.github.io/Logging_2380/fåglar/A 48959-2025 prioriterade fågelarter.docx", "A 48959-2025")</f>
        <v/>
      </c>
    </row>
    <row r="289" ht="15" customHeight="1">
      <c r="A289" t="inlineStr">
        <is>
          <t>A 48030-2025</t>
        </is>
      </c>
      <c r="B289" s="1" t="n">
        <v>45932.65210648148</v>
      </c>
      <c r="C289" s="1" t="n">
        <v>46045</v>
      </c>
      <c r="D289" t="inlineStr">
        <is>
          <t>JÄMTLANDS LÄN</t>
        </is>
      </c>
      <c r="E289" t="inlineStr">
        <is>
          <t>ÖSTERSUND</t>
        </is>
      </c>
      <c r="G289" t="n">
        <v>6.4</v>
      </c>
      <c r="H289" t="n">
        <v>4</v>
      </c>
      <c r="I289" t="n">
        <v>4</v>
      </c>
      <c r="J289" t="n">
        <v>5</v>
      </c>
      <c r="K289" t="n">
        <v>1</v>
      </c>
      <c r="L289" t="n">
        <v>0</v>
      </c>
      <c r="M289" t="n">
        <v>0</v>
      </c>
      <c r="N289" t="n">
        <v>0</v>
      </c>
      <c r="O289" t="n">
        <v>6</v>
      </c>
      <c r="P289" t="n">
        <v>1</v>
      </c>
      <c r="Q289" t="n">
        <v>11</v>
      </c>
      <c r="R289" s="2" t="inlineStr">
        <is>
          <t>Knärot
Garnlav
Lunglav
Skrovellav
Talltita
Tretåig hackspett
Luddlav
Stuplav
Svavelriska
Trådticka
Fläcknycklar</t>
        </is>
      </c>
      <c r="S289">
        <f>HYPERLINK("https://klasma.github.io/Logging_2380/artfynd/A 48030-2025 artfynd.xlsx", "A 48030-2025")</f>
        <v/>
      </c>
      <c r="T289">
        <f>HYPERLINK("https://klasma.github.io/Logging_2380/kartor/A 48030-2025 karta.png", "A 48030-2025")</f>
        <v/>
      </c>
      <c r="U289">
        <f>HYPERLINK("https://klasma.github.io/Logging_2380/knärot/A 48030-2025 karta knärot.png", "A 48030-2025")</f>
        <v/>
      </c>
      <c r="V289">
        <f>HYPERLINK("https://klasma.github.io/Logging_2380/klagomål/A 48030-2025 FSC-klagomål.docx", "A 48030-2025")</f>
        <v/>
      </c>
      <c r="W289">
        <f>HYPERLINK("https://klasma.github.io/Logging_2380/klagomålsmail/A 48030-2025 FSC-klagomål mail.docx", "A 48030-2025")</f>
        <v/>
      </c>
      <c r="X289">
        <f>HYPERLINK("https://klasma.github.io/Logging_2380/tillsyn/A 48030-2025 tillsynsbegäran.docx", "A 48030-2025")</f>
        <v/>
      </c>
      <c r="Y289">
        <f>HYPERLINK("https://klasma.github.io/Logging_2380/tillsynsmail/A 48030-2025 tillsynsbegäran mail.docx", "A 48030-2025")</f>
        <v/>
      </c>
      <c r="Z289">
        <f>HYPERLINK("https://klasma.github.io/Logging_2380/fåglar/A 48030-2025 prioriterade fågelarter.docx", "A 48030-2025")</f>
        <v/>
      </c>
    </row>
    <row r="290" ht="15" customHeight="1">
      <c r="A290" t="inlineStr">
        <is>
          <t>A 37754-2025</t>
        </is>
      </c>
      <c r="B290" s="1" t="n">
        <v>45880.67747685185</v>
      </c>
      <c r="C290" s="1" t="n">
        <v>46045</v>
      </c>
      <c r="D290" t="inlineStr">
        <is>
          <t>JÄMTLANDS LÄN</t>
        </is>
      </c>
      <c r="E290" t="inlineStr">
        <is>
          <t>BERG</t>
        </is>
      </c>
      <c r="F290" t="inlineStr">
        <is>
          <t>SCA</t>
        </is>
      </c>
      <c r="G290" t="n">
        <v>39.1</v>
      </c>
      <c r="H290" t="n">
        <v>2</v>
      </c>
      <c r="I290" t="n">
        <v>0</v>
      </c>
      <c r="J290" t="n">
        <v>10</v>
      </c>
      <c r="K290" t="n">
        <v>0</v>
      </c>
      <c r="L290" t="n">
        <v>0</v>
      </c>
      <c r="M290" t="n">
        <v>0</v>
      </c>
      <c r="N290" t="n">
        <v>0</v>
      </c>
      <c r="O290" t="n">
        <v>10</v>
      </c>
      <c r="P290" t="n">
        <v>0</v>
      </c>
      <c r="Q290" t="n">
        <v>11</v>
      </c>
      <c r="R290" s="2" t="inlineStr">
        <is>
          <t>Blanksvart spiklav
Dvärgbägarlav
Kolflarnlav
Kortskaftad ärgspik
Mörk kolflarnlav
Nordtagging
Skrovellav
Talltita
Vedflamlav
Vedskivlav
Lavskrika</t>
        </is>
      </c>
      <c r="S290">
        <f>HYPERLINK("https://klasma.github.io/Logging_2326/artfynd/A 37754-2025 artfynd.xlsx", "A 37754-2025")</f>
        <v/>
      </c>
      <c r="T290">
        <f>HYPERLINK("https://klasma.github.io/Logging_2326/kartor/A 37754-2025 karta.png", "A 37754-2025")</f>
        <v/>
      </c>
      <c r="V290">
        <f>HYPERLINK("https://klasma.github.io/Logging_2326/klagomål/A 37754-2025 FSC-klagomål.docx", "A 37754-2025")</f>
        <v/>
      </c>
      <c r="W290">
        <f>HYPERLINK("https://klasma.github.io/Logging_2326/klagomålsmail/A 37754-2025 FSC-klagomål mail.docx", "A 37754-2025")</f>
        <v/>
      </c>
      <c r="X290">
        <f>HYPERLINK("https://klasma.github.io/Logging_2326/tillsyn/A 37754-2025 tillsynsbegäran.docx", "A 37754-2025")</f>
        <v/>
      </c>
      <c r="Y290">
        <f>HYPERLINK("https://klasma.github.io/Logging_2326/tillsynsmail/A 37754-2025 tillsynsbegäran mail.docx", "A 37754-2025")</f>
        <v/>
      </c>
      <c r="Z290">
        <f>HYPERLINK("https://klasma.github.io/Logging_2326/fåglar/A 37754-2025 prioriterade fågelarter.docx", "A 37754-2025")</f>
        <v/>
      </c>
    </row>
    <row r="291" ht="15" customHeight="1">
      <c r="A291" t="inlineStr">
        <is>
          <t>A 31839-2022</t>
        </is>
      </c>
      <c r="B291" s="1" t="n">
        <v>44776</v>
      </c>
      <c r="C291" s="1" t="n">
        <v>46045</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58080-2023</t>
        </is>
      </c>
      <c r="B292" s="1" t="n">
        <v>45247.9652199074</v>
      </c>
      <c r="C292" s="1" t="n">
        <v>46045</v>
      </c>
      <c r="D292" t="inlineStr">
        <is>
          <t>JÄMTLANDS LÄN</t>
        </is>
      </c>
      <c r="E292" t="inlineStr">
        <is>
          <t>BRÄCKE</t>
        </is>
      </c>
      <c r="F292" t="inlineStr">
        <is>
          <t>SCA</t>
        </is>
      </c>
      <c r="G292" t="n">
        <v>19.5</v>
      </c>
      <c r="H292" t="n">
        <v>2</v>
      </c>
      <c r="I292" t="n">
        <v>4</v>
      </c>
      <c r="J292" t="n">
        <v>4</v>
      </c>
      <c r="K292" t="n">
        <v>3</v>
      </c>
      <c r="L292" t="n">
        <v>0</v>
      </c>
      <c r="M292" t="n">
        <v>0</v>
      </c>
      <c r="N292" t="n">
        <v>0</v>
      </c>
      <c r="O292" t="n">
        <v>7</v>
      </c>
      <c r="P292" t="n">
        <v>3</v>
      </c>
      <c r="Q292" t="n">
        <v>11</v>
      </c>
      <c r="R292" s="2" t="inlineStr">
        <is>
          <t>Blackticka
Doftticka
Knärot
Granticka
Lunglav
Skrovellav
Vedtrappmossa
Bårdlav
Luddlav
Skinnlav
Stuplav</t>
        </is>
      </c>
      <c r="S292">
        <f>HYPERLINK("https://klasma.github.io/Logging_2305/artfynd/A 58080-2023 artfynd.xlsx", "A 58080-2023")</f>
        <v/>
      </c>
      <c r="T292">
        <f>HYPERLINK("https://klasma.github.io/Logging_2305/kartor/A 58080-2023 karta.png", "A 58080-2023")</f>
        <v/>
      </c>
      <c r="U292">
        <f>HYPERLINK("https://klasma.github.io/Logging_2305/knärot/A 58080-2023 karta knärot.png", "A 58080-2023")</f>
        <v/>
      </c>
      <c r="V292">
        <f>HYPERLINK("https://klasma.github.io/Logging_2305/klagomål/A 58080-2023 FSC-klagomål.docx", "A 58080-2023")</f>
        <v/>
      </c>
      <c r="W292">
        <f>HYPERLINK("https://klasma.github.io/Logging_2305/klagomålsmail/A 58080-2023 FSC-klagomål mail.docx", "A 58080-2023")</f>
        <v/>
      </c>
      <c r="X292">
        <f>HYPERLINK("https://klasma.github.io/Logging_2305/tillsyn/A 58080-2023 tillsynsbegäran.docx", "A 58080-2023")</f>
        <v/>
      </c>
      <c r="Y292">
        <f>HYPERLINK("https://klasma.github.io/Logging_2305/tillsynsmail/A 58080-2023 tillsynsbegäran mail.docx", "A 58080-2023")</f>
        <v/>
      </c>
    </row>
    <row r="293" ht="15" customHeight="1">
      <c r="A293" t="inlineStr">
        <is>
          <t>A 39503-2024</t>
        </is>
      </c>
      <c r="B293" s="1" t="n">
        <v>45551</v>
      </c>
      <c r="C293" s="1" t="n">
        <v>46045</v>
      </c>
      <c r="D293" t="inlineStr">
        <is>
          <t>JÄMTLANDS LÄN</t>
        </is>
      </c>
      <c r="E293" t="inlineStr">
        <is>
          <t>KROKOM</t>
        </is>
      </c>
      <c r="G293" t="n">
        <v>2.9</v>
      </c>
      <c r="H293" t="n">
        <v>5</v>
      </c>
      <c r="I293" t="n">
        <v>1</v>
      </c>
      <c r="J293" t="n">
        <v>7</v>
      </c>
      <c r="K293" t="n">
        <v>1</v>
      </c>
      <c r="L293" t="n">
        <v>0</v>
      </c>
      <c r="M293" t="n">
        <v>0</v>
      </c>
      <c r="N293" t="n">
        <v>0</v>
      </c>
      <c r="O293" t="n">
        <v>8</v>
      </c>
      <c r="P293" t="n">
        <v>1</v>
      </c>
      <c r="Q293" t="n">
        <v>11</v>
      </c>
      <c r="R293" s="2" t="inlineStr">
        <is>
          <t>Knärot
Garnlav
Lunglav
Orange taggsvamp
Talltita
Tretåig hackspett
Ullticka
Violettgrå tagellav
Stuplav
Blåsippa
Revlummer</t>
        </is>
      </c>
      <c r="S293">
        <f>HYPERLINK("https://klasma.github.io/Logging_2309/artfynd/A 39503-2024 artfynd.xlsx", "A 39503-2024")</f>
        <v/>
      </c>
      <c r="T293">
        <f>HYPERLINK("https://klasma.github.io/Logging_2309/kartor/A 39503-2024 karta.png", "A 39503-2024")</f>
        <v/>
      </c>
      <c r="U293">
        <f>HYPERLINK("https://klasma.github.io/Logging_2309/knärot/A 39503-2024 karta knärot.png", "A 39503-2024")</f>
        <v/>
      </c>
      <c r="V293">
        <f>HYPERLINK("https://klasma.github.io/Logging_2309/klagomål/A 39503-2024 FSC-klagomål.docx", "A 39503-2024")</f>
        <v/>
      </c>
      <c r="W293">
        <f>HYPERLINK("https://klasma.github.io/Logging_2309/klagomålsmail/A 39503-2024 FSC-klagomål mail.docx", "A 39503-2024")</f>
        <v/>
      </c>
      <c r="X293">
        <f>HYPERLINK("https://klasma.github.io/Logging_2309/tillsyn/A 39503-2024 tillsynsbegäran.docx", "A 39503-2024")</f>
        <v/>
      </c>
      <c r="Y293">
        <f>HYPERLINK("https://klasma.github.io/Logging_2309/tillsynsmail/A 39503-2024 tillsynsbegäran mail.docx", "A 39503-2024")</f>
        <v/>
      </c>
      <c r="Z293">
        <f>HYPERLINK("https://klasma.github.io/Logging_2309/fåglar/A 39503-2024 prioriterade fågelarter.docx", "A 39503-2024")</f>
        <v/>
      </c>
    </row>
    <row r="294" ht="15" customHeight="1">
      <c r="A294" t="inlineStr">
        <is>
          <t>A 36943-2022</t>
        </is>
      </c>
      <c r="B294" s="1" t="n">
        <v>44805</v>
      </c>
      <c r="C294" s="1" t="n">
        <v>46045</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27191-2024</t>
        </is>
      </c>
      <c r="B295" s="1" t="n">
        <v>45471.59034722222</v>
      </c>
      <c r="C295" s="1" t="n">
        <v>46045</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43417-2023</t>
        </is>
      </c>
      <c r="B296" s="1" t="n">
        <v>45183.95726851852</v>
      </c>
      <c r="C296" s="1" t="n">
        <v>46045</v>
      </c>
      <c r="D296" t="inlineStr">
        <is>
          <t>JÄMTLANDS LÄN</t>
        </is>
      </c>
      <c r="E296" t="inlineStr">
        <is>
          <t>STRÖMSUND</t>
        </is>
      </c>
      <c r="F296" t="inlineStr">
        <is>
          <t>SCA</t>
        </is>
      </c>
      <c r="G296" t="n">
        <v>8.199999999999999</v>
      </c>
      <c r="H296" t="n">
        <v>2</v>
      </c>
      <c r="I296" t="n">
        <v>4</v>
      </c>
      <c r="J296" t="n">
        <v>5</v>
      </c>
      <c r="K296" t="n">
        <v>1</v>
      </c>
      <c r="L296" t="n">
        <v>0</v>
      </c>
      <c r="M296" t="n">
        <v>0</v>
      </c>
      <c r="N296" t="n">
        <v>0</v>
      </c>
      <c r="O296" t="n">
        <v>6</v>
      </c>
      <c r="P296" t="n">
        <v>1</v>
      </c>
      <c r="Q296" t="n">
        <v>10</v>
      </c>
      <c r="R296" s="2" t="inlineStr">
        <is>
          <t>Doftticka
Doftskinn
Garnlav
Järpe
Lunglav
Mörk kolflarnlav
Bårdlav
Luddlav
Skinnlav
Stuplav</t>
        </is>
      </c>
      <c r="S296">
        <f>HYPERLINK("https://klasma.github.io/Logging_2313/artfynd/A 43417-2023 artfynd.xlsx", "A 43417-2023")</f>
        <v/>
      </c>
      <c r="T296">
        <f>HYPERLINK("https://klasma.github.io/Logging_2313/kartor/A 43417-2023 karta.png", "A 43417-2023")</f>
        <v/>
      </c>
      <c r="V296">
        <f>HYPERLINK("https://klasma.github.io/Logging_2313/klagomål/A 43417-2023 FSC-klagomål.docx", "A 43417-2023")</f>
        <v/>
      </c>
      <c r="W296">
        <f>HYPERLINK("https://klasma.github.io/Logging_2313/klagomålsmail/A 43417-2023 FSC-klagomål mail.docx", "A 43417-2023")</f>
        <v/>
      </c>
      <c r="X296">
        <f>HYPERLINK("https://klasma.github.io/Logging_2313/tillsyn/A 43417-2023 tillsynsbegäran.docx", "A 43417-2023")</f>
        <v/>
      </c>
      <c r="Y296">
        <f>HYPERLINK("https://klasma.github.io/Logging_2313/tillsynsmail/A 43417-2023 tillsynsbegäran mail.docx", "A 43417-2023")</f>
        <v/>
      </c>
      <c r="Z296">
        <f>HYPERLINK("https://klasma.github.io/Logging_2313/fåglar/A 43417-2023 prioriterade fågelarter.docx", "A 43417-2023")</f>
        <v/>
      </c>
    </row>
    <row r="297" ht="15" customHeight="1">
      <c r="A297" t="inlineStr">
        <is>
          <t>A 26796-2024</t>
        </is>
      </c>
      <c r="B297" s="1" t="n">
        <v>45470</v>
      </c>
      <c r="C297" s="1" t="n">
        <v>46045</v>
      </c>
      <c r="D297" t="inlineStr">
        <is>
          <t>JÄMTLANDS LÄN</t>
        </is>
      </c>
      <c r="E297" t="inlineStr">
        <is>
          <t>ÖSTERSUND</t>
        </is>
      </c>
      <c r="G297" t="n">
        <v>13.5</v>
      </c>
      <c r="H297" t="n">
        <v>6</v>
      </c>
      <c r="I297" t="n">
        <v>1</v>
      </c>
      <c r="J297" t="n">
        <v>6</v>
      </c>
      <c r="K297" t="n">
        <v>1</v>
      </c>
      <c r="L297" t="n">
        <v>0</v>
      </c>
      <c r="M297" t="n">
        <v>0</v>
      </c>
      <c r="N297" t="n">
        <v>0</v>
      </c>
      <c r="O297" t="n">
        <v>7</v>
      </c>
      <c r="P297" t="n">
        <v>1</v>
      </c>
      <c r="Q297" t="n">
        <v>10</v>
      </c>
      <c r="R297" s="2" t="inlineStr">
        <is>
          <t>Knärot
Garnlav
Granticka
Harticka
Talltita
Tretåig hackspett
Ullticka
Spindelblomster
Kungsfågel
Revlummer</t>
        </is>
      </c>
      <c r="S297">
        <f>HYPERLINK("https://klasma.github.io/Logging_2380/artfynd/A 26796-2024 artfynd.xlsx", "A 26796-2024")</f>
        <v/>
      </c>
      <c r="T297">
        <f>HYPERLINK("https://klasma.github.io/Logging_2380/kartor/A 26796-2024 karta.png", "A 26796-2024")</f>
        <v/>
      </c>
      <c r="U297">
        <f>HYPERLINK("https://klasma.github.io/Logging_2380/knärot/A 26796-2024 karta knärot.png", "A 26796-2024")</f>
        <v/>
      </c>
      <c r="V297">
        <f>HYPERLINK("https://klasma.github.io/Logging_2380/klagomål/A 26796-2024 FSC-klagomål.docx", "A 26796-2024")</f>
        <v/>
      </c>
      <c r="W297">
        <f>HYPERLINK("https://klasma.github.io/Logging_2380/klagomålsmail/A 26796-2024 FSC-klagomål mail.docx", "A 26796-2024")</f>
        <v/>
      </c>
      <c r="X297">
        <f>HYPERLINK("https://klasma.github.io/Logging_2380/tillsyn/A 26796-2024 tillsynsbegäran.docx", "A 26796-2024")</f>
        <v/>
      </c>
      <c r="Y297">
        <f>HYPERLINK("https://klasma.github.io/Logging_2380/tillsynsmail/A 26796-2024 tillsynsbegäran mail.docx", "A 26796-2024")</f>
        <v/>
      </c>
      <c r="Z297">
        <f>HYPERLINK("https://klasma.github.io/Logging_2380/fåglar/A 26796-2024 prioriterade fågelarter.docx", "A 26796-2024")</f>
        <v/>
      </c>
    </row>
    <row r="298" ht="15" customHeight="1">
      <c r="A298" t="inlineStr">
        <is>
          <t>A 18460-2023</t>
        </is>
      </c>
      <c r="B298" s="1" t="n">
        <v>45041</v>
      </c>
      <c r="C298" s="1" t="n">
        <v>46045</v>
      </c>
      <c r="D298" t="inlineStr">
        <is>
          <t>JÄMTLANDS LÄN</t>
        </is>
      </c>
      <c r="E298" t="inlineStr">
        <is>
          <t>KROKOM</t>
        </is>
      </c>
      <c r="G298" t="n">
        <v>23.8</v>
      </c>
      <c r="H298" t="n">
        <v>1</v>
      </c>
      <c r="I298" t="n">
        <v>2</v>
      </c>
      <c r="J298" t="n">
        <v>8</v>
      </c>
      <c r="K298" t="n">
        <v>0</v>
      </c>
      <c r="L298" t="n">
        <v>0</v>
      </c>
      <c r="M298" t="n">
        <v>0</v>
      </c>
      <c r="N298" t="n">
        <v>0</v>
      </c>
      <c r="O298" t="n">
        <v>8</v>
      </c>
      <c r="P298" t="n">
        <v>0</v>
      </c>
      <c r="Q298" t="n">
        <v>10</v>
      </c>
      <c r="R298" s="2" t="inlineStr">
        <is>
          <t>Brunpudrad nållav
Garnlav
Granticka
Harticka
Rödbrun blekspik
Tretåig hackspett
Ullticka
Vitskaftad svartspik
Gulnål
Vedticka</t>
        </is>
      </c>
      <c r="S298">
        <f>HYPERLINK("https://klasma.github.io/Logging_2309/artfynd/A 18460-2023 artfynd.xlsx", "A 18460-2023")</f>
        <v/>
      </c>
      <c r="T298">
        <f>HYPERLINK("https://klasma.github.io/Logging_2309/kartor/A 18460-2023 karta.png", "A 18460-2023")</f>
        <v/>
      </c>
      <c r="V298">
        <f>HYPERLINK("https://klasma.github.io/Logging_2309/klagomål/A 18460-2023 FSC-klagomål.docx", "A 18460-2023")</f>
        <v/>
      </c>
      <c r="W298">
        <f>HYPERLINK("https://klasma.github.io/Logging_2309/klagomålsmail/A 18460-2023 FSC-klagomål mail.docx", "A 18460-2023")</f>
        <v/>
      </c>
      <c r="X298">
        <f>HYPERLINK("https://klasma.github.io/Logging_2309/tillsyn/A 18460-2023 tillsynsbegäran.docx", "A 18460-2023")</f>
        <v/>
      </c>
      <c r="Y298">
        <f>HYPERLINK("https://klasma.github.io/Logging_2309/tillsynsmail/A 18460-2023 tillsynsbegäran mail.docx", "A 18460-2023")</f>
        <v/>
      </c>
      <c r="Z298">
        <f>HYPERLINK("https://klasma.github.io/Logging_2309/fåglar/A 18460-2023 prioriterade fågelarter.docx", "A 18460-2023")</f>
        <v/>
      </c>
    </row>
    <row r="299" ht="15" customHeight="1">
      <c r="A299" t="inlineStr">
        <is>
          <t>A 7457-2023</t>
        </is>
      </c>
      <c r="B299" s="1" t="n">
        <v>44971</v>
      </c>
      <c r="C299" s="1" t="n">
        <v>46045</v>
      </c>
      <c r="D299" t="inlineStr">
        <is>
          <t>JÄMTLANDS LÄN</t>
        </is>
      </c>
      <c r="E299" t="inlineStr">
        <is>
          <t>ÖSTERSUND</t>
        </is>
      </c>
      <c r="F299" t="inlineStr">
        <is>
          <t>Kommuner</t>
        </is>
      </c>
      <c r="G299" t="n">
        <v>2.5</v>
      </c>
      <c r="H299" t="n">
        <v>0</v>
      </c>
      <c r="I299" t="n">
        <v>3</v>
      </c>
      <c r="J299" t="n">
        <v>6</v>
      </c>
      <c r="K299" t="n">
        <v>1</v>
      </c>
      <c r="L299" t="n">
        <v>0</v>
      </c>
      <c r="M299" t="n">
        <v>0</v>
      </c>
      <c r="N299" t="n">
        <v>0</v>
      </c>
      <c r="O299" t="n">
        <v>7</v>
      </c>
      <c r="P299" t="n">
        <v>1</v>
      </c>
      <c r="Q299" t="n">
        <v>10</v>
      </c>
      <c r="R299" s="2" t="inlineStr">
        <is>
          <t>Ruttaggsvamp
Frygisk spindling
Garnlav
Grantaggsvamp
Tallriska
Ullticka
Äggvaxskivling
Diskvaxskivling
Skarp dropptaggsvamp
Svavelriska</t>
        </is>
      </c>
      <c r="S299">
        <f>HYPERLINK("https://klasma.github.io/Logging_2380/artfynd/A 7457-2023 artfynd.xlsx", "A 7457-2023")</f>
        <v/>
      </c>
      <c r="T299">
        <f>HYPERLINK("https://klasma.github.io/Logging_2380/kartor/A 7457-2023 karta.png", "A 7457-2023")</f>
        <v/>
      </c>
      <c r="V299">
        <f>HYPERLINK("https://klasma.github.io/Logging_2380/klagomål/A 7457-2023 FSC-klagomål.docx", "A 7457-2023")</f>
        <v/>
      </c>
      <c r="W299">
        <f>HYPERLINK("https://klasma.github.io/Logging_2380/klagomålsmail/A 7457-2023 FSC-klagomål mail.docx", "A 7457-2023")</f>
        <v/>
      </c>
      <c r="X299">
        <f>HYPERLINK("https://klasma.github.io/Logging_2380/tillsyn/A 7457-2023 tillsynsbegäran.docx", "A 7457-2023")</f>
        <v/>
      </c>
      <c r="Y299">
        <f>HYPERLINK("https://klasma.github.io/Logging_2380/tillsynsmail/A 7457-2023 tillsynsbegäran mail.docx", "A 7457-2023")</f>
        <v/>
      </c>
    </row>
    <row r="300" ht="15" customHeight="1">
      <c r="A300" t="inlineStr">
        <is>
          <t>A 10051-2025</t>
        </is>
      </c>
      <c r="B300" s="1" t="n">
        <v>45719.52238425926</v>
      </c>
      <c r="C300" s="1" t="n">
        <v>46045</v>
      </c>
      <c r="D300" t="inlineStr">
        <is>
          <t>JÄMTLANDS LÄN</t>
        </is>
      </c>
      <c r="E300" t="inlineStr">
        <is>
          <t>KROKOM</t>
        </is>
      </c>
      <c r="G300" t="n">
        <v>4.8</v>
      </c>
      <c r="H300" t="n">
        <v>4</v>
      </c>
      <c r="I300" t="n">
        <v>2</v>
      </c>
      <c r="J300" t="n">
        <v>5</v>
      </c>
      <c r="K300" t="n">
        <v>1</v>
      </c>
      <c r="L300" t="n">
        <v>0</v>
      </c>
      <c r="M300" t="n">
        <v>0</v>
      </c>
      <c r="N300" t="n">
        <v>0</v>
      </c>
      <c r="O300" t="n">
        <v>6</v>
      </c>
      <c r="P300" t="n">
        <v>1</v>
      </c>
      <c r="Q300" t="n">
        <v>10</v>
      </c>
      <c r="R300" s="2" t="inlineStr">
        <is>
          <t>Knärot
Garnlav
Järpe
Liten svartspik
Ullticka
Vitgrynig nållav
Grönpyrola
Gytterlav
Kungsfågel
Revlummer</t>
        </is>
      </c>
      <c r="S300">
        <f>HYPERLINK("https://klasma.github.io/Logging_2309/artfynd/A 10051-2025 artfynd.xlsx", "A 10051-2025")</f>
        <v/>
      </c>
      <c r="T300">
        <f>HYPERLINK("https://klasma.github.io/Logging_2309/kartor/A 10051-2025 karta.png", "A 10051-2025")</f>
        <v/>
      </c>
      <c r="U300">
        <f>HYPERLINK("https://klasma.github.io/Logging_2309/knärot/A 10051-2025 karta knärot.png", "A 10051-2025")</f>
        <v/>
      </c>
      <c r="V300">
        <f>HYPERLINK("https://klasma.github.io/Logging_2309/klagomål/A 10051-2025 FSC-klagomål.docx", "A 10051-2025")</f>
        <v/>
      </c>
      <c r="W300">
        <f>HYPERLINK("https://klasma.github.io/Logging_2309/klagomålsmail/A 10051-2025 FSC-klagomål mail.docx", "A 10051-2025")</f>
        <v/>
      </c>
      <c r="X300">
        <f>HYPERLINK("https://klasma.github.io/Logging_2309/tillsyn/A 10051-2025 tillsynsbegäran.docx", "A 10051-2025")</f>
        <v/>
      </c>
      <c r="Y300">
        <f>HYPERLINK("https://klasma.github.io/Logging_2309/tillsynsmail/A 10051-2025 tillsynsbegäran mail.docx", "A 10051-2025")</f>
        <v/>
      </c>
      <c r="Z300">
        <f>HYPERLINK("https://klasma.github.io/Logging_2309/fåglar/A 10051-2025 prioriterade fågelarter.docx", "A 10051-2025")</f>
        <v/>
      </c>
    </row>
    <row r="301" ht="15" customHeight="1">
      <c r="A301" t="inlineStr">
        <is>
          <t>A 41412-2024</t>
        </is>
      </c>
      <c r="B301" s="1" t="n">
        <v>45560.34484953704</v>
      </c>
      <c r="C301" s="1" t="n">
        <v>46045</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34678-2022</t>
        </is>
      </c>
      <c r="B302" s="1" t="n">
        <v>44795</v>
      </c>
      <c r="C302" s="1" t="n">
        <v>46045</v>
      </c>
      <c r="D302" t="inlineStr">
        <is>
          <t>JÄMTLANDS LÄN</t>
        </is>
      </c>
      <c r="E302" t="inlineStr">
        <is>
          <t>KROKOM</t>
        </is>
      </c>
      <c r="F302" t="inlineStr">
        <is>
          <t>Övriga Aktiebolag</t>
        </is>
      </c>
      <c r="G302" t="n">
        <v>16.9</v>
      </c>
      <c r="H302" t="n">
        <v>1</v>
      </c>
      <c r="I302" t="n">
        <v>2</v>
      </c>
      <c r="J302" t="n">
        <v>6</v>
      </c>
      <c r="K302" t="n">
        <v>2</v>
      </c>
      <c r="L302" t="n">
        <v>0</v>
      </c>
      <c r="M302" t="n">
        <v>0</v>
      </c>
      <c r="N302" t="n">
        <v>0</v>
      </c>
      <c r="O302" t="n">
        <v>8</v>
      </c>
      <c r="P302" t="n">
        <v>2</v>
      </c>
      <c r="Q302" t="n">
        <v>10</v>
      </c>
      <c r="R302" s="2" t="inlineStr">
        <is>
          <t>Goliatmusseron
Ulltickeporing
Blå taggsvamp
Doftskinn
Grantaggsvamp
Nordlig nållav
Skrovlig taggsvamp
Stjärntagging
Grönpyrola
Plattlummer</t>
        </is>
      </c>
      <c r="S302">
        <f>HYPERLINK("https://klasma.github.io/Logging_2309/artfynd/A 34678-2022 artfynd.xlsx", "A 34678-2022")</f>
        <v/>
      </c>
      <c r="T302">
        <f>HYPERLINK("https://klasma.github.io/Logging_2309/kartor/A 34678-2022 karta.png", "A 34678-2022")</f>
        <v/>
      </c>
      <c r="V302">
        <f>HYPERLINK("https://klasma.github.io/Logging_2309/klagomål/A 34678-2022 FSC-klagomål.docx", "A 34678-2022")</f>
        <v/>
      </c>
      <c r="W302">
        <f>HYPERLINK("https://klasma.github.io/Logging_2309/klagomålsmail/A 34678-2022 FSC-klagomål mail.docx", "A 34678-2022")</f>
        <v/>
      </c>
      <c r="X302">
        <f>HYPERLINK("https://klasma.github.io/Logging_2309/tillsyn/A 34678-2022 tillsynsbegäran.docx", "A 34678-2022")</f>
        <v/>
      </c>
      <c r="Y302">
        <f>HYPERLINK("https://klasma.github.io/Logging_2309/tillsynsmail/A 34678-2022 tillsynsbegäran mail.docx", "A 34678-2022")</f>
        <v/>
      </c>
    </row>
    <row r="303" ht="15" customHeight="1">
      <c r="A303" t="inlineStr">
        <is>
          <t>A 9919-2021</t>
        </is>
      </c>
      <c r="B303" s="1" t="n">
        <v>44253</v>
      </c>
      <c r="C303" s="1" t="n">
        <v>46045</v>
      </c>
      <c r="D303" t="inlineStr">
        <is>
          <t>JÄMTLANDS LÄN</t>
        </is>
      </c>
      <c r="E303" t="inlineStr">
        <is>
          <t>BERG</t>
        </is>
      </c>
      <c r="G303" t="n">
        <v>29</v>
      </c>
      <c r="H303" t="n">
        <v>2</v>
      </c>
      <c r="I303" t="n">
        <v>4</v>
      </c>
      <c r="J303" t="n">
        <v>6</v>
      </c>
      <c r="K303" t="n">
        <v>0</v>
      </c>
      <c r="L303" t="n">
        <v>0</v>
      </c>
      <c r="M303" t="n">
        <v>0</v>
      </c>
      <c r="N303" t="n">
        <v>0</v>
      </c>
      <c r="O303" t="n">
        <v>6</v>
      </c>
      <c r="P303" t="n">
        <v>0</v>
      </c>
      <c r="Q303" t="n">
        <v>10</v>
      </c>
      <c r="R303" s="2" t="inlineStr">
        <is>
          <t>Gammelgransskål
Garnlav
Granticka
Skrovellav
Tretåig hackspett
Ullticka
Luddlav
Mörk husmossa
Spindelblomster
Tibast</t>
        </is>
      </c>
      <c r="S303">
        <f>HYPERLINK("https://klasma.github.io/Logging_2326/artfynd/A 9919-2021 artfynd.xlsx", "A 9919-2021")</f>
        <v/>
      </c>
      <c r="T303">
        <f>HYPERLINK("https://klasma.github.io/Logging_2326/kartor/A 9919-2021 karta.png", "A 9919-2021")</f>
        <v/>
      </c>
      <c r="V303">
        <f>HYPERLINK("https://klasma.github.io/Logging_2326/klagomål/A 9919-2021 FSC-klagomål.docx", "A 9919-2021")</f>
        <v/>
      </c>
      <c r="W303">
        <f>HYPERLINK("https://klasma.github.io/Logging_2326/klagomålsmail/A 9919-2021 FSC-klagomål mail.docx", "A 9919-2021")</f>
        <v/>
      </c>
      <c r="X303">
        <f>HYPERLINK("https://klasma.github.io/Logging_2326/tillsyn/A 9919-2021 tillsynsbegäran.docx", "A 9919-2021")</f>
        <v/>
      </c>
      <c r="Y303">
        <f>HYPERLINK("https://klasma.github.io/Logging_2326/tillsynsmail/A 9919-2021 tillsynsbegäran mail.docx", "A 9919-2021")</f>
        <v/>
      </c>
      <c r="Z303">
        <f>HYPERLINK("https://klasma.github.io/Logging_2326/fåglar/A 9919-2021 prioriterade fågelarter.docx", "A 9919-2021")</f>
        <v/>
      </c>
    </row>
    <row r="304" ht="15" customHeight="1">
      <c r="A304" t="inlineStr">
        <is>
          <t>A 13483-2022</t>
        </is>
      </c>
      <c r="B304" s="1" t="n">
        <v>44645.99859953704</v>
      </c>
      <c r="C304" s="1" t="n">
        <v>46045</v>
      </c>
      <c r="D304" t="inlineStr">
        <is>
          <t>JÄMTLANDS LÄN</t>
        </is>
      </c>
      <c r="E304" t="inlineStr">
        <is>
          <t>RAGUNDA</t>
        </is>
      </c>
      <c r="F304" t="inlineStr">
        <is>
          <t>SCA</t>
        </is>
      </c>
      <c r="G304" t="n">
        <v>5.7</v>
      </c>
      <c r="H304" t="n">
        <v>1</v>
      </c>
      <c r="I304" t="n">
        <v>3</v>
      </c>
      <c r="J304" t="n">
        <v>6</v>
      </c>
      <c r="K304" t="n">
        <v>1</v>
      </c>
      <c r="L304" t="n">
        <v>0</v>
      </c>
      <c r="M304" t="n">
        <v>0</v>
      </c>
      <c r="N304" t="n">
        <v>0</v>
      </c>
      <c r="O304" t="n">
        <v>7</v>
      </c>
      <c r="P304" t="n">
        <v>1</v>
      </c>
      <c r="Q304" t="n">
        <v>10</v>
      </c>
      <c r="R304" s="2" t="inlineStr">
        <is>
          <t>Knärot
Garnlav
Lunglav
Mörk kolflarnlav
Vedskivlav
Vedtrappmossa
Vitgrynig nållav
Barkkornlav
Dropptaggsvamp
Stuplav</t>
        </is>
      </c>
      <c r="S304">
        <f>HYPERLINK("https://klasma.github.io/Logging_2303/artfynd/A 13483-2022 artfynd.xlsx", "A 13483-2022")</f>
        <v/>
      </c>
      <c r="T304">
        <f>HYPERLINK("https://klasma.github.io/Logging_2303/kartor/A 13483-2022 karta.png", "A 13483-2022")</f>
        <v/>
      </c>
      <c r="U304">
        <f>HYPERLINK("https://klasma.github.io/Logging_2303/knärot/A 13483-2022 karta knärot.png", "A 13483-2022")</f>
        <v/>
      </c>
      <c r="V304">
        <f>HYPERLINK("https://klasma.github.io/Logging_2303/klagomål/A 13483-2022 FSC-klagomål.docx", "A 13483-2022")</f>
        <v/>
      </c>
      <c r="W304">
        <f>HYPERLINK("https://klasma.github.io/Logging_2303/klagomålsmail/A 13483-2022 FSC-klagomål mail.docx", "A 13483-2022")</f>
        <v/>
      </c>
      <c r="X304">
        <f>HYPERLINK("https://klasma.github.io/Logging_2303/tillsyn/A 13483-2022 tillsynsbegäran.docx", "A 13483-2022")</f>
        <v/>
      </c>
      <c r="Y304">
        <f>HYPERLINK("https://klasma.github.io/Logging_2303/tillsynsmail/A 13483-2022 tillsynsbegäran mail.docx", "A 13483-2022")</f>
        <v/>
      </c>
    </row>
    <row r="305" ht="15" customHeight="1">
      <c r="A305" t="inlineStr">
        <is>
          <t>A 16845-2025</t>
        </is>
      </c>
      <c r="B305" s="1" t="n">
        <v>45754.67761574074</v>
      </c>
      <c r="C305" s="1" t="n">
        <v>46045</v>
      </c>
      <c r="D305" t="inlineStr">
        <is>
          <t>JÄMTLANDS LÄN</t>
        </is>
      </c>
      <c r="E305" t="inlineStr">
        <is>
          <t>ÖSTERSUND</t>
        </is>
      </c>
      <c r="F305" t="inlineStr">
        <is>
          <t>SCA</t>
        </is>
      </c>
      <c r="G305" t="n">
        <v>18.1</v>
      </c>
      <c r="H305" t="n">
        <v>0</v>
      </c>
      <c r="I305" t="n">
        <v>1</v>
      </c>
      <c r="J305" t="n">
        <v>9</v>
      </c>
      <c r="K305" t="n">
        <v>0</v>
      </c>
      <c r="L305" t="n">
        <v>0</v>
      </c>
      <c r="M305" t="n">
        <v>0</v>
      </c>
      <c r="N305" t="n">
        <v>0</v>
      </c>
      <c r="O305" t="n">
        <v>9</v>
      </c>
      <c r="P305" t="n">
        <v>0</v>
      </c>
      <c r="Q305" t="n">
        <v>10</v>
      </c>
      <c r="R305" s="2" t="inlineStr">
        <is>
          <t>Dvärgbägarlav
Kortskaftad ärgspik
Mörk kolflarnlav
Nordtagging
Orange taggsvamp
Reliktbock
Skrovlig taggsvamp
Svart taggsvamp
Vedflamlav
Dropptaggsvamp</t>
        </is>
      </c>
      <c r="S305">
        <f>HYPERLINK("https://klasma.github.io/Logging_2380/artfynd/A 16845-2025 artfynd.xlsx", "A 16845-2025")</f>
        <v/>
      </c>
      <c r="T305">
        <f>HYPERLINK("https://klasma.github.io/Logging_2380/kartor/A 16845-2025 karta.png", "A 16845-2025")</f>
        <v/>
      </c>
      <c r="V305">
        <f>HYPERLINK("https://klasma.github.io/Logging_2380/klagomål/A 16845-2025 FSC-klagomål.docx", "A 16845-2025")</f>
        <v/>
      </c>
      <c r="W305">
        <f>HYPERLINK("https://klasma.github.io/Logging_2380/klagomålsmail/A 16845-2025 FSC-klagomål mail.docx", "A 16845-2025")</f>
        <v/>
      </c>
      <c r="X305">
        <f>HYPERLINK("https://klasma.github.io/Logging_2380/tillsyn/A 16845-2025 tillsynsbegäran.docx", "A 16845-2025")</f>
        <v/>
      </c>
      <c r="Y305">
        <f>HYPERLINK("https://klasma.github.io/Logging_2380/tillsynsmail/A 16845-2025 tillsynsbegäran mail.docx", "A 16845-2025")</f>
        <v/>
      </c>
    </row>
    <row r="306" ht="15" customHeight="1">
      <c r="A306" t="inlineStr">
        <is>
          <t>A 1470-2023</t>
        </is>
      </c>
      <c r="B306" s="1" t="n">
        <v>44931</v>
      </c>
      <c r="C306" s="1" t="n">
        <v>46045</v>
      </c>
      <c r="D306" t="inlineStr">
        <is>
          <t>JÄMTLANDS LÄN</t>
        </is>
      </c>
      <c r="E306" t="inlineStr">
        <is>
          <t>STRÖMSUND</t>
        </is>
      </c>
      <c r="G306" t="n">
        <v>39.8</v>
      </c>
      <c r="H306" t="n">
        <v>3</v>
      </c>
      <c r="I306" t="n">
        <v>3</v>
      </c>
      <c r="J306" t="n">
        <v>6</v>
      </c>
      <c r="K306" t="n">
        <v>0</v>
      </c>
      <c r="L306" t="n">
        <v>0</v>
      </c>
      <c r="M306" t="n">
        <v>0</v>
      </c>
      <c r="N306" t="n">
        <v>0</v>
      </c>
      <c r="O306" t="n">
        <v>6</v>
      </c>
      <c r="P306" t="n">
        <v>0</v>
      </c>
      <c r="Q306" t="n">
        <v>10</v>
      </c>
      <c r="R306" s="2" t="inlineStr">
        <is>
          <t>Doftskinn
Garnlav
Granticka
Harticka
Talltita
Tretåig hackspett
Kransrams
Stuplav
Ögonpyrola
Fläcknycklar</t>
        </is>
      </c>
      <c r="S306">
        <f>HYPERLINK("https://klasma.github.io/Logging_2313/artfynd/A 1470-2023 artfynd.xlsx", "A 1470-2023")</f>
        <v/>
      </c>
      <c r="T306">
        <f>HYPERLINK("https://klasma.github.io/Logging_2313/kartor/A 1470-2023 karta.png", "A 1470-2023")</f>
        <v/>
      </c>
      <c r="V306">
        <f>HYPERLINK("https://klasma.github.io/Logging_2313/klagomål/A 1470-2023 FSC-klagomål.docx", "A 1470-2023")</f>
        <v/>
      </c>
      <c r="W306">
        <f>HYPERLINK("https://klasma.github.io/Logging_2313/klagomålsmail/A 1470-2023 FSC-klagomål mail.docx", "A 1470-2023")</f>
        <v/>
      </c>
      <c r="X306">
        <f>HYPERLINK("https://klasma.github.io/Logging_2313/tillsyn/A 1470-2023 tillsynsbegäran.docx", "A 1470-2023")</f>
        <v/>
      </c>
      <c r="Y306">
        <f>HYPERLINK("https://klasma.github.io/Logging_2313/tillsynsmail/A 1470-2023 tillsynsbegäran mail.docx", "A 1470-2023")</f>
        <v/>
      </c>
      <c r="Z306">
        <f>HYPERLINK("https://klasma.github.io/Logging_2313/fåglar/A 1470-2023 prioriterade fågelarter.docx", "A 1470-2023")</f>
        <v/>
      </c>
    </row>
    <row r="307" ht="15" customHeight="1">
      <c r="A307" t="inlineStr">
        <is>
          <t>A 60117-2024</t>
        </is>
      </c>
      <c r="B307" s="1" t="n">
        <v>45639</v>
      </c>
      <c r="C307" s="1" t="n">
        <v>46045</v>
      </c>
      <c r="D307" t="inlineStr">
        <is>
          <t>JÄMTLANDS LÄN</t>
        </is>
      </c>
      <c r="E307" t="inlineStr">
        <is>
          <t>KROKOM</t>
        </is>
      </c>
      <c r="G307" t="n">
        <v>6.8</v>
      </c>
      <c r="H307" t="n">
        <v>4</v>
      </c>
      <c r="I307" t="n">
        <v>1</v>
      </c>
      <c r="J307" t="n">
        <v>7</v>
      </c>
      <c r="K307" t="n">
        <v>1</v>
      </c>
      <c r="L307" t="n">
        <v>0</v>
      </c>
      <c r="M307" t="n">
        <v>0</v>
      </c>
      <c r="N307" t="n">
        <v>0</v>
      </c>
      <c r="O307" t="n">
        <v>8</v>
      </c>
      <c r="P307" t="n">
        <v>1</v>
      </c>
      <c r="Q307" t="n">
        <v>10</v>
      </c>
      <c r="R307" s="2" t="inlineStr">
        <is>
          <t>Sprickporing
Garnlav
Granticka
Harticka
Järpe
Talltita
Tretåig hackspett
Ullticka
Mörk husmossa
Kungsfågel</t>
        </is>
      </c>
      <c r="S307">
        <f>HYPERLINK("https://klasma.github.io/Logging_2309/artfynd/A 60117-2024 artfynd.xlsx", "A 60117-2024")</f>
        <v/>
      </c>
      <c r="T307">
        <f>HYPERLINK("https://klasma.github.io/Logging_2309/kartor/A 60117-2024 karta.png", "A 60117-2024")</f>
        <v/>
      </c>
      <c r="V307">
        <f>HYPERLINK("https://klasma.github.io/Logging_2309/klagomål/A 60117-2024 FSC-klagomål.docx", "A 60117-2024")</f>
        <v/>
      </c>
      <c r="W307">
        <f>HYPERLINK("https://klasma.github.io/Logging_2309/klagomålsmail/A 60117-2024 FSC-klagomål mail.docx", "A 60117-2024")</f>
        <v/>
      </c>
      <c r="X307">
        <f>HYPERLINK("https://klasma.github.io/Logging_2309/tillsyn/A 60117-2024 tillsynsbegäran.docx", "A 60117-2024")</f>
        <v/>
      </c>
      <c r="Y307">
        <f>HYPERLINK("https://klasma.github.io/Logging_2309/tillsynsmail/A 60117-2024 tillsynsbegäran mail.docx", "A 60117-2024")</f>
        <v/>
      </c>
      <c r="Z307">
        <f>HYPERLINK("https://klasma.github.io/Logging_2309/fåglar/A 60117-2024 prioriterade fågelarter.docx", "A 60117-2024")</f>
        <v/>
      </c>
    </row>
    <row r="308" ht="15" customHeight="1">
      <c r="A308" t="inlineStr">
        <is>
          <t>A 29997-2024</t>
        </is>
      </c>
      <c r="B308" s="1" t="n">
        <v>45488.56961805555</v>
      </c>
      <c r="C308" s="1" t="n">
        <v>46045</v>
      </c>
      <c r="D308" t="inlineStr">
        <is>
          <t>JÄMTLANDS LÄN</t>
        </is>
      </c>
      <c r="E308" t="inlineStr">
        <is>
          <t>KROKOM</t>
        </is>
      </c>
      <c r="G308" t="n">
        <v>26.3</v>
      </c>
      <c r="H308" t="n">
        <v>1</v>
      </c>
      <c r="I308" t="n">
        <v>5</v>
      </c>
      <c r="J308" t="n">
        <v>4</v>
      </c>
      <c r="K308" t="n">
        <v>0</v>
      </c>
      <c r="L308" t="n">
        <v>0</v>
      </c>
      <c r="M308" t="n">
        <v>1</v>
      </c>
      <c r="N308" t="n">
        <v>0</v>
      </c>
      <c r="O308" t="n">
        <v>5</v>
      </c>
      <c r="P308" t="n">
        <v>1</v>
      </c>
      <c r="Q308" t="n">
        <v>10</v>
      </c>
      <c r="R308" s="2" t="inlineStr">
        <is>
          <t>Skogsalm
Garnlav
Granticka
Klofibbla
Stickelfrö
Dvärghäxört
Myskmadra
Spindelblomster
Strutbräken
Svart trolldruva</t>
        </is>
      </c>
      <c r="S308">
        <f>HYPERLINK("https://klasma.github.io/Logging_2309/artfynd/A 29997-2024 artfynd.xlsx", "A 29997-2024")</f>
        <v/>
      </c>
      <c r="T308">
        <f>HYPERLINK("https://klasma.github.io/Logging_2309/kartor/A 29997-2024 karta.png", "A 29997-2024")</f>
        <v/>
      </c>
      <c r="V308">
        <f>HYPERLINK("https://klasma.github.io/Logging_2309/klagomål/A 29997-2024 FSC-klagomål.docx", "A 29997-2024")</f>
        <v/>
      </c>
      <c r="W308">
        <f>HYPERLINK("https://klasma.github.io/Logging_2309/klagomålsmail/A 29997-2024 FSC-klagomål mail.docx", "A 29997-2024")</f>
        <v/>
      </c>
      <c r="X308">
        <f>HYPERLINK("https://klasma.github.io/Logging_2309/tillsyn/A 29997-2024 tillsynsbegäran.docx", "A 29997-2024")</f>
        <v/>
      </c>
      <c r="Y308">
        <f>HYPERLINK("https://klasma.github.io/Logging_2309/tillsynsmail/A 29997-2024 tillsynsbegäran mail.docx", "A 29997-2024")</f>
        <v/>
      </c>
    </row>
    <row r="309" ht="15" customHeight="1">
      <c r="A309" t="inlineStr">
        <is>
          <t>A 61766-2024</t>
        </is>
      </c>
      <c r="B309" s="1" t="n">
        <v>45649</v>
      </c>
      <c r="C309" s="1" t="n">
        <v>46045</v>
      </c>
      <c r="D309" t="inlineStr">
        <is>
          <t>JÄMTLANDS LÄN</t>
        </is>
      </c>
      <c r="E309" t="inlineStr">
        <is>
          <t>ÖSTERSUND</t>
        </is>
      </c>
      <c r="G309" t="n">
        <v>14.9</v>
      </c>
      <c r="H309" t="n">
        <v>5</v>
      </c>
      <c r="I309" t="n">
        <v>1</v>
      </c>
      <c r="J309" t="n">
        <v>8</v>
      </c>
      <c r="K309" t="n">
        <v>0</v>
      </c>
      <c r="L309" t="n">
        <v>0</v>
      </c>
      <c r="M309" t="n">
        <v>0</v>
      </c>
      <c r="N309" t="n">
        <v>0</v>
      </c>
      <c r="O309" t="n">
        <v>8</v>
      </c>
      <c r="P309" t="n">
        <v>0</v>
      </c>
      <c r="Q309" t="n">
        <v>10</v>
      </c>
      <c r="R309" s="2" t="inlineStr">
        <is>
          <t>Gammelgransskål
Garnlav
Granticka
Järpe
Lunglav
Spillkråka
Talltita
Tretåig hackspett
Luddlav
Revlummer</t>
        </is>
      </c>
      <c r="S309">
        <f>HYPERLINK("https://klasma.github.io/Logging_2380/artfynd/A 61766-2024 artfynd.xlsx", "A 61766-2024")</f>
        <v/>
      </c>
      <c r="T309">
        <f>HYPERLINK("https://klasma.github.io/Logging_2380/kartor/A 61766-2024 karta.png", "A 61766-2024")</f>
        <v/>
      </c>
      <c r="V309">
        <f>HYPERLINK("https://klasma.github.io/Logging_2380/klagomål/A 61766-2024 FSC-klagomål.docx", "A 61766-2024")</f>
        <v/>
      </c>
      <c r="W309">
        <f>HYPERLINK("https://klasma.github.io/Logging_2380/klagomålsmail/A 61766-2024 FSC-klagomål mail.docx", "A 61766-2024")</f>
        <v/>
      </c>
      <c r="X309">
        <f>HYPERLINK("https://klasma.github.io/Logging_2380/tillsyn/A 61766-2024 tillsynsbegäran.docx", "A 61766-2024")</f>
        <v/>
      </c>
      <c r="Y309">
        <f>HYPERLINK("https://klasma.github.io/Logging_2380/tillsynsmail/A 61766-2024 tillsynsbegäran mail.docx", "A 61766-2024")</f>
        <v/>
      </c>
      <c r="Z309">
        <f>HYPERLINK("https://klasma.github.io/Logging_2380/fåglar/A 61766-2024 prioriterade fågelarter.docx", "A 61766-2024")</f>
        <v/>
      </c>
    </row>
    <row r="310" ht="15" customHeight="1">
      <c r="A310" t="inlineStr">
        <is>
          <t>A 17107-2025</t>
        </is>
      </c>
      <c r="B310" s="1" t="n">
        <v>45755</v>
      </c>
      <c r="C310" s="1" t="n">
        <v>46045</v>
      </c>
      <c r="D310" t="inlineStr">
        <is>
          <t>JÄMTLANDS LÄN</t>
        </is>
      </c>
      <c r="E310" t="inlineStr">
        <is>
          <t>ÅRE</t>
        </is>
      </c>
      <c r="G310" t="n">
        <v>14.2</v>
      </c>
      <c r="H310" t="n">
        <v>1</v>
      </c>
      <c r="I310" t="n">
        <v>6</v>
      </c>
      <c r="J310" t="n">
        <v>3</v>
      </c>
      <c r="K310" t="n">
        <v>1</v>
      </c>
      <c r="L310" t="n">
        <v>0</v>
      </c>
      <c r="M310" t="n">
        <v>0</v>
      </c>
      <c r="N310" t="n">
        <v>0</v>
      </c>
      <c r="O310" t="n">
        <v>4</v>
      </c>
      <c r="P310" t="n">
        <v>1</v>
      </c>
      <c r="Q310" t="n">
        <v>10</v>
      </c>
      <c r="R310" s="2" t="inlineStr">
        <is>
          <t>Borgsjömusseron
Doftskinn
Garnlav
Granticka
Diskvaxskivling
Grönkulla
Kärrkammossa
Mönjevaxing
Svavelriska
Trådticka</t>
        </is>
      </c>
      <c r="S310">
        <f>HYPERLINK("https://klasma.github.io/Logging_2321/artfynd/A 17107-2025 artfynd.xlsx", "A 17107-2025")</f>
        <v/>
      </c>
      <c r="T310">
        <f>HYPERLINK("https://klasma.github.io/Logging_2321/kartor/A 17107-2025 karta.png", "A 17107-2025")</f>
        <v/>
      </c>
      <c r="V310">
        <f>HYPERLINK("https://klasma.github.io/Logging_2321/klagomål/A 17107-2025 FSC-klagomål.docx", "A 17107-2025")</f>
        <v/>
      </c>
      <c r="W310">
        <f>HYPERLINK("https://klasma.github.io/Logging_2321/klagomålsmail/A 17107-2025 FSC-klagomål mail.docx", "A 17107-2025")</f>
        <v/>
      </c>
      <c r="X310">
        <f>HYPERLINK("https://klasma.github.io/Logging_2321/tillsyn/A 17107-2025 tillsynsbegäran.docx", "A 17107-2025")</f>
        <v/>
      </c>
      <c r="Y310">
        <f>HYPERLINK("https://klasma.github.io/Logging_2321/tillsynsmail/A 17107-2025 tillsynsbegäran mail.docx", "A 17107-2025")</f>
        <v/>
      </c>
    </row>
    <row r="311" ht="15" customHeight="1">
      <c r="A311" t="inlineStr">
        <is>
          <t>A 63339-2025</t>
        </is>
      </c>
      <c r="B311" s="1" t="n">
        <v>46010.65328703704</v>
      </c>
      <c r="C311" s="1" t="n">
        <v>46045</v>
      </c>
      <c r="D311" t="inlineStr">
        <is>
          <t>JÄMTLANDS LÄN</t>
        </is>
      </c>
      <c r="E311" t="inlineStr">
        <is>
          <t>ÅRE</t>
        </is>
      </c>
      <c r="G311" t="n">
        <v>25.2</v>
      </c>
      <c r="H311" t="n">
        <v>1</v>
      </c>
      <c r="I311" t="n">
        <v>0</v>
      </c>
      <c r="J311" t="n">
        <v>8</v>
      </c>
      <c r="K311" t="n">
        <v>2</v>
      </c>
      <c r="L311" t="n">
        <v>0</v>
      </c>
      <c r="M311" t="n">
        <v>0</v>
      </c>
      <c r="N311" t="n">
        <v>0</v>
      </c>
      <c r="O311" t="n">
        <v>10</v>
      </c>
      <c r="P311" t="n">
        <v>2</v>
      </c>
      <c r="Q311" t="n">
        <v>10</v>
      </c>
      <c r="R311" s="2" t="inlineStr">
        <is>
          <t>Knärot
Sprickporing
Garnlav
Granticka
Liten svartspik
Lunglav
Skrovellav
Stjärntagging
Ullticka
Vitgrynig nållav</t>
        </is>
      </c>
      <c r="S311">
        <f>HYPERLINK("https://klasma.github.io/Logging_2321/artfynd/A 63339-2025 artfynd.xlsx", "A 63339-2025")</f>
        <v/>
      </c>
      <c r="T311">
        <f>HYPERLINK("https://klasma.github.io/Logging_2321/kartor/A 63339-2025 karta.png", "A 63339-2025")</f>
        <v/>
      </c>
      <c r="U311">
        <f>HYPERLINK("https://klasma.github.io/Logging_2321/knärot/A 63339-2025 karta knärot.png", "A 63339-2025")</f>
        <v/>
      </c>
      <c r="V311">
        <f>HYPERLINK("https://klasma.github.io/Logging_2321/klagomål/A 63339-2025 FSC-klagomål.docx", "A 63339-2025")</f>
        <v/>
      </c>
      <c r="W311">
        <f>HYPERLINK("https://klasma.github.io/Logging_2321/klagomålsmail/A 63339-2025 FSC-klagomål mail.docx", "A 63339-2025")</f>
        <v/>
      </c>
      <c r="X311">
        <f>HYPERLINK("https://klasma.github.io/Logging_2321/tillsyn/A 63339-2025 tillsynsbegäran.docx", "A 63339-2025")</f>
        <v/>
      </c>
      <c r="Y311">
        <f>HYPERLINK("https://klasma.github.io/Logging_2321/tillsynsmail/A 63339-2025 tillsynsbegäran mail.docx", "A 63339-2025")</f>
        <v/>
      </c>
    </row>
    <row r="312" ht="15" customHeight="1">
      <c r="A312" t="inlineStr">
        <is>
          <t>A 17095-2025</t>
        </is>
      </c>
      <c r="B312" s="1" t="n">
        <v>45755</v>
      </c>
      <c r="C312" s="1" t="n">
        <v>46045</v>
      </c>
      <c r="D312" t="inlineStr">
        <is>
          <t>JÄMTLANDS LÄN</t>
        </is>
      </c>
      <c r="E312" t="inlineStr">
        <is>
          <t>ÅRE</t>
        </is>
      </c>
      <c r="G312" t="n">
        <v>6.3</v>
      </c>
      <c r="H312" t="n">
        <v>0</v>
      </c>
      <c r="I312" t="n">
        <v>5</v>
      </c>
      <c r="J312" t="n">
        <v>5</v>
      </c>
      <c r="K312" t="n">
        <v>0</v>
      </c>
      <c r="L312" t="n">
        <v>0</v>
      </c>
      <c r="M312" t="n">
        <v>0</v>
      </c>
      <c r="N312" t="n">
        <v>0</v>
      </c>
      <c r="O312" t="n">
        <v>5</v>
      </c>
      <c r="P312" t="n">
        <v>0</v>
      </c>
      <c r="Q312" t="n">
        <v>10</v>
      </c>
      <c r="R312" s="2" t="inlineStr">
        <is>
          <t>Doftskinn
Garnlav
Granticka
Skrovellav
Vitgrynig nållav
Diskvaxskivling
Granriska
Honungsvaxing
Kambräken
Svavelriska</t>
        </is>
      </c>
      <c r="S312">
        <f>HYPERLINK("https://klasma.github.io/Logging_2321/artfynd/A 17095-2025 artfynd.xlsx", "A 17095-2025")</f>
        <v/>
      </c>
      <c r="T312">
        <f>HYPERLINK("https://klasma.github.io/Logging_2321/kartor/A 17095-2025 karta.png", "A 17095-2025")</f>
        <v/>
      </c>
      <c r="V312">
        <f>HYPERLINK("https://klasma.github.io/Logging_2321/klagomål/A 17095-2025 FSC-klagomål.docx", "A 17095-2025")</f>
        <v/>
      </c>
      <c r="W312">
        <f>HYPERLINK("https://klasma.github.io/Logging_2321/klagomålsmail/A 17095-2025 FSC-klagomål mail.docx", "A 17095-2025")</f>
        <v/>
      </c>
      <c r="X312">
        <f>HYPERLINK("https://klasma.github.io/Logging_2321/tillsyn/A 17095-2025 tillsynsbegäran.docx", "A 17095-2025")</f>
        <v/>
      </c>
      <c r="Y312">
        <f>HYPERLINK("https://klasma.github.io/Logging_2321/tillsynsmail/A 17095-2025 tillsynsbegäran mail.docx", "A 17095-2025")</f>
        <v/>
      </c>
    </row>
    <row r="313" ht="15" customHeight="1">
      <c r="A313" t="inlineStr">
        <is>
          <t>A 56437-2025</t>
        </is>
      </c>
      <c r="B313" s="1" t="n">
        <v>45975.34710648148</v>
      </c>
      <c r="C313" s="1" t="n">
        <v>46045</v>
      </c>
      <c r="D313" t="inlineStr">
        <is>
          <t>JÄMTLANDS LÄN</t>
        </is>
      </c>
      <c r="E313" t="inlineStr">
        <is>
          <t>HÄRJEDALEN</t>
        </is>
      </c>
      <c r="F313" t="inlineStr">
        <is>
          <t>SCA</t>
        </is>
      </c>
      <c r="G313" t="n">
        <v>12.6</v>
      </c>
      <c r="H313" t="n">
        <v>1</v>
      </c>
      <c r="I313" t="n">
        <v>2</v>
      </c>
      <c r="J313" t="n">
        <v>7</v>
      </c>
      <c r="K313" t="n">
        <v>1</v>
      </c>
      <c r="L313" t="n">
        <v>0</v>
      </c>
      <c r="M313" t="n">
        <v>0</v>
      </c>
      <c r="N313" t="n">
        <v>0</v>
      </c>
      <c r="O313" t="n">
        <v>8</v>
      </c>
      <c r="P313" t="n">
        <v>1</v>
      </c>
      <c r="Q313" t="n">
        <v>10</v>
      </c>
      <c r="R313" s="2" t="inlineStr">
        <is>
          <t>Goliatmusseron
Blå taggsvamp
Orange taggsvamp
Skrovlig taggsvamp
Tallriska
Talltaggsvamp
Talltita
Vaddporing
Dropptaggsvamp
Skarp dropptaggsvamp</t>
        </is>
      </c>
      <c r="S313">
        <f>HYPERLINK("https://klasma.github.io/Logging_2361/artfynd/A 56437-2025 artfynd.xlsx", "A 56437-2025")</f>
        <v/>
      </c>
      <c r="T313">
        <f>HYPERLINK("https://klasma.github.io/Logging_2361/kartor/A 56437-2025 karta.png", "A 56437-2025")</f>
        <v/>
      </c>
      <c r="V313">
        <f>HYPERLINK("https://klasma.github.io/Logging_2361/klagomål/A 56437-2025 FSC-klagomål.docx", "A 56437-2025")</f>
        <v/>
      </c>
      <c r="W313">
        <f>HYPERLINK("https://klasma.github.io/Logging_2361/klagomålsmail/A 56437-2025 FSC-klagomål mail.docx", "A 56437-2025")</f>
        <v/>
      </c>
      <c r="X313">
        <f>HYPERLINK("https://klasma.github.io/Logging_2361/tillsyn/A 56437-2025 tillsynsbegäran.docx", "A 56437-2025")</f>
        <v/>
      </c>
      <c r="Y313">
        <f>HYPERLINK("https://klasma.github.io/Logging_2361/tillsynsmail/A 56437-2025 tillsynsbegäran mail.docx", "A 56437-2025")</f>
        <v/>
      </c>
      <c r="Z313">
        <f>HYPERLINK("https://klasma.github.io/Logging_2361/fåglar/A 56437-2025 prioriterade fågelarter.docx", "A 56437-2025")</f>
        <v/>
      </c>
    </row>
    <row r="314" ht="15" customHeight="1">
      <c r="A314" t="inlineStr">
        <is>
          <t>A 10982-2025</t>
        </is>
      </c>
      <c r="B314" s="1" t="n">
        <v>45723.40688657408</v>
      </c>
      <c r="C314" s="1" t="n">
        <v>46045</v>
      </c>
      <c r="D314" t="inlineStr">
        <is>
          <t>JÄMTLANDS LÄN</t>
        </is>
      </c>
      <c r="E314" t="inlineStr">
        <is>
          <t>RAGUNDA</t>
        </is>
      </c>
      <c r="F314" t="inlineStr">
        <is>
          <t>SCA</t>
        </is>
      </c>
      <c r="G314" t="n">
        <v>6.4</v>
      </c>
      <c r="H314" t="n">
        <v>0</v>
      </c>
      <c r="I314" t="n">
        <v>7</v>
      </c>
      <c r="J314" t="n">
        <v>3</v>
      </c>
      <c r="K314" t="n">
        <v>0</v>
      </c>
      <c r="L314" t="n">
        <v>0</v>
      </c>
      <c r="M314" t="n">
        <v>0</v>
      </c>
      <c r="N314" t="n">
        <v>0</v>
      </c>
      <c r="O314" t="n">
        <v>3</v>
      </c>
      <c r="P314" t="n">
        <v>0</v>
      </c>
      <c r="Q314" t="n">
        <v>10</v>
      </c>
      <c r="R314" s="2" t="inlineStr">
        <is>
          <t>Blå taggsvamp
Orange taggsvamp
Skrovlig taggsvamp
Barrfagerspindling
Bårdlav
Dropptaggsvamp
Skarp dropptaggsvamp
Stuplav
Svart trolldruva
Tallfingersvamp</t>
        </is>
      </c>
      <c r="S314">
        <f>HYPERLINK("https://klasma.github.io/Logging_2303/artfynd/A 10982-2025 artfynd.xlsx", "A 10982-2025")</f>
        <v/>
      </c>
      <c r="T314">
        <f>HYPERLINK("https://klasma.github.io/Logging_2303/kartor/A 10982-2025 karta.png", "A 10982-2025")</f>
        <v/>
      </c>
      <c r="V314">
        <f>HYPERLINK("https://klasma.github.io/Logging_2303/klagomål/A 10982-2025 FSC-klagomål.docx", "A 10982-2025")</f>
        <v/>
      </c>
      <c r="W314">
        <f>HYPERLINK("https://klasma.github.io/Logging_2303/klagomålsmail/A 10982-2025 FSC-klagomål mail.docx", "A 10982-2025")</f>
        <v/>
      </c>
      <c r="X314">
        <f>HYPERLINK("https://klasma.github.io/Logging_2303/tillsyn/A 10982-2025 tillsynsbegäran.docx", "A 10982-2025")</f>
        <v/>
      </c>
      <c r="Y314">
        <f>HYPERLINK("https://klasma.github.io/Logging_2303/tillsynsmail/A 10982-2025 tillsynsbegäran mail.docx", "A 10982-2025")</f>
        <v/>
      </c>
    </row>
    <row r="315" ht="15" customHeight="1">
      <c r="A315" t="inlineStr">
        <is>
          <t>A 28289-2025</t>
        </is>
      </c>
      <c r="B315" s="1" t="n">
        <v>45818.59244212963</v>
      </c>
      <c r="C315" s="1" t="n">
        <v>46045</v>
      </c>
      <c r="D315" t="inlineStr">
        <is>
          <t>JÄMTLANDS LÄN</t>
        </is>
      </c>
      <c r="E315" t="inlineStr">
        <is>
          <t>BRÄCKE</t>
        </is>
      </c>
      <c r="F315" t="inlineStr">
        <is>
          <t>Övriga Aktiebolag</t>
        </is>
      </c>
      <c r="G315" t="n">
        <v>12.8</v>
      </c>
      <c r="H315" t="n">
        <v>2</v>
      </c>
      <c r="I315" t="n">
        <v>1</v>
      </c>
      <c r="J315" t="n">
        <v>8</v>
      </c>
      <c r="K315" t="n">
        <v>1</v>
      </c>
      <c r="L315" t="n">
        <v>0</v>
      </c>
      <c r="M315" t="n">
        <v>0</v>
      </c>
      <c r="N315" t="n">
        <v>0</v>
      </c>
      <c r="O315" t="n">
        <v>9</v>
      </c>
      <c r="P315" t="n">
        <v>1</v>
      </c>
      <c r="Q315" t="n">
        <v>10</v>
      </c>
      <c r="R315" s="2" t="inlineStr">
        <is>
          <t>Blackticka
Doftskinn
Garnlav
Granticka
Järpe
Lunglav
Rosenticka
Tretåig hackspett
Ullticka
Skuggblåslav</t>
        </is>
      </c>
      <c r="S315">
        <f>HYPERLINK("https://klasma.github.io/Logging_2305/artfynd/A 28289-2025 artfynd.xlsx", "A 28289-2025")</f>
        <v/>
      </c>
      <c r="T315">
        <f>HYPERLINK("https://klasma.github.io/Logging_2305/kartor/A 28289-2025 karta.png", "A 28289-2025")</f>
        <v/>
      </c>
      <c r="V315">
        <f>HYPERLINK("https://klasma.github.io/Logging_2305/klagomål/A 28289-2025 FSC-klagomål.docx", "A 28289-2025")</f>
        <v/>
      </c>
      <c r="W315">
        <f>HYPERLINK("https://klasma.github.io/Logging_2305/klagomålsmail/A 28289-2025 FSC-klagomål mail.docx", "A 28289-2025")</f>
        <v/>
      </c>
      <c r="X315">
        <f>HYPERLINK("https://klasma.github.io/Logging_2305/tillsyn/A 28289-2025 tillsynsbegäran.docx", "A 28289-2025")</f>
        <v/>
      </c>
      <c r="Y315">
        <f>HYPERLINK("https://klasma.github.io/Logging_2305/tillsynsmail/A 28289-2025 tillsynsbegäran mail.docx", "A 28289-2025")</f>
        <v/>
      </c>
      <c r="Z315">
        <f>HYPERLINK("https://klasma.github.io/Logging_2305/fåglar/A 28289-2025 prioriterade fågelarter.docx", "A 28289-2025")</f>
        <v/>
      </c>
    </row>
    <row r="316" ht="15" customHeight="1">
      <c r="A316" t="inlineStr">
        <is>
          <t>A 49258-2025</t>
        </is>
      </c>
      <c r="B316" s="1" t="n">
        <v>45938</v>
      </c>
      <c r="C316" s="1" t="n">
        <v>46045</v>
      </c>
      <c r="D316" t="inlineStr">
        <is>
          <t>JÄMTLANDS LÄN</t>
        </is>
      </c>
      <c r="E316" t="inlineStr">
        <is>
          <t>STRÖMSUND</t>
        </is>
      </c>
      <c r="G316" t="n">
        <v>27.7</v>
      </c>
      <c r="H316" t="n">
        <v>1</v>
      </c>
      <c r="I316" t="n">
        <v>0</v>
      </c>
      <c r="J316" t="n">
        <v>6</v>
      </c>
      <c r="K316" t="n">
        <v>4</v>
      </c>
      <c r="L316" t="n">
        <v>0</v>
      </c>
      <c r="M316" t="n">
        <v>0</v>
      </c>
      <c r="N316" t="n">
        <v>0</v>
      </c>
      <c r="O316" t="n">
        <v>10</v>
      </c>
      <c r="P316" t="n">
        <v>4</v>
      </c>
      <c r="Q316" t="n">
        <v>10</v>
      </c>
      <c r="R316" s="2" t="inlineStr">
        <is>
          <t>Blackticka
Lappticka
Rynkskinn
Sprickporing
Doftskinn
Granticka
Lunglav
Rosenticka
Tretåig hackspett
Ullticka</t>
        </is>
      </c>
      <c r="S316">
        <f>HYPERLINK("https://klasma.github.io/Logging_2313/artfynd/A 49258-2025 artfynd.xlsx", "A 49258-2025")</f>
        <v/>
      </c>
      <c r="T316">
        <f>HYPERLINK("https://klasma.github.io/Logging_2313/kartor/A 49258-2025 karta.png", "A 49258-2025")</f>
        <v/>
      </c>
      <c r="V316">
        <f>HYPERLINK("https://klasma.github.io/Logging_2313/klagomål/A 49258-2025 FSC-klagomål.docx", "A 49258-2025")</f>
        <v/>
      </c>
      <c r="W316">
        <f>HYPERLINK("https://klasma.github.io/Logging_2313/klagomålsmail/A 49258-2025 FSC-klagomål mail.docx", "A 49258-2025")</f>
        <v/>
      </c>
      <c r="X316">
        <f>HYPERLINK("https://klasma.github.io/Logging_2313/tillsyn/A 49258-2025 tillsynsbegäran.docx", "A 49258-2025")</f>
        <v/>
      </c>
      <c r="Y316">
        <f>HYPERLINK("https://klasma.github.io/Logging_2313/tillsynsmail/A 49258-2025 tillsynsbegäran mail.docx", "A 49258-2025")</f>
        <v/>
      </c>
      <c r="Z316">
        <f>HYPERLINK("https://klasma.github.io/Logging_2313/fåglar/A 49258-2025 prioriterade fågelarter.docx", "A 49258-2025")</f>
        <v/>
      </c>
    </row>
    <row r="317" ht="15" customHeight="1">
      <c r="A317" t="inlineStr">
        <is>
          <t>A 31367-2025</t>
        </is>
      </c>
      <c r="B317" s="1" t="n">
        <v>45833.43898148148</v>
      </c>
      <c r="C317" s="1" t="n">
        <v>46045</v>
      </c>
      <c r="D317" t="inlineStr">
        <is>
          <t>JÄMTLANDS LÄN</t>
        </is>
      </c>
      <c r="E317" t="inlineStr">
        <is>
          <t>HÄRJEDALEN</t>
        </is>
      </c>
      <c r="F317" t="inlineStr">
        <is>
          <t>Bergvik skog väst AB</t>
        </is>
      </c>
      <c r="G317" t="n">
        <v>31.8</v>
      </c>
      <c r="H317" t="n">
        <v>2</v>
      </c>
      <c r="I317" t="n">
        <v>0</v>
      </c>
      <c r="J317" t="n">
        <v>8</v>
      </c>
      <c r="K317" t="n">
        <v>0</v>
      </c>
      <c r="L317" t="n">
        <v>0</v>
      </c>
      <c r="M317" t="n">
        <v>0</v>
      </c>
      <c r="N317" t="n">
        <v>0</v>
      </c>
      <c r="O317" t="n">
        <v>8</v>
      </c>
      <c r="P317" t="n">
        <v>0</v>
      </c>
      <c r="Q317" t="n">
        <v>10</v>
      </c>
      <c r="R317" s="2" t="inlineStr">
        <is>
          <t>Blanksvart spiklav
Blågrå svartspik
Dvärgbägarlav
Garnlav
Kolflarnlav
Mörk kolflarnlav
Vedflamlav
Vedskivlav
Lavskrika
Tjäder</t>
        </is>
      </c>
      <c r="S317">
        <f>HYPERLINK("https://klasma.github.io/Logging_2361/artfynd/A 31367-2025 artfynd.xlsx", "A 31367-2025")</f>
        <v/>
      </c>
      <c r="T317">
        <f>HYPERLINK("https://klasma.github.io/Logging_2361/kartor/A 31367-2025 karta.png", "A 31367-2025")</f>
        <v/>
      </c>
      <c r="V317">
        <f>HYPERLINK("https://klasma.github.io/Logging_2361/klagomål/A 31367-2025 FSC-klagomål.docx", "A 31367-2025")</f>
        <v/>
      </c>
      <c r="W317">
        <f>HYPERLINK("https://klasma.github.io/Logging_2361/klagomålsmail/A 31367-2025 FSC-klagomål mail.docx", "A 31367-2025")</f>
        <v/>
      </c>
      <c r="X317">
        <f>HYPERLINK("https://klasma.github.io/Logging_2361/tillsyn/A 31367-2025 tillsynsbegäran.docx", "A 31367-2025")</f>
        <v/>
      </c>
      <c r="Y317">
        <f>HYPERLINK("https://klasma.github.io/Logging_2361/tillsynsmail/A 31367-2025 tillsynsbegäran mail.docx", "A 31367-2025")</f>
        <v/>
      </c>
      <c r="Z317">
        <f>HYPERLINK("https://klasma.github.io/Logging_2361/fåglar/A 31367-2025 prioriterade fågelarter.docx", "A 31367-2025")</f>
        <v/>
      </c>
    </row>
    <row r="318" ht="15" customHeight="1">
      <c r="A318" t="inlineStr">
        <is>
          <t>A 40788-2023</t>
        </is>
      </c>
      <c r="B318" s="1" t="n">
        <v>45170</v>
      </c>
      <c r="C318" s="1" t="n">
        <v>46045</v>
      </c>
      <c r="D318" t="inlineStr">
        <is>
          <t>JÄMTLANDS LÄN</t>
        </is>
      </c>
      <c r="E318" t="inlineStr">
        <is>
          <t>ÅRE</t>
        </is>
      </c>
      <c r="G318" t="n">
        <v>15.3</v>
      </c>
      <c r="H318" t="n">
        <v>2</v>
      </c>
      <c r="I318" t="n">
        <v>2</v>
      </c>
      <c r="J318" t="n">
        <v>6</v>
      </c>
      <c r="K318" t="n">
        <v>1</v>
      </c>
      <c r="L318" t="n">
        <v>0</v>
      </c>
      <c r="M318" t="n">
        <v>0</v>
      </c>
      <c r="N318" t="n">
        <v>0</v>
      </c>
      <c r="O318" t="n">
        <v>7</v>
      </c>
      <c r="P318" t="n">
        <v>1</v>
      </c>
      <c r="Q318" t="n">
        <v>10</v>
      </c>
      <c r="R318" s="2" t="inlineStr">
        <is>
          <t>Liten sotlav
Dofttaggsvamp
Garnlav
Granticka
Harticka
Tretåig hackspett
Ullticka
Kamjordstjärna
Trådticka
Lavskrika</t>
        </is>
      </c>
      <c r="S318">
        <f>HYPERLINK("https://klasma.github.io/Logging_2321/artfynd/A 40788-2023 artfynd.xlsx", "A 40788-2023")</f>
        <v/>
      </c>
      <c r="T318">
        <f>HYPERLINK("https://klasma.github.io/Logging_2321/kartor/A 40788-2023 karta.png", "A 40788-2023")</f>
        <v/>
      </c>
      <c r="V318">
        <f>HYPERLINK("https://klasma.github.io/Logging_2321/klagomål/A 40788-2023 FSC-klagomål.docx", "A 40788-2023")</f>
        <v/>
      </c>
      <c r="W318">
        <f>HYPERLINK("https://klasma.github.io/Logging_2321/klagomålsmail/A 40788-2023 FSC-klagomål mail.docx", "A 40788-2023")</f>
        <v/>
      </c>
      <c r="X318">
        <f>HYPERLINK("https://klasma.github.io/Logging_2321/tillsyn/A 40788-2023 tillsynsbegäran.docx", "A 40788-2023")</f>
        <v/>
      </c>
      <c r="Y318">
        <f>HYPERLINK("https://klasma.github.io/Logging_2321/tillsynsmail/A 40788-2023 tillsynsbegäran mail.docx", "A 40788-2023")</f>
        <v/>
      </c>
      <c r="Z318">
        <f>HYPERLINK("https://klasma.github.io/Logging_2321/fåglar/A 40788-2023 prioriterade fågelarter.docx", "A 40788-2023")</f>
        <v/>
      </c>
    </row>
    <row r="319" ht="15" customHeight="1">
      <c r="A319" t="inlineStr">
        <is>
          <t>A 32045-2025</t>
        </is>
      </c>
      <c r="B319" s="1" t="n">
        <v>45835.43947916666</v>
      </c>
      <c r="C319" s="1" t="n">
        <v>46045</v>
      </c>
      <c r="D319" t="inlineStr">
        <is>
          <t>JÄMTLANDS LÄN</t>
        </is>
      </c>
      <c r="E319" t="inlineStr">
        <is>
          <t>BERG</t>
        </is>
      </c>
      <c r="G319" t="n">
        <v>7.7</v>
      </c>
      <c r="H319" t="n">
        <v>3</v>
      </c>
      <c r="I319" t="n">
        <v>0</v>
      </c>
      <c r="J319" t="n">
        <v>8</v>
      </c>
      <c r="K319" t="n">
        <v>0</v>
      </c>
      <c r="L319" t="n">
        <v>0</v>
      </c>
      <c r="M319" t="n">
        <v>0</v>
      </c>
      <c r="N319" t="n">
        <v>0</v>
      </c>
      <c r="O319" t="n">
        <v>8</v>
      </c>
      <c r="P319" t="n">
        <v>0</v>
      </c>
      <c r="Q319" t="n">
        <v>10</v>
      </c>
      <c r="R319" s="2" t="inlineStr">
        <is>
          <t>Garnlav
Harticka
Rosenticka
Tallticka
Talltita
Ullticka
Vedtrappmossa
Vitgrynig nållav
Fläcknycklar
Revlummer</t>
        </is>
      </c>
      <c r="S319">
        <f>HYPERLINK("https://klasma.github.io/Logging_2326/artfynd/A 32045-2025 artfynd.xlsx", "A 32045-2025")</f>
        <v/>
      </c>
      <c r="T319">
        <f>HYPERLINK("https://klasma.github.io/Logging_2326/kartor/A 32045-2025 karta.png", "A 32045-2025")</f>
        <v/>
      </c>
      <c r="V319">
        <f>HYPERLINK("https://klasma.github.io/Logging_2326/klagomål/A 32045-2025 FSC-klagomål.docx", "A 32045-2025")</f>
        <v/>
      </c>
      <c r="W319">
        <f>HYPERLINK("https://klasma.github.io/Logging_2326/klagomålsmail/A 32045-2025 FSC-klagomål mail.docx", "A 32045-2025")</f>
        <v/>
      </c>
      <c r="X319">
        <f>HYPERLINK("https://klasma.github.io/Logging_2326/tillsyn/A 32045-2025 tillsynsbegäran.docx", "A 32045-2025")</f>
        <v/>
      </c>
      <c r="Y319">
        <f>HYPERLINK("https://klasma.github.io/Logging_2326/tillsynsmail/A 32045-2025 tillsynsbegäran mail.docx", "A 32045-2025")</f>
        <v/>
      </c>
      <c r="Z319">
        <f>HYPERLINK("https://klasma.github.io/Logging_2326/fåglar/A 32045-2025 prioriterade fågelarter.docx", "A 32045-2025")</f>
        <v/>
      </c>
    </row>
    <row r="320" ht="15" customHeight="1">
      <c r="A320" t="inlineStr">
        <is>
          <t>A 5780-2025</t>
        </is>
      </c>
      <c r="B320" s="1" t="n">
        <v>45694</v>
      </c>
      <c r="C320" s="1" t="n">
        <v>46045</v>
      </c>
      <c r="D320" t="inlineStr">
        <is>
          <t>JÄMTLANDS LÄN</t>
        </is>
      </c>
      <c r="E320" t="inlineStr">
        <is>
          <t>HÄRJEDALEN</t>
        </is>
      </c>
      <c r="G320" t="n">
        <v>14.5</v>
      </c>
      <c r="H320" t="n">
        <v>2</v>
      </c>
      <c r="I320" t="n">
        <v>2</v>
      </c>
      <c r="J320" t="n">
        <v>7</v>
      </c>
      <c r="K320" t="n">
        <v>0</v>
      </c>
      <c r="L320" t="n">
        <v>0</v>
      </c>
      <c r="M320" t="n">
        <v>0</v>
      </c>
      <c r="N320" t="n">
        <v>0</v>
      </c>
      <c r="O320" t="n">
        <v>7</v>
      </c>
      <c r="P320" t="n">
        <v>0</v>
      </c>
      <c r="Q320" t="n">
        <v>10</v>
      </c>
      <c r="R320" s="2" t="inlineStr">
        <is>
          <t>Gammelgransskål
Garnlav
Granticka
Harticka
Tretåig hackspett
Ullticka
Vitgrynig nållav
Stuplav
Trådticka
Lavskrika</t>
        </is>
      </c>
      <c r="S320">
        <f>HYPERLINK("https://klasma.github.io/Logging_2361/artfynd/A 5780-2025 artfynd.xlsx", "A 5780-2025")</f>
        <v/>
      </c>
      <c r="T320">
        <f>HYPERLINK("https://klasma.github.io/Logging_2361/kartor/A 5780-2025 karta.png", "A 5780-2025")</f>
        <v/>
      </c>
      <c r="V320">
        <f>HYPERLINK("https://klasma.github.io/Logging_2361/klagomål/A 5780-2025 FSC-klagomål.docx", "A 5780-2025")</f>
        <v/>
      </c>
      <c r="W320">
        <f>HYPERLINK("https://klasma.github.io/Logging_2361/klagomålsmail/A 5780-2025 FSC-klagomål mail.docx", "A 5780-2025")</f>
        <v/>
      </c>
      <c r="X320">
        <f>HYPERLINK("https://klasma.github.io/Logging_2361/tillsyn/A 5780-2025 tillsynsbegäran.docx", "A 5780-2025")</f>
        <v/>
      </c>
      <c r="Y320">
        <f>HYPERLINK("https://klasma.github.io/Logging_2361/tillsynsmail/A 5780-2025 tillsynsbegäran mail.docx", "A 5780-2025")</f>
        <v/>
      </c>
      <c r="Z320">
        <f>HYPERLINK("https://klasma.github.io/Logging_2361/fåglar/A 5780-2025 prioriterade fågelarter.docx", "A 5780-2025")</f>
        <v/>
      </c>
    </row>
    <row r="321" ht="15" customHeight="1">
      <c r="A321" t="inlineStr">
        <is>
          <t>A 57458-2025</t>
        </is>
      </c>
      <c r="B321" s="1" t="n">
        <v>45980.53171296296</v>
      </c>
      <c r="C321" s="1" t="n">
        <v>46045</v>
      </c>
      <c r="D321" t="inlineStr">
        <is>
          <t>JÄMTLANDS LÄN</t>
        </is>
      </c>
      <c r="E321" t="inlineStr">
        <is>
          <t>BRÄCKE</t>
        </is>
      </c>
      <c r="F321" t="inlineStr">
        <is>
          <t>SCA</t>
        </is>
      </c>
      <c r="G321" t="n">
        <v>8.9</v>
      </c>
      <c r="H321" t="n">
        <v>1</v>
      </c>
      <c r="I321" t="n">
        <v>1</v>
      </c>
      <c r="J321" t="n">
        <v>8</v>
      </c>
      <c r="K321" t="n">
        <v>1</v>
      </c>
      <c r="L321" t="n">
        <v>0</v>
      </c>
      <c r="M321" t="n">
        <v>0</v>
      </c>
      <c r="N321" t="n">
        <v>0</v>
      </c>
      <c r="O321" t="n">
        <v>9</v>
      </c>
      <c r="P321" t="n">
        <v>1</v>
      </c>
      <c r="Q321" t="n">
        <v>10</v>
      </c>
      <c r="R321" s="2" t="inlineStr">
        <is>
          <t>Rynkskinn
Garnlav
Granticka
Harticka
Lunglav
Rosenticka
Skrovellav
Tretåig hackspett
Ullticka
Luddlav</t>
        </is>
      </c>
      <c r="S321">
        <f>HYPERLINK("https://klasma.github.io/Logging_2305/artfynd/A 57458-2025 artfynd.xlsx", "A 57458-2025")</f>
        <v/>
      </c>
      <c r="T321">
        <f>HYPERLINK("https://klasma.github.io/Logging_2305/kartor/A 57458-2025 karta.png", "A 57458-2025")</f>
        <v/>
      </c>
      <c r="V321">
        <f>HYPERLINK("https://klasma.github.io/Logging_2305/klagomål/A 57458-2025 FSC-klagomål.docx", "A 57458-2025")</f>
        <v/>
      </c>
      <c r="W321">
        <f>HYPERLINK("https://klasma.github.io/Logging_2305/klagomålsmail/A 57458-2025 FSC-klagomål mail.docx", "A 57458-2025")</f>
        <v/>
      </c>
      <c r="X321">
        <f>HYPERLINK("https://klasma.github.io/Logging_2305/tillsyn/A 57458-2025 tillsynsbegäran.docx", "A 57458-2025")</f>
        <v/>
      </c>
      <c r="Y321">
        <f>HYPERLINK("https://klasma.github.io/Logging_2305/tillsynsmail/A 57458-2025 tillsynsbegäran mail.docx", "A 57458-2025")</f>
        <v/>
      </c>
      <c r="Z321">
        <f>HYPERLINK("https://klasma.github.io/Logging_2305/fåglar/A 57458-2025 prioriterade fågelarter.docx", "A 57458-2025")</f>
        <v/>
      </c>
    </row>
    <row r="322" ht="15" customHeight="1">
      <c r="A322" t="inlineStr">
        <is>
          <t>A 42592-2024</t>
        </is>
      </c>
      <c r="B322" s="1" t="n">
        <v>45565</v>
      </c>
      <c r="C322" s="1" t="n">
        <v>46045</v>
      </c>
      <c r="D322" t="inlineStr">
        <is>
          <t>JÄMTLANDS LÄN</t>
        </is>
      </c>
      <c r="E322" t="inlineStr">
        <is>
          <t>ÅRE</t>
        </is>
      </c>
      <c r="F322" t="inlineStr">
        <is>
          <t>Övriga Aktiebolag</t>
        </is>
      </c>
      <c r="G322" t="n">
        <v>4.4</v>
      </c>
      <c r="H322" t="n">
        <v>2</v>
      </c>
      <c r="I322" t="n">
        <v>2</v>
      </c>
      <c r="J322" t="n">
        <v>6</v>
      </c>
      <c r="K322" t="n">
        <v>1</v>
      </c>
      <c r="L322" t="n">
        <v>0</v>
      </c>
      <c r="M322" t="n">
        <v>0</v>
      </c>
      <c r="N322" t="n">
        <v>0</v>
      </c>
      <c r="O322" t="n">
        <v>7</v>
      </c>
      <c r="P322" t="n">
        <v>1</v>
      </c>
      <c r="Q322" t="n">
        <v>10</v>
      </c>
      <c r="R322" s="2" t="inlineStr">
        <is>
          <t>Norsk näverlav
Garnlav
Granticka
Gränsticka
Skrovellav
Tretåig hackspett
Ullticka
Kambräken
Trådticka
Lavskrika</t>
        </is>
      </c>
      <c r="S322">
        <f>HYPERLINK("https://klasma.github.io/Logging_2321/artfynd/A 42592-2024 artfynd.xlsx", "A 42592-2024")</f>
        <v/>
      </c>
      <c r="T322">
        <f>HYPERLINK("https://klasma.github.io/Logging_2321/kartor/A 42592-2024 karta.png", "A 42592-2024")</f>
        <v/>
      </c>
      <c r="V322">
        <f>HYPERLINK("https://klasma.github.io/Logging_2321/klagomål/A 42592-2024 FSC-klagomål.docx", "A 42592-2024")</f>
        <v/>
      </c>
      <c r="W322">
        <f>HYPERLINK("https://klasma.github.io/Logging_2321/klagomålsmail/A 42592-2024 FSC-klagomål mail.docx", "A 42592-2024")</f>
        <v/>
      </c>
      <c r="X322">
        <f>HYPERLINK("https://klasma.github.io/Logging_2321/tillsyn/A 42592-2024 tillsynsbegäran.docx", "A 42592-2024")</f>
        <v/>
      </c>
      <c r="Y322">
        <f>HYPERLINK("https://klasma.github.io/Logging_2321/tillsynsmail/A 42592-2024 tillsynsbegäran mail.docx", "A 42592-2024")</f>
        <v/>
      </c>
      <c r="Z322">
        <f>HYPERLINK("https://klasma.github.io/Logging_2321/fåglar/A 42592-2024 prioriterade fågelarter.docx", "A 42592-2024")</f>
        <v/>
      </c>
    </row>
    <row r="323" ht="15" customHeight="1">
      <c r="A323" t="inlineStr">
        <is>
          <t>A 49540-2022</t>
        </is>
      </c>
      <c r="B323" s="1" t="n">
        <v>44861</v>
      </c>
      <c r="C323" s="1" t="n">
        <v>46045</v>
      </c>
      <c r="D323" t="inlineStr">
        <is>
          <t>JÄMTLANDS LÄN</t>
        </is>
      </c>
      <c r="E323" t="inlineStr">
        <is>
          <t>BRÄCKE</t>
        </is>
      </c>
      <c r="F323" t="inlineStr">
        <is>
          <t>SCA</t>
        </is>
      </c>
      <c r="G323" t="n">
        <v>10.5</v>
      </c>
      <c r="H323" t="n">
        <v>3</v>
      </c>
      <c r="I323" t="n">
        <v>0</v>
      </c>
      <c r="J323" t="n">
        <v>8</v>
      </c>
      <c r="K323" t="n">
        <v>2</v>
      </c>
      <c r="L323" t="n">
        <v>0</v>
      </c>
      <c r="M323" t="n">
        <v>0</v>
      </c>
      <c r="N323" t="n">
        <v>0</v>
      </c>
      <c r="O323" t="n">
        <v>10</v>
      </c>
      <c r="P323" t="n">
        <v>2</v>
      </c>
      <c r="Q323" t="n">
        <v>10</v>
      </c>
      <c r="R323" s="2" t="inlineStr">
        <is>
          <t>Knärot
Rynkskinn
Garnlav
Granticka
Lunglav
Rosenticka
Talltita
Tretåig hackspett
Ullticka
Äggvaxskivling</t>
        </is>
      </c>
      <c r="S323">
        <f>HYPERLINK("https://klasma.github.io/Logging_2305/artfynd/A 49540-2022 artfynd.xlsx", "A 49540-2022")</f>
        <v/>
      </c>
      <c r="T323">
        <f>HYPERLINK("https://klasma.github.io/Logging_2305/kartor/A 49540-2022 karta.png", "A 49540-2022")</f>
        <v/>
      </c>
      <c r="U323">
        <f>HYPERLINK("https://klasma.github.io/Logging_2305/knärot/A 49540-2022 karta knärot.png", "A 49540-2022")</f>
        <v/>
      </c>
      <c r="V323">
        <f>HYPERLINK("https://klasma.github.io/Logging_2305/klagomål/A 49540-2022 FSC-klagomål.docx", "A 49540-2022")</f>
        <v/>
      </c>
      <c r="W323">
        <f>HYPERLINK("https://klasma.github.io/Logging_2305/klagomålsmail/A 49540-2022 FSC-klagomål mail.docx", "A 49540-2022")</f>
        <v/>
      </c>
      <c r="X323">
        <f>HYPERLINK("https://klasma.github.io/Logging_2305/tillsyn/A 49540-2022 tillsynsbegäran.docx", "A 49540-2022")</f>
        <v/>
      </c>
      <c r="Y323">
        <f>HYPERLINK("https://klasma.github.io/Logging_2305/tillsynsmail/A 49540-2022 tillsynsbegäran mail.docx", "A 49540-2022")</f>
        <v/>
      </c>
      <c r="Z323">
        <f>HYPERLINK("https://klasma.github.io/Logging_2305/fåglar/A 49540-2022 prioriterade fågelarter.docx", "A 49540-2022")</f>
        <v/>
      </c>
    </row>
    <row r="324" ht="15" customHeight="1">
      <c r="A324" t="inlineStr">
        <is>
          <t>A 36371-2022</t>
        </is>
      </c>
      <c r="B324" s="1" t="n">
        <v>44803</v>
      </c>
      <c r="C324" s="1" t="n">
        <v>46045</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49056-2025</t>
        </is>
      </c>
      <c r="B325" s="1" t="n">
        <v>45937.64063657408</v>
      </c>
      <c r="C325" s="1" t="n">
        <v>46045</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60620-2025</t>
        </is>
      </c>
      <c r="B326" s="1" t="n">
        <v>45996.38583333333</v>
      </c>
      <c r="C326" s="1" t="n">
        <v>46045</v>
      </c>
      <c r="D326" t="inlineStr">
        <is>
          <t>JÄMTLANDS LÄN</t>
        </is>
      </c>
      <c r="E326" t="inlineStr">
        <is>
          <t>BRÄCKE</t>
        </is>
      </c>
      <c r="F326" t="inlineStr">
        <is>
          <t>SCA</t>
        </is>
      </c>
      <c r="G326" t="n">
        <v>3.5</v>
      </c>
      <c r="H326" t="n">
        <v>2</v>
      </c>
      <c r="I326" t="n">
        <v>3</v>
      </c>
      <c r="J326" t="n">
        <v>6</v>
      </c>
      <c r="K326" t="n">
        <v>0</v>
      </c>
      <c r="L326" t="n">
        <v>0</v>
      </c>
      <c r="M326" t="n">
        <v>0</v>
      </c>
      <c r="N326" t="n">
        <v>0</v>
      </c>
      <c r="O326" t="n">
        <v>6</v>
      </c>
      <c r="P326" t="n">
        <v>0</v>
      </c>
      <c r="Q326" t="n">
        <v>10</v>
      </c>
      <c r="R326" s="2" t="inlineStr">
        <is>
          <t>Gammelgransskål
Garnlav
Lunglav
Talltita
Vedtrappmossa
Vitgrynig nållav
Bårdlav
Luddlav
Stuplav
Revlummer</t>
        </is>
      </c>
      <c r="S326">
        <f>HYPERLINK("https://klasma.github.io/Logging_2305/artfynd/A 60620-2025 artfynd.xlsx", "A 60620-2025")</f>
        <v/>
      </c>
      <c r="T326">
        <f>HYPERLINK("https://klasma.github.io/Logging_2305/kartor/A 60620-2025 karta.png", "A 60620-2025")</f>
        <v/>
      </c>
      <c r="V326">
        <f>HYPERLINK("https://klasma.github.io/Logging_2305/klagomål/A 60620-2025 FSC-klagomål.docx", "A 60620-2025")</f>
        <v/>
      </c>
      <c r="W326">
        <f>HYPERLINK("https://klasma.github.io/Logging_2305/klagomålsmail/A 60620-2025 FSC-klagomål mail.docx", "A 60620-2025")</f>
        <v/>
      </c>
      <c r="X326">
        <f>HYPERLINK("https://klasma.github.io/Logging_2305/tillsyn/A 60620-2025 tillsynsbegäran.docx", "A 60620-2025")</f>
        <v/>
      </c>
      <c r="Y326">
        <f>HYPERLINK("https://klasma.github.io/Logging_2305/tillsynsmail/A 60620-2025 tillsynsbegäran mail.docx", "A 60620-2025")</f>
        <v/>
      </c>
      <c r="Z326">
        <f>HYPERLINK("https://klasma.github.io/Logging_2305/fåglar/A 60620-2025 prioriterade fågelarter.docx", "A 60620-2025")</f>
        <v/>
      </c>
    </row>
    <row r="327" ht="15" customHeight="1">
      <c r="A327" t="inlineStr">
        <is>
          <t>A 4591-2024</t>
        </is>
      </c>
      <c r="B327" s="1" t="n">
        <v>45327</v>
      </c>
      <c r="C327" s="1" t="n">
        <v>46045</v>
      </c>
      <c r="D327" t="inlineStr">
        <is>
          <t>JÄMTLANDS LÄN</t>
        </is>
      </c>
      <c r="E327" t="inlineStr">
        <is>
          <t>RAGUNDA</t>
        </is>
      </c>
      <c r="F327" t="inlineStr">
        <is>
          <t>SCA</t>
        </is>
      </c>
      <c r="G327" t="n">
        <v>5.8</v>
      </c>
      <c r="H327" t="n">
        <v>6</v>
      </c>
      <c r="I327" t="n">
        <v>3</v>
      </c>
      <c r="J327" t="n">
        <v>7</v>
      </c>
      <c r="K327" t="n">
        <v>0</v>
      </c>
      <c r="L327" t="n">
        <v>0</v>
      </c>
      <c r="M327" t="n">
        <v>0</v>
      </c>
      <c r="N327" t="n">
        <v>0</v>
      </c>
      <c r="O327" t="n">
        <v>7</v>
      </c>
      <c r="P327" t="n">
        <v>0</v>
      </c>
      <c r="Q327" t="n">
        <v>10</v>
      </c>
      <c r="R327" s="2" t="inlineStr">
        <is>
          <t>Garnlav
Granticka
Harticka
Lunglav
Spillkråka
Talltita
Tretåig hackspett
Grönkulla
Spindelblomster
Tvåblad</t>
        </is>
      </c>
      <c r="S327">
        <f>HYPERLINK("https://klasma.github.io/Logging_2303/artfynd/A 4591-2024 artfynd.xlsx", "A 4591-2024")</f>
        <v/>
      </c>
      <c r="T327">
        <f>HYPERLINK("https://klasma.github.io/Logging_2303/kartor/A 4591-2024 karta.png", "A 4591-2024")</f>
        <v/>
      </c>
      <c r="V327">
        <f>HYPERLINK("https://klasma.github.io/Logging_2303/klagomål/A 4591-2024 FSC-klagomål.docx", "A 4591-2024")</f>
        <v/>
      </c>
      <c r="W327">
        <f>HYPERLINK("https://klasma.github.io/Logging_2303/klagomålsmail/A 4591-2024 FSC-klagomål mail.docx", "A 4591-2024")</f>
        <v/>
      </c>
      <c r="X327">
        <f>HYPERLINK("https://klasma.github.io/Logging_2303/tillsyn/A 4591-2024 tillsynsbegäran.docx", "A 4591-2024")</f>
        <v/>
      </c>
      <c r="Y327">
        <f>HYPERLINK("https://klasma.github.io/Logging_2303/tillsynsmail/A 4591-2024 tillsynsbegäran mail.docx", "A 4591-2024")</f>
        <v/>
      </c>
      <c r="Z327">
        <f>HYPERLINK("https://klasma.github.io/Logging_2303/fåglar/A 4591-2024 prioriterade fågelarter.docx", "A 4591-2024")</f>
        <v/>
      </c>
    </row>
    <row r="328" ht="15" customHeight="1">
      <c r="A328" t="inlineStr">
        <is>
          <t>A 16890-2024</t>
        </is>
      </c>
      <c r="B328" s="1" t="n">
        <v>45411</v>
      </c>
      <c r="C328" s="1" t="n">
        <v>46045</v>
      </c>
      <c r="D328" t="inlineStr">
        <is>
          <t>JÄMTLANDS LÄN</t>
        </is>
      </c>
      <c r="E328" t="inlineStr">
        <is>
          <t>HÄRJEDALEN</t>
        </is>
      </c>
      <c r="G328" t="n">
        <v>2.3</v>
      </c>
      <c r="H328" t="n">
        <v>1</v>
      </c>
      <c r="I328" t="n">
        <v>2</v>
      </c>
      <c r="J328" t="n">
        <v>7</v>
      </c>
      <c r="K328" t="n">
        <v>1</v>
      </c>
      <c r="L328" t="n">
        <v>0</v>
      </c>
      <c r="M328" t="n">
        <v>0</v>
      </c>
      <c r="N328" t="n">
        <v>0</v>
      </c>
      <c r="O328" t="n">
        <v>8</v>
      </c>
      <c r="P328" t="n">
        <v>1</v>
      </c>
      <c r="Q328" t="n">
        <v>10</v>
      </c>
      <c r="R328" s="2" t="inlineStr">
        <is>
          <t>Knärot
Brunpudrad nållav
Garnlav
Gränsticka
Leptoporus mollis
Lunglav
Vitgrynig nållav
Äggvaxskivling
Luddlav
Stuplav</t>
        </is>
      </c>
      <c r="S328">
        <f>HYPERLINK("https://klasma.github.io/Logging_2361/artfynd/A 16890-2024 artfynd.xlsx", "A 16890-2024")</f>
        <v/>
      </c>
      <c r="T328">
        <f>HYPERLINK("https://klasma.github.io/Logging_2361/kartor/A 16890-2024 karta.png", "A 16890-2024")</f>
        <v/>
      </c>
      <c r="U328">
        <f>HYPERLINK("https://klasma.github.io/Logging_2361/knärot/A 16890-2024 karta knärot.png", "A 16890-2024")</f>
        <v/>
      </c>
      <c r="V328">
        <f>HYPERLINK("https://klasma.github.io/Logging_2361/klagomål/A 16890-2024 FSC-klagomål.docx", "A 16890-2024")</f>
        <v/>
      </c>
      <c r="W328">
        <f>HYPERLINK("https://klasma.github.io/Logging_2361/klagomålsmail/A 16890-2024 FSC-klagomål mail.docx", "A 16890-2024")</f>
        <v/>
      </c>
      <c r="X328">
        <f>HYPERLINK("https://klasma.github.io/Logging_2361/tillsyn/A 16890-2024 tillsynsbegäran.docx", "A 16890-2024")</f>
        <v/>
      </c>
      <c r="Y328">
        <f>HYPERLINK("https://klasma.github.io/Logging_2361/tillsynsmail/A 16890-2024 tillsynsbegäran mail.docx", "A 16890-2024")</f>
        <v/>
      </c>
    </row>
    <row r="329" ht="15" customHeight="1">
      <c r="A329" t="inlineStr">
        <is>
          <t>A 14058-2023</t>
        </is>
      </c>
      <c r="B329" s="1" t="n">
        <v>45007</v>
      </c>
      <c r="C329" s="1" t="n">
        <v>46045</v>
      </c>
      <c r="D329" t="inlineStr">
        <is>
          <t>JÄMTLANDS LÄN</t>
        </is>
      </c>
      <c r="E329" t="inlineStr">
        <is>
          <t>HÄRJEDALEN</t>
        </is>
      </c>
      <c r="F329" t="inlineStr">
        <is>
          <t>Bergvik skog väst AB</t>
        </is>
      </c>
      <c r="G329" t="n">
        <v>33.9</v>
      </c>
      <c r="H329" t="n">
        <v>1</v>
      </c>
      <c r="I329" t="n">
        <v>1</v>
      </c>
      <c r="J329" t="n">
        <v>8</v>
      </c>
      <c r="K329" t="n">
        <v>1</v>
      </c>
      <c r="L329" t="n">
        <v>0</v>
      </c>
      <c r="M329" t="n">
        <v>0</v>
      </c>
      <c r="N329" t="n">
        <v>0</v>
      </c>
      <c r="O329" t="n">
        <v>9</v>
      </c>
      <c r="P329" t="n">
        <v>1</v>
      </c>
      <c r="Q329" t="n">
        <v>10</v>
      </c>
      <c r="R329" s="2" t="inlineStr">
        <is>
          <t>Gräddporing
Björktrast
Dvärgbägarlav
Kolflarnlav
Mörk kolflarnlav
Nordtagging
Tallriska
Vedflamlav
Vedskivlav
Skarp dropptaggsvamp</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28288-2024</t>
        </is>
      </c>
      <c r="B330" s="1" t="n">
        <v>45477.46537037037</v>
      </c>
      <c r="C330" s="1" t="n">
        <v>46045</v>
      </c>
      <c r="D330" t="inlineStr">
        <is>
          <t>JÄMTLANDS LÄN</t>
        </is>
      </c>
      <c r="E330" t="inlineStr">
        <is>
          <t>HÄRJEDALEN</t>
        </is>
      </c>
      <c r="F330" t="inlineStr">
        <is>
          <t>Bergvik skog väst AB</t>
        </is>
      </c>
      <c r="G330" t="n">
        <v>2</v>
      </c>
      <c r="H330" t="n">
        <v>1</v>
      </c>
      <c r="I330" t="n">
        <v>0</v>
      </c>
      <c r="J330" t="n">
        <v>8</v>
      </c>
      <c r="K330" t="n">
        <v>2</v>
      </c>
      <c r="L330" t="n">
        <v>0</v>
      </c>
      <c r="M330" t="n">
        <v>0</v>
      </c>
      <c r="N330" t="n">
        <v>0</v>
      </c>
      <c r="O330" t="n">
        <v>10</v>
      </c>
      <c r="P330" t="n">
        <v>2</v>
      </c>
      <c r="Q330" t="n">
        <v>10</v>
      </c>
      <c r="R330" s="2" t="inlineStr">
        <is>
          <t>Knärot
Smalfotad taggsvamp
Blågrå svartspik
Kolflarnlav
Nordtagging
Skrovlig taggsvamp
Vaddporing
Vedflamlav
Vedskivlav
Vitplätt</t>
        </is>
      </c>
      <c r="S330">
        <f>HYPERLINK("https://klasma.github.io/Logging_2361/artfynd/A 28288-2024 artfynd.xlsx", "A 28288-2024")</f>
        <v/>
      </c>
      <c r="T330">
        <f>HYPERLINK("https://klasma.github.io/Logging_2361/kartor/A 28288-2024 karta.png", "A 28288-2024")</f>
        <v/>
      </c>
      <c r="U330">
        <f>HYPERLINK("https://klasma.github.io/Logging_2361/knärot/A 28288-2024 karta knärot.png", "A 28288-2024")</f>
        <v/>
      </c>
      <c r="V330">
        <f>HYPERLINK("https://klasma.github.io/Logging_2361/klagomål/A 28288-2024 FSC-klagomål.docx", "A 28288-2024")</f>
        <v/>
      </c>
      <c r="W330">
        <f>HYPERLINK("https://klasma.github.io/Logging_2361/klagomålsmail/A 28288-2024 FSC-klagomål mail.docx", "A 28288-2024")</f>
        <v/>
      </c>
      <c r="X330">
        <f>HYPERLINK("https://klasma.github.io/Logging_2361/tillsyn/A 28288-2024 tillsynsbegäran.docx", "A 28288-2024")</f>
        <v/>
      </c>
      <c r="Y330">
        <f>HYPERLINK("https://klasma.github.io/Logging_2361/tillsynsmail/A 28288-2024 tillsynsbegäran mail.docx", "A 28288-2024")</f>
        <v/>
      </c>
    </row>
    <row r="331" ht="15" customHeight="1">
      <c r="A331" t="inlineStr">
        <is>
          <t>A 55894-2022</t>
        </is>
      </c>
      <c r="B331" s="1" t="n">
        <v>44888</v>
      </c>
      <c r="C331" s="1" t="n">
        <v>46045</v>
      </c>
      <c r="D331" t="inlineStr">
        <is>
          <t>JÄMTLANDS LÄN</t>
        </is>
      </c>
      <c r="E331" t="inlineStr">
        <is>
          <t>RAGUNDA</t>
        </is>
      </c>
      <c r="F331" t="inlineStr">
        <is>
          <t>SCA</t>
        </is>
      </c>
      <c r="G331" t="n">
        <v>3.8</v>
      </c>
      <c r="H331" t="n">
        <v>2</v>
      </c>
      <c r="I331" t="n">
        <v>5</v>
      </c>
      <c r="J331" t="n">
        <v>4</v>
      </c>
      <c r="K331" t="n">
        <v>0</v>
      </c>
      <c r="L331" t="n">
        <v>0</v>
      </c>
      <c r="M331" t="n">
        <v>0</v>
      </c>
      <c r="N331" t="n">
        <v>0</v>
      </c>
      <c r="O331" t="n">
        <v>4</v>
      </c>
      <c r="P331" t="n">
        <v>0</v>
      </c>
      <c r="Q331" t="n">
        <v>10</v>
      </c>
      <c r="R331" s="2" t="inlineStr">
        <is>
          <t>Garnlav
Granticka
Lunglav
Spillkråka
Källmossa
Luddlav
Stuplav
Vedticka
Ögonpyrola
Revlummer</t>
        </is>
      </c>
      <c r="S331">
        <f>HYPERLINK("https://klasma.github.io/Logging_2303/artfynd/A 55894-2022 artfynd.xlsx", "A 55894-2022")</f>
        <v/>
      </c>
      <c r="T331">
        <f>HYPERLINK("https://klasma.github.io/Logging_2303/kartor/A 55894-2022 karta.png", "A 55894-2022")</f>
        <v/>
      </c>
      <c r="V331">
        <f>HYPERLINK("https://klasma.github.io/Logging_2303/klagomål/A 55894-2022 FSC-klagomål.docx", "A 55894-2022")</f>
        <v/>
      </c>
      <c r="W331">
        <f>HYPERLINK("https://klasma.github.io/Logging_2303/klagomålsmail/A 55894-2022 FSC-klagomål mail.docx", "A 55894-2022")</f>
        <v/>
      </c>
      <c r="X331">
        <f>HYPERLINK("https://klasma.github.io/Logging_2303/tillsyn/A 55894-2022 tillsynsbegäran.docx", "A 55894-2022")</f>
        <v/>
      </c>
      <c r="Y331">
        <f>HYPERLINK("https://klasma.github.io/Logging_2303/tillsynsmail/A 55894-2022 tillsynsbegäran mail.docx", "A 55894-2022")</f>
        <v/>
      </c>
      <c r="Z331">
        <f>HYPERLINK("https://klasma.github.io/Logging_2303/fåglar/A 55894-2022 prioriterade fågelarter.docx", "A 55894-2022")</f>
        <v/>
      </c>
    </row>
    <row r="332" ht="15" customHeight="1">
      <c r="A332" t="inlineStr">
        <is>
          <t>A 20658-2021</t>
        </is>
      </c>
      <c r="B332" s="1" t="n">
        <v>44316</v>
      </c>
      <c r="C332" s="1" t="n">
        <v>46045</v>
      </c>
      <c r="D332" t="inlineStr">
        <is>
          <t>JÄMTLANDS LÄN</t>
        </is>
      </c>
      <c r="E332" t="inlineStr">
        <is>
          <t>ÅRE</t>
        </is>
      </c>
      <c r="G332" t="n">
        <v>32.2</v>
      </c>
      <c r="H332" t="n">
        <v>4</v>
      </c>
      <c r="I332" t="n">
        <v>3</v>
      </c>
      <c r="J332" t="n">
        <v>6</v>
      </c>
      <c r="K332" t="n">
        <v>0</v>
      </c>
      <c r="L332" t="n">
        <v>0</v>
      </c>
      <c r="M332" t="n">
        <v>0</v>
      </c>
      <c r="N332" t="n">
        <v>0</v>
      </c>
      <c r="O332" t="n">
        <v>6</v>
      </c>
      <c r="P332" t="n">
        <v>0</v>
      </c>
      <c r="Q332" t="n">
        <v>10</v>
      </c>
      <c r="R332" s="2" t="inlineStr">
        <is>
          <t>Gammelgransskål
Garnlav
Skrovellav
Spillkråka
Talltita
Tretåig hackspett
Gytterlav
Stor revmossa
Stuplav
Revlummer</t>
        </is>
      </c>
      <c r="S332">
        <f>HYPERLINK("https://klasma.github.io/Logging_2321/artfynd/A 20658-2021 artfynd.xlsx", "A 20658-2021")</f>
        <v/>
      </c>
      <c r="T332">
        <f>HYPERLINK("https://klasma.github.io/Logging_2321/kartor/A 20658-2021 karta.png", "A 20658-2021")</f>
        <v/>
      </c>
      <c r="V332">
        <f>HYPERLINK("https://klasma.github.io/Logging_2321/klagomål/A 20658-2021 FSC-klagomål.docx", "A 20658-2021")</f>
        <v/>
      </c>
      <c r="W332">
        <f>HYPERLINK("https://klasma.github.io/Logging_2321/klagomålsmail/A 20658-2021 FSC-klagomål mail.docx", "A 20658-2021")</f>
        <v/>
      </c>
      <c r="X332">
        <f>HYPERLINK("https://klasma.github.io/Logging_2321/tillsyn/A 20658-2021 tillsynsbegäran.docx", "A 20658-2021")</f>
        <v/>
      </c>
      <c r="Y332">
        <f>HYPERLINK("https://klasma.github.io/Logging_2321/tillsynsmail/A 20658-2021 tillsynsbegäran mail.docx", "A 20658-2021")</f>
        <v/>
      </c>
      <c r="Z332">
        <f>HYPERLINK("https://klasma.github.io/Logging_2321/fåglar/A 20658-2021 prioriterade fågelarter.docx", "A 20658-2021")</f>
        <v/>
      </c>
    </row>
    <row r="333" ht="15" customHeight="1">
      <c r="A333" t="inlineStr">
        <is>
          <t>A 7435-2022</t>
        </is>
      </c>
      <c r="B333" s="1" t="n">
        <v>44606</v>
      </c>
      <c r="C333" s="1" t="n">
        <v>46045</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46045</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46045</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46045</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11485-2022</t>
        </is>
      </c>
      <c r="B337" s="1" t="n">
        <v>44630</v>
      </c>
      <c r="C337" s="1" t="n">
        <v>46045</v>
      </c>
      <c r="D337" t="inlineStr">
        <is>
          <t>JÄMTLANDS LÄN</t>
        </is>
      </c>
      <c r="E337" t="inlineStr">
        <is>
          <t>STRÖMSUND</t>
        </is>
      </c>
      <c r="F337" t="inlineStr">
        <is>
          <t>SCA</t>
        </is>
      </c>
      <c r="G337" t="n">
        <v>9.4</v>
      </c>
      <c r="H337" t="n">
        <v>0</v>
      </c>
      <c r="I337" t="n">
        <v>5</v>
      </c>
      <c r="J337" t="n">
        <v>4</v>
      </c>
      <c r="K337" t="n">
        <v>0</v>
      </c>
      <c r="L337" t="n">
        <v>0</v>
      </c>
      <c r="M337" t="n">
        <v>0</v>
      </c>
      <c r="N337" t="n">
        <v>0</v>
      </c>
      <c r="O337" t="n">
        <v>4</v>
      </c>
      <c r="P337" t="n">
        <v>0</v>
      </c>
      <c r="Q337" t="n">
        <v>9</v>
      </c>
      <c r="R337" s="2" t="inlineStr">
        <is>
          <t>Garnlav
Granticka
Lunglav
Ullticka
Bårdlav
Källmossa
Källmossor
Stuplav
Vedticka</t>
        </is>
      </c>
      <c r="S337">
        <f>HYPERLINK("https://klasma.github.io/Logging_2313/artfynd/A 11485-2022 artfynd.xlsx", "A 11485-2022")</f>
        <v/>
      </c>
      <c r="T337">
        <f>HYPERLINK("https://klasma.github.io/Logging_2313/kartor/A 11485-2022 karta.png", "A 11485-2022")</f>
        <v/>
      </c>
      <c r="V337">
        <f>HYPERLINK("https://klasma.github.io/Logging_2313/klagomål/A 11485-2022 FSC-klagomål.docx", "A 11485-2022")</f>
        <v/>
      </c>
      <c r="W337">
        <f>HYPERLINK("https://klasma.github.io/Logging_2313/klagomålsmail/A 11485-2022 FSC-klagomål mail.docx", "A 11485-2022")</f>
        <v/>
      </c>
      <c r="X337">
        <f>HYPERLINK("https://klasma.github.io/Logging_2313/tillsyn/A 11485-2022 tillsynsbegäran.docx", "A 11485-2022")</f>
        <v/>
      </c>
      <c r="Y337">
        <f>HYPERLINK("https://klasma.github.io/Logging_2313/tillsynsmail/A 11485-2022 tillsynsbegäran mail.docx", "A 11485-2022")</f>
        <v/>
      </c>
    </row>
    <row r="338" ht="15" customHeight="1">
      <c r="A338" t="inlineStr">
        <is>
          <t>A 69914-2021</t>
        </is>
      </c>
      <c r="B338" s="1" t="n">
        <v>44532</v>
      </c>
      <c r="C338" s="1" t="n">
        <v>46045</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10763-2021</t>
        </is>
      </c>
      <c r="B339" s="1" t="n">
        <v>44259</v>
      </c>
      <c r="C339" s="1" t="n">
        <v>46045</v>
      </c>
      <c r="D339" t="inlineStr">
        <is>
          <t>JÄMTLANDS LÄN</t>
        </is>
      </c>
      <c r="E339" t="inlineStr">
        <is>
          <t>ÅRE</t>
        </is>
      </c>
      <c r="G339" t="n">
        <v>12.8</v>
      </c>
      <c r="H339" t="n">
        <v>1</v>
      </c>
      <c r="I339" t="n">
        <v>1</v>
      </c>
      <c r="J339" t="n">
        <v>7</v>
      </c>
      <c r="K339" t="n">
        <v>1</v>
      </c>
      <c r="L339" t="n">
        <v>0</v>
      </c>
      <c r="M339" t="n">
        <v>0</v>
      </c>
      <c r="N339" t="n">
        <v>0</v>
      </c>
      <c r="O339" t="n">
        <v>8</v>
      </c>
      <c r="P339" t="n">
        <v>1</v>
      </c>
      <c r="Q339" t="n">
        <v>9</v>
      </c>
      <c r="R339" s="2" t="inlineStr">
        <is>
          <t>Skuggnål
Gammelgransskål
Garnlav
Granticka
Kavernularia
Liten svartspik
Tretåig hackspett
Vitgrynig nållav
Nordlig tuffmossa</t>
        </is>
      </c>
      <c r="S339">
        <f>HYPERLINK("https://klasma.github.io/Logging_2321/artfynd/A 10763-2021 artfynd.xlsx", "A 10763-2021")</f>
        <v/>
      </c>
      <c r="T339">
        <f>HYPERLINK("https://klasma.github.io/Logging_2321/kartor/A 10763-2021 karta.png", "A 10763-2021")</f>
        <v/>
      </c>
      <c r="V339">
        <f>HYPERLINK("https://klasma.github.io/Logging_2321/klagomål/A 10763-2021 FSC-klagomål.docx", "A 10763-2021")</f>
        <v/>
      </c>
      <c r="W339">
        <f>HYPERLINK("https://klasma.github.io/Logging_2321/klagomålsmail/A 10763-2021 FSC-klagomål mail.docx", "A 10763-2021")</f>
        <v/>
      </c>
      <c r="X339">
        <f>HYPERLINK("https://klasma.github.io/Logging_2321/tillsyn/A 10763-2021 tillsynsbegäran.docx", "A 10763-2021")</f>
        <v/>
      </c>
      <c r="Y339">
        <f>HYPERLINK("https://klasma.github.io/Logging_2321/tillsynsmail/A 10763-2021 tillsynsbegäran mail.docx", "A 10763-2021")</f>
        <v/>
      </c>
      <c r="Z339">
        <f>HYPERLINK("https://klasma.github.io/Logging_2321/fåglar/A 10763-2021 prioriterade fågelarter.docx", "A 10763-2021")</f>
        <v/>
      </c>
    </row>
    <row r="340" ht="15" customHeight="1">
      <c r="A340" t="inlineStr">
        <is>
          <t>A 12372-2024</t>
        </is>
      </c>
      <c r="B340" s="1" t="n">
        <v>45378</v>
      </c>
      <c r="C340" s="1" t="n">
        <v>46045</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17513-2024</t>
        </is>
      </c>
      <c r="B341" s="1" t="n">
        <v>45415</v>
      </c>
      <c r="C341" s="1" t="n">
        <v>46045</v>
      </c>
      <c r="D341" t="inlineStr">
        <is>
          <t>JÄMTLANDS LÄN</t>
        </is>
      </c>
      <c r="E341" t="inlineStr">
        <is>
          <t>STRÖMSUND</t>
        </is>
      </c>
      <c r="F341" t="inlineStr">
        <is>
          <t>Holmen skog AB</t>
        </is>
      </c>
      <c r="G341" t="n">
        <v>3.4</v>
      </c>
      <c r="H341" t="n">
        <v>2</v>
      </c>
      <c r="I341" t="n">
        <v>3</v>
      </c>
      <c r="J341" t="n">
        <v>5</v>
      </c>
      <c r="K341" t="n">
        <v>1</v>
      </c>
      <c r="L341" t="n">
        <v>0</v>
      </c>
      <c r="M341" t="n">
        <v>0</v>
      </c>
      <c r="N341" t="n">
        <v>0</v>
      </c>
      <c r="O341" t="n">
        <v>6</v>
      </c>
      <c r="P341" t="n">
        <v>1</v>
      </c>
      <c r="Q341" t="n">
        <v>9</v>
      </c>
      <c r="R341" s="2" t="inlineStr">
        <is>
          <t>Knärot
Kolflarnlav
Orange taggsvamp
Skrovellav
Tretåig hackspett
Äggvaxskivling
Bårdlav
Dropptaggsvamp
Stuplav</t>
        </is>
      </c>
      <c r="S341">
        <f>HYPERLINK("https://klasma.github.io/Logging_2313/artfynd/A 17513-2024 artfynd.xlsx", "A 17513-2024")</f>
        <v/>
      </c>
      <c r="T341">
        <f>HYPERLINK("https://klasma.github.io/Logging_2313/kartor/A 17513-2024 karta.png", "A 17513-2024")</f>
        <v/>
      </c>
      <c r="U341">
        <f>HYPERLINK("https://klasma.github.io/Logging_2313/knärot/A 17513-2024 karta knärot.png", "A 17513-2024")</f>
        <v/>
      </c>
      <c r="V341">
        <f>HYPERLINK("https://klasma.github.io/Logging_2313/klagomål/A 17513-2024 FSC-klagomål.docx", "A 17513-2024")</f>
        <v/>
      </c>
      <c r="W341">
        <f>HYPERLINK("https://klasma.github.io/Logging_2313/klagomålsmail/A 17513-2024 FSC-klagomål mail.docx", "A 17513-2024")</f>
        <v/>
      </c>
      <c r="X341">
        <f>HYPERLINK("https://klasma.github.io/Logging_2313/tillsyn/A 17513-2024 tillsynsbegäran.docx", "A 17513-2024")</f>
        <v/>
      </c>
      <c r="Y341">
        <f>HYPERLINK("https://klasma.github.io/Logging_2313/tillsynsmail/A 17513-2024 tillsynsbegäran mail.docx", "A 17513-2024")</f>
        <v/>
      </c>
      <c r="Z341">
        <f>HYPERLINK("https://klasma.github.io/Logging_2313/fåglar/A 17513-2024 prioriterade fågelarter.docx", "A 17513-2024")</f>
        <v/>
      </c>
    </row>
    <row r="342" ht="15" customHeight="1">
      <c r="A342" t="inlineStr">
        <is>
          <t>A 65905-2021</t>
        </is>
      </c>
      <c r="B342" s="1" t="n">
        <v>44517</v>
      </c>
      <c r="C342" s="1" t="n">
        <v>46045</v>
      </c>
      <c r="D342" t="inlineStr">
        <is>
          <t>JÄMTLANDS LÄN</t>
        </is>
      </c>
      <c r="E342" t="inlineStr">
        <is>
          <t>HÄRJEDALEN</t>
        </is>
      </c>
      <c r="G342" t="n">
        <v>13.8</v>
      </c>
      <c r="H342" t="n">
        <v>0</v>
      </c>
      <c r="I342" t="n">
        <v>0</v>
      </c>
      <c r="J342" t="n">
        <v>8</v>
      </c>
      <c r="K342" t="n">
        <v>1</v>
      </c>
      <c r="L342" t="n">
        <v>0</v>
      </c>
      <c r="M342" t="n">
        <v>0</v>
      </c>
      <c r="N342" t="n">
        <v>0</v>
      </c>
      <c r="O342" t="n">
        <v>9</v>
      </c>
      <c r="P342" t="n">
        <v>1</v>
      </c>
      <c r="Q342" t="n">
        <v>9</v>
      </c>
      <c r="R342" s="2" t="inlineStr">
        <is>
          <t>Rynkskinn
Gammelgransskål
Garnlav
Granticka
Gränsticka
Harticka
Knottrig blåslav
Rosenticka
Ullticka</t>
        </is>
      </c>
      <c r="S342">
        <f>HYPERLINK("https://klasma.github.io/Logging_2361/artfynd/A 65905-2021 artfynd.xlsx", "A 65905-2021")</f>
        <v/>
      </c>
      <c r="T342">
        <f>HYPERLINK("https://klasma.github.io/Logging_2361/kartor/A 65905-2021 karta.png", "A 65905-2021")</f>
        <v/>
      </c>
      <c r="V342">
        <f>HYPERLINK("https://klasma.github.io/Logging_2361/klagomål/A 65905-2021 FSC-klagomål.docx", "A 65905-2021")</f>
        <v/>
      </c>
      <c r="W342">
        <f>HYPERLINK("https://klasma.github.io/Logging_2361/klagomålsmail/A 65905-2021 FSC-klagomål mail.docx", "A 65905-2021")</f>
        <v/>
      </c>
      <c r="X342">
        <f>HYPERLINK("https://klasma.github.io/Logging_2361/tillsyn/A 65905-2021 tillsynsbegäran.docx", "A 65905-2021")</f>
        <v/>
      </c>
      <c r="Y342">
        <f>HYPERLINK("https://klasma.github.io/Logging_2361/tillsynsmail/A 65905-2021 tillsynsbegäran mail.docx", "A 65905-2021")</f>
        <v/>
      </c>
    </row>
    <row r="343" ht="15" customHeight="1">
      <c r="A343" t="inlineStr">
        <is>
          <t>A 38594-2025</t>
        </is>
      </c>
      <c r="B343" s="1" t="n">
        <v>45884.49010416667</v>
      </c>
      <c r="C343" s="1" t="n">
        <v>46045</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38359-2021</t>
        </is>
      </c>
      <c r="B344" s="1" t="n">
        <v>44406</v>
      </c>
      <c r="C344" s="1" t="n">
        <v>46045</v>
      </c>
      <c r="D344" t="inlineStr">
        <is>
          <t>JÄMTLANDS LÄN</t>
        </is>
      </c>
      <c r="E344" t="inlineStr">
        <is>
          <t>HÄRJEDALEN</t>
        </is>
      </c>
      <c r="G344" t="n">
        <v>17.3</v>
      </c>
      <c r="H344" t="n">
        <v>1</v>
      </c>
      <c r="I344" t="n">
        <v>2</v>
      </c>
      <c r="J344" t="n">
        <v>6</v>
      </c>
      <c r="K344" t="n">
        <v>1</v>
      </c>
      <c r="L344" t="n">
        <v>0</v>
      </c>
      <c r="M344" t="n">
        <v>0</v>
      </c>
      <c r="N344" t="n">
        <v>0</v>
      </c>
      <c r="O344" t="n">
        <v>7</v>
      </c>
      <c r="P344" t="n">
        <v>1</v>
      </c>
      <c r="Q344" t="n">
        <v>9</v>
      </c>
      <c r="R344" s="2" t="inlineStr">
        <is>
          <t>Knärot
Garnlav
Kolflarnlav
Lunglav
Rosenticka
Ullticka
Violettgrå tagellav
Bårdlav
Stuplav</t>
        </is>
      </c>
      <c r="S344">
        <f>HYPERLINK("https://klasma.github.io/Logging_2361/artfynd/A 38359-2021 artfynd.xlsx", "A 38359-2021")</f>
        <v/>
      </c>
      <c r="T344">
        <f>HYPERLINK("https://klasma.github.io/Logging_2361/kartor/A 38359-2021 karta.png", "A 38359-2021")</f>
        <v/>
      </c>
      <c r="U344">
        <f>HYPERLINK("https://klasma.github.io/Logging_2361/knärot/A 38359-2021 karta knärot.png", "A 38359-2021")</f>
        <v/>
      </c>
      <c r="V344">
        <f>HYPERLINK("https://klasma.github.io/Logging_2361/klagomål/A 38359-2021 FSC-klagomål.docx", "A 38359-2021")</f>
        <v/>
      </c>
      <c r="W344">
        <f>HYPERLINK("https://klasma.github.io/Logging_2361/klagomålsmail/A 38359-2021 FSC-klagomål mail.docx", "A 38359-2021")</f>
        <v/>
      </c>
      <c r="X344">
        <f>HYPERLINK("https://klasma.github.io/Logging_2361/tillsyn/A 38359-2021 tillsynsbegäran.docx", "A 38359-2021")</f>
        <v/>
      </c>
      <c r="Y344">
        <f>HYPERLINK("https://klasma.github.io/Logging_2361/tillsynsmail/A 38359-2021 tillsynsbegäran mail.docx", "A 38359-2021")</f>
        <v/>
      </c>
    </row>
    <row r="345" ht="15" customHeight="1">
      <c r="A345" t="inlineStr">
        <is>
          <t>A 11982-2024</t>
        </is>
      </c>
      <c r="B345" s="1" t="n">
        <v>45376.95240740741</v>
      </c>
      <c r="C345" s="1" t="n">
        <v>46045</v>
      </c>
      <c r="D345" t="inlineStr">
        <is>
          <t>JÄMTLANDS LÄN</t>
        </is>
      </c>
      <c r="E345" t="inlineStr">
        <is>
          <t>BRÄCKE</t>
        </is>
      </c>
      <c r="F345" t="inlineStr">
        <is>
          <t>SCA</t>
        </is>
      </c>
      <c r="G345" t="n">
        <v>2.6</v>
      </c>
      <c r="H345" t="n">
        <v>1</v>
      </c>
      <c r="I345" t="n">
        <v>4</v>
      </c>
      <c r="J345" t="n">
        <v>4</v>
      </c>
      <c r="K345" t="n">
        <v>0</v>
      </c>
      <c r="L345" t="n">
        <v>0</v>
      </c>
      <c r="M345" t="n">
        <v>0</v>
      </c>
      <c r="N345" t="n">
        <v>0</v>
      </c>
      <c r="O345" t="n">
        <v>4</v>
      </c>
      <c r="P345" t="n">
        <v>0</v>
      </c>
      <c r="Q345" t="n">
        <v>9</v>
      </c>
      <c r="R345" s="2" t="inlineStr">
        <is>
          <t>Gränsticka
Lunglav
Ullticka
Vedtrappmossa
Luddlav
Skinnlav
Stuplav
Vedticka
Revlummer</t>
        </is>
      </c>
      <c r="S345">
        <f>HYPERLINK("https://klasma.github.io/Logging_2305/artfynd/A 11982-2024 artfynd.xlsx", "A 11982-2024")</f>
        <v/>
      </c>
      <c r="T345">
        <f>HYPERLINK("https://klasma.github.io/Logging_2305/kartor/A 11982-2024 karta.png", "A 11982-2024")</f>
        <v/>
      </c>
      <c r="V345">
        <f>HYPERLINK("https://klasma.github.io/Logging_2305/klagomål/A 11982-2024 FSC-klagomål.docx", "A 11982-2024")</f>
        <v/>
      </c>
      <c r="W345">
        <f>HYPERLINK("https://klasma.github.io/Logging_2305/klagomålsmail/A 11982-2024 FSC-klagomål mail.docx", "A 11982-2024")</f>
        <v/>
      </c>
      <c r="X345">
        <f>HYPERLINK("https://klasma.github.io/Logging_2305/tillsyn/A 11982-2024 tillsynsbegäran.docx", "A 11982-2024")</f>
        <v/>
      </c>
      <c r="Y345">
        <f>HYPERLINK("https://klasma.github.io/Logging_2305/tillsynsmail/A 11982-2024 tillsynsbegäran mail.docx", "A 11982-2024")</f>
        <v/>
      </c>
    </row>
    <row r="346" ht="15" customHeight="1">
      <c r="A346" t="inlineStr">
        <is>
          <t>A 39007-2025</t>
        </is>
      </c>
      <c r="B346" s="1" t="n">
        <v>45888.34524305556</v>
      </c>
      <c r="C346" s="1" t="n">
        <v>46045</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45008-2023</t>
        </is>
      </c>
      <c r="B347" s="1" t="n">
        <v>45190.96092592592</v>
      </c>
      <c r="C347" s="1" t="n">
        <v>46045</v>
      </c>
      <c r="D347" t="inlineStr">
        <is>
          <t>JÄMTLANDS LÄN</t>
        </is>
      </c>
      <c r="E347" t="inlineStr">
        <is>
          <t>RAGUNDA</t>
        </is>
      </c>
      <c r="F347" t="inlineStr">
        <is>
          <t>SCA</t>
        </is>
      </c>
      <c r="G347" t="n">
        <v>3.5</v>
      </c>
      <c r="H347" t="n">
        <v>0</v>
      </c>
      <c r="I347" t="n">
        <v>4</v>
      </c>
      <c r="J347" t="n">
        <v>4</v>
      </c>
      <c r="K347" t="n">
        <v>1</v>
      </c>
      <c r="L347" t="n">
        <v>0</v>
      </c>
      <c r="M347" t="n">
        <v>0</v>
      </c>
      <c r="N347" t="n">
        <v>0</v>
      </c>
      <c r="O347" t="n">
        <v>5</v>
      </c>
      <c r="P347" t="n">
        <v>1</v>
      </c>
      <c r="Q347" t="n">
        <v>9</v>
      </c>
      <c r="R347" s="2" t="inlineStr">
        <is>
          <t>Rynkskinn
Garnlav
Granticka
Lunglav
Stiftgelélav
Bårdlav
Gytterlav
Skinnlav
Stor aspticka</t>
        </is>
      </c>
      <c r="S347">
        <f>HYPERLINK("https://klasma.github.io/Logging_2303/artfynd/A 45008-2023 artfynd.xlsx", "A 45008-2023")</f>
        <v/>
      </c>
      <c r="T347">
        <f>HYPERLINK("https://klasma.github.io/Logging_2303/kartor/A 45008-2023 karta.png", "A 45008-2023")</f>
        <v/>
      </c>
      <c r="V347">
        <f>HYPERLINK("https://klasma.github.io/Logging_2303/klagomål/A 45008-2023 FSC-klagomål.docx", "A 45008-2023")</f>
        <v/>
      </c>
      <c r="W347">
        <f>HYPERLINK("https://klasma.github.io/Logging_2303/klagomålsmail/A 45008-2023 FSC-klagomål mail.docx", "A 45008-2023")</f>
        <v/>
      </c>
      <c r="X347">
        <f>HYPERLINK("https://klasma.github.io/Logging_2303/tillsyn/A 45008-2023 tillsynsbegäran.docx", "A 45008-2023")</f>
        <v/>
      </c>
      <c r="Y347">
        <f>HYPERLINK("https://klasma.github.io/Logging_2303/tillsynsmail/A 45008-2023 tillsynsbegäran mail.docx", "A 45008-2023")</f>
        <v/>
      </c>
    </row>
    <row r="348" ht="15" customHeight="1">
      <c r="A348" t="inlineStr">
        <is>
          <t>A 27805-2022</t>
        </is>
      </c>
      <c r="B348" s="1" t="n">
        <v>44743</v>
      </c>
      <c r="C348" s="1" t="n">
        <v>46045</v>
      </c>
      <c r="D348" t="inlineStr">
        <is>
          <t>JÄMTLANDS LÄN</t>
        </is>
      </c>
      <c r="E348" t="inlineStr">
        <is>
          <t>ÅRE</t>
        </is>
      </c>
      <c r="G348" t="n">
        <v>106.2</v>
      </c>
      <c r="H348" t="n">
        <v>5</v>
      </c>
      <c r="I348" t="n">
        <v>1</v>
      </c>
      <c r="J348" t="n">
        <v>6</v>
      </c>
      <c r="K348" t="n">
        <v>0</v>
      </c>
      <c r="L348" t="n">
        <v>1</v>
      </c>
      <c r="M348" t="n">
        <v>0</v>
      </c>
      <c r="N348" t="n">
        <v>0</v>
      </c>
      <c r="O348" t="n">
        <v>7</v>
      </c>
      <c r="P348" t="n">
        <v>1</v>
      </c>
      <c r="Q348" t="n">
        <v>9</v>
      </c>
      <c r="R348" s="2" t="inlineStr">
        <is>
          <t>Grönfink
Garnlav
Grå blåbärsfältmätare
Kavernularia
Månlåsbräken
Talltita
Tretåig hackspett
Korallrot
Lavskrika</t>
        </is>
      </c>
      <c r="S348">
        <f>HYPERLINK("https://klasma.github.io/Logging_2321/artfynd/A 27805-2022 artfynd.xlsx", "A 27805-2022")</f>
        <v/>
      </c>
      <c r="T348">
        <f>HYPERLINK("https://klasma.github.io/Logging_2321/kartor/A 27805-2022 karta.png", "A 27805-2022")</f>
        <v/>
      </c>
      <c r="V348">
        <f>HYPERLINK("https://klasma.github.io/Logging_2321/klagomål/A 27805-2022 FSC-klagomål.docx", "A 27805-2022")</f>
        <v/>
      </c>
      <c r="W348">
        <f>HYPERLINK("https://klasma.github.io/Logging_2321/klagomålsmail/A 27805-2022 FSC-klagomål mail.docx", "A 27805-2022")</f>
        <v/>
      </c>
      <c r="X348">
        <f>HYPERLINK("https://klasma.github.io/Logging_2321/tillsyn/A 27805-2022 tillsynsbegäran.docx", "A 27805-2022")</f>
        <v/>
      </c>
      <c r="Y348">
        <f>HYPERLINK("https://klasma.github.io/Logging_2321/tillsynsmail/A 27805-2022 tillsynsbegäran mail.docx", "A 27805-2022")</f>
        <v/>
      </c>
      <c r="Z348">
        <f>HYPERLINK("https://klasma.github.io/Logging_2321/fåglar/A 27805-2022 prioriterade fågelarter.docx", "A 27805-2022")</f>
        <v/>
      </c>
    </row>
    <row r="349" ht="15" customHeight="1">
      <c r="A349" t="inlineStr">
        <is>
          <t>A 45224-2024</t>
        </is>
      </c>
      <c r="B349" s="1" t="n">
        <v>45575.77440972222</v>
      </c>
      <c r="C349" s="1" t="n">
        <v>46045</v>
      </c>
      <c r="D349" t="inlineStr">
        <is>
          <t>JÄMTLANDS LÄN</t>
        </is>
      </c>
      <c r="E349" t="inlineStr">
        <is>
          <t>ÖSTERSUND</t>
        </is>
      </c>
      <c r="G349" t="n">
        <v>31.6</v>
      </c>
      <c r="H349" t="n">
        <v>5</v>
      </c>
      <c r="I349" t="n">
        <v>4</v>
      </c>
      <c r="J349" t="n">
        <v>3</v>
      </c>
      <c r="K349" t="n">
        <v>0</v>
      </c>
      <c r="L349" t="n">
        <v>0</v>
      </c>
      <c r="M349" t="n">
        <v>0</v>
      </c>
      <c r="N349" t="n">
        <v>0</v>
      </c>
      <c r="O349" t="n">
        <v>3</v>
      </c>
      <c r="P349" t="n">
        <v>0</v>
      </c>
      <c r="Q349" t="n">
        <v>9</v>
      </c>
      <c r="R349" s="2" t="inlineStr">
        <is>
          <t>Garnlav
Talltita
Tretåig hackspett
Gräsull
Guckusko
Strimspindling
Vit vaxskivling
Tjäder
Blåsippa</t>
        </is>
      </c>
      <c r="S349">
        <f>HYPERLINK("https://klasma.github.io/Logging_2380/artfynd/A 45224-2024 artfynd.xlsx", "A 45224-2024")</f>
        <v/>
      </c>
      <c r="T349">
        <f>HYPERLINK("https://klasma.github.io/Logging_2380/kartor/A 45224-2024 karta.png", "A 45224-2024")</f>
        <v/>
      </c>
      <c r="V349">
        <f>HYPERLINK("https://klasma.github.io/Logging_2380/klagomål/A 45224-2024 FSC-klagomål.docx", "A 45224-2024")</f>
        <v/>
      </c>
      <c r="W349">
        <f>HYPERLINK("https://klasma.github.io/Logging_2380/klagomålsmail/A 45224-2024 FSC-klagomål mail.docx", "A 45224-2024")</f>
        <v/>
      </c>
      <c r="X349">
        <f>HYPERLINK("https://klasma.github.io/Logging_2380/tillsyn/A 45224-2024 tillsynsbegäran.docx", "A 45224-2024")</f>
        <v/>
      </c>
      <c r="Y349">
        <f>HYPERLINK("https://klasma.github.io/Logging_2380/tillsynsmail/A 45224-2024 tillsynsbegäran mail.docx", "A 45224-2024")</f>
        <v/>
      </c>
      <c r="Z349">
        <f>HYPERLINK("https://klasma.github.io/Logging_2380/fåglar/A 45224-2024 prioriterade fågelarter.docx", "A 45224-2024")</f>
        <v/>
      </c>
    </row>
    <row r="350" ht="15" customHeight="1">
      <c r="A350" t="inlineStr">
        <is>
          <t>A 61749-2021</t>
        </is>
      </c>
      <c r="B350" s="1" t="n">
        <v>44498</v>
      </c>
      <c r="C350" s="1" t="n">
        <v>46045</v>
      </c>
      <c r="D350" t="inlineStr">
        <is>
          <t>JÄMTLANDS LÄN</t>
        </is>
      </c>
      <c r="E350" t="inlineStr">
        <is>
          <t>KROKOM</t>
        </is>
      </c>
      <c r="G350" t="n">
        <v>28</v>
      </c>
      <c r="H350" t="n">
        <v>1</v>
      </c>
      <c r="I350" t="n">
        <v>2</v>
      </c>
      <c r="J350" t="n">
        <v>7</v>
      </c>
      <c r="K350" t="n">
        <v>0</v>
      </c>
      <c r="L350" t="n">
        <v>0</v>
      </c>
      <c r="M350" t="n">
        <v>0</v>
      </c>
      <c r="N350" t="n">
        <v>0</v>
      </c>
      <c r="O350" t="n">
        <v>7</v>
      </c>
      <c r="P350" t="n">
        <v>0</v>
      </c>
      <c r="Q350" t="n">
        <v>9</v>
      </c>
      <c r="R350" s="2" t="inlineStr">
        <is>
          <t>Doftskinn
Granticka
Rosenticka
Stjärntagging
Svartvit taggsvamp
Tretåig hackspett
Ullticka
Diskvaxskivling
Skarp dropptaggsvamp</t>
        </is>
      </c>
      <c r="S350">
        <f>HYPERLINK("https://klasma.github.io/Logging_2309/artfynd/A 61749-2021 artfynd.xlsx", "A 61749-2021")</f>
        <v/>
      </c>
      <c r="T350">
        <f>HYPERLINK("https://klasma.github.io/Logging_2309/kartor/A 61749-2021 karta.png", "A 61749-2021")</f>
        <v/>
      </c>
      <c r="V350">
        <f>HYPERLINK("https://klasma.github.io/Logging_2309/klagomål/A 61749-2021 FSC-klagomål.docx", "A 61749-2021")</f>
        <v/>
      </c>
      <c r="W350">
        <f>HYPERLINK("https://klasma.github.io/Logging_2309/klagomålsmail/A 61749-2021 FSC-klagomål mail.docx", "A 61749-2021")</f>
        <v/>
      </c>
      <c r="X350">
        <f>HYPERLINK("https://klasma.github.io/Logging_2309/tillsyn/A 61749-2021 tillsynsbegäran.docx", "A 61749-2021")</f>
        <v/>
      </c>
      <c r="Y350">
        <f>HYPERLINK("https://klasma.github.io/Logging_2309/tillsynsmail/A 61749-2021 tillsynsbegäran mail.docx", "A 61749-2021")</f>
        <v/>
      </c>
      <c r="Z350">
        <f>HYPERLINK("https://klasma.github.io/Logging_2309/fåglar/A 61749-2021 prioriterade fågelarter.docx", "A 61749-2021")</f>
        <v/>
      </c>
    </row>
    <row r="351" ht="15" customHeight="1">
      <c r="A351" t="inlineStr">
        <is>
          <t>A 33121-2024</t>
        </is>
      </c>
      <c r="B351" s="1" t="n">
        <v>45517.95701388889</v>
      </c>
      <c r="C351" s="1" t="n">
        <v>46045</v>
      </c>
      <c r="D351" t="inlineStr">
        <is>
          <t>JÄMTLANDS LÄN</t>
        </is>
      </c>
      <c r="E351" t="inlineStr">
        <is>
          <t>STRÖMSUND</t>
        </is>
      </c>
      <c r="F351" t="inlineStr">
        <is>
          <t>SCA</t>
        </is>
      </c>
      <c r="G351" t="n">
        <v>2.6</v>
      </c>
      <c r="H351" t="n">
        <v>2</v>
      </c>
      <c r="I351" t="n">
        <v>1</v>
      </c>
      <c r="J351" t="n">
        <v>8</v>
      </c>
      <c r="K351" t="n">
        <v>0</v>
      </c>
      <c r="L351" t="n">
        <v>0</v>
      </c>
      <c r="M351" t="n">
        <v>0</v>
      </c>
      <c r="N351" t="n">
        <v>0</v>
      </c>
      <c r="O351" t="n">
        <v>8</v>
      </c>
      <c r="P351" t="n">
        <v>0</v>
      </c>
      <c r="Q351" t="n">
        <v>9</v>
      </c>
      <c r="R351" s="2" t="inlineStr">
        <is>
          <t>Gammelgransskål
Harticka
Lunglav
Orange taggsvamp
Svart taggsvamp
Talltita
Tretåig hackspett
Vitgrynig nållav
Dropptaggsvamp</t>
        </is>
      </c>
      <c r="S351">
        <f>HYPERLINK("https://klasma.github.io/Logging_2313/artfynd/A 33121-2024 artfynd.xlsx", "A 33121-2024")</f>
        <v/>
      </c>
      <c r="T351">
        <f>HYPERLINK("https://klasma.github.io/Logging_2313/kartor/A 33121-2024 karta.png", "A 33121-2024")</f>
        <v/>
      </c>
      <c r="V351">
        <f>HYPERLINK("https://klasma.github.io/Logging_2313/klagomål/A 33121-2024 FSC-klagomål.docx", "A 33121-2024")</f>
        <v/>
      </c>
      <c r="W351">
        <f>HYPERLINK("https://klasma.github.io/Logging_2313/klagomålsmail/A 33121-2024 FSC-klagomål mail.docx", "A 33121-2024")</f>
        <v/>
      </c>
      <c r="X351">
        <f>HYPERLINK("https://klasma.github.io/Logging_2313/tillsyn/A 33121-2024 tillsynsbegäran.docx", "A 33121-2024")</f>
        <v/>
      </c>
      <c r="Y351">
        <f>HYPERLINK("https://klasma.github.io/Logging_2313/tillsynsmail/A 33121-2024 tillsynsbegäran mail.docx", "A 33121-2024")</f>
        <v/>
      </c>
      <c r="Z351">
        <f>HYPERLINK("https://klasma.github.io/Logging_2313/fåglar/A 33121-2024 prioriterade fågelarter.docx", "A 33121-2024")</f>
        <v/>
      </c>
    </row>
    <row r="352" ht="15" customHeight="1">
      <c r="A352" t="inlineStr">
        <is>
          <t>A 43905-2025</t>
        </is>
      </c>
      <c r="B352" s="1" t="n">
        <v>45913.74344907407</v>
      </c>
      <c r="C352" s="1" t="n">
        <v>46045</v>
      </c>
      <c r="D352" t="inlineStr">
        <is>
          <t>JÄMTLANDS LÄN</t>
        </is>
      </c>
      <c r="E352" t="inlineStr">
        <is>
          <t>HÄRJEDALEN</t>
        </is>
      </c>
      <c r="G352" t="n">
        <v>7.4</v>
      </c>
      <c r="H352" t="n">
        <v>1</v>
      </c>
      <c r="I352" t="n">
        <v>4</v>
      </c>
      <c r="J352" t="n">
        <v>4</v>
      </c>
      <c r="K352" t="n">
        <v>1</v>
      </c>
      <c r="L352" t="n">
        <v>0</v>
      </c>
      <c r="M352" t="n">
        <v>0</v>
      </c>
      <c r="N352" t="n">
        <v>0</v>
      </c>
      <c r="O352" t="n">
        <v>5</v>
      </c>
      <c r="P352" t="n">
        <v>1</v>
      </c>
      <c r="Q352" t="n">
        <v>9</v>
      </c>
      <c r="R352" s="2" t="inlineStr">
        <is>
          <t>Knärot
Garnlav
Granticka
Lunglav
Ullticka
Luddlav
Mörk husmossa
Trådticka
Vedticka</t>
        </is>
      </c>
      <c r="S352">
        <f>HYPERLINK("https://klasma.github.io/Logging_2361/artfynd/A 43905-2025 artfynd.xlsx", "A 43905-2025")</f>
        <v/>
      </c>
      <c r="T352">
        <f>HYPERLINK("https://klasma.github.io/Logging_2361/kartor/A 43905-2025 karta.png", "A 43905-2025")</f>
        <v/>
      </c>
      <c r="U352">
        <f>HYPERLINK("https://klasma.github.io/Logging_2361/knärot/A 43905-2025 karta knärot.png", "A 43905-2025")</f>
        <v/>
      </c>
      <c r="V352">
        <f>HYPERLINK("https://klasma.github.io/Logging_2361/klagomål/A 43905-2025 FSC-klagomål.docx", "A 43905-2025")</f>
        <v/>
      </c>
      <c r="W352">
        <f>HYPERLINK("https://klasma.github.io/Logging_2361/klagomålsmail/A 43905-2025 FSC-klagomål mail.docx", "A 43905-2025")</f>
        <v/>
      </c>
      <c r="X352">
        <f>HYPERLINK("https://klasma.github.io/Logging_2361/tillsyn/A 43905-2025 tillsynsbegäran.docx", "A 43905-2025")</f>
        <v/>
      </c>
      <c r="Y352">
        <f>HYPERLINK("https://klasma.github.io/Logging_2361/tillsynsmail/A 43905-2025 tillsynsbegäran mail.docx", "A 43905-2025")</f>
        <v/>
      </c>
    </row>
    <row r="353" ht="15" customHeight="1">
      <c r="A353" t="inlineStr">
        <is>
          <t>A 1529-2025</t>
        </is>
      </c>
      <c r="B353" s="1" t="n">
        <v>45670</v>
      </c>
      <c r="C353" s="1" t="n">
        <v>46045</v>
      </c>
      <c r="D353" t="inlineStr">
        <is>
          <t>JÄMTLANDS LÄN</t>
        </is>
      </c>
      <c r="E353" t="inlineStr">
        <is>
          <t>ÅRE</t>
        </is>
      </c>
      <c r="G353" t="n">
        <v>13.3</v>
      </c>
      <c r="H353" t="n">
        <v>0</v>
      </c>
      <c r="I353" t="n">
        <v>2</v>
      </c>
      <c r="J353" t="n">
        <v>6</v>
      </c>
      <c r="K353" t="n">
        <v>1</v>
      </c>
      <c r="L353" t="n">
        <v>0</v>
      </c>
      <c r="M353" t="n">
        <v>0</v>
      </c>
      <c r="N353" t="n">
        <v>0</v>
      </c>
      <c r="O353" t="n">
        <v>7</v>
      </c>
      <c r="P353" t="n">
        <v>1</v>
      </c>
      <c r="Q353" t="n">
        <v>9</v>
      </c>
      <c r="R353" s="2" t="inlineStr">
        <is>
          <t>Liten sotlav
Gammelgransskål
Garnlav
Granticka
Liten svartspik
Ullticka
Vitgrynig nållav
Barkkornlav
Trådticka</t>
        </is>
      </c>
      <c r="S353">
        <f>HYPERLINK("https://klasma.github.io/Logging_2321/artfynd/A 1529-2025 artfynd.xlsx", "A 1529-2025")</f>
        <v/>
      </c>
      <c r="T353">
        <f>HYPERLINK("https://klasma.github.io/Logging_2321/kartor/A 1529-2025 karta.png", "A 1529-2025")</f>
        <v/>
      </c>
      <c r="V353">
        <f>HYPERLINK("https://klasma.github.io/Logging_2321/klagomål/A 1529-2025 FSC-klagomål.docx", "A 1529-2025")</f>
        <v/>
      </c>
      <c r="W353">
        <f>HYPERLINK("https://klasma.github.io/Logging_2321/klagomålsmail/A 1529-2025 FSC-klagomål mail.docx", "A 1529-2025")</f>
        <v/>
      </c>
      <c r="X353">
        <f>HYPERLINK("https://klasma.github.io/Logging_2321/tillsyn/A 1529-2025 tillsynsbegäran.docx", "A 1529-2025")</f>
        <v/>
      </c>
      <c r="Y353">
        <f>HYPERLINK("https://klasma.github.io/Logging_2321/tillsynsmail/A 1529-2025 tillsynsbegäran mail.docx", "A 1529-2025")</f>
        <v/>
      </c>
    </row>
    <row r="354" ht="15" customHeight="1">
      <c r="A354" t="inlineStr">
        <is>
          <t>A 52633-2023</t>
        </is>
      </c>
      <c r="B354" s="1" t="n">
        <v>45219</v>
      </c>
      <c r="C354" s="1" t="n">
        <v>46045</v>
      </c>
      <c r="D354" t="inlineStr">
        <is>
          <t>JÄMTLANDS LÄN</t>
        </is>
      </c>
      <c r="E354" t="inlineStr">
        <is>
          <t>KROKOM</t>
        </is>
      </c>
      <c r="G354" t="n">
        <v>35.2</v>
      </c>
      <c r="H354" t="n">
        <v>3</v>
      </c>
      <c r="I354" t="n">
        <v>1</v>
      </c>
      <c r="J354" t="n">
        <v>5</v>
      </c>
      <c r="K354" t="n">
        <v>2</v>
      </c>
      <c r="L354" t="n">
        <v>0</v>
      </c>
      <c r="M354" t="n">
        <v>0</v>
      </c>
      <c r="N354" t="n">
        <v>0</v>
      </c>
      <c r="O354" t="n">
        <v>7</v>
      </c>
      <c r="P354" t="n">
        <v>2</v>
      </c>
      <c r="Q354" t="n">
        <v>9</v>
      </c>
      <c r="R354" s="2" t="inlineStr">
        <is>
          <t>Läderlappslav
Smalskaftslav
Doftskinn
Garnlav
Granticka
Lunglav
Tretåig hackspett
Spindelblomster
Lavskrika</t>
        </is>
      </c>
      <c r="S354">
        <f>HYPERLINK("https://klasma.github.io/Logging_2309/artfynd/A 52633-2023 artfynd.xlsx", "A 52633-2023")</f>
        <v/>
      </c>
      <c r="T354">
        <f>HYPERLINK("https://klasma.github.io/Logging_2309/kartor/A 52633-2023 karta.png", "A 52633-2023")</f>
        <v/>
      </c>
      <c r="V354">
        <f>HYPERLINK("https://klasma.github.io/Logging_2309/klagomål/A 52633-2023 FSC-klagomål.docx", "A 52633-2023")</f>
        <v/>
      </c>
      <c r="W354">
        <f>HYPERLINK("https://klasma.github.io/Logging_2309/klagomålsmail/A 52633-2023 FSC-klagomål mail.docx", "A 52633-2023")</f>
        <v/>
      </c>
      <c r="X354">
        <f>HYPERLINK("https://klasma.github.io/Logging_2309/tillsyn/A 52633-2023 tillsynsbegäran.docx", "A 52633-2023")</f>
        <v/>
      </c>
      <c r="Y354">
        <f>HYPERLINK("https://klasma.github.io/Logging_2309/tillsynsmail/A 52633-2023 tillsynsbegäran mail.docx", "A 52633-2023")</f>
        <v/>
      </c>
      <c r="Z354">
        <f>HYPERLINK("https://klasma.github.io/Logging_2309/fåglar/A 52633-2023 prioriterade fågelarter.docx", "A 52633-2023")</f>
        <v/>
      </c>
    </row>
    <row r="355" ht="15" customHeight="1">
      <c r="A355" t="inlineStr">
        <is>
          <t>A 7473-2023</t>
        </is>
      </c>
      <c r="B355" s="1" t="n">
        <v>44966</v>
      </c>
      <c r="C355" s="1" t="n">
        <v>46045</v>
      </c>
      <c r="D355" t="inlineStr">
        <is>
          <t>JÄMTLANDS LÄN</t>
        </is>
      </c>
      <c r="E355" t="inlineStr">
        <is>
          <t>BERG</t>
        </is>
      </c>
      <c r="G355" t="n">
        <v>26.8</v>
      </c>
      <c r="H355" t="n">
        <v>2</v>
      </c>
      <c r="I355" t="n">
        <v>3</v>
      </c>
      <c r="J355" t="n">
        <v>6</v>
      </c>
      <c r="K355" t="n">
        <v>0</v>
      </c>
      <c r="L355" t="n">
        <v>0</v>
      </c>
      <c r="M355" t="n">
        <v>0</v>
      </c>
      <c r="N355" t="n">
        <v>0</v>
      </c>
      <c r="O355" t="n">
        <v>6</v>
      </c>
      <c r="P355" t="n">
        <v>0</v>
      </c>
      <c r="Q355" t="n">
        <v>9</v>
      </c>
      <c r="R355" s="2" t="inlineStr">
        <is>
          <t>Blågrå svartspik
Reliktbock
Stiftgelélav
Tretåig hackspett
Varglav
Vedflamlav
Dropptaggsvamp
Mindre märgborre
Stuplav</t>
        </is>
      </c>
      <c r="S355">
        <f>HYPERLINK("https://klasma.github.io/Logging_2326/artfynd/A 7473-2023 artfynd.xlsx", "A 7473-2023")</f>
        <v/>
      </c>
      <c r="T355">
        <f>HYPERLINK("https://klasma.github.io/Logging_2326/kartor/A 7473-2023 karta.png", "A 7473-2023")</f>
        <v/>
      </c>
      <c r="V355">
        <f>HYPERLINK("https://klasma.github.io/Logging_2326/klagomål/A 7473-2023 FSC-klagomål.docx", "A 7473-2023")</f>
        <v/>
      </c>
      <c r="W355">
        <f>HYPERLINK("https://klasma.github.io/Logging_2326/klagomålsmail/A 7473-2023 FSC-klagomål mail.docx", "A 7473-2023")</f>
        <v/>
      </c>
      <c r="X355">
        <f>HYPERLINK("https://klasma.github.io/Logging_2326/tillsyn/A 7473-2023 tillsynsbegäran.docx", "A 7473-2023")</f>
        <v/>
      </c>
      <c r="Y355">
        <f>HYPERLINK("https://klasma.github.io/Logging_2326/tillsynsmail/A 7473-2023 tillsynsbegäran mail.docx", "A 7473-2023")</f>
        <v/>
      </c>
      <c r="Z355">
        <f>HYPERLINK("https://klasma.github.io/Logging_2326/fåglar/A 7473-2023 prioriterade fågelarter.docx", "A 7473-2023")</f>
        <v/>
      </c>
    </row>
    <row r="356" ht="15" customHeight="1">
      <c r="A356" t="inlineStr">
        <is>
          <t>A 4146-2025</t>
        </is>
      </c>
      <c r="B356" s="1" t="n">
        <v>45685.36501157407</v>
      </c>
      <c r="C356" s="1" t="n">
        <v>46045</v>
      </c>
      <c r="D356" t="inlineStr">
        <is>
          <t>JÄMTLANDS LÄN</t>
        </is>
      </c>
      <c r="E356" t="inlineStr">
        <is>
          <t>RAGUNDA</t>
        </is>
      </c>
      <c r="G356" t="n">
        <v>10.7</v>
      </c>
      <c r="H356" t="n">
        <v>1</v>
      </c>
      <c r="I356" t="n">
        <v>5</v>
      </c>
      <c r="J356" t="n">
        <v>2</v>
      </c>
      <c r="K356" t="n">
        <v>2</v>
      </c>
      <c r="L356" t="n">
        <v>0</v>
      </c>
      <c r="M356" t="n">
        <v>0</v>
      </c>
      <c r="N356" t="n">
        <v>0</v>
      </c>
      <c r="O356" t="n">
        <v>4</v>
      </c>
      <c r="P356" t="n">
        <v>2</v>
      </c>
      <c r="Q356" t="n">
        <v>9</v>
      </c>
      <c r="R356" s="2" t="inlineStr">
        <is>
          <t>Knärot
Kopparspindling
Kolflarnlav
Lunglav
Dropptaggsvamp
Dvärgtufs
Korallblylav
Skinnlav
Stuplav</t>
        </is>
      </c>
      <c r="S356">
        <f>HYPERLINK("https://klasma.github.io/Logging_2303/artfynd/A 4146-2025 artfynd.xlsx", "A 4146-2025")</f>
        <v/>
      </c>
      <c r="T356">
        <f>HYPERLINK("https://klasma.github.io/Logging_2303/kartor/A 4146-2025 karta.png", "A 4146-2025")</f>
        <v/>
      </c>
      <c r="U356">
        <f>HYPERLINK("https://klasma.github.io/Logging_2303/knärot/A 4146-2025 karta knärot.png", "A 4146-2025")</f>
        <v/>
      </c>
      <c r="V356">
        <f>HYPERLINK("https://klasma.github.io/Logging_2303/klagomål/A 4146-2025 FSC-klagomål.docx", "A 4146-2025")</f>
        <v/>
      </c>
      <c r="W356">
        <f>HYPERLINK("https://klasma.github.io/Logging_2303/klagomålsmail/A 4146-2025 FSC-klagomål mail.docx", "A 4146-2025")</f>
        <v/>
      </c>
      <c r="X356">
        <f>HYPERLINK("https://klasma.github.io/Logging_2303/tillsyn/A 4146-2025 tillsynsbegäran.docx", "A 4146-2025")</f>
        <v/>
      </c>
      <c r="Y356">
        <f>HYPERLINK("https://klasma.github.io/Logging_2303/tillsynsmail/A 4146-2025 tillsynsbegäran mail.docx", "A 4146-2025")</f>
        <v/>
      </c>
    </row>
    <row r="357" ht="15" customHeight="1">
      <c r="A357" t="inlineStr">
        <is>
          <t>A 53354-2024</t>
        </is>
      </c>
      <c r="B357" s="1" t="n">
        <v>45614.45413194445</v>
      </c>
      <c r="C357" s="1" t="n">
        <v>46045</v>
      </c>
      <c r="D357" t="inlineStr">
        <is>
          <t>JÄMTLANDS LÄN</t>
        </is>
      </c>
      <c r="E357" t="inlineStr">
        <is>
          <t>HÄRJEDALEN</t>
        </is>
      </c>
      <c r="F357" t="inlineStr">
        <is>
          <t>Sveaskog</t>
        </is>
      </c>
      <c r="G357" t="n">
        <v>15.3</v>
      </c>
      <c r="H357" t="n">
        <v>5</v>
      </c>
      <c r="I357" t="n">
        <v>1</v>
      </c>
      <c r="J357" t="n">
        <v>5</v>
      </c>
      <c r="K357" t="n">
        <v>1</v>
      </c>
      <c r="L357" t="n">
        <v>0</v>
      </c>
      <c r="M357" t="n">
        <v>0</v>
      </c>
      <c r="N357" t="n">
        <v>0</v>
      </c>
      <c r="O357" t="n">
        <v>6</v>
      </c>
      <c r="P357" t="n">
        <v>1</v>
      </c>
      <c r="Q357" t="n">
        <v>9</v>
      </c>
      <c r="R357" s="2" t="inlineStr">
        <is>
          <t>Knärot
Kolflarnlav
Mörk kolflarnlav
Talltita
Varglav
Vedskivlav
Skarp dropptaggsvamp
Orre
Tjäder</t>
        </is>
      </c>
      <c r="S357">
        <f>HYPERLINK("https://klasma.github.io/Logging_2361/artfynd/A 53354-2024 artfynd.xlsx", "A 53354-2024")</f>
        <v/>
      </c>
      <c r="T357">
        <f>HYPERLINK("https://klasma.github.io/Logging_2361/kartor/A 53354-2024 karta.png", "A 53354-2024")</f>
        <v/>
      </c>
      <c r="U357">
        <f>HYPERLINK("https://klasma.github.io/Logging_2361/knärot/A 53354-2024 karta knärot.png", "A 53354-2024")</f>
        <v/>
      </c>
      <c r="V357">
        <f>HYPERLINK("https://klasma.github.io/Logging_2361/klagomål/A 53354-2024 FSC-klagomål.docx", "A 53354-2024")</f>
        <v/>
      </c>
      <c r="W357">
        <f>HYPERLINK("https://klasma.github.io/Logging_2361/klagomålsmail/A 53354-2024 FSC-klagomål mail.docx", "A 53354-2024")</f>
        <v/>
      </c>
      <c r="X357">
        <f>HYPERLINK("https://klasma.github.io/Logging_2361/tillsyn/A 53354-2024 tillsynsbegäran.docx", "A 53354-2024")</f>
        <v/>
      </c>
      <c r="Y357">
        <f>HYPERLINK("https://klasma.github.io/Logging_2361/tillsynsmail/A 53354-2024 tillsynsbegäran mail.docx", "A 53354-2024")</f>
        <v/>
      </c>
      <c r="Z357">
        <f>HYPERLINK("https://klasma.github.io/Logging_2361/fåglar/A 53354-2024 prioriterade fågelarter.docx", "A 53354-2024")</f>
        <v/>
      </c>
    </row>
    <row r="358" ht="15" customHeight="1">
      <c r="A358" t="inlineStr">
        <is>
          <t>A 34816-2024</t>
        </is>
      </c>
      <c r="B358" s="1" t="n">
        <v>45526</v>
      </c>
      <c r="C358" s="1" t="n">
        <v>46045</v>
      </c>
      <c r="D358" t="inlineStr">
        <is>
          <t>JÄMTLANDS LÄN</t>
        </is>
      </c>
      <c r="E358" t="inlineStr">
        <is>
          <t>ÖSTERSUND</t>
        </is>
      </c>
      <c r="F358" t="inlineStr">
        <is>
          <t>SCA</t>
        </is>
      </c>
      <c r="G358" t="n">
        <v>14.4</v>
      </c>
      <c r="H358" t="n">
        <v>0</v>
      </c>
      <c r="I358" t="n">
        <v>0</v>
      </c>
      <c r="J358" t="n">
        <v>9</v>
      </c>
      <c r="K358" t="n">
        <v>0</v>
      </c>
      <c r="L358" t="n">
        <v>0</v>
      </c>
      <c r="M358" t="n">
        <v>0</v>
      </c>
      <c r="N358" t="n">
        <v>0</v>
      </c>
      <c r="O358" t="n">
        <v>9</v>
      </c>
      <c r="P358" t="n">
        <v>0</v>
      </c>
      <c r="Q358" t="n">
        <v>9</v>
      </c>
      <c r="R358" s="2" t="inlineStr">
        <is>
          <t>Blå taggsvamp
Dvärgbägarlav
Lunglav
Mörk kolflarnlav
Orange taggsvamp
Skrovlig taggsvamp
Stiftgelélav
Svart taggsvamp
Vedskivlav</t>
        </is>
      </c>
      <c r="S358">
        <f>HYPERLINK("https://klasma.github.io/Logging_2380/artfynd/A 34816-2024 artfynd.xlsx", "A 34816-2024")</f>
        <v/>
      </c>
      <c r="T358">
        <f>HYPERLINK("https://klasma.github.io/Logging_2380/kartor/A 34816-2024 karta.png", "A 34816-2024")</f>
        <v/>
      </c>
      <c r="V358">
        <f>HYPERLINK("https://klasma.github.io/Logging_2380/klagomål/A 34816-2024 FSC-klagomål.docx", "A 34816-2024")</f>
        <v/>
      </c>
      <c r="W358">
        <f>HYPERLINK("https://klasma.github.io/Logging_2380/klagomålsmail/A 34816-2024 FSC-klagomål mail.docx", "A 34816-2024")</f>
        <v/>
      </c>
      <c r="X358">
        <f>HYPERLINK("https://klasma.github.io/Logging_2380/tillsyn/A 34816-2024 tillsynsbegäran.docx", "A 34816-2024")</f>
        <v/>
      </c>
      <c r="Y358">
        <f>HYPERLINK("https://klasma.github.io/Logging_2380/tillsynsmail/A 34816-2024 tillsynsbegäran mail.docx", "A 34816-2024")</f>
        <v/>
      </c>
    </row>
    <row r="359" ht="15" customHeight="1">
      <c r="A359" t="inlineStr">
        <is>
          <t>A 62948-2021</t>
        </is>
      </c>
      <c r="B359" s="1" t="n">
        <v>44504</v>
      </c>
      <c r="C359" s="1" t="n">
        <v>46045</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U359">
        <f>HYPERLINK("https://klasma.github.io/Logging_2303/knärot/A 62948-2021 karta knärot.png",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51911-2025</t>
        </is>
      </c>
      <c r="B360" s="1" t="n">
        <v>45952.46920138889</v>
      </c>
      <c r="C360" s="1" t="n">
        <v>46045</v>
      </c>
      <c r="D360" t="inlineStr">
        <is>
          <t>JÄMTLANDS LÄN</t>
        </is>
      </c>
      <c r="E360" t="inlineStr">
        <is>
          <t>BERG</t>
        </is>
      </c>
      <c r="F360" t="inlineStr">
        <is>
          <t>SCA</t>
        </is>
      </c>
      <c r="G360" t="n">
        <v>31.4</v>
      </c>
      <c r="H360" t="n">
        <v>0</v>
      </c>
      <c r="I360" t="n">
        <v>1</v>
      </c>
      <c r="J360" t="n">
        <v>6</v>
      </c>
      <c r="K360" t="n">
        <v>2</v>
      </c>
      <c r="L360" t="n">
        <v>0</v>
      </c>
      <c r="M360" t="n">
        <v>0</v>
      </c>
      <c r="N360" t="n">
        <v>0</v>
      </c>
      <c r="O360" t="n">
        <v>8</v>
      </c>
      <c r="P360" t="n">
        <v>2</v>
      </c>
      <c r="Q360" t="n">
        <v>9</v>
      </c>
      <c r="R360" s="2" t="inlineStr">
        <is>
          <t>Fläckporing
Gräddporing
Dvärgbägarlav
Kortskaftad ärgspik
Mörk kolflarnlav
Reliktbock
Vedflamlav
Vedskivlav
Dropptaggsvamp</t>
        </is>
      </c>
      <c r="S360">
        <f>HYPERLINK("https://klasma.github.io/Logging_2326/artfynd/A 51911-2025 artfynd.xlsx", "A 51911-2025")</f>
        <v/>
      </c>
      <c r="T360">
        <f>HYPERLINK("https://klasma.github.io/Logging_2326/kartor/A 51911-2025 karta.png", "A 51911-2025")</f>
        <v/>
      </c>
      <c r="V360">
        <f>HYPERLINK("https://klasma.github.io/Logging_2326/klagomål/A 51911-2025 FSC-klagomål.docx", "A 51911-2025")</f>
        <v/>
      </c>
      <c r="W360">
        <f>HYPERLINK("https://klasma.github.io/Logging_2326/klagomålsmail/A 51911-2025 FSC-klagomål mail.docx", "A 51911-2025")</f>
        <v/>
      </c>
      <c r="X360">
        <f>HYPERLINK("https://klasma.github.io/Logging_2326/tillsyn/A 51911-2025 tillsynsbegäran.docx", "A 51911-2025")</f>
        <v/>
      </c>
      <c r="Y360">
        <f>HYPERLINK("https://klasma.github.io/Logging_2326/tillsynsmail/A 51911-2025 tillsynsbegäran mail.docx", "A 51911-2025")</f>
        <v/>
      </c>
    </row>
    <row r="361" ht="15" customHeight="1">
      <c r="A361" t="inlineStr">
        <is>
          <t>A 25016-2025</t>
        </is>
      </c>
      <c r="B361" s="1" t="n">
        <v>45799.63574074074</v>
      </c>
      <c r="C361" s="1" t="n">
        <v>46045</v>
      </c>
      <c r="D361" t="inlineStr">
        <is>
          <t>JÄMTLANDS LÄN</t>
        </is>
      </c>
      <c r="E361" t="inlineStr">
        <is>
          <t>RAGUNDA</t>
        </is>
      </c>
      <c r="F361" t="inlineStr">
        <is>
          <t>SCA</t>
        </is>
      </c>
      <c r="G361" t="n">
        <v>17.9</v>
      </c>
      <c r="H361" t="n">
        <v>2</v>
      </c>
      <c r="I361" t="n">
        <v>3</v>
      </c>
      <c r="J361" t="n">
        <v>6</v>
      </c>
      <c r="K361" t="n">
        <v>0</v>
      </c>
      <c r="L361" t="n">
        <v>0</v>
      </c>
      <c r="M361" t="n">
        <v>0</v>
      </c>
      <c r="N361" t="n">
        <v>0</v>
      </c>
      <c r="O361" t="n">
        <v>6</v>
      </c>
      <c r="P361" t="n">
        <v>0</v>
      </c>
      <c r="Q361" t="n">
        <v>9</v>
      </c>
      <c r="R361" s="2" t="inlineStr">
        <is>
          <t>Garnlav
Granticka
Lunglav
Spillkråka
Tretåig hackspett
Ullticka
Bårdlav
Stuplav
Vedticka</t>
        </is>
      </c>
      <c r="S361">
        <f>HYPERLINK("https://klasma.github.io/Logging_2303/artfynd/A 25016-2025 artfynd.xlsx", "A 25016-2025")</f>
        <v/>
      </c>
      <c r="T361">
        <f>HYPERLINK("https://klasma.github.io/Logging_2303/kartor/A 25016-2025 karta.png", "A 25016-2025")</f>
        <v/>
      </c>
      <c r="V361">
        <f>HYPERLINK("https://klasma.github.io/Logging_2303/klagomål/A 25016-2025 FSC-klagomål.docx", "A 25016-2025")</f>
        <v/>
      </c>
      <c r="W361">
        <f>HYPERLINK("https://klasma.github.io/Logging_2303/klagomålsmail/A 25016-2025 FSC-klagomål mail.docx", "A 25016-2025")</f>
        <v/>
      </c>
      <c r="X361">
        <f>HYPERLINK("https://klasma.github.io/Logging_2303/tillsyn/A 25016-2025 tillsynsbegäran.docx", "A 25016-2025")</f>
        <v/>
      </c>
      <c r="Y361">
        <f>HYPERLINK("https://klasma.github.io/Logging_2303/tillsynsmail/A 25016-2025 tillsynsbegäran mail.docx", "A 25016-2025")</f>
        <v/>
      </c>
      <c r="Z361">
        <f>HYPERLINK("https://klasma.github.io/Logging_2303/fåglar/A 25016-2025 prioriterade fågelarter.docx", "A 25016-2025")</f>
        <v/>
      </c>
    </row>
    <row r="362" ht="15" customHeight="1">
      <c r="A362" t="inlineStr">
        <is>
          <t>A 24735-2025</t>
        </is>
      </c>
      <c r="B362" s="1" t="n">
        <v>45799.34461805555</v>
      </c>
      <c r="C362" s="1" t="n">
        <v>46045</v>
      </c>
      <c r="D362" t="inlineStr">
        <is>
          <t>JÄMTLANDS LÄN</t>
        </is>
      </c>
      <c r="E362" t="inlineStr">
        <is>
          <t>RAGUNDA</t>
        </is>
      </c>
      <c r="F362" t="inlineStr">
        <is>
          <t>SCA</t>
        </is>
      </c>
      <c r="G362" t="n">
        <v>7.1</v>
      </c>
      <c r="H362" t="n">
        <v>1</v>
      </c>
      <c r="I362" t="n">
        <v>4</v>
      </c>
      <c r="J362" t="n">
        <v>5</v>
      </c>
      <c r="K362" t="n">
        <v>0</v>
      </c>
      <c r="L362" t="n">
        <v>0</v>
      </c>
      <c r="M362" t="n">
        <v>0</v>
      </c>
      <c r="N362" t="n">
        <v>0</v>
      </c>
      <c r="O362" t="n">
        <v>5</v>
      </c>
      <c r="P362" t="n">
        <v>0</v>
      </c>
      <c r="Q362" t="n">
        <v>9</v>
      </c>
      <c r="R362" s="2" t="inlineStr">
        <is>
          <t>Garnlav
Lunglav
Mörk kolflarnlav
Tretåig hackspett
Ullticka
Bollvitmossa
Norrlandslav
Skinnlav
Stuplav</t>
        </is>
      </c>
      <c r="S362">
        <f>HYPERLINK("https://klasma.github.io/Logging_2303/artfynd/A 24735-2025 artfynd.xlsx", "A 24735-2025")</f>
        <v/>
      </c>
      <c r="T362">
        <f>HYPERLINK("https://klasma.github.io/Logging_2303/kartor/A 24735-2025 karta.png", "A 24735-2025")</f>
        <v/>
      </c>
      <c r="V362">
        <f>HYPERLINK("https://klasma.github.io/Logging_2303/klagomål/A 24735-2025 FSC-klagomål.docx", "A 24735-2025")</f>
        <v/>
      </c>
      <c r="W362">
        <f>HYPERLINK("https://klasma.github.io/Logging_2303/klagomålsmail/A 24735-2025 FSC-klagomål mail.docx", "A 24735-2025")</f>
        <v/>
      </c>
      <c r="X362">
        <f>HYPERLINK("https://klasma.github.io/Logging_2303/tillsyn/A 24735-2025 tillsynsbegäran.docx", "A 24735-2025")</f>
        <v/>
      </c>
      <c r="Y362">
        <f>HYPERLINK("https://klasma.github.io/Logging_2303/tillsynsmail/A 24735-2025 tillsynsbegäran mail.docx", "A 24735-2025")</f>
        <v/>
      </c>
      <c r="Z362">
        <f>HYPERLINK("https://klasma.github.io/Logging_2303/fåglar/A 24735-2025 prioriterade fågelarter.docx", "A 24735-2025")</f>
        <v/>
      </c>
    </row>
    <row r="363" ht="15" customHeight="1">
      <c r="A363" t="inlineStr">
        <is>
          <t>A 30876-2025</t>
        </is>
      </c>
      <c r="B363" s="1" t="n">
        <v>45832.34461805555</v>
      </c>
      <c r="C363" s="1" t="n">
        <v>46045</v>
      </c>
      <c r="D363" t="inlineStr">
        <is>
          <t>JÄMTLANDS LÄN</t>
        </is>
      </c>
      <c r="E363" t="inlineStr">
        <is>
          <t>RAGUNDA</t>
        </is>
      </c>
      <c r="F363" t="inlineStr">
        <is>
          <t>SCA</t>
        </is>
      </c>
      <c r="G363" t="n">
        <v>5.5</v>
      </c>
      <c r="H363" t="n">
        <v>6</v>
      </c>
      <c r="I363" t="n">
        <v>1</v>
      </c>
      <c r="J363" t="n">
        <v>5</v>
      </c>
      <c r="K363" t="n">
        <v>1</v>
      </c>
      <c r="L363" t="n">
        <v>0</v>
      </c>
      <c r="M363" t="n">
        <v>0</v>
      </c>
      <c r="N363" t="n">
        <v>0</v>
      </c>
      <c r="O363" t="n">
        <v>6</v>
      </c>
      <c r="P363" t="n">
        <v>1</v>
      </c>
      <c r="Q363" t="n">
        <v>9</v>
      </c>
      <c r="R363" s="2" t="inlineStr">
        <is>
          <t>Knärot
Järpe
Lunglav
Spillkråka
Tallticka
Tretåig hackspett
Kamjordstjärna
Tjäder
Nattviol</t>
        </is>
      </c>
      <c r="S363">
        <f>HYPERLINK("https://klasma.github.io/Logging_2303/artfynd/A 30876-2025 artfynd.xlsx", "A 30876-2025")</f>
        <v/>
      </c>
      <c r="T363">
        <f>HYPERLINK("https://klasma.github.io/Logging_2303/kartor/A 30876-2025 karta.png", "A 30876-2025")</f>
        <v/>
      </c>
      <c r="U363">
        <f>HYPERLINK("https://klasma.github.io/Logging_2303/knärot/A 30876-2025 karta knärot.png", "A 30876-2025")</f>
        <v/>
      </c>
      <c r="V363">
        <f>HYPERLINK("https://klasma.github.io/Logging_2303/klagomål/A 30876-2025 FSC-klagomål.docx", "A 30876-2025")</f>
        <v/>
      </c>
      <c r="W363">
        <f>HYPERLINK("https://klasma.github.io/Logging_2303/klagomålsmail/A 30876-2025 FSC-klagomål mail.docx", "A 30876-2025")</f>
        <v/>
      </c>
      <c r="X363">
        <f>HYPERLINK("https://klasma.github.io/Logging_2303/tillsyn/A 30876-2025 tillsynsbegäran.docx", "A 30876-2025")</f>
        <v/>
      </c>
      <c r="Y363">
        <f>HYPERLINK("https://klasma.github.io/Logging_2303/tillsynsmail/A 30876-2025 tillsynsbegäran mail.docx", "A 30876-2025")</f>
        <v/>
      </c>
      <c r="Z363">
        <f>HYPERLINK("https://klasma.github.io/Logging_2303/fåglar/A 30876-2025 prioriterade fågelarter.docx", "A 30876-2025")</f>
        <v/>
      </c>
    </row>
    <row r="364" ht="15" customHeight="1">
      <c r="A364" t="inlineStr">
        <is>
          <t>A 20809-2025</t>
        </is>
      </c>
      <c r="B364" s="1" t="n">
        <v>45776</v>
      </c>
      <c r="C364" s="1" t="n">
        <v>46045</v>
      </c>
      <c r="D364" t="inlineStr">
        <is>
          <t>JÄMTLANDS LÄN</t>
        </is>
      </c>
      <c r="E364" t="inlineStr">
        <is>
          <t>BERG</t>
        </is>
      </c>
      <c r="G364" t="n">
        <v>199.8</v>
      </c>
      <c r="H364" t="n">
        <v>1</v>
      </c>
      <c r="I364" t="n">
        <v>0</v>
      </c>
      <c r="J364" t="n">
        <v>9</v>
      </c>
      <c r="K364" t="n">
        <v>0</v>
      </c>
      <c r="L364" t="n">
        <v>0</v>
      </c>
      <c r="M364" t="n">
        <v>0</v>
      </c>
      <c r="N364" t="n">
        <v>0</v>
      </c>
      <c r="O364" t="n">
        <v>9</v>
      </c>
      <c r="P364" t="n">
        <v>0</v>
      </c>
      <c r="Q364" t="n">
        <v>9</v>
      </c>
      <c r="R364" s="2" t="inlineStr">
        <is>
          <t>Doftskinn
Garnlav
Granticka
Gränsticka
Knottrig blåslav
Lunglav
Skrovellav
Tretåig hackspett
Ullticka</t>
        </is>
      </c>
      <c r="S364">
        <f>HYPERLINK("https://klasma.github.io/Logging_2326/artfynd/A 20809-2025 artfynd.xlsx", "A 20809-2025")</f>
        <v/>
      </c>
      <c r="T364">
        <f>HYPERLINK("https://klasma.github.io/Logging_2326/kartor/A 20809-2025 karta.png", "A 20809-2025")</f>
        <v/>
      </c>
      <c r="V364">
        <f>HYPERLINK("https://klasma.github.io/Logging_2326/klagomål/A 20809-2025 FSC-klagomål.docx", "A 20809-2025")</f>
        <v/>
      </c>
      <c r="W364">
        <f>HYPERLINK("https://klasma.github.io/Logging_2326/klagomålsmail/A 20809-2025 FSC-klagomål mail.docx", "A 20809-2025")</f>
        <v/>
      </c>
      <c r="X364">
        <f>HYPERLINK("https://klasma.github.io/Logging_2326/tillsyn/A 20809-2025 tillsynsbegäran.docx", "A 20809-2025")</f>
        <v/>
      </c>
      <c r="Y364">
        <f>HYPERLINK("https://klasma.github.io/Logging_2326/tillsynsmail/A 20809-2025 tillsynsbegäran mail.docx", "A 20809-2025")</f>
        <v/>
      </c>
      <c r="Z364">
        <f>HYPERLINK("https://klasma.github.io/Logging_2326/fåglar/A 20809-2025 prioriterade fågelarter.docx", "A 20809-2025")</f>
        <v/>
      </c>
    </row>
    <row r="365" ht="15" customHeight="1">
      <c r="A365" t="inlineStr">
        <is>
          <t>A 58876-2025</t>
        </is>
      </c>
      <c r="B365" s="1" t="n">
        <v>45987.46929398148</v>
      </c>
      <c r="C365" s="1" t="n">
        <v>46045</v>
      </c>
      <c r="D365" t="inlineStr">
        <is>
          <t>JÄMTLANDS LÄN</t>
        </is>
      </c>
      <c r="E365" t="inlineStr">
        <is>
          <t>RAGUNDA</t>
        </is>
      </c>
      <c r="F365" t="inlineStr">
        <is>
          <t>SCA</t>
        </is>
      </c>
      <c r="G365" t="n">
        <v>6.3</v>
      </c>
      <c r="H365" t="n">
        <v>2</v>
      </c>
      <c r="I365" t="n">
        <v>0</v>
      </c>
      <c r="J365" t="n">
        <v>7</v>
      </c>
      <c r="K365" t="n">
        <v>1</v>
      </c>
      <c r="L365" t="n">
        <v>0</v>
      </c>
      <c r="M365" t="n">
        <v>0</v>
      </c>
      <c r="N365" t="n">
        <v>0</v>
      </c>
      <c r="O365" t="n">
        <v>8</v>
      </c>
      <c r="P365" t="n">
        <v>1</v>
      </c>
      <c r="Q365" t="n">
        <v>9</v>
      </c>
      <c r="R365" s="2" t="inlineStr">
        <is>
          <t>Knärot
Gammelgransskål
Garnlav
Granticka
Lunglav
Rosenticka
Ullticka
Vitgrynig nållav
Fläcknycklar</t>
        </is>
      </c>
      <c r="S365">
        <f>HYPERLINK("https://klasma.github.io/Logging_2303/artfynd/A 58876-2025 artfynd.xlsx", "A 58876-2025")</f>
        <v/>
      </c>
      <c r="T365">
        <f>HYPERLINK("https://klasma.github.io/Logging_2303/kartor/A 58876-2025 karta.png", "A 58876-2025")</f>
        <v/>
      </c>
      <c r="U365">
        <f>HYPERLINK("https://klasma.github.io/Logging_2303/knärot/A 58876-2025 karta knärot.png", "A 58876-2025")</f>
        <v/>
      </c>
      <c r="V365">
        <f>HYPERLINK("https://klasma.github.io/Logging_2303/klagomål/A 58876-2025 FSC-klagomål.docx", "A 58876-2025")</f>
        <v/>
      </c>
      <c r="W365">
        <f>HYPERLINK("https://klasma.github.io/Logging_2303/klagomålsmail/A 58876-2025 FSC-klagomål mail.docx", "A 58876-2025")</f>
        <v/>
      </c>
      <c r="X365">
        <f>HYPERLINK("https://klasma.github.io/Logging_2303/tillsyn/A 58876-2025 tillsynsbegäran.docx", "A 58876-2025")</f>
        <v/>
      </c>
      <c r="Y365">
        <f>HYPERLINK("https://klasma.github.io/Logging_2303/tillsynsmail/A 58876-2025 tillsynsbegäran mail.docx", "A 58876-2025")</f>
        <v/>
      </c>
    </row>
    <row r="366" ht="15" customHeight="1">
      <c r="A366" t="inlineStr">
        <is>
          <t>A 7483-2023</t>
        </is>
      </c>
      <c r="B366" s="1" t="n">
        <v>44966</v>
      </c>
      <c r="C366" s="1" t="n">
        <v>46045</v>
      </c>
      <c r="D366" t="inlineStr">
        <is>
          <t>JÄMTLANDS LÄN</t>
        </is>
      </c>
      <c r="E366" t="inlineStr">
        <is>
          <t>BERG</t>
        </is>
      </c>
      <c r="G366" t="n">
        <v>20.1</v>
      </c>
      <c r="H366" t="n">
        <v>1</v>
      </c>
      <c r="I366" t="n">
        <v>4</v>
      </c>
      <c r="J366" t="n">
        <v>4</v>
      </c>
      <c r="K366" t="n">
        <v>1</v>
      </c>
      <c r="L366" t="n">
        <v>0</v>
      </c>
      <c r="M366" t="n">
        <v>0</v>
      </c>
      <c r="N366" t="n">
        <v>0</v>
      </c>
      <c r="O366" t="n">
        <v>5</v>
      </c>
      <c r="P366" t="n">
        <v>1</v>
      </c>
      <c r="Q366" t="n">
        <v>9</v>
      </c>
      <c r="R366" s="2" t="inlineStr">
        <is>
          <t>Doftticka
Kortskaftad ärgspik
Lunglav
Skrovellav
Ullticka
Gytterlav
Luddlav
Skinnlav
Stuplav</t>
        </is>
      </c>
      <c r="S366">
        <f>HYPERLINK("https://klasma.github.io/Logging_2326/artfynd/A 7483-2023 artfynd.xlsx", "A 7483-2023")</f>
        <v/>
      </c>
      <c r="T366">
        <f>HYPERLINK("https://klasma.github.io/Logging_2326/kartor/A 7483-2023 karta.png", "A 7483-2023")</f>
        <v/>
      </c>
      <c r="V366">
        <f>HYPERLINK("https://klasma.github.io/Logging_2326/klagomål/A 7483-2023 FSC-klagomål.docx", "A 7483-2023")</f>
        <v/>
      </c>
      <c r="W366">
        <f>HYPERLINK("https://klasma.github.io/Logging_2326/klagomålsmail/A 7483-2023 FSC-klagomål mail.docx", "A 7483-2023")</f>
        <v/>
      </c>
      <c r="X366">
        <f>HYPERLINK("https://klasma.github.io/Logging_2326/tillsyn/A 7483-2023 tillsynsbegäran.docx", "A 7483-2023")</f>
        <v/>
      </c>
      <c r="Y366">
        <f>HYPERLINK("https://klasma.github.io/Logging_2326/tillsynsmail/A 7483-2023 tillsynsbegäran mail.docx", "A 7483-2023")</f>
        <v/>
      </c>
    </row>
    <row r="367" ht="15" customHeight="1">
      <c r="A367" t="inlineStr">
        <is>
          <t>A 59052-2025</t>
        </is>
      </c>
      <c r="B367" s="1" t="n">
        <v>45988.38635416667</v>
      </c>
      <c r="C367" s="1" t="n">
        <v>46045</v>
      </c>
      <c r="D367" t="inlineStr">
        <is>
          <t>JÄMTLANDS LÄN</t>
        </is>
      </c>
      <c r="E367" t="inlineStr">
        <is>
          <t>BRÄCKE</t>
        </is>
      </c>
      <c r="F367" t="inlineStr">
        <is>
          <t>SCA</t>
        </is>
      </c>
      <c r="G367" t="n">
        <v>5.4</v>
      </c>
      <c r="H367" t="n">
        <v>2</v>
      </c>
      <c r="I367" t="n">
        <v>1</v>
      </c>
      <c r="J367" t="n">
        <v>7</v>
      </c>
      <c r="K367" t="n">
        <v>1</v>
      </c>
      <c r="L367" t="n">
        <v>0</v>
      </c>
      <c r="M367" t="n">
        <v>0</v>
      </c>
      <c r="N367" t="n">
        <v>0</v>
      </c>
      <c r="O367" t="n">
        <v>8</v>
      </c>
      <c r="P367" t="n">
        <v>1</v>
      </c>
      <c r="Q367" t="n">
        <v>9</v>
      </c>
      <c r="R367" s="2" t="inlineStr">
        <is>
          <t>Aspgelélav
Garnlav
Kolflarnlav
Lunglav
Mörk kolflarnlav
Nordtagging
Talltita
Tretåig hackspett
Stor aspticka</t>
        </is>
      </c>
      <c r="S367">
        <f>HYPERLINK("https://klasma.github.io/Logging_2305/artfynd/A 59052-2025 artfynd.xlsx", "A 59052-2025")</f>
        <v/>
      </c>
      <c r="T367">
        <f>HYPERLINK("https://klasma.github.io/Logging_2305/kartor/A 59052-2025 karta.png", "A 59052-2025")</f>
        <v/>
      </c>
      <c r="V367">
        <f>HYPERLINK("https://klasma.github.io/Logging_2305/klagomål/A 59052-2025 FSC-klagomål.docx", "A 59052-2025")</f>
        <v/>
      </c>
      <c r="W367">
        <f>HYPERLINK("https://klasma.github.io/Logging_2305/klagomålsmail/A 59052-2025 FSC-klagomål mail.docx", "A 59052-2025")</f>
        <v/>
      </c>
      <c r="X367">
        <f>HYPERLINK("https://klasma.github.io/Logging_2305/tillsyn/A 59052-2025 tillsynsbegäran.docx", "A 59052-2025")</f>
        <v/>
      </c>
      <c r="Y367">
        <f>HYPERLINK("https://klasma.github.io/Logging_2305/tillsynsmail/A 59052-2025 tillsynsbegäran mail.docx", "A 59052-2025")</f>
        <v/>
      </c>
      <c r="Z367">
        <f>HYPERLINK("https://klasma.github.io/Logging_2305/fåglar/A 59052-2025 prioriterade fågelarter.docx", "A 59052-2025")</f>
        <v/>
      </c>
    </row>
    <row r="368" ht="15" customHeight="1">
      <c r="A368" t="inlineStr">
        <is>
          <t>A 56137-2025</t>
        </is>
      </c>
      <c r="B368" s="1" t="n">
        <v>45974</v>
      </c>
      <c r="C368" s="1" t="n">
        <v>46045</v>
      </c>
      <c r="D368" t="inlineStr">
        <is>
          <t>JÄMTLANDS LÄN</t>
        </is>
      </c>
      <c r="E368" t="inlineStr">
        <is>
          <t>STRÖMSUND</t>
        </is>
      </c>
      <c r="F368" t="inlineStr">
        <is>
          <t>Holmen skog AB</t>
        </is>
      </c>
      <c r="G368" t="n">
        <v>3.3</v>
      </c>
      <c r="H368" t="n">
        <v>3</v>
      </c>
      <c r="I368" t="n">
        <v>0</v>
      </c>
      <c r="J368" t="n">
        <v>7</v>
      </c>
      <c r="K368" t="n">
        <v>1</v>
      </c>
      <c r="L368" t="n">
        <v>0</v>
      </c>
      <c r="M368" t="n">
        <v>0</v>
      </c>
      <c r="N368" t="n">
        <v>0</v>
      </c>
      <c r="O368" t="n">
        <v>8</v>
      </c>
      <c r="P368" t="n">
        <v>1</v>
      </c>
      <c r="Q368" t="n">
        <v>9</v>
      </c>
      <c r="R368" s="2" t="inlineStr">
        <is>
          <t>Knärot
Garnlav
Harticka
Liten svartspik
Spillkråka
Ullticka
Vedskivlav
Vedtrappmossa
Lavskrika</t>
        </is>
      </c>
      <c r="S368">
        <f>HYPERLINK("https://klasma.github.io/Logging_2313/artfynd/A 56137-2025 artfynd.xlsx", "A 56137-2025")</f>
        <v/>
      </c>
      <c r="T368">
        <f>HYPERLINK("https://klasma.github.io/Logging_2313/kartor/A 56137-2025 karta.png", "A 56137-2025")</f>
        <v/>
      </c>
      <c r="U368">
        <f>HYPERLINK("https://klasma.github.io/Logging_2313/knärot/A 56137-2025 karta knärot.png", "A 56137-2025")</f>
        <v/>
      </c>
      <c r="V368">
        <f>HYPERLINK("https://klasma.github.io/Logging_2313/klagomål/A 56137-2025 FSC-klagomål.docx", "A 56137-2025")</f>
        <v/>
      </c>
      <c r="W368">
        <f>HYPERLINK("https://klasma.github.io/Logging_2313/klagomålsmail/A 56137-2025 FSC-klagomål mail.docx", "A 56137-2025")</f>
        <v/>
      </c>
      <c r="X368">
        <f>HYPERLINK("https://klasma.github.io/Logging_2313/tillsyn/A 56137-2025 tillsynsbegäran.docx", "A 56137-2025")</f>
        <v/>
      </c>
      <c r="Y368">
        <f>HYPERLINK("https://klasma.github.io/Logging_2313/tillsynsmail/A 56137-2025 tillsynsbegäran mail.docx", "A 56137-2025")</f>
        <v/>
      </c>
      <c r="Z368">
        <f>HYPERLINK("https://klasma.github.io/Logging_2313/fåglar/A 56137-2025 prioriterade fågelarter.docx", "A 56137-2025")</f>
        <v/>
      </c>
    </row>
    <row r="369" ht="15" customHeight="1">
      <c r="A369" t="inlineStr">
        <is>
          <t>A 34747-2025</t>
        </is>
      </c>
      <c r="B369" s="1" t="n">
        <v>45848.61520833334</v>
      </c>
      <c r="C369" s="1" t="n">
        <v>46045</v>
      </c>
      <c r="D369" t="inlineStr">
        <is>
          <t>JÄMTLANDS LÄN</t>
        </is>
      </c>
      <c r="E369" t="inlineStr">
        <is>
          <t>BRÄCKE</t>
        </is>
      </c>
      <c r="G369" t="n">
        <v>2</v>
      </c>
      <c r="H369" t="n">
        <v>1</v>
      </c>
      <c r="I369" t="n">
        <v>1</v>
      </c>
      <c r="J369" t="n">
        <v>7</v>
      </c>
      <c r="K369" t="n">
        <v>1</v>
      </c>
      <c r="L369" t="n">
        <v>0</v>
      </c>
      <c r="M369" t="n">
        <v>0</v>
      </c>
      <c r="N369" t="n">
        <v>0</v>
      </c>
      <c r="O369" t="n">
        <v>8</v>
      </c>
      <c r="P369" t="n">
        <v>1</v>
      </c>
      <c r="Q369" t="n">
        <v>9</v>
      </c>
      <c r="R369" s="2" t="inlineStr">
        <is>
          <t>Gräddporing
Dvärgbägarlav
Garnlav
Lunglav
Orange taggsvamp
Skrovellav
Talltita
Vedflamlav
Dropptaggsvamp</t>
        </is>
      </c>
      <c r="S369">
        <f>HYPERLINK("https://klasma.github.io/Logging_2305/artfynd/A 34747-2025 artfynd.xlsx", "A 34747-2025")</f>
        <v/>
      </c>
      <c r="T369">
        <f>HYPERLINK("https://klasma.github.io/Logging_2305/kartor/A 34747-2025 karta.png", "A 34747-2025")</f>
        <v/>
      </c>
      <c r="V369">
        <f>HYPERLINK("https://klasma.github.io/Logging_2305/klagomål/A 34747-2025 FSC-klagomål.docx", "A 34747-2025")</f>
        <v/>
      </c>
      <c r="W369">
        <f>HYPERLINK("https://klasma.github.io/Logging_2305/klagomålsmail/A 34747-2025 FSC-klagomål mail.docx", "A 34747-2025")</f>
        <v/>
      </c>
      <c r="X369">
        <f>HYPERLINK("https://klasma.github.io/Logging_2305/tillsyn/A 34747-2025 tillsynsbegäran.docx", "A 34747-2025")</f>
        <v/>
      </c>
      <c r="Y369">
        <f>HYPERLINK("https://klasma.github.io/Logging_2305/tillsynsmail/A 34747-2025 tillsynsbegäran mail.docx", "A 34747-2025")</f>
        <v/>
      </c>
      <c r="Z369">
        <f>HYPERLINK("https://klasma.github.io/Logging_2305/fåglar/A 34747-2025 prioriterade fågelarter.docx", "A 34747-2025")</f>
        <v/>
      </c>
    </row>
    <row r="370" ht="15" customHeight="1">
      <c r="A370" t="inlineStr">
        <is>
          <t>A 51908-2025</t>
        </is>
      </c>
      <c r="B370" s="1" t="n">
        <v>45952.46650462963</v>
      </c>
      <c r="C370" s="1" t="n">
        <v>46045</v>
      </c>
      <c r="D370" t="inlineStr">
        <is>
          <t>JÄMTLANDS LÄN</t>
        </is>
      </c>
      <c r="E370" t="inlineStr">
        <is>
          <t>ÖSTERSUND</t>
        </is>
      </c>
      <c r="G370" t="n">
        <v>14.4</v>
      </c>
      <c r="H370" t="n">
        <v>5</v>
      </c>
      <c r="I370" t="n">
        <v>1</v>
      </c>
      <c r="J370" t="n">
        <v>4</v>
      </c>
      <c r="K370" t="n">
        <v>1</v>
      </c>
      <c r="L370" t="n">
        <v>0</v>
      </c>
      <c r="M370" t="n">
        <v>0</v>
      </c>
      <c r="N370" t="n">
        <v>0</v>
      </c>
      <c r="O370" t="n">
        <v>5</v>
      </c>
      <c r="P370" t="n">
        <v>1</v>
      </c>
      <c r="Q370" t="n">
        <v>9</v>
      </c>
      <c r="R370" s="2" t="inlineStr">
        <is>
          <t>Knärot
Garnlav
Lunglav
Talltita
Ullticka
Stuplav
Kungsfågel
Blåsippa
Revlummer</t>
        </is>
      </c>
      <c r="S370">
        <f>HYPERLINK("https://klasma.github.io/Logging_2380/artfynd/A 51908-2025 artfynd.xlsx", "A 51908-2025")</f>
        <v/>
      </c>
      <c r="T370">
        <f>HYPERLINK("https://klasma.github.io/Logging_2380/kartor/A 51908-2025 karta.png", "A 51908-2025")</f>
        <v/>
      </c>
      <c r="U370">
        <f>HYPERLINK("https://klasma.github.io/Logging_2380/knärot/A 51908-2025 karta knärot.png", "A 51908-2025")</f>
        <v/>
      </c>
      <c r="V370">
        <f>HYPERLINK("https://klasma.github.io/Logging_2380/klagomål/A 51908-2025 FSC-klagomål.docx", "A 51908-2025")</f>
        <v/>
      </c>
      <c r="W370">
        <f>HYPERLINK("https://klasma.github.io/Logging_2380/klagomålsmail/A 51908-2025 FSC-klagomål mail.docx", "A 51908-2025")</f>
        <v/>
      </c>
      <c r="X370">
        <f>HYPERLINK("https://klasma.github.io/Logging_2380/tillsyn/A 51908-2025 tillsynsbegäran.docx", "A 51908-2025")</f>
        <v/>
      </c>
      <c r="Y370">
        <f>HYPERLINK("https://klasma.github.io/Logging_2380/tillsynsmail/A 51908-2025 tillsynsbegäran mail.docx", "A 51908-2025")</f>
        <v/>
      </c>
      <c r="Z370">
        <f>HYPERLINK("https://klasma.github.io/Logging_2380/fåglar/A 51908-2025 prioriterade fågelarter.docx", "A 51908-2025")</f>
        <v/>
      </c>
    </row>
    <row r="371" ht="15" customHeight="1">
      <c r="A371" t="inlineStr">
        <is>
          <t>A 35959-2025</t>
        </is>
      </c>
      <c r="B371" s="1" t="n">
        <v>45863.34436342592</v>
      </c>
      <c r="C371" s="1" t="n">
        <v>46045</v>
      </c>
      <c r="D371" t="inlineStr">
        <is>
          <t>JÄMTLANDS LÄN</t>
        </is>
      </c>
      <c r="E371" t="inlineStr">
        <is>
          <t>STRÖMSUND</t>
        </is>
      </c>
      <c r="F371" t="inlineStr">
        <is>
          <t>SCA</t>
        </is>
      </c>
      <c r="G371" t="n">
        <v>3</v>
      </c>
      <c r="H371" t="n">
        <v>5</v>
      </c>
      <c r="I371" t="n">
        <v>2</v>
      </c>
      <c r="J371" t="n">
        <v>5</v>
      </c>
      <c r="K371" t="n">
        <v>0</v>
      </c>
      <c r="L371" t="n">
        <v>0</v>
      </c>
      <c r="M371" t="n">
        <v>0</v>
      </c>
      <c r="N371" t="n">
        <v>0</v>
      </c>
      <c r="O371" t="n">
        <v>5</v>
      </c>
      <c r="P371" t="n">
        <v>0</v>
      </c>
      <c r="Q371" t="n">
        <v>9</v>
      </c>
      <c r="R371" s="2" t="inlineStr">
        <is>
          <t>Gammelgransskål
Garnlav
Kolflarnlav
Talltita
Tretåig hackspett
Dropptaggsvamp
Spindelblomster
Fläcknycklar
Revlummer</t>
        </is>
      </c>
      <c r="S371">
        <f>HYPERLINK("https://klasma.github.io/Logging_2313/artfynd/A 35959-2025 artfynd.xlsx", "A 35959-2025")</f>
        <v/>
      </c>
      <c r="T371">
        <f>HYPERLINK("https://klasma.github.io/Logging_2313/kartor/A 35959-2025 karta.png", "A 35959-2025")</f>
        <v/>
      </c>
      <c r="V371">
        <f>HYPERLINK("https://klasma.github.io/Logging_2313/klagomål/A 35959-2025 FSC-klagomål.docx", "A 35959-2025")</f>
        <v/>
      </c>
      <c r="W371">
        <f>HYPERLINK("https://klasma.github.io/Logging_2313/klagomålsmail/A 35959-2025 FSC-klagomål mail.docx", "A 35959-2025")</f>
        <v/>
      </c>
      <c r="X371">
        <f>HYPERLINK("https://klasma.github.io/Logging_2313/tillsyn/A 35959-2025 tillsynsbegäran.docx", "A 35959-2025")</f>
        <v/>
      </c>
      <c r="Y371">
        <f>HYPERLINK("https://klasma.github.io/Logging_2313/tillsynsmail/A 35959-2025 tillsynsbegäran mail.docx", "A 35959-2025")</f>
        <v/>
      </c>
      <c r="Z371">
        <f>HYPERLINK("https://klasma.github.io/Logging_2313/fåglar/A 35959-2025 prioriterade fågelarter.docx", "A 35959-2025")</f>
        <v/>
      </c>
    </row>
    <row r="372" ht="15" customHeight="1">
      <c r="A372" t="inlineStr">
        <is>
          <t>A 27634-2025</t>
        </is>
      </c>
      <c r="B372" s="1" t="n">
        <v>45813</v>
      </c>
      <c r="C372" s="1" t="n">
        <v>46045</v>
      </c>
      <c r="D372" t="inlineStr">
        <is>
          <t>JÄMTLANDS LÄN</t>
        </is>
      </c>
      <c r="E372" t="inlineStr">
        <is>
          <t>ÅRE</t>
        </is>
      </c>
      <c r="G372" t="n">
        <v>8.1</v>
      </c>
      <c r="H372" t="n">
        <v>5</v>
      </c>
      <c r="I372" t="n">
        <v>1</v>
      </c>
      <c r="J372" t="n">
        <v>5</v>
      </c>
      <c r="K372" t="n">
        <v>1</v>
      </c>
      <c r="L372" t="n">
        <v>1</v>
      </c>
      <c r="M372" t="n">
        <v>0</v>
      </c>
      <c r="N372" t="n">
        <v>0</v>
      </c>
      <c r="O372" t="n">
        <v>7</v>
      </c>
      <c r="P372" t="n">
        <v>2</v>
      </c>
      <c r="Q372" t="n">
        <v>9</v>
      </c>
      <c r="R372" s="2" t="inlineStr">
        <is>
          <t>Grönfink
Rynkskinn
Doftskinn
Kråka
Skogshare
Talltita
Tretåig hackspett
Ögonpyrola
Kungsfågel</t>
        </is>
      </c>
      <c r="S372">
        <f>HYPERLINK("https://klasma.github.io/Logging_2321/artfynd/A 27634-2025 artfynd.xlsx", "A 27634-2025")</f>
        <v/>
      </c>
      <c r="T372">
        <f>HYPERLINK("https://klasma.github.io/Logging_2321/kartor/A 27634-2025 karta.png", "A 27634-2025")</f>
        <v/>
      </c>
      <c r="V372">
        <f>HYPERLINK("https://klasma.github.io/Logging_2321/klagomål/A 27634-2025 FSC-klagomål.docx", "A 27634-2025")</f>
        <v/>
      </c>
      <c r="W372">
        <f>HYPERLINK("https://klasma.github.io/Logging_2321/klagomålsmail/A 27634-2025 FSC-klagomål mail.docx", "A 27634-2025")</f>
        <v/>
      </c>
      <c r="X372">
        <f>HYPERLINK("https://klasma.github.io/Logging_2321/tillsyn/A 27634-2025 tillsynsbegäran.docx", "A 27634-2025")</f>
        <v/>
      </c>
      <c r="Y372">
        <f>HYPERLINK("https://klasma.github.io/Logging_2321/tillsynsmail/A 27634-2025 tillsynsbegäran mail.docx", "A 27634-2025")</f>
        <v/>
      </c>
      <c r="Z372">
        <f>HYPERLINK("https://klasma.github.io/Logging_2321/fåglar/A 27634-2025 prioriterade fågelarter.docx", "A 27634-2025")</f>
        <v/>
      </c>
    </row>
    <row r="373" ht="15" customHeight="1">
      <c r="A373" t="inlineStr">
        <is>
          <t>A 46038-2024</t>
        </is>
      </c>
      <c r="B373" s="1" t="n">
        <v>45580</v>
      </c>
      <c r="C373" s="1" t="n">
        <v>46045</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42393-2025</t>
        </is>
      </c>
      <c r="B374" s="1" t="n">
        <v>45905</v>
      </c>
      <c r="C374" s="1" t="n">
        <v>46045</v>
      </c>
      <c r="D374" t="inlineStr">
        <is>
          <t>JÄMTLANDS LÄN</t>
        </is>
      </c>
      <c r="E374" t="inlineStr">
        <is>
          <t>RAGUNDA</t>
        </is>
      </c>
      <c r="G374" t="n">
        <v>8.800000000000001</v>
      </c>
      <c r="H374" t="n">
        <v>6</v>
      </c>
      <c r="I374" t="n">
        <v>0</v>
      </c>
      <c r="J374" t="n">
        <v>4</v>
      </c>
      <c r="K374" t="n">
        <v>2</v>
      </c>
      <c r="L374" t="n">
        <v>0</v>
      </c>
      <c r="M374" t="n">
        <v>0</v>
      </c>
      <c r="N374" t="n">
        <v>0</v>
      </c>
      <c r="O374" t="n">
        <v>6</v>
      </c>
      <c r="P374" t="n">
        <v>2</v>
      </c>
      <c r="Q374" t="n">
        <v>9</v>
      </c>
      <c r="R374" s="2" t="inlineStr">
        <is>
          <t>Doftticka
Knärot
Garnlav
Lunglav
Tallticka
Tretåig hackspett
Lavskrika
Fläcknycklar
Blåsippa</t>
        </is>
      </c>
      <c r="S374">
        <f>HYPERLINK("https://klasma.github.io/Logging_2303/artfynd/A 42393-2025 artfynd.xlsx", "A 42393-2025")</f>
        <v/>
      </c>
      <c r="T374">
        <f>HYPERLINK("https://klasma.github.io/Logging_2303/kartor/A 42393-2025 karta.png", "A 42393-2025")</f>
        <v/>
      </c>
      <c r="U374">
        <f>HYPERLINK("https://klasma.github.io/Logging_2303/knärot/A 42393-2025 karta knärot.png", "A 42393-2025")</f>
        <v/>
      </c>
      <c r="V374">
        <f>HYPERLINK("https://klasma.github.io/Logging_2303/klagomål/A 42393-2025 FSC-klagomål.docx", "A 42393-2025")</f>
        <v/>
      </c>
      <c r="W374">
        <f>HYPERLINK("https://klasma.github.io/Logging_2303/klagomålsmail/A 42393-2025 FSC-klagomål mail.docx", "A 42393-2025")</f>
        <v/>
      </c>
      <c r="X374">
        <f>HYPERLINK("https://klasma.github.io/Logging_2303/tillsyn/A 42393-2025 tillsynsbegäran.docx", "A 42393-2025")</f>
        <v/>
      </c>
      <c r="Y374">
        <f>HYPERLINK("https://klasma.github.io/Logging_2303/tillsynsmail/A 42393-2025 tillsynsbegäran mail.docx", "A 42393-2025")</f>
        <v/>
      </c>
      <c r="Z374">
        <f>HYPERLINK("https://klasma.github.io/Logging_2303/fåglar/A 42393-2025 prioriterade fågelarter.docx", "A 42393-2025")</f>
        <v/>
      </c>
    </row>
    <row r="375" ht="15" customHeight="1">
      <c r="A375" t="inlineStr">
        <is>
          <t>A 27907-2024</t>
        </is>
      </c>
      <c r="B375" s="1" t="n">
        <v>45475.94597222222</v>
      </c>
      <c r="C375" s="1" t="n">
        <v>46045</v>
      </c>
      <c r="D375" t="inlineStr">
        <is>
          <t>JÄMTLANDS LÄN</t>
        </is>
      </c>
      <c r="E375" t="inlineStr">
        <is>
          <t>ÖSTERSUND</t>
        </is>
      </c>
      <c r="F375" t="inlineStr">
        <is>
          <t>SCA</t>
        </is>
      </c>
      <c r="G375" t="n">
        <v>12.7</v>
      </c>
      <c r="H375" t="n">
        <v>0</v>
      </c>
      <c r="I375" t="n">
        <v>1</v>
      </c>
      <c r="J375" t="n">
        <v>6</v>
      </c>
      <c r="K375" t="n">
        <v>2</v>
      </c>
      <c r="L375" t="n">
        <v>0</v>
      </c>
      <c r="M375" t="n">
        <v>0</v>
      </c>
      <c r="N375" t="n">
        <v>0</v>
      </c>
      <c r="O375" t="n">
        <v>8</v>
      </c>
      <c r="P375" t="n">
        <v>2</v>
      </c>
      <c r="Q375" t="n">
        <v>9</v>
      </c>
      <c r="R375" s="2" t="inlineStr">
        <is>
          <t>Goliatmusseron
Jättemusseron
Blå taggsvamp
Dvärgbägarlav
Orange taggsvamp
Skrovlig taggsvamp
Svart taggsvamp
Vedflamlav
Skarp dropptaggsvamp</t>
        </is>
      </c>
      <c r="S375">
        <f>HYPERLINK("https://klasma.github.io/Logging_2380/artfynd/A 27907-2024 artfynd.xlsx", "A 27907-2024")</f>
        <v/>
      </c>
      <c r="T375">
        <f>HYPERLINK("https://klasma.github.io/Logging_2380/kartor/A 27907-2024 karta.png", "A 27907-2024")</f>
        <v/>
      </c>
      <c r="V375">
        <f>HYPERLINK("https://klasma.github.io/Logging_2380/klagomål/A 27907-2024 FSC-klagomål.docx", "A 27907-2024")</f>
        <v/>
      </c>
      <c r="W375">
        <f>HYPERLINK("https://klasma.github.io/Logging_2380/klagomålsmail/A 27907-2024 FSC-klagomål mail.docx", "A 27907-2024")</f>
        <v/>
      </c>
      <c r="X375">
        <f>HYPERLINK("https://klasma.github.io/Logging_2380/tillsyn/A 27907-2024 tillsynsbegäran.docx", "A 27907-2024")</f>
        <v/>
      </c>
      <c r="Y375">
        <f>HYPERLINK("https://klasma.github.io/Logging_2380/tillsynsmail/A 27907-2024 tillsynsbegäran mail.docx", "A 27907-2024")</f>
        <v/>
      </c>
    </row>
    <row r="376" ht="15" customHeight="1">
      <c r="A376" t="inlineStr">
        <is>
          <t>A 18948-2023</t>
        </is>
      </c>
      <c r="B376" s="1" t="n">
        <v>45043</v>
      </c>
      <c r="C376" s="1" t="n">
        <v>46045</v>
      </c>
      <c r="D376" t="inlineStr">
        <is>
          <t>JÄMTLANDS LÄN</t>
        </is>
      </c>
      <c r="E376" t="inlineStr">
        <is>
          <t>STRÖMSUND</t>
        </is>
      </c>
      <c r="G376" t="n">
        <v>24.9</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32068-2024</t>
        </is>
      </c>
      <c r="B377" s="1" t="n">
        <v>45510</v>
      </c>
      <c r="C377" s="1" t="n">
        <v>46045</v>
      </c>
      <c r="D377" t="inlineStr">
        <is>
          <t>JÄMTLANDS LÄN</t>
        </is>
      </c>
      <c r="E377" t="inlineStr">
        <is>
          <t>RAGUNDA</t>
        </is>
      </c>
      <c r="F377" t="inlineStr">
        <is>
          <t>SCA</t>
        </is>
      </c>
      <c r="G377" t="n">
        <v>5.2</v>
      </c>
      <c r="H377" t="n">
        <v>2</v>
      </c>
      <c r="I377" t="n">
        <v>2</v>
      </c>
      <c r="J377" t="n">
        <v>6</v>
      </c>
      <c r="K377" t="n">
        <v>1</v>
      </c>
      <c r="L377" t="n">
        <v>0</v>
      </c>
      <c r="M377" t="n">
        <v>0</v>
      </c>
      <c r="N377" t="n">
        <v>0</v>
      </c>
      <c r="O377" t="n">
        <v>7</v>
      </c>
      <c r="P377" t="n">
        <v>1</v>
      </c>
      <c r="Q377" t="n">
        <v>9</v>
      </c>
      <c r="R377" s="2" t="inlineStr">
        <is>
          <t>Knärot
Garnlav
Gränsticka
Kolflarnlav
Lunglav
Vedflikmossa
Vedtrappmossa
Plattlummer
Stor aspticka</t>
        </is>
      </c>
      <c r="S377">
        <f>HYPERLINK("https://klasma.github.io/Logging_2303/artfynd/A 32068-2024 artfynd.xlsx", "A 32068-2024")</f>
        <v/>
      </c>
      <c r="T377">
        <f>HYPERLINK("https://klasma.github.io/Logging_2303/kartor/A 32068-2024 karta.png", "A 32068-2024")</f>
        <v/>
      </c>
      <c r="U377">
        <f>HYPERLINK("https://klasma.github.io/Logging_2303/knärot/A 32068-2024 karta knärot.png", "A 32068-2024")</f>
        <v/>
      </c>
      <c r="V377">
        <f>HYPERLINK("https://klasma.github.io/Logging_2303/klagomål/A 32068-2024 FSC-klagomål.docx", "A 32068-2024")</f>
        <v/>
      </c>
      <c r="W377">
        <f>HYPERLINK("https://klasma.github.io/Logging_2303/klagomålsmail/A 32068-2024 FSC-klagomål mail.docx", "A 32068-2024")</f>
        <v/>
      </c>
      <c r="X377">
        <f>HYPERLINK("https://klasma.github.io/Logging_2303/tillsyn/A 32068-2024 tillsynsbegäran.docx", "A 32068-2024")</f>
        <v/>
      </c>
      <c r="Y377">
        <f>HYPERLINK("https://klasma.github.io/Logging_2303/tillsynsmail/A 32068-2024 tillsynsbegäran mail.docx", "A 32068-2024")</f>
        <v/>
      </c>
    </row>
    <row r="378" ht="15" customHeight="1">
      <c r="A378" t="inlineStr">
        <is>
          <t>A 41406-2023</t>
        </is>
      </c>
      <c r="B378" s="1" t="n">
        <v>45174</v>
      </c>
      <c r="C378" s="1" t="n">
        <v>46045</v>
      </c>
      <c r="D378" t="inlineStr">
        <is>
          <t>JÄMTLANDS LÄN</t>
        </is>
      </c>
      <c r="E378" t="inlineStr">
        <is>
          <t>RAGUNDA</t>
        </is>
      </c>
      <c r="F378" t="inlineStr">
        <is>
          <t>SCA</t>
        </is>
      </c>
      <c r="G378" t="n">
        <v>8</v>
      </c>
      <c r="H378" t="n">
        <v>0</v>
      </c>
      <c r="I378" t="n">
        <v>1</v>
      </c>
      <c r="J378" t="n">
        <v>8</v>
      </c>
      <c r="K378" t="n">
        <v>0</v>
      </c>
      <c r="L378" t="n">
        <v>0</v>
      </c>
      <c r="M378" t="n">
        <v>0</v>
      </c>
      <c r="N378" t="n">
        <v>0</v>
      </c>
      <c r="O378" t="n">
        <v>8</v>
      </c>
      <c r="P378" t="n">
        <v>0</v>
      </c>
      <c r="Q378" t="n">
        <v>9</v>
      </c>
      <c r="R378" s="2" t="inlineStr">
        <is>
          <t>Dvärgbägarlav
Grönhjon
Lunglav
Nordtagging
Rosa skärelav
Rosenticka
Ullticka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33822-2023</t>
        </is>
      </c>
      <c r="B379" s="1" t="n">
        <v>45121</v>
      </c>
      <c r="C379" s="1" t="n">
        <v>46045</v>
      </c>
      <c r="D379" t="inlineStr">
        <is>
          <t>JÄMTLANDS LÄN</t>
        </is>
      </c>
      <c r="E379" t="inlineStr">
        <is>
          <t>RAGUNDA</t>
        </is>
      </c>
      <c r="G379" t="n">
        <v>3.9</v>
      </c>
      <c r="H379" t="n">
        <v>1</v>
      </c>
      <c r="I379" t="n">
        <v>2</v>
      </c>
      <c r="J379" t="n">
        <v>7</v>
      </c>
      <c r="K379" t="n">
        <v>0</v>
      </c>
      <c r="L379" t="n">
        <v>0</v>
      </c>
      <c r="M379" t="n">
        <v>0</v>
      </c>
      <c r="N379" t="n">
        <v>0</v>
      </c>
      <c r="O379" t="n">
        <v>7</v>
      </c>
      <c r="P379" t="n">
        <v>0</v>
      </c>
      <c r="Q379" t="n">
        <v>9</v>
      </c>
      <c r="R379" s="2" t="inlineStr">
        <is>
          <t>Grynig filtlav
Lunglav
Skrovellav
Tretåig hackspett
Ullticka
Vedskivlav
Vitgrynig nållav
Strimspindling
Stuplav</t>
        </is>
      </c>
      <c r="S379">
        <f>HYPERLINK("https://klasma.github.io/Logging_2303/artfynd/A 33822-2023 artfynd.xlsx", "A 33822-2023")</f>
        <v/>
      </c>
      <c r="T379">
        <f>HYPERLINK("https://klasma.github.io/Logging_2303/kartor/A 33822-2023 karta.png", "A 33822-2023")</f>
        <v/>
      </c>
      <c r="V379">
        <f>HYPERLINK("https://klasma.github.io/Logging_2303/klagomål/A 33822-2023 FSC-klagomål.docx", "A 33822-2023")</f>
        <v/>
      </c>
      <c r="W379">
        <f>HYPERLINK("https://klasma.github.io/Logging_2303/klagomålsmail/A 33822-2023 FSC-klagomål mail.docx", "A 33822-2023")</f>
        <v/>
      </c>
      <c r="X379">
        <f>HYPERLINK("https://klasma.github.io/Logging_2303/tillsyn/A 33822-2023 tillsynsbegäran.docx", "A 33822-2023")</f>
        <v/>
      </c>
      <c r="Y379">
        <f>HYPERLINK("https://klasma.github.io/Logging_2303/tillsynsmail/A 33822-2023 tillsynsbegäran mail.docx", "A 33822-2023")</f>
        <v/>
      </c>
      <c r="Z379">
        <f>HYPERLINK("https://klasma.github.io/Logging_2303/fåglar/A 33822-2023 prioriterade fågelarter.docx", "A 33822-2023")</f>
        <v/>
      </c>
    </row>
    <row r="380" ht="15" customHeight="1">
      <c r="A380" t="inlineStr">
        <is>
          <t>A 74075-2021</t>
        </is>
      </c>
      <c r="B380" s="1" t="n">
        <v>44553</v>
      </c>
      <c r="C380" s="1" t="n">
        <v>46045</v>
      </c>
      <c r="D380" t="inlineStr">
        <is>
          <t>JÄMTLANDS LÄN</t>
        </is>
      </c>
      <c r="E380" t="inlineStr">
        <is>
          <t>HÄRJEDALEN</t>
        </is>
      </c>
      <c r="F380" t="inlineStr">
        <is>
          <t>Sveaskog</t>
        </is>
      </c>
      <c r="G380" t="n">
        <v>16</v>
      </c>
      <c r="H380" t="n">
        <v>1</v>
      </c>
      <c r="I380" t="n">
        <v>0</v>
      </c>
      <c r="J380" t="n">
        <v>8</v>
      </c>
      <c r="K380" t="n">
        <v>0</v>
      </c>
      <c r="L380" t="n">
        <v>0</v>
      </c>
      <c r="M380" t="n">
        <v>0</v>
      </c>
      <c r="N380" t="n">
        <v>0</v>
      </c>
      <c r="O380" t="n">
        <v>8</v>
      </c>
      <c r="P380" t="n">
        <v>0</v>
      </c>
      <c r="Q380" t="n">
        <v>8</v>
      </c>
      <c r="R380" s="2" t="inlineStr">
        <is>
          <t>Blanksvart spiklav
Garnlav
Kolflarnlav
Kortskaftad ärgspik
Mörk kolflarnlav
Varglav
Vedflamlav
Vedskivlav</t>
        </is>
      </c>
      <c r="S380">
        <f>HYPERLINK("https://klasma.github.io/Logging_2361/artfynd/A 74075-2021 artfynd.xlsx", "A 74075-2021")</f>
        <v/>
      </c>
      <c r="T380">
        <f>HYPERLINK("https://klasma.github.io/Logging_2361/kartor/A 74075-2021 karta.png", "A 74075-2021")</f>
        <v/>
      </c>
      <c r="V380">
        <f>HYPERLINK("https://klasma.github.io/Logging_2361/klagomål/A 74075-2021 FSC-klagomål.docx", "A 74075-2021")</f>
        <v/>
      </c>
      <c r="W380">
        <f>HYPERLINK("https://klasma.github.io/Logging_2361/klagomålsmail/A 74075-2021 FSC-klagomål mail.docx", "A 74075-2021")</f>
        <v/>
      </c>
      <c r="X380">
        <f>HYPERLINK("https://klasma.github.io/Logging_2361/tillsyn/A 74075-2021 tillsynsbegäran.docx", "A 74075-2021")</f>
        <v/>
      </c>
      <c r="Y380">
        <f>HYPERLINK("https://klasma.github.io/Logging_2361/tillsynsmail/A 74075-2021 tillsynsbegäran mail.docx", "A 74075-2021")</f>
        <v/>
      </c>
    </row>
    <row r="381" ht="15" customHeight="1">
      <c r="A381" t="inlineStr">
        <is>
          <t>A 20664-2021</t>
        </is>
      </c>
      <c r="B381" s="1" t="n">
        <v>44316</v>
      </c>
      <c r="C381" s="1" t="n">
        <v>46045</v>
      </c>
      <c r="D381" t="inlineStr">
        <is>
          <t>JÄMTLANDS LÄN</t>
        </is>
      </c>
      <c r="E381" t="inlineStr">
        <is>
          <t>ÅRE</t>
        </is>
      </c>
      <c r="G381" t="n">
        <v>10.7</v>
      </c>
      <c r="H381" t="n">
        <v>2</v>
      </c>
      <c r="I381" t="n">
        <v>1</v>
      </c>
      <c r="J381" t="n">
        <v>7</v>
      </c>
      <c r="K381" t="n">
        <v>0</v>
      </c>
      <c r="L381" t="n">
        <v>0</v>
      </c>
      <c r="M381" t="n">
        <v>0</v>
      </c>
      <c r="N381" t="n">
        <v>0</v>
      </c>
      <c r="O381" t="n">
        <v>7</v>
      </c>
      <c r="P381" t="n">
        <v>0</v>
      </c>
      <c r="Q381" t="n">
        <v>8</v>
      </c>
      <c r="R381" s="2" t="inlineStr">
        <is>
          <t>Garnlav
Granticka
Järpe
Skrovellav
Tretåig hackspett
Ullticka
Vedtrappmossa
Vedticka</t>
        </is>
      </c>
      <c r="S381">
        <f>HYPERLINK("https://klasma.github.io/Logging_2321/artfynd/A 20664-2021 artfynd.xlsx", "A 20664-2021")</f>
        <v/>
      </c>
      <c r="T381">
        <f>HYPERLINK("https://klasma.github.io/Logging_2321/kartor/A 20664-2021 karta.png", "A 20664-2021")</f>
        <v/>
      </c>
      <c r="V381">
        <f>HYPERLINK("https://klasma.github.io/Logging_2321/klagomål/A 20664-2021 FSC-klagomål.docx", "A 20664-2021")</f>
        <v/>
      </c>
      <c r="W381">
        <f>HYPERLINK("https://klasma.github.io/Logging_2321/klagomålsmail/A 20664-2021 FSC-klagomål mail.docx", "A 20664-2021")</f>
        <v/>
      </c>
      <c r="X381">
        <f>HYPERLINK("https://klasma.github.io/Logging_2321/tillsyn/A 20664-2021 tillsynsbegäran.docx", "A 20664-2021")</f>
        <v/>
      </c>
      <c r="Y381">
        <f>HYPERLINK("https://klasma.github.io/Logging_2321/tillsynsmail/A 20664-2021 tillsynsbegäran mail.docx", "A 20664-2021")</f>
        <v/>
      </c>
      <c r="Z381">
        <f>HYPERLINK("https://klasma.github.io/Logging_2321/fåglar/A 20664-2021 prioriterade fågelarter.docx", "A 20664-2021")</f>
        <v/>
      </c>
    </row>
    <row r="382" ht="15" customHeight="1">
      <c r="A382" t="inlineStr">
        <is>
          <t>A 70806-2021</t>
        </is>
      </c>
      <c r="B382" s="1" t="n">
        <v>44537</v>
      </c>
      <c r="C382" s="1" t="n">
        <v>46045</v>
      </c>
      <c r="D382" t="inlineStr">
        <is>
          <t>JÄMTLANDS LÄN</t>
        </is>
      </c>
      <c r="E382" t="inlineStr">
        <is>
          <t>BRÄCKE</t>
        </is>
      </c>
      <c r="G382" t="n">
        <v>3.9</v>
      </c>
      <c r="H382" t="n">
        <v>2</v>
      </c>
      <c r="I382" t="n">
        <v>2</v>
      </c>
      <c r="J382" t="n">
        <v>5</v>
      </c>
      <c r="K382" t="n">
        <v>1</v>
      </c>
      <c r="L382" t="n">
        <v>0</v>
      </c>
      <c r="M382" t="n">
        <v>0</v>
      </c>
      <c r="N382" t="n">
        <v>0</v>
      </c>
      <c r="O382" t="n">
        <v>6</v>
      </c>
      <c r="P382" t="n">
        <v>1</v>
      </c>
      <c r="Q382" t="n">
        <v>8</v>
      </c>
      <c r="R382" s="2" t="inlineStr">
        <is>
          <t>Knärot
Garnlav
Lunglav
Tretåig hackspett
Ullticka
Vedskivlav
Luddlav
Vanlig flatbagge</t>
        </is>
      </c>
      <c r="S382">
        <f>HYPERLINK("https://klasma.github.io/Logging_2305/artfynd/A 70806-2021 artfynd.xlsx", "A 70806-2021")</f>
        <v/>
      </c>
      <c r="T382">
        <f>HYPERLINK("https://klasma.github.io/Logging_2305/kartor/A 70806-2021 karta.png", "A 70806-2021")</f>
        <v/>
      </c>
      <c r="U382">
        <f>HYPERLINK("https://klasma.github.io/Logging_2305/knärot/A 70806-2021 karta knärot.png", "A 70806-2021")</f>
        <v/>
      </c>
      <c r="V382">
        <f>HYPERLINK("https://klasma.github.io/Logging_2305/klagomål/A 70806-2021 FSC-klagomål.docx", "A 70806-2021")</f>
        <v/>
      </c>
      <c r="W382">
        <f>HYPERLINK("https://klasma.github.io/Logging_2305/klagomålsmail/A 70806-2021 FSC-klagomål mail.docx", "A 70806-2021")</f>
        <v/>
      </c>
      <c r="X382">
        <f>HYPERLINK("https://klasma.github.io/Logging_2305/tillsyn/A 70806-2021 tillsynsbegäran.docx", "A 70806-2021")</f>
        <v/>
      </c>
      <c r="Y382">
        <f>HYPERLINK("https://klasma.github.io/Logging_2305/tillsynsmail/A 70806-2021 tillsynsbegäran mail.docx", "A 70806-2021")</f>
        <v/>
      </c>
      <c r="Z382">
        <f>HYPERLINK("https://klasma.github.io/Logging_2305/fåglar/A 70806-2021 prioriterade fågelarter.docx", "A 70806-2021")</f>
        <v/>
      </c>
    </row>
    <row r="383" ht="15" customHeight="1">
      <c r="A383" t="inlineStr">
        <is>
          <t>A 49712-2024</t>
        </is>
      </c>
      <c r="B383" s="1" t="n">
        <v>45596.69923611111</v>
      </c>
      <c r="C383" s="1" t="n">
        <v>46045</v>
      </c>
      <c r="D383" t="inlineStr">
        <is>
          <t>JÄMTLANDS LÄN</t>
        </is>
      </c>
      <c r="E383" t="inlineStr">
        <is>
          <t>BRÄCKE</t>
        </is>
      </c>
      <c r="F383" t="inlineStr">
        <is>
          <t>Naturvårdsverket</t>
        </is>
      </c>
      <c r="G383" t="n">
        <v>1.9</v>
      </c>
      <c r="H383" t="n">
        <v>1</v>
      </c>
      <c r="I383" t="n">
        <v>3</v>
      </c>
      <c r="J383" t="n">
        <v>4</v>
      </c>
      <c r="K383" t="n">
        <v>1</v>
      </c>
      <c r="L383" t="n">
        <v>0</v>
      </c>
      <c r="M383" t="n">
        <v>0</v>
      </c>
      <c r="N383" t="n">
        <v>0</v>
      </c>
      <c r="O383" t="n">
        <v>5</v>
      </c>
      <c r="P383" t="n">
        <v>1</v>
      </c>
      <c r="Q383" t="n">
        <v>8</v>
      </c>
      <c r="R383" s="2" t="inlineStr">
        <is>
          <t>Knärot
Garnlav
Harticka
Lunglav
Rosenticka
Svart trolldruva
Svavelriska
Tibast</t>
        </is>
      </c>
      <c r="S383">
        <f>HYPERLINK("https://klasma.github.io/Logging_2305/artfynd/A 49712-2024 artfynd.xlsx", "A 49712-2024")</f>
        <v/>
      </c>
      <c r="T383">
        <f>HYPERLINK("https://klasma.github.io/Logging_2305/kartor/A 49712-2024 karta.png", "A 49712-2024")</f>
        <v/>
      </c>
      <c r="U383">
        <f>HYPERLINK("https://klasma.github.io/Logging_2305/knärot/A 49712-2024 karta knärot.png", "A 49712-2024")</f>
        <v/>
      </c>
      <c r="V383">
        <f>HYPERLINK("https://klasma.github.io/Logging_2305/klagomål/A 49712-2024 FSC-klagomål.docx", "A 49712-2024")</f>
        <v/>
      </c>
      <c r="W383">
        <f>HYPERLINK("https://klasma.github.io/Logging_2305/klagomålsmail/A 49712-2024 FSC-klagomål mail.docx", "A 49712-2024")</f>
        <v/>
      </c>
      <c r="X383">
        <f>HYPERLINK("https://klasma.github.io/Logging_2305/tillsyn/A 49712-2024 tillsynsbegäran.docx", "A 49712-2024")</f>
        <v/>
      </c>
      <c r="Y383">
        <f>HYPERLINK("https://klasma.github.io/Logging_2305/tillsynsmail/A 49712-2024 tillsynsbegäran mail.docx", "A 49712-2024")</f>
        <v/>
      </c>
    </row>
    <row r="384" ht="15" customHeight="1">
      <c r="A384" t="inlineStr">
        <is>
          <t>A 33422-2021</t>
        </is>
      </c>
      <c r="B384" s="1" t="n">
        <v>44377</v>
      </c>
      <c r="C384" s="1" t="n">
        <v>46045</v>
      </c>
      <c r="D384" t="inlineStr">
        <is>
          <t>JÄMTLANDS LÄN</t>
        </is>
      </c>
      <c r="E384" t="inlineStr">
        <is>
          <t>HÄRJEDALEN</t>
        </is>
      </c>
      <c r="G384" t="n">
        <v>13.3</v>
      </c>
      <c r="H384" t="n">
        <v>2</v>
      </c>
      <c r="I384" t="n">
        <v>1</v>
      </c>
      <c r="J384" t="n">
        <v>7</v>
      </c>
      <c r="K384" t="n">
        <v>0</v>
      </c>
      <c r="L384" t="n">
        <v>0</v>
      </c>
      <c r="M384" t="n">
        <v>0</v>
      </c>
      <c r="N384" t="n">
        <v>0</v>
      </c>
      <c r="O384" t="n">
        <v>7</v>
      </c>
      <c r="P384" t="n">
        <v>0</v>
      </c>
      <c r="Q384" t="n">
        <v>8</v>
      </c>
      <c r="R384" s="2" t="inlineStr">
        <is>
          <t>Blanksvart spiklav
Garnlav
Knottrig blåslav
Parknål
Skrovellav
Spillkråka
Vitgrynig nållav
Plattlummer</t>
        </is>
      </c>
      <c r="S384">
        <f>HYPERLINK("https://klasma.github.io/Logging_2361/artfynd/A 33422-2021 artfynd.xlsx", "A 33422-2021")</f>
        <v/>
      </c>
      <c r="T384">
        <f>HYPERLINK("https://klasma.github.io/Logging_2361/kartor/A 33422-2021 karta.png", "A 33422-2021")</f>
        <v/>
      </c>
      <c r="V384">
        <f>HYPERLINK("https://klasma.github.io/Logging_2361/klagomål/A 33422-2021 FSC-klagomål.docx", "A 33422-2021")</f>
        <v/>
      </c>
      <c r="W384">
        <f>HYPERLINK("https://klasma.github.io/Logging_2361/klagomålsmail/A 33422-2021 FSC-klagomål mail.docx", "A 33422-2021")</f>
        <v/>
      </c>
      <c r="X384">
        <f>HYPERLINK("https://klasma.github.io/Logging_2361/tillsyn/A 33422-2021 tillsynsbegäran.docx", "A 33422-2021")</f>
        <v/>
      </c>
      <c r="Y384">
        <f>HYPERLINK("https://klasma.github.io/Logging_2361/tillsynsmail/A 33422-2021 tillsynsbegäran mail.docx", "A 33422-2021")</f>
        <v/>
      </c>
      <c r="Z384">
        <f>HYPERLINK("https://klasma.github.io/Logging_2361/fåglar/A 33422-2021 prioriterade fågelarter.docx", "A 33422-2021")</f>
        <v/>
      </c>
    </row>
    <row r="385" ht="15" customHeight="1">
      <c r="A385" t="inlineStr">
        <is>
          <t>A 73840-2021</t>
        </is>
      </c>
      <c r="B385" s="1" t="n">
        <v>44552</v>
      </c>
      <c r="C385" s="1" t="n">
        <v>46045</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51819-2023</t>
        </is>
      </c>
      <c r="B386" s="1" t="n">
        <v>45222</v>
      </c>
      <c r="C386" s="1" t="n">
        <v>46045</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51037-2023</t>
        </is>
      </c>
      <c r="B387" s="1" t="n">
        <v>45218</v>
      </c>
      <c r="C387" s="1" t="n">
        <v>46045</v>
      </c>
      <c r="D387" t="inlineStr">
        <is>
          <t>JÄMTLANDS LÄN</t>
        </is>
      </c>
      <c r="E387" t="inlineStr">
        <is>
          <t>BRÄCKE</t>
        </is>
      </c>
      <c r="G387" t="n">
        <v>6.8</v>
      </c>
      <c r="H387" t="n">
        <v>1</v>
      </c>
      <c r="I387" t="n">
        <v>4</v>
      </c>
      <c r="J387" t="n">
        <v>3</v>
      </c>
      <c r="K387" t="n">
        <v>1</v>
      </c>
      <c r="L387" t="n">
        <v>0</v>
      </c>
      <c r="M387" t="n">
        <v>0</v>
      </c>
      <c r="N387" t="n">
        <v>0</v>
      </c>
      <c r="O387" t="n">
        <v>4</v>
      </c>
      <c r="P387" t="n">
        <v>1</v>
      </c>
      <c r="Q387" t="n">
        <v>8</v>
      </c>
      <c r="R387" s="2" t="inlineStr">
        <is>
          <t>Doftticka
Kolflarnlav
Lunglav
Skrovellav
Bårdlav
Gytterlav
Luddlav
Stuplav</t>
        </is>
      </c>
      <c r="S387">
        <f>HYPERLINK("https://klasma.github.io/Logging_2305/artfynd/A 51037-2023 artfynd.xlsx", "A 51037-2023")</f>
        <v/>
      </c>
      <c r="T387">
        <f>HYPERLINK("https://klasma.github.io/Logging_2305/kartor/A 51037-2023 karta.png", "A 51037-2023")</f>
        <v/>
      </c>
      <c r="V387">
        <f>HYPERLINK("https://klasma.github.io/Logging_2305/klagomål/A 51037-2023 FSC-klagomål.docx", "A 51037-2023")</f>
        <v/>
      </c>
      <c r="W387">
        <f>HYPERLINK("https://klasma.github.io/Logging_2305/klagomålsmail/A 51037-2023 FSC-klagomål mail.docx", "A 51037-2023")</f>
        <v/>
      </c>
      <c r="X387">
        <f>HYPERLINK("https://klasma.github.io/Logging_2305/tillsyn/A 51037-2023 tillsynsbegäran.docx", "A 51037-2023")</f>
        <v/>
      </c>
      <c r="Y387">
        <f>HYPERLINK("https://klasma.github.io/Logging_2305/tillsynsmail/A 51037-2023 tillsynsbegäran mail.docx", "A 51037-2023")</f>
        <v/>
      </c>
    </row>
    <row r="388" ht="15" customHeight="1">
      <c r="A388" t="inlineStr">
        <is>
          <t>A 52563-2024</t>
        </is>
      </c>
      <c r="B388" s="1" t="n">
        <v>45609.656875</v>
      </c>
      <c r="C388" s="1" t="n">
        <v>46045</v>
      </c>
      <c r="D388" t="inlineStr">
        <is>
          <t>JÄMTLANDS LÄN</t>
        </is>
      </c>
      <c r="E388" t="inlineStr">
        <is>
          <t>STRÖMSUND</t>
        </is>
      </c>
      <c r="F388" t="inlineStr">
        <is>
          <t>SCA</t>
        </is>
      </c>
      <c r="G388" t="n">
        <v>11.9</v>
      </c>
      <c r="H388" t="n">
        <v>1</v>
      </c>
      <c r="I388" t="n">
        <v>2</v>
      </c>
      <c r="J388" t="n">
        <v>6</v>
      </c>
      <c r="K388" t="n">
        <v>0</v>
      </c>
      <c r="L388" t="n">
        <v>0</v>
      </c>
      <c r="M388" t="n">
        <v>0</v>
      </c>
      <c r="N388" t="n">
        <v>0</v>
      </c>
      <c r="O388" t="n">
        <v>6</v>
      </c>
      <c r="P388" t="n">
        <v>0</v>
      </c>
      <c r="Q388" t="n">
        <v>8</v>
      </c>
      <c r="R388" s="2" t="inlineStr">
        <is>
          <t>Garnlav
Granticka
Lunglav
Skrovellav
Tretåig hackspett
Ullticka
Luddlav
Stuplav</t>
        </is>
      </c>
      <c r="S388">
        <f>HYPERLINK("https://klasma.github.io/Logging_2313/artfynd/A 52563-2024 artfynd.xlsx", "A 52563-2024")</f>
        <v/>
      </c>
      <c r="T388">
        <f>HYPERLINK("https://klasma.github.io/Logging_2313/kartor/A 52563-2024 karta.png", "A 52563-2024")</f>
        <v/>
      </c>
      <c r="V388">
        <f>HYPERLINK("https://klasma.github.io/Logging_2313/klagomål/A 52563-2024 FSC-klagomål.docx", "A 52563-2024")</f>
        <v/>
      </c>
      <c r="W388">
        <f>HYPERLINK("https://klasma.github.io/Logging_2313/klagomålsmail/A 52563-2024 FSC-klagomål mail.docx", "A 52563-2024")</f>
        <v/>
      </c>
      <c r="X388">
        <f>HYPERLINK("https://klasma.github.io/Logging_2313/tillsyn/A 52563-2024 tillsynsbegäran.docx", "A 52563-2024")</f>
        <v/>
      </c>
      <c r="Y388">
        <f>HYPERLINK("https://klasma.github.io/Logging_2313/tillsynsmail/A 52563-2024 tillsynsbegäran mail.docx", "A 52563-2024")</f>
        <v/>
      </c>
      <c r="Z388">
        <f>HYPERLINK("https://klasma.github.io/Logging_2313/fåglar/A 52563-2024 prioriterade fågelarter.docx", "A 52563-2024")</f>
        <v/>
      </c>
    </row>
    <row r="389" ht="15" customHeight="1">
      <c r="A389" t="inlineStr">
        <is>
          <t>A 49336-2023</t>
        </is>
      </c>
      <c r="B389" s="1" t="n">
        <v>45210</v>
      </c>
      <c r="C389" s="1" t="n">
        <v>46045</v>
      </c>
      <c r="D389" t="inlineStr">
        <is>
          <t>JÄMTLANDS LÄN</t>
        </is>
      </c>
      <c r="E389" t="inlineStr">
        <is>
          <t>BRÄCKE</t>
        </is>
      </c>
      <c r="F389" t="inlineStr">
        <is>
          <t>SCA</t>
        </is>
      </c>
      <c r="G389" t="n">
        <v>3.5</v>
      </c>
      <c r="H389" t="n">
        <v>5</v>
      </c>
      <c r="I389" t="n">
        <v>3</v>
      </c>
      <c r="J389" t="n">
        <v>3</v>
      </c>
      <c r="K389" t="n">
        <v>1</v>
      </c>
      <c r="L389" t="n">
        <v>0</v>
      </c>
      <c r="M389" t="n">
        <v>0</v>
      </c>
      <c r="N389" t="n">
        <v>0</v>
      </c>
      <c r="O389" t="n">
        <v>4</v>
      </c>
      <c r="P389" t="n">
        <v>1</v>
      </c>
      <c r="Q389" t="n">
        <v>8</v>
      </c>
      <c r="R389" s="2" t="inlineStr">
        <is>
          <t>Knärot
Lunglav
Spillkråka
Ullticka
Grönkulla
Kransrams
Spindelblomster
Revlummer</t>
        </is>
      </c>
      <c r="S389">
        <f>HYPERLINK("https://klasma.github.io/Logging_2305/artfynd/A 49336-2023 artfynd.xlsx", "A 49336-2023")</f>
        <v/>
      </c>
      <c r="T389">
        <f>HYPERLINK("https://klasma.github.io/Logging_2305/kartor/A 49336-2023 karta.png", "A 49336-2023")</f>
        <v/>
      </c>
      <c r="U389">
        <f>HYPERLINK("https://klasma.github.io/Logging_2305/knärot/A 49336-2023 karta knärot.png", "A 49336-2023")</f>
        <v/>
      </c>
      <c r="V389">
        <f>HYPERLINK("https://klasma.github.io/Logging_2305/klagomål/A 49336-2023 FSC-klagomål.docx", "A 49336-2023")</f>
        <v/>
      </c>
      <c r="W389">
        <f>HYPERLINK("https://klasma.github.io/Logging_2305/klagomålsmail/A 49336-2023 FSC-klagomål mail.docx", "A 49336-2023")</f>
        <v/>
      </c>
      <c r="X389">
        <f>HYPERLINK("https://klasma.github.io/Logging_2305/tillsyn/A 49336-2023 tillsynsbegäran.docx", "A 49336-2023")</f>
        <v/>
      </c>
      <c r="Y389">
        <f>HYPERLINK("https://klasma.github.io/Logging_2305/tillsynsmail/A 49336-2023 tillsynsbegäran mail.docx", "A 49336-2023")</f>
        <v/>
      </c>
      <c r="Z389">
        <f>HYPERLINK("https://klasma.github.io/Logging_2305/fåglar/A 49336-2023 prioriterade fågelarter.docx", "A 49336-2023")</f>
        <v/>
      </c>
    </row>
    <row r="390" ht="15" customHeight="1">
      <c r="A390" t="inlineStr">
        <is>
          <t>A 42236-2021</t>
        </is>
      </c>
      <c r="B390" s="1" t="n">
        <v>44426</v>
      </c>
      <c r="C390" s="1" t="n">
        <v>46045</v>
      </c>
      <c r="D390" t="inlineStr">
        <is>
          <t>JÄMTLANDS LÄN</t>
        </is>
      </c>
      <c r="E390" t="inlineStr">
        <is>
          <t>STRÖMSUND</t>
        </is>
      </c>
      <c r="F390" t="inlineStr">
        <is>
          <t>SCA</t>
        </is>
      </c>
      <c r="G390" t="n">
        <v>9.1</v>
      </c>
      <c r="H390" t="n">
        <v>0</v>
      </c>
      <c r="I390" t="n">
        <v>5</v>
      </c>
      <c r="J390" t="n">
        <v>3</v>
      </c>
      <c r="K390" t="n">
        <v>0</v>
      </c>
      <c r="L390" t="n">
        <v>0</v>
      </c>
      <c r="M390" t="n">
        <v>0</v>
      </c>
      <c r="N390" t="n">
        <v>0</v>
      </c>
      <c r="O390" t="n">
        <v>3</v>
      </c>
      <c r="P390" t="n">
        <v>0</v>
      </c>
      <c r="Q390" t="n">
        <v>8</v>
      </c>
      <c r="R390" s="2" t="inlineStr">
        <is>
          <t>Granticka
Lunglav
Skrovellav
Bårdlav
Källmossa
Stor aspticka
Stuplav
Ögonpyrola</t>
        </is>
      </c>
      <c r="S390">
        <f>HYPERLINK("https://klasma.github.io/Logging_2313/artfynd/A 42236-2021 artfynd.xlsx", "A 42236-2021")</f>
        <v/>
      </c>
      <c r="T390">
        <f>HYPERLINK("https://klasma.github.io/Logging_2313/kartor/A 42236-2021 karta.png", "A 42236-2021")</f>
        <v/>
      </c>
      <c r="V390">
        <f>HYPERLINK("https://klasma.github.io/Logging_2313/klagomål/A 42236-2021 FSC-klagomål.docx", "A 42236-2021")</f>
        <v/>
      </c>
      <c r="W390">
        <f>HYPERLINK("https://klasma.github.io/Logging_2313/klagomålsmail/A 42236-2021 FSC-klagomål mail.docx", "A 42236-2021")</f>
        <v/>
      </c>
      <c r="X390">
        <f>HYPERLINK("https://klasma.github.io/Logging_2313/tillsyn/A 42236-2021 tillsynsbegäran.docx", "A 42236-2021")</f>
        <v/>
      </c>
      <c r="Y390">
        <f>HYPERLINK("https://klasma.github.io/Logging_2313/tillsynsmail/A 42236-2021 tillsynsbegäran mail.docx", "A 42236-2021")</f>
        <v/>
      </c>
    </row>
    <row r="391" ht="15" customHeight="1">
      <c r="A391" t="inlineStr">
        <is>
          <t>A 38525-2025</t>
        </is>
      </c>
      <c r="B391" s="1" t="n">
        <v>45884.40674768519</v>
      </c>
      <c r="C391" s="1" t="n">
        <v>46045</v>
      </c>
      <c r="D391" t="inlineStr">
        <is>
          <t>JÄMTLANDS LÄN</t>
        </is>
      </c>
      <c r="E391" t="inlineStr">
        <is>
          <t>BRÄCKE</t>
        </is>
      </c>
      <c r="F391" t="inlineStr">
        <is>
          <t>SCA</t>
        </is>
      </c>
      <c r="G391" t="n">
        <v>3.9</v>
      </c>
      <c r="H391" t="n">
        <v>2</v>
      </c>
      <c r="I391" t="n">
        <v>2</v>
      </c>
      <c r="J391" t="n">
        <v>5</v>
      </c>
      <c r="K391" t="n">
        <v>1</v>
      </c>
      <c r="L391" t="n">
        <v>0</v>
      </c>
      <c r="M391" t="n">
        <v>0</v>
      </c>
      <c r="N391" t="n">
        <v>0</v>
      </c>
      <c r="O391" t="n">
        <v>6</v>
      </c>
      <c r="P391" t="n">
        <v>1</v>
      </c>
      <c r="Q391" t="n">
        <v>8</v>
      </c>
      <c r="R391" s="2" t="inlineStr">
        <is>
          <t>Knärot
Blanksvart spiklav
Granticka
Tretåig hackspett
Vitgrynig nållav
Vitskaftad svartspik
Bronshjon
Vedticka</t>
        </is>
      </c>
      <c r="S391">
        <f>HYPERLINK("https://klasma.github.io/Logging_2305/artfynd/A 38525-2025 artfynd.xlsx", "A 38525-2025")</f>
        <v/>
      </c>
      <c r="T391">
        <f>HYPERLINK("https://klasma.github.io/Logging_2305/kartor/A 38525-2025 karta.png", "A 38525-2025")</f>
        <v/>
      </c>
      <c r="U391">
        <f>HYPERLINK("https://klasma.github.io/Logging_2305/knärot/A 38525-2025 karta knärot.png", "A 38525-2025")</f>
        <v/>
      </c>
      <c r="V391">
        <f>HYPERLINK("https://klasma.github.io/Logging_2305/klagomål/A 38525-2025 FSC-klagomål.docx", "A 38525-2025")</f>
        <v/>
      </c>
      <c r="W391">
        <f>HYPERLINK("https://klasma.github.io/Logging_2305/klagomålsmail/A 38525-2025 FSC-klagomål mail.docx", "A 38525-2025")</f>
        <v/>
      </c>
      <c r="X391">
        <f>HYPERLINK("https://klasma.github.io/Logging_2305/tillsyn/A 38525-2025 tillsynsbegäran.docx", "A 38525-2025")</f>
        <v/>
      </c>
      <c r="Y391">
        <f>HYPERLINK("https://klasma.github.io/Logging_2305/tillsynsmail/A 38525-2025 tillsynsbegäran mail.docx", "A 38525-2025")</f>
        <v/>
      </c>
      <c r="Z391">
        <f>HYPERLINK("https://klasma.github.io/Logging_2305/fåglar/A 38525-2025 prioriterade fågelarter.docx", "A 38525-2025")</f>
        <v/>
      </c>
    </row>
    <row r="392" ht="15" customHeight="1">
      <c r="A392" t="inlineStr">
        <is>
          <t>A 64239-2021</t>
        </is>
      </c>
      <c r="B392" s="1" t="n">
        <v>44510</v>
      </c>
      <c r="C392" s="1" t="n">
        <v>46045</v>
      </c>
      <c r="D392" t="inlineStr">
        <is>
          <t>JÄMTLANDS LÄN</t>
        </is>
      </c>
      <c r="E392" t="inlineStr">
        <is>
          <t>ÅRE</t>
        </is>
      </c>
      <c r="G392" t="n">
        <v>11.8</v>
      </c>
      <c r="H392" t="n">
        <v>2</v>
      </c>
      <c r="I392" t="n">
        <v>1</v>
      </c>
      <c r="J392" t="n">
        <v>6</v>
      </c>
      <c r="K392" t="n">
        <v>1</v>
      </c>
      <c r="L392" t="n">
        <v>0</v>
      </c>
      <c r="M392" t="n">
        <v>0</v>
      </c>
      <c r="N392" t="n">
        <v>0</v>
      </c>
      <c r="O392" t="n">
        <v>7</v>
      </c>
      <c r="P392" t="n">
        <v>1</v>
      </c>
      <c r="Q392" t="n">
        <v>8</v>
      </c>
      <c r="R392" s="2" t="inlineStr">
        <is>
          <t>Norsk näverlav
Granticka
Gränsticka
Järpe
Skrovellav
Tretåig hackspett
Ullticka
Stuplav</t>
        </is>
      </c>
      <c r="S392">
        <f>HYPERLINK("https://klasma.github.io/Logging_2321/artfynd/A 64239-2021 artfynd.xlsx", "A 64239-2021")</f>
        <v/>
      </c>
      <c r="T392">
        <f>HYPERLINK("https://klasma.github.io/Logging_2321/kartor/A 64239-2021 karta.png", "A 64239-2021")</f>
        <v/>
      </c>
      <c r="V392">
        <f>HYPERLINK("https://klasma.github.io/Logging_2321/klagomål/A 64239-2021 FSC-klagomål.docx", "A 64239-2021")</f>
        <v/>
      </c>
      <c r="W392">
        <f>HYPERLINK("https://klasma.github.io/Logging_2321/klagomålsmail/A 64239-2021 FSC-klagomål mail.docx", "A 64239-2021")</f>
        <v/>
      </c>
      <c r="X392">
        <f>HYPERLINK("https://klasma.github.io/Logging_2321/tillsyn/A 64239-2021 tillsynsbegäran.docx", "A 64239-2021")</f>
        <v/>
      </c>
      <c r="Y392">
        <f>HYPERLINK("https://klasma.github.io/Logging_2321/tillsynsmail/A 64239-2021 tillsynsbegäran mail.docx", "A 64239-2021")</f>
        <v/>
      </c>
      <c r="Z392">
        <f>HYPERLINK("https://klasma.github.io/Logging_2321/fåglar/A 64239-2021 prioriterade fågelarter.docx", "A 64239-2021")</f>
        <v/>
      </c>
    </row>
    <row r="393" ht="15" customHeight="1">
      <c r="A393" t="inlineStr">
        <is>
          <t>A 14565-2025</t>
        </is>
      </c>
      <c r="B393" s="1" t="n">
        <v>45741.82913194445</v>
      </c>
      <c r="C393" s="1" t="n">
        <v>46045</v>
      </c>
      <c r="D393" t="inlineStr">
        <is>
          <t>JÄMTLANDS LÄN</t>
        </is>
      </c>
      <c r="E393" t="inlineStr">
        <is>
          <t>HÄRJEDALEN</t>
        </is>
      </c>
      <c r="G393" t="n">
        <v>7.3</v>
      </c>
      <c r="H393" t="n">
        <v>0</v>
      </c>
      <c r="I393" t="n">
        <v>0</v>
      </c>
      <c r="J393" t="n">
        <v>4</v>
      </c>
      <c r="K393" t="n">
        <v>4</v>
      </c>
      <c r="L393" t="n">
        <v>0</v>
      </c>
      <c r="M393" t="n">
        <v>0</v>
      </c>
      <c r="N393" t="n">
        <v>0</v>
      </c>
      <c r="O393" t="n">
        <v>8</v>
      </c>
      <c r="P393" t="n">
        <v>4</v>
      </c>
      <c r="Q393" t="n">
        <v>8</v>
      </c>
      <c r="R393" s="2" t="inlineStr">
        <is>
          <t>Goliatmusseron
Smalfotad taggsvamp
Spadskinn
Tallgråticka
Blå taggsvamp
Skrovlig taggsvamp
Svart taggsvamp
Talltaggsvamp</t>
        </is>
      </c>
      <c r="S393">
        <f>HYPERLINK("https://klasma.github.io/Logging_2361/artfynd/A 14565-2025 artfynd.xlsx", "A 14565-2025")</f>
        <v/>
      </c>
      <c r="T393">
        <f>HYPERLINK("https://klasma.github.io/Logging_2361/kartor/A 14565-2025 karta.png", "A 14565-2025")</f>
        <v/>
      </c>
      <c r="V393">
        <f>HYPERLINK("https://klasma.github.io/Logging_2361/klagomål/A 14565-2025 FSC-klagomål.docx", "A 14565-2025")</f>
        <v/>
      </c>
      <c r="W393">
        <f>HYPERLINK("https://klasma.github.io/Logging_2361/klagomålsmail/A 14565-2025 FSC-klagomål mail.docx", "A 14565-2025")</f>
        <v/>
      </c>
      <c r="X393">
        <f>HYPERLINK("https://klasma.github.io/Logging_2361/tillsyn/A 14565-2025 tillsynsbegäran.docx", "A 14565-2025")</f>
        <v/>
      </c>
      <c r="Y393">
        <f>HYPERLINK("https://klasma.github.io/Logging_2361/tillsynsmail/A 14565-2025 tillsynsbegäran mail.docx", "A 14565-2025")</f>
        <v/>
      </c>
    </row>
    <row r="394" ht="15" customHeight="1">
      <c r="A394" t="inlineStr">
        <is>
          <t>A 17716-2024</t>
        </is>
      </c>
      <c r="B394" s="1" t="n">
        <v>45415</v>
      </c>
      <c r="C394" s="1" t="n">
        <v>46045</v>
      </c>
      <c r="D394" t="inlineStr">
        <is>
          <t>JÄMTLANDS LÄN</t>
        </is>
      </c>
      <c r="E394" t="inlineStr">
        <is>
          <t>ÖSTERSUND</t>
        </is>
      </c>
      <c r="G394" t="n">
        <v>1.4</v>
      </c>
      <c r="H394" t="n">
        <v>8</v>
      </c>
      <c r="I394" t="n">
        <v>2</v>
      </c>
      <c r="J394" t="n">
        <v>1</v>
      </c>
      <c r="K394" t="n">
        <v>1</v>
      </c>
      <c r="L394" t="n">
        <v>1</v>
      </c>
      <c r="M394" t="n">
        <v>0</v>
      </c>
      <c r="N394" t="n">
        <v>0</v>
      </c>
      <c r="O394" t="n">
        <v>3</v>
      </c>
      <c r="P394" t="n">
        <v>2</v>
      </c>
      <c r="Q394" t="n">
        <v>8</v>
      </c>
      <c r="R394" s="2" t="inlineStr">
        <is>
          <t>Storspov
Knärot
Spillkråka
Spindelblomster
Tvåblad
Tjäder
Fläcknycklar
Blåsippa</t>
        </is>
      </c>
      <c r="S394">
        <f>HYPERLINK("https://klasma.github.io/Logging_2380/artfynd/A 17716-2024 artfynd.xlsx", "A 17716-2024")</f>
        <v/>
      </c>
      <c r="T394">
        <f>HYPERLINK("https://klasma.github.io/Logging_2380/kartor/A 17716-2024 karta.png", "A 17716-2024")</f>
        <v/>
      </c>
      <c r="U394">
        <f>HYPERLINK("https://klasma.github.io/Logging_2380/knärot/A 17716-2024 karta knärot.png", "A 17716-2024")</f>
        <v/>
      </c>
      <c r="V394">
        <f>HYPERLINK("https://klasma.github.io/Logging_2380/klagomål/A 17716-2024 FSC-klagomål.docx", "A 17716-2024")</f>
        <v/>
      </c>
      <c r="W394">
        <f>HYPERLINK("https://klasma.github.io/Logging_2380/klagomålsmail/A 17716-2024 FSC-klagomål mail.docx", "A 17716-2024")</f>
        <v/>
      </c>
      <c r="X394">
        <f>HYPERLINK("https://klasma.github.io/Logging_2380/tillsyn/A 17716-2024 tillsynsbegäran.docx", "A 17716-2024")</f>
        <v/>
      </c>
      <c r="Y394">
        <f>HYPERLINK("https://klasma.github.io/Logging_2380/tillsynsmail/A 17716-2024 tillsynsbegäran mail.docx", "A 17716-2024")</f>
        <v/>
      </c>
      <c r="Z394">
        <f>HYPERLINK("https://klasma.github.io/Logging_2380/fåglar/A 17716-2024 prioriterade fågelarter.docx", "A 17716-2024")</f>
        <v/>
      </c>
    </row>
    <row r="395" ht="15" customHeight="1">
      <c r="A395" t="inlineStr">
        <is>
          <t>A 24370-2024</t>
        </is>
      </c>
      <c r="B395" s="1" t="n">
        <v>45457</v>
      </c>
      <c r="C395" s="1" t="n">
        <v>46045</v>
      </c>
      <c r="D395" t="inlineStr">
        <is>
          <t>JÄMTLANDS LÄN</t>
        </is>
      </c>
      <c r="E395" t="inlineStr">
        <is>
          <t>KROKOM</t>
        </is>
      </c>
      <c r="G395" t="n">
        <v>42.3</v>
      </c>
      <c r="H395" t="n">
        <v>1</v>
      </c>
      <c r="I395" t="n">
        <v>5</v>
      </c>
      <c r="J395" t="n">
        <v>3</v>
      </c>
      <c r="K395" t="n">
        <v>0</v>
      </c>
      <c r="L395" t="n">
        <v>0</v>
      </c>
      <c r="M395" t="n">
        <v>0</v>
      </c>
      <c r="N395" t="n">
        <v>0</v>
      </c>
      <c r="O395" t="n">
        <v>3</v>
      </c>
      <c r="P395" t="n">
        <v>0</v>
      </c>
      <c r="Q395" t="n">
        <v>8</v>
      </c>
      <c r="R395" s="2" t="inlineStr">
        <is>
          <t>Garnlav
Granticka
Vitgrynig nållav
Bårdlav
Källpraktmossa
Norrlandslav
Spindelblomster
Stuplav</t>
        </is>
      </c>
      <c r="S395">
        <f>HYPERLINK("https://klasma.github.io/Logging_2309/artfynd/A 24370-2024 artfynd.xlsx", "A 24370-2024")</f>
        <v/>
      </c>
      <c r="T395">
        <f>HYPERLINK("https://klasma.github.io/Logging_2309/kartor/A 24370-2024 karta.png", "A 24370-2024")</f>
        <v/>
      </c>
      <c r="V395">
        <f>HYPERLINK("https://klasma.github.io/Logging_2309/klagomål/A 24370-2024 FSC-klagomål.docx", "A 24370-2024")</f>
        <v/>
      </c>
      <c r="W395">
        <f>HYPERLINK("https://klasma.github.io/Logging_2309/klagomålsmail/A 24370-2024 FSC-klagomål mail.docx", "A 24370-2024")</f>
        <v/>
      </c>
      <c r="X395">
        <f>HYPERLINK("https://klasma.github.io/Logging_2309/tillsyn/A 24370-2024 tillsynsbegäran.docx", "A 24370-2024")</f>
        <v/>
      </c>
      <c r="Y395">
        <f>HYPERLINK("https://klasma.github.io/Logging_2309/tillsynsmail/A 24370-2024 tillsynsbegäran mail.docx", "A 24370-2024")</f>
        <v/>
      </c>
    </row>
    <row r="396" ht="15" customHeight="1">
      <c r="A396" t="inlineStr">
        <is>
          <t>A 21753-2023</t>
        </is>
      </c>
      <c r="B396" s="1" t="n">
        <v>45063</v>
      </c>
      <c r="C396" s="1" t="n">
        <v>46045</v>
      </c>
      <c r="D396" t="inlineStr">
        <is>
          <t>JÄMTLANDS LÄN</t>
        </is>
      </c>
      <c r="E396" t="inlineStr">
        <is>
          <t>ÖSTERSUND</t>
        </is>
      </c>
      <c r="G396" t="n">
        <v>6.1</v>
      </c>
      <c r="H396" t="n">
        <v>4</v>
      </c>
      <c r="I396" t="n">
        <v>2</v>
      </c>
      <c r="J396" t="n">
        <v>3</v>
      </c>
      <c r="K396" t="n">
        <v>1</v>
      </c>
      <c r="L396" t="n">
        <v>0</v>
      </c>
      <c r="M396" t="n">
        <v>0</v>
      </c>
      <c r="N396" t="n">
        <v>0</v>
      </c>
      <c r="O396" t="n">
        <v>4</v>
      </c>
      <c r="P396" t="n">
        <v>1</v>
      </c>
      <c r="Q396" t="n">
        <v>8</v>
      </c>
      <c r="R396" s="2" t="inlineStr">
        <is>
          <t>Knärot
Flattoppad klubbsvamp
Rosenticka
Ullticka
Rödgul trumpetsvamp
Spindelblomster
Fläcknycklar
Blåsippa</t>
        </is>
      </c>
      <c r="S396">
        <f>HYPERLINK("https://klasma.github.io/Logging_2380/artfynd/A 21753-2023 artfynd.xlsx", "A 21753-2023")</f>
        <v/>
      </c>
      <c r="T396">
        <f>HYPERLINK("https://klasma.github.io/Logging_2380/kartor/A 21753-2023 karta.png", "A 21753-2023")</f>
        <v/>
      </c>
      <c r="U396">
        <f>HYPERLINK("https://klasma.github.io/Logging_2380/knärot/A 21753-2023 karta knärot.png", "A 21753-2023")</f>
        <v/>
      </c>
      <c r="V396">
        <f>HYPERLINK("https://klasma.github.io/Logging_2380/klagomål/A 21753-2023 FSC-klagomål.docx", "A 21753-2023")</f>
        <v/>
      </c>
      <c r="W396">
        <f>HYPERLINK("https://klasma.github.io/Logging_2380/klagomålsmail/A 21753-2023 FSC-klagomål mail.docx", "A 21753-2023")</f>
        <v/>
      </c>
      <c r="X396">
        <f>HYPERLINK("https://klasma.github.io/Logging_2380/tillsyn/A 21753-2023 tillsynsbegäran.docx", "A 21753-2023")</f>
        <v/>
      </c>
      <c r="Y396">
        <f>HYPERLINK("https://klasma.github.io/Logging_2380/tillsynsmail/A 21753-2023 tillsynsbegäran mail.docx", "A 21753-2023")</f>
        <v/>
      </c>
    </row>
    <row r="397" ht="15" customHeight="1">
      <c r="A397" t="inlineStr">
        <is>
          <t>A 8707-2025</t>
        </is>
      </c>
      <c r="B397" s="1" t="n">
        <v>45712.49047453704</v>
      </c>
      <c r="C397" s="1" t="n">
        <v>46045</v>
      </c>
      <c r="D397" t="inlineStr">
        <is>
          <t>JÄMTLANDS LÄN</t>
        </is>
      </c>
      <c r="E397" t="inlineStr">
        <is>
          <t>BRÄCKE</t>
        </is>
      </c>
      <c r="F397" t="inlineStr">
        <is>
          <t>SCA</t>
        </is>
      </c>
      <c r="G397" t="n">
        <v>1.7</v>
      </c>
      <c r="H397" t="n">
        <v>2</v>
      </c>
      <c r="I397" t="n">
        <v>1</v>
      </c>
      <c r="J397" t="n">
        <v>6</v>
      </c>
      <c r="K397" t="n">
        <v>1</v>
      </c>
      <c r="L397" t="n">
        <v>0</v>
      </c>
      <c r="M397" t="n">
        <v>0</v>
      </c>
      <c r="N397" t="n">
        <v>0</v>
      </c>
      <c r="O397" t="n">
        <v>7</v>
      </c>
      <c r="P397" t="n">
        <v>1</v>
      </c>
      <c r="Q397" t="n">
        <v>8</v>
      </c>
      <c r="R397" s="2" t="inlineStr">
        <is>
          <t>Knärot
Garnlav
Kandelabersvamp
Kolflarnlav
Kortskaftad ärgspik
Mörk kolflarnlav
Ullticka
Grönkulla</t>
        </is>
      </c>
      <c r="S397">
        <f>HYPERLINK("https://klasma.github.io/Logging_2305/artfynd/A 8707-2025 artfynd.xlsx", "A 8707-2025")</f>
        <v/>
      </c>
      <c r="T397">
        <f>HYPERLINK("https://klasma.github.io/Logging_2305/kartor/A 8707-2025 karta.png", "A 8707-2025")</f>
        <v/>
      </c>
      <c r="U397">
        <f>HYPERLINK("https://klasma.github.io/Logging_2305/knärot/A 8707-2025 karta knärot.png", "A 8707-2025")</f>
        <v/>
      </c>
      <c r="V397">
        <f>HYPERLINK("https://klasma.github.io/Logging_2305/klagomål/A 8707-2025 FSC-klagomål.docx", "A 8707-2025")</f>
        <v/>
      </c>
      <c r="W397">
        <f>HYPERLINK("https://klasma.github.io/Logging_2305/klagomålsmail/A 8707-2025 FSC-klagomål mail.docx", "A 8707-2025")</f>
        <v/>
      </c>
      <c r="X397">
        <f>HYPERLINK("https://klasma.github.io/Logging_2305/tillsyn/A 8707-2025 tillsynsbegäran.docx", "A 8707-2025")</f>
        <v/>
      </c>
      <c r="Y397">
        <f>HYPERLINK("https://klasma.github.io/Logging_2305/tillsynsmail/A 8707-2025 tillsynsbegäran mail.docx", "A 8707-2025")</f>
        <v/>
      </c>
    </row>
    <row r="398" ht="15" customHeight="1">
      <c r="A398" t="inlineStr">
        <is>
          <t>A 37171-2024</t>
        </is>
      </c>
      <c r="B398" s="1" t="n">
        <v>45539</v>
      </c>
      <c r="C398" s="1" t="n">
        <v>46045</v>
      </c>
      <c r="D398" t="inlineStr">
        <is>
          <t>JÄMTLANDS LÄN</t>
        </is>
      </c>
      <c r="E398" t="inlineStr">
        <is>
          <t>STRÖMSUND</t>
        </is>
      </c>
      <c r="F398" t="inlineStr">
        <is>
          <t>SCA</t>
        </is>
      </c>
      <c r="G398" t="n">
        <v>4</v>
      </c>
      <c r="H398" t="n">
        <v>3</v>
      </c>
      <c r="I398" t="n">
        <v>1</v>
      </c>
      <c r="J398" t="n">
        <v>6</v>
      </c>
      <c r="K398" t="n">
        <v>1</v>
      </c>
      <c r="L398" t="n">
        <v>0</v>
      </c>
      <c r="M398" t="n">
        <v>0</v>
      </c>
      <c r="N398" t="n">
        <v>0</v>
      </c>
      <c r="O398" t="n">
        <v>7</v>
      </c>
      <c r="P398" t="n">
        <v>1</v>
      </c>
      <c r="Q398" t="n">
        <v>8</v>
      </c>
      <c r="R398" s="2" t="inlineStr">
        <is>
          <t>Knärot
Garnlav
Kolflarnlav
Lunglav
Talltita
Tretåig hackspett
Ullticka
Granbarkgnagare</t>
        </is>
      </c>
      <c r="S398">
        <f>HYPERLINK("https://klasma.github.io/Logging_2313/artfynd/A 37171-2024 artfynd.xlsx", "A 37171-2024")</f>
        <v/>
      </c>
      <c r="T398">
        <f>HYPERLINK("https://klasma.github.io/Logging_2313/kartor/A 37171-2024 karta.png", "A 37171-2024")</f>
        <v/>
      </c>
      <c r="U398">
        <f>HYPERLINK("https://klasma.github.io/Logging_2313/knärot/A 37171-2024 karta knärot.png", "A 37171-2024")</f>
        <v/>
      </c>
      <c r="V398">
        <f>HYPERLINK("https://klasma.github.io/Logging_2313/klagomål/A 37171-2024 FSC-klagomål.docx", "A 37171-2024")</f>
        <v/>
      </c>
      <c r="W398">
        <f>HYPERLINK("https://klasma.github.io/Logging_2313/klagomålsmail/A 37171-2024 FSC-klagomål mail.docx", "A 37171-2024")</f>
        <v/>
      </c>
      <c r="X398">
        <f>HYPERLINK("https://klasma.github.io/Logging_2313/tillsyn/A 37171-2024 tillsynsbegäran.docx", "A 37171-2024")</f>
        <v/>
      </c>
      <c r="Y398">
        <f>HYPERLINK("https://klasma.github.io/Logging_2313/tillsynsmail/A 37171-2024 tillsynsbegäran mail.docx", "A 37171-2024")</f>
        <v/>
      </c>
      <c r="Z398">
        <f>HYPERLINK("https://klasma.github.io/Logging_2313/fåglar/A 37171-2024 prioriterade fågelarter.docx", "A 37171-2024")</f>
        <v/>
      </c>
    </row>
    <row r="399" ht="15" customHeight="1">
      <c r="A399" t="inlineStr">
        <is>
          <t>A 10744-2024</t>
        </is>
      </c>
      <c r="B399" s="1" t="n">
        <v>45369</v>
      </c>
      <c r="C399" s="1" t="n">
        <v>46045</v>
      </c>
      <c r="D399" t="inlineStr">
        <is>
          <t>JÄMTLANDS LÄN</t>
        </is>
      </c>
      <c r="E399" t="inlineStr">
        <is>
          <t>ÖSTERSUND</t>
        </is>
      </c>
      <c r="G399" t="n">
        <v>3.5</v>
      </c>
      <c r="H399" t="n">
        <v>1</v>
      </c>
      <c r="I399" t="n">
        <v>4</v>
      </c>
      <c r="J399" t="n">
        <v>2</v>
      </c>
      <c r="K399" t="n">
        <v>1</v>
      </c>
      <c r="L399" t="n">
        <v>0</v>
      </c>
      <c r="M399" t="n">
        <v>0</v>
      </c>
      <c r="N399" t="n">
        <v>0</v>
      </c>
      <c r="O399" t="n">
        <v>3</v>
      </c>
      <c r="P399" t="n">
        <v>1</v>
      </c>
      <c r="Q399" t="n">
        <v>8</v>
      </c>
      <c r="R399" s="2" t="inlineStr">
        <is>
          <t>Fjällfotad musseron
Gultoppig fingersvamp
Skuggviol
Fjällig taggsvamp s.str.
Granriska
Svart trolldruva
Svavelriska
Blåsippa</t>
        </is>
      </c>
      <c r="S399">
        <f>HYPERLINK("https://klasma.github.io/Logging_2380/artfynd/A 10744-2024 artfynd.xlsx", "A 10744-2024")</f>
        <v/>
      </c>
      <c r="T399">
        <f>HYPERLINK("https://klasma.github.io/Logging_2380/kartor/A 10744-2024 karta.png", "A 10744-2024")</f>
        <v/>
      </c>
      <c r="V399">
        <f>HYPERLINK("https://klasma.github.io/Logging_2380/klagomål/A 10744-2024 FSC-klagomål.docx", "A 10744-2024")</f>
        <v/>
      </c>
      <c r="W399">
        <f>HYPERLINK("https://klasma.github.io/Logging_2380/klagomålsmail/A 10744-2024 FSC-klagomål mail.docx", "A 10744-2024")</f>
        <v/>
      </c>
      <c r="X399">
        <f>HYPERLINK("https://klasma.github.io/Logging_2380/tillsyn/A 10744-2024 tillsynsbegäran.docx", "A 10744-2024")</f>
        <v/>
      </c>
      <c r="Y399">
        <f>HYPERLINK("https://klasma.github.io/Logging_2380/tillsynsmail/A 10744-2024 tillsynsbegäran mail.docx", "A 10744-2024")</f>
        <v/>
      </c>
    </row>
    <row r="400" ht="15" customHeight="1">
      <c r="A400" t="inlineStr">
        <is>
          <t>A 10619-2023</t>
        </is>
      </c>
      <c r="B400" s="1" t="n">
        <v>44984</v>
      </c>
      <c r="C400" s="1" t="n">
        <v>46045</v>
      </c>
      <c r="D400" t="inlineStr">
        <is>
          <t>JÄMTLANDS LÄN</t>
        </is>
      </c>
      <c r="E400" t="inlineStr">
        <is>
          <t>ÅRE</t>
        </is>
      </c>
      <c r="G400" t="n">
        <v>15.5</v>
      </c>
      <c r="H400" t="n">
        <v>1</v>
      </c>
      <c r="I400" t="n">
        <v>2</v>
      </c>
      <c r="J400" t="n">
        <v>5</v>
      </c>
      <c r="K400" t="n">
        <v>1</v>
      </c>
      <c r="L400" t="n">
        <v>0</v>
      </c>
      <c r="M400" t="n">
        <v>0</v>
      </c>
      <c r="N400" t="n">
        <v>0</v>
      </c>
      <c r="O400" t="n">
        <v>6</v>
      </c>
      <c r="P400" t="n">
        <v>1</v>
      </c>
      <c r="Q400" t="n">
        <v>8</v>
      </c>
      <c r="R400" s="2" t="inlineStr">
        <is>
          <t>Skuggnål
Granticka
Kavernularia
Rödbrun blekspik
Tretåig hackspett
Vitgrynig nållav
Luddlav
Rostfläck</t>
        </is>
      </c>
      <c r="S400">
        <f>HYPERLINK("https://klasma.github.io/Logging_2321/artfynd/A 10619-2023 artfynd.xlsx", "A 10619-2023")</f>
        <v/>
      </c>
      <c r="T400">
        <f>HYPERLINK("https://klasma.github.io/Logging_2321/kartor/A 10619-2023 karta.png", "A 10619-2023")</f>
        <v/>
      </c>
      <c r="V400">
        <f>HYPERLINK("https://klasma.github.io/Logging_2321/klagomål/A 10619-2023 FSC-klagomål.docx", "A 10619-2023")</f>
        <v/>
      </c>
      <c r="W400">
        <f>HYPERLINK("https://klasma.github.io/Logging_2321/klagomålsmail/A 10619-2023 FSC-klagomål mail.docx", "A 10619-2023")</f>
        <v/>
      </c>
      <c r="X400">
        <f>HYPERLINK("https://klasma.github.io/Logging_2321/tillsyn/A 10619-2023 tillsynsbegäran.docx", "A 10619-2023")</f>
        <v/>
      </c>
      <c r="Y400">
        <f>HYPERLINK("https://klasma.github.io/Logging_2321/tillsynsmail/A 10619-2023 tillsynsbegäran mail.docx", "A 10619-2023")</f>
        <v/>
      </c>
      <c r="Z400">
        <f>HYPERLINK("https://klasma.github.io/Logging_2321/fåglar/A 10619-2023 prioriterade fågelarter.docx", "A 10619-2023")</f>
        <v/>
      </c>
    </row>
    <row r="401" ht="15" customHeight="1">
      <c r="A401" t="inlineStr">
        <is>
          <t>A 42157-2025</t>
        </is>
      </c>
      <c r="B401" s="1" t="n">
        <v>45904.40663194445</v>
      </c>
      <c r="C401" s="1" t="n">
        <v>46045</v>
      </c>
      <c r="D401" t="inlineStr">
        <is>
          <t>JÄMTLANDS LÄN</t>
        </is>
      </c>
      <c r="E401" t="inlineStr">
        <is>
          <t>HÄRJEDALEN</t>
        </is>
      </c>
      <c r="F401" t="inlineStr">
        <is>
          <t>Holmen skog AB</t>
        </is>
      </c>
      <c r="G401" t="n">
        <v>3.2</v>
      </c>
      <c r="H401" t="n">
        <v>0</v>
      </c>
      <c r="I401" t="n">
        <v>1</v>
      </c>
      <c r="J401" t="n">
        <v>7</v>
      </c>
      <c r="K401" t="n">
        <v>0</v>
      </c>
      <c r="L401" t="n">
        <v>0</v>
      </c>
      <c r="M401" t="n">
        <v>0</v>
      </c>
      <c r="N401" t="n">
        <v>0</v>
      </c>
      <c r="O401" t="n">
        <v>7</v>
      </c>
      <c r="P401" t="n">
        <v>0</v>
      </c>
      <c r="Q401" t="n">
        <v>8</v>
      </c>
      <c r="R401" s="2" t="inlineStr">
        <is>
          <t>Blanksvart spiklav
Blå taggsvamp
Dvärgbägarlav
Kolflarnlav
Mörk kolflarnlav
Skrovlig taggsvamp
Vedskivlav
Dropptaggsvamp</t>
        </is>
      </c>
      <c r="S401">
        <f>HYPERLINK("https://klasma.github.io/Logging_2361/artfynd/A 42157-2025 artfynd.xlsx", "A 42157-2025")</f>
        <v/>
      </c>
      <c r="T401">
        <f>HYPERLINK("https://klasma.github.io/Logging_2361/kartor/A 42157-2025 karta.png", "A 42157-2025")</f>
        <v/>
      </c>
      <c r="V401">
        <f>HYPERLINK("https://klasma.github.io/Logging_2361/klagomål/A 42157-2025 FSC-klagomål.docx", "A 42157-2025")</f>
        <v/>
      </c>
      <c r="W401">
        <f>HYPERLINK("https://klasma.github.io/Logging_2361/klagomålsmail/A 42157-2025 FSC-klagomål mail.docx", "A 42157-2025")</f>
        <v/>
      </c>
      <c r="X401">
        <f>HYPERLINK("https://klasma.github.io/Logging_2361/tillsyn/A 42157-2025 tillsynsbegäran.docx", "A 42157-2025")</f>
        <v/>
      </c>
      <c r="Y401">
        <f>HYPERLINK("https://klasma.github.io/Logging_2361/tillsynsmail/A 42157-2025 tillsynsbegäran mail.docx", "A 42157-2025")</f>
        <v/>
      </c>
    </row>
    <row r="402" ht="15" customHeight="1">
      <c r="A402" t="inlineStr">
        <is>
          <t>A 43991-2023</t>
        </is>
      </c>
      <c r="B402" s="1" t="n">
        <v>45187</v>
      </c>
      <c r="C402" s="1" t="n">
        <v>46045</v>
      </c>
      <c r="D402" t="inlineStr">
        <is>
          <t>JÄMTLANDS LÄN</t>
        </is>
      </c>
      <c r="E402" t="inlineStr">
        <is>
          <t>BERG</t>
        </is>
      </c>
      <c r="F402" t="inlineStr">
        <is>
          <t>SCA</t>
        </is>
      </c>
      <c r="G402" t="n">
        <v>17.3</v>
      </c>
      <c r="H402" t="n">
        <v>1</v>
      </c>
      <c r="I402" t="n">
        <v>1</v>
      </c>
      <c r="J402" t="n">
        <v>7</v>
      </c>
      <c r="K402" t="n">
        <v>0</v>
      </c>
      <c r="L402" t="n">
        <v>0</v>
      </c>
      <c r="M402" t="n">
        <v>0</v>
      </c>
      <c r="N402" t="n">
        <v>0</v>
      </c>
      <c r="O402" t="n">
        <v>7</v>
      </c>
      <c r="P402" t="n">
        <v>0</v>
      </c>
      <c r="Q402" t="n">
        <v>8</v>
      </c>
      <c r="R402" s="2" t="inlineStr">
        <is>
          <t>Blå taggsvamp
Granticka
Harticka
Skrovellav
Svartvit taggsvamp
Talltita
Ullticka
Stuplav</t>
        </is>
      </c>
      <c r="S402">
        <f>HYPERLINK("https://klasma.github.io/Logging_2326/artfynd/A 43991-2023 artfynd.xlsx", "A 43991-2023")</f>
        <v/>
      </c>
      <c r="T402">
        <f>HYPERLINK("https://klasma.github.io/Logging_2326/kartor/A 43991-2023 karta.png", "A 43991-2023")</f>
        <v/>
      </c>
      <c r="V402">
        <f>HYPERLINK("https://klasma.github.io/Logging_2326/klagomål/A 43991-2023 FSC-klagomål.docx", "A 43991-2023")</f>
        <v/>
      </c>
      <c r="W402">
        <f>HYPERLINK("https://klasma.github.io/Logging_2326/klagomålsmail/A 43991-2023 FSC-klagomål mail.docx", "A 43991-2023")</f>
        <v/>
      </c>
      <c r="X402">
        <f>HYPERLINK("https://klasma.github.io/Logging_2326/tillsyn/A 43991-2023 tillsynsbegäran.docx", "A 43991-2023")</f>
        <v/>
      </c>
      <c r="Y402">
        <f>HYPERLINK("https://klasma.github.io/Logging_2326/tillsynsmail/A 43991-2023 tillsynsbegäran mail.docx", "A 43991-2023")</f>
        <v/>
      </c>
      <c r="Z402">
        <f>HYPERLINK("https://klasma.github.io/Logging_2326/fåglar/A 43991-2023 prioriterade fågelarter.docx", "A 43991-2023")</f>
        <v/>
      </c>
    </row>
    <row r="403" ht="15" customHeight="1">
      <c r="A403" t="inlineStr">
        <is>
          <t>A 7710-2024</t>
        </is>
      </c>
      <c r="B403" s="1" t="n">
        <v>45349</v>
      </c>
      <c r="C403" s="1" t="n">
        <v>46045</v>
      </c>
      <c r="D403" t="inlineStr">
        <is>
          <t>JÄMTLANDS LÄN</t>
        </is>
      </c>
      <c r="E403" t="inlineStr">
        <is>
          <t>ÖSTERSUND</t>
        </is>
      </c>
      <c r="F403" t="inlineStr">
        <is>
          <t>Övriga Aktiebolag</t>
        </is>
      </c>
      <c r="G403" t="n">
        <v>0.7</v>
      </c>
      <c r="H403" t="n">
        <v>7</v>
      </c>
      <c r="I403" t="n">
        <v>3</v>
      </c>
      <c r="J403" t="n">
        <v>2</v>
      </c>
      <c r="K403" t="n">
        <v>0</v>
      </c>
      <c r="L403" t="n">
        <v>0</v>
      </c>
      <c r="M403" t="n">
        <v>0</v>
      </c>
      <c r="N403" t="n">
        <v>0</v>
      </c>
      <c r="O403" t="n">
        <v>2</v>
      </c>
      <c r="P403" t="n">
        <v>0</v>
      </c>
      <c r="Q403" t="n">
        <v>8</v>
      </c>
      <c r="R403" s="2" t="inlineStr">
        <is>
          <t>Garnlav
Talltita
Guckusko
Spindelblomster
Tvåblad
Brudsporre
Fläcknycklar
Revlummer</t>
        </is>
      </c>
      <c r="S403">
        <f>HYPERLINK("https://klasma.github.io/Logging_2380/artfynd/A 7710-2024 artfynd.xlsx", "A 7710-2024")</f>
        <v/>
      </c>
      <c r="T403">
        <f>HYPERLINK("https://klasma.github.io/Logging_2380/kartor/A 7710-2024 karta.png", "A 7710-2024")</f>
        <v/>
      </c>
      <c r="V403">
        <f>HYPERLINK("https://klasma.github.io/Logging_2380/klagomål/A 7710-2024 FSC-klagomål.docx", "A 7710-2024")</f>
        <v/>
      </c>
      <c r="W403">
        <f>HYPERLINK("https://klasma.github.io/Logging_2380/klagomålsmail/A 7710-2024 FSC-klagomål mail.docx", "A 7710-2024")</f>
        <v/>
      </c>
      <c r="X403">
        <f>HYPERLINK("https://klasma.github.io/Logging_2380/tillsyn/A 7710-2024 tillsynsbegäran.docx", "A 7710-2024")</f>
        <v/>
      </c>
      <c r="Y403">
        <f>HYPERLINK("https://klasma.github.io/Logging_2380/tillsynsmail/A 7710-2024 tillsynsbegäran mail.docx", "A 7710-2024")</f>
        <v/>
      </c>
      <c r="Z403">
        <f>HYPERLINK("https://klasma.github.io/Logging_2380/fåglar/A 7710-2024 prioriterade fågelarter.docx", "A 7710-2024")</f>
        <v/>
      </c>
    </row>
    <row r="404" ht="15" customHeight="1">
      <c r="A404" t="inlineStr">
        <is>
          <t>A 44344-2025</t>
        </is>
      </c>
      <c r="B404" s="1" t="n">
        <v>45916.43416666667</v>
      </c>
      <c r="C404" s="1" t="n">
        <v>46045</v>
      </c>
      <c r="D404" t="inlineStr">
        <is>
          <t>JÄMTLANDS LÄN</t>
        </is>
      </c>
      <c r="E404" t="inlineStr">
        <is>
          <t>KROKOM</t>
        </is>
      </c>
      <c r="G404" t="n">
        <v>13.6</v>
      </c>
      <c r="H404" t="n">
        <v>5</v>
      </c>
      <c r="I404" t="n">
        <v>0</v>
      </c>
      <c r="J404" t="n">
        <v>7</v>
      </c>
      <c r="K404" t="n">
        <v>0</v>
      </c>
      <c r="L404" t="n">
        <v>0</v>
      </c>
      <c r="M404" t="n">
        <v>0</v>
      </c>
      <c r="N404" t="n">
        <v>0</v>
      </c>
      <c r="O404" t="n">
        <v>7</v>
      </c>
      <c r="P404" t="n">
        <v>0</v>
      </c>
      <c r="Q404" t="n">
        <v>8</v>
      </c>
      <c r="R404" s="2" t="inlineStr">
        <is>
          <t>Garnlav
Granticka
Järpe
Spillkråka
Talltita
Tretåig hackspett
Ullticka
Brudsporre</t>
        </is>
      </c>
      <c r="S404">
        <f>HYPERLINK("https://klasma.github.io/Logging_2309/artfynd/A 44344-2025 artfynd.xlsx", "A 44344-2025")</f>
        <v/>
      </c>
      <c r="T404">
        <f>HYPERLINK("https://klasma.github.io/Logging_2309/kartor/A 44344-2025 karta.png", "A 44344-2025")</f>
        <v/>
      </c>
      <c r="V404">
        <f>HYPERLINK("https://klasma.github.io/Logging_2309/klagomål/A 44344-2025 FSC-klagomål.docx", "A 44344-2025")</f>
        <v/>
      </c>
      <c r="W404">
        <f>HYPERLINK("https://klasma.github.io/Logging_2309/klagomålsmail/A 44344-2025 FSC-klagomål mail.docx", "A 44344-2025")</f>
        <v/>
      </c>
      <c r="X404">
        <f>HYPERLINK("https://klasma.github.io/Logging_2309/tillsyn/A 44344-2025 tillsynsbegäran.docx", "A 44344-2025")</f>
        <v/>
      </c>
      <c r="Y404">
        <f>HYPERLINK("https://klasma.github.io/Logging_2309/tillsynsmail/A 44344-2025 tillsynsbegäran mail.docx", "A 44344-2025")</f>
        <v/>
      </c>
      <c r="Z404">
        <f>HYPERLINK("https://klasma.github.io/Logging_2309/fåglar/A 44344-2025 prioriterade fågelarter.docx", "A 44344-2025")</f>
        <v/>
      </c>
    </row>
    <row r="405" ht="15" customHeight="1">
      <c r="A405" t="inlineStr">
        <is>
          <t>A 18885-2024</t>
        </is>
      </c>
      <c r="B405" s="1" t="n">
        <v>45426</v>
      </c>
      <c r="C405" s="1" t="n">
        <v>46045</v>
      </c>
      <c r="D405" t="inlineStr">
        <is>
          <t>JÄMTLANDS LÄN</t>
        </is>
      </c>
      <c r="E405" t="inlineStr">
        <is>
          <t>HÄRJEDALEN</t>
        </is>
      </c>
      <c r="G405" t="n">
        <v>9.4</v>
      </c>
      <c r="H405" t="n">
        <v>8</v>
      </c>
      <c r="I405" t="n">
        <v>3</v>
      </c>
      <c r="J405" t="n">
        <v>0</v>
      </c>
      <c r="K405" t="n">
        <v>0</v>
      </c>
      <c r="L405" t="n">
        <v>0</v>
      </c>
      <c r="M405" t="n">
        <v>0</v>
      </c>
      <c r="N405" t="n">
        <v>0</v>
      </c>
      <c r="O405" t="n">
        <v>0</v>
      </c>
      <c r="P405" t="n">
        <v>0</v>
      </c>
      <c r="Q405" t="n">
        <v>8</v>
      </c>
      <c r="R405" s="2" t="inlineStr">
        <is>
          <t>Korallrot
Spindelblomster
Tvåblad
Vanlig groda
Brudsporre
Fläcknycklar
Ängsnycklar
Revlummer</t>
        </is>
      </c>
      <c r="S405">
        <f>HYPERLINK("https://klasma.github.io/Logging_2361/artfynd/A 18885-2024 artfynd.xlsx", "A 18885-2024")</f>
        <v/>
      </c>
      <c r="T405">
        <f>HYPERLINK("https://klasma.github.io/Logging_2361/kartor/A 18885-2024 karta.png", "A 18885-2024")</f>
        <v/>
      </c>
      <c r="V405">
        <f>HYPERLINK("https://klasma.github.io/Logging_2361/klagomål/A 18885-2024 FSC-klagomål.docx", "A 18885-2024")</f>
        <v/>
      </c>
      <c r="W405">
        <f>HYPERLINK("https://klasma.github.io/Logging_2361/klagomålsmail/A 18885-2024 FSC-klagomål mail.docx", "A 18885-2024")</f>
        <v/>
      </c>
      <c r="X405">
        <f>HYPERLINK("https://klasma.github.io/Logging_2361/tillsyn/A 18885-2024 tillsynsbegäran.docx", "A 18885-2024")</f>
        <v/>
      </c>
      <c r="Y405">
        <f>HYPERLINK("https://klasma.github.io/Logging_2361/tillsynsmail/A 18885-2024 tillsynsbegäran mail.docx", "A 18885-2024")</f>
        <v/>
      </c>
    </row>
    <row r="406" ht="15" customHeight="1">
      <c r="A406" t="inlineStr">
        <is>
          <t>A 3634-2024</t>
        </is>
      </c>
      <c r="B406" s="1" t="n">
        <v>45320</v>
      </c>
      <c r="C406" s="1" t="n">
        <v>46045</v>
      </c>
      <c r="D406" t="inlineStr">
        <is>
          <t>JÄMTLANDS LÄN</t>
        </is>
      </c>
      <c r="E406" t="inlineStr">
        <is>
          <t>RAGUNDA</t>
        </is>
      </c>
      <c r="F406" t="inlineStr">
        <is>
          <t>SCA</t>
        </is>
      </c>
      <c r="G406" t="n">
        <v>3.5</v>
      </c>
      <c r="H406" t="n">
        <v>1</v>
      </c>
      <c r="I406" t="n">
        <v>4</v>
      </c>
      <c r="J406" t="n">
        <v>3</v>
      </c>
      <c r="K406" t="n">
        <v>1</v>
      </c>
      <c r="L406" t="n">
        <v>0</v>
      </c>
      <c r="M406" t="n">
        <v>0</v>
      </c>
      <c r="N406" t="n">
        <v>0</v>
      </c>
      <c r="O406" t="n">
        <v>4</v>
      </c>
      <c r="P406" t="n">
        <v>1</v>
      </c>
      <c r="Q406" t="n">
        <v>8</v>
      </c>
      <c r="R406" s="2" t="inlineStr">
        <is>
          <t>Smalfotad taggsvamp
Garnlav
Kolflarnlav
Lunglav
Korallrot
Luddlav
Norrlandslav
Spädstarr</t>
        </is>
      </c>
      <c r="S406">
        <f>HYPERLINK("https://klasma.github.io/Logging_2303/artfynd/A 3634-2024 artfynd.xlsx", "A 3634-2024")</f>
        <v/>
      </c>
      <c r="T406">
        <f>HYPERLINK("https://klasma.github.io/Logging_2303/kartor/A 3634-2024 karta.png", "A 3634-2024")</f>
        <v/>
      </c>
      <c r="V406">
        <f>HYPERLINK("https://klasma.github.io/Logging_2303/klagomål/A 3634-2024 FSC-klagomål.docx", "A 3634-2024")</f>
        <v/>
      </c>
      <c r="W406">
        <f>HYPERLINK("https://klasma.github.io/Logging_2303/klagomålsmail/A 3634-2024 FSC-klagomål mail.docx", "A 3634-2024")</f>
        <v/>
      </c>
      <c r="X406">
        <f>HYPERLINK("https://klasma.github.io/Logging_2303/tillsyn/A 3634-2024 tillsynsbegäran.docx", "A 3634-2024")</f>
        <v/>
      </c>
      <c r="Y406">
        <f>HYPERLINK("https://klasma.github.io/Logging_2303/tillsynsmail/A 3634-2024 tillsynsbegäran mail.docx", "A 3634-2024")</f>
        <v/>
      </c>
    </row>
    <row r="407" ht="15" customHeight="1">
      <c r="A407" t="inlineStr">
        <is>
          <t>A 55921-2023</t>
        </is>
      </c>
      <c r="B407" s="1" t="n">
        <v>45239</v>
      </c>
      <c r="C407" s="1" t="n">
        <v>46045</v>
      </c>
      <c r="D407" t="inlineStr">
        <is>
          <t>JÄMTLANDS LÄN</t>
        </is>
      </c>
      <c r="E407" t="inlineStr">
        <is>
          <t>STRÖMSUND</t>
        </is>
      </c>
      <c r="F407" t="inlineStr">
        <is>
          <t>SCA</t>
        </is>
      </c>
      <c r="G407" t="n">
        <v>6.3</v>
      </c>
      <c r="H407" t="n">
        <v>3</v>
      </c>
      <c r="I407" t="n">
        <v>2</v>
      </c>
      <c r="J407" t="n">
        <v>6</v>
      </c>
      <c r="K407" t="n">
        <v>0</v>
      </c>
      <c r="L407" t="n">
        <v>0</v>
      </c>
      <c r="M407" t="n">
        <v>0</v>
      </c>
      <c r="N407" t="n">
        <v>0</v>
      </c>
      <c r="O407" t="n">
        <v>6</v>
      </c>
      <c r="P407" t="n">
        <v>0</v>
      </c>
      <c r="Q407" t="n">
        <v>8</v>
      </c>
      <c r="R407" s="2" t="inlineStr">
        <is>
          <t>Gammelgransskål
Garnlav
Granticka
Tretåig hackspett
Ullticka
Vitgrynig nållav
Guckusko
Tvåblad</t>
        </is>
      </c>
      <c r="S407">
        <f>HYPERLINK("https://klasma.github.io/Logging_2313/artfynd/A 55921-2023 artfynd.xlsx", "A 55921-2023")</f>
        <v/>
      </c>
      <c r="T407">
        <f>HYPERLINK("https://klasma.github.io/Logging_2313/kartor/A 55921-2023 karta.png", "A 55921-2023")</f>
        <v/>
      </c>
      <c r="V407">
        <f>HYPERLINK("https://klasma.github.io/Logging_2313/klagomål/A 55921-2023 FSC-klagomål.docx", "A 55921-2023")</f>
        <v/>
      </c>
      <c r="W407">
        <f>HYPERLINK("https://klasma.github.io/Logging_2313/klagomålsmail/A 55921-2023 FSC-klagomål mail.docx", "A 55921-2023")</f>
        <v/>
      </c>
      <c r="X407">
        <f>HYPERLINK("https://klasma.github.io/Logging_2313/tillsyn/A 55921-2023 tillsynsbegäran.docx", "A 55921-2023")</f>
        <v/>
      </c>
      <c r="Y407">
        <f>HYPERLINK("https://klasma.github.io/Logging_2313/tillsynsmail/A 55921-2023 tillsynsbegäran mail.docx", "A 55921-2023")</f>
        <v/>
      </c>
      <c r="Z407">
        <f>HYPERLINK("https://klasma.github.io/Logging_2313/fåglar/A 55921-2023 prioriterade fågelarter.docx", "A 55921-2023")</f>
        <v/>
      </c>
    </row>
    <row r="408" ht="15" customHeight="1">
      <c r="A408" t="inlineStr">
        <is>
          <t>A 55922-2023</t>
        </is>
      </c>
      <c r="B408" s="1" t="n">
        <v>45239</v>
      </c>
      <c r="C408" s="1" t="n">
        <v>46045</v>
      </c>
      <c r="D408" t="inlineStr">
        <is>
          <t>JÄMTLANDS LÄN</t>
        </is>
      </c>
      <c r="E408" t="inlineStr">
        <is>
          <t>STRÖMSUND</t>
        </is>
      </c>
      <c r="F408" t="inlineStr">
        <is>
          <t>SCA</t>
        </is>
      </c>
      <c r="G408" t="n">
        <v>5.7</v>
      </c>
      <c r="H408" t="n">
        <v>3</v>
      </c>
      <c r="I408" t="n">
        <v>2</v>
      </c>
      <c r="J408" t="n">
        <v>5</v>
      </c>
      <c r="K408" t="n">
        <v>1</v>
      </c>
      <c r="L408" t="n">
        <v>0</v>
      </c>
      <c r="M408" t="n">
        <v>0</v>
      </c>
      <c r="N408" t="n">
        <v>0</v>
      </c>
      <c r="O408" t="n">
        <v>6</v>
      </c>
      <c r="P408" t="n">
        <v>1</v>
      </c>
      <c r="Q408" t="n">
        <v>8</v>
      </c>
      <c r="R408" s="2" t="inlineStr">
        <is>
          <t>Sprickporing
Granticka
Lunglav
Talltita
Tretåig hackspett
Vitgrynig nållav
Gulnål
Korallrot</t>
        </is>
      </c>
      <c r="S408">
        <f>HYPERLINK("https://klasma.github.io/Logging_2313/artfynd/A 55922-2023 artfynd.xlsx", "A 55922-2023")</f>
        <v/>
      </c>
      <c r="T408">
        <f>HYPERLINK("https://klasma.github.io/Logging_2313/kartor/A 55922-2023 karta.png", "A 55922-2023")</f>
        <v/>
      </c>
      <c r="V408">
        <f>HYPERLINK("https://klasma.github.io/Logging_2313/klagomål/A 55922-2023 FSC-klagomål.docx", "A 55922-2023")</f>
        <v/>
      </c>
      <c r="W408">
        <f>HYPERLINK("https://klasma.github.io/Logging_2313/klagomålsmail/A 55922-2023 FSC-klagomål mail.docx", "A 55922-2023")</f>
        <v/>
      </c>
      <c r="X408">
        <f>HYPERLINK("https://klasma.github.io/Logging_2313/tillsyn/A 55922-2023 tillsynsbegäran.docx", "A 55922-2023")</f>
        <v/>
      </c>
      <c r="Y408">
        <f>HYPERLINK("https://klasma.github.io/Logging_2313/tillsynsmail/A 55922-2023 tillsynsbegäran mail.docx", "A 55922-2023")</f>
        <v/>
      </c>
      <c r="Z408">
        <f>HYPERLINK("https://klasma.github.io/Logging_2313/fåglar/A 55922-2023 prioriterade fågelarter.docx", "A 55922-2023")</f>
        <v/>
      </c>
    </row>
    <row r="409" ht="15" customHeight="1">
      <c r="A409" t="inlineStr">
        <is>
          <t>A 16681-2025</t>
        </is>
      </c>
      <c r="B409" s="1" t="n">
        <v>45754</v>
      </c>
      <c r="C409" s="1" t="n">
        <v>46045</v>
      </c>
      <c r="D409" t="inlineStr">
        <is>
          <t>JÄMTLANDS LÄN</t>
        </is>
      </c>
      <c r="E409" t="inlineStr">
        <is>
          <t>ÅRE</t>
        </is>
      </c>
      <c r="G409" t="n">
        <v>9.9</v>
      </c>
      <c r="H409" t="n">
        <v>0</v>
      </c>
      <c r="I409" t="n">
        <v>2</v>
      </c>
      <c r="J409" t="n">
        <v>5</v>
      </c>
      <c r="K409" t="n">
        <v>1</v>
      </c>
      <c r="L409" t="n">
        <v>0</v>
      </c>
      <c r="M409" t="n">
        <v>0</v>
      </c>
      <c r="N409" t="n">
        <v>0</v>
      </c>
      <c r="O409" t="n">
        <v>6</v>
      </c>
      <c r="P409" t="n">
        <v>1</v>
      </c>
      <c r="Q409" t="n">
        <v>8</v>
      </c>
      <c r="R409" s="2" t="inlineStr">
        <is>
          <t>Liten sotlav
Gammelgransskål
Garnlav
Granticka
Skrovellav
Vitgrynig nållav
Diskvaxskivling
Svavelriska</t>
        </is>
      </c>
      <c r="S409">
        <f>HYPERLINK("https://klasma.github.io/Logging_2321/artfynd/A 16681-2025 artfynd.xlsx", "A 16681-2025")</f>
        <v/>
      </c>
      <c r="T409">
        <f>HYPERLINK("https://klasma.github.io/Logging_2321/kartor/A 16681-2025 karta.png", "A 16681-2025")</f>
        <v/>
      </c>
      <c r="V409">
        <f>HYPERLINK("https://klasma.github.io/Logging_2321/klagomål/A 16681-2025 FSC-klagomål.docx", "A 16681-2025")</f>
        <v/>
      </c>
      <c r="W409">
        <f>HYPERLINK("https://klasma.github.io/Logging_2321/klagomålsmail/A 16681-2025 FSC-klagomål mail.docx", "A 16681-2025")</f>
        <v/>
      </c>
      <c r="X409">
        <f>HYPERLINK("https://klasma.github.io/Logging_2321/tillsyn/A 16681-2025 tillsynsbegäran.docx", "A 16681-2025")</f>
        <v/>
      </c>
      <c r="Y409">
        <f>HYPERLINK("https://klasma.github.io/Logging_2321/tillsynsmail/A 16681-2025 tillsynsbegäran mail.docx", "A 16681-2025")</f>
        <v/>
      </c>
    </row>
    <row r="410" ht="15" customHeight="1">
      <c r="A410" t="inlineStr">
        <is>
          <t>A 48291-2025</t>
        </is>
      </c>
      <c r="B410" s="1" t="n">
        <v>45933.59506944445</v>
      </c>
      <c r="C410" s="1" t="n">
        <v>46045</v>
      </c>
      <c r="D410" t="inlineStr">
        <is>
          <t>JÄMTLANDS LÄN</t>
        </is>
      </c>
      <c r="E410" t="inlineStr">
        <is>
          <t>STRÖMSUND</t>
        </is>
      </c>
      <c r="G410" t="n">
        <v>11.1</v>
      </c>
      <c r="H410" t="n">
        <v>0</v>
      </c>
      <c r="I410" t="n">
        <v>0</v>
      </c>
      <c r="J410" t="n">
        <v>8</v>
      </c>
      <c r="K410" t="n">
        <v>0</v>
      </c>
      <c r="L410" t="n">
        <v>0</v>
      </c>
      <c r="M410" t="n">
        <v>0</v>
      </c>
      <c r="N410" t="n">
        <v>0</v>
      </c>
      <c r="O410" t="n">
        <v>8</v>
      </c>
      <c r="P410" t="n">
        <v>0</v>
      </c>
      <c r="Q410" t="n">
        <v>8</v>
      </c>
      <c r="R410" s="2" t="inlineStr">
        <is>
          <t>Blanksvart spiklav
Blågrå svartspik
Dvärgbägarlav
Garnlav
Kolflarnlav
Lunglav
Skrovellav
Vedskivlav</t>
        </is>
      </c>
      <c r="S410">
        <f>HYPERLINK("https://klasma.github.io/Logging_2313/artfynd/A 48291-2025 artfynd.xlsx", "A 48291-2025")</f>
        <v/>
      </c>
      <c r="T410">
        <f>HYPERLINK("https://klasma.github.io/Logging_2313/kartor/A 48291-2025 karta.png", "A 48291-2025")</f>
        <v/>
      </c>
      <c r="V410">
        <f>HYPERLINK("https://klasma.github.io/Logging_2313/klagomål/A 48291-2025 FSC-klagomål.docx", "A 48291-2025")</f>
        <v/>
      </c>
      <c r="W410">
        <f>HYPERLINK("https://klasma.github.io/Logging_2313/klagomålsmail/A 48291-2025 FSC-klagomål mail.docx", "A 48291-2025")</f>
        <v/>
      </c>
      <c r="X410">
        <f>HYPERLINK("https://klasma.github.io/Logging_2313/tillsyn/A 48291-2025 tillsynsbegäran.docx", "A 48291-2025")</f>
        <v/>
      </c>
      <c r="Y410">
        <f>HYPERLINK("https://klasma.github.io/Logging_2313/tillsynsmail/A 48291-2025 tillsynsbegäran mail.docx", "A 48291-2025")</f>
        <v/>
      </c>
    </row>
    <row r="411" ht="15" customHeight="1">
      <c r="A411" t="inlineStr">
        <is>
          <t>A 49372-2024</t>
        </is>
      </c>
      <c r="B411" s="1" t="n">
        <v>45595.64168981482</v>
      </c>
      <c r="C411" s="1" t="n">
        <v>46045</v>
      </c>
      <c r="D411" t="inlineStr">
        <is>
          <t>JÄMTLANDS LÄN</t>
        </is>
      </c>
      <c r="E411" t="inlineStr">
        <is>
          <t>BRÄCKE</t>
        </is>
      </c>
      <c r="F411" t="inlineStr">
        <is>
          <t>SCA</t>
        </is>
      </c>
      <c r="G411" t="n">
        <v>11.1</v>
      </c>
      <c r="H411" t="n">
        <v>1</v>
      </c>
      <c r="I411" t="n">
        <v>1</v>
      </c>
      <c r="J411" t="n">
        <v>5</v>
      </c>
      <c r="K411" t="n">
        <v>2</v>
      </c>
      <c r="L411" t="n">
        <v>0</v>
      </c>
      <c r="M411" t="n">
        <v>0</v>
      </c>
      <c r="N411" t="n">
        <v>0</v>
      </c>
      <c r="O411" t="n">
        <v>7</v>
      </c>
      <c r="P411" t="n">
        <v>2</v>
      </c>
      <c r="Q411" t="n">
        <v>8</v>
      </c>
      <c r="R411" s="2" t="inlineStr">
        <is>
          <t>Doftticka
Rynkskinn
Doftskinn
Gammelgransskål
Garnlav
Granticka
Lunglav
Dropptaggsvamp</t>
        </is>
      </c>
      <c r="S411">
        <f>HYPERLINK("https://klasma.github.io/Logging_2305/artfynd/A 49372-2024 artfynd.xlsx", "A 49372-2024")</f>
        <v/>
      </c>
      <c r="T411">
        <f>HYPERLINK("https://klasma.github.io/Logging_2305/kartor/A 49372-2024 karta.png", "A 49372-2024")</f>
        <v/>
      </c>
      <c r="U411">
        <f>HYPERLINK("https://klasma.github.io/Logging_2305/knärot/A 49372-2024 karta knärot.png", "A 49372-2024")</f>
        <v/>
      </c>
      <c r="V411">
        <f>HYPERLINK("https://klasma.github.io/Logging_2305/klagomål/A 49372-2024 FSC-klagomål.docx", "A 49372-2024")</f>
        <v/>
      </c>
      <c r="W411">
        <f>HYPERLINK("https://klasma.github.io/Logging_2305/klagomålsmail/A 49372-2024 FSC-klagomål mail.docx", "A 49372-2024")</f>
        <v/>
      </c>
      <c r="X411">
        <f>HYPERLINK("https://klasma.github.io/Logging_2305/tillsyn/A 49372-2024 tillsynsbegäran.docx", "A 49372-2024")</f>
        <v/>
      </c>
      <c r="Y411">
        <f>HYPERLINK("https://klasma.github.io/Logging_2305/tillsynsmail/A 49372-2024 tillsynsbegäran mail.docx", "A 49372-2024")</f>
        <v/>
      </c>
    </row>
    <row r="412" ht="15" customHeight="1">
      <c r="A412" t="inlineStr">
        <is>
          <t>A 49755-2025</t>
        </is>
      </c>
      <c r="B412" s="1" t="n">
        <v>45940.345625</v>
      </c>
      <c r="C412" s="1" t="n">
        <v>46045</v>
      </c>
      <c r="D412" t="inlineStr">
        <is>
          <t>JÄMTLANDS LÄN</t>
        </is>
      </c>
      <c r="E412" t="inlineStr">
        <is>
          <t>STRÖMSUND</t>
        </is>
      </c>
      <c r="F412" t="inlineStr">
        <is>
          <t>SCA</t>
        </is>
      </c>
      <c r="G412" t="n">
        <v>2.7</v>
      </c>
      <c r="H412" t="n">
        <v>2</v>
      </c>
      <c r="I412" t="n">
        <v>5</v>
      </c>
      <c r="J412" t="n">
        <v>2</v>
      </c>
      <c r="K412" t="n">
        <v>0</v>
      </c>
      <c r="L412" t="n">
        <v>0</v>
      </c>
      <c r="M412" t="n">
        <v>0</v>
      </c>
      <c r="N412" t="n">
        <v>0</v>
      </c>
      <c r="O412" t="n">
        <v>2</v>
      </c>
      <c r="P412" t="n">
        <v>0</v>
      </c>
      <c r="Q412" t="n">
        <v>8</v>
      </c>
      <c r="R412" s="2" t="inlineStr">
        <is>
          <t>Garnlav
Skrovellav
Bårdlav
Mörk husmossa
Spindelblomster
Stuplav
Vedticka
Fläcknycklar</t>
        </is>
      </c>
      <c r="S412">
        <f>HYPERLINK("https://klasma.github.io/Logging_2313/artfynd/A 49755-2025 artfynd.xlsx", "A 49755-2025")</f>
        <v/>
      </c>
      <c r="T412">
        <f>HYPERLINK("https://klasma.github.io/Logging_2313/kartor/A 49755-2025 karta.png", "A 49755-2025")</f>
        <v/>
      </c>
      <c r="V412">
        <f>HYPERLINK("https://klasma.github.io/Logging_2313/klagomål/A 49755-2025 FSC-klagomål.docx", "A 49755-2025")</f>
        <v/>
      </c>
      <c r="W412">
        <f>HYPERLINK("https://klasma.github.io/Logging_2313/klagomålsmail/A 49755-2025 FSC-klagomål mail.docx", "A 49755-2025")</f>
        <v/>
      </c>
      <c r="X412">
        <f>HYPERLINK("https://klasma.github.io/Logging_2313/tillsyn/A 49755-2025 tillsynsbegäran.docx", "A 49755-2025")</f>
        <v/>
      </c>
      <c r="Y412">
        <f>HYPERLINK("https://klasma.github.io/Logging_2313/tillsynsmail/A 49755-2025 tillsynsbegäran mail.docx", "A 49755-2025")</f>
        <v/>
      </c>
    </row>
    <row r="413" ht="15" customHeight="1">
      <c r="A413" t="inlineStr">
        <is>
          <t>A 23313-2025</t>
        </is>
      </c>
      <c r="B413" s="1" t="n">
        <v>45791.61067129629</v>
      </c>
      <c r="C413" s="1" t="n">
        <v>46045</v>
      </c>
      <c r="D413" t="inlineStr">
        <is>
          <t>JÄMTLANDS LÄN</t>
        </is>
      </c>
      <c r="E413" t="inlineStr">
        <is>
          <t>STRÖMSUND</t>
        </is>
      </c>
      <c r="G413" t="n">
        <v>5.8</v>
      </c>
      <c r="H413" t="n">
        <v>8</v>
      </c>
      <c r="I413" t="n">
        <v>0</v>
      </c>
      <c r="J413" t="n">
        <v>3</v>
      </c>
      <c r="K413" t="n">
        <v>0</v>
      </c>
      <c r="L413" t="n">
        <v>1</v>
      </c>
      <c r="M413" t="n">
        <v>0</v>
      </c>
      <c r="N413" t="n">
        <v>0</v>
      </c>
      <c r="O413" t="n">
        <v>4</v>
      </c>
      <c r="P413" t="n">
        <v>1</v>
      </c>
      <c r="Q413" t="n">
        <v>8</v>
      </c>
      <c r="R413" s="2" t="inlineStr">
        <is>
          <t>Storspov
Rödvingetrast
Spillkråka
Ärtsångare
Enkelbeckasin
Grönsiska
Kungsfågel
Orre</t>
        </is>
      </c>
      <c r="S413">
        <f>HYPERLINK("https://klasma.github.io/Logging_2313/artfynd/A 23313-2025 artfynd.xlsx", "A 23313-2025")</f>
        <v/>
      </c>
      <c r="T413">
        <f>HYPERLINK("https://klasma.github.io/Logging_2313/kartor/A 23313-2025 karta.png", "A 23313-2025")</f>
        <v/>
      </c>
      <c r="V413">
        <f>HYPERLINK("https://klasma.github.io/Logging_2313/klagomål/A 23313-2025 FSC-klagomål.docx", "A 23313-2025")</f>
        <v/>
      </c>
      <c r="W413">
        <f>HYPERLINK("https://klasma.github.io/Logging_2313/klagomålsmail/A 23313-2025 FSC-klagomål mail.docx", "A 23313-2025")</f>
        <v/>
      </c>
      <c r="X413">
        <f>HYPERLINK("https://klasma.github.io/Logging_2313/tillsyn/A 23313-2025 tillsynsbegäran.docx", "A 23313-2025")</f>
        <v/>
      </c>
      <c r="Y413">
        <f>HYPERLINK("https://klasma.github.io/Logging_2313/tillsynsmail/A 23313-2025 tillsynsbegäran mail.docx", "A 23313-2025")</f>
        <v/>
      </c>
      <c r="Z413">
        <f>HYPERLINK("https://klasma.github.io/Logging_2313/fåglar/A 23313-2025 prioriterade fågelarter.docx", "A 23313-2025")</f>
        <v/>
      </c>
    </row>
    <row r="414" ht="15" customHeight="1">
      <c r="A414" t="inlineStr">
        <is>
          <t>A 43541-2023</t>
        </is>
      </c>
      <c r="B414" s="1" t="n">
        <v>45181</v>
      </c>
      <c r="C414" s="1" t="n">
        <v>46045</v>
      </c>
      <c r="D414" t="inlineStr">
        <is>
          <t>JÄMTLANDS LÄN</t>
        </is>
      </c>
      <c r="E414" t="inlineStr">
        <is>
          <t>KROKOM</t>
        </is>
      </c>
      <c r="G414" t="n">
        <v>14.3</v>
      </c>
      <c r="H414" t="n">
        <v>1</v>
      </c>
      <c r="I414" t="n">
        <v>3</v>
      </c>
      <c r="J414" t="n">
        <v>5</v>
      </c>
      <c r="K414" t="n">
        <v>0</v>
      </c>
      <c r="L414" t="n">
        <v>0</v>
      </c>
      <c r="M414" t="n">
        <v>0</v>
      </c>
      <c r="N414" t="n">
        <v>0</v>
      </c>
      <c r="O414" t="n">
        <v>5</v>
      </c>
      <c r="P414" t="n">
        <v>0</v>
      </c>
      <c r="Q414" t="n">
        <v>8</v>
      </c>
      <c r="R414" s="2" t="inlineStr">
        <is>
          <t>Doftskinn
Garnlav
Granticka
Harticka
Tretåig hackspett
Gytterlav
Stuplav
Trådticka</t>
        </is>
      </c>
      <c r="S414">
        <f>HYPERLINK("https://klasma.github.io/Logging_2309/artfynd/A 43541-2023 artfynd.xlsx", "A 43541-2023")</f>
        <v/>
      </c>
      <c r="T414">
        <f>HYPERLINK("https://klasma.github.io/Logging_2309/kartor/A 43541-2023 karta.png", "A 43541-2023")</f>
        <v/>
      </c>
      <c r="V414">
        <f>HYPERLINK("https://klasma.github.io/Logging_2309/klagomål/A 43541-2023 FSC-klagomål.docx", "A 43541-2023")</f>
        <v/>
      </c>
      <c r="W414">
        <f>HYPERLINK("https://klasma.github.io/Logging_2309/klagomålsmail/A 43541-2023 FSC-klagomål mail.docx", "A 43541-2023")</f>
        <v/>
      </c>
      <c r="X414">
        <f>HYPERLINK("https://klasma.github.io/Logging_2309/tillsyn/A 43541-2023 tillsynsbegäran.docx", "A 43541-2023")</f>
        <v/>
      </c>
      <c r="Y414">
        <f>HYPERLINK("https://klasma.github.io/Logging_2309/tillsynsmail/A 43541-2023 tillsynsbegäran mail.docx", "A 43541-2023")</f>
        <v/>
      </c>
      <c r="Z414">
        <f>HYPERLINK("https://klasma.github.io/Logging_2309/fåglar/A 43541-2023 prioriterade fågelarter.docx", "A 43541-2023")</f>
        <v/>
      </c>
    </row>
    <row r="415" ht="15" customHeight="1">
      <c r="A415" t="inlineStr">
        <is>
          <t>A 62118-2023</t>
        </is>
      </c>
      <c r="B415" s="1" t="n">
        <v>45267</v>
      </c>
      <c r="C415" s="1" t="n">
        <v>46045</v>
      </c>
      <c r="D415" t="inlineStr">
        <is>
          <t>JÄMTLANDS LÄN</t>
        </is>
      </c>
      <c r="E415" t="inlineStr">
        <is>
          <t>KROKOM</t>
        </is>
      </c>
      <c r="G415" t="n">
        <v>5.3</v>
      </c>
      <c r="H415" t="n">
        <v>5</v>
      </c>
      <c r="I415" t="n">
        <v>1</v>
      </c>
      <c r="J415" t="n">
        <v>5</v>
      </c>
      <c r="K415" t="n">
        <v>2</v>
      </c>
      <c r="L415" t="n">
        <v>0</v>
      </c>
      <c r="M415" t="n">
        <v>0</v>
      </c>
      <c r="N415" t="n">
        <v>0</v>
      </c>
      <c r="O415" t="n">
        <v>7</v>
      </c>
      <c r="P415" t="n">
        <v>2</v>
      </c>
      <c r="Q415" t="n">
        <v>8</v>
      </c>
      <c r="R415" s="2" t="inlineStr">
        <is>
          <t>Doftticka
Knärot
Garnlav
Lunglav
Spillkråka
Talltita
Tretåig hackspett
Skinnlav</t>
        </is>
      </c>
      <c r="S415">
        <f>HYPERLINK("https://klasma.github.io/Logging_2309/artfynd/A 62118-2023 artfynd.xlsx", "A 62118-2023")</f>
        <v/>
      </c>
      <c r="T415">
        <f>HYPERLINK("https://klasma.github.io/Logging_2309/kartor/A 62118-2023 karta.png", "A 62118-2023")</f>
        <v/>
      </c>
      <c r="U415">
        <f>HYPERLINK("https://klasma.github.io/Logging_2309/knärot/A 62118-2023 karta knärot.png", "A 62118-2023")</f>
        <v/>
      </c>
      <c r="V415">
        <f>HYPERLINK("https://klasma.github.io/Logging_2309/klagomål/A 62118-2023 FSC-klagomål.docx", "A 62118-2023")</f>
        <v/>
      </c>
      <c r="W415">
        <f>HYPERLINK("https://klasma.github.io/Logging_2309/klagomålsmail/A 62118-2023 FSC-klagomål mail.docx", "A 62118-2023")</f>
        <v/>
      </c>
      <c r="X415">
        <f>HYPERLINK("https://klasma.github.io/Logging_2309/tillsyn/A 62118-2023 tillsynsbegäran.docx", "A 62118-2023")</f>
        <v/>
      </c>
      <c r="Y415">
        <f>HYPERLINK("https://klasma.github.io/Logging_2309/tillsynsmail/A 62118-2023 tillsynsbegäran mail.docx", "A 62118-2023")</f>
        <v/>
      </c>
      <c r="Z415">
        <f>HYPERLINK("https://klasma.github.io/Logging_2309/fåglar/A 62118-2023 prioriterade fågelarter.docx", "A 62118-2023")</f>
        <v/>
      </c>
    </row>
    <row r="416" ht="15" customHeight="1">
      <c r="A416" t="inlineStr">
        <is>
          <t>A 51037-2025</t>
        </is>
      </c>
      <c r="B416" s="1" t="n">
        <v>45947.40729166667</v>
      </c>
      <c r="C416" s="1" t="n">
        <v>46045</v>
      </c>
      <c r="D416" t="inlineStr">
        <is>
          <t>JÄMTLANDS LÄN</t>
        </is>
      </c>
      <c r="E416" t="inlineStr">
        <is>
          <t>RAGUNDA</t>
        </is>
      </c>
      <c r="F416" t="inlineStr">
        <is>
          <t>SCA</t>
        </is>
      </c>
      <c r="G416" t="n">
        <v>3.8</v>
      </c>
      <c r="H416" t="n">
        <v>2</v>
      </c>
      <c r="I416" t="n">
        <v>2</v>
      </c>
      <c r="J416" t="n">
        <v>5</v>
      </c>
      <c r="K416" t="n">
        <v>1</v>
      </c>
      <c r="L416" t="n">
        <v>0</v>
      </c>
      <c r="M416" t="n">
        <v>0</v>
      </c>
      <c r="N416" t="n">
        <v>0</v>
      </c>
      <c r="O416" t="n">
        <v>6</v>
      </c>
      <c r="P416" t="n">
        <v>1</v>
      </c>
      <c r="Q416" t="n">
        <v>8</v>
      </c>
      <c r="R416" s="2" t="inlineStr">
        <is>
          <t>Knärot
Garnlav
Granticka
Lunglav
Rosenticka
Vedskivlav
Korallrot
Ögonpyrola</t>
        </is>
      </c>
      <c r="S416">
        <f>HYPERLINK("https://klasma.github.io/Logging_2303/artfynd/A 51037-2025 artfynd.xlsx", "A 51037-2025")</f>
        <v/>
      </c>
      <c r="T416">
        <f>HYPERLINK("https://klasma.github.io/Logging_2303/kartor/A 51037-2025 karta.png", "A 51037-2025")</f>
        <v/>
      </c>
      <c r="U416">
        <f>HYPERLINK("https://klasma.github.io/Logging_2303/knärot/A 51037-2025 karta knärot.png", "A 51037-2025")</f>
        <v/>
      </c>
      <c r="V416">
        <f>HYPERLINK("https://klasma.github.io/Logging_2303/klagomål/A 51037-2025 FSC-klagomål.docx", "A 51037-2025")</f>
        <v/>
      </c>
      <c r="W416">
        <f>HYPERLINK("https://klasma.github.io/Logging_2303/klagomålsmail/A 51037-2025 FSC-klagomål mail.docx", "A 51037-2025")</f>
        <v/>
      </c>
      <c r="X416">
        <f>HYPERLINK("https://klasma.github.io/Logging_2303/tillsyn/A 51037-2025 tillsynsbegäran.docx", "A 51037-2025")</f>
        <v/>
      </c>
      <c r="Y416">
        <f>HYPERLINK("https://klasma.github.io/Logging_2303/tillsynsmail/A 51037-2025 tillsynsbegäran mail.docx", "A 51037-2025")</f>
        <v/>
      </c>
    </row>
    <row r="417" ht="15" customHeight="1">
      <c r="A417" t="inlineStr">
        <is>
          <t>A 24732-2025</t>
        </is>
      </c>
      <c r="B417" s="1" t="n">
        <v>45799.34421296296</v>
      </c>
      <c r="C417" s="1" t="n">
        <v>46045</v>
      </c>
      <c r="D417" t="inlineStr">
        <is>
          <t>JÄMTLANDS LÄN</t>
        </is>
      </c>
      <c r="E417" t="inlineStr">
        <is>
          <t>RAGUNDA</t>
        </is>
      </c>
      <c r="F417" t="inlineStr">
        <is>
          <t>SCA</t>
        </is>
      </c>
      <c r="G417" t="n">
        <v>16.2</v>
      </c>
      <c r="H417" t="n">
        <v>1</v>
      </c>
      <c r="I417" t="n">
        <v>3</v>
      </c>
      <c r="J417" t="n">
        <v>4</v>
      </c>
      <c r="K417" t="n">
        <v>1</v>
      </c>
      <c r="L417" t="n">
        <v>0</v>
      </c>
      <c r="M417" t="n">
        <v>0</v>
      </c>
      <c r="N417" t="n">
        <v>0</v>
      </c>
      <c r="O417" t="n">
        <v>5</v>
      </c>
      <c r="P417" t="n">
        <v>1</v>
      </c>
      <c r="Q417" t="n">
        <v>8</v>
      </c>
      <c r="R417" s="2" t="inlineStr">
        <is>
          <t>Knärot
Gammelgransskål
Garnlav
Lunglav
Vitgrynig nållav
Bollvitmossa
Skarp dropptaggsvamp
Svavelriska</t>
        </is>
      </c>
      <c r="S417">
        <f>HYPERLINK("https://klasma.github.io/Logging_2303/artfynd/A 24732-2025 artfynd.xlsx", "A 24732-2025")</f>
        <v/>
      </c>
      <c r="T417">
        <f>HYPERLINK("https://klasma.github.io/Logging_2303/kartor/A 24732-2025 karta.png", "A 24732-2025")</f>
        <v/>
      </c>
      <c r="U417">
        <f>HYPERLINK("https://klasma.github.io/Logging_2303/knärot/A 24732-2025 karta knärot.png", "A 24732-2025")</f>
        <v/>
      </c>
      <c r="V417">
        <f>HYPERLINK("https://klasma.github.io/Logging_2303/klagomål/A 24732-2025 FSC-klagomål.docx", "A 24732-2025")</f>
        <v/>
      </c>
      <c r="W417">
        <f>HYPERLINK("https://klasma.github.io/Logging_2303/klagomålsmail/A 24732-2025 FSC-klagomål mail.docx", "A 24732-2025")</f>
        <v/>
      </c>
      <c r="X417">
        <f>HYPERLINK("https://klasma.github.io/Logging_2303/tillsyn/A 24732-2025 tillsynsbegäran.docx", "A 24732-2025")</f>
        <v/>
      </c>
      <c r="Y417">
        <f>HYPERLINK("https://klasma.github.io/Logging_2303/tillsynsmail/A 24732-2025 tillsynsbegäran mail.docx", "A 24732-2025")</f>
        <v/>
      </c>
    </row>
    <row r="418" ht="15" customHeight="1">
      <c r="A418" t="inlineStr">
        <is>
          <t>A 53766-2025</t>
        </is>
      </c>
      <c r="B418" s="1" t="n">
        <v>45960.67778935185</v>
      </c>
      <c r="C418" s="1" t="n">
        <v>46045</v>
      </c>
      <c r="D418" t="inlineStr">
        <is>
          <t>JÄMTLANDS LÄN</t>
        </is>
      </c>
      <c r="E418" t="inlineStr">
        <is>
          <t>KROKOM</t>
        </is>
      </c>
      <c r="G418" t="n">
        <v>5</v>
      </c>
      <c r="H418" t="n">
        <v>1</v>
      </c>
      <c r="I418" t="n">
        <v>4</v>
      </c>
      <c r="J418" t="n">
        <v>3</v>
      </c>
      <c r="K418" t="n">
        <v>0</v>
      </c>
      <c r="L418" t="n">
        <v>0</v>
      </c>
      <c r="M418" t="n">
        <v>0</v>
      </c>
      <c r="N418" t="n">
        <v>0</v>
      </c>
      <c r="O418" t="n">
        <v>3</v>
      </c>
      <c r="P418" t="n">
        <v>0</v>
      </c>
      <c r="Q418" t="n">
        <v>8</v>
      </c>
      <c r="R418" s="2" t="inlineStr">
        <is>
          <t>Garnlav
Harticka
Ullticka
Mörk husmossa
Svavelriska
Trådticka
Ögonpyrola
Blåsippa</t>
        </is>
      </c>
      <c r="S418">
        <f>HYPERLINK("https://klasma.github.io/Logging_2309/artfynd/A 53766-2025 artfynd.xlsx", "A 53766-2025")</f>
        <v/>
      </c>
      <c r="T418">
        <f>HYPERLINK("https://klasma.github.io/Logging_2309/kartor/A 53766-2025 karta.png", "A 53766-2025")</f>
        <v/>
      </c>
      <c r="V418">
        <f>HYPERLINK("https://klasma.github.io/Logging_2309/klagomål/A 53766-2025 FSC-klagomål.docx", "A 53766-2025")</f>
        <v/>
      </c>
      <c r="W418">
        <f>HYPERLINK("https://klasma.github.io/Logging_2309/klagomålsmail/A 53766-2025 FSC-klagomål mail.docx", "A 53766-2025")</f>
        <v/>
      </c>
      <c r="X418">
        <f>HYPERLINK("https://klasma.github.io/Logging_2309/tillsyn/A 53766-2025 tillsynsbegäran.docx", "A 53766-2025")</f>
        <v/>
      </c>
      <c r="Y418">
        <f>HYPERLINK("https://klasma.github.io/Logging_2309/tillsynsmail/A 53766-2025 tillsynsbegäran mail.docx", "A 53766-2025")</f>
        <v/>
      </c>
    </row>
    <row r="419" ht="15" customHeight="1">
      <c r="A419" t="inlineStr">
        <is>
          <t>A 62738-2025</t>
        </is>
      </c>
      <c r="B419" s="1" t="n">
        <v>46008.57341435185</v>
      </c>
      <c r="C419" s="1" t="n">
        <v>46045</v>
      </c>
      <c r="D419" t="inlineStr">
        <is>
          <t>JÄMTLANDS LÄN</t>
        </is>
      </c>
      <c r="E419" t="inlineStr">
        <is>
          <t>RAGUNDA</t>
        </is>
      </c>
      <c r="F419" t="inlineStr">
        <is>
          <t>SCA</t>
        </is>
      </c>
      <c r="G419" t="n">
        <v>2.2</v>
      </c>
      <c r="H419" t="n">
        <v>1</v>
      </c>
      <c r="I419" t="n">
        <v>3</v>
      </c>
      <c r="J419" t="n">
        <v>4</v>
      </c>
      <c r="K419" t="n">
        <v>1</v>
      </c>
      <c r="L419" t="n">
        <v>0</v>
      </c>
      <c r="M419" t="n">
        <v>0</v>
      </c>
      <c r="N419" t="n">
        <v>0</v>
      </c>
      <c r="O419" t="n">
        <v>5</v>
      </c>
      <c r="P419" t="n">
        <v>1</v>
      </c>
      <c r="Q419" t="n">
        <v>8</v>
      </c>
      <c r="R419" s="2" t="inlineStr">
        <is>
          <t>Knärot
Garnlav
Ullticka
Vedflamlav
Vedtrappmossa
Dropptaggsvamp
Gullgröppa
Gulnål</t>
        </is>
      </c>
      <c r="S419">
        <f>HYPERLINK("https://klasma.github.io/Logging_2303/artfynd/A 62738-2025 artfynd.xlsx", "A 62738-2025")</f>
        <v/>
      </c>
      <c r="T419">
        <f>HYPERLINK("https://klasma.github.io/Logging_2303/kartor/A 62738-2025 karta.png", "A 62738-2025")</f>
        <v/>
      </c>
      <c r="U419">
        <f>HYPERLINK("https://klasma.github.io/Logging_2303/knärot/A 62738-2025 karta knärot.png", "A 62738-2025")</f>
        <v/>
      </c>
      <c r="V419">
        <f>HYPERLINK("https://klasma.github.io/Logging_2303/klagomål/A 62738-2025 FSC-klagomål.docx", "A 62738-2025")</f>
        <v/>
      </c>
      <c r="W419">
        <f>HYPERLINK("https://klasma.github.io/Logging_2303/klagomålsmail/A 62738-2025 FSC-klagomål mail.docx", "A 62738-2025")</f>
        <v/>
      </c>
      <c r="X419">
        <f>HYPERLINK("https://klasma.github.io/Logging_2303/tillsyn/A 62738-2025 tillsynsbegäran.docx", "A 62738-2025")</f>
        <v/>
      </c>
      <c r="Y419">
        <f>HYPERLINK("https://klasma.github.io/Logging_2303/tillsynsmail/A 62738-2025 tillsynsbegäran mail.docx", "A 62738-2025")</f>
        <v/>
      </c>
    </row>
    <row r="420" ht="15" customHeight="1">
      <c r="A420" t="inlineStr">
        <is>
          <t>A 19014-2021</t>
        </is>
      </c>
      <c r="B420" s="1" t="n">
        <v>44308</v>
      </c>
      <c r="C420" s="1" t="n">
        <v>46045</v>
      </c>
      <c r="D420" t="inlineStr">
        <is>
          <t>JÄMTLANDS LÄN</t>
        </is>
      </c>
      <c r="E420" t="inlineStr">
        <is>
          <t>KROKOM</t>
        </is>
      </c>
      <c r="G420" t="n">
        <v>4.5</v>
      </c>
      <c r="H420" t="n">
        <v>2</v>
      </c>
      <c r="I420" t="n">
        <v>2</v>
      </c>
      <c r="J420" t="n">
        <v>5</v>
      </c>
      <c r="K420" t="n">
        <v>0</v>
      </c>
      <c r="L420" t="n">
        <v>0</v>
      </c>
      <c r="M420" t="n">
        <v>0</v>
      </c>
      <c r="N420" t="n">
        <v>0</v>
      </c>
      <c r="O420" t="n">
        <v>5</v>
      </c>
      <c r="P420" t="n">
        <v>0</v>
      </c>
      <c r="Q420" t="n">
        <v>8</v>
      </c>
      <c r="R420" s="2" t="inlineStr">
        <is>
          <t>Doftskinn
Garnlav
Lunglav
Skrovellav
Äggvaxskivling
Kransrams
Spindelblomster
Fläcknycklar</t>
        </is>
      </c>
      <c r="S420">
        <f>HYPERLINK("https://klasma.github.io/Logging_2309/artfynd/A 19014-2021 artfynd.xlsx", "A 19014-2021")</f>
        <v/>
      </c>
      <c r="T420">
        <f>HYPERLINK("https://klasma.github.io/Logging_2309/kartor/A 19014-2021 karta.png", "A 19014-2021")</f>
        <v/>
      </c>
      <c r="V420">
        <f>HYPERLINK("https://klasma.github.io/Logging_2309/klagomål/A 19014-2021 FSC-klagomål.docx", "A 19014-2021")</f>
        <v/>
      </c>
      <c r="W420">
        <f>HYPERLINK("https://klasma.github.io/Logging_2309/klagomålsmail/A 19014-2021 FSC-klagomål mail.docx", "A 19014-2021")</f>
        <v/>
      </c>
      <c r="X420">
        <f>HYPERLINK("https://klasma.github.io/Logging_2309/tillsyn/A 19014-2021 tillsynsbegäran.docx", "A 19014-2021")</f>
        <v/>
      </c>
      <c r="Y420">
        <f>HYPERLINK("https://klasma.github.io/Logging_2309/tillsynsmail/A 19014-2021 tillsynsbegäran mail.docx", "A 19014-2021")</f>
        <v/>
      </c>
    </row>
    <row r="421" ht="15" customHeight="1">
      <c r="A421" t="inlineStr">
        <is>
          <t>A 63193-2025</t>
        </is>
      </c>
      <c r="B421" s="1" t="n">
        <v>46010.45428240741</v>
      </c>
      <c r="C421" s="1" t="n">
        <v>46045</v>
      </c>
      <c r="D421" t="inlineStr">
        <is>
          <t>JÄMTLANDS LÄN</t>
        </is>
      </c>
      <c r="E421" t="inlineStr">
        <is>
          <t>ÖSTERSUND</t>
        </is>
      </c>
      <c r="G421" t="n">
        <v>9</v>
      </c>
      <c r="H421" t="n">
        <v>1</v>
      </c>
      <c r="I421" t="n">
        <v>1</v>
      </c>
      <c r="J421" t="n">
        <v>7</v>
      </c>
      <c r="K421" t="n">
        <v>0</v>
      </c>
      <c r="L421" t="n">
        <v>0</v>
      </c>
      <c r="M421" t="n">
        <v>0</v>
      </c>
      <c r="N421" t="n">
        <v>0</v>
      </c>
      <c r="O421" t="n">
        <v>7</v>
      </c>
      <c r="P421" t="n">
        <v>0</v>
      </c>
      <c r="Q421" t="n">
        <v>8</v>
      </c>
      <c r="R421" s="2" t="inlineStr">
        <is>
          <t>Garnlav
Granticka
Harticka
Lunglav
Skrovellav
Tretåig hackspett
Ullticka
Kransrams</t>
        </is>
      </c>
      <c r="S421">
        <f>HYPERLINK("https://klasma.github.io/Logging_2380/artfynd/A 63193-2025 artfynd.xlsx", "A 63193-2025")</f>
        <v/>
      </c>
      <c r="T421">
        <f>HYPERLINK("https://klasma.github.io/Logging_2380/kartor/A 63193-2025 karta.png", "A 63193-2025")</f>
        <v/>
      </c>
      <c r="U421">
        <f>HYPERLINK("https://klasma.github.io/Logging_2380/knärot/A 63193-2025 karta knärot.png", "A 63193-2025")</f>
        <v/>
      </c>
      <c r="V421">
        <f>HYPERLINK("https://klasma.github.io/Logging_2380/klagomål/A 63193-2025 FSC-klagomål.docx", "A 63193-2025")</f>
        <v/>
      </c>
      <c r="W421">
        <f>HYPERLINK("https://klasma.github.io/Logging_2380/klagomålsmail/A 63193-2025 FSC-klagomål mail.docx", "A 63193-2025")</f>
        <v/>
      </c>
      <c r="X421">
        <f>HYPERLINK("https://klasma.github.io/Logging_2380/tillsyn/A 63193-2025 tillsynsbegäran.docx", "A 63193-2025")</f>
        <v/>
      </c>
      <c r="Y421">
        <f>HYPERLINK("https://klasma.github.io/Logging_2380/tillsynsmail/A 63193-2025 tillsynsbegäran mail.docx", "A 63193-2025")</f>
        <v/>
      </c>
      <c r="Z421">
        <f>HYPERLINK("https://klasma.github.io/Logging_2380/fåglar/A 63193-2025 prioriterade fågelarter.docx", "A 63193-2025")</f>
        <v/>
      </c>
    </row>
    <row r="422" ht="15" customHeight="1">
      <c r="A422" t="inlineStr">
        <is>
          <t>A 63179-2025</t>
        </is>
      </c>
      <c r="B422" s="1" t="n">
        <v>46010.42215277778</v>
      </c>
      <c r="C422" s="1" t="n">
        <v>46045</v>
      </c>
      <c r="D422" t="inlineStr">
        <is>
          <t>JÄMTLANDS LÄN</t>
        </is>
      </c>
      <c r="E422" t="inlineStr">
        <is>
          <t>ÅRE</t>
        </is>
      </c>
      <c r="G422" t="n">
        <v>6</v>
      </c>
      <c r="H422" t="n">
        <v>1</v>
      </c>
      <c r="I422" t="n">
        <v>0</v>
      </c>
      <c r="J422" t="n">
        <v>7</v>
      </c>
      <c r="K422" t="n">
        <v>1</v>
      </c>
      <c r="L422" t="n">
        <v>0</v>
      </c>
      <c r="M422" t="n">
        <v>0</v>
      </c>
      <c r="N422" t="n">
        <v>0</v>
      </c>
      <c r="O422" t="n">
        <v>8</v>
      </c>
      <c r="P422" t="n">
        <v>1</v>
      </c>
      <c r="Q422" t="n">
        <v>8</v>
      </c>
      <c r="R422" s="2" t="inlineStr">
        <is>
          <t>Norsk näverlav
Gammelgransskål
Garnlav
Granticka
Kavernularia
Liten svartspik
Tretåig hackspett
Vitgrynig nållav</t>
        </is>
      </c>
      <c r="S422">
        <f>HYPERLINK("https://klasma.github.io/Logging_2321/artfynd/A 63179-2025 artfynd.xlsx", "A 63179-2025")</f>
        <v/>
      </c>
      <c r="T422">
        <f>HYPERLINK("https://klasma.github.io/Logging_2321/kartor/A 63179-2025 karta.png", "A 63179-2025")</f>
        <v/>
      </c>
      <c r="V422">
        <f>HYPERLINK("https://klasma.github.io/Logging_2321/klagomål/A 63179-2025 FSC-klagomål.docx", "A 63179-2025")</f>
        <v/>
      </c>
      <c r="W422">
        <f>HYPERLINK("https://klasma.github.io/Logging_2321/klagomålsmail/A 63179-2025 FSC-klagomål mail.docx", "A 63179-2025")</f>
        <v/>
      </c>
      <c r="X422">
        <f>HYPERLINK("https://klasma.github.io/Logging_2321/tillsyn/A 63179-2025 tillsynsbegäran.docx", "A 63179-2025")</f>
        <v/>
      </c>
      <c r="Y422">
        <f>HYPERLINK("https://klasma.github.io/Logging_2321/tillsynsmail/A 63179-2025 tillsynsbegäran mail.docx", "A 63179-2025")</f>
        <v/>
      </c>
      <c r="Z422">
        <f>HYPERLINK("https://klasma.github.io/Logging_2321/fåglar/A 63179-2025 prioriterade fågelarter.docx", "A 63179-2025")</f>
        <v/>
      </c>
    </row>
    <row r="423" ht="15" customHeight="1">
      <c r="A423" t="inlineStr">
        <is>
          <t>A 55271-2025</t>
        </is>
      </c>
      <c r="B423" s="1" t="n">
        <v>45968.67741898148</v>
      </c>
      <c r="C423" s="1" t="n">
        <v>46045</v>
      </c>
      <c r="D423" t="inlineStr">
        <is>
          <t>JÄMTLANDS LÄN</t>
        </is>
      </c>
      <c r="E423" t="inlineStr">
        <is>
          <t>BRÄCKE</t>
        </is>
      </c>
      <c r="G423" t="n">
        <v>17.1</v>
      </c>
      <c r="H423" t="n">
        <v>1</v>
      </c>
      <c r="I423" t="n">
        <v>4</v>
      </c>
      <c r="J423" t="n">
        <v>3</v>
      </c>
      <c r="K423" t="n">
        <v>1</v>
      </c>
      <c r="L423" t="n">
        <v>0</v>
      </c>
      <c r="M423" t="n">
        <v>0</v>
      </c>
      <c r="N423" t="n">
        <v>0</v>
      </c>
      <c r="O423" t="n">
        <v>4</v>
      </c>
      <c r="P423" t="n">
        <v>1</v>
      </c>
      <c r="Q423" t="n">
        <v>8</v>
      </c>
      <c r="R423" s="2" t="inlineStr">
        <is>
          <t>Doftticka
Garnlav
Lunglav
Skrovellav
Bårdlav
Dvärgtufs
Korallblylav
Stuplav</t>
        </is>
      </c>
      <c r="S423">
        <f>HYPERLINK("https://klasma.github.io/Logging_2305/artfynd/A 55271-2025 artfynd.xlsx", "A 55271-2025")</f>
        <v/>
      </c>
      <c r="T423">
        <f>HYPERLINK("https://klasma.github.io/Logging_2305/kartor/A 55271-2025 karta.png", "A 55271-2025")</f>
        <v/>
      </c>
      <c r="V423">
        <f>HYPERLINK("https://klasma.github.io/Logging_2305/klagomål/A 55271-2025 FSC-klagomål.docx", "A 55271-2025")</f>
        <v/>
      </c>
      <c r="W423">
        <f>HYPERLINK("https://klasma.github.io/Logging_2305/klagomålsmail/A 55271-2025 FSC-klagomål mail.docx", "A 55271-2025")</f>
        <v/>
      </c>
      <c r="X423">
        <f>HYPERLINK("https://klasma.github.io/Logging_2305/tillsyn/A 55271-2025 tillsynsbegäran.docx", "A 55271-2025")</f>
        <v/>
      </c>
      <c r="Y423">
        <f>HYPERLINK("https://klasma.github.io/Logging_2305/tillsynsmail/A 55271-2025 tillsynsbegäran mail.docx", "A 55271-2025")</f>
        <v/>
      </c>
    </row>
    <row r="424" ht="15" customHeight="1">
      <c r="A424" t="inlineStr">
        <is>
          <t>A 23822-2024</t>
        </is>
      </c>
      <c r="B424" s="1" t="n">
        <v>45455.46412037037</v>
      </c>
      <c r="C424" s="1" t="n">
        <v>46045</v>
      </c>
      <c r="D424" t="inlineStr">
        <is>
          <t>JÄMTLANDS LÄN</t>
        </is>
      </c>
      <c r="E424" t="inlineStr">
        <is>
          <t>ÅRE</t>
        </is>
      </c>
      <c r="G424" t="n">
        <v>4.8</v>
      </c>
      <c r="H424" t="n">
        <v>2</v>
      </c>
      <c r="I424" t="n">
        <v>0</v>
      </c>
      <c r="J424" t="n">
        <v>7</v>
      </c>
      <c r="K424" t="n">
        <v>1</v>
      </c>
      <c r="L424" t="n">
        <v>0</v>
      </c>
      <c r="M424" t="n">
        <v>0</v>
      </c>
      <c r="N424" t="n">
        <v>0</v>
      </c>
      <c r="O424" t="n">
        <v>8</v>
      </c>
      <c r="P424" t="n">
        <v>1</v>
      </c>
      <c r="Q424" t="n">
        <v>8</v>
      </c>
      <c r="R424" s="2" t="inlineStr">
        <is>
          <t>Knärot
Gammelgransskål
Garnlav
Harticka
Rosenticka
Rödbrun blekspik
Tretåig hackspett
Ullticka</t>
        </is>
      </c>
      <c r="S424">
        <f>HYPERLINK("https://klasma.github.io/Logging_2321/artfynd/A 23822-2024 artfynd.xlsx", "A 23822-2024")</f>
        <v/>
      </c>
      <c r="T424">
        <f>HYPERLINK("https://klasma.github.io/Logging_2321/kartor/A 23822-2024 karta.png", "A 23822-2024")</f>
        <v/>
      </c>
      <c r="U424">
        <f>HYPERLINK("https://klasma.github.io/Logging_2321/knärot/A 23822-2024 karta knärot.png", "A 23822-2024")</f>
        <v/>
      </c>
      <c r="V424">
        <f>HYPERLINK("https://klasma.github.io/Logging_2321/klagomål/A 23822-2024 FSC-klagomål.docx", "A 23822-2024")</f>
        <v/>
      </c>
      <c r="W424">
        <f>HYPERLINK("https://klasma.github.io/Logging_2321/klagomålsmail/A 23822-2024 FSC-klagomål mail.docx", "A 23822-2024")</f>
        <v/>
      </c>
      <c r="X424">
        <f>HYPERLINK("https://klasma.github.io/Logging_2321/tillsyn/A 23822-2024 tillsynsbegäran.docx", "A 23822-2024")</f>
        <v/>
      </c>
      <c r="Y424">
        <f>HYPERLINK("https://klasma.github.io/Logging_2321/tillsynsmail/A 23822-2024 tillsynsbegäran mail.docx", "A 23822-2024")</f>
        <v/>
      </c>
      <c r="Z424">
        <f>HYPERLINK("https://klasma.github.io/Logging_2321/fåglar/A 23822-2024 prioriterade fågelarter.docx", "A 23822-2024")</f>
        <v/>
      </c>
    </row>
    <row r="425" ht="15" customHeight="1">
      <c r="A425" t="inlineStr">
        <is>
          <t>A 20087-2025</t>
        </is>
      </c>
      <c r="B425" s="1" t="n">
        <v>45772.45626157407</v>
      </c>
      <c r="C425" s="1" t="n">
        <v>46045</v>
      </c>
      <c r="D425" t="inlineStr">
        <is>
          <t>JÄMTLANDS LÄN</t>
        </is>
      </c>
      <c r="E425" t="inlineStr">
        <is>
          <t>BRÄCKE</t>
        </is>
      </c>
      <c r="G425" t="n">
        <v>7.5</v>
      </c>
      <c r="H425" t="n">
        <v>1</v>
      </c>
      <c r="I425" t="n">
        <v>2</v>
      </c>
      <c r="J425" t="n">
        <v>5</v>
      </c>
      <c r="K425" t="n">
        <v>0</v>
      </c>
      <c r="L425" t="n">
        <v>0</v>
      </c>
      <c r="M425" t="n">
        <v>0</v>
      </c>
      <c r="N425" t="n">
        <v>0</v>
      </c>
      <c r="O425" t="n">
        <v>5</v>
      </c>
      <c r="P425" t="n">
        <v>0</v>
      </c>
      <c r="Q425" t="n">
        <v>8</v>
      </c>
      <c r="R425" s="2" t="inlineStr">
        <is>
          <t>Lunglav
Rosenticka
Ullticka
Vedtrappmossa
Vitgrynig nållav
Bårdlav
Stuplav
Fläcknycklar</t>
        </is>
      </c>
      <c r="S425">
        <f>HYPERLINK("https://klasma.github.io/Logging_2305/artfynd/A 20087-2025 artfynd.xlsx", "A 20087-2025")</f>
        <v/>
      </c>
      <c r="T425">
        <f>HYPERLINK("https://klasma.github.io/Logging_2305/kartor/A 20087-2025 karta.png", "A 20087-2025")</f>
        <v/>
      </c>
      <c r="V425">
        <f>HYPERLINK("https://klasma.github.io/Logging_2305/klagomål/A 20087-2025 FSC-klagomål.docx", "A 20087-2025")</f>
        <v/>
      </c>
      <c r="W425">
        <f>HYPERLINK("https://klasma.github.io/Logging_2305/klagomålsmail/A 20087-2025 FSC-klagomål mail.docx", "A 20087-2025")</f>
        <v/>
      </c>
      <c r="X425">
        <f>HYPERLINK("https://klasma.github.io/Logging_2305/tillsyn/A 20087-2025 tillsynsbegäran.docx", "A 20087-2025")</f>
        <v/>
      </c>
      <c r="Y425">
        <f>HYPERLINK("https://klasma.github.io/Logging_2305/tillsynsmail/A 20087-2025 tillsynsbegäran mail.docx", "A 20087-2025")</f>
        <v/>
      </c>
    </row>
    <row r="426" ht="15" customHeight="1">
      <c r="A426" t="inlineStr">
        <is>
          <t>A 56648-2025</t>
        </is>
      </c>
      <c r="B426" s="1" t="n">
        <v>45975.63604166666</v>
      </c>
      <c r="C426" s="1" t="n">
        <v>46045</v>
      </c>
      <c r="D426" t="inlineStr">
        <is>
          <t>JÄMTLANDS LÄN</t>
        </is>
      </c>
      <c r="E426" t="inlineStr">
        <is>
          <t>ÖSTERSUND</t>
        </is>
      </c>
      <c r="G426" t="n">
        <v>4.3</v>
      </c>
      <c r="H426" t="n">
        <v>4</v>
      </c>
      <c r="I426" t="n">
        <v>1</v>
      </c>
      <c r="J426" t="n">
        <v>6</v>
      </c>
      <c r="K426" t="n">
        <v>0</v>
      </c>
      <c r="L426" t="n">
        <v>0</v>
      </c>
      <c r="M426" t="n">
        <v>0</v>
      </c>
      <c r="N426" t="n">
        <v>0</v>
      </c>
      <c r="O426" t="n">
        <v>6</v>
      </c>
      <c r="P426" t="n">
        <v>0</v>
      </c>
      <c r="Q426" t="n">
        <v>8</v>
      </c>
      <c r="R426" s="2" t="inlineStr">
        <is>
          <t>Garnlav
Granticka
Spillkråka
Talltita
Tretåig hackspett
Ullticka
Stuplav
Revlummer</t>
        </is>
      </c>
      <c r="S426">
        <f>HYPERLINK("https://klasma.github.io/Logging_2380/artfynd/A 56648-2025 artfynd.xlsx", "A 56648-2025")</f>
        <v/>
      </c>
      <c r="T426">
        <f>HYPERLINK("https://klasma.github.io/Logging_2380/kartor/A 56648-2025 karta.png", "A 56648-2025")</f>
        <v/>
      </c>
      <c r="V426">
        <f>HYPERLINK("https://klasma.github.io/Logging_2380/klagomål/A 56648-2025 FSC-klagomål.docx", "A 56648-2025")</f>
        <v/>
      </c>
      <c r="W426">
        <f>HYPERLINK("https://klasma.github.io/Logging_2380/klagomålsmail/A 56648-2025 FSC-klagomål mail.docx", "A 56648-2025")</f>
        <v/>
      </c>
      <c r="X426">
        <f>HYPERLINK("https://klasma.github.io/Logging_2380/tillsyn/A 56648-2025 tillsynsbegäran.docx", "A 56648-2025")</f>
        <v/>
      </c>
      <c r="Y426">
        <f>HYPERLINK("https://klasma.github.io/Logging_2380/tillsynsmail/A 56648-2025 tillsynsbegäran mail.docx", "A 56648-2025")</f>
        <v/>
      </c>
      <c r="Z426">
        <f>HYPERLINK("https://klasma.github.io/Logging_2380/fåglar/A 56648-2025 prioriterade fågelarter.docx", "A 56648-2025")</f>
        <v/>
      </c>
    </row>
    <row r="427" ht="15" customHeight="1">
      <c r="A427" t="inlineStr">
        <is>
          <t>A 30335-2025</t>
        </is>
      </c>
      <c r="B427" s="1" t="n">
        <v>45827.5110300926</v>
      </c>
      <c r="C427" s="1" t="n">
        <v>46045</v>
      </c>
      <c r="D427" t="inlineStr">
        <is>
          <t>JÄMTLANDS LÄN</t>
        </is>
      </c>
      <c r="E427" t="inlineStr">
        <is>
          <t>RAGUNDA</t>
        </is>
      </c>
      <c r="F427" t="inlineStr">
        <is>
          <t>SCA</t>
        </is>
      </c>
      <c r="G427" t="n">
        <v>7.7</v>
      </c>
      <c r="H427" t="n">
        <v>2</v>
      </c>
      <c r="I427" t="n">
        <v>2</v>
      </c>
      <c r="J427" t="n">
        <v>5</v>
      </c>
      <c r="K427" t="n">
        <v>1</v>
      </c>
      <c r="L427" t="n">
        <v>0</v>
      </c>
      <c r="M427" t="n">
        <v>0</v>
      </c>
      <c r="N427" t="n">
        <v>0</v>
      </c>
      <c r="O427" t="n">
        <v>6</v>
      </c>
      <c r="P427" t="n">
        <v>1</v>
      </c>
      <c r="Q427" t="n">
        <v>8</v>
      </c>
      <c r="R427" s="2" t="inlineStr">
        <is>
          <t>Knärot
Garnlav
Granticka
Lunglav
Rosenticka
Vedskivlav
Korallrot
Ögonpyrola</t>
        </is>
      </c>
      <c r="S427">
        <f>HYPERLINK("https://klasma.github.io/Logging_2303/artfynd/A 30335-2025 artfynd.xlsx", "A 30335-2025")</f>
        <v/>
      </c>
      <c r="T427">
        <f>HYPERLINK("https://klasma.github.io/Logging_2303/kartor/A 30335-2025 karta.png", "A 30335-2025")</f>
        <v/>
      </c>
      <c r="U427">
        <f>HYPERLINK("https://klasma.github.io/Logging_2303/knärot/A 30335-2025 karta knärot.png", "A 30335-2025")</f>
        <v/>
      </c>
      <c r="V427">
        <f>HYPERLINK("https://klasma.github.io/Logging_2303/klagomål/A 30335-2025 FSC-klagomål.docx", "A 30335-2025")</f>
        <v/>
      </c>
      <c r="W427">
        <f>HYPERLINK("https://klasma.github.io/Logging_2303/klagomålsmail/A 30335-2025 FSC-klagomål mail.docx", "A 30335-2025")</f>
        <v/>
      </c>
      <c r="X427">
        <f>HYPERLINK("https://klasma.github.io/Logging_2303/tillsyn/A 30335-2025 tillsynsbegäran.docx", "A 30335-2025")</f>
        <v/>
      </c>
      <c r="Y427">
        <f>HYPERLINK("https://klasma.github.io/Logging_2303/tillsynsmail/A 30335-2025 tillsynsbegäran mail.docx", "A 30335-2025")</f>
        <v/>
      </c>
    </row>
    <row r="428" ht="15" customHeight="1">
      <c r="A428" t="inlineStr">
        <is>
          <t>A 58903-2024</t>
        </is>
      </c>
      <c r="B428" s="1" t="n">
        <v>45636.4775</v>
      </c>
      <c r="C428" s="1" t="n">
        <v>46045</v>
      </c>
      <c r="D428" t="inlineStr">
        <is>
          <t>JÄMTLANDS LÄN</t>
        </is>
      </c>
      <c r="E428" t="inlineStr">
        <is>
          <t>BRÄCKE</t>
        </is>
      </c>
      <c r="F428" t="inlineStr">
        <is>
          <t>Övriga Aktiebolag</t>
        </is>
      </c>
      <c r="G428" t="n">
        <v>2.8</v>
      </c>
      <c r="H428" t="n">
        <v>3</v>
      </c>
      <c r="I428" t="n">
        <v>1</v>
      </c>
      <c r="J428" t="n">
        <v>6</v>
      </c>
      <c r="K428" t="n">
        <v>0</v>
      </c>
      <c r="L428" t="n">
        <v>0</v>
      </c>
      <c r="M428" t="n">
        <v>0</v>
      </c>
      <c r="N428" t="n">
        <v>0</v>
      </c>
      <c r="O428" t="n">
        <v>6</v>
      </c>
      <c r="P428" t="n">
        <v>0</v>
      </c>
      <c r="Q428" t="n">
        <v>8</v>
      </c>
      <c r="R428" s="2" t="inlineStr">
        <is>
          <t>Garnlav
Kolflarnlav
Lunglav
Talltita
Tretåig hackspett
Vitgrynig nållav
Stuplav
Tjäder</t>
        </is>
      </c>
      <c r="S428">
        <f>HYPERLINK("https://klasma.github.io/Logging_2305/artfynd/A 58903-2024 artfynd.xlsx", "A 58903-2024")</f>
        <v/>
      </c>
      <c r="T428">
        <f>HYPERLINK("https://klasma.github.io/Logging_2305/kartor/A 58903-2024 karta.png", "A 58903-2024")</f>
        <v/>
      </c>
      <c r="U428">
        <f>HYPERLINK("https://klasma.github.io/Logging_2305/knärot/A 58903-2024 karta knärot.png", "A 58903-2024")</f>
        <v/>
      </c>
      <c r="V428">
        <f>HYPERLINK("https://klasma.github.io/Logging_2305/klagomål/A 58903-2024 FSC-klagomål.docx", "A 58903-2024")</f>
        <v/>
      </c>
      <c r="W428">
        <f>HYPERLINK("https://klasma.github.io/Logging_2305/klagomålsmail/A 58903-2024 FSC-klagomål mail.docx", "A 58903-2024")</f>
        <v/>
      </c>
      <c r="X428">
        <f>HYPERLINK("https://klasma.github.io/Logging_2305/tillsyn/A 58903-2024 tillsynsbegäran.docx", "A 58903-2024")</f>
        <v/>
      </c>
      <c r="Y428">
        <f>HYPERLINK("https://klasma.github.io/Logging_2305/tillsynsmail/A 58903-2024 tillsynsbegäran mail.docx", "A 58903-2024")</f>
        <v/>
      </c>
      <c r="Z428">
        <f>HYPERLINK("https://klasma.github.io/Logging_2305/fåglar/A 58903-2024 prioriterade fågelarter.docx", "A 58903-2024")</f>
        <v/>
      </c>
    </row>
    <row r="429" ht="15" customHeight="1">
      <c r="A429" t="inlineStr">
        <is>
          <t>A 32565-2025</t>
        </is>
      </c>
      <c r="B429" s="1" t="n">
        <v>45838.57340277778</v>
      </c>
      <c r="C429" s="1" t="n">
        <v>46045</v>
      </c>
      <c r="D429" t="inlineStr">
        <is>
          <t>JÄMTLANDS LÄN</t>
        </is>
      </c>
      <c r="E429" t="inlineStr">
        <is>
          <t>BRÄCKE</t>
        </is>
      </c>
      <c r="F429" t="inlineStr">
        <is>
          <t>SCA</t>
        </is>
      </c>
      <c r="G429" t="n">
        <v>32.6</v>
      </c>
      <c r="H429" t="n">
        <v>3</v>
      </c>
      <c r="I429" t="n">
        <v>4</v>
      </c>
      <c r="J429" t="n">
        <v>3</v>
      </c>
      <c r="K429" t="n">
        <v>0</v>
      </c>
      <c r="L429" t="n">
        <v>0</v>
      </c>
      <c r="M429" t="n">
        <v>0</v>
      </c>
      <c r="N429" t="n">
        <v>0</v>
      </c>
      <c r="O429" t="n">
        <v>3</v>
      </c>
      <c r="P429" t="n">
        <v>0</v>
      </c>
      <c r="Q429" t="n">
        <v>8</v>
      </c>
      <c r="R429" s="2" t="inlineStr">
        <is>
          <t>Lunglav
Skrovellav
Talltita
Bårdlav
Plattlummer
Stor aspticka
Stuplav
Revlummer</t>
        </is>
      </c>
      <c r="S429">
        <f>HYPERLINK("https://klasma.github.io/Logging_2305/artfynd/A 32565-2025 artfynd.xlsx", "A 32565-2025")</f>
        <v/>
      </c>
      <c r="T429">
        <f>HYPERLINK("https://klasma.github.io/Logging_2305/kartor/A 32565-2025 karta.png", "A 32565-2025")</f>
        <v/>
      </c>
      <c r="V429">
        <f>HYPERLINK("https://klasma.github.io/Logging_2305/klagomål/A 32565-2025 FSC-klagomål.docx", "A 32565-2025")</f>
        <v/>
      </c>
      <c r="W429">
        <f>HYPERLINK("https://klasma.github.io/Logging_2305/klagomålsmail/A 32565-2025 FSC-klagomål mail.docx", "A 32565-2025")</f>
        <v/>
      </c>
      <c r="X429">
        <f>HYPERLINK("https://klasma.github.io/Logging_2305/tillsyn/A 32565-2025 tillsynsbegäran.docx", "A 32565-2025")</f>
        <v/>
      </c>
      <c r="Y429">
        <f>HYPERLINK("https://klasma.github.io/Logging_2305/tillsynsmail/A 32565-2025 tillsynsbegäran mail.docx", "A 32565-2025")</f>
        <v/>
      </c>
      <c r="Z429">
        <f>HYPERLINK("https://klasma.github.io/Logging_2305/fåglar/A 32565-2025 prioriterade fågelarter.docx", "A 32565-2025")</f>
        <v/>
      </c>
    </row>
    <row r="430" ht="15" customHeight="1">
      <c r="A430" t="inlineStr">
        <is>
          <t>A 933-2026</t>
        </is>
      </c>
      <c r="B430" s="1" t="n">
        <v>46030.51732638889</v>
      </c>
      <c r="C430" s="1" t="n">
        <v>46045</v>
      </c>
      <c r="D430" t="inlineStr">
        <is>
          <t>JÄMTLANDS LÄN</t>
        </is>
      </c>
      <c r="E430" t="inlineStr">
        <is>
          <t>KROKOM</t>
        </is>
      </c>
      <c r="G430" t="n">
        <v>22.9</v>
      </c>
      <c r="H430" t="n">
        <v>3</v>
      </c>
      <c r="I430" t="n">
        <v>0</v>
      </c>
      <c r="J430" t="n">
        <v>6</v>
      </c>
      <c r="K430" t="n">
        <v>2</v>
      </c>
      <c r="L430" t="n">
        <v>0</v>
      </c>
      <c r="M430" t="n">
        <v>0</v>
      </c>
      <c r="N430" t="n">
        <v>0</v>
      </c>
      <c r="O430" t="n">
        <v>8</v>
      </c>
      <c r="P430" t="n">
        <v>2</v>
      </c>
      <c r="Q430" t="n">
        <v>8</v>
      </c>
      <c r="R430" s="2" t="inlineStr">
        <is>
          <t>Rynkskinn
Sprickporing
Doftskinn
Garnlav
Spillkråka
Tretåig hackspett
Ullticka
Utter</t>
        </is>
      </c>
      <c r="S430">
        <f>HYPERLINK("https://klasma.github.io/Logging_2309/artfynd/A 933-2026 artfynd.xlsx", "A 933-2026")</f>
        <v/>
      </c>
      <c r="T430">
        <f>HYPERLINK("https://klasma.github.io/Logging_2309/kartor/A 933-2026 karta.png", "A 933-2026")</f>
        <v/>
      </c>
      <c r="V430">
        <f>HYPERLINK("https://klasma.github.io/Logging_2309/klagomål/A 933-2026 FSC-klagomål.docx", "A 933-2026")</f>
        <v/>
      </c>
      <c r="W430">
        <f>HYPERLINK("https://klasma.github.io/Logging_2309/klagomålsmail/A 933-2026 FSC-klagomål mail.docx", "A 933-2026")</f>
        <v/>
      </c>
      <c r="X430">
        <f>HYPERLINK("https://klasma.github.io/Logging_2309/tillsyn/A 933-2026 tillsynsbegäran.docx", "A 933-2026")</f>
        <v/>
      </c>
      <c r="Y430">
        <f>HYPERLINK("https://klasma.github.io/Logging_2309/tillsynsmail/A 933-2026 tillsynsbegäran mail.docx", "A 933-2026")</f>
        <v/>
      </c>
      <c r="Z430">
        <f>HYPERLINK("https://klasma.github.io/Logging_2309/fåglar/A 933-2026 prioriterade fågelarter.docx", "A 933-2026")</f>
        <v/>
      </c>
    </row>
    <row r="431" ht="15" customHeight="1">
      <c r="A431" t="inlineStr">
        <is>
          <t>A 59107-2025</t>
        </is>
      </c>
      <c r="B431" s="1" t="n">
        <v>45988.46924768519</v>
      </c>
      <c r="C431" s="1" t="n">
        <v>46045</v>
      </c>
      <c r="D431" t="inlineStr">
        <is>
          <t>JÄMTLANDS LÄN</t>
        </is>
      </c>
      <c r="E431" t="inlineStr">
        <is>
          <t>RAGUNDA</t>
        </is>
      </c>
      <c r="F431" t="inlineStr">
        <is>
          <t>SCA</t>
        </is>
      </c>
      <c r="G431" t="n">
        <v>22.6</v>
      </c>
      <c r="H431" t="n">
        <v>1</v>
      </c>
      <c r="I431" t="n">
        <v>4</v>
      </c>
      <c r="J431" t="n">
        <v>4</v>
      </c>
      <c r="K431" t="n">
        <v>0</v>
      </c>
      <c r="L431" t="n">
        <v>0</v>
      </c>
      <c r="M431" t="n">
        <v>0</v>
      </c>
      <c r="N431" t="n">
        <v>0</v>
      </c>
      <c r="O431" t="n">
        <v>4</v>
      </c>
      <c r="P431" t="n">
        <v>0</v>
      </c>
      <c r="Q431" t="n">
        <v>8</v>
      </c>
      <c r="R431" s="2" t="inlineStr">
        <is>
          <t>Garnlav
Lunglav
Skrovellav
Tretåig hackspett
Bårdlav
Luddlav
Skinnlav
Stuplav</t>
        </is>
      </c>
      <c r="S431">
        <f>HYPERLINK("https://klasma.github.io/Logging_2303/artfynd/A 59107-2025 artfynd.xlsx", "A 59107-2025")</f>
        <v/>
      </c>
      <c r="T431">
        <f>HYPERLINK("https://klasma.github.io/Logging_2303/kartor/A 59107-2025 karta.png", "A 59107-2025")</f>
        <v/>
      </c>
      <c r="V431">
        <f>HYPERLINK("https://klasma.github.io/Logging_2303/klagomål/A 59107-2025 FSC-klagomål.docx", "A 59107-2025")</f>
        <v/>
      </c>
      <c r="W431">
        <f>HYPERLINK("https://klasma.github.io/Logging_2303/klagomålsmail/A 59107-2025 FSC-klagomål mail.docx", "A 59107-2025")</f>
        <v/>
      </c>
      <c r="X431">
        <f>HYPERLINK("https://klasma.github.io/Logging_2303/tillsyn/A 59107-2025 tillsynsbegäran.docx", "A 59107-2025")</f>
        <v/>
      </c>
      <c r="Y431">
        <f>HYPERLINK("https://klasma.github.io/Logging_2303/tillsynsmail/A 59107-2025 tillsynsbegäran mail.docx", "A 59107-2025")</f>
        <v/>
      </c>
      <c r="Z431">
        <f>HYPERLINK("https://klasma.github.io/Logging_2303/fåglar/A 59107-2025 prioriterade fågelarter.docx", "A 59107-2025")</f>
        <v/>
      </c>
    </row>
    <row r="432" ht="15" customHeight="1">
      <c r="A432" t="inlineStr">
        <is>
          <t>A 32792-2025</t>
        </is>
      </c>
      <c r="B432" s="1" t="n">
        <v>45839.49021990741</v>
      </c>
      <c r="C432" s="1" t="n">
        <v>46045</v>
      </c>
      <c r="D432" t="inlineStr">
        <is>
          <t>JÄMTLANDS LÄN</t>
        </is>
      </c>
      <c r="E432" t="inlineStr">
        <is>
          <t>STRÖMSUND</t>
        </is>
      </c>
      <c r="F432" t="inlineStr">
        <is>
          <t>SCA</t>
        </is>
      </c>
      <c r="G432" t="n">
        <v>3.8</v>
      </c>
      <c r="H432" t="n">
        <v>0</v>
      </c>
      <c r="I432" t="n">
        <v>0</v>
      </c>
      <c r="J432" t="n">
        <v>7</v>
      </c>
      <c r="K432" t="n">
        <v>1</v>
      </c>
      <c r="L432" t="n">
        <v>0</v>
      </c>
      <c r="M432" t="n">
        <v>0</v>
      </c>
      <c r="N432" t="n">
        <v>0</v>
      </c>
      <c r="O432" t="n">
        <v>8</v>
      </c>
      <c r="P432" t="n">
        <v>1</v>
      </c>
      <c r="Q432" t="n">
        <v>8</v>
      </c>
      <c r="R432" s="2" t="inlineStr">
        <is>
          <t>Blackticka
Gammelgransskål
Garnlav
Granticka
Harticka
Lunglav
Ullticka
Vitgrynig nållav</t>
        </is>
      </c>
      <c r="S432">
        <f>HYPERLINK("https://klasma.github.io/Logging_2313/artfynd/A 32792-2025 artfynd.xlsx", "A 32792-2025")</f>
        <v/>
      </c>
      <c r="T432">
        <f>HYPERLINK("https://klasma.github.io/Logging_2313/kartor/A 32792-2025 karta.png", "A 32792-2025")</f>
        <v/>
      </c>
      <c r="V432">
        <f>HYPERLINK("https://klasma.github.io/Logging_2313/klagomål/A 32792-2025 FSC-klagomål.docx", "A 32792-2025")</f>
        <v/>
      </c>
      <c r="W432">
        <f>HYPERLINK("https://klasma.github.io/Logging_2313/klagomålsmail/A 32792-2025 FSC-klagomål mail.docx", "A 32792-2025")</f>
        <v/>
      </c>
      <c r="X432">
        <f>HYPERLINK("https://klasma.github.io/Logging_2313/tillsyn/A 32792-2025 tillsynsbegäran.docx", "A 32792-2025")</f>
        <v/>
      </c>
      <c r="Y432">
        <f>HYPERLINK("https://klasma.github.io/Logging_2313/tillsynsmail/A 32792-2025 tillsynsbegäran mail.docx", "A 32792-2025")</f>
        <v/>
      </c>
    </row>
    <row r="433" ht="15" customHeight="1">
      <c r="A433" t="inlineStr">
        <is>
          <t>A 33388-2025</t>
        </is>
      </c>
      <c r="B433" s="1" t="n">
        <v>45841</v>
      </c>
      <c r="C433" s="1" t="n">
        <v>46045</v>
      </c>
      <c r="D433" t="inlineStr">
        <is>
          <t>JÄMTLANDS LÄN</t>
        </is>
      </c>
      <c r="E433" t="inlineStr">
        <is>
          <t>BRÄCKE</t>
        </is>
      </c>
      <c r="F433" t="inlineStr">
        <is>
          <t>SCA</t>
        </is>
      </c>
      <c r="G433" t="n">
        <v>10.7</v>
      </c>
      <c r="H433" t="n">
        <v>2</v>
      </c>
      <c r="I433" t="n">
        <v>2</v>
      </c>
      <c r="J433" t="n">
        <v>5</v>
      </c>
      <c r="K433" t="n">
        <v>1</v>
      </c>
      <c r="L433" t="n">
        <v>0</v>
      </c>
      <c r="M433" t="n">
        <v>0</v>
      </c>
      <c r="N433" t="n">
        <v>0</v>
      </c>
      <c r="O433" t="n">
        <v>6</v>
      </c>
      <c r="P433" t="n">
        <v>1</v>
      </c>
      <c r="Q433" t="n">
        <v>8</v>
      </c>
      <c r="R433" s="2" t="inlineStr">
        <is>
          <t>Knärot
Garnlav
Granticka
Lunglav
Rosenticka
Ullticka
Skinnlav
Spindelblomster</t>
        </is>
      </c>
      <c r="S433">
        <f>HYPERLINK("https://klasma.github.io/Logging_2305/artfynd/A 33388-2025 artfynd.xlsx", "A 33388-2025")</f>
        <v/>
      </c>
      <c r="T433">
        <f>HYPERLINK("https://klasma.github.io/Logging_2305/kartor/A 33388-2025 karta.png", "A 33388-2025")</f>
        <v/>
      </c>
      <c r="U433">
        <f>HYPERLINK("https://klasma.github.io/Logging_2305/knärot/A 33388-2025 karta knärot.png", "A 33388-2025")</f>
        <v/>
      </c>
      <c r="V433">
        <f>HYPERLINK("https://klasma.github.io/Logging_2305/klagomål/A 33388-2025 FSC-klagomål.docx", "A 33388-2025")</f>
        <v/>
      </c>
      <c r="W433">
        <f>HYPERLINK("https://klasma.github.io/Logging_2305/klagomålsmail/A 33388-2025 FSC-klagomål mail.docx", "A 33388-2025")</f>
        <v/>
      </c>
      <c r="X433">
        <f>HYPERLINK("https://klasma.github.io/Logging_2305/tillsyn/A 33388-2025 tillsynsbegäran.docx", "A 33388-2025")</f>
        <v/>
      </c>
      <c r="Y433">
        <f>HYPERLINK("https://klasma.github.io/Logging_2305/tillsynsmail/A 33388-2025 tillsynsbegäran mail.docx", "A 33388-2025")</f>
        <v/>
      </c>
    </row>
    <row r="434" ht="15" customHeight="1">
      <c r="A434" t="inlineStr">
        <is>
          <t>A 36252-2022</t>
        </is>
      </c>
      <c r="B434" s="1" t="n">
        <v>44803</v>
      </c>
      <c r="C434" s="1" t="n">
        <v>46045</v>
      </c>
      <c r="D434" t="inlineStr">
        <is>
          <t>JÄMTLANDS LÄN</t>
        </is>
      </c>
      <c r="E434" t="inlineStr">
        <is>
          <t>STRÖMSUND</t>
        </is>
      </c>
      <c r="F434" t="inlineStr">
        <is>
          <t>Holmen skog AB</t>
        </is>
      </c>
      <c r="G434" t="n">
        <v>5.4</v>
      </c>
      <c r="H434" t="n">
        <v>3</v>
      </c>
      <c r="I434" t="n">
        <v>1</v>
      </c>
      <c r="J434" t="n">
        <v>6</v>
      </c>
      <c r="K434" t="n">
        <v>1</v>
      </c>
      <c r="L434" t="n">
        <v>0</v>
      </c>
      <c r="M434" t="n">
        <v>0</v>
      </c>
      <c r="N434" t="n">
        <v>0</v>
      </c>
      <c r="O434" t="n">
        <v>7</v>
      </c>
      <c r="P434" t="n">
        <v>1</v>
      </c>
      <c r="Q434" t="n">
        <v>8</v>
      </c>
      <c r="R434" s="2" t="inlineStr">
        <is>
          <t>Knärot
Gammelgransskål
Garnlav
Kolflarnlav
Talltita
Tretåig hackspett
Ullticka
Svavelriska</t>
        </is>
      </c>
      <c r="S434">
        <f>HYPERLINK("https://klasma.github.io/Logging_2313/artfynd/A 36252-2022 artfynd.xlsx", "A 36252-2022")</f>
        <v/>
      </c>
      <c r="T434">
        <f>HYPERLINK("https://klasma.github.io/Logging_2313/kartor/A 36252-2022 karta.png", "A 36252-2022")</f>
        <v/>
      </c>
      <c r="U434">
        <f>HYPERLINK("https://klasma.github.io/Logging_2313/knärot/A 36252-2022 karta knärot.png", "A 36252-2022")</f>
        <v/>
      </c>
      <c r="V434">
        <f>HYPERLINK("https://klasma.github.io/Logging_2313/klagomål/A 36252-2022 FSC-klagomål.docx", "A 36252-2022")</f>
        <v/>
      </c>
      <c r="W434">
        <f>HYPERLINK("https://klasma.github.io/Logging_2313/klagomålsmail/A 36252-2022 FSC-klagomål mail.docx", "A 36252-2022")</f>
        <v/>
      </c>
      <c r="X434">
        <f>HYPERLINK("https://klasma.github.io/Logging_2313/tillsyn/A 36252-2022 tillsynsbegäran.docx", "A 36252-2022")</f>
        <v/>
      </c>
      <c r="Y434">
        <f>HYPERLINK("https://klasma.github.io/Logging_2313/tillsynsmail/A 36252-2022 tillsynsbegäran mail.docx", "A 36252-2022")</f>
        <v/>
      </c>
      <c r="Z434">
        <f>HYPERLINK("https://klasma.github.io/Logging_2313/fåglar/A 36252-2022 prioriterade fågelarter.docx", "A 36252-2022")</f>
        <v/>
      </c>
    </row>
    <row r="435" ht="15" customHeight="1">
      <c r="A435" t="inlineStr">
        <is>
          <t>A 60129-2025</t>
        </is>
      </c>
      <c r="B435" s="1" t="n">
        <v>45994.34461805555</v>
      </c>
      <c r="C435" s="1" t="n">
        <v>46045</v>
      </c>
      <c r="D435" t="inlineStr">
        <is>
          <t>JÄMTLANDS LÄN</t>
        </is>
      </c>
      <c r="E435" t="inlineStr">
        <is>
          <t>RAGUNDA</t>
        </is>
      </c>
      <c r="G435" t="n">
        <v>5.9</v>
      </c>
      <c r="H435" t="n">
        <v>2</v>
      </c>
      <c r="I435" t="n">
        <v>4</v>
      </c>
      <c r="J435" t="n">
        <v>3</v>
      </c>
      <c r="K435" t="n">
        <v>0</v>
      </c>
      <c r="L435" t="n">
        <v>0</v>
      </c>
      <c r="M435" t="n">
        <v>0</v>
      </c>
      <c r="N435" t="n">
        <v>0</v>
      </c>
      <c r="O435" t="n">
        <v>3</v>
      </c>
      <c r="P435" t="n">
        <v>0</v>
      </c>
      <c r="Q435" t="n">
        <v>8</v>
      </c>
      <c r="R435" s="2" t="inlineStr">
        <is>
          <t>Garnlav
Lunglav
Spillkråka
Luddlav
Skinnlav
Stor aspticka
Stuplav
Revlummer</t>
        </is>
      </c>
      <c r="S435">
        <f>HYPERLINK("https://klasma.github.io/Logging_2303/artfynd/A 60129-2025 artfynd.xlsx", "A 60129-2025")</f>
        <v/>
      </c>
      <c r="T435">
        <f>HYPERLINK("https://klasma.github.io/Logging_2303/kartor/A 60129-2025 karta.png", "A 60129-2025")</f>
        <v/>
      </c>
      <c r="V435">
        <f>HYPERLINK("https://klasma.github.io/Logging_2303/klagomål/A 60129-2025 FSC-klagomål.docx", "A 60129-2025")</f>
        <v/>
      </c>
      <c r="W435">
        <f>HYPERLINK("https://klasma.github.io/Logging_2303/klagomålsmail/A 60129-2025 FSC-klagomål mail.docx", "A 60129-2025")</f>
        <v/>
      </c>
      <c r="X435">
        <f>HYPERLINK("https://klasma.github.io/Logging_2303/tillsyn/A 60129-2025 tillsynsbegäran.docx", "A 60129-2025")</f>
        <v/>
      </c>
      <c r="Y435">
        <f>HYPERLINK("https://klasma.github.io/Logging_2303/tillsynsmail/A 60129-2025 tillsynsbegäran mail.docx", "A 60129-2025")</f>
        <v/>
      </c>
      <c r="Z435">
        <f>HYPERLINK("https://klasma.github.io/Logging_2303/fåglar/A 60129-2025 prioriterade fågelarter.docx", "A 60129-2025")</f>
        <v/>
      </c>
    </row>
    <row r="436" ht="15" customHeight="1">
      <c r="A436" t="inlineStr">
        <is>
          <t>A 49797-2025</t>
        </is>
      </c>
      <c r="B436" s="1" t="n">
        <v>45940.40804398148</v>
      </c>
      <c r="C436" s="1" t="n">
        <v>46045</v>
      </c>
      <c r="D436" t="inlineStr">
        <is>
          <t>JÄMTLANDS LÄN</t>
        </is>
      </c>
      <c r="E436" t="inlineStr">
        <is>
          <t>BERG</t>
        </is>
      </c>
      <c r="F436" t="inlineStr">
        <is>
          <t>SCA</t>
        </is>
      </c>
      <c r="G436" t="n">
        <v>16.1</v>
      </c>
      <c r="H436" t="n">
        <v>4</v>
      </c>
      <c r="I436" t="n">
        <v>2</v>
      </c>
      <c r="J436" t="n">
        <v>5</v>
      </c>
      <c r="K436" t="n">
        <v>0</v>
      </c>
      <c r="L436" t="n">
        <v>0</v>
      </c>
      <c r="M436" t="n">
        <v>0</v>
      </c>
      <c r="N436" t="n">
        <v>0</v>
      </c>
      <c r="O436" t="n">
        <v>5</v>
      </c>
      <c r="P436" t="n">
        <v>0</v>
      </c>
      <c r="Q436" t="n">
        <v>8</v>
      </c>
      <c r="R436" s="2" t="inlineStr">
        <is>
          <t>Granticka
Spillkråka
Tallticka
Talltita
Tretåig hackspett
Luddlav
Skinnlav
Lavskrika</t>
        </is>
      </c>
      <c r="S436">
        <f>HYPERLINK("https://klasma.github.io/Logging_2326/artfynd/A 49797-2025 artfynd.xlsx", "A 49797-2025")</f>
        <v/>
      </c>
      <c r="T436">
        <f>HYPERLINK("https://klasma.github.io/Logging_2326/kartor/A 49797-2025 karta.png", "A 49797-2025")</f>
        <v/>
      </c>
      <c r="V436">
        <f>HYPERLINK("https://klasma.github.io/Logging_2326/klagomål/A 49797-2025 FSC-klagomål.docx", "A 49797-2025")</f>
        <v/>
      </c>
      <c r="W436">
        <f>HYPERLINK("https://klasma.github.io/Logging_2326/klagomålsmail/A 49797-2025 FSC-klagomål mail.docx", "A 49797-2025")</f>
        <v/>
      </c>
      <c r="X436">
        <f>HYPERLINK("https://klasma.github.io/Logging_2326/tillsyn/A 49797-2025 tillsynsbegäran.docx", "A 49797-2025")</f>
        <v/>
      </c>
      <c r="Y436">
        <f>HYPERLINK("https://klasma.github.io/Logging_2326/tillsynsmail/A 49797-2025 tillsynsbegäran mail.docx", "A 49797-2025")</f>
        <v/>
      </c>
      <c r="Z436">
        <f>HYPERLINK("https://klasma.github.io/Logging_2326/fåglar/A 49797-2025 prioriterade fågelarter.docx", "A 49797-2025")</f>
        <v/>
      </c>
    </row>
    <row r="437" ht="15" customHeight="1">
      <c r="A437" t="inlineStr">
        <is>
          <t>A 35883-2025</t>
        </is>
      </c>
      <c r="B437" s="1" t="n">
        <v>45862</v>
      </c>
      <c r="C437" s="1" t="n">
        <v>46045</v>
      </c>
      <c r="D437" t="inlineStr">
        <is>
          <t>JÄMTLANDS LÄN</t>
        </is>
      </c>
      <c r="E437" t="inlineStr">
        <is>
          <t>KROKOM</t>
        </is>
      </c>
      <c r="G437" t="n">
        <v>5</v>
      </c>
      <c r="H437" t="n">
        <v>2</v>
      </c>
      <c r="I437" t="n">
        <v>3</v>
      </c>
      <c r="J437" t="n">
        <v>4</v>
      </c>
      <c r="K437" t="n">
        <v>0</v>
      </c>
      <c r="L437" t="n">
        <v>0</v>
      </c>
      <c r="M437" t="n">
        <v>0</v>
      </c>
      <c r="N437" t="n">
        <v>0</v>
      </c>
      <c r="O437" t="n">
        <v>4</v>
      </c>
      <c r="P437" t="n">
        <v>0</v>
      </c>
      <c r="Q437" t="n">
        <v>8</v>
      </c>
      <c r="R437" s="2" t="inlineStr">
        <is>
          <t>Garnlav
Harticka
Talltita
Ullticka
Mörk husmossa
Svavelriska
Trådticka
Blåsippa</t>
        </is>
      </c>
      <c r="S437">
        <f>HYPERLINK("https://klasma.github.io/Logging_2309/artfynd/A 35883-2025 artfynd.xlsx", "A 35883-2025")</f>
        <v/>
      </c>
      <c r="T437">
        <f>HYPERLINK("https://klasma.github.io/Logging_2309/kartor/A 35883-2025 karta.png", "A 35883-2025")</f>
        <v/>
      </c>
      <c r="V437">
        <f>HYPERLINK("https://klasma.github.io/Logging_2309/klagomål/A 35883-2025 FSC-klagomål.docx", "A 35883-2025")</f>
        <v/>
      </c>
      <c r="W437">
        <f>HYPERLINK("https://klasma.github.io/Logging_2309/klagomålsmail/A 35883-2025 FSC-klagomål mail.docx", "A 35883-2025")</f>
        <v/>
      </c>
      <c r="X437">
        <f>HYPERLINK("https://klasma.github.io/Logging_2309/tillsyn/A 35883-2025 tillsynsbegäran.docx", "A 35883-2025")</f>
        <v/>
      </c>
      <c r="Y437">
        <f>HYPERLINK("https://klasma.github.io/Logging_2309/tillsynsmail/A 35883-2025 tillsynsbegäran mail.docx", "A 35883-2025")</f>
        <v/>
      </c>
      <c r="Z437">
        <f>HYPERLINK("https://klasma.github.io/Logging_2309/fåglar/A 35883-2025 prioriterade fågelarter.docx", "A 35883-2025")</f>
        <v/>
      </c>
    </row>
    <row r="438" ht="15" customHeight="1">
      <c r="A438" t="inlineStr">
        <is>
          <t>A 47944-2025</t>
        </is>
      </c>
      <c r="B438" s="1" t="n">
        <v>45931</v>
      </c>
      <c r="C438" s="1" t="n">
        <v>46045</v>
      </c>
      <c r="D438" t="inlineStr">
        <is>
          <t>JÄMTLANDS LÄN</t>
        </is>
      </c>
      <c r="E438" t="inlineStr">
        <is>
          <t>ÅRE</t>
        </is>
      </c>
      <c r="G438" t="n">
        <v>2.1</v>
      </c>
      <c r="H438" t="n">
        <v>0</v>
      </c>
      <c r="I438" t="n">
        <v>4</v>
      </c>
      <c r="J438" t="n">
        <v>3</v>
      </c>
      <c r="K438" t="n">
        <v>1</v>
      </c>
      <c r="L438" t="n">
        <v>0</v>
      </c>
      <c r="M438" t="n">
        <v>0</v>
      </c>
      <c r="N438" t="n">
        <v>0</v>
      </c>
      <c r="O438" t="n">
        <v>4</v>
      </c>
      <c r="P438" t="n">
        <v>1</v>
      </c>
      <c r="Q438" t="n">
        <v>8</v>
      </c>
      <c r="R438" s="2" t="inlineStr">
        <is>
          <t>Ostticka
Granticka
Ullticka
Vitgrynig nållav
Diskvaxskivling
Fjällig taggsvamp s.str.
Svavelriska
Västlig hakmossa</t>
        </is>
      </c>
      <c r="S438">
        <f>HYPERLINK("https://klasma.github.io/Logging_2321/artfynd/A 47944-2025 artfynd.xlsx", "A 47944-2025")</f>
        <v/>
      </c>
      <c r="T438">
        <f>HYPERLINK("https://klasma.github.io/Logging_2321/kartor/A 47944-2025 karta.png", "A 47944-2025")</f>
        <v/>
      </c>
      <c r="V438">
        <f>HYPERLINK("https://klasma.github.io/Logging_2321/klagomål/A 47944-2025 FSC-klagomål.docx", "A 47944-2025")</f>
        <v/>
      </c>
      <c r="W438">
        <f>HYPERLINK("https://klasma.github.io/Logging_2321/klagomålsmail/A 47944-2025 FSC-klagomål mail.docx", "A 47944-2025")</f>
        <v/>
      </c>
      <c r="X438">
        <f>HYPERLINK("https://klasma.github.io/Logging_2321/tillsyn/A 47944-2025 tillsynsbegäran.docx", "A 47944-2025")</f>
        <v/>
      </c>
      <c r="Y438">
        <f>HYPERLINK("https://klasma.github.io/Logging_2321/tillsynsmail/A 47944-2025 tillsynsbegäran mail.docx", "A 47944-2025")</f>
        <v/>
      </c>
    </row>
    <row r="439" ht="15" customHeight="1">
      <c r="A439" t="inlineStr">
        <is>
          <t>A 61173-2025</t>
        </is>
      </c>
      <c r="B439" s="1" t="n">
        <v>46000</v>
      </c>
      <c r="C439" s="1" t="n">
        <v>46045</v>
      </c>
      <c r="D439" t="inlineStr">
        <is>
          <t>JÄMTLANDS LÄN</t>
        </is>
      </c>
      <c r="E439" t="inlineStr">
        <is>
          <t>BRÄCKE</t>
        </is>
      </c>
      <c r="G439" t="n">
        <v>16.5</v>
      </c>
      <c r="H439" t="n">
        <v>2</v>
      </c>
      <c r="I439" t="n">
        <v>0</v>
      </c>
      <c r="J439" t="n">
        <v>6</v>
      </c>
      <c r="K439" t="n">
        <v>2</v>
      </c>
      <c r="L439" t="n">
        <v>0</v>
      </c>
      <c r="M439" t="n">
        <v>0</v>
      </c>
      <c r="N439" t="n">
        <v>0</v>
      </c>
      <c r="O439" t="n">
        <v>8</v>
      </c>
      <c r="P439" t="n">
        <v>2</v>
      </c>
      <c r="Q439" t="n">
        <v>8</v>
      </c>
      <c r="R439" s="2" t="inlineStr">
        <is>
          <t>Doftticka
Sprickporing
Blågrå svartspik
Garnlav
Kolflarnlav
Lunglav
Tretåig hackspett
Vedflamlav</t>
        </is>
      </c>
      <c r="S439">
        <f>HYPERLINK("https://klasma.github.io/Logging_2305/artfynd/A 61173-2025 artfynd.xlsx", "A 61173-2025")</f>
        <v/>
      </c>
      <c r="T439">
        <f>HYPERLINK("https://klasma.github.io/Logging_2305/kartor/A 61173-2025 karta.png", "A 61173-2025")</f>
        <v/>
      </c>
      <c r="V439">
        <f>HYPERLINK("https://klasma.github.io/Logging_2305/klagomål/A 61173-2025 FSC-klagomål.docx", "A 61173-2025")</f>
        <v/>
      </c>
      <c r="W439">
        <f>HYPERLINK("https://klasma.github.io/Logging_2305/klagomålsmail/A 61173-2025 FSC-klagomål mail.docx", "A 61173-2025")</f>
        <v/>
      </c>
      <c r="X439">
        <f>HYPERLINK("https://klasma.github.io/Logging_2305/tillsyn/A 61173-2025 tillsynsbegäran.docx", "A 61173-2025")</f>
        <v/>
      </c>
      <c r="Y439">
        <f>HYPERLINK("https://klasma.github.io/Logging_2305/tillsynsmail/A 61173-2025 tillsynsbegäran mail.docx", "A 61173-2025")</f>
        <v/>
      </c>
      <c r="Z439">
        <f>HYPERLINK("https://klasma.github.io/Logging_2305/fåglar/A 61173-2025 prioriterade fågelarter.docx", "A 61173-2025")</f>
        <v/>
      </c>
    </row>
    <row r="440" ht="15" customHeight="1">
      <c r="A440" t="inlineStr">
        <is>
          <t>A 43910-2024</t>
        </is>
      </c>
      <c r="B440" s="1" t="n">
        <v>45572</v>
      </c>
      <c r="C440" s="1" t="n">
        <v>46045</v>
      </c>
      <c r="D440" t="inlineStr">
        <is>
          <t>JÄMTLANDS LÄN</t>
        </is>
      </c>
      <c r="E440" t="inlineStr">
        <is>
          <t>ÅRE</t>
        </is>
      </c>
      <c r="G440" t="n">
        <v>20.7</v>
      </c>
      <c r="H440" t="n">
        <v>1</v>
      </c>
      <c r="I440" t="n">
        <v>2</v>
      </c>
      <c r="J440" t="n">
        <v>6</v>
      </c>
      <c r="K440" t="n">
        <v>0</v>
      </c>
      <c r="L440" t="n">
        <v>0</v>
      </c>
      <c r="M440" t="n">
        <v>0</v>
      </c>
      <c r="N440" t="n">
        <v>0</v>
      </c>
      <c r="O440" t="n">
        <v>6</v>
      </c>
      <c r="P440" t="n">
        <v>0</v>
      </c>
      <c r="Q440" t="n">
        <v>8</v>
      </c>
      <c r="R440" s="2" t="inlineStr">
        <is>
          <t>Granticka
Gränsticka
Harticka
Skrovellav
Tretåig hackspett
Vitgrynig nållav
Gytterlav
Trådticka</t>
        </is>
      </c>
      <c r="S440">
        <f>HYPERLINK("https://klasma.github.io/Logging_2321/artfynd/A 43910-2024 artfynd.xlsx", "A 43910-2024")</f>
        <v/>
      </c>
      <c r="T440">
        <f>HYPERLINK("https://klasma.github.io/Logging_2321/kartor/A 43910-2024 karta.png", "A 43910-2024")</f>
        <v/>
      </c>
      <c r="V440">
        <f>HYPERLINK("https://klasma.github.io/Logging_2321/klagomål/A 43910-2024 FSC-klagomål.docx", "A 43910-2024")</f>
        <v/>
      </c>
      <c r="W440">
        <f>HYPERLINK("https://klasma.github.io/Logging_2321/klagomålsmail/A 43910-2024 FSC-klagomål mail.docx", "A 43910-2024")</f>
        <v/>
      </c>
      <c r="X440">
        <f>HYPERLINK("https://klasma.github.io/Logging_2321/tillsyn/A 43910-2024 tillsynsbegäran.docx", "A 43910-2024")</f>
        <v/>
      </c>
      <c r="Y440">
        <f>HYPERLINK("https://klasma.github.io/Logging_2321/tillsynsmail/A 43910-2024 tillsynsbegäran mail.docx", "A 43910-2024")</f>
        <v/>
      </c>
      <c r="Z440">
        <f>HYPERLINK("https://klasma.github.io/Logging_2321/fåglar/A 43910-2024 prioriterade fågelarter.docx", "A 43910-2024")</f>
        <v/>
      </c>
    </row>
    <row r="441" ht="15" customHeight="1">
      <c r="A441" t="inlineStr">
        <is>
          <t>A 39288-2025</t>
        </is>
      </c>
      <c r="B441" s="1" t="n">
        <v>45889</v>
      </c>
      <c r="C441" s="1" t="n">
        <v>46045</v>
      </c>
      <c r="D441" t="inlineStr">
        <is>
          <t>JÄMTLANDS LÄN</t>
        </is>
      </c>
      <c r="E441" t="inlineStr">
        <is>
          <t>BERG</t>
        </is>
      </c>
      <c r="G441" t="n">
        <v>10.3</v>
      </c>
      <c r="H441" t="n">
        <v>3</v>
      </c>
      <c r="I441" t="n">
        <v>0</v>
      </c>
      <c r="J441" t="n">
        <v>6</v>
      </c>
      <c r="K441" t="n">
        <v>1</v>
      </c>
      <c r="L441" t="n">
        <v>0</v>
      </c>
      <c r="M441" t="n">
        <v>0</v>
      </c>
      <c r="N441" t="n">
        <v>0</v>
      </c>
      <c r="O441" t="n">
        <v>7</v>
      </c>
      <c r="P441" t="n">
        <v>1</v>
      </c>
      <c r="Q441" t="n">
        <v>8</v>
      </c>
      <c r="R441" s="2" t="inlineStr">
        <is>
          <t>Smalskaftslav
Brunpudrad nållav
Granticka
Harticka
Spillkråka
Tretåig hackspett
Ullticka
Lavskrika</t>
        </is>
      </c>
      <c r="S441">
        <f>HYPERLINK("https://klasma.github.io/Logging_2326/artfynd/A 39288-2025 artfynd.xlsx", "A 39288-2025")</f>
        <v/>
      </c>
      <c r="T441">
        <f>HYPERLINK("https://klasma.github.io/Logging_2326/kartor/A 39288-2025 karta.png", "A 39288-2025")</f>
        <v/>
      </c>
      <c r="U441">
        <f>HYPERLINK("https://klasma.github.io/Logging_2326/knärot/A 39288-2025 karta knärot.png", "A 39288-2025")</f>
        <v/>
      </c>
      <c r="V441">
        <f>HYPERLINK("https://klasma.github.io/Logging_2326/klagomål/A 39288-2025 FSC-klagomål.docx", "A 39288-2025")</f>
        <v/>
      </c>
      <c r="W441">
        <f>HYPERLINK("https://klasma.github.io/Logging_2326/klagomålsmail/A 39288-2025 FSC-klagomål mail.docx", "A 39288-2025")</f>
        <v/>
      </c>
      <c r="X441">
        <f>HYPERLINK("https://klasma.github.io/Logging_2326/tillsyn/A 39288-2025 tillsynsbegäran.docx", "A 39288-2025")</f>
        <v/>
      </c>
      <c r="Y441">
        <f>HYPERLINK("https://klasma.github.io/Logging_2326/tillsynsmail/A 39288-2025 tillsynsbegäran mail.docx", "A 39288-2025")</f>
        <v/>
      </c>
      <c r="Z441">
        <f>HYPERLINK("https://klasma.github.io/Logging_2326/fåglar/A 39288-2025 prioriterade fågelarter.docx", "A 39288-2025")</f>
        <v/>
      </c>
    </row>
    <row r="442" ht="15" customHeight="1">
      <c r="A442" t="inlineStr">
        <is>
          <t>A 40777-2023</t>
        </is>
      </c>
      <c r="B442" s="1" t="n">
        <v>45170</v>
      </c>
      <c r="C442" s="1" t="n">
        <v>46045</v>
      </c>
      <c r="D442" t="inlineStr">
        <is>
          <t>JÄMTLANDS LÄN</t>
        </is>
      </c>
      <c r="E442" t="inlineStr">
        <is>
          <t>ÖSTERSUND</t>
        </is>
      </c>
      <c r="F442" t="inlineStr">
        <is>
          <t>SCA</t>
        </is>
      </c>
      <c r="G442" t="n">
        <v>16.4</v>
      </c>
      <c r="H442" t="n">
        <v>3</v>
      </c>
      <c r="I442" t="n">
        <v>1</v>
      </c>
      <c r="J442" t="n">
        <v>5</v>
      </c>
      <c r="K442" t="n">
        <v>1</v>
      </c>
      <c r="L442" t="n">
        <v>0</v>
      </c>
      <c r="M442" t="n">
        <v>0</v>
      </c>
      <c r="N442" t="n">
        <v>0</v>
      </c>
      <c r="O442" t="n">
        <v>6</v>
      </c>
      <c r="P442" t="n">
        <v>1</v>
      </c>
      <c r="Q442" t="n">
        <v>8</v>
      </c>
      <c r="R442" s="2" t="inlineStr">
        <is>
          <t>Doftticka
Kungsörn
Lunglav
Stiftgelélav
Veckticka
Vedtrappmossa
Korallblylav
Blåsippa</t>
        </is>
      </c>
      <c r="S442">
        <f>HYPERLINK("https://klasma.github.io/Logging_2380/artfynd/A 40777-2023 artfynd.xlsx", "A 40777-2023")</f>
        <v/>
      </c>
      <c r="T442">
        <f>HYPERLINK("https://klasma.github.io/Logging_2380/kartor/A 40777-2023 karta.png", "A 40777-2023")</f>
        <v/>
      </c>
      <c r="V442">
        <f>HYPERLINK("https://klasma.github.io/Logging_2380/klagomål/A 40777-2023 FSC-klagomål.docx", "A 40777-2023")</f>
        <v/>
      </c>
      <c r="W442">
        <f>HYPERLINK("https://klasma.github.io/Logging_2380/klagomålsmail/A 40777-2023 FSC-klagomål mail.docx", "A 40777-2023")</f>
        <v/>
      </c>
      <c r="X442">
        <f>HYPERLINK("https://klasma.github.io/Logging_2380/tillsyn/A 40777-2023 tillsynsbegäran.docx", "A 40777-2023")</f>
        <v/>
      </c>
      <c r="Y442">
        <f>HYPERLINK("https://klasma.github.io/Logging_2380/tillsynsmail/A 40777-2023 tillsynsbegäran mail.docx", "A 40777-2023")</f>
        <v/>
      </c>
      <c r="Z442">
        <f>HYPERLINK("https://klasma.github.io/Logging_2380/fåglar/A 40777-2023 prioriterade fågelarter.docx", "A 40777-2023")</f>
        <v/>
      </c>
    </row>
    <row r="443" ht="15" customHeight="1">
      <c r="A443" t="inlineStr">
        <is>
          <t>A 51820-2023</t>
        </is>
      </c>
      <c r="B443" s="1" t="n">
        <v>45222</v>
      </c>
      <c r="C443" s="1" t="n">
        <v>46045</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40206-2023</t>
        </is>
      </c>
      <c r="B444" s="1" t="n">
        <v>45169</v>
      </c>
      <c r="C444" s="1" t="n">
        <v>46045</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32475-2023</t>
        </is>
      </c>
      <c r="B445" s="1" t="n">
        <v>45120</v>
      </c>
      <c r="C445" s="1" t="n">
        <v>46045</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20644-2021</t>
        </is>
      </c>
      <c r="B446" s="1" t="n">
        <v>44316</v>
      </c>
      <c r="C446" s="1" t="n">
        <v>46045</v>
      </c>
      <c r="D446" t="inlineStr">
        <is>
          <t>JÄMTLANDS LÄN</t>
        </is>
      </c>
      <c r="E446" t="inlineStr">
        <is>
          <t>ÅRE</t>
        </is>
      </c>
      <c r="G446" t="n">
        <v>42.9</v>
      </c>
      <c r="H446" t="n">
        <v>2</v>
      </c>
      <c r="I446" t="n">
        <v>3</v>
      </c>
      <c r="J446" t="n">
        <v>5</v>
      </c>
      <c r="K446" t="n">
        <v>0</v>
      </c>
      <c r="L446" t="n">
        <v>0</v>
      </c>
      <c r="M446" t="n">
        <v>0</v>
      </c>
      <c r="N446" t="n">
        <v>0</v>
      </c>
      <c r="O446" t="n">
        <v>5</v>
      </c>
      <c r="P446" t="n">
        <v>0</v>
      </c>
      <c r="Q446" t="n">
        <v>8</v>
      </c>
      <c r="R446" s="2" t="inlineStr">
        <is>
          <t>Doftskinn
Garnlav
Granticka
Månlåsbräken
Tretåig hackspett
Gytterlav
Kambräken
Tvåblad</t>
        </is>
      </c>
      <c r="S446">
        <f>HYPERLINK("https://klasma.github.io/Logging_2321/artfynd/A 20644-2021 artfynd.xlsx", "A 20644-2021")</f>
        <v/>
      </c>
      <c r="T446">
        <f>HYPERLINK("https://klasma.github.io/Logging_2321/kartor/A 20644-2021 karta.png", "A 20644-2021")</f>
        <v/>
      </c>
      <c r="V446">
        <f>HYPERLINK("https://klasma.github.io/Logging_2321/klagomål/A 20644-2021 FSC-klagomål.docx", "A 20644-2021")</f>
        <v/>
      </c>
      <c r="W446">
        <f>HYPERLINK("https://klasma.github.io/Logging_2321/klagomålsmail/A 20644-2021 FSC-klagomål mail.docx", "A 20644-2021")</f>
        <v/>
      </c>
      <c r="X446">
        <f>HYPERLINK("https://klasma.github.io/Logging_2321/tillsyn/A 20644-2021 tillsynsbegäran.docx", "A 20644-2021")</f>
        <v/>
      </c>
      <c r="Y446">
        <f>HYPERLINK("https://klasma.github.io/Logging_2321/tillsynsmail/A 20644-2021 tillsynsbegäran mail.docx", "A 20644-2021")</f>
        <v/>
      </c>
      <c r="Z446">
        <f>HYPERLINK("https://klasma.github.io/Logging_2321/fåglar/A 20644-2021 prioriterade fågelarter.docx", "A 20644-2021")</f>
        <v/>
      </c>
    </row>
    <row r="447" ht="15" customHeight="1">
      <c r="A447" t="inlineStr">
        <is>
          <t>A 16246-2024</t>
        </is>
      </c>
      <c r="B447" s="1" t="n">
        <v>45407.05788194444</v>
      </c>
      <c r="C447" s="1" t="n">
        <v>46045</v>
      </c>
      <c r="D447" t="inlineStr">
        <is>
          <t>JÄMTLANDS LÄN</t>
        </is>
      </c>
      <c r="E447" t="inlineStr">
        <is>
          <t>BERG</t>
        </is>
      </c>
      <c r="F447" t="inlineStr">
        <is>
          <t>SCA</t>
        </is>
      </c>
      <c r="G447" t="n">
        <v>19.1</v>
      </c>
      <c r="H447" t="n">
        <v>2</v>
      </c>
      <c r="I447" t="n">
        <v>3</v>
      </c>
      <c r="J447" t="n">
        <v>5</v>
      </c>
      <c r="K447" t="n">
        <v>0</v>
      </c>
      <c r="L447" t="n">
        <v>0</v>
      </c>
      <c r="M447" t="n">
        <v>0</v>
      </c>
      <c r="N447" t="n">
        <v>0</v>
      </c>
      <c r="O447" t="n">
        <v>5</v>
      </c>
      <c r="P447" t="n">
        <v>0</v>
      </c>
      <c r="Q447" t="n">
        <v>8</v>
      </c>
      <c r="R447" s="2" t="inlineStr">
        <is>
          <t>Blå taggsvamp
Kolflarnlav
Lunglav
Talltita
Tretåig hackspett
Dropptaggsvamp
Skarp dropptaggsvamp
Stuplav</t>
        </is>
      </c>
      <c r="S447">
        <f>HYPERLINK("https://klasma.github.io/Logging_2326/artfynd/A 16246-2024 artfynd.xlsx", "A 16246-2024")</f>
        <v/>
      </c>
      <c r="T447">
        <f>HYPERLINK("https://klasma.github.io/Logging_2326/kartor/A 16246-2024 karta.png", "A 16246-2024")</f>
        <v/>
      </c>
      <c r="V447">
        <f>HYPERLINK("https://klasma.github.io/Logging_2326/klagomål/A 16246-2024 FSC-klagomål.docx", "A 16246-2024")</f>
        <v/>
      </c>
      <c r="W447">
        <f>HYPERLINK("https://klasma.github.io/Logging_2326/klagomålsmail/A 16246-2024 FSC-klagomål mail.docx", "A 16246-2024")</f>
        <v/>
      </c>
      <c r="X447">
        <f>HYPERLINK("https://klasma.github.io/Logging_2326/tillsyn/A 16246-2024 tillsynsbegäran.docx", "A 16246-2024")</f>
        <v/>
      </c>
      <c r="Y447">
        <f>HYPERLINK("https://klasma.github.io/Logging_2326/tillsynsmail/A 16246-2024 tillsynsbegäran mail.docx", "A 16246-2024")</f>
        <v/>
      </c>
      <c r="Z447">
        <f>HYPERLINK("https://klasma.github.io/Logging_2326/fåglar/A 16246-2024 prioriterade fågelarter.docx", "A 16246-2024")</f>
        <v/>
      </c>
    </row>
    <row r="448" ht="15" customHeight="1">
      <c r="A448" t="inlineStr">
        <is>
          <t>A 39735-2021</t>
        </is>
      </c>
      <c r="B448" s="1" t="n">
        <v>44414</v>
      </c>
      <c r="C448" s="1" t="n">
        <v>46045</v>
      </c>
      <c r="D448" t="inlineStr">
        <is>
          <t>JÄMTLANDS LÄN</t>
        </is>
      </c>
      <c r="E448" t="inlineStr">
        <is>
          <t>ÖSTERSUND</t>
        </is>
      </c>
      <c r="G448" t="n">
        <v>4.5</v>
      </c>
      <c r="H448" t="n">
        <v>2</v>
      </c>
      <c r="I448" t="n">
        <v>0</v>
      </c>
      <c r="J448" t="n">
        <v>7</v>
      </c>
      <c r="K448" t="n">
        <v>0</v>
      </c>
      <c r="L448" t="n">
        <v>0</v>
      </c>
      <c r="M448" t="n">
        <v>0</v>
      </c>
      <c r="N448" t="n">
        <v>0</v>
      </c>
      <c r="O448" t="n">
        <v>7</v>
      </c>
      <c r="P448" t="n">
        <v>0</v>
      </c>
      <c r="Q448" t="n">
        <v>7</v>
      </c>
      <c r="R448" s="2" t="inlineStr">
        <is>
          <t>Gammelgransskål
Garnlav
Harticka
Talltita
Tretåig hackspett
Vitgrynig nållav
Äggvaxskivling</t>
        </is>
      </c>
      <c r="S448">
        <f>HYPERLINK("https://klasma.github.io/Logging_2380/artfynd/A 39735-2021 artfynd.xlsx", "A 39735-2021")</f>
        <v/>
      </c>
      <c r="T448">
        <f>HYPERLINK("https://klasma.github.io/Logging_2380/kartor/A 39735-2021 karta.png", "A 39735-2021")</f>
        <v/>
      </c>
      <c r="V448">
        <f>HYPERLINK("https://klasma.github.io/Logging_2380/klagomål/A 39735-2021 FSC-klagomål.docx", "A 39735-2021")</f>
        <v/>
      </c>
      <c r="W448">
        <f>HYPERLINK("https://klasma.github.io/Logging_2380/klagomålsmail/A 39735-2021 FSC-klagomål mail.docx", "A 39735-2021")</f>
        <v/>
      </c>
      <c r="X448">
        <f>HYPERLINK("https://klasma.github.io/Logging_2380/tillsyn/A 39735-2021 tillsynsbegäran.docx", "A 39735-2021")</f>
        <v/>
      </c>
      <c r="Y448">
        <f>HYPERLINK("https://klasma.github.io/Logging_2380/tillsynsmail/A 39735-2021 tillsynsbegäran mail.docx", "A 39735-2021")</f>
        <v/>
      </c>
      <c r="Z448">
        <f>HYPERLINK("https://klasma.github.io/Logging_2380/fåglar/A 39735-2021 prioriterade fågelarter.docx", "A 39735-2021")</f>
        <v/>
      </c>
    </row>
    <row r="449" ht="15" customHeight="1">
      <c r="A449" t="inlineStr">
        <is>
          <t>A 42828-2021</t>
        </is>
      </c>
      <c r="B449" s="1" t="n">
        <v>44430</v>
      </c>
      <c r="C449" s="1" t="n">
        <v>46045</v>
      </c>
      <c r="D449" t="inlineStr">
        <is>
          <t>JÄMTLANDS LÄN</t>
        </is>
      </c>
      <c r="E449" t="inlineStr">
        <is>
          <t>HÄRJEDALEN</t>
        </is>
      </c>
      <c r="F449" t="inlineStr">
        <is>
          <t>Sveaskog</t>
        </is>
      </c>
      <c r="G449" t="n">
        <v>1.7</v>
      </c>
      <c r="H449" t="n">
        <v>0</v>
      </c>
      <c r="I449" t="n">
        <v>1</v>
      </c>
      <c r="J449" t="n">
        <v>3</v>
      </c>
      <c r="K449" t="n">
        <v>3</v>
      </c>
      <c r="L449" t="n">
        <v>0</v>
      </c>
      <c r="M449" t="n">
        <v>0</v>
      </c>
      <c r="N449" t="n">
        <v>0</v>
      </c>
      <c r="O449" t="n">
        <v>6</v>
      </c>
      <c r="P449" t="n">
        <v>3</v>
      </c>
      <c r="Q449" t="n">
        <v>7</v>
      </c>
      <c r="R449" s="2" t="inlineStr">
        <is>
          <t>Fläckporing
Gräddporing
Smalfotad taggsvamp
Dvärgbägarlav
Nordtagging
Vaddporing
Dropptaggsvamp</t>
        </is>
      </c>
      <c r="S449">
        <f>HYPERLINK("https://klasma.github.io/Logging_2361/artfynd/A 42828-2021 artfynd.xlsx", "A 42828-2021")</f>
        <v/>
      </c>
      <c r="T449">
        <f>HYPERLINK("https://klasma.github.io/Logging_2361/kartor/A 42828-2021 karta.png", "A 42828-2021")</f>
        <v/>
      </c>
      <c r="V449">
        <f>HYPERLINK("https://klasma.github.io/Logging_2361/klagomål/A 42828-2021 FSC-klagomål.docx", "A 42828-2021")</f>
        <v/>
      </c>
      <c r="W449">
        <f>HYPERLINK("https://klasma.github.io/Logging_2361/klagomålsmail/A 42828-2021 FSC-klagomål mail.docx", "A 42828-2021")</f>
        <v/>
      </c>
      <c r="X449">
        <f>HYPERLINK("https://klasma.github.io/Logging_2361/tillsyn/A 42828-2021 tillsynsbegäran.docx", "A 42828-2021")</f>
        <v/>
      </c>
      <c r="Y449">
        <f>HYPERLINK("https://klasma.github.io/Logging_2361/tillsynsmail/A 42828-2021 tillsynsbegäran mail.docx", "A 42828-2021")</f>
        <v/>
      </c>
    </row>
    <row r="450" ht="15" customHeight="1">
      <c r="A450" t="inlineStr">
        <is>
          <t>A 16811-2021</t>
        </is>
      </c>
      <c r="B450" s="1" t="n">
        <v>44293</v>
      </c>
      <c r="C450" s="1" t="n">
        <v>46045</v>
      </c>
      <c r="D450" t="inlineStr">
        <is>
          <t>JÄMTLANDS LÄN</t>
        </is>
      </c>
      <c r="E450" t="inlineStr">
        <is>
          <t>BERG</t>
        </is>
      </c>
      <c r="G450" t="n">
        <v>22.9</v>
      </c>
      <c r="H450" t="n">
        <v>0</v>
      </c>
      <c r="I450" t="n">
        <v>1</v>
      </c>
      <c r="J450" t="n">
        <v>6</v>
      </c>
      <c r="K450" t="n">
        <v>0</v>
      </c>
      <c r="L450" t="n">
        <v>0</v>
      </c>
      <c r="M450" t="n">
        <v>0</v>
      </c>
      <c r="N450" t="n">
        <v>0</v>
      </c>
      <c r="O450" t="n">
        <v>6</v>
      </c>
      <c r="P450" t="n">
        <v>0</v>
      </c>
      <c r="Q450" t="n">
        <v>7</v>
      </c>
      <c r="R450" s="2" t="inlineStr">
        <is>
          <t>Gammelgransskål
Garnlav
Granticka
Rödbrun blekspik
Ullticka
Vitgrynig nållav
Vedticka</t>
        </is>
      </c>
      <c r="S450">
        <f>HYPERLINK("https://klasma.github.io/Logging_2326/artfynd/A 16811-2021 artfynd.xlsx", "A 16811-2021")</f>
        <v/>
      </c>
      <c r="T450">
        <f>HYPERLINK("https://klasma.github.io/Logging_2326/kartor/A 16811-2021 karta.png", "A 16811-2021")</f>
        <v/>
      </c>
      <c r="V450">
        <f>HYPERLINK("https://klasma.github.io/Logging_2326/klagomål/A 16811-2021 FSC-klagomål.docx", "A 16811-2021")</f>
        <v/>
      </c>
      <c r="W450">
        <f>HYPERLINK("https://klasma.github.io/Logging_2326/klagomålsmail/A 16811-2021 FSC-klagomål mail.docx", "A 16811-2021")</f>
        <v/>
      </c>
      <c r="X450">
        <f>HYPERLINK("https://klasma.github.io/Logging_2326/tillsyn/A 16811-2021 tillsynsbegäran.docx", "A 16811-2021")</f>
        <v/>
      </c>
      <c r="Y450">
        <f>HYPERLINK("https://klasma.github.io/Logging_2326/tillsynsmail/A 16811-2021 tillsynsbegäran mail.docx", "A 16811-2021")</f>
        <v/>
      </c>
    </row>
    <row r="451" ht="15" customHeight="1">
      <c r="A451" t="inlineStr">
        <is>
          <t>A 31953-2021</t>
        </is>
      </c>
      <c r="B451" s="1" t="n">
        <v>44370</v>
      </c>
      <c r="C451" s="1" t="n">
        <v>46045</v>
      </c>
      <c r="D451" t="inlineStr">
        <is>
          <t>JÄMTLANDS LÄN</t>
        </is>
      </c>
      <c r="E451" t="inlineStr">
        <is>
          <t>ÅRE</t>
        </is>
      </c>
      <c r="G451" t="n">
        <v>24.8</v>
      </c>
      <c r="H451" t="n">
        <v>0</v>
      </c>
      <c r="I451" t="n">
        <v>2</v>
      </c>
      <c r="J451" t="n">
        <v>5</v>
      </c>
      <c r="K451" t="n">
        <v>0</v>
      </c>
      <c r="L451" t="n">
        <v>0</v>
      </c>
      <c r="M451" t="n">
        <v>0</v>
      </c>
      <c r="N451" t="n">
        <v>0</v>
      </c>
      <c r="O451" t="n">
        <v>5</v>
      </c>
      <c r="P451" t="n">
        <v>0</v>
      </c>
      <c r="Q451" t="n">
        <v>7</v>
      </c>
      <c r="R451" s="2" t="inlineStr">
        <is>
          <t>Brunpudrad nållav
Garnlav
Liten svartspik
Rödbrun blekspik
Vitgrynig nållav
Granriska
Luddlav</t>
        </is>
      </c>
      <c r="S451">
        <f>HYPERLINK("https://klasma.github.io/Logging_2321/artfynd/A 31953-2021 artfynd.xlsx", "A 31953-2021")</f>
        <v/>
      </c>
      <c r="T451">
        <f>HYPERLINK("https://klasma.github.io/Logging_2321/kartor/A 31953-2021 karta.png", "A 31953-2021")</f>
        <v/>
      </c>
      <c r="V451">
        <f>HYPERLINK("https://klasma.github.io/Logging_2321/klagomål/A 31953-2021 FSC-klagomål.docx", "A 31953-2021")</f>
        <v/>
      </c>
      <c r="W451">
        <f>HYPERLINK("https://klasma.github.io/Logging_2321/klagomålsmail/A 31953-2021 FSC-klagomål mail.docx", "A 31953-2021")</f>
        <v/>
      </c>
      <c r="X451">
        <f>HYPERLINK("https://klasma.github.io/Logging_2321/tillsyn/A 31953-2021 tillsynsbegäran.docx", "A 31953-2021")</f>
        <v/>
      </c>
      <c r="Y451">
        <f>HYPERLINK("https://klasma.github.io/Logging_2321/tillsynsmail/A 31953-2021 tillsynsbegäran mail.docx", "A 31953-2021")</f>
        <v/>
      </c>
    </row>
    <row r="452" ht="15" customHeight="1">
      <c r="A452" t="inlineStr">
        <is>
          <t>A 74070-2021</t>
        </is>
      </c>
      <c r="B452" s="1" t="n">
        <v>44553</v>
      </c>
      <c r="C452" s="1" t="n">
        <v>46045</v>
      </c>
      <c r="D452" t="inlineStr">
        <is>
          <t>JÄMTLANDS LÄN</t>
        </is>
      </c>
      <c r="E452" t="inlineStr">
        <is>
          <t>HÄRJEDALEN</t>
        </is>
      </c>
      <c r="F452" t="inlineStr">
        <is>
          <t>Sveaskog</t>
        </is>
      </c>
      <c r="G452" t="n">
        <v>20</v>
      </c>
      <c r="H452" t="n">
        <v>1</v>
      </c>
      <c r="I452" t="n">
        <v>0</v>
      </c>
      <c r="J452" t="n">
        <v>6</v>
      </c>
      <c r="K452" t="n">
        <v>1</v>
      </c>
      <c r="L452" t="n">
        <v>0</v>
      </c>
      <c r="M452" t="n">
        <v>0</v>
      </c>
      <c r="N452" t="n">
        <v>0</v>
      </c>
      <c r="O452" t="n">
        <v>7</v>
      </c>
      <c r="P452" t="n">
        <v>1</v>
      </c>
      <c r="Q452" t="n">
        <v>7</v>
      </c>
      <c r="R452" s="2" t="inlineStr">
        <is>
          <t>Varglavsknöl
Blanksvart spiklav
Garnlav
Kolflarnlav
Mörk kolflarnlav
Varglav
Vedflamlav</t>
        </is>
      </c>
      <c r="S452">
        <f>HYPERLINK("https://klasma.github.io/Logging_2361/artfynd/A 74070-2021 artfynd.xlsx", "A 74070-2021")</f>
        <v/>
      </c>
      <c r="T452">
        <f>HYPERLINK("https://klasma.github.io/Logging_2361/kartor/A 74070-2021 karta.png", "A 74070-2021")</f>
        <v/>
      </c>
      <c r="V452">
        <f>HYPERLINK("https://klasma.github.io/Logging_2361/klagomål/A 74070-2021 FSC-klagomål.docx", "A 74070-2021")</f>
        <v/>
      </c>
      <c r="W452">
        <f>HYPERLINK("https://klasma.github.io/Logging_2361/klagomålsmail/A 74070-2021 FSC-klagomål mail.docx", "A 74070-2021")</f>
        <v/>
      </c>
      <c r="X452">
        <f>HYPERLINK("https://klasma.github.io/Logging_2361/tillsyn/A 74070-2021 tillsynsbegäran.docx", "A 74070-2021")</f>
        <v/>
      </c>
      <c r="Y452">
        <f>HYPERLINK("https://klasma.github.io/Logging_2361/tillsynsmail/A 74070-2021 tillsynsbegäran mail.docx", "A 74070-2021")</f>
        <v/>
      </c>
    </row>
    <row r="453" ht="15" customHeight="1">
      <c r="A453" t="inlineStr">
        <is>
          <t>A 20169-2022</t>
        </is>
      </c>
      <c r="B453" s="1" t="n">
        <v>44698</v>
      </c>
      <c r="C453" s="1" t="n">
        <v>46045</v>
      </c>
      <c r="D453" t="inlineStr">
        <is>
          <t>JÄMTLANDS LÄN</t>
        </is>
      </c>
      <c r="E453" t="inlineStr">
        <is>
          <t>KROKOM</t>
        </is>
      </c>
      <c r="G453" t="n">
        <v>33.6</v>
      </c>
      <c r="H453" t="n">
        <v>2</v>
      </c>
      <c r="I453" t="n">
        <v>3</v>
      </c>
      <c r="J453" t="n">
        <v>4</v>
      </c>
      <c r="K453" t="n">
        <v>0</v>
      </c>
      <c r="L453" t="n">
        <v>0</v>
      </c>
      <c r="M453" t="n">
        <v>0</v>
      </c>
      <c r="N453" t="n">
        <v>0</v>
      </c>
      <c r="O453" t="n">
        <v>4</v>
      </c>
      <c r="P453" t="n">
        <v>0</v>
      </c>
      <c r="Q453" t="n">
        <v>7</v>
      </c>
      <c r="R453" s="2" t="inlineStr">
        <is>
          <t>Gammelgransskål
Granticka
Tretåig hackspett
Vitgrynig nållav
Bårdlav
Spindelblomster
Stuplav</t>
        </is>
      </c>
      <c r="S453">
        <f>HYPERLINK("https://klasma.github.io/Logging_2309/artfynd/A 20169-2022 artfynd.xlsx", "A 20169-2022")</f>
        <v/>
      </c>
      <c r="T453">
        <f>HYPERLINK("https://klasma.github.io/Logging_2309/kartor/A 20169-2022 karta.png", "A 20169-2022")</f>
        <v/>
      </c>
      <c r="V453">
        <f>HYPERLINK("https://klasma.github.io/Logging_2309/klagomål/A 20169-2022 FSC-klagomål.docx", "A 20169-2022")</f>
        <v/>
      </c>
      <c r="W453">
        <f>HYPERLINK("https://klasma.github.io/Logging_2309/klagomålsmail/A 20169-2022 FSC-klagomål mail.docx", "A 20169-2022")</f>
        <v/>
      </c>
      <c r="X453">
        <f>HYPERLINK("https://klasma.github.io/Logging_2309/tillsyn/A 20169-2022 tillsynsbegäran.docx", "A 20169-2022")</f>
        <v/>
      </c>
      <c r="Y453">
        <f>HYPERLINK("https://klasma.github.io/Logging_2309/tillsynsmail/A 20169-2022 tillsynsbegäran mail.docx", "A 20169-2022")</f>
        <v/>
      </c>
      <c r="Z453">
        <f>HYPERLINK("https://klasma.github.io/Logging_2309/fåglar/A 20169-2022 prioriterade fågelarter.docx", "A 20169-2022")</f>
        <v/>
      </c>
    </row>
    <row r="454" ht="15" customHeight="1">
      <c r="A454" t="inlineStr">
        <is>
          <t>A 3433-2022</t>
        </is>
      </c>
      <c r="B454" s="1" t="n">
        <v>44585</v>
      </c>
      <c r="C454" s="1" t="n">
        <v>46045</v>
      </c>
      <c r="D454" t="inlineStr">
        <is>
          <t>JÄMTLANDS LÄN</t>
        </is>
      </c>
      <c r="E454" t="inlineStr">
        <is>
          <t>KROKOM</t>
        </is>
      </c>
      <c r="F454" t="inlineStr">
        <is>
          <t>Kyrkan</t>
        </is>
      </c>
      <c r="G454" t="n">
        <v>14.6</v>
      </c>
      <c r="H454" t="n">
        <v>1</v>
      </c>
      <c r="I454" t="n">
        <v>1</v>
      </c>
      <c r="J454" t="n">
        <v>6</v>
      </c>
      <c r="K454" t="n">
        <v>0</v>
      </c>
      <c r="L454" t="n">
        <v>0</v>
      </c>
      <c r="M454" t="n">
        <v>0</v>
      </c>
      <c r="N454" t="n">
        <v>0</v>
      </c>
      <c r="O454" t="n">
        <v>6</v>
      </c>
      <c r="P454" t="n">
        <v>0</v>
      </c>
      <c r="Q454" t="n">
        <v>7</v>
      </c>
      <c r="R454" s="2" t="inlineStr">
        <is>
          <t>Garnlav
Kolflarnlav
Liten svartspik
Lunglav
Tretåig hackspett
Vitgrynig nållav
Bårdlav</t>
        </is>
      </c>
      <c r="S454">
        <f>HYPERLINK("https://klasma.github.io/Logging_2309/artfynd/A 3433-2022 artfynd.xlsx", "A 3433-2022")</f>
        <v/>
      </c>
      <c r="T454">
        <f>HYPERLINK("https://klasma.github.io/Logging_2309/kartor/A 3433-2022 karta.png", "A 3433-2022")</f>
        <v/>
      </c>
      <c r="V454">
        <f>HYPERLINK("https://klasma.github.io/Logging_2309/klagomål/A 3433-2022 FSC-klagomål.docx", "A 3433-2022")</f>
        <v/>
      </c>
      <c r="W454">
        <f>HYPERLINK("https://klasma.github.io/Logging_2309/klagomålsmail/A 3433-2022 FSC-klagomål mail.docx", "A 3433-2022")</f>
        <v/>
      </c>
      <c r="X454">
        <f>HYPERLINK("https://klasma.github.io/Logging_2309/tillsyn/A 3433-2022 tillsynsbegäran.docx", "A 3433-2022")</f>
        <v/>
      </c>
      <c r="Y454">
        <f>HYPERLINK("https://klasma.github.io/Logging_2309/tillsynsmail/A 3433-2022 tillsynsbegäran mail.docx", "A 3433-2022")</f>
        <v/>
      </c>
      <c r="Z454">
        <f>HYPERLINK("https://klasma.github.io/Logging_2309/fåglar/A 3433-2022 prioriterade fågelarter.docx", "A 3433-2022")</f>
        <v/>
      </c>
    </row>
    <row r="455" ht="15" customHeight="1">
      <c r="A455" t="inlineStr">
        <is>
          <t>A 15665-2022</t>
        </is>
      </c>
      <c r="B455" s="1" t="n">
        <v>44662</v>
      </c>
      <c r="C455" s="1" t="n">
        <v>46045</v>
      </c>
      <c r="D455" t="inlineStr">
        <is>
          <t>JÄMTLANDS LÄN</t>
        </is>
      </c>
      <c r="E455" t="inlineStr">
        <is>
          <t>RAGUNDA</t>
        </is>
      </c>
      <c r="F455" t="inlineStr">
        <is>
          <t>SCA</t>
        </is>
      </c>
      <c r="G455" t="n">
        <v>4.8</v>
      </c>
      <c r="H455" t="n">
        <v>3</v>
      </c>
      <c r="I455" t="n">
        <v>1</v>
      </c>
      <c r="J455" t="n">
        <v>5</v>
      </c>
      <c r="K455" t="n">
        <v>0</v>
      </c>
      <c r="L455" t="n">
        <v>0</v>
      </c>
      <c r="M455" t="n">
        <v>0</v>
      </c>
      <c r="N455" t="n">
        <v>0</v>
      </c>
      <c r="O455" t="n">
        <v>5</v>
      </c>
      <c r="P455" t="n">
        <v>0</v>
      </c>
      <c r="Q455" t="n">
        <v>7</v>
      </c>
      <c r="R455" s="2" t="inlineStr">
        <is>
          <t>Garnlav
Granticka
Spillkråka
Tretåig hackspett
Ullticka
Vedticka
Revlummer</t>
        </is>
      </c>
      <c r="S455">
        <f>HYPERLINK("https://klasma.github.io/Logging_2303/artfynd/A 15665-2022 artfynd.xlsx", "A 15665-2022")</f>
        <v/>
      </c>
      <c r="T455">
        <f>HYPERLINK("https://klasma.github.io/Logging_2303/kartor/A 15665-2022 karta.png", "A 15665-2022")</f>
        <v/>
      </c>
      <c r="V455">
        <f>HYPERLINK("https://klasma.github.io/Logging_2303/klagomål/A 15665-2022 FSC-klagomål.docx", "A 15665-2022")</f>
        <v/>
      </c>
      <c r="W455">
        <f>HYPERLINK("https://klasma.github.io/Logging_2303/klagomålsmail/A 15665-2022 FSC-klagomål mail.docx", "A 15665-2022")</f>
        <v/>
      </c>
      <c r="X455">
        <f>HYPERLINK("https://klasma.github.io/Logging_2303/tillsyn/A 15665-2022 tillsynsbegäran.docx", "A 15665-2022")</f>
        <v/>
      </c>
      <c r="Y455">
        <f>HYPERLINK("https://klasma.github.io/Logging_2303/tillsynsmail/A 15665-2022 tillsynsbegäran mail.docx", "A 15665-2022")</f>
        <v/>
      </c>
      <c r="Z455">
        <f>HYPERLINK("https://klasma.github.io/Logging_2303/fåglar/A 15665-2022 prioriterade fågelarter.docx", "A 15665-2022")</f>
        <v/>
      </c>
    </row>
    <row r="456" ht="15" customHeight="1">
      <c r="A456" t="inlineStr">
        <is>
          <t>A 45020-2021</t>
        </is>
      </c>
      <c r="B456" s="1" t="n">
        <v>44438</v>
      </c>
      <c r="C456" s="1" t="n">
        <v>46045</v>
      </c>
      <c r="D456" t="inlineStr">
        <is>
          <t>JÄMTLANDS LÄN</t>
        </is>
      </c>
      <c r="E456" t="inlineStr">
        <is>
          <t>RAGUNDA</t>
        </is>
      </c>
      <c r="F456" t="inlineStr">
        <is>
          <t>SCA</t>
        </is>
      </c>
      <c r="G456" t="n">
        <v>3.1</v>
      </c>
      <c r="H456" t="n">
        <v>0</v>
      </c>
      <c r="I456" t="n">
        <v>0</v>
      </c>
      <c r="J456" t="n">
        <v>6</v>
      </c>
      <c r="K456" t="n">
        <v>1</v>
      </c>
      <c r="L456" t="n">
        <v>0</v>
      </c>
      <c r="M456" t="n">
        <v>0</v>
      </c>
      <c r="N456" t="n">
        <v>0</v>
      </c>
      <c r="O456" t="n">
        <v>7</v>
      </c>
      <c r="P456" t="n">
        <v>1</v>
      </c>
      <c r="Q456" t="n">
        <v>7</v>
      </c>
      <c r="R456" s="2" t="inlineStr">
        <is>
          <t>Fläckporing
Blanksvart spiklav
Dvärgbägarlav
Mörk kolflarnlav
Nordtagging
Vedskivlav
Vitplätt</t>
        </is>
      </c>
      <c r="S456">
        <f>HYPERLINK("https://klasma.github.io/Logging_2303/artfynd/A 45020-2021 artfynd.xlsx", "A 45020-2021")</f>
        <v/>
      </c>
      <c r="T456">
        <f>HYPERLINK("https://klasma.github.io/Logging_2303/kartor/A 45020-2021 karta.png", "A 45020-2021")</f>
        <v/>
      </c>
      <c r="V456">
        <f>HYPERLINK("https://klasma.github.io/Logging_2303/klagomål/A 45020-2021 FSC-klagomål.docx", "A 45020-2021")</f>
        <v/>
      </c>
      <c r="W456">
        <f>HYPERLINK("https://klasma.github.io/Logging_2303/klagomålsmail/A 45020-2021 FSC-klagomål mail.docx", "A 45020-2021")</f>
        <v/>
      </c>
      <c r="X456">
        <f>HYPERLINK("https://klasma.github.io/Logging_2303/tillsyn/A 45020-2021 tillsynsbegäran.docx", "A 45020-2021")</f>
        <v/>
      </c>
      <c r="Y456">
        <f>HYPERLINK("https://klasma.github.io/Logging_2303/tillsynsmail/A 45020-2021 tillsynsbegäran mail.docx", "A 45020-2021")</f>
        <v/>
      </c>
    </row>
    <row r="457" ht="15" customHeight="1">
      <c r="A457" t="inlineStr">
        <is>
          <t>A 14293-2022</t>
        </is>
      </c>
      <c r="B457" s="1" t="n">
        <v>44651</v>
      </c>
      <c r="C457" s="1" t="n">
        <v>46045</v>
      </c>
      <c r="D457" t="inlineStr">
        <is>
          <t>JÄMTLANDS LÄN</t>
        </is>
      </c>
      <c r="E457" t="inlineStr">
        <is>
          <t>STRÖMSUND</t>
        </is>
      </c>
      <c r="F457" t="inlineStr">
        <is>
          <t>SCA</t>
        </is>
      </c>
      <c r="G457" t="n">
        <v>0.4</v>
      </c>
      <c r="H457" t="n">
        <v>1</v>
      </c>
      <c r="I457" t="n">
        <v>2</v>
      </c>
      <c r="J457" t="n">
        <v>5</v>
      </c>
      <c r="K457" t="n">
        <v>0</v>
      </c>
      <c r="L457" t="n">
        <v>0</v>
      </c>
      <c r="M457" t="n">
        <v>0</v>
      </c>
      <c r="N457" t="n">
        <v>0</v>
      </c>
      <c r="O457" t="n">
        <v>5</v>
      </c>
      <c r="P457" t="n">
        <v>0</v>
      </c>
      <c r="Q457" t="n">
        <v>7</v>
      </c>
      <c r="R457" s="2" t="inlineStr">
        <is>
          <t>Garnlav
Lunglav
Skrovellav
Vedtrappmossa
Vitgrynig nållav
Bårdlav
Spindelblomster</t>
        </is>
      </c>
      <c r="S457">
        <f>HYPERLINK("https://klasma.github.io/Logging_2313/artfynd/A 14293-2022 artfynd.xlsx", "A 14293-2022")</f>
        <v/>
      </c>
      <c r="T457">
        <f>HYPERLINK("https://klasma.github.io/Logging_2313/kartor/A 14293-2022 karta.png", "A 14293-2022")</f>
        <v/>
      </c>
      <c r="V457">
        <f>HYPERLINK("https://klasma.github.io/Logging_2313/klagomål/A 14293-2022 FSC-klagomål.docx", "A 14293-2022")</f>
        <v/>
      </c>
      <c r="W457">
        <f>HYPERLINK("https://klasma.github.io/Logging_2313/klagomålsmail/A 14293-2022 FSC-klagomål mail.docx", "A 14293-2022")</f>
        <v/>
      </c>
      <c r="X457">
        <f>HYPERLINK("https://klasma.github.io/Logging_2313/tillsyn/A 14293-2022 tillsynsbegäran.docx", "A 14293-2022")</f>
        <v/>
      </c>
      <c r="Y457">
        <f>HYPERLINK("https://klasma.github.io/Logging_2313/tillsynsmail/A 14293-2022 tillsynsbegäran mail.docx", "A 14293-2022")</f>
        <v/>
      </c>
    </row>
    <row r="458" ht="15" customHeight="1">
      <c r="A458" t="inlineStr">
        <is>
          <t>A 20397-2024</t>
        </is>
      </c>
      <c r="B458" s="1" t="n">
        <v>45435.54734953704</v>
      </c>
      <c r="C458" s="1" t="n">
        <v>46045</v>
      </c>
      <c r="D458" t="inlineStr">
        <is>
          <t>JÄMTLANDS LÄN</t>
        </is>
      </c>
      <c r="E458" t="inlineStr">
        <is>
          <t>RAGUNDA</t>
        </is>
      </c>
      <c r="G458" t="n">
        <v>18.5</v>
      </c>
      <c r="H458" t="n">
        <v>1</v>
      </c>
      <c r="I458" t="n">
        <v>4</v>
      </c>
      <c r="J458" t="n">
        <v>2</v>
      </c>
      <c r="K458" t="n">
        <v>1</v>
      </c>
      <c r="L458" t="n">
        <v>0</v>
      </c>
      <c r="M458" t="n">
        <v>0</v>
      </c>
      <c r="N458" t="n">
        <v>0</v>
      </c>
      <c r="O458" t="n">
        <v>3</v>
      </c>
      <c r="P458" t="n">
        <v>1</v>
      </c>
      <c r="Q458" t="n">
        <v>7</v>
      </c>
      <c r="R458" s="2" t="inlineStr">
        <is>
          <t>Lateritticka
Lunglav
Tallticka
Dropptaggsvamp
Finbräken
Guckusko
Svart trolldruva</t>
        </is>
      </c>
      <c r="S458">
        <f>HYPERLINK("https://klasma.github.io/Logging_2303/artfynd/A 20397-2024 artfynd.xlsx", "A 20397-2024")</f>
        <v/>
      </c>
      <c r="T458">
        <f>HYPERLINK("https://klasma.github.io/Logging_2303/kartor/A 20397-2024 karta.png", "A 20397-2024")</f>
        <v/>
      </c>
      <c r="V458">
        <f>HYPERLINK("https://klasma.github.io/Logging_2303/klagomål/A 20397-2024 FSC-klagomål.docx", "A 20397-2024")</f>
        <v/>
      </c>
      <c r="W458">
        <f>HYPERLINK("https://klasma.github.io/Logging_2303/klagomålsmail/A 20397-2024 FSC-klagomål mail.docx", "A 20397-2024")</f>
        <v/>
      </c>
      <c r="X458">
        <f>HYPERLINK("https://klasma.github.io/Logging_2303/tillsyn/A 20397-2024 tillsynsbegäran.docx", "A 20397-2024")</f>
        <v/>
      </c>
      <c r="Y458">
        <f>HYPERLINK("https://klasma.github.io/Logging_2303/tillsynsmail/A 20397-2024 tillsynsbegäran mail.docx", "A 20397-2024")</f>
        <v/>
      </c>
    </row>
    <row r="459" ht="15" customHeight="1">
      <c r="A459" t="inlineStr">
        <is>
          <t>A 37406-2022</t>
        </is>
      </c>
      <c r="B459" s="1" t="n">
        <v>44806</v>
      </c>
      <c r="C459" s="1" t="n">
        <v>46045</v>
      </c>
      <c r="D459" t="inlineStr">
        <is>
          <t>JÄMTLANDS LÄN</t>
        </is>
      </c>
      <c r="E459" t="inlineStr">
        <is>
          <t>BERG</t>
        </is>
      </c>
      <c r="G459" t="n">
        <v>11.3</v>
      </c>
      <c r="H459" t="n">
        <v>1</v>
      </c>
      <c r="I459" t="n">
        <v>0</v>
      </c>
      <c r="J459" t="n">
        <v>7</v>
      </c>
      <c r="K459" t="n">
        <v>0</v>
      </c>
      <c r="L459" t="n">
        <v>0</v>
      </c>
      <c r="M459" t="n">
        <v>0</v>
      </c>
      <c r="N459" t="n">
        <v>0</v>
      </c>
      <c r="O459" t="n">
        <v>7</v>
      </c>
      <c r="P459" t="n">
        <v>0</v>
      </c>
      <c r="Q459" t="n">
        <v>7</v>
      </c>
      <c r="R459" s="2" t="inlineStr">
        <is>
          <t>Gammelgransskål
Garnlav
Granticka
Gränsticka
Knottrig blåslav
Tretåig hackspett
Vitgrynig nållav</t>
        </is>
      </c>
      <c r="S459">
        <f>HYPERLINK("https://klasma.github.io/Logging_2326/artfynd/A 37406-2022 artfynd.xlsx", "A 37406-2022")</f>
        <v/>
      </c>
      <c r="T459">
        <f>HYPERLINK("https://klasma.github.io/Logging_2326/kartor/A 37406-2022 karta.png", "A 37406-2022")</f>
        <v/>
      </c>
      <c r="V459">
        <f>HYPERLINK("https://klasma.github.io/Logging_2326/klagomål/A 37406-2022 FSC-klagomål.docx", "A 37406-2022")</f>
        <v/>
      </c>
      <c r="W459">
        <f>HYPERLINK("https://klasma.github.io/Logging_2326/klagomålsmail/A 37406-2022 FSC-klagomål mail.docx", "A 37406-2022")</f>
        <v/>
      </c>
      <c r="X459">
        <f>HYPERLINK("https://klasma.github.io/Logging_2326/tillsyn/A 37406-2022 tillsynsbegäran.docx", "A 37406-2022")</f>
        <v/>
      </c>
      <c r="Y459">
        <f>HYPERLINK("https://klasma.github.io/Logging_2326/tillsynsmail/A 37406-2022 tillsynsbegäran mail.docx", "A 37406-2022")</f>
        <v/>
      </c>
      <c r="Z459">
        <f>HYPERLINK("https://klasma.github.io/Logging_2326/fåglar/A 37406-2022 prioriterade fågelarter.docx", "A 37406-2022")</f>
        <v/>
      </c>
    </row>
    <row r="460" ht="15" customHeight="1">
      <c r="A460" t="inlineStr">
        <is>
          <t>A 41199-2025</t>
        </is>
      </c>
      <c r="B460" s="1" t="n">
        <v>45898.57366898148</v>
      </c>
      <c r="C460" s="1" t="n">
        <v>46045</v>
      </c>
      <c r="D460" t="inlineStr">
        <is>
          <t>JÄMTLANDS LÄN</t>
        </is>
      </c>
      <c r="E460" t="inlineStr">
        <is>
          <t>BRÄCKE</t>
        </is>
      </c>
      <c r="F460" t="inlineStr">
        <is>
          <t>SCA</t>
        </is>
      </c>
      <c r="G460" t="n">
        <v>5.4</v>
      </c>
      <c r="H460" t="n">
        <v>0</v>
      </c>
      <c r="I460" t="n">
        <v>2</v>
      </c>
      <c r="J460" t="n">
        <v>5</v>
      </c>
      <c r="K460" t="n">
        <v>0</v>
      </c>
      <c r="L460" t="n">
        <v>0</v>
      </c>
      <c r="M460" t="n">
        <v>0</v>
      </c>
      <c r="N460" t="n">
        <v>0</v>
      </c>
      <c r="O460" t="n">
        <v>5</v>
      </c>
      <c r="P460" t="n">
        <v>0</v>
      </c>
      <c r="Q460" t="n">
        <v>7</v>
      </c>
      <c r="R460" s="2" t="inlineStr">
        <is>
          <t>Garnlav
Granticka
Lunglav
Skrovellav
Tallticka
Luddlav
Svavelriska</t>
        </is>
      </c>
      <c r="S460">
        <f>HYPERLINK("https://klasma.github.io/Logging_2305/artfynd/A 41199-2025 artfynd.xlsx", "A 41199-2025")</f>
        <v/>
      </c>
      <c r="T460">
        <f>HYPERLINK("https://klasma.github.io/Logging_2305/kartor/A 41199-2025 karta.png", "A 41199-2025")</f>
        <v/>
      </c>
      <c r="V460">
        <f>HYPERLINK("https://klasma.github.io/Logging_2305/klagomål/A 41199-2025 FSC-klagomål.docx", "A 41199-2025")</f>
        <v/>
      </c>
      <c r="W460">
        <f>HYPERLINK("https://klasma.github.io/Logging_2305/klagomålsmail/A 41199-2025 FSC-klagomål mail.docx", "A 41199-2025")</f>
        <v/>
      </c>
      <c r="X460">
        <f>HYPERLINK("https://klasma.github.io/Logging_2305/tillsyn/A 41199-2025 tillsynsbegäran.docx", "A 41199-2025")</f>
        <v/>
      </c>
      <c r="Y460">
        <f>HYPERLINK("https://klasma.github.io/Logging_2305/tillsynsmail/A 41199-2025 tillsynsbegäran mail.docx", "A 41199-2025")</f>
        <v/>
      </c>
    </row>
    <row r="461" ht="15" customHeight="1">
      <c r="A461" t="inlineStr">
        <is>
          <t>A 40860-2025</t>
        </is>
      </c>
      <c r="B461" s="1" t="n">
        <v>45897.56300925926</v>
      </c>
      <c r="C461" s="1" t="n">
        <v>46045</v>
      </c>
      <c r="D461" t="inlineStr">
        <is>
          <t>JÄMTLANDS LÄN</t>
        </is>
      </c>
      <c r="E461" t="inlineStr">
        <is>
          <t>BERG</t>
        </is>
      </c>
      <c r="G461" t="n">
        <v>1.6</v>
      </c>
      <c r="H461" t="n">
        <v>1</v>
      </c>
      <c r="I461" t="n">
        <v>2</v>
      </c>
      <c r="J461" t="n">
        <v>4</v>
      </c>
      <c r="K461" t="n">
        <v>0</v>
      </c>
      <c r="L461" t="n">
        <v>0</v>
      </c>
      <c r="M461" t="n">
        <v>0</v>
      </c>
      <c r="N461" t="n">
        <v>0</v>
      </c>
      <c r="O461" t="n">
        <v>4</v>
      </c>
      <c r="P461" t="n">
        <v>0</v>
      </c>
      <c r="Q461" t="n">
        <v>7</v>
      </c>
      <c r="R461" s="2" t="inlineStr">
        <is>
          <t>Flattoppad klubbsvamp
Garnlav
Lunglav
Skrovellav
Luddlav
Stuplav
Lavskrika</t>
        </is>
      </c>
      <c r="S461">
        <f>HYPERLINK("https://klasma.github.io/Logging_2326/artfynd/A 40860-2025 artfynd.xlsx", "A 40860-2025")</f>
        <v/>
      </c>
      <c r="T461">
        <f>HYPERLINK("https://klasma.github.io/Logging_2326/kartor/A 40860-2025 karta.png", "A 40860-2025")</f>
        <v/>
      </c>
      <c r="V461">
        <f>HYPERLINK("https://klasma.github.io/Logging_2326/klagomål/A 40860-2025 FSC-klagomål.docx", "A 40860-2025")</f>
        <v/>
      </c>
      <c r="W461">
        <f>HYPERLINK("https://klasma.github.io/Logging_2326/klagomålsmail/A 40860-2025 FSC-klagomål mail.docx", "A 40860-2025")</f>
        <v/>
      </c>
      <c r="X461">
        <f>HYPERLINK("https://klasma.github.io/Logging_2326/tillsyn/A 40860-2025 tillsynsbegäran.docx", "A 40860-2025")</f>
        <v/>
      </c>
      <c r="Y461">
        <f>HYPERLINK("https://klasma.github.io/Logging_2326/tillsynsmail/A 40860-2025 tillsynsbegäran mail.docx", "A 40860-2025")</f>
        <v/>
      </c>
      <c r="Z461">
        <f>HYPERLINK("https://klasma.github.io/Logging_2326/fåglar/A 40860-2025 prioriterade fågelarter.docx", "A 40860-2025")</f>
        <v/>
      </c>
    </row>
    <row r="462" ht="15" customHeight="1">
      <c r="A462" t="inlineStr">
        <is>
          <t>A 63509-2021</t>
        </is>
      </c>
      <c r="B462" s="1" t="n">
        <v>44504</v>
      </c>
      <c r="C462" s="1" t="n">
        <v>46045</v>
      </c>
      <c r="D462" t="inlineStr">
        <is>
          <t>JÄMTLANDS LÄN</t>
        </is>
      </c>
      <c r="E462" t="inlineStr">
        <is>
          <t>STRÖMSUND</t>
        </is>
      </c>
      <c r="F462" t="inlineStr">
        <is>
          <t>SCA</t>
        </is>
      </c>
      <c r="G462" t="n">
        <v>163.4</v>
      </c>
      <c r="H462" t="n">
        <v>0</v>
      </c>
      <c r="I462" t="n">
        <v>2</v>
      </c>
      <c r="J462" t="n">
        <v>3</v>
      </c>
      <c r="K462" t="n">
        <v>2</v>
      </c>
      <c r="L462" t="n">
        <v>0</v>
      </c>
      <c r="M462" t="n">
        <v>0</v>
      </c>
      <c r="N462" t="n">
        <v>0</v>
      </c>
      <c r="O462" t="n">
        <v>5</v>
      </c>
      <c r="P462" t="n">
        <v>2</v>
      </c>
      <c r="Q462" t="n">
        <v>7</v>
      </c>
      <c r="R462" s="2" t="inlineStr">
        <is>
          <t>Liten sotlav
Norsk näverlav
Gränsticka
Vedtrappmossa
Vitgrynig nållav
Trådticka
Vanlig rörsvepemossa</t>
        </is>
      </c>
      <c r="S462">
        <f>HYPERLINK("https://klasma.github.io/Logging_2313/artfynd/A 63509-2021 artfynd.xlsx", "A 63509-2021")</f>
        <v/>
      </c>
      <c r="T462">
        <f>HYPERLINK("https://klasma.github.io/Logging_2313/kartor/A 63509-2021 karta.png", "A 63509-2021")</f>
        <v/>
      </c>
      <c r="V462">
        <f>HYPERLINK("https://klasma.github.io/Logging_2313/klagomål/A 63509-2021 FSC-klagomål.docx", "A 63509-2021")</f>
        <v/>
      </c>
      <c r="W462">
        <f>HYPERLINK("https://klasma.github.io/Logging_2313/klagomålsmail/A 63509-2021 FSC-klagomål mail.docx", "A 63509-2021")</f>
        <v/>
      </c>
      <c r="X462">
        <f>HYPERLINK("https://klasma.github.io/Logging_2313/tillsyn/A 63509-2021 tillsynsbegäran.docx", "A 63509-2021")</f>
        <v/>
      </c>
      <c r="Y462">
        <f>HYPERLINK("https://klasma.github.io/Logging_2313/tillsynsmail/A 63509-2021 tillsynsbegäran mail.docx", "A 63509-2021")</f>
        <v/>
      </c>
    </row>
    <row r="463" ht="15" customHeight="1">
      <c r="A463" t="inlineStr">
        <is>
          <t>A 26956-2024</t>
        </is>
      </c>
      <c r="B463" s="1" t="n">
        <v>45470.97053240741</v>
      </c>
      <c r="C463" s="1" t="n">
        <v>46045</v>
      </c>
      <c r="D463" t="inlineStr">
        <is>
          <t>JÄMTLANDS LÄN</t>
        </is>
      </c>
      <c r="E463" t="inlineStr">
        <is>
          <t>BRÄCKE</t>
        </is>
      </c>
      <c r="F463" t="inlineStr">
        <is>
          <t>SCA</t>
        </is>
      </c>
      <c r="G463" t="n">
        <v>5.7</v>
      </c>
      <c r="H463" t="n">
        <v>6</v>
      </c>
      <c r="I463" t="n">
        <v>0</v>
      </c>
      <c r="J463" t="n">
        <v>5</v>
      </c>
      <c r="K463" t="n">
        <v>2</v>
      </c>
      <c r="L463" t="n">
        <v>0</v>
      </c>
      <c r="M463" t="n">
        <v>0</v>
      </c>
      <c r="N463" t="n">
        <v>0</v>
      </c>
      <c r="O463" t="n">
        <v>7</v>
      </c>
      <c r="P463" t="n">
        <v>2</v>
      </c>
      <c r="Q463" t="n">
        <v>7</v>
      </c>
      <c r="R463" s="2" t="inlineStr">
        <is>
          <t>Knärot
Tallbit
Kungsörn
Lunglav
Mindre hackspett
Spillkråka
Talltita</t>
        </is>
      </c>
      <c r="S463">
        <f>HYPERLINK("https://klasma.github.io/Logging_2305/artfynd/A 26956-2024 artfynd.xlsx", "A 26956-2024")</f>
        <v/>
      </c>
      <c r="T463">
        <f>HYPERLINK("https://klasma.github.io/Logging_2305/kartor/A 26956-2024 karta.png", "A 26956-2024")</f>
        <v/>
      </c>
      <c r="U463">
        <f>HYPERLINK("https://klasma.github.io/Logging_2305/knärot/A 26956-2024 karta knärot.png", "A 26956-2024")</f>
        <v/>
      </c>
      <c r="V463">
        <f>HYPERLINK("https://klasma.github.io/Logging_2305/klagomål/A 26956-2024 FSC-klagomål.docx", "A 26956-2024")</f>
        <v/>
      </c>
      <c r="W463">
        <f>HYPERLINK("https://klasma.github.io/Logging_2305/klagomålsmail/A 26956-2024 FSC-klagomål mail.docx", "A 26956-2024")</f>
        <v/>
      </c>
      <c r="X463">
        <f>HYPERLINK("https://klasma.github.io/Logging_2305/tillsyn/A 26956-2024 tillsynsbegäran.docx", "A 26956-2024")</f>
        <v/>
      </c>
      <c r="Y463">
        <f>HYPERLINK("https://klasma.github.io/Logging_2305/tillsynsmail/A 26956-2024 tillsynsbegäran mail.docx", "A 26956-2024")</f>
        <v/>
      </c>
      <c r="Z463">
        <f>HYPERLINK("https://klasma.github.io/Logging_2305/fåglar/A 26956-2024 prioriterade fågelarter.docx", "A 26956-2024")</f>
        <v/>
      </c>
    </row>
    <row r="464" ht="15" customHeight="1">
      <c r="A464" t="inlineStr">
        <is>
          <t>A 45109-2024</t>
        </is>
      </c>
      <c r="B464" s="1" t="n">
        <v>45575.59435185185</v>
      </c>
      <c r="C464" s="1" t="n">
        <v>46045</v>
      </c>
      <c r="D464" t="inlineStr">
        <is>
          <t>JÄMTLANDS LÄN</t>
        </is>
      </c>
      <c r="E464" t="inlineStr">
        <is>
          <t>BRÄCKE</t>
        </is>
      </c>
      <c r="F464" t="inlineStr">
        <is>
          <t>SCA</t>
        </is>
      </c>
      <c r="G464" t="n">
        <v>1.6</v>
      </c>
      <c r="H464" t="n">
        <v>0</v>
      </c>
      <c r="I464" t="n">
        <v>0</v>
      </c>
      <c r="J464" t="n">
        <v>6</v>
      </c>
      <c r="K464" t="n">
        <v>1</v>
      </c>
      <c r="L464" t="n">
        <v>0</v>
      </c>
      <c r="M464" t="n">
        <v>0</v>
      </c>
      <c r="N464" t="n">
        <v>0</v>
      </c>
      <c r="O464" t="n">
        <v>7</v>
      </c>
      <c r="P464" t="n">
        <v>1</v>
      </c>
      <c r="Q464" t="n">
        <v>7</v>
      </c>
      <c r="R464" s="2" t="inlineStr">
        <is>
          <t>Lateritticka
Lunglav
Mörk kolflarnlav
Nordtagging
Vaddporing
Vedskivlav
Vedtrappmossa</t>
        </is>
      </c>
      <c r="S464">
        <f>HYPERLINK("https://klasma.github.io/Logging_2305/artfynd/A 45109-2024 artfynd.xlsx", "A 45109-2024")</f>
        <v/>
      </c>
      <c r="T464">
        <f>HYPERLINK("https://klasma.github.io/Logging_2305/kartor/A 45109-2024 karta.png", "A 45109-2024")</f>
        <v/>
      </c>
      <c r="V464">
        <f>HYPERLINK("https://klasma.github.io/Logging_2305/klagomål/A 45109-2024 FSC-klagomål.docx", "A 45109-2024")</f>
        <v/>
      </c>
      <c r="W464">
        <f>HYPERLINK("https://klasma.github.io/Logging_2305/klagomålsmail/A 45109-2024 FSC-klagomål mail.docx", "A 45109-2024")</f>
        <v/>
      </c>
      <c r="X464">
        <f>HYPERLINK("https://klasma.github.io/Logging_2305/tillsyn/A 45109-2024 tillsynsbegäran.docx", "A 45109-2024")</f>
        <v/>
      </c>
      <c r="Y464">
        <f>HYPERLINK("https://klasma.github.io/Logging_2305/tillsynsmail/A 45109-2024 tillsynsbegäran mail.docx", "A 45109-2024")</f>
        <v/>
      </c>
    </row>
    <row r="465" ht="15" customHeight="1">
      <c r="A465" t="inlineStr">
        <is>
          <t>A 36373-2023</t>
        </is>
      </c>
      <c r="B465" s="1" t="n">
        <v>45149</v>
      </c>
      <c r="C465" s="1" t="n">
        <v>46045</v>
      </c>
      <c r="D465" t="inlineStr">
        <is>
          <t>JÄMTLANDS LÄN</t>
        </is>
      </c>
      <c r="E465" t="inlineStr">
        <is>
          <t>KROKOM</t>
        </is>
      </c>
      <c r="G465" t="n">
        <v>13.8</v>
      </c>
      <c r="H465" t="n">
        <v>1</v>
      </c>
      <c r="I465" t="n">
        <v>1</v>
      </c>
      <c r="J465" t="n">
        <v>5</v>
      </c>
      <c r="K465" t="n">
        <v>1</v>
      </c>
      <c r="L465" t="n">
        <v>0</v>
      </c>
      <c r="M465" t="n">
        <v>0</v>
      </c>
      <c r="N465" t="n">
        <v>0</v>
      </c>
      <c r="O465" t="n">
        <v>6</v>
      </c>
      <c r="P465" t="n">
        <v>1</v>
      </c>
      <c r="Q465" t="n">
        <v>7</v>
      </c>
      <c r="R465" s="2" t="inlineStr">
        <is>
          <t>Rynkskinn
Garnlav
Granticka
Tretåig hackspett
Ullticka
Vitgrynig nållav
Trådticka</t>
        </is>
      </c>
      <c r="S465">
        <f>HYPERLINK("https://klasma.github.io/Logging_2309/artfynd/A 36373-2023 artfynd.xlsx", "A 36373-2023")</f>
        <v/>
      </c>
      <c r="T465">
        <f>HYPERLINK("https://klasma.github.io/Logging_2309/kartor/A 36373-2023 karta.png", "A 36373-2023")</f>
        <v/>
      </c>
      <c r="V465">
        <f>HYPERLINK("https://klasma.github.io/Logging_2309/klagomål/A 36373-2023 FSC-klagomål.docx", "A 36373-2023")</f>
        <v/>
      </c>
      <c r="W465">
        <f>HYPERLINK("https://klasma.github.io/Logging_2309/klagomålsmail/A 36373-2023 FSC-klagomål mail.docx", "A 36373-2023")</f>
        <v/>
      </c>
      <c r="X465">
        <f>HYPERLINK("https://klasma.github.io/Logging_2309/tillsyn/A 36373-2023 tillsynsbegäran.docx", "A 36373-2023")</f>
        <v/>
      </c>
      <c r="Y465">
        <f>HYPERLINK("https://klasma.github.io/Logging_2309/tillsynsmail/A 36373-2023 tillsynsbegäran mail.docx", "A 36373-2023")</f>
        <v/>
      </c>
      <c r="Z465">
        <f>HYPERLINK("https://klasma.github.io/Logging_2309/fåglar/A 36373-2023 prioriterade fågelarter.docx", "A 36373-2023")</f>
        <v/>
      </c>
    </row>
    <row r="466" ht="15" customHeight="1">
      <c r="A466" t="inlineStr">
        <is>
          <t>A 42999-2025</t>
        </is>
      </c>
      <c r="B466" s="1" t="n">
        <v>45909.46061342592</v>
      </c>
      <c r="C466" s="1" t="n">
        <v>46045</v>
      </c>
      <c r="D466" t="inlineStr">
        <is>
          <t>JÄMTLANDS LÄN</t>
        </is>
      </c>
      <c r="E466" t="inlineStr">
        <is>
          <t>HÄRJEDALEN</t>
        </is>
      </c>
      <c r="F466" t="inlineStr">
        <is>
          <t>Holmen skog AB</t>
        </is>
      </c>
      <c r="G466" t="n">
        <v>4.6</v>
      </c>
      <c r="H466" t="n">
        <v>0</v>
      </c>
      <c r="I466" t="n">
        <v>2</v>
      </c>
      <c r="J466" t="n">
        <v>5</v>
      </c>
      <c r="K466" t="n">
        <v>0</v>
      </c>
      <c r="L466" t="n">
        <v>0</v>
      </c>
      <c r="M466" t="n">
        <v>0</v>
      </c>
      <c r="N466" t="n">
        <v>0</v>
      </c>
      <c r="O466" t="n">
        <v>5</v>
      </c>
      <c r="P466" t="n">
        <v>0</v>
      </c>
      <c r="Q466" t="n">
        <v>7</v>
      </c>
      <c r="R466" s="2" t="inlineStr">
        <is>
          <t>Dvärgbägarlav
Kolflarnlav
Mörk kolflarnlav
Vedflamlav
Vedskivlav
Bårdlav
Dropptaggsvamp</t>
        </is>
      </c>
      <c r="S466">
        <f>HYPERLINK("https://klasma.github.io/Logging_2361/artfynd/A 42999-2025 artfynd.xlsx", "A 42999-2025")</f>
        <v/>
      </c>
      <c r="T466">
        <f>HYPERLINK("https://klasma.github.io/Logging_2361/kartor/A 42999-2025 karta.png", "A 42999-2025")</f>
        <v/>
      </c>
      <c r="V466">
        <f>HYPERLINK("https://klasma.github.io/Logging_2361/klagomål/A 42999-2025 FSC-klagomål.docx", "A 42999-2025")</f>
        <v/>
      </c>
      <c r="W466">
        <f>HYPERLINK("https://klasma.github.io/Logging_2361/klagomålsmail/A 42999-2025 FSC-klagomål mail.docx", "A 42999-2025")</f>
        <v/>
      </c>
      <c r="X466">
        <f>HYPERLINK("https://klasma.github.io/Logging_2361/tillsyn/A 42999-2025 tillsynsbegäran.docx", "A 42999-2025")</f>
        <v/>
      </c>
      <c r="Y466">
        <f>HYPERLINK("https://klasma.github.io/Logging_2361/tillsynsmail/A 42999-2025 tillsynsbegäran mail.docx", "A 42999-2025")</f>
        <v/>
      </c>
    </row>
    <row r="467" ht="15" customHeight="1">
      <c r="A467" t="inlineStr">
        <is>
          <t>A 53066-2024</t>
        </is>
      </c>
      <c r="B467" s="1" t="n">
        <v>45611.47547453704</v>
      </c>
      <c r="C467" s="1" t="n">
        <v>46045</v>
      </c>
      <c r="D467" t="inlineStr">
        <is>
          <t>JÄMTLANDS LÄN</t>
        </is>
      </c>
      <c r="E467" t="inlineStr">
        <is>
          <t>STRÖMSUND</t>
        </is>
      </c>
      <c r="F467" t="inlineStr">
        <is>
          <t>Holmen skog AB</t>
        </is>
      </c>
      <c r="G467" t="n">
        <v>15.3</v>
      </c>
      <c r="H467" t="n">
        <v>1</v>
      </c>
      <c r="I467" t="n">
        <v>1</v>
      </c>
      <c r="J467" t="n">
        <v>5</v>
      </c>
      <c r="K467" t="n">
        <v>1</v>
      </c>
      <c r="L467" t="n">
        <v>0</v>
      </c>
      <c r="M467" t="n">
        <v>0</v>
      </c>
      <c r="N467" t="n">
        <v>0</v>
      </c>
      <c r="O467" t="n">
        <v>6</v>
      </c>
      <c r="P467" t="n">
        <v>1</v>
      </c>
      <c r="Q467" t="n">
        <v>7</v>
      </c>
      <c r="R467" s="2" t="inlineStr">
        <is>
          <t>Knärot
Kolflarnlav
Lunglav
Reliktbock
Skrovellav
Vedskivlav
Stor aspticka</t>
        </is>
      </c>
      <c r="S467">
        <f>HYPERLINK("https://klasma.github.io/Logging_2313/artfynd/A 53066-2024 artfynd.xlsx", "A 53066-2024")</f>
        <v/>
      </c>
      <c r="T467">
        <f>HYPERLINK("https://klasma.github.io/Logging_2313/kartor/A 53066-2024 karta.png", "A 53066-2024")</f>
        <v/>
      </c>
      <c r="U467">
        <f>HYPERLINK("https://klasma.github.io/Logging_2313/knärot/A 53066-2024 karta knärot.png", "A 53066-2024")</f>
        <v/>
      </c>
      <c r="V467">
        <f>HYPERLINK("https://klasma.github.io/Logging_2313/klagomål/A 53066-2024 FSC-klagomål.docx", "A 53066-2024")</f>
        <v/>
      </c>
      <c r="W467">
        <f>HYPERLINK("https://klasma.github.io/Logging_2313/klagomålsmail/A 53066-2024 FSC-klagomål mail.docx", "A 53066-2024")</f>
        <v/>
      </c>
      <c r="X467">
        <f>HYPERLINK("https://klasma.github.io/Logging_2313/tillsyn/A 53066-2024 tillsynsbegäran.docx", "A 53066-2024")</f>
        <v/>
      </c>
      <c r="Y467">
        <f>HYPERLINK("https://klasma.github.io/Logging_2313/tillsynsmail/A 53066-2024 tillsynsbegäran mail.docx", "A 53066-2024")</f>
        <v/>
      </c>
    </row>
    <row r="468" ht="15" customHeight="1">
      <c r="A468" t="inlineStr">
        <is>
          <t>A 1541-2025</t>
        </is>
      </c>
      <c r="B468" s="1" t="n">
        <v>45670</v>
      </c>
      <c r="C468" s="1" t="n">
        <v>46045</v>
      </c>
      <c r="D468" t="inlineStr">
        <is>
          <t>JÄMTLANDS LÄN</t>
        </is>
      </c>
      <c r="E468" t="inlineStr">
        <is>
          <t>ÅRE</t>
        </is>
      </c>
      <c r="G468" t="n">
        <v>16.4</v>
      </c>
      <c r="H468" t="n">
        <v>0</v>
      </c>
      <c r="I468" t="n">
        <v>0</v>
      </c>
      <c r="J468" t="n">
        <v>6</v>
      </c>
      <c r="K468" t="n">
        <v>1</v>
      </c>
      <c r="L468" t="n">
        <v>0</v>
      </c>
      <c r="M468" t="n">
        <v>0</v>
      </c>
      <c r="N468" t="n">
        <v>0</v>
      </c>
      <c r="O468" t="n">
        <v>7</v>
      </c>
      <c r="P468" t="n">
        <v>1</v>
      </c>
      <c r="Q468" t="n">
        <v>7</v>
      </c>
      <c r="R468" s="2" t="inlineStr">
        <is>
          <t>Norsk näverlav
Brunpudrad nållav
Gammelgransskål
Garnlav
Granticka
Rödbrun blekspik
Vitgrynig nållav</t>
        </is>
      </c>
      <c r="S468">
        <f>HYPERLINK("https://klasma.github.io/Logging_2321/artfynd/A 1541-2025 artfynd.xlsx", "A 1541-2025")</f>
        <v/>
      </c>
      <c r="T468">
        <f>HYPERLINK("https://klasma.github.io/Logging_2321/kartor/A 1541-2025 karta.png", "A 1541-2025")</f>
        <v/>
      </c>
      <c r="V468">
        <f>HYPERLINK("https://klasma.github.io/Logging_2321/klagomål/A 1541-2025 FSC-klagomål.docx", "A 1541-2025")</f>
        <v/>
      </c>
      <c r="W468">
        <f>HYPERLINK("https://klasma.github.io/Logging_2321/klagomålsmail/A 1541-2025 FSC-klagomål mail.docx", "A 1541-2025")</f>
        <v/>
      </c>
      <c r="X468">
        <f>HYPERLINK("https://klasma.github.io/Logging_2321/tillsyn/A 1541-2025 tillsynsbegäran.docx", "A 1541-2025")</f>
        <v/>
      </c>
      <c r="Y468">
        <f>HYPERLINK("https://klasma.github.io/Logging_2321/tillsynsmail/A 1541-2025 tillsynsbegäran mail.docx", "A 1541-2025")</f>
        <v/>
      </c>
    </row>
    <row r="469" ht="15" customHeight="1">
      <c r="A469" t="inlineStr">
        <is>
          <t>A 16369-2023</t>
        </is>
      </c>
      <c r="B469" s="1" t="n">
        <v>45028</v>
      </c>
      <c r="C469" s="1" t="n">
        <v>46045</v>
      </c>
      <c r="D469" t="inlineStr">
        <is>
          <t>JÄMTLANDS LÄN</t>
        </is>
      </c>
      <c r="E469" t="inlineStr">
        <is>
          <t>ÖSTERSUND</t>
        </is>
      </c>
      <c r="F469" t="inlineStr">
        <is>
          <t>SCA</t>
        </is>
      </c>
      <c r="G469" t="n">
        <v>4.6</v>
      </c>
      <c r="H469" t="n">
        <v>1</v>
      </c>
      <c r="I469" t="n">
        <v>1</v>
      </c>
      <c r="J469" t="n">
        <v>4</v>
      </c>
      <c r="K469" t="n">
        <v>1</v>
      </c>
      <c r="L469" t="n">
        <v>0</v>
      </c>
      <c r="M469" t="n">
        <v>0</v>
      </c>
      <c r="N469" t="n">
        <v>0</v>
      </c>
      <c r="O469" t="n">
        <v>5</v>
      </c>
      <c r="P469" t="n">
        <v>1</v>
      </c>
      <c r="Q469" t="n">
        <v>7</v>
      </c>
      <c r="R469" s="2" t="inlineStr">
        <is>
          <t>Rynkskinn
Flattoppad klubbsvamp
Granticka
Gränsticka
Ullticka
Rödgul trumpetsvamp
Blåsippa</t>
        </is>
      </c>
      <c r="S469">
        <f>HYPERLINK("https://klasma.github.io/Logging_2380/artfynd/A 16369-2023 artfynd.xlsx", "A 16369-2023")</f>
        <v/>
      </c>
      <c r="T469">
        <f>HYPERLINK("https://klasma.github.io/Logging_2380/kartor/A 16369-2023 karta.png", "A 16369-2023")</f>
        <v/>
      </c>
      <c r="V469">
        <f>HYPERLINK("https://klasma.github.io/Logging_2380/klagomål/A 16369-2023 FSC-klagomål.docx", "A 16369-2023")</f>
        <v/>
      </c>
      <c r="W469">
        <f>HYPERLINK("https://klasma.github.io/Logging_2380/klagomålsmail/A 16369-2023 FSC-klagomål mail.docx", "A 16369-2023")</f>
        <v/>
      </c>
      <c r="X469">
        <f>HYPERLINK("https://klasma.github.io/Logging_2380/tillsyn/A 16369-2023 tillsynsbegäran.docx", "A 16369-2023")</f>
        <v/>
      </c>
      <c r="Y469">
        <f>HYPERLINK("https://klasma.github.io/Logging_2380/tillsynsmail/A 16369-2023 tillsynsbegäran mail.docx", "A 16369-2023")</f>
        <v/>
      </c>
    </row>
    <row r="470" ht="15" customHeight="1">
      <c r="A470" t="inlineStr">
        <is>
          <t>A 16667-2025</t>
        </is>
      </c>
      <c r="B470" s="1" t="n">
        <v>45754</v>
      </c>
      <c r="C470" s="1" t="n">
        <v>46045</v>
      </c>
      <c r="D470" t="inlineStr">
        <is>
          <t>JÄMTLANDS LÄN</t>
        </is>
      </c>
      <c r="E470" t="inlineStr">
        <is>
          <t>ÅRE</t>
        </is>
      </c>
      <c r="G470" t="n">
        <v>9.5</v>
      </c>
      <c r="H470" t="n">
        <v>0</v>
      </c>
      <c r="I470" t="n">
        <v>2</v>
      </c>
      <c r="J470" t="n">
        <v>5</v>
      </c>
      <c r="K470" t="n">
        <v>0</v>
      </c>
      <c r="L470" t="n">
        <v>0</v>
      </c>
      <c r="M470" t="n">
        <v>0</v>
      </c>
      <c r="N470" t="n">
        <v>0</v>
      </c>
      <c r="O470" t="n">
        <v>5</v>
      </c>
      <c r="P470" t="n">
        <v>0</v>
      </c>
      <c r="Q470" t="n">
        <v>7</v>
      </c>
      <c r="R470" s="2" t="inlineStr">
        <is>
          <t>Gammelgransskål
Garnlav
Granticka
Skrovellav
Vitgrynig nållav
Granriska
Svavelriska</t>
        </is>
      </c>
      <c r="S470">
        <f>HYPERLINK("https://klasma.github.io/Logging_2321/artfynd/A 16667-2025 artfynd.xlsx", "A 16667-2025")</f>
        <v/>
      </c>
      <c r="T470">
        <f>HYPERLINK("https://klasma.github.io/Logging_2321/kartor/A 16667-2025 karta.png", "A 16667-2025")</f>
        <v/>
      </c>
      <c r="V470">
        <f>HYPERLINK("https://klasma.github.io/Logging_2321/klagomål/A 16667-2025 FSC-klagomål.docx", "A 16667-2025")</f>
        <v/>
      </c>
      <c r="W470">
        <f>HYPERLINK("https://klasma.github.io/Logging_2321/klagomålsmail/A 16667-2025 FSC-klagomål mail.docx", "A 16667-2025")</f>
        <v/>
      </c>
      <c r="X470">
        <f>HYPERLINK("https://klasma.github.io/Logging_2321/tillsyn/A 16667-2025 tillsynsbegäran.docx", "A 16667-2025")</f>
        <v/>
      </c>
      <c r="Y470">
        <f>HYPERLINK("https://klasma.github.io/Logging_2321/tillsynsmail/A 16667-2025 tillsynsbegäran mail.docx", "A 16667-2025")</f>
        <v/>
      </c>
    </row>
    <row r="471" ht="15" customHeight="1">
      <c r="A471" t="inlineStr">
        <is>
          <t>A 29495-2024</t>
        </is>
      </c>
      <c r="B471" s="1" t="n">
        <v>45484</v>
      </c>
      <c r="C471" s="1" t="n">
        <v>46045</v>
      </c>
      <c r="D471" t="inlineStr">
        <is>
          <t>JÄMTLANDS LÄN</t>
        </is>
      </c>
      <c r="E471" t="inlineStr">
        <is>
          <t>STRÖMSUND</t>
        </is>
      </c>
      <c r="F471" t="inlineStr">
        <is>
          <t>Holmen skog AB</t>
        </is>
      </c>
      <c r="G471" t="n">
        <v>5.7</v>
      </c>
      <c r="H471" t="n">
        <v>0</v>
      </c>
      <c r="I471" t="n">
        <v>0</v>
      </c>
      <c r="J471" t="n">
        <v>7</v>
      </c>
      <c r="K471" t="n">
        <v>0</v>
      </c>
      <c r="L471" t="n">
        <v>0</v>
      </c>
      <c r="M471" t="n">
        <v>0</v>
      </c>
      <c r="N471" t="n">
        <v>0</v>
      </c>
      <c r="O471" t="n">
        <v>7</v>
      </c>
      <c r="P471" t="n">
        <v>0</v>
      </c>
      <c r="Q471" t="n">
        <v>7</v>
      </c>
      <c r="R471" s="2" t="inlineStr">
        <is>
          <t>Gammelgransskål
Garnlav
Granticka
Harticka
Kavernularia
Skrovellav
Vitgrynig nållav</t>
        </is>
      </c>
      <c r="S471">
        <f>HYPERLINK("https://klasma.github.io/Logging_2313/artfynd/A 29495-2024 artfynd.xlsx", "A 29495-2024")</f>
        <v/>
      </c>
      <c r="T471">
        <f>HYPERLINK("https://klasma.github.io/Logging_2313/kartor/A 29495-2024 karta.png", "A 29495-2024")</f>
        <v/>
      </c>
      <c r="V471">
        <f>HYPERLINK("https://klasma.github.io/Logging_2313/klagomål/A 29495-2024 FSC-klagomål.docx", "A 29495-2024")</f>
        <v/>
      </c>
      <c r="W471">
        <f>HYPERLINK("https://klasma.github.io/Logging_2313/klagomålsmail/A 29495-2024 FSC-klagomål mail.docx", "A 29495-2024")</f>
        <v/>
      </c>
      <c r="X471">
        <f>HYPERLINK("https://klasma.github.io/Logging_2313/tillsyn/A 29495-2024 tillsynsbegäran.docx", "A 29495-2024")</f>
        <v/>
      </c>
      <c r="Y471">
        <f>HYPERLINK("https://klasma.github.io/Logging_2313/tillsynsmail/A 29495-2024 tillsynsbegäran mail.docx", "A 29495-2024")</f>
        <v/>
      </c>
    </row>
    <row r="472" ht="15" customHeight="1">
      <c r="A472" t="inlineStr">
        <is>
          <t>A 33806-2023</t>
        </is>
      </c>
      <c r="B472" s="1" t="n">
        <v>45121</v>
      </c>
      <c r="C472" s="1" t="n">
        <v>46045</v>
      </c>
      <c r="D472" t="inlineStr">
        <is>
          <t>JÄMTLANDS LÄN</t>
        </is>
      </c>
      <c r="E472" t="inlineStr">
        <is>
          <t>RAGUNDA</t>
        </is>
      </c>
      <c r="G472" t="n">
        <v>12</v>
      </c>
      <c r="H472" t="n">
        <v>2</v>
      </c>
      <c r="I472" t="n">
        <v>0</v>
      </c>
      <c r="J472" t="n">
        <v>5</v>
      </c>
      <c r="K472" t="n">
        <v>1</v>
      </c>
      <c r="L472" t="n">
        <v>0</v>
      </c>
      <c r="M472" t="n">
        <v>0</v>
      </c>
      <c r="N472" t="n">
        <v>0</v>
      </c>
      <c r="O472" t="n">
        <v>6</v>
      </c>
      <c r="P472" t="n">
        <v>1</v>
      </c>
      <c r="Q472" t="n">
        <v>7</v>
      </c>
      <c r="R472" s="2" t="inlineStr">
        <is>
          <t>Knärot
Granticka
Koralltaggsvamp
Lunglav
Persiljespindling
Äggvaxskivling
Blåsippa</t>
        </is>
      </c>
      <c r="S472">
        <f>HYPERLINK("https://klasma.github.io/Logging_2303/artfynd/A 33806-2023 artfynd.xlsx", "A 33806-2023")</f>
        <v/>
      </c>
      <c r="T472">
        <f>HYPERLINK("https://klasma.github.io/Logging_2303/kartor/A 33806-2023 karta.png", "A 33806-2023")</f>
        <v/>
      </c>
      <c r="U472">
        <f>HYPERLINK("https://klasma.github.io/Logging_2303/knärot/A 33806-2023 karta knärot.png", "A 33806-2023")</f>
        <v/>
      </c>
      <c r="V472">
        <f>HYPERLINK("https://klasma.github.io/Logging_2303/klagomål/A 33806-2023 FSC-klagomål.docx", "A 33806-2023")</f>
        <v/>
      </c>
      <c r="W472">
        <f>HYPERLINK("https://klasma.github.io/Logging_2303/klagomålsmail/A 33806-2023 FSC-klagomål mail.docx", "A 33806-2023")</f>
        <v/>
      </c>
      <c r="X472">
        <f>HYPERLINK("https://klasma.github.io/Logging_2303/tillsyn/A 33806-2023 tillsynsbegäran.docx", "A 33806-2023")</f>
        <v/>
      </c>
      <c r="Y472">
        <f>HYPERLINK("https://klasma.github.io/Logging_2303/tillsynsmail/A 33806-2023 tillsynsbegäran mail.docx", "A 33806-2023")</f>
        <v/>
      </c>
    </row>
    <row r="473" ht="15" customHeight="1">
      <c r="A473" t="inlineStr">
        <is>
          <t>A 21452-2025</t>
        </is>
      </c>
      <c r="B473" s="1" t="n">
        <v>45782.55300925926</v>
      </c>
      <c r="C473" s="1" t="n">
        <v>46045</v>
      </c>
      <c r="D473" t="inlineStr">
        <is>
          <t>JÄMTLANDS LÄN</t>
        </is>
      </c>
      <c r="E473" t="inlineStr">
        <is>
          <t>BRÄCKE</t>
        </is>
      </c>
      <c r="F473" t="inlineStr">
        <is>
          <t>SCA</t>
        </is>
      </c>
      <c r="G473" t="n">
        <v>28.8</v>
      </c>
      <c r="H473" t="n">
        <v>0</v>
      </c>
      <c r="I473" t="n">
        <v>5</v>
      </c>
      <c r="J473" t="n">
        <v>1</v>
      </c>
      <c r="K473" t="n">
        <v>0</v>
      </c>
      <c r="L473" t="n">
        <v>1</v>
      </c>
      <c r="M473" t="n">
        <v>0</v>
      </c>
      <c r="N473" t="n">
        <v>0</v>
      </c>
      <c r="O473" t="n">
        <v>2</v>
      </c>
      <c r="P473" t="n">
        <v>1</v>
      </c>
      <c r="Q473" t="n">
        <v>7</v>
      </c>
      <c r="R473" s="2" t="inlineStr">
        <is>
          <t>Trolldruvemätare
Lunglav
Kransrams
Strutbräken
Svart trolldruva
Tibast
Underviol</t>
        </is>
      </c>
      <c r="S473">
        <f>HYPERLINK("https://klasma.github.io/Logging_2305/artfynd/A 21452-2025 artfynd.xlsx", "A 21452-2025")</f>
        <v/>
      </c>
      <c r="T473">
        <f>HYPERLINK("https://klasma.github.io/Logging_2305/kartor/A 21452-2025 karta.png", "A 21452-2025")</f>
        <v/>
      </c>
      <c r="U473">
        <f>HYPERLINK("https://klasma.github.io/Logging_2305/knärot/A 21452-2025 karta knärot.png", "A 21452-2025")</f>
        <v/>
      </c>
      <c r="V473">
        <f>HYPERLINK("https://klasma.github.io/Logging_2305/klagomål/A 21452-2025 FSC-klagomål.docx", "A 21452-2025")</f>
        <v/>
      </c>
      <c r="W473">
        <f>HYPERLINK("https://klasma.github.io/Logging_2305/klagomålsmail/A 21452-2025 FSC-klagomål mail.docx", "A 21452-2025")</f>
        <v/>
      </c>
      <c r="X473">
        <f>HYPERLINK("https://klasma.github.io/Logging_2305/tillsyn/A 21452-2025 tillsynsbegäran.docx", "A 21452-2025")</f>
        <v/>
      </c>
      <c r="Y473">
        <f>HYPERLINK("https://klasma.github.io/Logging_2305/tillsynsmail/A 21452-2025 tillsynsbegäran mail.docx", "A 21452-2025")</f>
        <v/>
      </c>
    </row>
    <row r="474" ht="15" customHeight="1">
      <c r="A474" t="inlineStr">
        <is>
          <t>A 51403-2024</t>
        </is>
      </c>
      <c r="B474" s="1" t="n">
        <v>45604.42765046296</v>
      </c>
      <c r="C474" s="1" t="n">
        <v>46045</v>
      </c>
      <c r="D474" t="inlineStr">
        <is>
          <t>JÄMTLANDS LÄN</t>
        </is>
      </c>
      <c r="E474" t="inlineStr">
        <is>
          <t>STRÖMSUND</t>
        </is>
      </c>
      <c r="F474" t="inlineStr">
        <is>
          <t>SCA</t>
        </is>
      </c>
      <c r="G474" t="n">
        <v>25.2</v>
      </c>
      <c r="H474" t="n">
        <v>0</v>
      </c>
      <c r="I474" t="n">
        <v>1</v>
      </c>
      <c r="J474" t="n">
        <v>6</v>
      </c>
      <c r="K474" t="n">
        <v>0</v>
      </c>
      <c r="L474" t="n">
        <v>0</v>
      </c>
      <c r="M474" t="n">
        <v>0</v>
      </c>
      <c r="N474" t="n">
        <v>0</v>
      </c>
      <c r="O474" t="n">
        <v>6</v>
      </c>
      <c r="P474" t="n">
        <v>0</v>
      </c>
      <c r="Q474" t="n">
        <v>7</v>
      </c>
      <c r="R474" s="2" t="inlineStr">
        <is>
          <t>Brunpudrad nållav
Gammelgransskål
Garnlav
Granticka
Lunglav
Ullticka
Vedticka</t>
        </is>
      </c>
      <c r="S474">
        <f>HYPERLINK("https://klasma.github.io/Logging_2313/artfynd/A 51403-2024 artfynd.xlsx", "A 51403-2024")</f>
        <v/>
      </c>
      <c r="T474">
        <f>HYPERLINK("https://klasma.github.io/Logging_2313/kartor/A 51403-2024 karta.png", "A 51403-2024")</f>
        <v/>
      </c>
      <c r="V474">
        <f>HYPERLINK("https://klasma.github.io/Logging_2313/klagomål/A 51403-2024 FSC-klagomål.docx", "A 51403-2024")</f>
        <v/>
      </c>
      <c r="W474">
        <f>HYPERLINK("https://klasma.github.io/Logging_2313/klagomålsmail/A 51403-2024 FSC-klagomål mail.docx", "A 51403-2024")</f>
        <v/>
      </c>
      <c r="X474">
        <f>HYPERLINK("https://klasma.github.io/Logging_2313/tillsyn/A 51403-2024 tillsynsbegäran.docx", "A 51403-2024")</f>
        <v/>
      </c>
      <c r="Y474">
        <f>HYPERLINK("https://klasma.github.io/Logging_2313/tillsynsmail/A 51403-2024 tillsynsbegäran mail.docx", "A 51403-2024")</f>
        <v/>
      </c>
    </row>
    <row r="475" ht="15" customHeight="1">
      <c r="A475" t="inlineStr">
        <is>
          <t>A 21519-2025</t>
        </is>
      </c>
      <c r="B475" s="1" t="n">
        <v>45782</v>
      </c>
      <c r="C475" s="1" t="n">
        <v>46045</v>
      </c>
      <c r="D475" t="inlineStr">
        <is>
          <t>JÄMTLANDS LÄN</t>
        </is>
      </c>
      <c r="E475" t="inlineStr">
        <is>
          <t>BERG</t>
        </is>
      </c>
      <c r="F475" t="inlineStr">
        <is>
          <t>SCA</t>
        </is>
      </c>
      <c r="G475" t="n">
        <v>9.199999999999999</v>
      </c>
      <c r="H475" t="n">
        <v>0</v>
      </c>
      <c r="I475" t="n">
        <v>0</v>
      </c>
      <c r="J475" t="n">
        <v>4</v>
      </c>
      <c r="K475" t="n">
        <v>3</v>
      </c>
      <c r="L475" t="n">
        <v>0</v>
      </c>
      <c r="M475" t="n">
        <v>0</v>
      </c>
      <c r="N475" t="n">
        <v>0</v>
      </c>
      <c r="O475" t="n">
        <v>7</v>
      </c>
      <c r="P475" t="n">
        <v>3</v>
      </c>
      <c r="Q475" t="n">
        <v>7</v>
      </c>
      <c r="R475" s="2" t="inlineStr">
        <is>
          <t>Fläckporing
Gräddporing
Tajgataggsvamp
Dvärgbägarlav
Gränsticka
Nordtagging
Vaddporing</t>
        </is>
      </c>
      <c r="S475">
        <f>HYPERLINK("https://klasma.github.io/Logging_2326/artfynd/A 21519-2025 artfynd.xlsx", "A 21519-2025")</f>
        <v/>
      </c>
      <c r="T475">
        <f>HYPERLINK("https://klasma.github.io/Logging_2326/kartor/A 21519-2025 karta.png", "A 21519-2025")</f>
        <v/>
      </c>
      <c r="V475">
        <f>HYPERLINK("https://klasma.github.io/Logging_2326/klagomål/A 21519-2025 FSC-klagomål.docx", "A 21519-2025")</f>
        <v/>
      </c>
      <c r="W475">
        <f>HYPERLINK("https://klasma.github.io/Logging_2326/klagomålsmail/A 21519-2025 FSC-klagomål mail.docx", "A 21519-2025")</f>
        <v/>
      </c>
      <c r="X475">
        <f>HYPERLINK("https://klasma.github.io/Logging_2326/tillsyn/A 21519-2025 tillsynsbegäran.docx", "A 21519-2025")</f>
        <v/>
      </c>
      <c r="Y475">
        <f>HYPERLINK("https://klasma.github.io/Logging_2326/tillsynsmail/A 21519-2025 tillsynsbegäran mail.docx", "A 21519-2025")</f>
        <v/>
      </c>
    </row>
    <row r="476" ht="15" customHeight="1">
      <c r="A476" t="inlineStr">
        <is>
          <t>A 41929-2023</t>
        </is>
      </c>
      <c r="B476" s="1" t="n">
        <v>45176</v>
      </c>
      <c r="C476" s="1" t="n">
        <v>46045</v>
      </c>
      <c r="D476" t="inlineStr">
        <is>
          <t>JÄMTLANDS LÄN</t>
        </is>
      </c>
      <c r="E476" t="inlineStr">
        <is>
          <t>RAGUNDA</t>
        </is>
      </c>
      <c r="F476" t="inlineStr">
        <is>
          <t>SCA</t>
        </is>
      </c>
      <c r="G476" t="n">
        <v>13.2</v>
      </c>
      <c r="H476" t="n">
        <v>3</v>
      </c>
      <c r="I476" t="n">
        <v>3</v>
      </c>
      <c r="J476" t="n">
        <v>2</v>
      </c>
      <c r="K476" t="n">
        <v>1</v>
      </c>
      <c r="L476" t="n">
        <v>0</v>
      </c>
      <c r="M476" t="n">
        <v>0</v>
      </c>
      <c r="N476" t="n">
        <v>0</v>
      </c>
      <c r="O476" t="n">
        <v>3</v>
      </c>
      <c r="P476" t="n">
        <v>1</v>
      </c>
      <c r="Q476" t="n">
        <v>7</v>
      </c>
      <c r="R476" s="2" t="inlineStr">
        <is>
          <t>Knärot
Rosenticka
Ullticka
Grönkulla
Svart trolldruva
Vårärt
Blåsippa</t>
        </is>
      </c>
      <c r="S476">
        <f>HYPERLINK("https://klasma.github.io/Logging_2303/artfynd/A 41929-2023 artfynd.xlsx", "A 41929-2023")</f>
        <v/>
      </c>
      <c r="T476">
        <f>HYPERLINK("https://klasma.github.io/Logging_2303/kartor/A 41929-2023 karta.png", "A 41929-2023")</f>
        <v/>
      </c>
      <c r="U476">
        <f>HYPERLINK("https://klasma.github.io/Logging_2303/knärot/A 41929-2023 karta knärot.png", "A 41929-2023")</f>
        <v/>
      </c>
      <c r="V476">
        <f>HYPERLINK("https://klasma.github.io/Logging_2303/klagomål/A 41929-2023 FSC-klagomål.docx", "A 41929-2023")</f>
        <v/>
      </c>
      <c r="W476">
        <f>HYPERLINK("https://klasma.github.io/Logging_2303/klagomålsmail/A 41929-2023 FSC-klagomål mail.docx", "A 41929-2023")</f>
        <v/>
      </c>
      <c r="X476">
        <f>HYPERLINK("https://klasma.github.io/Logging_2303/tillsyn/A 41929-2023 tillsynsbegäran.docx", "A 41929-2023")</f>
        <v/>
      </c>
      <c r="Y476">
        <f>HYPERLINK("https://klasma.github.io/Logging_2303/tillsynsmail/A 41929-2023 tillsynsbegäran mail.docx", "A 41929-2023")</f>
        <v/>
      </c>
    </row>
    <row r="477" ht="15" customHeight="1">
      <c r="A477" t="inlineStr">
        <is>
          <t>A 37237-2023</t>
        </is>
      </c>
      <c r="B477" s="1" t="n">
        <v>45155</v>
      </c>
      <c r="C477" s="1" t="n">
        <v>46045</v>
      </c>
      <c r="D477" t="inlineStr">
        <is>
          <t>JÄMTLANDS LÄN</t>
        </is>
      </c>
      <c r="E477" t="inlineStr">
        <is>
          <t>RAGUNDA</t>
        </is>
      </c>
      <c r="F477" t="inlineStr">
        <is>
          <t>SCA</t>
        </is>
      </c>
      <c r="G477" t="n">
        <v>13.2</v>
      </c>
      <c r="H477" t="n">
        <v>3</v>
      </c>
      <c r="I477" t="n">
        <v>3</v>
      </c>
      <c r="J477" t="n">
        <v>2</v>
      </c>
      <c r="K477" t="n">
        <v>1</v>
      </c>
      <c r="L477" t="n">
        <v>0</v>
      </c>
      <c r="M477" t="n">
        <v>0</v>
      </c>
      <c r="N477" t="n">
        <v>0</v>
      </c>
      <c r="O477" t="n">
        <v>3</v>
      </c>
      <c r="P477" t="n">
        <v>1</v>
      </c>
      <c r="Q477" t="n">
        <v>7</v>
      </c>
      <c r="R477" s="2" t="inlineStr">
        <is>
          <t>Knärot
Rosenticka
Ullticka
Grönkulla
Svart trolldruva
Vårärt
Blåsippa</t>
        </is>
      </c>
      <c r="S477">
        <f>HYPERLINK("https://klasma.github.io/Logging_2303/artfynd/A 37237-2023 artfynd.xlsx", "A 37237-2023")</f>
        <v/>
      </c>
      <c r="T477">
        <f>HYPERLINK("https://klasma.github.io/Logging_2303/kartor/A 37237-2023 karta.png", "A 37237-2023")</f>
        <v/>
      </c>
      <c r="U477">
        <f>HYPERLINK("https://klasma.github.io/Logging_2303/knärot/A 37237-2023 karta knärot.png", "A 37237-2023")</f>
        <v/>
      </c>
      <c r="V477">
        <f>HYPERLINK("https://klasma.github.io/Logging_2303/klagomål/A 37237-2023 FSC-klagomål.docx", "A 37237-2023")</f>
        <v/>
      </c>
      <c r="W477">
        <f>HYPERLINK("https://klasma.github.io/Logging_2303/klagomålsmail/A 37237-2023 FSC-klagomål mail.docx", "A 37237-2023")</f>
        <v/>
      </c>
      <c r="X477">
        <f>HYPERLINK("https://klasma.github.io/Logging_2303/tillsyn/A 37237-2023 tillsynsbegäran.docx", "A 37237-2023")</f>
        <v/>
      </c>
      <c r="Y477">
        <f>HYPERLINK("https://klasma.github.io/Logging_2303/tillsynsmail/A 37237-2023 tillsynsbegäran mail.docx", "A 37237-2023")</f>
        <v/>
      </c>
    </row>
    <row r="478" ht="15" customHeight="1">
      <c r="A478" t="inlineStr">
        <is>
          <t>A 31122-2025</t>
        </is>
      </c>
      <c r="B478" s="1" t="n">
        <v>45831</v>
      </c>
      <c r="C478" s="1" t="n">
        <v>46045</v>
      </c>
      <c r="D478" t="inlineStr">
        <is>
          <t>JÄMTLANDS LÄN</t>
        </is>
      </c>
      <c r="E478" t="inlineStr">
        <is>
          <t>ÖSTERSUND</t>
        </is>
      </c>
      <c r="G478" t="n">
        <v>5.5</v>
      </c>
      <c r="H478" t="n">
        <v>3</v>
      </c>
      <c r="I478" t="n">
        <v>2</v>
      </c>
      <c r="J478" t="n">
        <v>4</v>
      </c>
      <c r="K478" t="n">
        <v>0</v>
      </c>
      <c r="L478" t="n">
        <v>0</v>
      </c>
      <c r="M478" t="n">
        <v>0</v>
      </c>
      <c r="N478" t="n">
        <v>0</v>
      </c>
      <c r="O478" t="n">
        <v>4</v>
      </c>
      <c r="P478" t="n">
        <v>0</v>
      </c>
      <c r="Q478" t="n">
        <v>7</v>
      </c>
      <c r="R478" s="2" t="inlineStr">
        <is>
          <t>Granticka
Kråka
Talltita
Ullticka
Stuplav
Vedticka
Revlummer</t>
        </is>
      </c>
      <c r="S478">
        <f>HYPERLINK("https://klasma.github.io/Logging_2380/artfynd/A 31122-2025 artfynd.xlsx", "A 31122-2025")</f>
        <v/>
      </c>
      <c r="T478">
        <f>HYPERLINK("https://klasma.github.io/Logging_2380/kartor/A 31122-2025 karta.png", "A 31122-2025")</f>
        <v/>
      </c>
      <c r="V478">
        <f>HYPERLINK("https://klasma.github.io/Logging_2380/klagomål/A 31122-2025 FSC-klagomål.docx", "A 31122-2025")</f>
        <v/>
      </c>
      <c r="W478">
        <f>HYPERLINK("https://klasma.github.io/Logging_2380/klagomålsmail/A 31122-2025 FSC-klagomål mail.docx", "A 31122-2025")</f>
        <v/>
      </c>
      <c r="X478">
        <f>HYPERLINK("https://klasma.github.io/Logging_2380/tillsyn/A 31122-2025 tillsynsbegäran.docx", "A 31122-2025")</f>
        <v/>
      </c>
      <c r="Y478">
        <f>HYPERLINK("https://klasma.github.io/Logging_2380/tillsynsmail/A 31122-2025 tillsynsbegäran mail.docx", "A 31122-2025")</f>
        <v/>
      </c>
      <c r="Z478">
        <f>HYPERLINK("https://klasma.github.io/Logging_2380/fåglar/A 31122-2025 prioriterade fågelarter.docx", "A 31122-2025")</f>
        <v/>
      </c>
    </row>
    <row r="479" ht="15" customHeight="1">
      <c r="A479" t="inlineStr">
        <is>
          <t>A 27771-2024</t>
        </is>
      </c>
      <c r="B479" s="1" t="n">
        <v>45475</v>
      </c>
      <c r="C479" s="1" t="n">
        <v>46045</v>
      </c>
      <c r="D479" t="inlineStr">
        <is>
          <t>JÄMTLANDS LÄN</t>
        </is>
      </c>
      <c r="E479" t="inlineStr">
        <is>
          <t>KROKOM</t>
        </is>
      </c>
      <c r="F479" t="inlineStr">
        <is>
          <t>Allmännings- och besparingsskogar</t>
        </is>
      </c>
      <c r="G479" t="n">
        <v>42.5</v>
      </c>
      <c r="H479" t="n">
        <v>4</v>
      </c>
      <c r="I479" t="n">
        <v>2</v>
      </c>
      <c r="J479" t="n">
        <v>4</v>
      </c>
      <c r="K479" t="n">
        <v>1</v>
      </c>
      <c r="L479" t="n">
        <v>0</v>
      </c>
      <c r="M479" t="n">
        <v>0</v>
      </c>
      <c r="N479" t="n">
        <v>0</v>
      </c>
      <c r="O479" t="n">
        <v>5</v>
      </c>
      <c r="P479" t="n">
        <v>1</v>
      </c>
      <c r="Q479" t="n">
        <v>7</v>
      </c>
      <c r="R479" s="2" t="inlineStr">
        <is>
          <t>Knärot
Garnlav
Granticka
Tretåig hackspett
Ullticka
Grönkulla
Spindelblomster</t>
        </is>
      </c>
      <c r="S479">
        <f>HYPERLINK("https://klasma.github.io/Logging_2309/artfynd/A 27771-2024 artfynd.xlsx", "A 27771-2024")</f>
        <v/>
      </c>
      <c r="T479">
        <f>HYPERLINK("https://klasma.github.io/Logging_2309/kartor/A 27771-2024 karta.png", "A 27771-2024")</f>
        <v/>
      </c>
      <c r="U479">
        <f>HYPERLINK("https://klasma.github.io/Logging_2309/knärot/A 27771-2024 karta knärot.png", "A 27771-2024")</f>
        <v/>
      </c>
      <c r="V479">
        <f>HYPERLINK("https://klasma.github.io/Logging_2309/klagomål/A 27771-2024 FSC-klagomål.docx", "A 27771-2024")</f>
        <v/>
      </c>
      <c r="W479">
        <f>HYPERLINK("https://klasma.github.io/Logging_2309/klagomålsmail/A 27771-2024 FSC-klagomål mail.docx", "A 27771-2024")</f>
        <v/>
      </c>
      <c r="X479">
        <f>HYPERLINK("https://klasma.github.io/Logging_2309/tillsyn/A 27771-2024 tillsynsbegäran.docx", "A 27771-2024")</f>
        <v/>
      </c>
      <c r="Y479">
        <f>HYPERLINK("https://klasma.github.io/Logging_2309/tillsynsmail/A 27771-2024 tillsynsbegäran mail.docx", "A 27771-2024")</f>
        <v/>
      </c>
      <c r="Z479">
        <f>HYPERLINK("https://klasma.github.io/Logging_2309/fåglar/A 27771-2024 prioriterade fågelarter.docx", "A 27771-2024")</f>
        <v/>
      </c>
    </row>
    <row r="480" ht="15" customHeight="1">
      <c r="A480" t="inlineStr">
        <is>
          <t>A 49858-2025</t>
        </is>
      </c>
      <c r="B480" s="1" t="n">
        <v>45940.5108912037</v>
      </c>
      <c r="C480" s="1" t="n">
        <v>46045</v>
      </c>
      <c r="D480" t="inlineStr">
        <is>
          <t>JÄMTLANDS LÄN</t>
        </is>
      </c>
      <c r="E480" t="inlineStr">
        <is>
          <t>ÅRE</t>
        </is>
      </c>
      <c r="G480" t="n">
        <v>15.9</v>
      </c>
      <c r="H480" t="n">
        <v>1</v>
      </c>
      <c r="I480" t="n">
        <v>1</v>
      </c>
      <c r="J480" t="n">
        <v>6</v>
      </c>
      <c r="K480" t="n">
        <v>0</v>
      </c>
      <c r="L480" t="n">
        <v>0</v>
      </c>
      <c r="M480" t="n">
        <v>0</v>
      </c>
      <c r="N480" t="n">
        <v>0</v>
      </c>
      <c r="O480" t="n">
        <v>6</v>
      </c>
      <c r="P480" t="n">
        <v>0</v>
      </c>
      <c r="Q480" t="n">
        <v>7</v>
      </c>
      <c r="R480" s="2" t="inlineStr">
        <is>
          <t>Gammelgransskål
Garnlav
Granticka
Harticka
Järpe
Rödbrun blekspik
Mörk husmossa</t>
        </is>
      </c>
      <c r="S480">
        <f>HYPERLINK("https://klasma.github.io/Logging_2321/artfynd/A 49858-2025 artfynd.xlsx", "A 49858-2025")</f>
        <v/>
      </c>
      <c r="T480">
        <f>HYPERLINK("https://klasma.github.io/Logging_2321/kartor/A 49858-2025 karta.png", "A 49858-2025")</f>
        <v/>
      </c>
      <c r="V480">
        <f>HYPERLINK("https://klasma.github.io/Logging_2321/klagomål/A 49858-2025 FSC-klagomål.docx", "A 49858-2025")</f>
        <v/>
      </c>
      <c r="W480">
        <f>HYPERLINK("https://klasma.github.io/Logging_2321/klagomålsmail/A 49858-2025 FSC-klagomål mail.docx", "A 49858-2025")</f>
        <v/>
      </c>
      <c r="X480">
        <f>HYPERLINK("https://klasma.github.io/Logging_2321/tillsyn/A 49858-2025 tillsynsbegäran.docx", "A 49858-2025")</f>
        <v/>
      </c>
      <c r="Y480">
        <f>HYPERLINK("https://klasma.github.io/Logging_2321/tillsynsmail/A 49858-2025 tillsynsbegäran mail.docx", "A 49858-2025")</f>
        <v/>
      </c>
      <c r="Z480">
        <f>HYPERLINK("https://klasma.github.io/Logging_2321/fåglar/A 49858-2025 prioriterade fågelarter.docx", "A 49858-2025")</f>
        <v/>
      </c>
    </row>
    <row r="481" ht="15" customHeight="1">
      <c r="A481" t="inlineStr">
        <is>
          <t>A 52119-2025</t>
        </is>
      </c>
      <c r="B481" s="1" t="n">
        <v>45952.71653935185</v>
      </c>
      <c r="C481" s="1" t="n">
        <v>46045</v>
      </c>
      <c r="D481" t="inlineStr">
        <is>
          <t>JÄMTLANDS LÄN</t>
        </is>
      </c>
      <c r="E481" t="inlineStr">
        <is>
          <t>ÅRE</t>
        </is>
      </c>
      <c r="G481" t="n">
        <v>4.4</v>
      </c>
      <c r="H481" t="n">
        <v>2</v>
      </c>
      <c r="I481" t="n">
        <v>4</v>
      </c>
      <c r="J481" t="n">
        <v>1</v>
      </c>
      <c r="K481" t="n">
        <v>0</v>
      </c>
      <c r="L481" t="n">
        <v>0</v>
      </c>
      <c r="M481" t="n">
        <v>0</v>
      </c>
      <c r="N481" t="n">
        <v>0</v>
      </c>
      <c r="O481" t="n">
        <v>1</v>
      </c>
      <c r="P481" t="n">
        <v>0</v>
      </c>
      <c r="Q481" t="n">
        <v>7</v>
      </c>
      <c r="R481" s="2" t="inlineStr">
        <is>
          <t>Skrovellav
Bårdlav
Korallblylav
Kransrams
Skinnlav
Fläcknycklar
Revlummer</t>
        </is>
      </c>
      <c r="S481">
        <f>HYPERLINK("https://klasma.github.io/Logging_2321/artfynd/A 52119-2025 artfynd.xlsx", "A 52119-2025")</f>
        <v/>
      </c>
      <c r="T481">
        <f>HYPERLINK("https://klasma.github.io/Logging_2321/kartor/A 52119-2025 karta.png", "A 52119-2025")</f>
        <v/>
      </c>
      <c r="V481">
        <f>HYPERLINK("https://klasma.github.io/Logging_2321/klagomål/A 52119-2025 FSC-klagomål.docx", "A 52119-2025")</f>
        <v/>
      </c>
      <c r="W481">
        <f>HYPERLINK("https://klasma.github.io/Logging_2321/klagomålsmail/A 52119-2025 FSC-klagomål mail.docx", "A 52119-2025")</f>
        <v/>
      </c>
      <c r="X481">
        <f>HYPERLINK("https://klasma.github.io/Logging_2321/tillsyn/A 52119-2025 tillsynsbegäran.docx", "A 52119-2025")</f>
        <v/>
      </c>
      <c r="Y481">
        <f>HYPERLINK("https://klasma.github.io/Logging_2321/tillsynsmail/A 52119-2025 tillsynsbegäran mail.docx", "A 52119-2025")</f>
        <v/>
      </c>
    </row>
    <row r="482" ht="15" customHeight="1">
      <c r="A482" t="inlineStr">
        <is>
          <t>A 60164-2024</t>
        </is>
      </c>
      <c r="B482" s="1" t="n">
        <v>45642</v>
      </c>
      <c r="C482" s="1" t="n">
        <v>46045</v>
      </c>
      <c r="D482" t="inlineStr">
        <is>
          <t>JÄMTLANDS LÄN</t>
        </is>
      </c>
      <c r="E482" t="inlineStr">
        <is>
          <t>STRÖMSUND</t>
        </is>
      </c>
      <c r="G482" t="n">
        <v>1.4</v>
      </c>
      <c r="H482" t="n">
        <v>0</v>
      </c>
      <c r="I482" t="n">
        <v>4</v>
      </c>
      <c r="J482" t="n">
        <v>3</v>
      </c>
      <c r="K482" t="n">
        <v>0</v>
      </c>
      <c r="L482" t="n">
        <v>0</v>
      </c>
      <c r="M482" t="n">
        <v>0</v>
      </c>
      <c r="N482" t="n">
        <v>0</v>
      </c>
      <c r="O482" t="n">
        <v>3</v>
      </c>
      <c r="P482" t="n">
        <v>0</v>
      </c>
      <c r="Q482" t="n">
        <v>7</v>
      </c>
      <c r="R482" s="2" t="inlineStr">
        <is>
          <t>Granticka
Lunglav
Vitgrynig nållav
Luddlav
Mörk husmossa
Skogshakmossa
Svavelriska</t>
        </is>
      </c>
      <c r="S482">
        <f>HYPERLINK("https://klasma.github.io/Logging_2313/artfynd/A 60164-2024 artfynd.xlsx", "A 60164-2024")</f>
        <v/>
      </c>
      <c r="T482">
        <f>HYPERLINK("https://klasma.github.io/Logging_2313/kartor/A 60164-2024 karta.png", "A 60164-2024")</f>
        <v/>
      </c>
      <c r="V482">
        <f>HYPERLINK("https://klasma.github.io/Logging_2313/klagomål/A 60164-2024 FSC-klagomål.docx", "A 60164-2024")</f>
        <v/>
      </c>
      <c r="W482">
        <f>HYPERLINK("https://klasma.github.io/Logging_2313/klagomålsmail/A 60164-2024 FSC-klagomål mail.docx", "A 60164-2024")</f>
        <v/>
      </c>
      <c r="X482">
        <f>HYPERLINK("https://klasma.github.io/Logging_2313/tillsyn/A 60164-2024 tillsynsbegäran.docx", "A 60164-2024")</f>
        <v/>
      </c>
      <c r="Y482">
        <f>HYPERLINK("https://klasma.github.io/Logging_2313/tillsynsmail/A 60164-2024 tillsynsbegäran mail.docx", "A 60164-2024")</f>
        <v/>
      </c>
    </row>
    <row r="483" ht="15" customHeight="1">
      <c r="A483" t="inlineStr">
        <is>
          <t>A 53292-2025</t>
        </is>
      </c>
      <c r="B483" s="1" t="n">
        <v>45958</v>
      </c>
      <c r="C483" s="1" t="n">
        <v>46045</v>
      </c>
      <c r="D483" t="inlineStr">
        <is>
          <t>JÄMTLANDS LÄN</t>
        </is>
      </c>
      <c r="E483" t="inlineStr">
        <is>
          <t>ÖSTERSUND</t>
        </is>
      </c>
      <c r="G483" t="n">
        <v>3</v>
      </c>
      <c r="H483" t="n">
        <v>5</v>
      </c>
      <c r="I483" t="n">
        <v>0</v>
      </c>
      <c r="J483" t="n">
        <v>3</v>
      </c>
      <c r="K483" t="n">
        <v>1</v>
      </c>
      <c r="L483" t="n">
        <v>0</v>
      </c>
      <c r="M483" t="n">
        <v>0</v>
      </c>
      <c r="N483" t="n">
        <v>0</v>
      </c>
      <c r="O483" t="n">
        <v>4</v>
      </c>
      <c r="P483" t="n">
        <v>1</v>
      </c>
      <c r="Q483" t="n">
        <v>7</v>
      </c>
      <c r="R483" s="2" t="inlineStr">
        <is>
          <t>Knärot
Garnlav
Granticka
Talltita
Kungsfågel
Blåsippa
Revlummer</t>
        </is>
      </c>
      <c r="S483">
        <f>HYPERLINK("https://klasma.github.io/Logging_2380/artfynd/A 53292-2025 artfynd.xlsx", "A 53292-2025")</f>
        <v/>
      </c>
      <c r="T483">
        <f>HYPERLINK("https://klasma.github.io/Logging_2380/kartor/A 53292-2025 karta.png", "A 53292-2025")</f>
        <v/>
      </c>
      <c r="U483">
        <f>HYPERLINK("https://klasma.github.io/Logging_2380/knärot/A 53292-2025 karta knärot.png", "A 53292-2025")</f>
        <v/>
      </c>
      <c r="V483">
        <f>HYPERLINK("https://klasma.github.io/Logging_2380/klagomål/A 53292-2025 FSC-klagomål.docx", "A 53292-2025")</f>
        <v/>
      </c>
      <c r="W483">
        <f>HYPERLINK("https://klasma.github.io/Logging_2380/klagomålsmail/A 53292-2025 FSC-klagomål mail.docx", "A 53292-2025")</f>
        <v/>
      </c>
      <c r="X483">
        <f>HYPERLINK("https://klasma.github.io/Logging_2380/tillsyn/A 53292-2025 tillsynsbegäran.docx", "A 53292-2025")</f>
        <v/>
      </c>
      <c r="Y483">
        <f>HYPERLINK("https://klasma.github.io/Logging_2380/tillsynsmail/A 53292-2025 tillsynsbegäran mail.docx", "A 53292-2025")</f>
        <v/>
      </c>
      <c r="Z483">
        <f>HYPERLINK("https://klasma.github.io/Logging_2380/fåglar/A 53292-2025 prioriterade fågelarter.docx", "A 53292-2025")</f>
        <v/>
      </c>
    </row>
    <row r="484" ht="15" customHeight="1">
      <c r="A484" t="inlineStr">
        <is>
          <t>A 26750-2025</t>
        </is>
      </c>
      <c r="B484" s="1" t="n">
        <v>45810.55061342593</v>
      </c>
      <c r="C484" s="1" t="n">
        <v>46045</v>
      </c>
      <c r="D484" t="inlineStr">
        <is>
          <t>JÄMTLANDS LÄN</t>
        </is>
      </c>
      <c r="E484" t="inlineStr">
        <is>
          <t>RAGUNDA</t>
        </is>
      </c>
      <c r="G484" t="n">
        <v>18</v>
      </c>
      <c r="H484" t="n">
        <v>0</v>
      </c>
      <c r="I484" t="n">
        <v>3</v>
      </c>
      <c r="J484" t="n">
        <v>4</v>
      </c>
      <c r="K484" t="n">
        <v>0</v>
      </c>
      <c r="L484" t="n">
        <v>0</v>
      </c>
      <c r="M484" t="n">
        <v>0</v>
      </c>
      <c r="N484" t="n">
        <v>0</v>
      </c>
      <c r="O484" t="n">
        <v>4</v>
      </c>
      <c r="P484" t="n">
        <v>0</v>
      </c>
      <c r="Q484" t="n">
        <v>7</v>
      </c>
      <c r="R484" s="2" t="inlineStr">
        <is>
          <t>Blå taggsvamp
Orange taggsvamp
Skrovlig taggsvamp
Svartvit taggsvamp
Dropptaggsvamp
Rödfläckig zontaggsvamp
Skarp dropptaggsvamp</t>
        </is>
      </c>
      <c r="S484">
        <f>HYPERLINK("https://klasma.github.io/Logging_2303/artfynd/A 26750-2025 artfynd.xlsx", "A 26750-2025")</f>
        <v/>
      </c>
      <c r="T484">
        <f>HYPERLINK("https://klasma.github.io/Logging_2303/kartor/A 26750-2025 karta.png", "A 26750-2025")</f>
        <v/>
      </c>
      <c r="V484">
        <f>HYPERLINK("https://klasma.github.io/Logging_2303/klagomål/A 26750-2025 FSC-klagomål.docx", "A 26750-2025")</f>
        <v/>
      </c>
      <c r="W484">
        <f>HYPERLINK("https://klasma.github.io/Logging_2303/klagomålsmail/A 26750-2025 FSC-klagomål mail.docx", "A 26750-2025")</f>
        <v/>
      </c>
      <c r="X484">
        <f>HYPERLINK("https://klasma.github.io/Logging_2303/tillsyn/A 26750-2025 tillsynsbegäran.docx", "A 26750-2025")</f>
        <v/>
      </c>
      <c r="Y484">
        <f>HYPERLINK("https://klasma.github.io/Logging_2303/tillsynsmail/A 26750-2025 tillsynsbegäran mail.docx", "A 26750-2025")</f>
        <v/>
      </c>
    </row>
    <row r="485" ht="15" customHeight="1">
      <c r="A485" t="inlineStr">
        <is>
          <t>A 24169-2021</t>
        </is>
      </c>
      <c r="B485" s="1" t="n">
        <v>44336</v>
      </c>
      <c r="C485" s="1" t="n">
        <v>46045</v>
      </c>
      <c r="D485" t="inlineStr">
        <is>
          <t>JÄMTLANDS LÄN</t>
        </is>
      </c>
      <c r="E485" t="inlineStr">
        <is>
          <t>RAGUNDA</t>
        </is>
      </c>
      <c r="G485" t="n">
        <v>9.199999999999999</v>
      </c>
      <c r="H485" t="n">
        <v>3</v>
      </c>
      <c r="I485" t="n">
        <v>5</v>
      </c>
      <c r="J485" t="n">
        <v>2</v>
      </c>
      <c r="K485" t="n">
        <v>0</v>
      </c>
      <c r="L485" t="n">
        <v>0</v>
      </c>
      <c r="M485" t="n">
        <v>0</v>
      </c>
      <c r="N485" t="n">
        <v>0</v>
      </c>
      <c r="O485" t="n">
        <v>2</v>
      </c>
      <c r="P485" t="n">
        <v>0</v>
      </c>
      <c r="Q485" t="n">
        <v>7</v>
      </c>
      <c r="R485" s="2" t="inlineStr">
        <is>
          <t>Lunglav
Tretåig hackspett
Grönkulla
Guckusko
Luddlav
Stuplav
Ögonpyrola</t>
        </is>
      </c>
      <c r="S485">
        <f>HYPERLINK("https://klasma.github.io/Logging_2303/artfynd/A 24169-2021 artfynd.xlsx", "A 24169-2021")</f>
        <v/>
      </c>
      <c r="T485">
        <f>HYPERLINK("https://klasma.github.io/Logging_2303/kartor/A 24169-2021 karta.png", "A 24169-2021")</f>
        <v/>
      </c>
      <c r="V485">
        <f>HYPERLINK("https://klasma.github.io/Logging_2303/klagomål/A 24169-2021 FSC-klagomål.docx", "A 24169-2021")</f>
        <v/>
      </c>
      <c r="W485">
        <f>HYPERLINK("https://klasma.github.io/Logging_2303/klagomålsmail/A 24169-2021 FSC-klagomål mail.docx", "A 24169-2021")</f>
        <v/>
      </c>
      <c r="X485">
        <f>HYPERLINK("https://klasma.github.io/Logging_2303/tillsyn/A 24169-2021 tillsynsbegäran.docx", "A 24169-2021")</f>
        <v/>
      </c>
      <c r="Y485">
        <f>HYPERLINK("https://klasma.github.io/Logging_2303/tillsynsmail/A 24169-2021 tillsynsbegäran mail.docx", "A 24169-2021")</f>
        <v/>
      </c>
      <c r="Z485">
        <f>HYPERLINK("https://klasma.github.io/Logging_2303/fåglar/A 24169-2021 prioriterade fågelarter.docx", "A 24169-2021")</f>
        <v/>
      </c>
    </row>
    <row r="486" ht="15" customHeight="1">
      <c r="A486" t="inlineStr">
        <is>
          <t>A 56364-2024</t>
        </is>
      </c>
      <c r="B486" s="1" t="n">
        <v>45625.32383101852</v>
      </c>
      <c r="C486" s="1" t="n">
        <v>46045</v>
      </c>
      <c r="D486" t="inlineStr">
        <is>
          <t>JÄMTLANDS LÄN</t>
        </is>
      </c>
      <c r="E486" t="inlineStr">
        <is>
          <t>BERG</t>
        </is>
      </c>
      <c r="G486" t="n">
        <v>3.7</v>
      </c>
      <c r="H486" t="n">
        <v>4</v>
      </c>
      <c r="I486" t="n">
        <v>2</v>
      </c>
      <c r="J486" t="n">
        <v>3</v>
      </c>
      <c r="K486" t="n">
        <v>0</v>
      </c>
      <c r="L486" t="n">
        <v>0</v>
      </c>
      <c r="M486" t="n">
        <v>0</v>
      </c>
      <c r="N486" t="n">
        <v>0</v>
      </c>
      <c r="O486" t="n">
        <v>3</v>
      </c>
      <c r="P486" t="n">
        <v>0</v>
      </c>
      <c r="Q486" t="n">
        <v>7</v>
      </c>
      <c r="R486" s="2" t="inlineStr">
        <is>
          <t>Gammelgransskål
Garnlav
Tretåig hackspett
Spindelblomster
Ögonpyrola
Mattlummer
Revlummer</t>
        </is>
      </c>
      <c r="S486">
        <f>HYPERLINK("https://klasma.github.io/Logging_2326/artfynd/A 56364-2024 artfynd.xlsx", "A 56364-2024")</f>
        <v/>
      </c>
      <c r="T486">
        <f>HYPERLINK("https://klasma.github.io/Logging_2326/kartor/A 56364-2024 karta.png", "A 56364-2024")</f>
        <v/>
      </c>
      <c r="V486">
        <f>HYPERLINK("https://klasma.github.io/Logging_2326/klagomål/A 56364-2024 FSC-klagomål.docx", "A 56364-2024")</f>
        <v/>
      </c>
      <c r="W486">
        <f>HYPERLINK("https://klasma.github.io/Logging_2326/klagomålsmail/A 56364-2024 FSC-klagomål mail.docx", "A 56364-2024")</f>
        <v/>
      </c>
      <c r="X486">
        <f>HYPERLINK("https://klasma.github.io/Logging_2326/tillsyn/A 56364-2024 tillsynsbegäran.docx", "A 56364-2024")</f>
        <v/>
      </c>
      <c r="Y486">
        <f>HYPERLINK("https://klasma.github.io/Logging_2326/tillsynsmail/A 56364-2024 tillsynsbegäran mail.docx", "A 56364-2024")</f>
        <v/>
      </c>
      <c r="Z486">
        <f>HYPERLINK("https://klasma.github.io/Logging_2326/fåglar/A 56364-2024 prioriterade fågelarter.docx", "A 56364-2024")</f>
        <v/>
      </c>
    </row>
    <row r="487" ht="15" customHeight="1">
      <c r="A487" t="inlineStr">
        <is>
          <t>A 62925-2025</t>
        </is>
      </c>
      <c r="B487" s="1" t="n">
        <v>46009.38592592593</v>
      </c>
      <c r="C487" s="1" t="n">
        <v>46045</v>
      </c>
      <c r="D487" t="inlineStr">
        <is>
          <t>JÄMTLANDS LÄN</t>
        </is>
      </c>
      <c r="E487" t="inlineStr">
        <is>
          <t>BRÄCKE</t>
        </is>
      </c>
      <c r="F487" t="inlineStr">
        <is>
          <t>SCA</t>
        </is>
      </c>
      <c r="G487" t="n">
        <v>3.8</v>
      </c>
      <c r="H487" t="n">
        <v>1</v>
      </c>
      <c r="I487" t="n">
        <v>1</v>
      </c>
      <c r="J487" t="n">
        <v>6</v>
      </c>
      <c r="K487" t="n">
        <v>0</v>
      </c>
      <c r="L487" t="n">
        <v>0</v>
      </c>
      <c r="M487" t="n">
        <v>0</v>
      </c>
      <c r="N487" t="n">
        <v>0</v>
      </c>
      <c r="O487" t="n">
        <v>6</v>
      </c>
      <c r="P487" t="n">
        <v>0</v>
      </c>
      <c r="Q487" t="n">
        <v>7</v>
      </c>
      <c r="R487" s="2" t="inlineStr">
        <is>
          <t>Garnlav
Harticka
Kolflarnlav
Talltita
Vedflamlav
Vitgrynig nållav
Dropptaggsvamp</t>
        </is>
      </c>
      <c r="S487">
        <f>HYPERLINK("https://klasma.github.io/Logging_2305/artfynd/A 62925-2025 artfynd.xlsx", "A 62925-2025")</f>
        <v/>
      </c>
      <c r="T487">
        <f>HYPERLINK("https://klasma.github.io/Logging_2305/kartor/A 62925-2025 karta.png", "A 62925-2025")</f>
        <v/>
      </c>
      <c r="V487">
        <f>HYPERLINK("https://klasma.github.io/Logging_2305/klagomål/A 62925-2025 FSC-klagomål.docx", "A 62925-2025")</f>
        <v/>
      </c>
      <c r="W487">
        <f>HYPERLINK("https://klasma.github.io/Logging_2305/klagomålsmail/A 62925-2025 FSC-klagomål mail.docx", "A 62925-2025")</f>
        <v/>
      </c>
      <c r="X487">
        <f>HYPERLINK("https://klasma.github.io/Logging_2305/tillsyn/A 62925-2025 tillsynsbegäran.docx", "A 62925-2025")</f>
        <v/>
      </c>
      <c r="Y487">
        <f>HYPERLINK("https://klasma.github.io/Logging_2305/tillsynsmail/A 62925-2025 tillsynsbegäran mail.docx", "A 62925-2025")</f>
        <v/>
      </c>
      <c r="Z487">
        <f>HYPERLINK("https://klasma.github.io/Logging_2305/fåglar/A 62925-2025 prioriterade fågelarter.docx", "A 62925-2025")</f>
        <v/>
      </c>
    </row>
    <row r="488" ht="15" customHeight="1">
      <c r="A488" t="inlineStr">
        <is>
          <t>A 15977-2024</t>
        </is>
      </c>
      <c r="B488" s="1" t="n">
        <v>45405.57392361111</v>
      </c>
      <c r="C488" s="1" t="n">
        <v>46045</v>
      </c>
      <c r="D488" t="inlineStr">
        <is>
          <t>JÄMTLANDS LÄN</t>
        </is>
      </c>
      <c r="E488" t="inlineStr">
        <is>
          <t>RAGUNDA</t>
        </is>
      </c>
      <c r="F488" t="inlineStr">
        <is>
          <t>Kommuner</t>
        </is>
      </c>
      <c r="G488" t="n">
        <v>12.1</v>
      </c>
      <c r="H488" t="n">
        <v>0</v>
      </c>
      <c r="I488" t="n">
        <v>1</v>
      </c>
      <c r="J488" t="n">
        <v>6</v>
      </c>
      <c r="K488" t="n">
        <v>0</v>
      </c>
      <c r="L488" t="n">
        <v>0</v>
      </c>
      <c r="M488" t="n">
        <v>0</v>
      </c>
      <c r="N488" t="n">
        <v>0</v>
      </c>
      <c r="O488" t="n">
        <v>6</v>
      </c>
      <c r="P488" t="n">
        <v>0</v>
      </c>
      <c r="Q488" t="n">
        <v>7</v>
      </c>
      <c r="R488" s="2" t="inlineStr">
        <is>
          <t>Blanksvart spiklav
Dvärgbägarlav
Garnlav
Mörk kolflarnlav
Ullticka
Vedflamlav
Dropptaggsvamp</t>
        </is>
      </c>
      <c r="S488">
        <f>HYPERLINK("https://klasma.github.io/Logging_2303/artfynd/A 15977-2024 artfynd.xlsx", "A 15977-2024")</f>
        <v/>
      </c>
      <c r="T488">
        <f>HYPERLINK("https://klasma.github.io/Logging_2303/kartor/A 15977-2024 karta.png", "A 15977-2024")</f>
        <v/>
      </c>
      <c r="V488">
        <f>HYPERLINK("https://klasma.github.io/Logging_2303/klagomål/A 15977-2024 FSC-klagomål.docx", "A 15977-2024")</f>
        <v/>
      </c>
      <c r="W488">
        <f>HYPERLINK("https://klasma.github.io/Logging_2303/klagomålsmail/A 15977-2024 FSC-klagomål mail.docx", "A 15977-2024")</f>
        <v/>
      </c>
      <c r="X488">
        <f>HYPERLINK("https://klasma.github.io/Logging_2303/tillsyn/A 15977-2024 tillsynsbegäran.docx", "A 15977-2024")</f>
        <v/>
      </c>
      <c r="Y488">
        <f>HYPERLINK("https://klasma.github.io/Logging_2303/tillsynsmail/A 15977-2024 tillsynsbegäran mail.docx", "A 15977-2024")</f>
        <v/>
      </c>
    </row>
    <row r="489" ht="15" customHeight="1">
      <c r="A489" t="inlineStr">
        <is>
          <t>A 11829-2023</t>
        </is>
      </c>
      <c r="B489" s="1" t="n">
        <v>44994</v>
      </c>
      <c r="C489" s="1" t="n">
        <v>46045</v>
      </c>
      <c r="D489" t="inlineStr">
        <is>
          <t>JÄMTLANDS LÄN</t>
        </is>
      </c>
      <c r="E489" t="inlineStr">
        <is>
          <t>RAGUNDA</t>
        </is>
      </c>
      <c r="F489" t="inlineStr">
        <is>
          <t>SCA</t>
        </is>
      </c>
      <c r="G489" t="n">
        <v>1.8</v>
      </c>
      <c r="H489" t="n">
        <v>0</v>
      </c>
      <c r="I489" t="n">
        <v>1</v>
      </c>
      <c r="J489" t="n">
        <v>6</v>
      </c>
      <c r="K489" t="n">
        <v>0</v>
      </c>
      <c r="L489" t="n">
        <v>0</v>
      </c>
      <c r="M489" t="n">
        <v>0</v>
      </c>
      <c r="N489" t="n">
        <v>0</v>
      </c>
      <c r="O489" t="n">
        <v>6</v>
      </c>
      <c r="P489" t="n">
        <v>0</v>
      </c>
      <c r="Q489" t="n">
        <v>7</v>
      </c>
      <c r="R489" s="2" t="inlineStr">
        <is>
          <t>Garnlav
Kolflarnlav
Lunglav
Ullticka
Vedflamlav
Vedtrappmossa
Vedticka</t>
        </is>
      </c>
      <c r="S489">
        <f>HYPERLINK("https://klasma.github.io/Logging_2303/artfynd/A 11829-2023 artfynd.xlsx", "A 11829-2023")</f>
        <v/>
      </c>
      <c r="T489">
        <f>HYPERLINK("https://klasma.github.io/Logging_2303/kartor/A 11829-2023 karta.png", "A 11829-2023")</f>
        <v/>
      </c>
      <c r="U489">
        <f>HYPERLINK("https://klasma.github.io/Logging_2303/knärot/A 11829-2023 karta knärot.png", "A 11829-2023")</f>
        <v/>
      </c>
      <c r="V489">
        <f>HYPERLINK("https://klasma.github.io/Logging_2303/klagomål/A 11829-2023 FSC-klagomål.docx", "A 11829-2023")</f>
        <v/>
      </c>
      <c r="W489">
        <f>HYPERLINK("https://klasma.github.io/Logging_2303/klagomålsmail/A 11829-2023 FSC-klagomål mail.docx", "A 11829-2023")</f>
        <v/>
      </c>
      <c r="X489">
        <f>HYPERLINK("https://klasma.github.io/Logging_2303/tillsyn/A 11829-2023 tillsynsbegäran.docx", "A 11829-2023")</f>
        <v/>
      </c>
      <c r="Y489">
        <f>HYPERLINK("https://klasma.github.io/Logging_2303/tillsynsmail/A 11829-2023 tillsynsbegäran mail.docx", "A 11829-2023")</f>
        <v/>
      </c>
    </row>
    <row r="490" ht="15" customHeight="1">
      <c r="A490" t="inlineStr">
        <is>
          <t>A 50529-2025</t>
        </is>
      </c>
      <c r="B490" s="1" t="n">
        <v>45945.47331018518</v>
      </c>
      <c r="C490" s="1" t="n">
        <v>46045</v>
      </c>
      <c r="D490" t="inlineStr">
        <is>
          <t>JÄMTLANDS LÄN</t>
        </is>
      </c>
      <c r="E490" t="inlineStr">
        <is>
          <t>ÖSTERSUND</t>
        </is>
      </c>
      <c r="G490" t="n">
        <v>7</v>
      </c>
      <c r="H490" t="n">
        <v>3</v>
      </c>
      <c r="I490" t="n">
        <v>2</v>
      </c>
      <c r="J490" t="n">
        <v>4</v>
      </c>
      <c r="K490" t="n">
        <v>1</v>
      </c>
      <c r="L490" t="n">
        <v>0</v>
      </c>
      <c r="M490" t="n">
        <v>0</v>
      </c>
      <c r="N490" t="n">
        <v>0</v>
      </c>
      <c r="O490" t="n">
        <v>5</v>
      </c>
      <c r="P490" t="n">
        <v>1</v>
      </c>
      <c r="Q490" t="n">
        <v>7</v>
      </c>
      <c r="R490" s="2" t="inlineStr">
        <is>
          <t>Knärot
Garnlav
Granticka
Harticka
Tretåig hackspett
Korallrot
Ögonpyrola</t>
        </is>
      </c>
      <c r="S490">
        <f>HYPERLINK("https://klasma.github.io/Logging_2380/artfynd/A 50529-2025 artfynd.xlsx", "A 50529-2025")</f>
        <v/>
      </c>
      <c r="T490">
        <f>HYPERLINK("https://klasma.github.io/Logging_2380/kartor/A 50529-2025 karta.png", "A 50529-2025")</f>
        <v/>
      </c>
      <c r="U490">
        <f>HYPERLINK("https://klasma.github.io/Logging_2380/knärot/A 50529-2025 karta knärot.png", "A 50529-2025")</f>
        <v/>
      </c>
      <c r="V490">
        <f>HYPERLINK("https://klasma.github.io/Logging_2380/klagomål/A 50529-2025 FSC-klagomål.docx", "A 50529-2025")</f>
        <v/>
      </c>
      <c r="W490">
        <f>HYPERLINK("https://klasma.github.io/Logging_2380/klagomålsmail/A 50529-2025 FSC-klagomål mail.docx", "A 50529-2025")</f>
        <v/>
      </c>
      <c r="X490">
        <f>HYPERLINK("https://klasma.github.io/Logging_2380/tillsyn/A 50529-2025 tillsynsbegäran.docx", "A 50529-2025")</f>
        <v/>
      </c>
      <c r="Y490">
        <f>HYPERLINK("https://klasma.github.io/Logging_2380/tillsynsmail/A 50529-2025 tillsynsbegäran mail.docx", "A 50529-2025")</f>
        <v/>
      </c>
      <c r="Z490">
        <f>HYPERLINK("https://klasma.github.io/Logging_2380/fåglar/A 50529-2025 prioriterade fågelarter.docx", "A 50529-2025")</f>
        <v/>
      </c>
    </row>
    <row r="491" ht="15" customHeight="1">
      <c r="A491" t="inlineStr">
        <is>
          <t>A 44514-2024</t>
        </is>
      </c>
      <c r="B491" s="1" t="n">
        <v>45574.42746527777</v>
      </c>
      <c r="C491" s="1" t="n">
        <v>46045</v>
      </c>
      <c r="D491" t="inlineStr">
        <is>
          <t>JÄMTLANDS LÄN</t>
        </is>
      </c>
      <c r="E491" t="inlineStr">
        <is>
          <t>BRÄCKE</t>
        </is>
      </c>
      <c r="F491" t="inlineStr">
        <is>
          <t>SCA</t>
        </is>
      </c>
      <c r="G491" t="n">
        <v>12.8</v>
      </c>
      <c r="H491" t="n">
        <v>0</v>
      </c>
      <c r="I491" t="n">
        <v>3</v>
      </c>
      <c r="J491" t="n">
        <v>4</v>
      </c>
      <c r="K491" t="n">
        <v>0</v>
      </c>
      <c r="L491" t="n">
        <v>0</v>
      </c>
      <c r="M491" t="n">
        <v>0</v>
      </c>
      <c r="N491" t="n">
        <v>0</v>
      </c>
      <c r="O491" t="n">
        <v>4</v>
      </c>
      <c r="P491" t="n">
        <v>0</v>
      </c>
      <c r="Q491" t="n">
        <v>7</v>
      </c>
      <c r="R491" s="2" t="inlineStr">
        <is>
          <t>Dvärgbägarlav
Kolflarnlav
Lunglav
Skrovellav
Bårdlav
Skinnlav
Stuplav</t>
        </is>
      </c>
      <c r="S491">
        <f>HYPERLINK("https://klasma.github.io/Logging_2305/artfynd/A 44514-2024 artfynd.xlsx", "A 44514-2024")</f>
        <v/>
      </c>
      <c r="T491">
        <f>HYPERLINK("https://klasma.github.io/Logging_2305/kartor/A 44514-2024 karta.png", "A 44514-2024")</f>
        <v/>
      </c>
      <c r="V491">
        <f>HYPERLINK("https://klasma.github.io/Logging_2305/klagomål/A 44514-2024 FSC-klagomål.docx", "A 44514-2024")</f>
        <v/>
      </c>
      <c r="W491">
        <f>HYPERLINK("https://klasma.github.io/Logging_2305/klagomålsmail/A 44514-2024 FSC-klagomål mail.docx", "A 44514-2024")</f>
        <v/>
      </c>
      <c r="X491">
        <f>HYPERLINK("https://klasma.github.io/Logging_2305/tillsyn/A 44514-2024 tillsynsbegäran.docx", "A 44514-2024")</f>
        <v/>
      </c>
      <c r="Y491">
        <f>HYPERLINK("https://klasma.github.io/Logging_2305/tillsynsmail/A 44514-2024 tillsynsbegäran mail.docx", "A 44514-2024")</f>
        <v/>
      </c>
    </row>
    <row r="492" ht="15" customHeight="1">
      <c r="A492" t="inlineStr">
        <is>
          <t>A 61448-2021</t>
        </is>
      </c>
      <c r="B492" s="1" t="n">
        <v>44500</v>
      </c>
      <c r="C492" s="1" t="n">
        <v>46045</v>
      </c>
      <c r="D492" t="inlineStr">
        <is>
          <t>JÄMTLANDS LÄN</t>
        </is>
      </c>
      <c r="E492" t="inlineStr">
        <is>
          <t>KROKOM</t>
        </is>
      </c>
      <c r="G492" t="n">
        <v>10.5</v>
      </c>
      <c r="H492" t="n">
        <v>2</v>
      </c>
      <c r="I492" t="n">
        <v>3</v>
      </c>
      <c r="J492" t="n">
        <v>2</v>
      </c>
      <c r="K492" t="n">
        <v>1</v>
      </c>
      <c r="L492" t="n">
        <v>0</v>
      </c>
      <c r="M492" t="n">
        <v>0</v>
      </c>
      <c r="N492" t="n">
        <v>0</v>
      </c>
      <c r="O492" t="n">
        <v>3</v>
      </c>
      <c r="P492" t="n">
        <v>1</v>
      </c>
      <c r="Q492" t="n">
        <v>7</v>
      </c>
      <c r="R492" s="2" t="inlineStr">
        <is>
          <t>Rynkskinn
Doftskinn
Ullticka
Kransrams
Tvåblad
Vårärt
Blåsippa</t>
        </is>
      </c>
      <c r="S492">
        <f>HYPERLINK("https://klasma.github.io/Logging_2309/artfynd/A 61448-2021 artfynd.xlsx", "A 61448-2021")</f>
        <v/>
      </c>
      <c r="T492">
        <f>HYPERLINK("https://klasma.github.io/Logging_2309/kartor/A 61448-2021 karta.png", "A 61448-2021")</f>
        <v/>
      </c>
      <c r="V492">
        <f>HYPERLINK("https://klasma.github.io/Logging_2309/klagomål/A 61448-2021 FSC-klagomål.docx", "A 61448-2021")</f>
        <v/>
      </c>
      <c r="W492">
        <f>HYPERLINK("https://klasma.github.io/Logging_2309/klagomålsmail/A 61448-2021 FSC-klagomål mail.docx", "A 61448-2021")</f>
        <v/>
      </c>
      <c r="X492">
        <f>HYPERLINK("https://klasma.github.io/Logging_2309/tillsyn/A 61448-2021 tillsynsbegäran.docx", "A 61448-2021")</f>
        <v/>
      </c>
      <c r="Y492">
        <f>HYPERLINK("https://klasma.github.io/Logging_2309/tillsynsmail/A 61448-2021 tillsynsbegäran mail.docx", "A 61448-2021")</f>
        <v/>
      </c>
    </row>
    <row r="493" ht="15" customHeight="1">
      <c r="A493" t="inlineStr">
        <is>
          <t>A 57729-2025</t>
        </is>
      </c>
      <c r="B493" s="1" t="n">
        <v>45981.50630787037</v>
      </c>
      <c r="C493" s="1" t="n">
        <v>46045</v>
      </c>
      <c r="D493" t="inlineStr">
        <is>
          <t>JÄMTLANDS LÄN</t>
        </is>
      </c>
      <c r="E493" t="inlineStr">
        <is>
          <t>ÖSTERSUND</t>
        </is>
      </c>
      <c r="G493" t="n">
        <v>5.2</v>
      </c>
      <c r="H493" t="n">
        <v>3</v>
      </c>
      <c r="I493" t="n">
        <v>2</v>
      </c>
      <c r="J493" t="n">
        <v>4</v>
      </c>
      <c r="K493" t="n">
        <v>0</v>
      </c>
      <c r="L493" t="n">
        <v>0</v>
      </c>
      <c r="M493" t="n">
        <v>0</v>
      </c>
      <c r="N493" t="n">
        <v>0</v>
      </c>
      <c r="O493" t="n">
        <v>4</v>
      </c>
      <c r="P493" t="n">
        <v>0</v>
      </c>
      <c r="Q493" t="n">
        <v>7</v>
      </c>
      <c r="R493" s="2" t="inlineStr">
        <is>
          <t>Granticka
Kråka
Talltita
Ullticka
Stuplav
Vedticka
Revlummer</t>
        </is>
      </c>
      <c r="S493">
        <f>HYPERLINK("https://klasma.github.io/Logging_2380/artfynd/A 57729-2025 artfynd.xlsx", "A 57729-2025")</f>
        <v/>
      </c>
      <c r="T493">
        <f>HYPERLINK("https://klasma.github.io/Logging_2380/kartor/A 57729-2025 karta.png", "A 57729-2025")</f>
        <v/>
      </c>
      <c r="V493">
        <f>HYPERLINK("https://klasma.github.io/Logging_2380/klagomål/A 57729-2025 FSC-klagomål.docx", "A 57729-2025")</f>
        <v/>
      </c>
      <c r="W493">
        <f>HYPERLINK("https://klasma.github.io/Logging_2380/klagomålsmail/A 57729-2025 FSC-klagomål mail.docx", "A 57729-2025")</f>
        <v/>
      </c>
      <c r="X493">
        <f>HYPERLINK("https://klasma.github.io/Logging_2380/tillsyn/A 57729-2025 tillsynsbegäran.docx", "A 57729-2025")</f>
        <v/>
      </c>
      <c r="Y493">
        <f>HYPERLINK("https://klasma.github.io/Logging_2380/tillsynsmail/A 57729-2025 tillsynsbegäran mail.docx", "A 57729-2025")</f>
        <v/>
      </c>
      <c r="Z493">
        <f>HYPERLINK("https://klasma.github.io/Logging_2380/fåglar/A 57729-2025 prioriterade fågelarter.docx", "A 57729-2025")</f>
        <v/>
      </c>
    </row>
    <row r="494" ht="15" customHeight="1">
      <c r="A494" t="inlineStr">
        <is>
          <t>A 57949-2025</t>
        </is>
      </c>
      <c r="B494" s="1" t="n">
        <v>45982.34466435185</v>
      </c>
      <c r="C494" s="1" t="n">
        <v>46045</v>
      </c>
      <c r="D494" t="inlineStr">
        <is>
          <t>JÄMTLANDS LÄN</t>
        </is>
      </c>
      <c r="E494" t="inlineStr">
        <is>
          <t>STRÖMSUND</t>
        </is>
      </c>
      <c r="F494" t="inlineStr">
        <is>
          <t>SCA</t>
        </is>
      </c>
      <c r="G494" t="n">
        <v>3.3</v>
      </c>
      <c r="H494" t="n">
        <v>0</v>
      </c>
      <c r="I494" t="n">
        <v>2</v>
      </c>
      <c r="J494" t="n">
        <v>4</v>
      </c>
      <c r="K494" t="n">
        <v>1</v>
      </c>
      <c r="L494" t="n">
        <v>0</v>
      </c>
      <c r="M494" t="n">
        <v>0</v>
      </c>
      <c r="N494" t="n">
        <v>0</v>
      </c>
      <c r="O494" t="n">
        <v>5</v>
      </c>
      <c r="P494" t="n">
        <v>1</v>
      </c>
      <c r="Q494" t="n">
        <v>7</v>
      </c>
      <c r="R494" s="2" t="inlineStr">
        <is>
          <t>Rynkskinn
Garnlav
Granticka
Lunglav
Skrovellav
Skinnlav
Vedticka</t>
        </is>
      </c>
      <c r="S494">
        <f>HYPERLINK("https://klasma.github.io/Logging_2313/artfynd/A 57949-2025 artfynd.xlsx", "A 57949-2025")</f>
        <v/>
      </c>
      <c r="T494">
        <f>HYPERLINK("https://klasma.github.io/Logging_2313/kartor/A 57949-2025 karta.png", "A 57949-2025")</f>
        <v/>
      </c>
      <c r="V494">
        <f>HYPERLINK("https://klasma.github.io/Logging_2313/klagomål/A 57949-2025 FSC-klagomål.docx", "A 57949-2025")</f>
        <v/>
      </c>
      <c r="W494">
        <f>HYPERLINK("https://klasma.github.io/Logging_2313/klagomålsmail/A 57949-2025 FSC-klagomål mail.docx", "A 57949-2025")</f>
        <v/>
      </c>
      <c r="X494">
        <f>HYPERLINK("https://klasma.github.io/Logging_2313/tillsyn/A 57949-2025 tillsynsbegäran.docx", "A 57949-2025")</f>
        <v/>
      </c>
      <c r="Y494">
        <f>HYPERLINK("https://klasma.github.io/Logging_2313/tillsynsmail/A 57949-2025 tillsynsbegäran mail.docx", "A 57949-2025")</f>
        <v/>
      </c>
    </row>
    <row r="495" ht="15" customHeight="1">
      <c r="A495" t="inlineStr">
        <is>
          <t>A 19399-2025</t>
        </is>
      </c>
      <c r="B495" s="1" t="n">
        <v>45769.67740740741</v>
      </c>
      <c r="C495" s="1" t="n">
        <v>46045</v>
      </c>
      <c r="D495" t="inlineStr">
        <is>
          <t>JÄMTLANDS LÄN</t>
        </is>
      </c>
      <c r="E495" t="inlineStr">
        <is>
          <t>RAGUNDA</t>
        </is>
      </c>
      <c r="F495" t="inlineStr">
        <is>
          <t>SCA</t>
        </is>
      </c>
      <c r="G495" t="n">
        <v>3.8</v>
      </c>
      <c r="H495" t="n">
        <v>2</v>
      </c>
      <c r="I495" t="n">
        <v>2</v>
      </c>
      <c r="J495" t="n">
        <v>4</v>
      </c>
      <c r="K495" t="n">
        <v>0</v>
      </c>
      <c r="L495" t="n">
        <v>0</v>
      </c>
      <c r="M495" t="n">
        <v>0</v>
      </c>
      <c r="N495" t="n">
        <v>0</v>
      </c>
      <c r="O495" t="n">
        <v>4</v>
      </c>
      <c r="P495" t="n">
        <v>0</v>
      </c>
      <c r="Q495" t="n">
        <v>7</v>
      </c>
      <c r="R495" s="2" t="inlineStr">
        <is>
          <t>Lunglav
Skrovellav
Tretåig hackspett
Ullticka
Skinnlav
Stuplav
Nattviol</t>
        </is>
      </c>
      <c r="S495">
        <f>HYPERLINK("https://klasma.github.io/Logging_2303/artfynd/A 19399-2025 artfynd.xlsx", "A 19399-2025")</f>
        <v/>
      </c>
      <c r="T495">
        <f>HYPERLINK("https://klasma.github.io/Logging_2303/kartor/A 19399-2025 karta.png", "A 19399-2025")</f>
        <v/>
      </c>
      <c r="V495">
        <f>HYPERLINK("https://klasma.github.io/Logging_2303/klagomål/A 19399-2025 FSC-klagomål.docx", "A 19399-2025")</f>
        <v/>
      </c>
      <c r="W495">
        <f>HYPERLINK("https://klasma.github.io/Logging_2303/klagomålsmail/A 19399-2025 FSC-klagomål mail.docx", "A 19399-2025")</f>
        <v/>
      </c>
      <c r="X495">
        <f>HYPERLINK("https://klasma.github.io/Logging_2303/tillsyn/A 19399-2025 tillsynsbegäran.docx", "A 19399-2025")</f>
        <v/>
      </c>
      <c r="Y495">
        <f>HYPERLINK("https://klasma.github.io/Logging_2303/tillsynsmail/A 19399-2025 tillsynsbegäran mail.docx", "A 19399-2025")</f>
        <v/>
      </c>
      <c r="Z495">
        <f>HYPERLINK("https://klasma.github.io/Logging_2303/fåglar/A 19399-2025 prioriterade fågelarter.docx", "A 19399-2025")</f>
        <v/>
      </c>
    </row>
    <row r="496" ht="15" customHeight="1">
      <c r="A496" t="inlineStr">
        <is>
          <t>A 50411-2025</t>
        </is>
      </c>
      <c r="B496" s="1" t="n">
        <v>45944.64482638889</v>
      </c>
      <c r="C496" s="1" t="n">
        <v>46045</v>
      </c>
      <c r="D496" t="inlineStr">
        <is>
          <t>JÄMTLANDS LÄN</t>
        </is>
      </c>
      <c r="E496" t="inlineStr">
        <is>
          <t>KROKOM</t>
        </is>
      </c>
      <c r="G496" t="n">
        <v>7.7</v>
      </c>
      <c r="H496" t="n">
        <v>4</v>
      </c>
      <c r="I496" t="n">
        <v>0</v>
      </c>
      <c r="J496" t="n">
        <v>4</v>
      </c>
      <c r="K496" t="n">
        <v>1</v>
      </c>
      <c r="L496" t="n">
        <v>0</v>
      </c>
      <c r="M496" t="n">
        <v>0</v>
      </c>
      <c r="N496" t="n">
        <v>0</v>
      </c>
      <c r="O496" t="n">
        <v>5</v>
      </c>
      <c r="P496" t="n">
        <v>1</v>
      </c>
      <c r="Q496" t="n">
        <v>7</v>
      </c>
      <c r="R496" s="2" t="inlineStr">
        <is>
          <t>Knärot
Garnlav
Granticka
Tretåig hackspett
Ullticka
Kungsfågel
Revlummer</t>
        </is>
      </c>
      <c r="S496">
        <f>HYPERLINK("https://klasma.github.io/Logging_2309/artfynd/A 50411-2025 artfynd.xlsx", "A 50411-2025")</f>
        <v/>
      </c>
      <c r="T496">
        <f>HYPERLINK("https://klasma.github.io/Logging_2309/kartor/A 50411-2025 karta.png", "A 50411-2025")</f>
        <v/>
      </c>
      <c r="U496">
        <f>HYPERLINK("https://klasma.github.io/Logging_2309/knärot/A 50411-2025 karta knärot.png", "A 50411-2025")</f>
        <v/>
      </c>
      <c r="V496">
        <f>HYPERLINK("https://klasma.github.io/Logging_2309/klagomål/A 50411-2025 FSC-klagomål.docx", "A 50411-2025")</f>
        <v/>
      </c>
      <c r="W496">
        <f>HYPERLINK("https://klasma.github.io/Logging_2309/klagomålsmail/A 50411-2025 FSC-klagomål mail.docx", "A 50411-2025")</f>
        <v/>
      </c>
      <c r="X496">
        <f>HYPERLINK("https://klasma.github.io/Logging_2309/tillsyn/A 50411-2025 tillsynsbegäran.docx", "A 50411-2025")</f>
        <v/>
      </c>
      <c r="Y496">
        <f>HYPERLINK("https://klasma.github.io/Logging_2309/tillsynsmail/A 50411-2025 tillsynsbegäran mail.docx", "A 50411-2025")</f>
        <v/>
      </c>
      <c r="Z496">
        <f>HYPERLINK("https://klasma.github.io/Logging_2309/fåglar/A 50411-2025 prioriterade fågelarter.docx", "A 50411-2025")</f>
        <v/>
      </c>
    </row>
    <row r="497" ht="15" customHeight="1">
      <c r="A497" t="inlineStr">
        <is>
          <t>A 320-2026</t>
        </is>
      </c>
      <c r="B497" s="1" t="n">
        <v>46027.58324074074</v>
      </c>
      <c r="C497" s="1" t="n">
        <v>46045</v>
      </c>
      <c r="D497" t="inlineStr">
        <is>
          <t>JÄMTLANDS LÄN</t>
        </is>
      </c>
      <c r="E497" t="inlineStr">
        <is>
          <t>HÄRJEDALEN</t>
        </is>
      </c>
      <c r="F497" t="inlineStr">
        <is>
          <t>Holmen skog AB</t>
        </is>
      </c>
      <c r="G497" t="n">
        <v>4</v>
      </c>
      <c r="H497" t="n">
        <v>1</v>
      </c>
      <c r="I497" t="n">
        <v>1</v>
      </c>
      <c r="J497" t="n">
        <v>5</v>
      </c>
      <c r="K497" t="n">
        <v>1</v>
      </c>
      <c r="L497" t="n">
        <v>0</v>
      </c>
      <c r="M497" t="n">
        <v>0</v>
      </c>
      <c r="N497" t="n">
        <v>0</v>
      </c>
      <c r="O497" t="n">
        <v>6</v>
      </c>
      <c r="P497" t="n">
        <v>1</v>
      </c>
      <c r="Q497" t="n">
        <v>7</v>
      </c>
      <c r="R497" s="2" t="inlineStr">
        <is>
          <t>Knärot
Dvärgbägarlav
Garnlav
Lunglav
Skrovellav
Violettgrå tagellav
Stuplav</t>
        </is>
      </c>
      <c r="S497">
        <f>HYPERLINK("https://klasma.github.io/Logging_2361/artfynd/A 320-2026 artfynd.xlsx", "A 320-2026")</f>
        <v/>
      </c>
      <c r="T497">
        <f>HYPERLINK("https://klasma.github.io/Logging_2361/kartor/A 320-2026 karta.png", "A 320-2026")</f>
        <v/>
      </c>
      <c r="U497">
        <f>HYPERLINK("https://klasma.github.io/Logging_2361/knärot/A 320-2026 karta knärot.png", "A 320-2026")</f>
        <v/>
      </c>
      <c r="V497">
        <f>HYPERLINK("https://klasma.github.io/Logging_2361/klagomål/A 320-2026 FSC-klagomål.docx", "A 320-2026")</f>
        <v/>
      </c>
      <c r="W497">
        <f>HYPERLINK("https://klasma.github.io/Logging_2361/klagomålsmail/A 320-2026 FSC-klagomål mail.docx", "A 320-2026")</f>
        <v/>
      </c>
      <c r="X497">
        <f>HYPERLINK("https://klasma.github.io/Logging_2361/tillsyn/A 320-2026 tillsynsbegäran.docx", "A 320-2026")</f>
        <v/>
      </c>
      <c r="Y497">
        <f>HYPERLINK("https://klasma.github.io/Logging_2361/tillsynsmail/A 320-2026 tillsynsbegäran mail.docx", "A 320-2026")</f>
        <v/>
      </c>
    </row>
    <row r="498" ht="15" customHeight="1">
      <c r="A498" t="inlineStr">
        <is>
          <t>A 33044-2024</t>
        </is>
      </c>
      <c r="B498" s="1" t="n">
        <v>45517</v>
      </c>
      <c r="C498" s="1" t="n">
        <v>46045</v>
      </c>
      <c r="D498" t="inlineStr">
        <is>
          <t>JÄMTLANDS LÄN</t>
        </is>
      </c>
      <c r="E498" t="inlineStr">
        <is>
          <t>BERG</t>
        </is>
      </c>
      <c r="G498" t="n">
        <v>2.1</v>
      </c>
      <c r="H498" t="n">
        <v>1</v>
      </c>
      <c r="I498" t="n">
        <v>0</v>
      </c>
      <c r="J498" t="n">
        <v>5</v>
      </c>
      <c r="K498" t="n">
        <v>2</v>
      </c>
      <c r="L498" t="n">
        <v>0</v>
      </c>
      <c r="M498" t="n">
        <v>0</v>
      </c>
      <c r="N498" t="n">
        <v>0</v>
      </c>
      <c r="O498" t="n">
        <v>7</v>
      </c>
      <c r="P498" t="n">
        <v>2</v>
      </c>
      <c r="Q498" t="n">
        <v>7</v>
      </c>
      <c r="R498" s="2" t="inlineStr">
        <is>
          <t>Knärot
Rynkskinn
Blanksvart spiklav
Garnlav
Kolflarnlav
Lunglav
Mörk kolflarnlav</t>
        </is>
      </c>
      <c r="S498">
        <f>HYPERLINK("https://klasma.github.io/Logging_2326/artfynd/A 33044-2024 artfynd.xlsx", "A 33044-2024")</f>
        <v/>
      </c>
      <c r="T498">
        <f>HYPERLINK("https://klasma.github.io/Logging_2326/kartor/A 33044-2024 karta.png", "A 33044-2024")</f>
        <v/>
      </c>
      <c r="U498">
        <f>HYPERLINK("https://klasma.github.io/Logging_2326/knärot/A 33044-2024 karta knärot.png", "A 33044-2024")</f>
        <v/>
      </c>
      <c r="V498">
        <f>HYPERLINK("https://klasma.github.io/Logging_2326/klagomål/A 33044-2024 FSC-klagomål.docx", "A 33044-2024")</f>
        <v/>
      </c>
      <c r="W498">
        <f>HYPERLINK("https://klasma.github.io/Logging_2326/klagomålsmail/A 33044-2024 FSC-klagomål mail.docx", "A 33044-2024")</f>
        <v/>
      </c>
      <c r="X498">
        <f>HYPERLINK("https://klasma.github.io/Logging_2326/tillsyn/A 33044-2024 tillsynsbegäran.docx", "A 33044-2024")</f>
        <v/>
      </c>
      <c r="Y498">
        <f>HYPERLINK("https://klasma.github.io/Logging_2326/tillsynsmail/A 33044-2024 tillsynsbegäran mail.docx", "A 33044-2024")</f>
        <v/>
      </c>
    </row>
    <row r="499" ht="15" customHeight="1">
      <c r="A499" t="inlineStr">
        <is>
          <t>A 52297-2025</t>
        </is>
      </c>
      <c r="B499" s="1" t="n">
        <v>45953.61092592592</v>
      </c>
      <c r="C499" s="1" t="n">
        <v>46045</v>
      </c>
      <c r="D499" t="inlineStr">
        <is>
          <t>JÄMTLANDS LÄN</t>
        </is>
      </c>
      <c r="E499" t="inlineStr">
        <is>
          <t>ÖSTERSUND</t>
        </is>
      </c>
      <c r="G499" t="n">
        <v>2.3</v>
      </c>
      <c r="H499" t="n">
        <v>3</v>
      </c>
      <c r="I499" t="n">
        <v>1</v>
      </c>
      <c r="J499" t="n">
        <v>5</v>
      </c>
      <c r="K499" t="n">
        <v>1</v>
      </c>
      <c r="L499" t="n">
        <v>0</v>
      </c>
      <c r="M499" t="n">
        <v>0</v>
      </c>
      <c r="N499" t="n">
        <v>0</v>
      </c>
      <c r="O499" t="n">
        <v>6</v>
      </c>
      <c r="P499" t="n">
        <v>1</v>
      </c>
      <c r="Q499" t="n">
        <v>7</v>
      </c>
      <c r="R499" s="2" t="inlineStr">
        <is>
          <t>Knärot
Garnlav
Harticka
Rosenticka
Talltita
Tretåig hackspett
Gullgröppa</t>
        </is>
      </c>
      <c r="S499">
        <f>HYPERLINK("https://klasma.github.io/Logging_2380/artfynd/A 52297-2025 artfynd.xlsx", "A 52297-2025")</f>
        <v/>
      </c>
      <c r="T499">
        <f>HYPERLINK("https://klasma.github.io/Logging_2380/kartor/A 52297-2025 karta.png", "A 52297-2025")</f>
        <v/>
      </c>
      <c r="U499">
        <f>HYPERLINK("https://klasma.github.io/Logging_2380/knärot/A 52297-2025 karta knärot.png", "A 52297-2025")</f>
        <v/>
      </c>
      <c r="V499">
        <f>HYPERLINK("https://klasma.github.io/Logging_2380/klagomål/A 52297-2025 FSC-klagomål.docx", "A 52297-2025")</f>
        <v/>
      </c>
      <c r="W499">
        <f>HYPERLINK("https://klasma.github.io/Logging_2380/klagomålsmail/A 52297-2025 FSC-klagomål mail.docx", "A 52297-2025")</f>
        <v/>
      </c>
      <c r="X499">
        <f>HYPERLINK("https://klasma.github.io/Logging_2380/tillsyn/A 52297-2025 tillsynsbegäran.docx", "A 52297-2025")</f>
        <v/>
      </c>
      <c r="Y499">
        <f>HYPERLINK("https://klasma.github.io/Logging_2380/tillsynsmail/A 52297-2025 tillsynsbegäran mail.docx", "A 52297-2025")</f>
        <v/>
      </c>
      <c r="Z499">
        <f>HYPERLINK("https://klasma.github.io/Logging_2380/fåglar/A 52297-2025 prioriterade fågelarter.docx", "A 52297-2025")</f>
        <v/>
      </c>
    </row>
    <row r="500" ht="15" customHeight="1">
      <c r="A500" t="inlineStr">
        <is>
          <t>A 32417-2025</t>
        </is>
      </c>
      <c r="B500" s="1" t="n">
        <v>45838.34459490741</v>
      </c>
      <c r="C500" s="1" t="n">
        <v>46045</v>
      </c>
      <c r="D500" t="inlineStr">
        <is>
          <t>JÄMTLANDS LÄN</t>
        </is>
      </c>
      <c r="E500" t="inlineStr">
        <is>
          <t>STRÖMSUND</t>
        </is>
      </c>
      <c r="F500" t="inlineStr">
        <is>
          <t>SCA</t>
        </is>
      </c>
      <c r="G500" t="n">
        <v>4.6</v>
      </c>
      <c r="H500" t="n">
        <v>1</v>
      </c>
      <c r="I500" t="n">
        <v>3</v>
      </c>
      <c r="J500" t="n">
        <v>4</v>
      </c>
      <c r="K500" t="n">
        <v>0</v>
      </c>
      <c r="L500" t="n">
        <v>0</v>
      </c>
      <c r="M500" t="n">
        <v>0</v>
      </c>
      <c r="N500" t="n">
        <v>0</v>
      </c>
      <c r="O500" t="n">
        <v>4</v>
      </c>
      <c r="P500" t="n">
        <v>0</v>
      </c>
      <c r="Q500" t="n">
        <v>7</v>
      </c>
      <c r="R500" s="2" t="inlineStr">
        <is>
          <t>Garnlav
Lunglav
Skrovellav
Tretåig hackspett
Gytterlav
Luddlav
Stuplav</t>
        </is>
      </c>
      <c r="S500">
        <f>HYPERLINK("https://klasma.github.io/Logging_2313/artfynd/A 32417-2025 artfynd.xlsx", "A 32417-2025")</f>
        <v/>
      </c>
      <c r="T500">
        <f>HYPERLINK("https://klasma.github.io/Logging_2313/kartor/A 32417-2025 karta.png", "A 32417-2025")</f>
        <v/>
      </c>
      <c r="V500">
        <f>HYPERLINK("https://klasma.github.io/Logging_2313/klagomål/A 32417-2025 FSC-klagomål.docx", "A 32417-2025")</f>
        <v/>
      </c>
      <c r="W500">
        <f>HYPERLINK("https://klasma.github.io/Logging_2313/klagomålsmail/A 32417-2025 FSC-klagomål mail.docx", "A 32417-2025")</f>
        <v/>
      </c>
      <c r="X500">
        <f>HYPERLINK("https://klasma.github.io/Logging_2313/tillsyn/A 32417-2025 tillsynsbegäran.docx", "A 32417-2025")</f>
        <v/>
      </c>
      <c r="Y500">
        <f>HYPERLINK("https://klasma.github.io/Logging_2313/tillsynsmail/A 32417-2025 tillsynsbegäran mail.docx", "A 32417-2025")</f>
        <v/>
      </c>
      <c r="Z500">
        <f>HYPERLINK("https://klasma.github.io/Logging_2313/fåglar/A 32417-2025 prioriterade fågelarter.docx", "A 32417-2025")</f>
        <v/>
      </c>
    </row>
    <row r="501" ht="15" customHeight="1">
      <c r="A501" t="inlineStr">
        <is>
          <t>A 32304-2025</t>
        </is>
      </c>
      <c r="B501" s="1" t="n">
        <v>45835.71910879629</v>
      </c>
      <c r="C501" s="1" t="n">
        <v>46045</v>
      </c>
      <c r="D501" t="inlineStr">
        <is>
          <t>JÄMTLANDS LÄN</t>
        </is>
      </c>
      <c r="E501" t="inlineStr">
        <is>
          <t>STRÖMSUND</t>
        </is>
      </c>
      <c r="F501" t="inlineStr">
        <is>
          <t>SCA</t>
        </is>
      </c>
      <c r="G501" t="n">
        <v>9.4</v>
      </c>
      <c r="H501" t="n">
        <v>3</v>
      </c>
      <c r="I501" t="n">
        <v>1</v>
      </c>
      <c r="J501" t="n">
        <v>3</v>
      </c>
      <c r="K501" t="n">
        <v>3</v>
      </c>
      <c r="L501" t="n">
        <v>0</v>
      </c>
      <c r="M501" t="n">
        <v>0</v>
      </c>
      <c r="N501" t="n">
        <v>0</v>
      </c>
      <c r="O501" t="n">
        <v>6</v>
      </c>
      <c r="P501" t="n">
        <v>3</v>
      </c>
      <c r="Q501" t="n">
        <v>7</v>
      </c>
      <c r="R501" s="2" t="inlineStr">
        <is>
          <t>Fläckporing
Gräddporing
Knärot
Lunglav
Tretåig hackspett
Vedtrappmossa
Guckusko</t>
        </is>
      </c>
      <c r="S501">
        <f>HYPERLINK("https://klasma.github.io/Logging_2313/artfynd/A 32304-2025 artfynd.xlsx", "A 32304-2025")</f>
        <v/>
      </c>
      <c r="T501">
        <f>HYPERLINK("https://klasma.github.io/Logging_2313/kartor/A 32304-2025 karta.png", "A 32304-2025")</f>
        <v/>
      </c>
      <c r="U501">
        <f>HYPERLINK("https://klasma.github.io/Logging_2313/knärot/A 32304-2025 karta knärot.png", "A 32304-2025")</f>
        <v/>
      </c>
      <c r="V501">
        <f>HYPERLINK("https://klasma.github.io/Logging_2313/klagomål/A 32304-2025 FSC-klagomål.docx", "A 32304-2025")</f>
        <v/>
      </c>
      <c r="W501">
        <f>HYPERLINK("https://klasma.github.io/Logging_2313/klagomålsmail/A 32304-2025 FSC-klagomål mail.docx", "A 32304-2025")</f>
        <v/>
      </c>
      <c r="X501">
        <f>HYPERLINK("https://klasma.github.io/Logging_2313/tillsyn/A 32304-2025 tillsynsbegäran.docx", "A 32304-2025")</f>
        <v/>
      </c>
      <c r="Y501">
        <f>HYPERLINK("https://klasma.github.io/Logging_2313/tillsynsmail/A 32304-2025 tillsynsbegäran mail.docx", "A 32304-2025")</f>
        <v/>
      </c>
      <c r="Z501">
        <f>HYPERLINK("https://klasma.github.io/Logging_2313/fåglar/A 32304-2025 prioriterade fågelarter.docx", "A 32304-2025")</f>
        <v/>
      </c>
    </row>
    <row r="502" ht="15" customHeight="1">
      <c r="A502" t="inlineStr">
        <is>
          <t>A 32949-2025</t>
        </is>
      </c>
      <c r="B502" s="1" t="n">
        <v>45839.68914351852</v>
      </c>
      <c r="C502" s="1" t="n">
        <v>46045</v>
      </c>
      <c r="D502" t="inlineStr">
        <is>
          <t>JÄMTLANDS LÄN</t>
        </is>
      </c>
      <c r="E502" t="inlineStr">
        <is>
          <t>KROKOM</t>
        </is>
      </c>
      <c r="G502" t="n">
        <v>26.3</v>
      </c>
      <c r="H502" t="n">
        <v>4</v>
      </c>
      <c r="I502" t="n">
        <v>1</v>
      </c>
      <c r="J502" t="n">
        <v>4</v>
      </c>
      <c r="K502" t="n">
        <v>0</v>
      </c>
      <c r="L502" t="n">
        <v>0</v>
      </c>
      <c r="M502" t="n">
        <v>0</v>
      </c>
      <c r="N502" t="n">
        <v>0</v>
      </c>
      <c r="O502" t="n">
        <v>4</v>
      </c>
      <c r="P502" t="n">
        <v>0</v>
      </c>
      <c r="Q502" t="n">
        <v>7</v>
      </c>
      <c r="R502" s="2" t="inlineStr">
        <is>
          <t>Lunglav
Skrovellav
Talltita
Tretåig hackspett
Norrlandslav
Kungsfågel
Tjäder</t>
        </is>
      </c>
      <c r="S502">
        <f>HYPERLINK("https://klasma.github.io/Logging_2309/artfynd/A 32949-2025 artfynd.xlsx", "A 32949-2025")</f>
        <v/>
      </c>
      <c r="T502">
        <f>HYPERLINK("https://klasma.github.io/Logging_2309/kartor/A 32949-2025 karta.png", "A 32949-2025")</f>
        <v/>
      </c>
      <c r="V502">
        <f>HYPERLINK("https://klasma.github.io/Logging_2309/klagomål/A 32949-2025 FSC-klagomål.docx", "A 32949-2025")</f>
        <v/>
      </c>
      <c r="W502">
        <f>HYPERLINK("https://klasma.github.io/Logging_2309/klagomålsmail/A 32949-2025 FSC-klagomål mail.docx", "A 32949-2025")</f>
        <v/>
      </c>
      <c r="X502">
        <f>HYPERLINK("https://klasma.github.io/Logging_2309/tillsyn/A 32949-2025 tillsynsbegäran.docx", "A 32949-2025")</f>
        <v/>
      </c>
      <c r="Y502">
        <f>HYPERLINK("https://klasma.github.io/Logging_2309/tillsynsmail/A 32949-2025 tillsynsbegäran mail.docx", "A 32949-2025")</f>
        <v/>
      </c>
      <c r="Z502">
        <f>HYPERLINK("https://klasma.github.io/Logging_2309/fåglar/A 32949-2025 prioriterade fågelarter.docx", "A 32949-2025")</f>
        <v/>
      </c>
    </row>
    <row r="503" ht="15" customHeight="1">
      <c r="A503" t="inlineStr">
        <is>
          <t>A 36272-2024</t>
        </is>
      </c>
      <c r="B503" s="1" t="n">
        <v>45534.57745370371</v>
      </c>
      <c r="C503" s="1" t="n">
        <v>46045</v>
      </c>
      <c r="D503" t="inlineStr">
        <is>
          <t>JÄMTLANDS LÄN</t>
        </is>
      </c>
      <c r="E503" t="inlineStr">
        <is>
          <t>KROKOM</t>
        </is>
      </c>
      <c r="F503" t="inlineStr">
        <is>
          <t>Övriga Aktiebolag</t>
        </is>
      </c>
      <c r="G503" t="n">
        <v>11.1</v>
      </c>
      <c r="H503" t="n">
        <v>1</v>
      </c>
      <c r="I503" t="n">
        <v>1</v>
      </c>
      <c r="J503" t="n">
        <v>5</v>
      </c>
      <c r="K503" t="n">
        <v>1</v>
      </c>
      <c r="L503" t="n">
        <v>0</v>
      </c>
      <c r="M503" t="n">
        <v>0</v>
      </c>
      <c r="N503" t="n">
        <v>0</v>
      </c>
      <c r="O503" t="n">
        <v>6</v>
      </c>
      <c r="P503" t="n">
        <v>1</v>
      </c>
      <c r="Q503" t="n">
        <v>7</v>
      </c>
      <c r="R503" s="2" t="inlineStr">
        <is>
          <t>Ulltickeporing
Doftskinn
Garnlav
Granticka
Tretåig hackspett
Ullticka
Trådticka</t>
        </is>
      </c>
      <c r="S503">
        <f>HYPERLINK("https://klasma.github.io/Logging_2309/artfynd/A 36272-2024 artfynd.xlsx", "A 36272-2024")</f>
        <v/>
      </c>
      <c r="T503">
        <f>HYPERLINK("https://klasma.github.io/Logging_2309/kartor/A 36272-2024 karta.png", "A 36272-2024")</f>
        <v/>
      </c>
      <c r="V503">
        <f>HYPERLINK("https://klasma.github.io/Logging_2309/klagomål/A 36272-2024 FSC-klagomål.docx", "A 36272-2024")</f>
        <v/>
      </c>
      <c r="W503">
        <f>HYPERLINK("https://klasma.github.io/Logging_2309/klagomålsmail/A 36272-2024 FSC-klagomål mail.docx", "A 36272-2024")</f>
        <v/>
      </c>
      <c r="X503">
        <f>HYPERLINK("https://klasma.github.io/Logging_2309/tillsyn/A 36272-2024 tillsynsbegäran.docx", "A 36272-2024")</f>
        <v/>
      </c>
      <c r="Y503">
        <f>HYPERLINK("https://klasma.github.io/Logging_2309/tillsynsmail/A 36272-2024 tillsynsbegäran mail.docx", "A 36272-2024")</f>
        <v/>
      </c>
      <c r="Z503">
        <f>HYPERLINK("https://klasma.github.io/Logging_2309/fåglar/A 36272-2024 prioriterade fågelarter.docx", "A 36272-2024")</f>
        <v/>
      </c>
    </row>
    <row r="504" ht="15" customHeight="1">
      <c r="A504" t="inlineStr">
        <is>
          <t>A 34300-2025</t>
        </is>
      </c>
      <c r="B504" s="1" t="n">
        <v>45846.34518518519</v>
      </c>
      <c r="C504" s="1" t="n">
        <v>46045</v>
      </c>
      <c r="D504" t="inlineStr">
        <is>
          <t>JÄMTLANDS LÄN</t>
        </is>
      </c>
      <c r="E504" t="inlineStr">
        <is>
          <t>BRÄCKE</t>
        </is>
      </c>
      <c r="F504" t="inlineStr">
        <is>
          <t>Naturvårdsverket</t>
        </is>
      </c>
      <c r="G504" t="n">
        <v>2.3</v>
      </c>
      <c r="H504" t="n">
        <v>0</v>
      </c>
      <c r="I504" t="n">
        <v>1</v>
      </c>
      <c r="J504" t="n">
        <v>5</v>
      </c>
      <c r="K504" t="n">
        <v>1</v>
      </c>
      <c r="L504" t="n">
        <v>0</v>
      </c>
      <c r="M504" t="n">
        <v>0</v>
      </c>
      <c r="N504" t="n">
        <v>0</v>
      </c>
      <c r="O504" t="n">
        <v>6</v>
      </c>
      <c r="P504" t="n">
        <v>1</v>
      </c>
      <c r="Q504" t="n">
        <v>7</v>
      </c>
      <c r="R504" s="2" t="inlineStr">
        <is>
          <t>Rotfingersvamp
Dvärgbägarlav
Kolflarnlav
Vaddporing
Vedskivlav
Vedtrappmossa
Dropptaggsvamp</t>
        </is>
      </c>
      <c r="S504">
        <f>HYPERLINK("https://klasma.github.io/Logging_2305/artfynd/A 34300-2025 artfynd.xlsx", "A 34300-2025")</f>
        <v/>
      </c>
      <c r="T504">
        <f>HYPERLINK("https://klasma.github.io/Logging_2305/kartor/A 34300-2025 karta.png", "A 34300-2025")</f>
        <v/>
      </c>
      <c r="U504">
        <f>HYPERLINK("https://klasma.github.io/Logging_2305/knärot/A 34300-2025 karta knärot.png", "A 34300-2025")</f>
        <v/>
      </c>
      <c r="V504">
        <f>HYPERLINK("https://klasma.github.io/Logging_2305/klagomål/A 34300-2025 FSC-klagomål.docx", "A 34300-2025")</f>
        <v/>
      </c>
      <c r="W504">
        <f>HYPERLINK("https://klasma.github.io/Logging_2305/klagomålsmail/A 34300-2025 FSC-klagomål mail.docx", "A 34300-2025")</f>
        <v/>
      </c>
      <c r="X504">
        <f>HYPERLINK("https://klasma.github.io/Logging_2305/tillsyn/A 34300-2025 tillsynsbegäran.docx", "A 34300-2025")</f>
        <v/>
      </c>
      <c r="Y504">
        <f>HYPERLINK("https://klasma.github.io/Logging_2305/tillsynsmail/A 34300-2025 tillsynsbegäran mail.docx", "A 34300-2025")</f>
        <v/>
      </c>
    </row>
    <row r="505" ht="15" customHeight="1">
      <c r="A505" t="inlineStr">
        <is>
          <t>A 54988-2025</t>
        </is>
      </c>
      <c r="B505" s="1" t="n">
        <v>45967.57096064815</v>
      </c>
      <c r="C505" s="1" t="n">
        <v>46045</v>
      </c>
      <c r="D505" t="inlineStr">
        <is>
          <t>JÄMTLANDS LÄN</t>
        </is>
      </c>
      <c r="E505" t="inlineStr">
        <is>
          <t>ÅRE</t>
        </is>
      </c>
      <c r="G505" t="n">
        <v>22.3</v>
      </c>
      <c r="H505" t="n">
        <v>2</v>
      </c>
      <c r="I505" t="n">
        <v>0</v>
      </c>
      <c r="J505" t="n">
        <v>6</v>
      </c>
      <c r="K505" t="n">
        <v>1</v>
      </c>
      <c r="L505" t="n">
        <v>0</v>
      </c>
      <c r="M505" t="n">
        <v>0</v>
      </c>
      <c r="N505" t="n">
        <v>0</v>
      </c>
      <c r="O505" t="n">
        <v>7</v>
      </c>
      <c r="P505" t="n">
        <v>1</v>
      </c>
      <c r="Q505" t="n">
        <v>7</v>
      </c>
      <c r="R505" s="2" t="inlineStr">
        <is>
          <t>Rynkskinn
Garnlav
Granticka
Harticka
Talltita
Tretåig hackspett
Ullticka</t>
        </is>
      </c>
      <c r="S505">
        <f>HYPERLINK("https://klasma.github.io/Logging_2321/artfynd/A 54988-2025 artfynd.xlsx", "A 54988-2025")</f>
        <v/>
      </c>
      <c r="T505">
        <f>HYPERLINK("https://klasma.github.io/Logging_2321/kartor/A 54988-2025 karta.png", "A 54988-2025")</f>
        <v/>
      </c>
      <c r="V505">
        <f>HYPERLINK("https://klasma.github.io/Logging_2321/klagomål/A 54988-2025 FSC-klagomål.docx", "A 54988-2025")</f>
        <v/>
      </c>
      <c r="W505">
        <f>HYPERLINK("https://klasma.github.io/Logging_2321/klagomålsmail/A 54988-2025 FSC-klagomål mail.docx", "A 54988-2025")</f>
        <v/>
      </c>
      <c r="X505">
        <f>HYPERLINK("https://klasma.github.io/Logging_2321/tillsyn/A 54988-2025 tillsynsbegäran.docx", "A 54988-2025")</f>
        <v/>
      </c>
      <c r="Y505">
        <f>HYPERLINK("https://klasma.github.io/Logging_2321/tillsynsmail/A 54988-2025 tillsynsbegäran mail.docx", "A 54988-2025")</f>
        <v/>
      </c>
      <c r="Z505">
        <f>HYPERLINK("https://klasma.github.io/Logging_2321/fåglar/A 54988-2025 prioriterade fågelarter.docx", "A 54988-2025")</f>
        <v/>
      </c>
    </row>
    <row r="506" ht="15" customHeight="1">
      <c r="A506" t="inlineStr">
        <is>
          <t>A 26372-2025</t>
        </is>
      </c>
      <c r="B506" s="1" t="n">
        <v>45806</v>
      </c>
      <c r="C506" s="1" t="n">
        <v>46045</v>
      </c>
      <c r="D506" t="inlineStr">
        <is>
          <t>JÄMTLANDS LÄN</t>
        </is>
      </c>
      <c r="E506" t="inlineStr">
        <is>
          <t>ÖSTERSUND</t>
        </is>
      </c>
      <c r="G506" t="n">
        <v>4.3</v>
      </c>
      <c r="H506" t="n">
        <v>4</v>
      </c>
      <c r="I506" t="n">
        <v>2</v>
      </c>
      <c r="J506" t="n">
        <v>3</v>
      </c>
      <c r="K506" t="n">
        <v>1</v>
      </c>
      <c r="L506" t="n">
        <v>0</v>
      </c>
      <c r="M506" t="n">
        <v>0</v>
      </c>
      <c r="N506" t="n">
        <v>0</v>
      </c>
      <c r="O506" t="n">
        <v>4</v>
      </c>
      <c r="P506" t="n">
        <v>1</v>
      </c>
      <c r="Q506" t="n">
        <v>7</v>
      </c>
      <c r="R506" s="2" t="inlineStr">
        <is>
          <t>Knärot
Garnlav
Harticka
Tretåig hackspett
Luddlav
Spindelblomster
Kungsfågel</t>
        </is>
      </c>
      <c r="S506">
        <f>HYPERLINK("https://klasma.github.io/Logging_2380/artfynd/A 26372-2025 artfynd.xlsx", "A 26372-2025")</f>
        <v/>
      </c>
      <c r="T506">
        <f>HYPERLINK("https://klasma.github.io/Logging_2380/kartor/A 26372-2025 karta.png", "A 26372-2025")</f>
        <v/>
      </c>
      <c r="U506">
        <f>HYPERLINK("https://klasma.github.io/Logging_2380/knärot/A 26372-2025 karta knärot.png", "A 26372-2025")</f>
        <v/>
      </c>
      <c r="V506">
        <f>HYPERLINK("https://klasma.github.io/Logging_2380/klagomål/A 26372-2025 FSC-klagomål.docx", "A 26372-2025")</f>
        <v/>
      </c>
      <c r="W506">
        <f>HYPERLINK("https://klasma.github.io/Logging_2380/klagomålsmail/A 26372-2025 FSC-klagomål mail.docx", "A 26372-2025")</f>
        <v/>
      </c>
      <c r="X506">
        <f>HYPERLINK("https://klasma.github.io/Logging_2380/tillsyn/A 26372-2025 tillsynsbegäran.docx", "A 26372-2025")</f>
        <v/>
      </c>
      <c r="Y506">
        <f>HYPERLINK("https://klasma.github.io/Logging_2380/tillsynsmail/A 26372-2025 tillsynsbegäran mail.docx", "A 26372-2025")</f>
        <v/>
      </c>
      <c r="Z506">
        <f>HYPERLINK("https://klasma.github.io/Logging_2380/fåglar/A 26372-2025 prioriterade fågelarter.docx", "A 26372-2025")</f>
        <v/>
      </c>
    </row>
    <row r="507" ht="15" customHeight="1">
      <c r="A507" t="inlineStr">
        <is>
          <t>A 34540-2025</t>
        </is>
      </c>
      <c r="B507" s="1" t="n">
        <v>45847.53170138889</v>
      </c>
      <c r="C507" s="1" t="n">
        <v>46045</v>
      </c>
      <c r="D507" t="inlineStr">
        <is>
          <t>JÄMTLANDS LÄN</t>
        </is>
      </c>
      <c r="E507" t="inlineStr">
        <is>
          <t>BRÄCKE</t>
        </is>
      </c>
      <c r="F507" t="inlineStr">
        <is>
          <t>SCA</t>
        </is>
      </c>
      <c r="G507" t="n">
        <v>1.5</v>
      </c>
      <c r="H507" t="n">
        <v>2</v>
      </c>
      <c r="I507" t="n">
        <v>2</v>
      </c>
      <c r="J507" t="n">
        <v>3</v>
      </c>
      <c r="K507" t="n">
        <v>2</v>
      </c>
      <c r="L507" t="n">
        <v>0</v>
      </c>
      <c r="M507" t="n">
        <v>0</v>
      </c>
      <c r="N507" t="n">
        <v>0</v>
      </c>
      <c r="O507" t="n">
        <v>5</v>
      </c>
      <c r="P507" t="n">
        <v>2</v>
      </c>
      <c r="Q507" t="n">
        <v>7</v>
      </c>
      <c r="R507" s="2" t="inlineStr">
        <is>
          <t>Knärot
Tallgråticka
Skrovlig taggsvamp
Tallriska
Talltita
Skarp dropptaggsvamp
Tallfingersvamp</t>
        </is>
      </c>
      <c r="S507">
        <f>HYPERLINK("https://klasma.github.io/Logging_2305/artfynd/A 34540-2025 artfynd.xlsx", "A 34540-2025")</f>
        <v/>
      </c>
      <c r="T507">
        <f>HYPERLINK("https://klasma.github.io/Logging_2305/kartor/A 34540-2025 karta.png", "A 34540-2025")</f>
        <v/>
      </c>
      <c r="U507">
        <f>HYPERLINK("https://klasma.github.io/Logging_2305/knärot/A 34540-2025 karta knärot.png", "A 34540-2025")</f>
        <v/>
      </c>
      <c r="V507">
        <f>HYPERLINK("https://klasma.github.io/Logging_2305/klagomål/A 34540-2025 FSC-klagomål.docx", "A 34540-2025")</f>
        <v/>
      </c>
      <c r="W507">
        <f>HYPERLINK("https://klasma.github.io/Logging_2305/klagomålsmail/A 34540-2025 FSC-klagomål mail.docx", "A 34540-2025")</f>
        <v/>
      </c>
      <c r="X507">
        <f>HYPERLINK("https://klasma.github.io/Logging_2305/tillsyn/A 34540-2025 tillsynsbegäran.docx", "A 34540-2025")</f>
        <v/>
      </c>
      <c r="Y507">
        <f>HYPERLINK("https://klasma.github.io/Logging_2305/tillsynsmail/A 34540-2025 tillsynsbegäran mail.docx", "A 34540-2025")</f>
        <v/>
      </c>
      <c r="Z507">
        <f>HYPERLINK("https://klasma.github.io/Logging_2305/fåglar/A 34540-2025 prioriterade fågelarter.docx", "A 34540-2025")</f>
        <v/>
      </c>
    </row>
    <row r="508" ht="15" customHeight="1">
      <c r="A508" t="inlineStr">
        <is>
          <t>A 35884-2025</t>
        </is>
      </c>
      <c r="B508" s="1" t="n">
        <v>45862</v>
      </c>
      <c r="C508" s="1" t="n">
        <v>46045</v>
      </c>
      <c r="D508" t="inlineStr">
        <is>
          <t>JÄMTLANDS LÄN</t>
        </is>
      </c>
      <c r="E508" t="inlineStr">
        <is>
          <t>KROKOM</t>
        </is>
      </c>
      <c r="G508" t="n">
        <v>3.1</v>
      </c>
      <c r="H508" t="n">
        <v>3</v>
      </c>
      <c r="I508" t="n">
        <v>3</v>
      </c>
      <c r="J508" t="n">
        <v>3</v>
      </c>
      <c r="K508" t="n">
        <v>0</v>
      </c>
      <c r="L508" t="n">
        <v>0</v>
      </c>
      <c r="M508" t="n">
        <v>0</v>
      </c>
      <c r="N508" t="n">
        <v>0</v>
      </c>
      <c r="O508" t="n">
        <v>3</v>
      </c>
      <c r="P508" t="n">
        <v>0</v>
      </c>
      <c r="Q508" t="n">
        <v>7</v>
      </c>
      <c r="R508" s="2" t="inlineStr">
        <is>
          <t>Granticka
Harticka
Tretåig hackspett
Finbräken
Stuplav
Tvåblad
Blåsippa</t>
        </is>
      </c>
      <c r="S508">
        <f>HYPERLINK("https://klasma.github.io/Logging_2309/artfynd/A 35884-2025 artfynd.xlsx", "A 35884-2025")</f>
        <v/>
      </c>
      <c r="T508">
        <f>HYPERLINK("https://klasma.github.io/Logging_2309/kartor/A 35884-2025 karta.png", "A 35884-2025")</f>
        <v/>
      </c>
      <c r="V508">
        <f>HYPERLINK("https://klasma.github.io/Logging_2309/klagomål/A 35884-2025 FSC-klagomål.docx", "A 35884-2025")</f>
        <v/>
      </c>
      <c r="W508">
        <f>HYPERLINK("https://klasma.github.io/Logging_2309/klagomålsmail/A 35884-2025 FSC-klagomål mail.docx", "A 35884-2025")</f>
        <v/>
      </c>
      <c r="X508">
        <f>HYPERLINK("https://klasma.github.io/Logging_2309/tillsyn/A 35884-2025 tillsynsbegäran.docx", "A 35884-2025")</f>
        <v/>
      </c>
      <c r="Y508">
        <f>HYPERLINK("https://klasma.github.io/Logging_2309/tillsynsmail/A 35884-2025 tillsynsbegäran mail.docx", "A 35884-2025")</f>
        <v/>
      </c>
      <c r="Z508">
        <f>HYPERLINK("https://klasma.github.io/Logging_2309/fåglar/A 35884-2025 prioriterade fågelarter.docx", "A 35884-2025")</f>
        <v/>
      </c>
    </row>
    <row r="509" ht="15" customHeight="1">
      <c r="A509" t="inlineStr">
        <is>
          <t>A 35538-2025</t>
        </is>
      </c>
      <c r="B509" s="1" t="n">
        <v>45856.4552662037</v>
      </c>
      <c r="C509" s="1" t="n">
        <v>46045</v>
      </c>
      <c r="D509" t="inlineStr">
        <is>
          <t>JÄMTLANDS LÄN</t>
        </is>
      </c>
      <c r="E509" t="inlineStr">
        <is>
          <t>BERG</t>
        </is>
      </c>
      <c r="F509" t="inlineStr">
        <is>
          <t>Sveaskog</t>
        </is>
      </c>
      <c r="G509" t="n">
        <v>9.6</v>
      </c>
      <c r="H509" t="n">
        <v>4</v>
      </c>
      <c r="I509" t="n">
        <v>1</v>
      </c>
      <c r="J509" t="n">
        <v>4</v>
      </c>
      <c r="K509" t="n">
        <v>1</v>
      </c>
      <c r="L509" t="n">
        <v>0</v>
      </c>
      <c r="M509" t="n">
        <v>0</v>
      </c>
      <c r="N509" t="n">
        <v>0</v>
      </c>
      <c r="O509" t="n">
        <v>5</v>
      </c>
      <c r="P509" t="n">
        <v>1</v>
      </c>
      <c r="Q509" t="n">
        <v>7</v>
      </c>
      <c r="R509" s="2" t="inlineStr">
        <is>
          <t>Knärot
Harticka
Lunglav
Talltita
Tretåig hackspett
Trådticka
Lavskrika</t>
        </is>
      </c>
      <c r="S509">
        <f>HYPERLINK("https://klasma.github.io/Logging_2326/artfynd/A 35538-2025 artfynd.xlsx", "A 35538-2025")</f>
        <v/>
      </c>
      <c r="T509">
        <f>HYPERLINK("https://klasma.github.io/Logging_2326/kartor/A 35538-2025 karta.png", "A 35538-2025")</f>
        <v/>
      </c>
      <c r="U509">
        <f>HYPERLINK("https://klasma.github.io/Logging_2326/knärot/A 35538-2025 karta knärot.png", "A 35538-2025")</f>
        <v/>
      </c>
      <c r="V509">
        <f>HYPERLINK("https://klasma.github.io/Logging_2326/klagomål/A 35538-2025 FSC-klagomål.docx", "A 35538-2025")</f>
        <v/>
      </c>
      <c r="W509">
        <f>HYPERLINK("https://klasma.github.io/Logging_2326/klagomålsmail/A 35538-2025 FSC-klagomål mail.docx", "A 35538-2025")</f>
        <v/>
      </c>
      <c r="X509">
        <f>HYPERLINK("https://klasma.github.io/Logging_2326/tillsyn/A 35538-2025 tillsynsbegäran.docx", "A 35538-2025")</f>
        <v/>
      </c>
      <c r="Y509">
        <f>HYPERLINK("https://klasma.github.io/Logging_2326/tillsynsmail/A 35538-2025 tillsynsbegäran mail.docx", "A 35538-2025")</f>
        <v/>
      </c>
      <c r="Z509">
        <f>HYPERLINK("https://klasma.github.io/Logging_2326/fåglar/A 35538-2025 prioriterade fågelarter.docx", "A 35538-2025")</f>
        <v/>
      </c>
    </row>
    <row r="510" ht="15" customHeight="1">
      <c r="A510" t="inlineStr">
        <is>
          <t>A 3431-2026</t>
        </is>
      </c>
      <c r="B510" s="1" t="n">
        <v>46042.45576388889</v>
      </c>
      <c r="C510" s="1" t="n">
        <v>46045</v>
      </c>
      <c r="D510" t="inlineStr">
        <is>
          <t>JÄMTLANDS LÄN</t>
        </is>
      </c>
      <c r="E510" t="inlineStr">
        <is>
          <t>KROKOM</t>
        </is>
      </c>
      <c r="G510" t="n">
        <v>12.8</v>
      </c>
      <c r="H510" t="n">
        <v>0</v>
      </c>
      <c r="I510" t="n">
        <v>1</v>
      </c>
      <c r="J510" t="n">
        <v>6</v>
      </c>
      <c r="K510" t="n">
        <v>0</v>
      </c>
      <c r="L510" t="n">
        <v>0</v>
      </c>
      <c r="M510" t="n">
        <v>0</v>
      </c>
      <c r="N510" t="n">
        <v>0</v>
      </c>
      <c r="O510" t="n">
        <v>6</v>
      </c>
      <c r="P510" t="n">
        <v>0</v>
      </c>
      <c r="Q510" t="n">
        <v>7</v>
      </c>
      <c r="R510" s="2" t="inlineStr">
        <is>
          <t>Garnlav
Granticka
Luddfingersvamp
Rödbrun blekspik
Ullticka
Vitgrynig nållav
Kambräken</t>
        </is>
      </c>
      <c r="S510">
        <f>HYPERLINK("https://klasma.github.io/Logging_2309/artfynd/A 3431-2026 artfynd.xlsx", "A 3431-2026")</f>
        <v/>
      </c>
      <c r="T510">
        <f>HYPERLINK("https://klasma.github.io/Logging_2309/kartor/A 3431-2026 karta.png", "A 3431-2026")</f>
        <v/>
      </c>
      <c r="V510">
        <f>HYPERLINK("https://klasma.github.io/Logging_2309/klagomål/A 3431-2026 FSC-klagomål.docx", "A 3431-2026")</f>
        <v/>
      </c>
      <c r="W510">
        <f>HYPERLINK("https://klasma.github.io/Logging_2309/klagomålsmail/A 3431-2026 FSC-klagomål mail.docx", "A 3431-2026")</f>
        <v/>
      </c>
      <c r="X510">
        <f>HYPERLINK("https://klasma.github.io/Logging_2309/tillsyn/A 3431-2026 tillsynsbegäran.docx", "A 3431-2026")</f>
        <v/>
      </c>
      <c r="Y510">
        <f>HYPERLINK("https://klasma.github.io/Logging_2309/tillsynsmail/A 3431-2026 tillsynsbegäran mail.docx", "A 3431-2026")</f>
        <v/>
      </c>
    </row>
    <row r="511" ht="15" customHeight="1">
      <c r="A511" t="inlineStr">
        <is>
          <t>A 33890-2025</t>
        </is>
      </c>
      <c r="B511" s="1" t="n">
        <v>45842</v>
      </c>
      <c r="C511" s="1" t="n">
        <v>46045</v>
      </c>
      <c r="D511" t="inlineStr">
        <is>
          <t>JÄMTLANDS LÄN</t>
        </is>
      </c>
      <c r="E511" t="inlineStr">
        <is>
          <t>STRÖMSUND</t>
        </is>
      </c>
      <c r="F511" t="inlineStr">
        <is>
          <t>SCA</t>
        </is>
      </c>
      <c r="G511" t="n">
        <v>6.3</v>
      </c>
      <c r="H511" t="n">
        <v>1</v>
      </c>
      <c r="I511" t="n">
        <v>2</v>
      </c>
      <c r="J511" t="n">
        <v>5</v>
      </c>
      <c r="K511" t="n">
        <v>0</v>
      </c>
      <c r="L511" t="n">
        <v>0</v>
      </c>
      <c r="M511" t="n">
        <v>0</v>
      </c>
      <c r="N511" t="n">
        <v>0</v>
      </c>
      <c r="O511" t="n">
        <v>5</v>
      </c>
      <c r="P511" t="n">
        <v>0</v>
      </c>
      <c r="Q511" t="n">
        <v>7</v>
      </c>
      <c r="R511" s="2" t="inlineStr">
        <is>
          <t>Granticka
Leptoporus mollis
Lunglav
Skrovellav
Tretåig hackspett
Bårdlav
Stuplav</t>
        </is>
      </c>
      <c r="S511">
        <f>HYPERLINK("https://klasma.github.io/Logging_2313/artfynd/A 33890-2025 artfynd.xlsx", "A 33890-2025")</f>
        <v/>
      </c>
      <c r="T511">
        <f>HYPERLINK("https://klasma.github.io/Logging_2313/kartor/A 33890-2025 karta.png", "A 33890-2025")</f>
        <v/>
      </c>
      <c r="V511">
        <f>HYPERLINK("https://klasma.github.io/Logging_2313/klagomål/A 33890-2025 FSC-klagomål.docx", "A 33890-2025")</f>
        <v/>
      </c>
      <c r="W511">
        <f>HYPERLINK("https://klasma.github.io/Logging_2313/klagomålsmail/A 33890-2025 FSC-klagomål mail.docx", "A 33890-2025")</f>
        <v/>
      </c>
      <c r="X511">
        <f>HYPERLINK("https://klasma.github.io/Logging_2313/tillsyn/A 33890-2025 tillsynsbegäran.docx", "A 33890-2025")</f>
        <v/>
      </c>
      <c r="Y511">
        <f>HYPERLINK("https://klasma.github.io/Logging_2313/tillsynsmail/A 33890-2025 tillsynsbegäran mail.docx", "A 33890-2025")</f>
        <v/>
      </c>
      <c r="Z511">
        <f>HYPERLINK("https://klasma.github.io/Logging_2313/fåglar/A 33890-2025 prioriterade fågelarter.docx", "A 33890-2025")</f>
        <v/>
      </c>
    </row>
    <row r="512" ht="15" customHeight="1">
      <c r="A512" t="inlineStr">
        <is>
          <t>A 39586-2025</t>
        </is>
      </c>
      <c r="B512" s="1" t="n">
        <v>45890</v>
      </c>
      <c r="C512" s="1" t="n">
        <v>46045</v>
      </c>
      <c r="D512" t="inlineStr">
        <is>
          <t>JÄMTLANDS LÄN</t>
        </is>
      </c>
      <c r="E512" t="inlineStr">
        <is>
          <t>ÖSTERSUND</t>
        </is>
      </c>
      <c r="G512" t="n">
        <v>4.6</v>
      </c>
      <c r="H512" t="n">
        <v>2</v>
      </c>
      <c r="I512" t="n">
        <v>0</v>
      </c>
      <c r="J512" t="n">
        <v>7</v>
      </c>
      <c r="K512" t="n">
        <v>0</v>
      </c>
      <c r="L512" t="n">
        <v>0</v>
      </c>
      <c r="M512" t="n">
        <v>0</v>
      </c>
      <c r="N512" t="n">
        <v>0</v>
      </c>
      <c r="O512" t="n">
        <v>7</v>
      </c>
      <c r="P512" t="n">
        <v>0</v>
      </c>
      <c r="Q512" t="n">
        <v>7</v>
      </c>
      <c r="R512" s="2" t="inlineStr">
        <is>
          <t>Gammelgransskål
Garnlav
Harticka
Talltita
Tretåig hackspett
Vitgrynig nållav
Äggvaxskivling</t>
        </is>
      </c>
      <c r="S512">
        <f>HYPERLINK("https://klasma.github.io/Logging_2380/artfynd/A 39586-2025 artfynd.xlsx", "A 39586-2025")</f>
        <v/>
      </c>
      <c r="T512">
        <f>HYPERLINK("https://klasma.github.io/Logging_2380/kartor/A 39586-2025 karta.png", "A 39586-2025")</f>
        <v/>
      </c>
      <c r="V512">
        <f>HYPERLINK("https://klasma.github.io/Logging_2380/klagomål/A 39586-2025 FSC-klagomål.docx", "A 39586-2025")</f>
        <v/>
      </c>
      <c r="W512">
        <f>HYPERLINK("https://klasma.github.io/Logging_2380/klagomålsmail/A 39586-2025 FSC-klagomål mail.docx", "A 39586-2025")</f>
        <v/>
      </c>
      <c r="X512">
        <f>HYPERLINK("https://klasma.github.io/Logging_2380/tillsyn/A 39586-2025 tillsynsbegäran.docx", "A 39586-2025")</f>
        <v/>
      </c>
      <c r="Y512">
        <f>HYPERLINK("https://klasma.github.io/Logging_2380/tillsynsmail/A 39586-2025 tillsynsbegäran mail.docx", "A 39586-2025")</f>
        <v/>
      </c>
      <c r="Z512">
        <f>HYPERLINK("https://klasma.github.io/Logging_2380/fåglar/A 39586-2025 prioriterade fågelarter.docx", "A 39586-2025")</f>
        <v/>
      </c>
    </row>
    <row r="513" ht="15" customHeight="1">
      <c r="A513" t="inlineStr">
        <is>
          <t>A 61231-2025</t>
        </is>
      </c>
      <c r="B513" s="1" t="n">
        <v>46000.63320601852</v>
      </c>
      <c r="C513" s="1" t="n">
        <v>46045</v>
      </c>
      <c r="D513" t="inlineStr">
        <is>
          <t>JÄMTLANDS LÄN</t>
        </is>
      </c>
      <c r="E513" t="inlineStr">
        <is>
          <t>KROKOM</t>
        </is>
      </c>
      <c r="F513" t="inlineStr">
        <is>
          <t>Övriga Aktiebolag</t>
        </is>
      </c>
      <c r="G513" t="n">
        <v>11.1</v>
      </c>
      <c r="H513" t="n">
        <v>1</v>
      </c>
      <c r="I513" t="n">
        <v>1</v>
      </c>
      <c r="J513" t="n">
        <v>6</v>
      </c>
      <c r="K513" t="n">
        <v>0</v>
      </c>
      <c r="L513" t="n">
        <v>0</v>
      </c>
      <c r="M513" t="n">
        <v>0</v>
      </c>
      <c r="N513" t="n">
        <v>0</v>
      </c>
      <c r="O513" t="n">
        <v>6</v>
      </c>
      <c r="P513" t="n">
        <v>0</v>
      </c>
      <c r="Q513" t="n">
        <v>7</v>
      </c>
      <c r="R513" s="2" t="inlineStr">
        <is>
          <t>Doftskinn
Garnlav
Granticka
Harticka
Tretåig hackspett
Vitgrynig nållav
Trådticka</t>
        </is>
      </c>
      <c r="S513">
        <f>HYPERLINK("https://klasma.github.io/Logging_2309/artfynd/A 61231-2025 artfynd.xlsx", "A 61231-2025")</f>
        <v/>
      </c>
      <c r="T513">
        <f>HYPERLINK("https://klasma.github.io/Logging_2309/kartor/A 61231-2025 karta.png", "A 61231-2025")</f>
        <v/>
      </c>
      <c r="V513">
        <f>HYPERLINK("https://klasma.github.io/Logging_2309/klagomål/A 61231-2025 FSC-klagomål.docx", "A 61231-2025")</f>
        <v/>
      </c>
      <c r="W513">
        <f>HYPERLINK("https://klasma.github.io/Logging_2309/klagomålsmail/A 61231-2025 FSC-klagomål mail.docx", "A 61231-2025")</f>
        <v/>
      </c>
      <c r="X513">
        <f>HYPERLINK("https://klasma.github.io/Logging_2309/tillsyn/A 61231-2025 tillsynsbegäran.docx", "A 61231-2025")</f>
        <v/>
      </c>
      <c r="Y513">
        <f>HYPERLINK("https://klasma.github.io/Logging_2309/tillsynsmail/A 61231-2025 tillsynsbegäran mail.docx", "A 61231-2025")</f>
        <v/>
      </c>
      <c r="Z513">
        <f>HYPERLINK("https://klasma.github.io/Logging_2309/fåglar/A 61231-2025 prioriterade fågelarter.docx", "A 61231-2025")</f>
        <v/>
      </c>
    </row>
    <row r="514" ht="15" customHeight="1">
      <c r="A514" t="inlineStr">
        <is>
          <t>A 39281-2025</t>
        </is>
      </c>
      <c r="B514" s="1" t="n">
        <v>45889</v>
      </c>
      <c r="C514" s="1" t="n">
        <v>46045</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48736-2025</t>
        </is>
      </c>
      <c r="B515" s="1" t="n">
        <v>45936.66547453704</v>
      </c>
      <c r="C515" s="1" t="n">
        <v>46045</v>
      </c>
      <c r="D515" t="inlineStr">
        <is>
          <t>JÄMTLANDS LÄN</t>
        </is>
      </c>
      <c r="E515" t="inlineStr">
        <is>
          <t>ÖSTERSUND</t>
        </is>
      </c>
      <c r="G515" t="n">
        <v>2.8</v>
      </c>
      <c r="H515" t="n">
        <v>3</v>
      </c>
      <c r="I515" t="n">
        <v>3</v>
      </c>
      <c r="J515" t="n">
        <v>2</v>
      </c>
      <c r="K515" t="n">
        <v>1</v>
      </c>
      <c r="L515" t="n">
        <v>0</v>
      </c>
      <c r="M515" t="n">
        <v>0</v>
      </c>
      <c r="N515" t="n">
        <v>0</v>
      </c>
      <c r="O515" t="n">
        <v>3</v>
      </c>
      <c r="P515" t="n">
        <v>1</v>
      </c>
      <c r="Q515" t="n">
        <v>7</v>
      </c>
      <c r="R515" s="2" t="inlineStr">
        <is>
          <t>Knärot
Harticka
Tretåig hackspett
Rödgul trumpetsvamp
Trådticka
Vedticka
Revlummer</t>
        </is>
      </c>
      <c r="S515">
        <f>HYPERLINK("https://klasma.github.io/Logging_2380/artfynd/A 48736-2025 artfynd.xlsx", "A 48736-2025")</f>
        <v/>
      </c>
      <c r="T515">
        <f>HYPERLINK("https://klasma.github.io/Logging_2380/kartor/A 48736-2025 karta.png", "A 48736-2025")</f>
        <v/>
      </c>
      <c r="U515">
        <f>HYPERLINK("https://klasma.github.io/Logging_2380/knärot/A 48736-2025 karta knärot.png", "A 48736-2025")</f>
        <v/>
      </c>
      <c r="V515">
        <f>HYPERLINK("https://klasma.github.io/Logging_2380/klagomål/A 48736-2025 FSC-klagomål.docx", "A 48736-2025")</f>
        <v/>
      </c>
      <c r="W515">
        <f>HYPERLINK("https://klasma.github.io/Logging_2380/klagomålsmail/A 48736-2025 FSC-klagomål mail.docx", "A 48736-2025")</f>
        <v/>
      </c>
      <c r="X515">
        <f>HYPERLINK("https://klasma.github.io/Logging_2380/tillsyn/A 48736-2025 tillsynsbegäran.docx", "A 48736-2025")</f>
        <v/>
      </c>
      <c r="Y515">
        <f>HYPERLINK("https://klasma.github.io/Logging_2380/tillsynsmail/A 48736-2025 tillsynsbegäran mail.docx", "A 48736-2025")</f>
        <v/>
      </c>
      <c r="Z515">
        <f>HYPERLINK("https://klasma.github.io/Logging_2380/fåglar/A 48736-2025 prioriterade fågelarter.docx", "A 48736-2025")</f>
        <v/>
      </c>
    </row>
    <row r="516" ht="15" customHeight="1">
      <c r="A516" t="inlineStr">
        <is>
          <t>A 35454-2024</t>
        </is>
      </c>
      <c r="B516" s="1" t="n">
        <v>45531.45444444445</v>
      </c>
      <c r="C516" s="1" t="n">
        <v>46045</v>
      </c>
      <c r="D516" t="inlineStr">
        <is>
          <t>JÄMTLANDS LÄN</t>
        </is>
      </c>
      <c r="E516" t="inlineStr">
        <is>
          <t>HÄRJEDALEN</t>
        </is>
      </c>
      <c r="G516" t="n">
        <v>4.4</v>
      </c>
      <c r="H516" t="n">
        <v>3</v>
      </c>
      <c r="I516" t="n">
        <v>2</v>
      </c>
      <c r="J516" t="n">
        <v>5</v>
      </c>
      <c r="K516" t="n">
        <v>0</v>
      </c>
      <c r="L516" t="n">
        <v>0</v>
      </c>
      <c r="M516" t="n">
        <v>0</v>
      </c>
      <c r="N516" t="n">
        <v>0</v>
      </c>
      <c r="O516" t="n">
        <v>5</v>
      </c>
      <c r="P516" t="n">
        <v>0</v>
      </c>
      <c r="Q516" t="n">
        <v>7</v>
      </c>
      <c r="R516" s="2" t="inlineStr">
        <is>
          <t>Garnlav
Knottrig blåslav
Mörk kolflarnlav
Skrovellav
Tretåig hackspett
Korallrot
Spindelblomster</t>
        </is>
      </c>
      <c r="S516">
        <f>HYPERLINK("https://klasma.github.io/Logging_2361/artfynd/A 35454-2024 artfynd.xlsx", "A 35454-2024")</f>
        <v/>
      </c>
      <c r="T516">
        <f>HYPERLINK("https://klasma.github.io/Logging_2361/kartor/A 35454-2024 karta.png", "A 35454-2024")</f>
        <v/>
      </c>
      <c r="V516">
        <f>HYPERLINK("https://klasma.github.io/Logging_2361/klagomål/A 35454-2024 FSC-klagomål.docx", "A 35454-2024")</f>
        <v/>
      </c>
      <c r="W516">
        <f>HYPERLINK("https://klasma.github.io/Logging_2361/klagomålsmail/A 35454-2024 FSC-klagomål mail.docx", "A 35454-2024")</f>
        <v/>
      </c>
      <c r="X516">
        <f>HYPERLINK("https://klasma.github.io/Logging_2361/tillsyn/A 35454-2024 tillsynsbegäran.docx", "A 35454-2024")</f>
        <v/>
      </c>
      <c r="Y516">
        <f>HYPERLINK("https://klasma.github.io/Logging_2361/tillsynsmail/A 35454-2024 tillsynsbegäran mail.docx", "A 35454-2024")</f>
        <v/>
      </c>
      <c r="Z516">
        <f>HYPERLINK("https://klasma.github.io/Logging_2361/fåglar/A 35454-2024 prioriterade fågelarter.docx", "A 35454-2024")</f>
        <v/>
      </c>
    </row>
    <row r="517" ht="15" customHeight="1">
      <c r="A517" t="inlineStr">
        <is>
          <t>A 61433-2025</t>
        </is>
      </c>
      <c r="B517" s="1" t="n">
        <v>46001.55944444444</v>
      </c>
      <c r="C517" s="1" t="n">
        <v>46045</v>
      </c>
      <c r="D517" t="inlineStr">
        <is>
          <t>JÄMTLANDS LÄN</t>
        </is>
      </c>
      <c r="E517" t="inlineStr">
        <is>
          <t>BRÄCKE</t>
        </is>
      </c>
      <c r="G517" t="n">
        <v>12.5</v>
      </c>
      <c r="H517" t="n">
        <v>3</v>
      </c>
      <c r="I517" t="n">
        <v>2</v>
      </c>
      <c r="J517" t="n">
        <v>4</v>
      </c>
      <c r="K517" t="n">
        <v>0</v>
      </c>
      <c r="L517" t="n">
        <v>0</v>
      </c>
      <c r="M517" t="n">
        <v>0</v>
      </c>
      <c r="N517" t="n">
        <v>0</v>
      </c>
      <c r="O517" t="n">
        <v>4</v>
      </c>
      <c r="P517" t="n">
        <v>0</v>
      </c>
      <c r="Q517" t="n">
        <v>7</v>
      </c>
      <c r="R517" s="2" t="inlineStr">
        <is>
          <t>Garnlav
Lunglav
Spillkråka
Tretåig hackspett
Luddlav
Stuplav
Revlummer</t>
        </is>
      </c>
      <c r="S517">
        <f>HYPERLINK("https://klasma.github.io/Logging_2305/artfynd/A 61433-2025 artfynd.xlsx", "A 61433-2025")</f>
        <v/>
      </c>
      <c r="T517">
        <f>HYPERLINK("https://klasma.github.io/Logging_2305/kartor/A 61433-2025 karta.png", "A 61433-2025")</f>
        <v/>
      </c>
      <c r="V517">
        <f>HYPERLINK("https://klasma.github.io/Logging_2305/klagomål/A 61433-2025 FSC-klagomål.docx", "A 61433-2025")</f>
        <v/>
      </c>
      <c r="W517">
        <f>HYPERLINK("https://klasma.github.io/Logging_2305/klagomålsmail/A 61433-2025 FSC-klagomål mail.docx", "A 61433-2025")</f>
        <v/>
      </c>
      <c r="X517">
        <f>HYPERLINK("https://klasma.github.io/Logging_2305/tillsyn/A 61433-2025 tillsynsbegäran.docx", "A 61433-2025")</f>
        <v/>
      </c>
      <c r="Y517">
        <f>HYPERLINK("https://klasma.github.io/Logging_2305/tillsynsmail/A 61433-2025 tillsynsbegäran mail.docx", "A 61433-2025")</f>
        <v/>
      </c>
      <c r="Z517">
        <f>HYPERLINK("https://klasma.github.io/Logging_2305/fåglar/A 61433-2025 prioriterade fågelarter.docx", "A 61433-2025")</f>
        <v/>
      </c>
    </row>
    <row r="518" ht="15" customHeight="1">
      <c r="A518" t="inlineStr">
        <is>
          <t>A 37408-2025</t>
        </is>
      </c>
      <c r="B518" s="1" t="n">
        <v>45877</v>
      </c>
      <c r="C518" s="1" t="n">
        <v>46045</v>
      </c>
      <c r="D518" t="inlineStr">
        <is>
          <t>JÄMTLANDS LÄN</t>
        </is>
      </c>
      <c r="E518" t="inlineStr">
        <is>
          <t>KROKOM</t>
        </is>
      </c>
      <c r="G518" t="n">
        <v>7.3</v>
      </c>
      <c r="H518" t="n">
        <v>4</v>
      </c>
      <c r="I518" t="n">
        <v>1</v>
      </c>
      <c r="J518" t="n">
        <v>4</v>
      </c>
      <c r="K518" t="n">
        <v>1</v>
      </c>
      <c r="L518" t="n">
        <v>0</v>
      </c>
      <c r="M518" t="n">
        <v>0</v>
      </c>
      <c r="N518" t="n">
        <v>0</v>
      </c>
      <c r="O518" t="n">
        <v>5</v>
      </c>
      <c r="P518" t="n">
        <v>1</v>
      </c>
      <c r="Q518" t="n">
        <v>7</v>
      </c>
      <c r="R518" s="2" t="inlineStr">
        <is>
          <t>Knärot
Garnlav
Granticka
Harticka
Tretåig hackspett
Plattlummer
Fläcknycklar</t>
        </is>
      </c>
      <c r="S518">
        <f>HYPERLINK("https://klasma.github.io/Logging_2309/artfynd/A 37408-2025 artfynd.xlsx", "A 37408-2025")</f>
        <v/>
      </c>
      <c r="T518">
        <f>HYPERLINK("https://klasma.github.io/Logging_2309/kartor/A 37408-2025 karta.png", "A 37408-2025")</f>
        <v/>
      </c>
      <c r="U518">
        <f>HYPERLINK("https://klasma.github.io/Logging_2309/knärot/A 37408-2025 karta knärot.png", "A 37408-2025")</f>
        <v/>
      </c>
      <c r="V518">
        <f>HYPERLINK("https://klasma.github.io/Logging_2309/klagomål/A 37408-2025 FSC-klagomål.docx", "A 37408-2025")</f>
        <v/>
      </c>
      <c r="W518">
        <f>HYPERLINK("https://klasma.github.io/Logging_2309/klagomålsmail/A 37408-2025 FSC-klagomål mail.docx", "A 37408-2025")</f>
        <v/>
      </c>
      <c r="X518">
        <f>HYPERLINK("https://klasma.github.io/Logging_2309/tillsyn/A 37408-2025 tillsynsbegäran.docx", "A 37408-2025")</f>
        <v/>
      </c>
      <c r="Y518">
        <f>HYPERLINK("https://klasma.github.io/Logging_2309/tillsynsmail/A 37408-2025 tillsynsbegäran mail.docx", "A 37408-2025")</f>
        <v/>
      </c>
      <c r="Z518">
        <f>HYPERLINK("https://klasma.github.io/Logging_2309/fåglar/A 37408-2025 prioriterade fågelarter.docx", "A 37408-2025")</f>
        <v/>
      </c>
    </row>
    <row r="519" ht="15" customHeight="1">
      <c r="A519" t="inlineStr">
        <is>
          <t>A 50196-2025</t>
        </is>
      </c>
      <c r="B519" s="1" t="n">
        <v>45943</v>
      </c>
      <c r="C519" s="1" t="n">
        <v>46045</v>
      </c>
      <c r="D519" t="inlineStr">
        <is>
          <t>JÄMTLANDS LÄN</t>
        </is>
      </c>
      <c r="E519" t="inlineStr">
        <is>
          <t>KROKOM</t>
        </is>
      </c>
      <c r="G519" t="n">
        <v>10.2</v>
      </c>
      <c r="H519" t="n">
        <v>2</v>
      </c>
      <c r="I519" t="n">
        <v>1</v>
      </c>
      <c r="J519" t="n">
        <v>5</v>
      </c>
      <c r="K519" t="n">
        <v>0</v>
      </c>
      <c r="L519" t="n">
        <v>0</v>
      </c>
      <c r="M519" t="n">
        <v>0</v>
      </c>
      <c r="N519" t="n">
        <v>0</v>
      </c>
      <c r="O519" t="n">
        <v>5</v>
      </c>
      <c r="P519" t="n">
        <v>0</v>
      </c>
      <c r="Q519" t="n">
        <v>7</v>
      </c>
      <c r="R519" s="2" t="inlineStr">
        <is>
          <t>Doftskinn
Garnlav
Granticka
Lunglav
Tretåig hackspett
Trådticka
Lavskrika</t>
        </is>
      </c>
      <c r="S519">
        <f>HYPERLINK("https://klasma.github.io/Logging_2309/artfynd/A 50196-2025 artfynd.xlsx", "A 50196-2025")</f>
        <v/>
      </c>
      <c r="T519">
        <f>HYPERLINK("https://klasma.github.io/Logging_2309/kartor/A 50196-2025 karta.png", "A 50196-2025")</f>
        <v/>
      </c>
      <c r="V519">
        <f>HYPERLINK("https://klasma.github.io/Logging_2309/klagomål/A 50196-2025 FSC-klagomål.docx", "A 50196-2025")</f>
        <v/>
      </c>
      <c r="W519">
        <f>HYPERLINK("https://klasma.github.io/Logging_2309/klagomålsmail/A 50196-2025 FSC-klagomål mail.docx", "A 50196-2025")</f>
        <v/>
      </c>
      <c r="X519">
        <f>HYPERLINK("https://klasma.github.io/Logging_2309/tillsyn/A 50196-2025 tillsynsbegäran.docx", "A 50196-2025")</f>
        <v/>
      </c>
      <c r="Y519">
        <f>HYPERLINK("https://klasma.github.io/Logging_2309/tillsynsmail/A 50196-2025 tillsynsbegäran mail.docx", "A 50196-2025")</f>
        <v/>
      </c>
      <c r="Z519">
        <f>HYPERLINK("https://klasma.github.io/Logging_2309/fåglar/A 50196-2025 prioriterade fågelarter.docx", "A 50196-2025")</f>
        <v/>
      </c>
    </row>
    <row r="520" ht="15" customHeight="1">
      <c r="A520" t="inlineStr">
        <is>
          <t>A 3134-2024</t>
        </is>
      </c>
      <c r="B520" s="1" t="n">
        <v>45316</v>
      </c>
      <c r="C520" s="1" t="n">
        <v>46045</v>
      </c>
      <c r="D520" t="inlineStr">
        <is>
          <t>JÄMTLANDS LÄN</t>
        </is>
      </c>
      <c r="E520" t="inlineStr">
        <is>
          <t>KROKOM</t>
        </is>
      </c>
      <c r="G520" t="n">
        <v>11.2</v>
      </c>
      <c r="H520" t="n">
        <v>2</v>
      </c>
      <c r="I520" t="n">
        <v>1</v>
      </c>
      <c r="J520" t="n">
        <v>5</v>
      </c>
      <c r="K520" t="n">
        <v>1</v>
      </c>
      <c r="L520" t="n">
        <v>0</v>
      </c>
      <c r="M520" t="n">
        <v>0</v>
      </c>
      <c r="N520" t="n">
        <v>0</v>
      </c>
      <c r="O520" t="n">
        <v>6</v>
      </c>
      <c r="P520" t="n">
        <v>1</v>
      </c>
      <c r="Q520" t="n">
        <v>7</v>
      </c>
      <c r="R520" s="2" t="inlineStr">
        <is>
          <t>Sprickporing
Garnlav
Granticka
Månlåsbräken
Spillkråka
Tretåig hackspett
Vedticka</t>
        </is>
      </c>
      <c r="S520">
        <f>HYPERLINK("https://klasma.github.io/Logging_2309/artfynd/A 3134-2024 artfynd.xlsx", "A 3134-2024")</f>
        <v/>
      </c>
      <c r="T520">
        <f>HYPERLINK("https://klasma.github.io/Logging_2309/kartor/A 3134-2024 karta.png", "A 3134-2024")</f>
        <v/>
      </c>
      <c r="V520">
        <f>HYPERLINK("https://klasma.github.io/Logging_2309/klagomål/A 3134-2024 FSC-klagomål.docx", "A 3134-2024")</f>
        <v/>
      </c>
      <c r="W520">
        <f>HYPERLINK("https://klasma.github.io/Logging_2309/klagomålsmail/A 3134-2024 FSC-klagomål mail.docx", "A 3134-2024")</f>
        <v/>
      </c>
      <c r="X520">
        <f>HYPERLINK("https://klasma.github.io/Logging_2309/tillsyn/A 3134-2024 tillsynsbegäran.docx", "A 3134-2024")</f>
        <v/>
      </c>
      <c r="Y520">
        <f>HYPERLINK("https://klasma.github.io/Logging_2309/tillsynsmail/A 3134-2024 tillsynsbegäran mail.docx", "A 3134-2024")</f>
        <v/>
      </c>
      <c r="Z520">
        <f>HYPERLINK("https://klasma.github.io/Logging_2309/fåglar/A 3134-2024 prioriterade fågelarter.docx", "A 3134-2024")</f>
        <v/>
      </c>
    </row>
    <row r="521" ht="15" customHeight="1">
      <c r="A521" t="inlineStr">
        <is>
          <t>A 18898-2025</t>
        </is>
      </c>
      <c r="B521" s="1" t="n">
        <v>45764.44885416667</v>
      </c>
      <c r="C521" s="1" t="n">
        <v>46045</v>
      </c>
      <c r="D521" t="inlineStr">
        <is>
          <t>JÄMTLANDS LÄN</t>
        </is>
      </c>
      <c r="E521" t="inlineStr">
        <is>
          <t>BRÄCKE</t>
        </is>
      </c>
      <c r="F521" t="inlineStr">
        <is>
          <t>SCA</t>
        </is>
      </c>
      <c r="G521" t="n">
        <v>3.6</v>
      </c>
      <c r="H521" t="n">
        <v>3</v>
      </c>
      <c r="I521" t="n">
        <v>3</v>
      </c>
      <c r="J521" t="n">
        <v>2</v>
      </c>
      <c r="K521" t="n">
        <v>1</v>
      </c>
      <c r="L521" t="n">
        <v>0</v>
      </c>
      <c r="M521" t="n">
        <v>0</v>
      </c>
      <c r="N521" t="n">
        <v>0</v>
      </c>
      <c r="O521" t="n">
        <v>3</v>
      </c>
      <c r="P521" t="n">
        <v>1</v>
      </c>
      <c r="Q521" t="n">
        <v>7</v>
      </c>
      <c r="R521" s="2" t="inlineStr">
        <is>
          <t>Knärot
Granticka
Lunglav
Korallblylav
Plattlummer
Skinnlav
Kungsfågel</t>
        </is>
      </c>
      <c r="S521">
        <f>HYPERLINK("https://klasma.github.io/Logging_2305/artfynd/A 18898-2025 artfynd.xlsx", "A 18898-2025")</f>
        <v/>
      </c>
      <c r="T521">
        <f>HYPERLINK("https://klasma.github.io/Logging_2305/kartor/A 18898-2025 karta.png", "A 18898-2025")</f>
        <v/>
      </c>
      <c r="U521">
        <f>HYPERLINK("https://klasma.github.io/Logging_2305/knärot/A 18898-2025 karta knärot.png", "A 18898-2025")</f>
        <v/>
      </c>
      <c r="V521">
        <f>HYPERLINK("https://klasma.github.io/Logging_2305/klagomål/A 18898-2025 FSC-klagomål.docx", "A 18898-2025")</f>
        <v/>
      </c>
      <c r="W521">
        <f>HYPERLINK("https://klasma.github.io/Logging_2305/klagomålsmail/A 18898-2025 FSC-klagomål mail.docx", "A 18898-2025")</f>
        <v/>
      </c>
      <c r="X521">
        <f>HYPERLINK("https://klasma.github.io/Logging_2305/tillsyn/A 18898-2025 tillsynsbegäran.docx", "A 18898-2025")</f>
        <v/>
      </c>
      <c r="Y521">
        <f>HYPERLINK("https://klasma.github.io/Logging_2305/tillsynsmail/A 18898-2025 tillsynsbegäran mail.docx", "A 18898-2025")</f>
        <v/>
      </c>
      <c r="Z521">
        <f>HYPERLINK("https://klasma.github.io/Logging_2305/fåglar/A 18898-2025 prioriterade fågelarter.docx", "A 18898-2025")</f>
        <v/>
      </c>
    </row>
    <row r="522" ht="15" customHeight="1">
      <c r="A522" t="inlineStr">
        <is>
          <t>A 18789-2025</t>
        </is>
      </c>
      <c r="B522" s="1" t="n">
        <v>45764.34461805555</v>
      </c>
      <c r="C522" s="1" t="n">
        <v>46045</v>
      </c>
      <c r="D522" t="inlineStr">
        <is>
          <t>JÄMTLANDS LÄN</t>
        </is>
      </c>
      <c r="E522" t="inlineStr">
        <is>
          <t>STRÖMSUND</t>
        </is>
      </c>
      <c r="F522" t="inlineStr">
        <is>
          <t>SCA</t>
        </is>
      </c>
      <c r="G522" t="n">
        <v>12.1</v>
      </c>
      <c r="H522" t="n">
        <v>0</v>
      </c>
      <c r="I522" t="n">
        <v>0</v>
      </c>
      <c r="J522" t="n">
        <v>7</v>
      </c>
      <c r="K522" t="n">
        <v>0</v>
      </c>
      <c r="L522" t="n">
        <v>0</v>
      </c>
      <c r="M522" t="n">
        <v>0</v>
      </c>
      <c r="N522" t="n">
        <v>0</v>
      </c>
      <c r="O522" t="n">
        <v>7</v>
      </c>
      <c r="P522" t="n">
        <v>0</v>
      </c>
      <c r="Q522" t="n">
        <v>7</v>
      </c>
      <c r="R522" s="2" t="inlineStr">
        <is>
          <t>Gammelgransskål
Garnlav
Granticka
Harticka
Lunglav
Skrovellav
Ullticka</t>
        </is>
      </c>
      <c r="S522">
        <f>HYPERLINK("https://klasma.github.io/Logging_2313/artfynd/A 18789-2025 artfynd.xlsx", "A 18789-2025")</f>
        <v/>
      </c>
      <c r="T522">
        <f>HYPERLINK("https://klasma.github.io/Logging_2313/kartor/A 18789-2025 karta.png", "A 18789-2025")</f>
        <v/>
      </c>
      <c r="V522">
        <f>HYPERLINK("https://klasma.github.io/Logging_2313/klagomål/A 18789-2025 FSC-klagomål.docx", "A 18789-2025")</f>
        <v/>
      </c>
      <c r="W522">
        <f>HYPERLINK("https://klasma.github.io/Logging_2313/klagomålsmail/A 18789-2025 FSC-klagomål mail.docx", "A 18789-2025")</f>
        <v/>
      </c>
      <c r="X522">
        <f>HYPERLINK("https://klasma.github.io/Logging_2313/tillsyn/A 18789-2025 tillsynsbegäran.docx", "A 18789-2025")</f>
        <v/>
      </c>
      <c r="Y522">
        <f>HYPERLINK("https://klasma.github.io/Logging_2313/tillsynsmail/A 18789-2025 tillsynsbegäran mail.docx", "A 18789-2025")</f>
        <v/>
      </c>
    </row>
    <row r="523" ht="15" customHeight="1">
      <c r="A523" t="inlineStr">
        <is>
          <t>A 60761-2023</t>
        </is>
      </c>
      <c r="B523" s="1" t="n">
        <v>45259</v>
      </c>
      <c r="C523" s="1" t="n">
        <v>46045</v>
      </c>
      <c r="D523" t="inlineStr">
        <is>
          <t>JÄMTLANDS LÄN</t>
        </is>
      </c>
      <c r="E523" t="inlineStr">
        <is>
          <t>STRÖMSUND</t>
        </is>
      </c>
      <c r="G523" t="n">
        <v>28.1</v>
      </c>
      <c r="H523" t="n">
        <v>2</v>
      </c>
      <c r="I523" t="n">
        <v>0</v>
      </c>
      <c r="J523" t="n">
        <v>6</v>
      </c>
      <c r="K523" t="n">
        <v>0</v>
      </c>
      <c r="L523" t="n">
        <v>0</v>
      </c>
      <c r="M523" t="n">
        <v>0</v>
      </c>
      <c r="N523" t="n">
        <v>0</v>
      </c>
      <c r="O523" t="n">
        <v>6</v>
      </c>
      <c r="P523" t="n">
        <v>0</v>
      </c>
      <c r="Q523" t="n">
        <v>7</v>
      </c>
      <c r="R523" s="2" t="inlineStr">
        <is>
          <t>Garnlav
Granticka
Lunglav
Skrovellav
Tretåig hackspett
Ullticka
Lavskrika</t>
        </is>
      </c>
      <c r="S523">
        <f>HYPERLINK("https://klasma.github.io/Logging_2313/artfynd/A 60761-2023 artfynd.xlsx", "A 60761-2023")</f>
        <v/>
      </c>
      <c r="T523">
        <f>HYPERLINK("https://klasma.github.io/Logging_2313/kartor/A 60761-2023 karta.png", "A 60761-2023")</f>
        <v/>
      </c>
      <c r="V523">
        <f>HYPERLINK("https://klasma.github.io/Logging_2313/klagomål/A 60761-2023 FSC-klagomål.docx", "A 60761-2023")</f>
        <v/>
      </c>
      <c r="W523">
        <f>HYPERLINK("https://klasma.github.io/Logging_2313/klagomålsmail/A 60761-2023 FSC-klagomål mail.docx", "A 60761-2023")</f>
        <v/>
      </c>
      <c r="X523">
        <f>HYPERLINK("https://klasma.github.io/Logging_2313/tillsyn/A 60761-2023 tillsynsbegäran.docx", "A 60761-2023")</f>
        <v/>
      </c>
      <c r="Y523">
        <f>HYPERLINK("https://klasma.github.io/Logging_2313/tillsynsmail/A 60761-2023 tillsynsbegäran mail.docx", "A 60761-2023")</f>
        <v/>
      </c>
      <c r="Z523">
        <f>HYPERLINK("https://klasma.github.io/Logging_2313/fåglar/A 60761-2023 prioriterade fågelarter.docx", "A 60761-2023")</f>
        <v/>
      </c>
    </row>
    <row r="524" ht="15" customHeight="1">
      <c r="A524" t="inlineStr">
        <is>
          <t>A 54608-2023</t>
        </is>
      </c>
      <c r="B524" s="1" t="n">
        <v>45233</v>
      </c>
      <c r="C524" s="1" t="n">
        <v>46045</v>
      </c>
      <c r="D524" t="inlineStr">
        <is>
          <t>JÄMTLANDS LÄN</t>
        </is>
      </c>
      <c r="E524" t="inlineStr">
        <is>
          <t>ÖSTERSUND</t>
        </is>
      </c>
      <c r="F524" t="inlineStr">
        <is>
          <t>SCA</t>
        </is>
      </c>
      <c r="G524" t="n">
        <v>4.3</v>
      </c>
      <c r="H524" t="n">
        <v>1</v>
      </c>
      <c r="I524" t="n">
        <v>5</v>
      </c>
      <c r="J524" t="n">
        <v>2</v>
      </c>
      <c r="K524" t="n">
        <v>0</v>
      </c>
      <c r="L524" t="n">
        <v>0</v>
      </c>
      <c r="M524" t="n">
        <v>0</v>
      </c>
      <c r="N524" t="n">
        <v>0</v>
      </c>
      <c r="O524" t="n">
        <v>2</v>
      </c>
      <c r="P524" t="n">
        <v>0</v>
      </c>
      <c r="Q524" t="n">
        <v>7</v>
      </c>
      <c r="R524" s="2" t="inlineStr">
        <is>
          <t>Granticka
Ullticka
Guckusko
Svavelriska
Trådfräken
Trådticka
Underviol</t>
        </is>
      </c>
      <c r="S524">
        <f>HYPERLINK("https://klasma.github.io/Logging_2380/artfynd/A 54608-2023 artfynd.xlsx", "A 54608-2023")</f>
        <v/>
      </c>
      <c r="T524">
        <f>HYPERLINK("https://klasma.github.io/Logging_2380/kartor/A 54608-2023 karta.png", "A 54608-2023")</f>
        <v/>
      </c>
      <c r="V524">
        <f>HYPERLINK("https://klasma.github.io/Logging_2380/klagomål/A 54608-2023 FSC-klagomål.docx", "A 54608-2023")</f>
        <v/>
      </c>
      <c r="W524">
        <f>HYPERLINK("https://klasma.github.io/Logging_2380/klagomålsmail/A 54608-2023 FSC-klagomål mail.docx", "A 54608-2023")</f>
        <v/>
      </c>
      <c r="X524">
        <f>HYPERLINK("https://klasma.github.io/Logging_2380/tillsyn/A 54608-2023 tillsynsbegäran.docx", "A 54608-2023")</f>
        <v/>
      </c>
      <c r="Y524">
        <f>HYPERLINK("https://klasma.github.io/Logging_2380/tillsynsmail/A 54608-2023 tillsynsbegäran mail.docx", "A 54608-2023")</f>
        <v/>
      </c>
    </row>
    <row r="525" ht="15" customHeight="1">
      <c r="A525" t="inlineStr">
        <is>
          <t>A 62113-2023</t>
        </is>
      </c>
      <c r="B525" s="1" t="n">
        <v>45266</v>
      </c>
      <c r="C525" s="1" t="n">
        <v>46045</v>
      </c>
      <c r="D525" t="inlineStr">
        <is>
          <t>JÄMTLANDS LÄN</t>
        </is>
      </c>
      <c r="E525" t="inlineStr">
        <is>
          <t>BRÄCKE</t>
        </is>
      </c>
      <c r="F525" t="inlineStr">
        <is>
          <t>Naturvårdsverket</t>
        </is>
      </c>
      <c r="G525" t="n">
        <v>4.5</v>
      </c>
      <c r="H525" t="n">
        <v>0</v>
      </c>
      <c r="I525" t="n">
        <v>2</v>
      </c>
      <c r="J525" t="n">
        <v>4</v>
      </c>
      <c r="K525" t="n">
        <v>1</v>
      </c>
      <c r="L525" t="n">
        <v>0</v>
      </c>
      <c r="M525" t="n">
        <v>0</v>
      </c>
      <c r="N525" t="n">
        <v>0</v>
      </c>
      <c r="O525" t="n">
        <v>5</v>
      </c>
      <c r="P525" t="n">
        <v>1</v>
      </c>
      <c r="Q525" t="n">
        <v>7</v>
      </c>
      <c r="R525" s="2" t="inlineStr">
        <is>
          <t>Smalfotad taggsvamp
Blanksvart spiklav
Blå taggsvamp
Orange taggsvamp
Skrovlig taggsvamp
Dropptaggsvamp
Skarp dropptaggsvamp</t>
        </is>
      </c>
      <c r="S525">
        <f>HYPERLINK("https://klasma.github.io/Logging_2305/artfynd/A 62113-2023 artfynd.xlsx", "A 62113-2023")</f>
        <v/>
      </c>
      <c r="T525">
        <f>HYPERLINK("https://klasma.github.io/Logging_2305/kartor/A 62113-2023 karta.png", "A 62113-2023")</f>
        <v/>
      </c>
      <c r="V525">
        <f>HYPERLINK("https://klasma.github.io/Logging_2305/klagomål/A 62113-2023 FSC-klagomål.docx", "A 62113-2023")</f>
        <v/>
      </c>
      <c r="W525">
        <f>HYPERLINK("https://klasma.github.io/Logging_2305/klagomålsmail/A 62113-2023 FSC-klagomål mail.docx", "A 62113-2023")</f>
        <v/>
      </c>
      <c r="X525">
        <f>HYPERLINK("https://klasma.github.io/Logging_2305/tillsyn/A 62113-2023 tillsynsbegäran.docx", "A 62113-2023")</f>
        <v/>
      </c>
      <c r="Y525">
        <f>HYPERLINK("https://klasma.github.io/Logging_2305/tillsynsmail/A 62113-2023 tillsynsbegäran mail.docx", "A 62113-2023")</f>
        <v/>
      </c>
    </row>
    <row r="526" ht="15" customHeight="1">
      <c r="A526" t="inlineStr">
        <is>
          <t>A 61386-2022</t>
        </is>
      </c>
      <c r="B526" s="1" t="n">
        <v>44915</v>
      </c>
      <c r="C526" s="1" t="n">
        <v>46045</v>
      </c>
      <c r="D526" t="inlineStr">
        <is>
          <t>JÄMTLANDS LÄN</t>
        </is>
      </c>
      <c r="E526" t="inlineStr">
        <is>
          <t>RAGUNDA</t>
        </is>
      </c>
      <c r="F526" t="inlineStr">
        <is>
          <t>Övriga Aktiebolag</t>
        </is>
      </c>
      <c r="G526" t="n">
        <v>19.7</v>
      </c>
      <c r="H526" t="n">
        <v>1</v>
      </c>
      <c r="I526" t="n">
        <v>2</v>
      </c>
      <c r="J526" t="n">
        <v>3</v>
      </c>
      <c r="K526" t="n">
        <v>2</v>
      </c>
      <c r="L526" t="n">
        <v>0</v>
      </c>
      <c r="M526" t="n">
        <v>0</v>
      </c>
      <c r="N526" t="n">
        <v>0</v>
      </c>
      <c r="O526" t="n">
        <v>5</v>
      </c>
      <c r="P526" t="n">
        <v>2</v>
      </c>
      <c r="Q526" t="n">
        <v>7</v>
      </c>
      <c r="R526" s="2" t="inlineStr">
        <is>
          <t>Knärot
Rynkskinn
Lunglav
Rosenticka
Ullticka
Svart trolldruva
Vanlig flatbagge</t>
        </is>
      </c>
      <c r="S526">
        <f>HYPERLINK("https://klasma.github.io/Logging_2303/artfynd/A 61386-2022 artfynd.xlsx", "A 61386-2022")</f>
        <v/>
      </c>
      <c r="T526">
        <f>HYPERLINK("https://klasma.github.io/Logging_2303/kartor/A 61386-2022 karta.png", "A 61386-2022")</f>
        <v/>
      </c>
      <c r="U526">
        <f>HYPERLINK("https://klasma.github.io/Logging_2303/knärot/A 61386-2022 karta knärot.png", "A 61386-2022")</f>
        <v/>
      </c>
      <c r="V526">
        <f>HYPERLINK("https://klasma.github.io/Logging_2303/klagomål/A 61386-2022 FSC-klagomål.docx", "A 61386-2022")</f>
        <v/>
      </c>
      <c r="W526">
        <f>HYPERLINK("https://klasma.github.io/Logging_2303/klagomålsmail/A 61386-2022 FSC-klagomål mail.docx", "A 61386-2022")</f>
        <v/>
      </c>
      <c r="X526">
        <f>HYPERLINK("https://klasma.github.io/Logging_2303/tillsyn/A 61386-2022 tillsynsbegäran.docx", "A 61386-2022")</f>
        <v/>
      </c>
      <c r="Y526">
        <f>HYPERLINK("https://klasma.github.io/Logging_2303/tillsynsmail/A 61386-2022 tillsynsbegäran mail.docx", "A 61386-2022")</f>
        <v/>
      </c>
    </row>
    <row r="527" ht="15" customHeight="1">
      <c r="A527" t="inlineStr">
        <is>
          <t>A 27913-2024</t>
        </is>
      </c>
      <c r="B527" s="1" t="n">
        <v>45475.94796296296</v>
      </c>
      <c r="C527" s="1" t="n">
        <v>46045</v>
      </c>
      <c r="D527" t="inlineStr">
        <is>
          <t>JÄMTLANDS LÄN</t>
        </is>
      </c>
      <c r="E527" t="inlineStr">
        <is>
          <t>RAGUNDA</t>
        </is>
      </c>
      <c r="F527" t="inlineStr">
        <is>
          <t>SCA</t>
        </is>
      </c>
      <c r="G527" t="n">
        <v>11.1</v>
      </c>
      <c r="H527" t="n">
        <v>2</v>
      </c>
      <c r="I527" t="n">
        <v>4</v>
      </c>
      <c r="J527" t="n">
        <v>2</v>
      </c>
      <c r="K527" t="n">
        <v>1</v>
      </c>
      <c r="L527" t="n">
        <v>0</v>
      </c>
      <c r="M527" t="n">
        <v>0</v>
      </c>
      <c r="N527" t="n">
        <v>0</v>
      </c>
      <c r="O527" t="n">
        <v>3</v>
      </c>
      <c r="P527" t="n">
        <v>1</v>
      </c>
      <c r="Q527" t="n">
        <v>7</v>
      </c>
      <c r="R527" s="2" t="inlineStr">
        <is>
          <t>Knärot
Kolflarnlav
Lunglav
Bårdlav
Kransrams
Lappranunkel
Skinnlav</t>
        </is>
      </c>
      <c r="S527">
        <f>HYPERLINK("https://klasma.github.io/Logging_2303/artfynd/A 27913-2024 artfynd.xlsx", "A 27913-2024")</f>
        <v/>
      </c>
      <c r="T527">
        <f>HYPERLINK("https://klasma.github.io/Logging_2303/kartor/A 27913-2024 karta.png", "A 27913-2024")</f>
        <v/>
      </c>
      <c r="U527">
        <f>HYPERLINK("https://klasma.github.io/Logging_2303/knärot/A 27913-2024 karta knärot.png", "A 27913-2024")</f>
        <v/>
      </c>
      <c r="V527">
        <f>HYPERLINK("https://klasma.github.io/Logging_2303/klagomål/A 27913-2024 FSC-klagomål.docx", "A 27913-2024")</f>
        <v/>
      </c>
      <c r="W527">
        <f>HYPERLINK("https://klasma.github.io/Logging_2303/klagomålsmail/A 27913-2024 FSC-klagomål mail.docx", "A 27913-2024")</f>
        <v/>
      </c>
      <c r="X527">
        <f>HYPERLINK("https://klasma.github.io/Logging_2303/tillsyn/A 27913-2024 tillsynsbegäran.docx", "A 27913-2024")</f>
        <v/>
      </c>
      <c r="Y527">
        <f>HYPERLINK("https://klasma.github.io/Logging_2303/tillsynsmail/A 27913-2024 tillsynsbegäran mail.docx", "A 27913-2024")</f>
        <v/>
      </c>
    </row>
    <row r="528" ht="15" customHeight="1">
      <c r="A528" t="inlineStr">
        <is>
          <t>A 12925-2021</t>
        </is>
      </c>
      <c r="B528" s="1" t="n">
        <v>44271</v>
      </c>
      <c r="C528" s="1" t="n">
        <v>46045</v>
      </c>
      <c r="D528" t="inlineStr">
        <is>
          <t>JÄMTLANDS LÄN</t>
        </is>
      </c>
      <c r="E528" t="inlineStr">
        <is>
          <t>KROKOM</t>
        </is>
      </c>
      <c r="G528" t="n">
        <v>12</v>
      </c>
      <c r="H528" t="n">
        <v>0</v>
      </c>
      <c r="I528" t="n">
        <v>5</v>
      </c>
      <c r="J528" t="n">
        <v>1</v>
      </c>
      <c r="K528" t="n">
        <v>0</v>
      </c>
      <c r="L528" t="n">
        <v>0</v>
      </c>
      <c r="M528" t="n">
        <v>0</v>
      </c>
      <c r="N528" t="n">
        <v>0</v>
      </c>
      <c r="O528" t="n">
        <v>1</v>
      </c>
      <c r="P528" t="n">
        <v>0</v>
      </c>
      <c r="Q528" t="n">
        <v>6</v>
      </c>
      <c r="R528" s="2" t="inlineStr">
        <is>
          <t>Flattoppad klubbsvamp
Barrfagerspindling
Diskvaxskivling
Kryddspindling
Strimspindling
Svavelriska</t>
        </is>
      </c>
      <c r="S528">
        <f>HYPERLINK("https://klasma.github.io/Logging_2309/artfynd/A 12925-2021 artfynd.xlsx", "A 12925-2021")</f>
        <v/>
      </c>
      <c r="T528">
        <f>HYPERLINK("https://klasma.github.io/Logging_2309/kartor/A 12925-2021 karta.png", "A 12925-2021")</f>
        <v/>
      </c>
      <c r="V528">
        <f>HYPERLINK("https://klasma.github.io/Logging_2309/klagomål/A 12925-2021 FSC-klagomål.docx", "A 12925-2021")</f>
        <v/>
      </c>
      <c r="W528">
        <f>HYPERLINK("https://klasma.github.io/Logging_2309/klagomålsmail/A 12925-2021 FSC-klagomål mail.docx", "A 12925-2021")</f>
        <v/>
      </c>
      <c r="X528">
        <f>HYPERLINK("https://klasma.github.io/Logging_2309/tillsyn/A 12925-2021 tillsynsbegäran.docx", "A 12925-2021")</f>
        <v/>
      </c>
      <c r="Y528">
        <f>HYPERLINK("https://klasma.github.io/Logging_2309/tillsynsmail/A 12925-2021 tillsynsbegäran mail.docx", "A 12925-2021")</f>
        <v/>
      </c>
    </row>
    <row r="529" ht="15" customHeight="1">
      <c r="A529" t="inlineStr">
        <is>
          <t>A 28512-2021</t>
        </is>
      </c>
      <c r="B529" s="1" t="n">
        <v>44356</v>
      </c>
      <c r="C529" s="1" t="n">
        <v>46045</v>
      </c>
      <c r="D529" t="inlineStr">
        <is>
          <t>JÄMTLANDS LÄN</t>
        </is>
      </c>
      <c r="E529" t="inlineStr">
        <is>
          <t>ÖSTERSUND</t>
        </is>
      </c>
      <c r="G529" t="n">
        <v>1.5</v>
      </c>
      <c r="H529" t="n">
        <v>2</v>
      </c>
      <c r="I529" t="n">
        <v>1</v>
      </c>
      <c r="J529" t="n">
        <v>5</v>
      </c>
      <c r="K529" t="n">
        <v>0</v>
      </c>
      <c r="L529" t="n">
        <v>0</v>
      </c>
      <c r="M529" t="n">
        <v>0</v>
      </c>
      <c r="N529" t="n">
        <v>0</v>
      </c>
      <c r="O529" t="n">
        <v>5</v>
      </c>
      <c r="P529" t="n">
        <v>0</v>
      </c>
      <c r="Q529" t="n">
        <v>6</v>
      </c>
      <c r="R529" s="2" t="inlineStr">
        <is>
          <t>Garnlav
Lunglav
Skrovellav
Talltita
Tretåig hackspett
Luddlav</t>
        </is>
      </c>
      <c r="S529">
        <f>HYPERLINK("https://klasma.github.io/Logging_2380/artfynd/A 28512-2021 artfynd.xlsx", "A 28512-2021")</f>
        <v/>
      </c>
      <c r="T529">
        <f>HYPERLINK("https://klasma.github.io/Logging_2380/kartor/A 28512-2021 karta.png", "A 28512-2021")</f>
        <v/>
      </c>
      <c r="U529">
        <f>HYPERLINK("https://klasma.github.io/Logging_2380/knärot/A 28512-2021 karta knärot.png", "A 28512-2021")</f>
        <v/>
      </c>
      <c r="V529">
        <f>HYPERLINK("https://klasma.github.io/Logging_2380/klagomål/A 28512-2021 FSC-klagomål.docx", "A 28512-2021")</f>
        <v/>
      </c>
      <c r="W529">
        <f>HYPERLINK("https://klasma.github.io/Logging_2380/klagomålsmail/A 28512-2021 FSC-klagomål mail.docx", "A 28512-2021")</f>
        <v/>
      </c>
      <c r="X529">
        <f>HYPERLINK("https://klasma.github.io/Logging_2380/tillsyn/A 28512-2021 tillsynsbegäran.docx", "A 28512-2021")</f>
        <v/>
      </c>
      <c r="Y529">
        <f>HYPERLINK("https://klasma.github.io/Logging_2380/tillsynsmail/A 28512-2021 tillsynsbegäran mail.docx", "A 28512-2021")</f>
        <v/>
      </c>
      <c r="Z529">
        <f>HYPERLINK("https://klasma.github.io/Logging_2380/fåglar/A 28512-2021 prioriterade fågelarter.docx", "A 28512-2021")</f>
        <v/>
      </c>
    </row>
    <row r="530" ht="15" customHeight="1">
      <c r="A530" t="inlineStr">
        <is>
          <t>A 7732-2021</t>
        </is>
      </c>
      <c r="B530" s="1" t="n">
        <v>44242</v>
      </c>
      <c r="C530" s="1" t="n">
        <v>46045</v>
      </c>
      <c r="D530" t="inlineStr">
        <is>
          <t>JÄMTLANDS LÄN</t>
        </is>
      </c>
      <c r="E530" t="inlineStr">
        <is>
          <t>HÄRJEDALEN</t>
        </is>
      </c>
      <c r="G530" t="n">
        <v>30.5</v>
      </c>
      <c r="H530" t="n">
        <v>0</v>
      </c>
      <c r="I530" t="n">
        <v>2</v>
      </c>
      <c r="J530" t="n">
        <v>4</v>
      </c>
      <c r="K530" t="n">
        <v>0</v>
      </c>
      <c r="L530" t="n">
        <v>0</v>
      </c>
      <c r="M530" t="n">
        <v>0</v>
      </c>
      <c r="N530" t="n">
        <v>0</v>
      </c>
      <c r="O530" t="n">
        <v>4</v>
      </c>
      <c r="P530" t="n">
        <v>0</v>
      </c>
      <c r="Q530" t="n">
        <v>6</v>
      </c>
      <c r="R530" s="2" t="inlineStr">
        <is>
          <t>Garnlav
Granticka
Knottrig blåslav
Vitgrynig nållav
Stuplav
Vedticka</t>
        </is>
      </c>
      <c r="S530">
        <f>HYPERLINK("https://klasma.github.io/Logging_2361/artfynd/A 7732-2021 artfynd.xlsx", "A 7732-2021")</f>
        <v/>
      </c>
      <c r="T530">
        <f>HYPERLINK("https://klasma.github.io/Logging_2361/kartor/A 7732-2021 karta.png", "A 7732-2021")</f>
        <v/>
      </c>
      <c r="V530">
        <f>HYPERLINK("https://klasma.github.io/Logging_2361/klagomål/A 7732-2021 FSC-klagomål.docx", "A 7732-2021")</f>
        <v/>
      </c>
      <c r="W530">
        <f>HYPERLINK("https://klasma.github.io/Logging_2361/klagomålsmail/A 7732-2021 FSC-klagomål mail.docx", "A 7732-2021")</f>
        <v/>
      </c>
      <c r="X530">
        <f>HYPERLINK("https://klasma.github.io/Logging_2361/tillsyn/A 7732-2021 tillsynsbegäran.docx", "A 7732-2021")</f>
        <v/>
      </c>
      <c r="Y530">
        <f>HYPERLINK("https://klasma.github.io/Logging_2361/tillsynsmail/A 7732-2021 tillsynsbegäran mail.docx", "A 7732-2021")</f>
        <v/>
      </c>
    </row>
    <row r="531" ht="15" customHeight="1">
      <c r="A531" t="inlineStr">
        <is>
          <t>A 32065-2022</t>
        </is>
      </c>
      <c r="B531" s="1" t="n">
        <v>44778.55710648148</v>
      </c>
      <c r="C531" s="1" t="n">
        <v>46045</v>
      </c>
      <c r="D531" t="inlineStr">
        <is>
          <t>JÄMTLANDS LÄN</t>
        </is>
      </c>
      <c r="E531" t="inlineStr">
        <is>
          <t>ÅRE</t>
        </is>
      </c>
      <c r="G531" t="n">
        <v>19.2</v>
      </c>
      <c r="H531" t="n">
        <v>1</v>
      </c>
      <c r="I531" t="n">
        <v>2</v>
      </c>
      <c r="J531" t="n">
        <v>4</v>
      </c>
      <c r="K531" t="n">
        <v>0</v>
      </c>
      <c r="L531" t="n">
        <v>0</v>
      </c>
      <c r="M531" t="n">
        <v>0</v>
      </c>
      <c r="N531" t="n">
        <v>0</v>
      </c>
      <c r="O531" t="n">
        <v>4</v>
      </c>
      <c r="P531" t="n">
        <v>0</v>
      </c>
      <c r="Q531" t="n">
        <v>6</v>
      </c>
      <c r="R531" s="2" t="inlineStr">
        <is>
          <t>Granticka
Skrovellav
Tretåig hackspett
Ullticka
Sotlav
Stuplav</t>
        </is>
      </c>
      <c r="S531">
        <f>HYPERLINK("https://klasma.github.io/Logging_2321/artfynd/A 32065-2022 artfynd.xlsx", "A 32065-2022")</f>
        <v/>
      </c>
      <c r="T531">
        <f>HYPERLINK("https://klasma.github.io/Logging_2321/kartor/A 32065-2022 karta.png", "A 32065-2022")</f>
        <v/>
      </c>
      <c r="V531">
        <f>HYPERLINK("https://klasma.github.io/Logging_2321/klagomål/A 32065-2022 FSC-klagomål.docx", "A 32065-2022")</f>
        <v/>
      </c>
      <c r="W531">
        <f>HYPERLINK("https://klasma.github.io/Logging_2321/klagomålsmail/A 32065-2022 FSC-klagomål mail.docx", "A 32065-2022")</f>
        <v/>
      </c>
      <c r="X531">
        <f>HYPERLINK("https://klasma.github.io/Logging_2321/tillsyn/A 32065-2022 tillsynsbegäran.docx", "A 32065-2022")</f>
        <v/>
      </c>
      <c r="Y531">
        <f>HYPERLINK("https://klasma.github.io/Logging_2321/tillsynsmail/A 32065-2022 tillsynsbegäran mail.docx", "A 32065-2022")</f>
        <v/>
      </c>
      <c r="Z531">
        <f>HYPERLINK("https://klasma.github.io/Logging_2321/fåglar/A 32065-2022 prioriterade fågelarter.docx", "A 32065-2022")</f>
        <v/>
      </c>
    </row>
    <row r="532" ht="15" customHeight="1">
      <c r="A532" t="inlineStr">
        <is>
          <t>A 11786-2021</t>
        </is>
      </c>
      <c r="B532" s="1" t="n">
        <v>44265</v>
      </c>
      <c r="C532" s="1" t="n">
        <v>46045</v>
      </c>
      <c r="D532" t="inlineStr">
        <is>
          <t>JÄMTLANDS LÄN</t>
        </is>
      </c>
      <c r="E532" t="inlineStr">
        <is>
          <t>KROKOM</t>
        </is>
      </c>
      <c r="G532" t="n">
        <v>6.1</v>
      </c>
      <c r="H532" t="n">
        <v>2</v>
      </c>
      <c r="I532" t="n">
        <v>1</v>
      </c>
      <c r="J532" t="n">
        <v>4</v>
      </c>
      <c r="K532" t="n">
        <v>1</v>
      </c>
      <c r="L532" t="n">
        <v>0</v>
      </c>
      <c r="M532" t="n">
        <v>0</v>
      </c>
      <c r="N532" t="n">
        <v>0</v>
      </c>
      <c r="O532" t="n">
        <v>5</v>
      </c>
      <c r="P532" t="n">
        <v>1</v>
      </c>
      <c r="Q532" t="n">
        <v>6</v>
      </c>
      <c r="R532" s="2" t="inlineStr">
        <is>
          <t>Sprickporing
Garnlav
Granticka
Spillkråka
Tretåig hackspett
Vedticka</t>
        </is>
      </c>
      <c r="S532">
        <f>HYPERLINK("https://klasma.github.io/Logging_2309/artfynd/A 11786-2021 artfynd.xlsx", "A 11786-2021")</f>
        <v/>
      </c>
      <c r="T532">
        <f>HYPERLINK("https://klasma.github.io/Logging_2309/kartor/A 11786-2021 karta.png", "A 11786-2021")</f>
        <v/>
      </c>
      <c r="V532">
        <f>HYPERLINK("https://klasma.github.io/Logging_2309/klagomål/A 11786-2021 FSC-klagomål.docx", "A 11786-2021")</f>
        <v/>
      </c>
      <c r="W532">
        <f>HYPERLINK("https://klasma.github.io/Logging_2309/klagomålsmail/A 11786-2021 FSC-klagomål mail.docx", "A 11786-2021")</f>
        <v/>
      </c>
      <c r="X532">
        <f>HYPERLINK("https://klasma.github.io/Logging_2309/tillsyn/A 11786-2021 tillsynsbegäran.docx", "A 11786-2021")</f>
        <v/>
      </c>
      <c r="Y532">
        <f>HYPERLINK("https://klasma.github.io/Logging_2309/tillsynsmail/A 11786-2021 tillsynsbegäran mail.docx", "A 11786-2021")</f>
        <v/>
      </c>
      <c r="Z532">
        <f>HYPERLINK("https://klasma.github.io/Logging_2309/fåglar/A 11786-2021 prioriterade fågelarter.docx", "A 11786-2021")</f>
        <v/>
      </c>
    </row>
    <row r="533" ht="15" customHeight="1">
      <c r="A533" t="inlineStr">
        <is>
          <t>A 70205-2021</t>
        </is>
      </c>
      <c r="B533" s="1" t="n">
        <v>44534</v>
      </c>
      <c r="C533" s="1" t="n">
        <v>46045</v>
      </c>
      <c r="D533" t="inlineStr">
        <is>
          <t>JÄMTLANDS LÄN</t>
        </is>
      </c>
      <c r="E533" t="inlineStr">
        <is>
          <t>KROKOM</t>
        </is>
      </c>
      <c r="F533" t="inlineStr">
        <is>
          <t>SCA</t>
        </is>
      </c>
      <c r="G533" t="n">
        <v>5.4</v>
      </c>
      <c r="H533" t="n">
        <v>0</v>
      </c>
      <c r="I533" t="n">
        <v>1</v>
      </c>
      <c r="J533" t="n">
        <v>5</v>
      </c>
      <c r="K533" t="n">
        <v>0</v>
      </c>
      <c r="L533" t="n">
        <v>0</v>
      </c>
      <c r="M533" t="n">
        <v>0</v>
      </c>
      <c r="N533" t="n">
        <v>0</v>
      </c>
      <c r="O533" t="n">
        <v>5</v>
      </c>
      <c r="P533" t="n">
        <v>0</v>
      </c>
      <c r="Q533" t="n">
        <v>6</v>
      </c>
      <c r="R533" s="2" t="inlineStr">
        <is>
          <t>Garnlav
Granticka
Harticka
Skrovellav
Ullticka
Trådticka</t>
        </is>
      </c>
      <c r="S533">
        <f>HYPERLINK("https://klasma.github.io/Logging_2309/artfynd/A 70205-2021 artfynd.xlsx", "A 70205-2021")</f>
        <v/>
      </c>
      <c r="T533">
        <f>HYPERLINK("https://klasma.github.io/Logging_2309/kartor/A 70205-2021 karta.png", "A 70205-2021")</f>
        <v/>
      </c>
      <c r="V533">
        <f>HYPERLINK("https://klasma.github.io/Logging_2309/klagomål/A 70205-2021 FSC-klagomål.docx", "A 70205-2021")</f>
        <v/>
      </c>
      <c r="W533">
        <f>HYPERLINK("https://klasma.github.io/Logging_2309/klagomålsmail/A 70205-2021 FSC-klagomål mail.docx", "A 70205-2021")</f>
        <v/>
      </c>
      <c r="X533">
        <f>HYPERLINK("https://klasma.github.io/Logging_2309/tillsyn/A 70205-2021 tillsynsbegäran.docx", "A 70205-2021")</f>
        <v/>
      </c>
      <c r="Y533">
        <f>HYPERLINK("https://klasma.github.io/Logging_2309/tillsynsmail/A 70205-2021 tillsynsbegäran mail.docx", "A 70205-2021")</f>
        <v/>
      </c>
    </row>
    <row r="534" ht="15" customHeight="1">
      <c r="A534" t="inlineStr">
        <is>
          <t>A 32355-2021</t>
        </is>
      </c>
      <c r="B534" s="1" t="n">
        <v>44371</v>
      </c>
      <c r="C534" s="1" t="n">
        <v>46045</v>
      </c>
      <c r="D534" t="inlineStr">
        <is>
          <t>JÄMTLANDS LÄN</t>
        </is>
      </c>
      <c r="E534" t="inlineStr">
        <is>
          <t>STRÖMSUND</t>
        </is>
      </c>
      <c r="F534" t="inlineStr">
        <is>
          <t>SCA</t>
        </is>
      </c>
      <c r="G534" t="n">
        <v>14.3</v>
      </c>
      <c r="H534" t="n">
        <v>0</v>
      </c>
      <c r="I534" t="n">
        <v>0</v>
      </c>
      <c r="J534" t="n">
        <v>4</v>
      </c>
      <c r="K534" t="n">
        <v>2</v>
      </c>
      <c r="L534" t="n">
        <v>0</v>
      </c>
      <c r="M534" t="n">
        <v>0</v>
      </c>
      <c r="N534" t="n">
        <v>0</v>
      </c>
      <c r="O534" t="n">
        <v>6</v>
      </c>
      <c r="P534" t="n">
        <v>2</v>
      </c>
      <c r="Q534" t="n">
        <v>6</v>
      </c>
      <c r="R534" s="2" t="inlineStr">
        <is>
          <t>Liten sotlav
Norsk näverlav
Gammelgransskål
Granticka
Harticka
Ullticka</t>
        </is>
      </c>
      <c r="S534">
        <f>HYPERLINK("https://klasma.github.io/Logging_2313/artfynd/A 32355-2021 artfynd.xlsx", "A 32355-2021")</f>
        <v/>
      </c>
      <c r="T534">
        <f>HYPERLINK("https://klasma.github.io/Logging_2313/kartor/A 32355-2021 karta.png", "A 32355-2021")</f>
        <v/>
      </c>
      <c r="V534">
        <f>HYPERLINK("https://klasma.github.io/Logging_2313/klagomål/A 32355-2021 FSC-klagomål.docx", "A 32355-2021")</f>
        <v/>
      </c>
      <c r="W534">
        <f>HYPERLINK("https://klasma.github.io/Logging_2313/klagomålsmail/A 32355-2021 FSC-klagomål mail.docx", "A 32355-2021")</f>
        <v/>
      </c>
      <c r="X534">
        <f>HYPERLINK("https://klasma.github.io/Logging_2313/tillsyn/A 32355-2021 tillsynsbegäran.docx", "A 32355-2021")</f>
        <v/>
      </c>
      <c r="Y534">
        <f>HYPERLINK("https://klasma.github.io/Logging_2313/tillsynsmail/A 32355-2021 tillsynsbegäran mail.docx", "A 32355-2021")</f>
        <v/>
      </c>
    </row>
    <row r="535" ht="15" customHeight="1">
      <c r="A535" t="inlineStr">
        <is>
          <t>A 18731-2021</t>
        </is>
      </c>
      <c r="B535" s="1" t="n">
        <v>44307.42378472222</v>
      </c>
      <c r="C535" s="1" t="n">
        <v>46045</v>
      </c>
      <c r="D535" t="inlineStr">
        <is>
          <t>JÄMTLANDS LÄN</t>
        </is>
      </c>
      <c r="E535" t="inlineStr">
        <is>
          <t>KROKOM</t>
        </is>
      </c>
      <c r="G535" t="n">
        <v>2.7</v>
      </c>
      <c r="H535" t="n">
        <v>1</v>
      </c>
      <c r="I535" t="n">
        <v>0</v>
      </c>
      <c r="J535" t="n">
        <v>5</v>
      </c>
      <c r="K535" t="n">
        <v>1</v>
      </c>
      <c r="L535" t="n">
        <v>0</v>
      </c>
      <c r="M535" t="n">
        <v>0</v>
      </c>
      <c r="N535" t="n">
        <v>0</v>
      </c>
      <c r="O535" t="n">
        <v>6</v>
      </c>
      <c r="P535" t="n">
        <v>1</v>
      </c>
      <c r="Q535" t="n">
        <v>6</v>
      </c>
      <c r="R535" s="2" t="inlineStr">
        <is>
          <t>Rynkskinn
Garnlav
Lunglav
Skrovellav
Talltita
Ullticka</t>
        </is>
      </c>
      <c r="S535">
        <f>HYPERLINK("https://klasma.github.io/Logging_2309/artfynd/A 18731-2021 artfynd.xlsx", "A 18731-2021")</f>
        <v/>
      </c>
      <c r="T535">
        <f>HYPERLINK("https://klasma.github.io/Logging_2309/kartor/A 18731-2021 karta.png", "A 18731-2021")</f>
        <v/>
      </c>
      <c r="V535">
        <f>HYPERLINK("https://klasma.github.io/Logging_2309/klagomål/A 18731-2021 FSC-klagomål.docx", "A 18731-2021")</f>
        <v/>
      </c>
      <c r="W535">
        <f>HYPERLINK("https://klasma.github.io/Logging_2309/klagomålsmail/A 18731-2021 FSC-klagomål mail.docx", "A 18731-2021")</f>
        <v/>
      </c>
      <c r="X535">
        <f>HYPERLINK("https://klasma.github.io/Logging_2309/tillsyn/A 18731-2021 tillsynsbegäran.docx", "A 18731-2021")</f>
        <v/>
      </c>
      <c r="Y535">
        <f>HYPERLINK("https://klasma.github.io/Logging_2309/tillsynsmail/A 18731-2021 tillsynsbegäran mail.docx", "A 18731-2021")</f>
        <v/>
      </c>
      <c r="Z535">
        <f>HYPERLINK("https://klasma.github.io/Logging_2309/fåglar/A 18731-2021 prioriterade fågelarter.docx", "A 18731-2021")</f>
        <v/>
      </c>
    </row>
    <row r="536" ht="15" customHeight="1">
      <c r="A536" t="inlineStr">
        <is>
          <t>A 60004-2021</t>
        </is>
      </c>
      <c r="B536" s="1" t="n">
        <v>44494</v>
      </c>
      <c r="C536" s="1" t="n">
        <v>46045</v>
      </c>
      <c r="D536" t="inlineStr">
        <is>
          <t>JÄMTLANDS LÄN</t>
        </is>
      </c>
      <c r="E536" t="inlineStr">
        <is>
          <t>KROKOM</t>
        </is>
      </c>
      <c r="F536" t="inlineStr">
        <is>
          <t>SCA</t>
        </is>
      </c>
      <c r="G536" t="n">
        <v>5.8</v>
      </c>
      <c r="H536" t="n">
        <v>3</v>
      </c>
      <c r="I536" t="n">
        <v>3</v>
      </c>
      <c r="J536" t="n">
        <v>1</v>
      </c>
      <c r="K536" t="n">
        <v>1</v>
      </c>
      <c r="L536" t="n">
        <v>0</v>
      </c>
      <c r="M536" t="n">
        <v>0</v>
      </c>
      <c r="N536" t="n">
        <v>0</v>
      </c>
      <c r="O536" t="n">
        <v>2</v>
      </c>
      <c r="P536" t="n">
        <v>1</v>
      </c>
      <c r="Q536" t="n">
        <v>6</v>
      </c>
      <c r="R536" s="2" t="inlineStr">
        <is>
          <t>Knärot
Ullticka
Diskvaxskivling
Guckusko
Svavelriska
Blåsippa</t>
        </is>
      </c>
      <c r="S536">
        <f>HYPERLINK("https://klasma.github.io/Logging_2309/artfynd/A 60004-2021 artfynd.xlsx", "A 60004-2021")</f>
        <v/>
      </c>
      <c r="T536">
        <f>HYPERLINK("https://klasma.github.io/Logging_2309/kartor/A 60004-2021 karta.png", "A 60004-2021")</f>
        <v/>
      </c>
      <c r="U536">
        <f>HYPERLINK("https://klasma.github.io/Logging_2309/knärot/A 60004-2021 karta knärot.png", "A 60004-2021")</f>
        <v/>
      </c>
      <c r="V536">
        <f>HYPERLINK("https://klasma.github.io/Logging_2309/klagomål/A 60004-2021 FSC-klagomål.docx", "A 60004-2021")</f>
        <v/>
      </c>
      <c r="W536">
        <f>HYPERLINK("https://klasma.github.io/Logging_2309/klagomålsmail/A 60004-2021 FSC-klagomål mail.docx", "A 60004-2021")</f>
        <v/>
      </c>
      <c r="X536">
        <f>HYPERLINK("https://klasma.github.io/Logging_2309/tillsyn/A 60004-2021 tillsynsbegäran.docx", "A 60004-2021")</f>
        <v/>
      </c>
      <c r="Y536">
        <f>HYPERLINK("https://klasma.github.io/Logging_2309/tillsynsmail/A 60004-2021 tillsynsbegäran mail.docx", "A 60004-2021")</f>
        <v/>
      </c>
    </row>
    <row r="537" ht="15" customHeight="1">
      <c r="A537" t="inlineStr">
        <is>
          <t>A 22511-2021</t>
        </is>
      </c>
      <c r="B537" s="1" t="n">
        <v>44326</v>
      </c>
      <c r="C537" s="1" t="n">
        <v>46045</v>
      </c>
      <c r="D537" t="inlineStr">
        <is>
          <t>JÄMTLANDS LÄN</t>
        </is>
      </c>
      <c r="E537" t="inlineStr">
        <is>
          <t>KROKOM</t>
        </is>
      </c>
      <c r="G537" t="n">
        <v>6.9</v>
      </c>
      <c r="H537" t="n">
        <v>1</v>
      </c>
      <c r="I537" t="n">
        <v>0</v>
      </c>
      <c r="J537" t="n">
        <v>6</v>
      </c>
      <c r="K537" t="n">
        <v>0</v>
      </c>
      <c r="L537" t="n">
        <v>0</v>
      </c>
      <c r="M537" t="n">
        <v>0</v>
      </c>
      <c r="N537" t="n">
        <v>0</v>
      </c>
      <c r="O537" t="n">
        <v>6</v>
      </c>
      <c r="P537" t="n">
        <v>0</v>
      </c>
      <c r="Q537" t="n">
        <v>6</v>
      </c>
      <c r="R537" s="2" t="inlineStr">
        <is>
          <t>Doftskinn
Garnlav
Granticka
Harticka
Tretåig hackspett
Ullticka</t>
        </is>
      </c>
      <c r="S537">
        <f>HYPERLINK("https://klasma.github.io/Logging_2309/artfynd/A 22511-2021 artfynd.xlsx", "A 22511-2021")</f>
        <v/>
      </c>
      <c r="T537">
        <f>HYPERLINK("https://klasma.github.io/Logging_2309/kartor/A 22511-2021 karta.png", "A 22511-2021")</f>
        <v/>
      </c>
      <c r="V537">
        <f>HYPERLINK("https://klasma.github.io/Logging_2309/klagomål/A 22511-2021 FSC-klagomål.docx", "A 22511-2021")</f>
        <v/>
      </c>
      <c r="W537">
        <f>HYPERLINK("https://klasma.github.io/Logging_2309/klagomålsmail/A 22511-2021 FSC-klagomål mail.docx", "A 22511-2021")</f>
        <v/>
      </c>
      <c r="X537">
        <f>HYPERLINK("https://klasma.github.io/Logging_2309/tillsyn/A 22511-2021 tillsynsbegäran.docx", "A 22511-2021")</f>
        <v/>
      </c>
      <c r="Y537">
        <f>HYPERLINK("https://klasma.github.io/Logging_2309/tillsynsmail/A 22511-2021 tillsynsbegäran mail.docx", "A 22511-2021")</f>
        <v/>
      </c>
      <c r="Z537">
        <f>HYPERLINK("https://klasma.github.io/Logging_2309/fåglar/A 22511-2021 prioriterade fågelarter.docx", "A 22511-2021")</f>
        <v/>
      </c>
    </row>
    <row r="538" ht="15" customHeight="1">
      <c r="A538" t="inlineStr">
        <is>
          <t>A 56468-2024</t>
        </is>
      </c>
      <c r="B538" s="1" t="n">
        <v>45625.45384259259</v>
      </c>
      <c r="C538" s="1" t="n">
        <v>46045</v>
      </c>
      <c r="D538" t="inlineStr">
        <is>
          <t>JÄMTLANDS LÄN</t>
        </is>
      </c>
      <c r="E538" t="inlineStr">
        <is>
          <t>HÄRJEDALEN</t>
        </is>
      </c>
      <c r="F538" t="inlineStr">
        <is>
          <t>Bergvik skog väst AB</t>
        </is>
      </c>
      <c r="G538" t="n">
        <v>20.5</v>
      </c>
      <c r="H538" t="n">
        <v>2</v>
      </c>
      <c r="I538" t="n">
        <v>0</v>
      </c>
      <c r="J538" t="n">
        <v>5</v>
      </c>
      <c r="K538" t="n">
        <v>1</v>
      </c>
      <c r="L538" t="n">
        <v>0</v>
      </c>
      <c r="M538" t="n">
        <v>0</v>
      </c>
      <c r="N538" t="n">
        <v>0</v>
      </c>
      <c r="O538" t="n">
        <v>6</v>
      </c>
      <c r="P538" t="n">
        <v>1</v>
      </c>
      <c r="Q538" t="n">
        <v>6</v>
      </c>
      <c r="R538" s="2" t="inlineStr">
        <is>
          <t>Knärot
Knottrig blåslav
Kolflarnlav
Lunglav
Tretåig hackspett
Violettgrå tagellav</t>
        </is>
      </c>
      <c r="S538">
        <f>HYPERLINK("https://klasma.github.io/Logging_2361/artfynd/A 56468-2024 artfynd.xlsx", "A 56468-2024")</f>
        <v/>
      </c>
      <c r="T538">
        <f>HYPERLINK("https://klasma.github.io/Logging_2361/kartor/A 56468-2024 karta.png", "A 56468-2024")</f>
        <v/>
      </c>
      <c r="U538">
        <f>HYPERLINK("https://klasma.github.io/Logging_2361/knärot/A 56468-2024 karta knärot.png", "A 56468-2024")</f>
        <v/>
      </c>
      <c r="V538">
        <f>HYPERLINK("https://klasma.github.io/Logging_2361/klagomål/A 56468-2024 FSC-klagomål.docx", "A 56468-2024")</f>
        <v/>
      </c>
      <c r="W538">
        <f>HYPERLINK("https://klasma.github.io/Logging_2361/klagomålsmail/A 56468-2024 FSC-klagomål mail.docx", "A 56468-2024")</f>
        <v/>
      </c>
      <c r="X538">
        <f>HYPERLINK("https://klasma.github.io/Logging_2361/tillsyn/A 56468-2024 tillsynsbegäran.docx", "A 56468-2024")</f>
        <v/>
      </c>
      <c r="Y538">
        <f>HYPERLINK("https://klasma.github.io/Logging_2361/tillsynsmail/A 56468-2024 tillsynsbegäran mail.docx", "A 56468-2024")</f>
        <v/>
      </c>
      <c r="Z538">
        <f>HYPERLINK("https://klasma.github.io/Logging_2361/fåglar/A 56468-2024 prioriterade fågelarter.docx", "A 56468-2024")</f>
        <v/>
      </c>
    </row>
    <row r="539" ht="15" customHeight="1">
      <c r="A539" t="inlineStr">
        <is>
          <t>A 11828-2023</t>
        </is>
      </c>
      <c r="B539" s="1" t="n">
        <v>44994</v>
      </c>
      <c r="C539" s="1" t="n">
        <v>46045</v>
      </c>
      <c r="D539" t="inlineStr">
        <is>
          <t>JÄMTLANDS LÄN</t>
        </is>
      </c>
      <c r="E539" t="inlineStr">
        <is>
          <t>RAGUNDA</t>
        </is>
      </c>
      <c r="F539" t="inlineStr">
        <is>
          <t>SCA</t>
        </is>
      </c>
      <c r="G539" t="n">
        <v>2.7</v>
      </c>
      <c r="H539" t="n">
        <v>0</v>
      </c>
      <c r="I539" t="n">
        <v>0</v>
      </c>
      <c r="J539" t="n">
        <v>6</v>
      </c>
      <c r="K539" t="n">
        <v>0</v>
      </c>
      <c r="L539" t="n">
        <v>0</v>
      </c>
      <c r="M539" t="n">
        <v>0</v>
      </c>
      <c r="N539" t="n">
        <v>0</v>
      </c>
      <c r="O539" t="n">
        <v>6</v>
      </c>
      <c r="P539" t="n">
        <v>0</v>
      </c>
      <c r="Q539" t="n">
        <v>6</v>
      </c>
      <c r="R539" s="2" t="inlineStr">
        <is>
          <t>Dvärgbägarlav
Garnlav
Kolflarnlav
Mörk kolflarnlav
Vedskivlav
Vedtrappmossa</t>
        </is>
      </c>
      <c r="S539">
        <f>HYPERLINK("https://klasma.github.io/Logging_2303/artfynd/A 11828-2023 artfynd.xlsx", "A 11828-2023")</f>
        <v/>
      </c>
      <c r="T539">
        <f>HYPERLINK("https://klasma.github.io/Logging_2303/kartor/A 11828-2023 karta.png", "A 11828-2023")</f>
        <v/>
      </c>
      <c r="V539">
        <f>HYPERLINK("https://klasma.github.io/Logging_2303/klagomål/A 11828-2023 FSC-klagomål.docx", "A 11828-2023")</f>
        <v/>
      </c>
      <c r="W539">
        <f>HYPERLINK("https://klasma.github.io/Logging_2303/klagomålsmail/A 11828-2023 FSC-klagomål mail.docx", "A 11828-2023")</f>
        <v/>
      </c>
      <c r="X539">
        <f>HYPERLINK("https://klasma.github.io/Logging_2303/tillsyn/A 11828-2023 tillsynsbegäran.docx", "A 11828-2023")</f>
        <v/>
      </c>
      <c r="Y539">
        <f>HYPERLINK("https://klasma.github.io/Logging_2303/tillsynsmail/A 11828-2023 tillsynsbegäran mail.docx", "A 11828-2023")</f>
        <v/>
      </c>
    </row>
    <row r="540" ht="15" customHeight="1">
      <c r="A540" t="inlineStr">
        <is>
          <t>A 43989-2023</t>
        </is>
      </c>
      <c r="B540" s="1" t="n">
        <v>45187</v>
      </c>
      <c r="C540" s="1" t="n">
        <v>46045</v>
      </c>
      <c r="D540" t="inlineStr">
        <is>
          <t>JÄMTLANDS LÄN</t>
        </is>
      </c>
      <c r="E540" t="inlineStr">
        <is>
          <t>BRÄCKE</t>
        </is>
      </c>
      <c r="F540" t="inlineStr">
        <is>
          <t>SCA</t>
        </is>
      </c>
      <c r="G540" t="n">
        <v>6.1</v>
      </c>
      <c r="H540" t="n">
        <v>5</v>
      </c>
      <c r="I540" t="n">
        <v>2</v>
      </c>
      <c r="J540" t="n">
        <v>2</v>
      </c>
      <c r="K540" t="n">
        <v>0</v>
      </c>
      <c r="L540" t="n">
        <v>0</v>
      </c>
      <c r="M540" t="n">
        <v>0</v>
      </c>
      <c r="N540" t="n">
        <v>0</v>
      </c>
      <c r="O540" t="n">
        <v>2</v>
      </c>
      <c r="P540" t="n">
        <v>0</v>
      </c>
      <c r="Q540" t="n">
        <v>6</v>
      </c>
      <c r="R540" s="2" t="inlineStr">
        <is>
          <t>Brunklöver
Rödvingetrast
Plattlummer
Spindelblomster
Fläcknycklar
Revlummer</t>
        </is>
      </c>
      <c r="S540">
        <f>HYPERLINK("https://klasma.github.io/Logging_2305/artfynd/A 43989-2023 artfynd.xlsx", "A 43989-2023")</f>
        <v/>
      </c>
      <c r="T540">
        <f>HYPERLINK("https://klasma.github.io/Logging_2305/kartor/A 43989-2023 karta.png", "A 43989-2023")</f>
        <v/>
      </c>
      <c r="V540">
        <f>HYPERLINK("https://klasma.github.io/Logging_2305/klagomål/A 43989-2023 FSC-klagomål.docx", "A 43989-2023")</f>
        <v/>
      </c>
      <c r="W540">
        <f>HYPERLINK("https://klasma.github.io/Logging_2305/klagomålsmail/A 43989-2023 FSC-klagomål mail.docx", "A 43989-2023")</f>
        <v/>
      </c>
      <c r="X540">
        <f>HYPERLINK("https://klasma.github.io/Logging_2305/tillsyn/A 43989-2023 tillsynsbegäran.docx", "A 43989-2023")</f>
        <v/>
      </c>
      <c r="Y540">
        <f>HYPERLINK("https://klasma.github.io/Logging_2305/tillsynsmail/A 43989-2023 tillsynsbegäran mail.docx", "A 43989-2023")</f>
        <v/>
      </c>
      <c r="Z540">
        <f>HYPERLINK("https://klasma.github.io/Logging_2305/fåglar/A 43989-2023 prioriterade fågelarter.docx", "A 43989-2023")</f>
        <v/>
      </c>
    </row>
    <row r="541" ht="15" customHeight="1">
      <c r="A541" t="inlineStr">
        <is>
          <t>A 538-2023</t>
        </is>
      </c>
      <c r="B541" s="1" t="n">
        <v>44930</v>
      </c>
      <c r="C541" s="1" t="n">
        <v>46045</v>
      </c>
      <c r="D541" t="inlineStr">
        <is>
          <t>JÄMTLANDS LÄN</t>
        </is>
      </c>
      <c r="E541" t="inlineStr">
        <is>
          <t>STRÖMSUND</t>
        </is>
      </c>
      <c r="G541" t="n">
        <v>108.6</v>
      </c>
      <c r="H541" t="n">
        <v>2</v>
      </c>
      <c r="I541" t="n">
        <v>1</v>
      </c>
      <c r="J541" t="n">
        <v>5</v>
      </c>
      <c r="K541" t="n">
        <v>0</v>
      </c>
      <c r="L541" t="n">
        <v>0</v>
      </c>
      <c r="M541" t="n">
        <v>0</v>
      </c>
      <c r="N541" t="n">
        <v>0</v>
      </c>
      <c r="O541" t="n">
        <v>5</v>
      </c>
      <c r="P541" t="n">
        <v>0</v>
      </c>
      <c r="Q541" t="n">
        <v>6</v>
      </c>
      <c r="R541" s="2" t="inlineStr">
        <is>
          <t>Garnlav
Granticka
Skrovellav
Talltita
Tretåig hackspett
Stuplav</t>
        </is>
      </c>
      <c r="S541">
        <f>HYPERLINK("https://klasma.github.io/Logging_2313/artfynd/A 538-2023 artfynd.xlsx", "A 538-2023")</f>
        <v/>
      </c>
      <c r="T541">
        <f>HYPERLINK("https://klasma.github.io/Logging_2313/kartor/A 538-2023 karta.png", "A 538-2023")</f>
        <v/>
      </c>
      <c r="V541">
        <f>HYPERLINK("https://klasma.github.io/Logging_2313/klagomål/A 538-2023 FSC-klagomål.docx", "A 538-2023")</f>
        <v/>
      </c>
      <c r="W541">
        <f>HYPERLINK("https://klasma.github.io/Logging_2313/klagomålsmail/A 538-2023 FSC-klagomål mail.docx", "A 538-2023")</f>
        <v/>
      </c>
      <c r="X541">
        <f>HYPERLINK("https://klasma.github.io/Logging_2313/tillsyn/A 538-2023 tillsynsbegäran.docx", "A 538-2023")</f>
        <v/>
      </c>
      <c r="Y541">
        <f>HYPERLINK("https://klasma.github.io/Logging_2313/tillsynsmail/A 538-2023 tillsynsbegäran mail.docx", "A 538-2023")</f>
        <v/>
      </c>
      <c r="Z541">
        <f>HYPERLINK("https://klasma.github.io/Logging_2313/fåglar/A 538-2023 prioriterade fågelarter.docx", "A 538-2023")</f>
        <v/>
      </c>
    </row>
    <row r="542" ht="15" customHeight="1">
      <c r="A542" t="inlineStr">
        <is>
          <t>A 24523-2021</t>
        </is>
      </c>
      <c r="B542" s="1" t="n">
        <v>44337</v>
      </c>
      <c r="C542" s="1" t="n">
        <v>46045</v>
      </c>
      <c r="D542" t="inlineStr">
        <is>
          <t>JÄMTLANDS LÄN</t>
        </is>
      </c>
      <c r="E542" t="inlineStr">
        <is>
          <t>ÖSTERSUND</t>
        </is>
      </c>
      <c r="G542" t="n">
        <v>9.300000000000001</v>
      </c>
      <c r="H542" t="n">
        <v>2</v>
      </c>
      <c r="I542" t="n">
        <v>3</v>
      </c>
      <c r="J542" t="n">
        <v>2</v>
      </c>
      <c r="K542" t="n">
        <v>0</v>
      </c>
      <c r="L542" t="n">
        <v>0</v>
      </c>
      <c r="M542" t="n">
        <v>0</v>
      </c>
      <c r="N542" t="n">
        <v>0</v>
      </c>
      <c r="O542" t="n">
        <v>2</v>
      </c>
      <c r="P542" t="n">
        <v>0</v>
      </c>
      <c r="Q542" t="n">
        <v>6</v>
      </c>
      <c r="R542" s="2" t="inlineStr">
        <is>
          <t>Garnlav
Spillkråka
Svart trolldruva
Tibast
Underviol
Blåsippa</t>
        </is>
      </c>
      <c r="S542">
        <f>HYPERLINK("https://klasma.github.io/Logging_2380/artfynd/A 24523-2021 artfynd.xlsx", "A 24523-2021")</f>
        <v/>
      </c>
      <c r="T542">
        <f>HYPERLINK("https://klasma.github.io/Logging_2380/kartor/A 24523-2021 karta.png", "A 24523-2021")</f>
        <v/>
      </c>
      <c r="V542">
        <f>HYPERLINK("https://klasma.github.io/Logging_2380/klagomål/A 24523-2021 FSC-klagomål.docx", "A 24523-2021")</f>
        <v/>
      </c>
      <c r="W542">
        <f>HYPERLINK("https://klasma.github.io/Logging_2380/klagomålsmail/A 24523-2021 FSC-klagomål mail.docx", "A 24523-2021")</f>
        <v/>
      </c>
      <c r="X542">
        <f>HYPERLINK("https://klasma.github.io/Logging_2380/tillsyn/A 24523-2021 tillsynsbegäran.docx", "A 24523-2021")</f>
        <v/>
      </c>
      <c r="Y542">
        <f>HYPERLINK("https://klasma.github.io/Logging_2380/tillsynsmail/A 24523-2021 tillsynsbegäran mail.docx", "A 24523-2021")</f>
        <v/>
      </c>
      <c r="Z542">
        <f>HYPERLINK("https://klasma.github.io/Logging_2380/fåglar/A 24523-2021 prioriterade fågelarter.docx", "A 24523-2021")</f>
        <v/>
      </c>
    </row>
    <row r="543" ht="15" customHeight="1">
      <c r="A543" t="inlineStr">
        <is>
          <t>A 43982-2023</t>
        </is>
      </c>
      <c r="B543" s="1" t="n">
        <v>45187</v>
      </c>
      <c r="C543" s="1" t="n">
        <v>46045</v>
      </c>
      <c r="D543" t="inlineStr">
        <is>
          <t>JÄMTLANDS LÄN</t>
        </is>
      </c>
      <c r="E543" t="inlineStr">
        <is>
          <t>BRÄCKE</t>
        </is>
      </c>
      <c r="F543" t="inlineStr">
        <is>
          <t>SCA</t>
        </is>
      </c>
      <c r="G543" t="n">
        <v>25.6</v>
      </c>
      <c r="H543" t="n">
        <v>4</v>
      </c>
      <c r="I543" t="n">
        <v>2</v>
      </c>
      <c r="J543" t="n">
        <v>3</v>
      </c>
      <c r="K543" t="n">
        <v>1</v>
      </c>
      <c r="L543" t="n">
        <v>0</v>
      </c>
      <c r="M543" t="n">
        <v>0</v>
      </c>
      <c r="N543" t="n">
        <v>0</v>
      </c>
      <c r="O543" t="n">
        <v>4</v>
      </c>
      <c r="P543" t="n">
        <v>1</v>
      </c>
      <c r="Q543" t="n">
        <v>6</v>
      </c>
      <c r="R543" s="2" t="inlineStr">
        <is>
          <t>Knärot
Kolflarnlav
Lunglav
Tretåig hackspett
Korallrot
Spindelblomster</t>
        </is>
      </c>
      <c r="S543">
        <f>HYPERLINK("https://klasma.github.io/Logging_2305/artfynd/A 43982-2023 artfynd.xlsx", "A 43982-2023")</f>
        <v/>
      </c>
      <c r="T543">
        <f>HYPERLINK("https://klasma.github.io/Logging_2305/kartor/A 43982-2023 karta.png", "A 43982-2023")</f>
        <v/>
      </c>
      <c r="U543">
        <f>HYPERLINK("https://klasma.github.io/Logging_2305/knärot/A 43982-2023 karta knärot.png", "A 43982-2023")</f>
        <v/>
      </c>
      <c r="V543">
        <f>HYPERLINK("https://klasma.github.io/Logging_2305/klagomål/A 43982-2023 FSC-klagomål.docx", "A 43982-2023")</f>
        <v/>
      </c>
      <c r="W543">
        <f>HYPERLINK("https://klasma.github.io/Logging_2305/klagomålsmail/A 43982-2023 FSC-klagomål mail.docx", "A 43982-2023")</f>
        <v/>
      </c>
      <c r="X543">
        <f>HYPERLINK("https://klasma.github.io/Logging_2305/tillsyn/A 43982-2023 tillsynsbegäran.docx", "A 43982-2023")</f>
        <v/>
      </c>
      <c r="Y543">
        <f>HYPERLINK("https://klasma.github.io/Logging_2305/tillsynsmail/A 43982-2023 tillsynsbegäran mail.docx", "A 43982-2023")</f>
        <v/>
      </c>
      <c r="Z543">
        <f>HYPERLINK("https://klasma.github.io/Logging_2305/fåglar/A 43982-2023 prioriterade fågelarter.docx", "A 43982-2023")</f>
        <v/>
      </c>
    </row>
    <row r="544" ht="15" customHeight="1">
      <c r="A544" t="inlineStr">
        <is>
          <t>A 26326-2024</t>
        </is>
      </c>
      <c r="B544" s="1" t="n">
        <v>45468.97528935185</v>
      </c>
      <c r="C544" s="1" t="n">
        <v>46045</v>
      </c>
      <c r="D544" t="inlineStr">
        <is>
          <t>JÄMTLANDS LÄN</t>
        </is>
      </c>
      <c r="E544" t="inlineStr">
        <is>
          <t>RAGUNDA</t>
        </is>
      </c>
      <c r="F544" t="inlineStr">
        <is>
          <t>SCA</t>
        </is>
      </c>
      <c r="G544" t="n">
        <v>1.8</v>
      </c>
      <c r="H544" t="n">
        <v>1</v>
      </c>
      <c r="I544" t="n">
        <v>1</v>
      </c>
      <c r="J544" t="n">
        <v>4</v>
      </c>
      <c r="K544" t="n">
        <v>1</v>
      </c>
      <c r="L544" t="n">
        <v>0</v>
      </c>
      <c r="M544" t="n">
        <v>0</v>
      </c>
      <c r="N544" t="n">
        <v>0</v>
      </c>
      <c r="O544" t="n">
        <v>5</v>
      </c>
      <c r="P544" t="n">
        <v>1</v>
      </c>
      <c r="Q544" t="n">
        <v>6</v>
      </c>
      <c r="R544" s="2" t="inlineStr">
        <is>
          <t>Knärot
Gammelgransskål
Kortskaftad ärgspik
Mörk kolflarnlav
Vedtrappmossa
Gytterlav</t>
        </is>
      </c>
      <c r="S544">
        <f>HYPERLINK("https://klasma.github.io/Logging_2303/artfynd/A 26326-2024 artfynd.xlsx", "A 26326-2024")</f>
        <v/>
      </c>
      <c r="T544">
        <f>HYPERLINK("https://klasma.github.io/Logging_2303/kartor/A 26326-2024 karta.png", "A 26326-2024")</f>
        <v/>
      </c>
      <c r="U544">
        <f>HYPERLINK("https://klasma.github.io/Logging_2303/knärot/A 26326-2024 karta knärot.png", "A 26326-2024")</f>
        <v/>
      </c>
      <c r="V544">
        <f>HYPERLINK("https://klasma.github.io/Logging_2303/klagomål/A 26326-2024 FSC-klagomål.docx", "A 26326-2024")</f>
        <v/>
      </c>
      <c r="W544">
        <f>HYPERLINK("https://klasma.github.io/Logging_2303/klagomålsmail/A 26326-2024 FSC-klagomål mail.docx", "A 26326-2024")</f>
        <v/>
      </c>
      <c r="X544">
        <f>HYPERLINK("https://klasma.github.io/Logging_2303/tillsyn/A 26326-2024 tillsynsbegäran.docx", "A 26326-2024")</f>
        <v/>
      </c>
      <c r="Y544">
        <f>HYPERLINK("https://klasma.github.io/Logging_2303/tillsynsmail/A 26326-2024 tillsynsbegäran mail.docx", "A 26326-2024")</f>
        <v/>
      </c>
    </row>
    <row r="545" ht="15" customHeight="1">
      <c r="A545" t="inlineStr">
        <is>
          <t>A 35158-2022</t>
        </is>
      </c>
      <c r="B545" s="1" t="n">
        <v>44797</v>
      </c>
      <c r="C545" s="1" t="n">
        <v>46045</v>
      </c>
      <c r="D545" t="inlineStr">
        <is>
          <t>JÄMTLANDS LÄN</t>
        </is>
      </c>
      <c r="E545" t="inlineStr">
        <is>
          <t>KROKOM</t>
        </is>
      </c>
      <c r="G545" t="n">
        <v>17.5</v>
      </c>
      <c r="H545" t="n">
        <v>1</v>
      </c>
      <c r="I545" t="n">
        <v>2</v>
      </c>
      <c r="J545" t="n">
        <v>4</v>
      </c>
      <c r="K545" t="n">
        <v>0</v>
      </c>
      <c r="L545" t="n">
        <v>0</v>
      </c>
      <c r="M545" t="n">
        <v>0</v>
      </c>
      <c r="N545" t="n">
        <v>0</v>
      </c>
      <c r="O545" t="n">
        <v>4</v>
      </c>
      <c r="P545" t="n">
        <v>0</v>
      </c>
      <c r="Q545" t="n">
        <v>6</v>
      </c>
      <c r="R545" s="2" t="inlineStr">
        <is>
          <t>Lunglav
Skrovellav
Ullticka
Vitgrynig nållav
Grönkulla
Vedticka</t>
        </is>
      </c>
      <c r="S545">
        <f>HYPERLINK("https://klasma.github.io/Logging_2309/artfynd/A 35158-2022 artfynd.xlsx", "A 35158-2022")</f>
        <v/>
      </c>
      <c r="T545">
        <f>HYPERLINK("https://klasma.github.io/Logging_2309/kartor/A 35158-2022 karta.png", "A 35158-2022")</f>
        <v/>
      </c>
      <c r="V545">
        <f>HYPERLINK("https://klasma.github.io/Logging_2309/klagomål/A 35158-2022 FSC-klagomål.docx", "A 35158-2022")</f>
        <v/>
      </c>
      <c r="W545">
        <f>HYPERLINK("https://klasma.github.io/Logging_2309/klagomålsmail/A 35158-2022 FSC-klagomål mail.docx", "A 35158-2022")</f>
        <v/>
      </c>
      <c r="X545">
        <f>HYPERLINK("https://klasma.github.io/Logging_2309/tillsyn/A 35158-2022 tillsynsbegäran.docx", "A 35158-2022")</f>
        <v/>
      </c>
      <c r="Y545">
        <f>HYPERLINK("https://klasma.github.io/Logging_2309/tillsynsmail/A 35158-2022 tillsynsbegäran mail.docx", "A 35158-2022")</f>
        <v/>
      </c>
    </row>
    <row r="546" ht="15" customHeight="1">
      <c r="A546" t="inlineStr">
        <is>
          <t>A 35419-2024</t>
        </is>
      </c>
      <c r="B546" s="1" t="n">
        <v>45531.40895833333</v>
      </c>
      <c r="C546" s="1" t="n">
        <v>46045</v>
      </c>
      <c r="D546" t="inlineStr">
        <is>
          <t>JÄMTLANDS LÄN</t>
        </is>
      </c>
      <c r="E546" t="inlineStr">
        <is>
          <t>BRÄCKE</t>
        </is>
      </c>
      <c r="F546" t="inlineStr">
        <is>
          <t>SCA</t>
        </is>
      </c>
      <c r="G546" t="n">
        <v>3.6</v>
      </c>
      <c r="H546" t="n">
        <v>3</v>
      </c>
      <c r="I546" t="n">
        <v>1</v>
      </c>
      <c r="J546" t="n">
        <v>3</v>
      </c>
      <c r="K546" t="n">
        <v>0</v>
      </c>
      <c r="L546" t="n">
        <v>0</v>
      </c>
      <c r="M546" t="n">
        <v>0</v>
      </c>
      <c r="N546" t="n">
        <v>0</v>
      </c>
      <c r="O546" t="n">
        <v>3</v>
      </c>
      <c r="P546" t="n">
        <v>0</v>
      </c>
      <c r="Q546" t="n">
        <v>6</v>
      </c>
      <c r="R546" s="2" t="inlineStr">
        <is>
          <t>Lunglav
Skrovellav
Talltita
Stuplav
Kungsfågel
Nattviol</t>
        </is>
      </c>
      <c r="S546">
        <f>HYPERLINK("https://klasma.github.io/Logging_2305/artfynd/A 35419-2024 artfynd.xlsx", "A 35419-2024")</f>
        <v/>
      </c>
      <c r="T546">
        <f>HYPERLINK("https://klasma.github.io/Logging_2305/kartor/A 35419-2024 karta.png", "A 35419-2024")</f>
        <v/>
      </c>
      <c r="V546">
        <f>HYPERLINK("https://klasma.github.io/Logging_2305/klagomål/A 35419-2024 FSC-klagomål.docx", "A 35419-2024")</f>
        <v/>
      </c>
      <c r="W546">
        <f>HYPERLINK("https://klasma.github.io/Logging_2305/klagomålsmail/A 35419-2024 FSC-klagomål mail.docx", "A 35419-2024")</f>
        <v/>
      </c>
      <c r="X546">
        <f>HYPERLINK("https://klasma.github.io/Logging_2305/tillsyn/A 35419-2024 tillsynsbegäran.docx", "A 35419-2024")</f>
        <v/>
      </c>
      <c r="Y546">
        <f>HYPERLINK("https://klasma.github.io/Logging_2305/tillsynsmail/A 35419-2024 tillsynsbegäran mail.docx", "A 35419-2024")</f>
        <v/>
      </c>
      <c r="Z546">
        <f>HYPERLINK("https://klasma.github.io/Logging_2305/fåglar/A 35419-2024 prioriterade fågelarter.docx", "A 35419-2024")</f>
        <v/>
      </c>
    </row>
    <row r="547" ht="15" customHeight="1">
      <c r="A547" t="inlineStr">
        <is>
          <t>A 47392-2022</t>
        </is>
      </c>
      <c r="B547" s="1" t="n">
        <v>44851</v>
      </c>
      <c r="C547" s="1" t="n">
        <v>46045</v>
      </c>
      <c r="D547" t="inlineStr">
        <is>
          <t>JÄMTLANDS LÄN</t>
        </is>
      </c>
      <c r="E547" t="inlineStr">
        <is>
          <t>ÖSTERSUND</t>
        </is>
      </c>
      <c r="G547" t="n">
        <v>1.6</v>
      </c>
      <c r="H547" t="n">
        <v>4</v>
      </c>
      <c r="I547" t="n">
        <v>3</v>
      </c>
      <c r="J547" t="n">
        <v>1</v>
      </c>
      <c r="K547" t="n">
        <v>1</v>
      </c>
      <c r="L547" t="n">
        <v>0</v>
      </c>
      <c r="M547" t="n">
        <v>0</v>
      </c>
      <c r="N547" t="n">
        <v>0</v>
      </c>
      <c r="O547" t="n">
        <v>2</v>
      </c>
      <c r="P547" t="n">
        <v>1</v>
      </c>
      <c r="Q547" t="n">
        <v>6</v>
      </c>
      <c r="R547" s="2" t="inlineStr">
        <is>
          <t>Knärot
Garnlav
Guckusko
Plattlummer
Trådfräken
Revlummer</t>
        </is>
      </c>
      <c r="S547">
        <f>HYPERLINK("https://klasma.github.io/Logging_2380/artfynd/A 47392-2022 artfynd.xlsx", "A 47392-2022")</f>
        <v/>
      </c>
      <c r="T547">
        <f>HYPERLINK("https://klasma.github.io/Logging_2380/kartor/A 47392-2022 karta.png", "A 47392-2022")</f>
        <v/>
      </c>
      <c r="U547">
        <f>HYPERLINK("https://klasma.github.io/Logging_2380/knärot/A 47392-2022 karta knärot.png", "A 47392-2022")</f>
        <v/>
      </c>
      <c r="V547">
        <f>HYPERLINK("https://klasma.github.io/Logging_2380/klagomål/A 47392-2022 FSC-klagomål.docx", "A 47392-2022")</f>
        <v/>
      </c>
      <c r="W547">
        <f>HYPERLINK("https://klasma.github.io/Logging_2380/klagomålsmail/A 47392-2022 FSC-klagomål mail.docx", "A 47392-2022")</f>
        <v/>
      </c>
      <c r="X547">
        <f>HYPERLINK("https://klasma.github.io/Logging_2380/tillsyn/A 47392-2022 tillsynsbegäran.docx", "A 47392-2022")</f>
        <v/>
      </c>
      <c r="Y547">
        <f>HYPERLINK("https://klasma.github.io/Logging_2380/tillsynsmail/A 47392-2022 tillsynsbegäran mail.docx", "A 47392-2022")</f>
        <v/>
      </c>
    </row>
    <row r="548" ht="15" customHeight="1">
      <c r="A548" t="inlineStr">
        <is>
          <t>A 27322-2024</t>
        </is>
      </c>
      <c r="B548" s="1" t="n">
        <v>45471.94783564815</v>
      </c>
      <c r="C548" s="1" t="n">
        <v>46045</v>
      </c>
      <c r="D548" t="inlineStr">
        <is>
          <t>JÄMTLANDS LÄN</t>
        </is>
      </c>
      <c r="E548" t="inlineStr">
        <is>
          <t>RAGUNDA</t>
        </is>
      </c>
      <c r="G548" t="n">
        <v>2.3</v>
      </c>
      <c r="H548" t="n">
        <v>1</v>
      </c>
      <c r="I548" t="n">
        <v>0</v>
      </c>
      <c r="J548" t="n">
        <v>5</v>
      </c>
      <c r="K548" t="n">
        <v>1</v>
      </c>
      <c r="L548" t="n">
        <v>0</v>
      </c>
      <c r="M548" t="n">
        <v>0</v>
      </c>
      <c r="N548" t="n">
        <v>0</v>
      </c>
      <c r="O548" t="n">
        <v>6</v>
      </c>
      <c r="P548" t="n">
        <v>1</v>
      </c>
      <c r="Q548" t="n">
        <v>6</v>
      </c>
      <c r="R548" s="2" t="inlineStr">
        <is>
          <t>Knärot
Gammelgransskål
Garnlav
Lunglav
Skrovellav
Vedtrappmossa</t>
        </is>
      </c>
      <c r="S548">
        <f>HYPERLINK("https://klasma.github.io/Logging_2303/artfynd/A 27322-2024 artfynd.xlsx", "A 27322-2024")</f>
        <v/>
      </c>
      <c r="T548">
        <f>HYPERLINK("https://klasma.github.io/Logging_2303/kartor/A 27322-2024 karta.png", "A 27322-2024")</f>
        <v/>
      </c>
      <c r="U548">
        <f>HYPERLINK("https://klasma.github.io/Logging_2303/knärot/A 27322-2024 karta knärot.png", "A 27322-2024")</f>
        <v/>
      </c>
      <c r="V548">
        <f>HYPERLINK("https://klasma.github.io/Logging_2303/klagomål/A 27322-2024 FSC-klagomål.docx", "A 27322-2024")</f>
        <v/>
      </c>
      <c r="W548">
        <f>HYPERLINK("https://klasma.github.io/Logging_2303/klagomålsmail/A 27322-2024 FSC-klagomål mail.docx", "A 27322-2024")</f>
        <v/>
      </c>
      <c r="X548">
        <f>HYPERLINK("https://klasma.github.io/Logging_2303/tillsyn/A 27322-2024 tillsynsbegäran.docx", "A 27322-2024")</f>
        <v/>
      </c>
      <c r="Y548">
        <f>HYPERLINK("https://klasma.github.io/Logging_2303/tillsynsmail/A 27322-2024 tillsynsbegäran mail.docx", "A 27322-2024")</f>
        <v/>
      </c>
    </row>
    <row r="549" ht="15" customHeight="1">
      <c r="A549" t="inlineStr">
        <is>
          <t>A 27490-2024</t>
        </is>
      </c>
      <c r="B549" s="1" t="n">
        <v>45474</v>
      </c>
      <c r="C549" s="1" t="n">
        <v>46045</v>
      </c>
      <c r="D549" t="inlineStr">
        <is>
          <t>JÄMTLANDS LÄN</t>
        </is>
      </c>
      <c r="E549" t="inlineStr">
        <is>
          <t>KROKOM</t>
        </is>
      </c>
      <c r="F549" t="inlineStr">
        <is>
          <t>Allmännings- och besparingsskogar</t>
        </is>
      </c>
      <c r="G549" t="n">
        <v>65.40000000000001</v>
      </c>
      <c r="H549" t="n">
        <v>1</v>
      </c>
      <c r="I549" t="n">
        <v>0</v>
      </c>
      <c r="J549" t="n">
        <v>5</v>
      </c>
      <c r="K549" t="n">
        <v>1</v>
      </c>
      <c r="L549" t="n">
        <v>0</v>
      </c>
      <c r="M549" t="n">
        <v>0</v>
      </c>
      <c r="N549" t="n">
        <v>0</v>
      </c>
      <c r="O549" t="n">
        <v>6</v>
      </c>
      <c r="P549" t="n">
        <v>1</v>
      </c>
      <c r="Q549" t="n">
        <v>6</v>
      </c>
      <c r="R549" s="2" t="inlineStr">
        <is>
          <t>Rynkskinn
Doftskinn
Garnlav
Granticka
Tretåig hackspett
Ullticka</t>
        </is>
      </c>
      <c r="S549">
        <f>HYPERLINK("https://klasma.github.io/Logging_2309/artfynd/A 27490-2024 artfynd.xlsx", "A 27490-2024")</f>
        <v/>
      </c>
      <c r="T549">
        <f>HYPERLINK("https://klasma.github.io/Logging_2309/kartor/A 27490-2024 karta.png", "A 27490-2024")</f>
        <v/>
      </c>
      <c r="V549">
        <f>HYPERLINK("https://klasma.github.io/Logging_2309/klagomål/A 27490-2024 FSC-klagomål.docx", "A 27490-2024")</f>
        <v/>
      </c>
      <c r="W549">
        <f>HYPERLINK("https://klasma.github.io/Logging_2309/klagomålsmail/A 27490-2024 FSC-klagomål mail.docx", "A 27490-2024")</f>
        <v/>
      </c>
      <c r="X549">
        <f>HYPERLINK("https://klasma.github.io/Logging_2309/tillsyn/A 27490-2024 tillsynsbegäran.docx", "A 27490-2024")</f>
        <v/>
      </c>
      <c r="Y549">
        <f>HYPERLINK("https://klasma.github.io/Logging_2309/tillsynsmail/A 27490-2024 tillsynsbegäran mail.docx", "A 27490-2024")</f>
        <v/>
      </c>
      <c r="Z549">
        <f>HYPERLINK("https://klasma.github.io/Logging_2309/fåglar/A 27490-2024 prioriterade fågelarter.docx", "A 27490-2024")</f>
        <v/>
      </c>
    </row>
    <row r="550" ht="15" customHeight="1">
      <c r="A550" t="inlineStr">
        <is>
          <t>A 39973-2025</t>
        </is>
      </c>
      <c r="B550" s="1" t="n">
        <v>45893.38584490741</v>
      </c>
      <c r="C550" s="1" t="n">
        <v>46045</v>
      </c>
      <c r="D550" t="inlineStr">
        <is>
          <t>JÄMTLANDS LÄN</t>
        </is>
      </c>
      <c r="E550" t="inlineStr">
        <is>
          <t>RAGUNDA</t>
        </is>
      </c>
      <c r="F550" t="inlineStr">
        <is>
          <t>Naturvårdsverket</t>
        </is>
      </c>
      <c r="G550" t="n">
        <v>8</v>
      </c>
      <c r="H550" t="n">
        <v>0</v>
      </c>
      <c r="I550" t="n">
        <v>1</v>
      </c>
      <c r="J550" t="n">
        <v>5</v>
      </c>
      <c r="K550" t="n">
        <v>0</v>
      </c>
      <c r="L550" t="n">
        <v>0</v>
      </c>
      <c r="M550" t="n">
        <v>0</v>
      </c>
      <c r="N550" t="n">
        <v>0</v>
      </c>
      <c r="O550" t="n">
        <v>5</v>
      </c>
      <c r="P550" t="n">
        <v>0</v>
      </c>
      <c r="Q550" t="n">
        <v>6</v>
      </c>
      <c r="R550" s="2" t="inlineStr">
        <is>
          <t>Granticka
Lunglav
Mörk kolflarnlav
Tallticka
Vedskivlav
Skinnlav</t>
        </is>
      </c>
      <c r="S550">
        <f>HYPERLINK("https://klasma.github.io/Logging_2303/artfynd/A 39973-2025 artfynd.xlsx", "A 39973-2025")</f>
        <v/>
      </c>
      <c r="T550">
        <f>HYPERLINK("https://klasma.github.io/Logging_2303/kartor/A 39973-2025 karta.png", "A 39973-2025")</f>
        <v/>
      </c>
      <c r="V550">
        <f>HYPERLINK("https://klasma.github.io/Logging_2303/klagomål/A 39973-2025 FSC-klagomål.docx", "A 39973-2025")</f>
        <v/>
      </c>
      <c r="W550">
        <f>HYPERLINK("https://klasma.github.io/Logging_2303/klagomålsmail/A 39973-2025 FSC-klagomål mail.docx", "A 39973-2025")</f>
        <v/>
      </c>
      <c r="X550">
        <f>HYPERLINK("https://klasma.github.io/Logging_2303/tillsyn/A 39973-2025 tillsynsbegäran.docx", "A 39973-2025")</f>
        <v/>
      </c>
      <c r="Y550">
        <f>HYPERLINK("https://klasma.github.io/Logging_2303/tillsynsmail/A 39973-2025 tillsynsbegäran mail.docx", "A 39973-2025")</f>
        <v/>
      </c>
    </row>
    <row r="551" ht="15" customHeight="1">
      <c r="A551" t="inlineStr">
        <is>
          <t>A 52152-2024</t>
        </is>
      </c>
      <c r="B551" s="1" t="n">
        <v>45608.52387731482</v>
      </c>
      <c r="C551" s="1" t="n">
        <v>46045</v>
      </c>
      <c r="D551" t="inlineStr">
        <is>
          <t>JÄMTLANDS LÄN</t>
        </is>
      </c>
      <c r="E551" t="inlineStr">
        <is>
          <t>BRÄCKE</t>
        </is>
      </c>
      <c r="F551" t="inlineStr">
        <is>
          <t>SCA</t>
        </is>
      </c>
      <c r="G551" t="n">
        <v>3</v>
      </c>
      <c r="H551" t="n">
        <v>0</v>
      </c>
      <c r="I551" t="n">
        <v>1</v>
      </c>
      <c r="J551" t="n">
        <v>4</v>
      </c>
      <c r="K551" t="n">
        <v>1</v>
      </c>
      <c r="L551" t="n">
        <v>0</v>
      </c>
      <c r="M551" t="n">
        <v>0</v>
      </c>
      <c r="N551" t="n">
        <v>0</v>
      </c>
      <c r="O551" t="n">
        <v>5</v>
      </c>
      <c r="P551" t="n">
        <v>1</v>
      </c>
      <c r="Q551" t="n">
        <v>6</v>
      </c>
      <c r="R551" s="2" t="inlineStr">
        <is>
          <t>Rynkskinn
Lunglav
Skrovellav
Vedflikmossa
Vedtrappmossa
Tallfingersvamp</t>
        </is>
      </c>
      <c r="S551">
        <f>HYPERLINK("https://klasma.github.io/Logging_2305/artfynd/A 52152-2024 artfynd.xlsx", "A 52152-2024")</f>
        <v/>
      </c>
      <c r="T551">
        <f>HYPERLINK("https://klasma.github.io/Logging_2305/kartor/A 52152-2024 karta.png", "A 52152-2024")</f>
        <v/>
      </c>
      <c r="U551">
        <f>HYPERLINK("https://klasma.github.io/Logging_2305/knärot/A 52152-2024 karta knärot.png", "A 52152-2024")</f>
        <v/>
      </c>
      <c r="V551">
        <f>HYPERLINK("https://klasma.github.io/Logging_2305/klagomål/A 52152-2024 FSC-klagomål.docx", "A 52152-2024")</f>
        <v/>
      </c>
      <c r="W551">
        <f>HYPERLINK("https://klasma.github.io/Logging_2305/klagomålsmail/A 52152-2024 FSC-klagomål mail.docx", "A 52152-2024")</f>
        <v/>
      </c>
      <c r="X551">
        <f>HYPERLINK("https://klasma.github.io/Logging_2305/tillsyn/A 52152-2024 tillsynsbegäran.docx", "A 52152-2024")</f>
        <v/>
      </c>
      <c r="Y551">
        <f>HYPERLINK("https://klasma.github.io/Logging_2305/tillsynsmail/A 52152-2024 tillsynsbegäran mail.docx", "A 52152-2024")</f>
        <v/>
      </c>
    </row>
    <row r="552" ht="15" customHeight="1">
      <c r="A552" t="inlineStr">
        <is>
          <t>A 56194-2021</t>
        </is>
      </c>
      <c r="B552" s="1" t="n">
        <v>44477</v>
      </c>
      <c r="C552" s="1" t="n">
        <v>46045</v>
      </c>
      <c r="D552" t="inlineStr">
        <is>
          <t>JÄMTLANDS LÄN</t>
        </is>
      </c>
      <c r="E552" t="inlineStr">
        <is>
          <t>KROKOM</t>
        </is>
      </c>
      <c r="F552" t="inlineStr">
        <is>
          <t>Övriga Aktiebolag</t>
        </is>
      </c>
      <c r="G552" t="n">
        <v>25.1</v>
      </c>
      <c r="H552" t="n">
        <v>0</v>
      </c>
      <c r="I552" t="n">
        <v>5</v>
      </c>
      <c r="J552" t="n">
        <v>1</v>
      </c>
      <c r="K552" t="n">
        <v>0</v>
      </c>
      <c r="L552" t="n">
        <v>0</v>
      </c>
      <c r="M552" t="n">
        <v>0</v>
      </c>
      <c r="N552" t="n">
        <v>0</v>
      </c>
      <c r="O552" t="n">
        <v>1</v>
      </c>
      <c r="P552" t="n">
        <v>0</v>
      </c>
      <c r="Q552" t="n">
        <v>6</v>
      </c>
      <c r="R552" s="2" t="inlineStr">
        <is>
          <t>Lunglav
Granriska
Kambräken
Korallblylav
Luddlav
Västlig hakmossa</t>
        </is>
      </c>
      <c r="S552">
        <f>HYPERLINK("https://klasma.github.io/Logging_2309/artfynd/A 56194-2021 artfynd.xlsx", "A 56194-2021")</f>
        <v/>
      </c>
      <c r="T552">
        <f>HYPERLINK("https://klasma.github.io/Logging_2309/kartor/A 56194-2021 karta.png", "A 56194-2021")</f>
        <v/>
      </c>
      <c r="V552">
        <f>HYPERLINK("https://klasma.github.io/Logging_2309/klagomål/A 56194-2021 FSC-klagomål.docx", "A 56194-2021")</f>
        <v/>
      </c>
      <c r="W552">
        <f>HYPERLINK("https://klasma.github.io/Logging_2309/klagomålsmail/A 56194-2021 FSC-klagomål mail.docx", "A 56194-2021")</f>
        <v/>
      </c>
      <c r="X552">
        <f>HYPERLINK("https://klasma.github.io/Logging_2309/tillsyn/A 56194-2021 tillsynsbegäran.docx", "A 56194-2021")</f>
        <v/>
      </c>
      <c r="Y552">
        <f>HYPERLINK("https://klasma.github.io/Logging_2309/tillsynsmail/A 56194-2021 tillsynsbegäran mail.docx", "A 56194-2021")</f>
        <v/>
      </c>
    </row>
    <row r="553" ht="15" customHeight="1">
      <c r="A553" t="inlineStr">
        <is>
          <t>A 56888-2022</t>
        </is>
      </c>
      <c r="B553" s="1" t="n">
        <v>44894</v>
      </c>
      <c r="C553" s="1" t="n">
        <v>46045</v>
      </c>
      <c r="D553" t="inlineStr">
        <is>
          <t>JÄMTLANDS LÄN</t>
        </is>
      </c>
      <c r="E553" t="inlineStr">
        <is>
          <t>ÅRE</t>
        </is>
      </c>
      <c r="F553" t="inlineStr">
        <is>
          <t>Övriga Aktiebolag</t>
        </is>
      </c>
      <c r="G553" t="n">
        <v>46.2</v>
      </c>
      <c r="H553" t="n">
        <v>2</v>
      </c>
      <c r="I553" t="n">
        <v>1</v>
      </c>
      <c r="J553" t="n">
        <v>4</v>
      </c>
      <c r="K553" t="n">
        <v>1</v>
      </c>
      <c r="L553" t="n">
        <v>0</v>
      </c>
      <c r="M553" t="n">
        <v>0</v>
      </c>
      <c r="N553" t="n">
        <v>0</v>
      </c>
      <c r="O553" t="n">
        <v>5</v>
      </c>
      <c r="P553" t="n">
        <v>1</v>
      </c>
      <c r="Q553" t="n">
        <v>6</v>
      </c>
      <c r="R553" s="2" t="inlineStr">
        <is>
          <t>Liten hornflikmossa
Garnlav
Granticka
Spillkråka
Tretåig hackspett
Korallblylav</t>
        </is>
      </c>
      <c r="S553">
        <f>HYPERLINK("https://klasma.github.io/Logging_2321/artfynd/A 56888-2022 artfynd.xlsx", "A 56888-2022")</f>
        <v/>
      </c>
      <c r="T553">
        <f>HYPERLINK("https://klasma.github.io/Logging_2321/kartor/A 56888-2022 karta.png", "A 56888-2022")</f>
        <v/>
      </c>
      <c r="V553">
        <f>HYPERLINK("https://klasma.github.io/Logging_2321/klagomål/A 56888-2022 FSC-klagomål.docx", "A 56888-2022")</f>
        <v/>
      </c>
      <c r="W553">
        <f>HYPERLINK("https://klasma.github.io/Logging_2321/klagomålsmail/A 56888-2022 FSC-klagomål mail.docx", "A 56888-2022")</f>
        <v/>
      </c>
      <c r="X553">
        <f>HYPERLINK("https://klasma.github.io/Logging_2321/tillsyn/A 56888-2022 tillsynsbegäran.docx", "A 56888-2022")</f>
        <v/>
      </c>
      <c r="Y553">
        <f>HYPERLINK("https://klasma.github.io/Logging_2321/tillsynsmail/A 56888-2022 tillsynsbegäran mail.docx", "A 56888-2022")</f>
        <v/>
      </c>
      <c r="Z553">
        <f>HYPERLINK("https://klasma.github.io/Logging_2321/fåglar/A 56888-2022 prioriterade fågelarter.docx", "A 56888-2022")</f>
        <v/>
      </c>
    </row>
    <row r="554" ht="15" customHeight="1">
      <c r="A554" t="inlineStr">
        <is>
          <t>A 376-2023</t>
        </is>
      </c>
      <c r="B554" s="1" t="n">
        <v>44929</v>
      </c>
      <c r="C554" s="1" t="n">
        <v>46045</v>
      </c>
      <c r="D554" t="inlineStr">
        <is>
          <t>JÄMTLANDS LÄN</t>
        </is>
      </c>
      <c r="E554" t="inlineStr">
        <is>
          <t>ÖSTERSUND</t>
        </is>
      </c>
      <c r="G554" t="n">
        <v>11.5</v>
      </c>
      <c r="H554" t="n">
        <v>2</v>
      </c>
      <c r="I554" t="n">
        <v>1</v>
      </c>
      <c r="J554" t="n">
        <v>5</v>
      </c>
      <c r="K554" t="n">
        <v>0</v>
      </c>
      <c r="L554" t="n">
        <v>0</v>
      </c>
      <c r="M554" t="n">
        <v>0</v>
      </c>
      <c r="N554" t="n">
        <v>0</v>
      </c>
      <c r="O554" t="n">
        <v>5</v>
      </c>
      <c r="P554" t="n">
        <v>0</v>
      </c>
      <c r="Q554" t="n">
        <v>6</v>
      </c>
      <c r="R554" s="2" t="inlineStr">
        <is>
          <t>Garnlav
Lunglav
Skrovellav
Spillkråka
Tretåig hackspett
Stuplav</t>
        </is>
      </c>
      <c r="S554">
        <f>HYPERLINK("https://klasma.github.io/Logging_2380/artfynd/A 376-2023 artfynd.xlsx", "A 376-2023")</f>
        <v/>
      </c>
      <c r="T554">
        <f>HYPERLINK("https://klasma.github.io/Logging_2380/kartor/A 376-2023 karta.png", "A 376-2023")</f>
        <v/>
      </c>
      <c r="V554">
        <f>HYPERLINK("https://klasma.github.io/Logging_2380/klagomål/A 376-2023 FSC-klagomål.docx", "A 376-2023")</f>
        <v/>
      </c>
      <c r="W554">
        <f>HYPERLINK("https://klasma.github.io/Logging_2380/klagomålsmail/A 376-2023 FSC-klagomål mail.docx", "A 376-2023")</f>
        <v/>
      </c>
      <c r="X554">
        <f>HYPERLINK("https://klasma.github.io/Logging_2380/tillsyn/A 376-2023 tillsynsbegäran.docx", "A 376-2023")</f>
        <v/>
      </c>
      <c r="Y554">
        <f>HYPERLINK("https://klasma.github.io/Logging_2380/tillsynsmail/A 376-2023 tillsynsbegäran mail.docx", "A 376-2023")</f>
        <v/>
      </c>
      <c r="Z554">
        <f>HYPERLINK("https://klasma.github.io/Logging_2380/fåglar/A 376-2023 prioriterade fågelarter.docx", "A 376-2023")</f>
        <v/>
      </c>
    </row>
    <row r="555" ht="15" customHeight="1">
      <c r="A555" t="inlineStr">
        <is>
          <t>A 60741-2022</t>
        </is>
      </c>
      <c r="B555" s="1" t="n">
        <v>44913</v>
      </c>
      <c r="C555" s="1" t="n">
        <v>46045</v>
      </c>
      <c r="D555" t="inlineStr">
        <is>
          <t>JÄMTLANDS LÄN</t>
        </is>
      </c>
      <c r="E555" t="inlineStr">
        <is>
          <t>STRÖMSUND</t>
        </is>
      </c>
      <c r="F555" t="inlineStr">
        <is>
          <t>SCA</t>
        </is>
      </c>
      <c r="G555" t="n">
        <v>6.7</v>
      </c>
      <c r="H555" t="n">
        <v>5</v>
      </c>
      <c r="I555" t="n">
        <v>0</v>
      </c>
      <c r="J555" t="n">
        <v>4</v>
      </c>
      <c r="K555" t="n">
        <v>0</v>
      </c>
      <c r="L555" t="n">
        <v>0</v>
      </c>
      <c r="M555" t="n">
        <v>0</v>
      </c>
      <c r="N555" t="n">
        <v>0</v>
      </c>
      <c r="O555" t="n">
        <v>4</v>
      </c>
      <c r="P555" t="n">
        <v>0</v>
      </c>
      <c r="Q555" t="n">
        <v>6</v>
      </c>
      <c r="R555" s="2" t="inlineStr">
        <is>
          <t>Harticka
Spillkråka
Talltita
Tretåig hackspett
Lavskrika
Revlummer</t>
        </is>
      </c>
      <c r="S555">
        <f>HYPERLINK("https://klasma.github.io/Logging_2313/artfynd/A 60741-2022 artfynd.xlsx", "A 60741-2022")</f>
        <v/>
      </c>
      <c r="T555">
        <f>HYPERLINK("https://klasma.github.io/Logging_2313/kartor/A 60741-2022 karta.png", "A 60741-2022")</f>
        <v/>
      </c>
      <c r="V555">
        <f>HYPERLINK("https://klasma.github.io/Logging_2313/klagomål/A 60741-2022 FSC-klagomål.docx", "A 60741-2022")</f>
        <v/>
      </c>
      <c r="W555">
        <f>HYPERLINK("https://klasma.github.io/Logging_2313/klagomålsmail/A 60741-2022 FSC-klagomål mail.docx", "A 60741-2022")</f>
        <v/>
      </c>
      <c r="X555">
        <f>HYPERLINK("https://klasma.github.io/Logging_2313/tillsyn/A 60741-2022 tillsynsbegäran.docx", "A 60741-2022")</f>
        <v/>
      </c>
      <c r="Y555">
        <f>HYPERLINK("https://klasma.github.io/Logging_2313/tillsynsmail/A 60741-2022 tillsynsbegäran mail.docx", "A 60741-2022")</f>
        <v/>
      </c>
      <c r="Z555">
        <f>HYPERLINK("https://klasma.github.io/Logging_2313/fåglar/A 60741-2022 prioriterade fågelarter.docx", "A 60741-2022")</f>
        <v/>
      </c>
    </row>
    <row r="556" ht="15" customHeight="1">
      <c r="A556" t="inlineStr">
        <is>
          <t>A 14576-2024</t>
        </is>
      </c>
      <c r="B556" s="1" t="n">
        <v>45394.95033564815</v>
      </c>
      <c r="C556" s="1" t="n">
        <v>46045</v>
      </c>
      <c r="D556" t="inlineStr">
        <is>
          <t>JÄMTLANDS LÄN</t>
        </is>
      </c>
      <c r="E556" t="inlineStr">
        <is>
          <t>BRÄCKE</t>
        </is>
      </c>
      <c r="F556" t="inlineStr">
        <is>
          <t>SCA</t>
        </is>
      </c>
      <c r="G556" t="n">
        <v>2.1</v>
      </c>
      <c r="H556" t="n">
        <v>0</v>
      </c>
      <c r="I556" t="n">
        <v>3</v>
      </c>
      <c r="J556" t="n">
        <v>3</v>
      </c>
      <c r="K556" t="n">
        <v>0</v>
      </c>
      <c r="L556" t="n">
        <v>0</v>
      </c>
      <c r="M556" t="n">
        <v>0</v>
      </c>
      <c r="N556" t="n">
        <v>0</v>
      </c>
      <c r="O556" t="n">
        <v>3</v>
      </c>
      <c r="P556" t="n">
        <v>0</v>
      </c>
      <c r="Q556" t="n">
        <v>6</v>
      </c>
      <c r="R556" s="2" t="inlineStr">
        <is>
          <t>Lunglav
Skrovellav
Ullticka
Korallblylav
Skinnlav
Stuplav</t>
        </is>
      </c>
      <c r="S556">
        <f>HYPERLINK("https://klasma.github.io/Logging_2305/artfynd/A 14576-2024 artfynd.xlsx", "A 14576-2024")</f>
        <v/>
      </c>
      <c r="T556">
        <f>HYPERLINK("https://klasma.github.io/Logging_2305/kartor/A 14576-2024 karta.png", "A 14576-2024")</f>
        <v/>
      </c>
      <c r="V556">
        <f>HYPERLINK("https://klasma.github.io/Logging_2305/klagomål/A 14576-2024 FSC-klagomål.docx", "A 14576-2024")</f>
        <v/>
      </c>
      <c r="W556">
        <f>HYPERLINK("https://klasma.github.io/Logging_2305/klagomålsmail/A 14576-2024 FSC-klagomål mail.docx", "A 14576-2024")</f>
        <v/>
      </c>
      <c r="X556">
        <f>HYPERLINK("https://klasma.github.io/Logging_2305/tillsyn/A 14576-2024 tillsynsbegäran.docx", "A 14576-2024")</f>
        <v/>
      </c>
      <c r="Y556">
        <f>HYPERLINK("https://klasma.github.io/Logging_2305/tillsynsmail/A 14576-2024 tillsynsbegäran mail.docx", "A 14576-2024")</f>
        <v/>
      </c>
    </row>
    <row r="557" ht="15" customHeight="1">
      <c r="A557" t="inlineStr">
        <is>
          <t>A 53021-2022</t>
        </is>
      </c>
      <c r="B557" s="1" t="n">
        <v>44875</v>
      </c>
      <c r="C557" s="1" t="n">
        <v>46045</v>
      </c>
      <c r="D557" t="inlineStr">
        <is>
          <t>JÄMTLANDS LÄN</t>
        </is>
      </c>
      <c r="E557" t="inlineStr">
        <is>
          <t>RAGUNDA</t>
        </is>
      </c>
      <c r="F557" t="inlineStr">
        <is>
          <t>SCA</t>
        </is>
      </c>
      <c r="G557" t="n">
        <v>6.1</v>
      </c>
      <c r="H557" t="n">
        <v>0</v>
      </c>
      <c r="I557" t="n">
        <v>2</v>
      </c>
      <c r="J557" t="n">
        <v>4</v>
      </c>
      <c r="K557" t="n">
        <v>0</v>
      </c>
      <c r="L557" t="n">
        <v>0</v>
      </c>
      <c r="M557" t="n">
        <v>0</v>
      </c>
      <c r="N557" t="n">
        <v>0</v>
      </c>
      <c r="O557" t="n">
        <v>4</v>
      </c>
      <c r="P557" t="n">
        <v>0</v>
      </c>
      <c r="Q557" t="n">
        <v>6</v>
      </c>
      <c r="R557" s="2" t="inlineStr">
        <is>
          <t>Gammelgransskål
Garnlav
Granticka
Vitgrynig nållav
Bollvitmossa
Ögonpyrola</t>
        </is>
      </c>
      <c r="S557">
        <f>HYPERLINK("https://klasma.github.io/Logging_2303/artfynd/A 53021-2022 artfynd.xlsx", "A 53021-2022")</f>
        <v/>
      </c>
      <c r="T557">
        <f>HYPERLINK("https://klasma.github.io/Logging_2303/kartor/A 53021-2022 karta.png", "A 53021-2022")</f>
        <v/>
      </c>
      <c r="V557">
        <f>HYPERLINK("https://klasma.github.io/Logging_2303/klagomål/A 53021-2022 FSC-klagomål.docx", "A 53021-2022")</f>
        <v/>
      </c>
      <c r="W557">
        <f>HYPERLINK("https://klasma.github.io/Logging_2303/klagomålsmail/A 53021-2022 FSC-klagomål mail.docx", "A 53021-2022")</f>
        <v/>
      </c>
      <c r="X557">
        <f>HYPERLINK("https://klasma.github.io/Logging_2303/tillsyn/A 53021-2022 tillsynsbegäran.docx", "A 53021-2022")</f>
        <v/>
      </c>
      <c r="Y557">
        <f>HYPERLINK("https://klasma.github.io/Logging_2303/tillsynsmail/A 53021-2022 tillsynsbegäran mail.docx", "A 53021-2022")</f>
        <v/>
      </c>
    </row>
    <row r="558" ht="15" customHeight="1">
      <c r="A558" t="inlineStr">
        <is>
          <t>A 49626-2024</t>
        </is>
      </c>
      <c r="B558" s="1" t="n">
        <v>45596.59109953704</v>
      </c>
      <c r="C558" s="1" t="n">
        <v>46045</v>
      </c>
      <c r="D558" t="inlineStr">
        <is>
          <t>JÄMTLANDS LÄN</t>
        </is>
      </c>
      <c r="E558" t="inlineStr">
        <is>
          <t>BERG</t>
        </is>
      </c>
      <c r="G558" t="n">
        <v>14.5</v>
      </c>
      <c r="H558" t="n">
        <v>3</v>
      </c>
      <c r="I558" t="n">
        <v>0</v>
      </c>
      <c r="J558" t="n">
        <v>5</v>
      </c>
      <c r="K558" t="n">
        <v>1</v>
      </c>
      <c r="L558" t="n">
        <v>0</v>
      </c>
      <c r="M558" t="n">
        <v>0</v>
      </c>
      <c r="N558" t="n">
        <v>0</v>
      </c>
      <c r="O558" t="n">
        <v>6</v>
      </c>
      <c r="P558" t="n">
        <v>1</v>
      </c>
      <c r="Q558" t="n">
        <v>6</v>
      </c>
      <c r="R558" s="2" t="inlineStr">
        <is>
          <t>Knärot
Garnlav
Lunglav
Skrovellav
Talltita
Tretåig hackspett</t>
        </is>
      </c>
      <c r="S558">
        <f>HYPERLINK("https://klasma.github.io/Logging_2326/artfynd/A 49626-2024 artfynd.xlsx", "A 49626-2024")</f>
        <v/>
      </c>
      <c r="T558">
        <f>HYPERLINK("https://klasma.github.io/Logging_2326/kartor/A 49626-2024 karta.png", "A 49626-2024")</f>
        <v/>
      </c>
      <c r="U558">
        <f>HYPERLINK("https://klasma.github.io/Logging_2326/knärot/A 49626-2024 karta knärot.png", "A 49626-2024")</f>
        <v/>
      </c>
      <c r="V558">
        <f>HYPERLINK("https://klasma.github.io/Logging_2326/klagomål/A 49626-2024 FSC-klagomål.docx", "A 49626-2024")</f>
        <v/>
      </c>
      <c r="W558">
        <f>HYPERLINK("https://klasma.github.io/Logging_2326/klagomålsmail/A 49626-2024 FSC-klagomål mail.docx", "A 49626-2024")</f>
        <v/>
      </c>
      <c r="X558">
        <f>HYPERLINK("https://klasma.github.io/Logging_2326/tillsyn/A 49626-2024 tillsynsbegäran.docx", "A 49626-2024")</f>
        <v/>
      </c>
      <c r="Y558">
        <f>HYPERLINK("https://klasma.github.io/Logging_2326/tillsynsmail/A 49626-2024 tillsynsbegäran mail.docx", "A 49626-2024")</f>
        <v/>
      </c>
      <c r="Z558">
        <f>HYPERLINK("https://klasma.github.io/Logging_2326/fåglar/A 49626-2024 prioriterade fågelarter.docx", "A 49626-2024")</f>
        <v/>
      </c>
    </row>
    <row r="559" ht="15" customHeight="1">
      <c r="A559" t="inlineStr">
        <is>
          <t>A 61153-2024</t>
        </is>
      </c>
      <c r="B559" s="1" t="n">
        <v>45645</v>
      </c>
      <c r="C559" s="1" t="n">
        <v>46045</v>
      </c>
      <c r="D559" t="inlineStr">
        <is>
          <t>JÄMTLANDS LÄN</t>
        </is>
      </c>
      <c r="E559" t="inlineStr">
        <is>
          <t>ÖSTERSUND</t>
        </is>
      </c>
      <c r="G559" t="n">
        <v>8.699999999999999</v>
      </c>
      <c r="H559" t="n">
        <v>5</v>
      </c>
      <c r="I559" t="n">
        <v>0</v>
      </c>
      <c r="J559" t="n">
        <v>4</v>
      </c>
      <c r="K559" t="n">
        <v>1</v>
      </c>
      <c r="L559" t="n">
        <v>0</v>
      </c>
      <c r="M559" t="n">
        <v>0</v>
      </c>
      <c r="N559" t="n">
        <v>0</v>
      </c>
      <c r="O559" t="n">
        <v>5</v>
      </c>
      <c r="P559" t="n">
        <v>1</v>
      </c>
      <c r="Q559" t="n">
        <v>6</v>
      </c>
      <c r="R559" s="2" t="inlineStr">
        <is>
          <t>Knärot
Garnlav
Mindre hackspett
Spillkråka
Talltita
Tjäder</t>
        </is>
      </c>
      <c r="S559">
        <f>HYPERLINK("https://klasma.github.io/Logging_2380/artfynd/A 61153-2024 artfynd.xlsx", "A 61153-2024")</f>
        <v/>
      </c>
      <c r="T559">
        <f>HYPERLINK("https://klasma.github.io/Logging_2380/kartor/A 61153-2024 karta.png", "A 61153-2024")</f>
        <v/>
      </c>
      <c r="U559">
        <f>HYPERLINK("https://klasma.github.io/Logging_2380/knärot/A 61153-2024 karta knärot.png", "A 61153-2024")</f>
        <v/>
      </c>
      <c r="V559">
        <f>HYPERLINK("https://klasma.github.io/Logging_2380/klagomål/A 61153-2024 FSC-klagomål.docx", "A 61153-2024")</f>
        <v/>
      </c>
      <c r="W559">
        <f>HYPERLINK("https://klasma.github.io/Logging_2380/klagomålsmail/A 61153-2024 FSC-klagomål mail.docx", "A 61153-2024")</f>
        <v/>
      </c>
      <c r="X559">
        <f>HYPERLINK("https://klasma.github.io/Logging_2380/tillsyn/A 61153-2024 tillsynsbegäran.docx", "A 61153-2024")</f>
        <v/>
      </c>
      <c r="Y559">
        <f>HYPERLINK("https://klasma.github.io/Logging_2380/tillsynsmail/A 61153-2024 tillsynsbegäran mail.docx", "A 61153-2024")</f>
        <v/>
      </c>
      <c r="Z559">
        <f>HYPERLINK("https://klasma.github.io/Logging_2380/fåglar/A 61153-2024 prioriterade fågelarter.docx", "A 61153-2024")</f>
        <v/>
      </c>
    </row>
    <row r="560" ht="15" customHeight="1">
      <c r="A560" t="inlineStr">
        <is>
          <t>A 31719-2022</t>
        </is>
      </c>
      <c r="B560" s="1" t="n">
        <v>44776</v>
      </c>
      <c r="C560" s="1" t="n">
        <v>46045</v>
      </c>
      <c r="D560" t="inlineStr">
        <is>
          <t>JÄMTLANDS LÄN</t>
        </is>
      </c>
      <c r="E560" t="inlineStr">
        <is>
          <t>BERG</t>
        </is>
      </c>
      <c r="G560" t="n">
        <v>4.2</v>
      </c>
      <c r="H560" t="n">
        <v>1</v>
      </c>
      <c r="I560" t="n">
        <v>0</v>
      </c>
      <c r="J560" t="n">
        <v>5</v>
      </c>
      <c r="K560" t="n">
        <v>1</v>
      </c>
      <c r="L560" t="n">
        <v>0</v>
      </c>
      <c r="M560" t="n">
        <v>0</v>
      </c>
      <c r="N560" t="n">
        <v>0</v>
      </c>
      <c r="O560" t="n">
        <v>6</v>
      </c>
      <c r="P560" t="n">
        <v>1</v>
      </c>
      <c r="Q560" t="n">
        <v>6</v>
      </c>
      <c r="R560" s="2" t="inlineStr">
        <is>
          <t>Knärot
Garnlav
Lunglav
Rosenticka
Ullticka
Vedtrappmossa</t>
        </is>
      </c>
      <c r="S560">
        <f>HYPERLINK("https://klasma.github.io/Logging_2326/artfynd/A 31719-2022 artfynd.xlsx", "A 31719-2022")</f>
        <v/>
      </c>
      <c r="T560">
        <f>HYPERLINK("https://klasma.github.io/Logging_2326/kartor/A 31719-2022 karta.png", "A 31719-2022")</f>
        <v/>
      </c>
      <c r="U560">
        <f>HYPERLINK("https://klasma.github.io/Logging_2326/knärot/A 31719-2022 karta knärot.png", "A 31719-2022")</f>
        <v/>
      </c>
      <c r="V560">
        <f>HYPERLINK("https://klasma.github.io/Logging_2326/klagomål/A 31719-2022 FSC-klagomål.docx", "A 31719-2022")</f>
        <v/>
      </c>
      <c r="W560">
        <f>HYPERLINK("https://klasma.github.io/Logging_2326/klagomålsmail/A 31719-2022 FSC-klagomål mail.docx", "A 31719-2022")</f>
        <v/>
      </c>
      <c r="X560">
        <f>HYPERLINK("https://klasma.github.io/Logging_2326/tillsyn/A 31719-2022 tillsynsbegäran.docx", "A 31719-2022")</f>
        <v/>
      </c>
      <c r="Y560">
        <f>HYPERLINK("https://klasma.github.io/Logging_2326/tillsynsmail/A 31719-2022 tillsynsbegäran mail.docx", "A 31719-2022")</f>
        <v/>
      </c>
    </row>
    <row r="561" ht="15" customHeight="1">
      <c r="A561" t="inlineStr">
        <is>
          <t>A 36365-2022</t>
        </is>
      </c>
      <c r="B561" s="1" t="n">
        <v>44803</v>
      </c>
      <c r="C561" s="1" t="n">
        <v>46045</v>
      </c>
      <c r="D561" t="inlineStr">
        <is>
          <t>JÄMTLANDS LÄN</t>
        </is>
      </c>
      <c r="E561" t="inlineStr">
        <is>
          <t>STRÖMSUND</t>
        </is>
      </c>
      <c r="F561" t="inlineStr">
        <is>
          <t>SCA</t>
        </is>
      </c>
      <c r="G561" t="n">
        <v>16.8</v>
      </c>
      <c r="H561" t="n">
        <v>1</v>
      </c>
      <c r="I561" t="n">
        <v>2</v>
      </c>
      <c r="J561" t="n">
        <v>4</v>
      </c>
      <c r="K561" t="n">
        <v>0</v>
      </c>
      <c r="L561" t="n">
        <v>0</v>
      </c>
      <c r="M561" t="n">
        <v>0</v>
      </c>
      <c r="N561" t="n">
        <v>0</v>
      </c>
      <c r="O561" t="n">
        <v>4</v>
      </c>
      <c r="P561" t="n">
        <v>0</v>
      </c>
      <c r="Q561" t="n">
        <v>6</v>
      </c>
      <c r="R561" s="2" t="inlineStr">
        <is>
          <t>Garnlav
Lunglav
Skogsfru
Skrovellav
Bårdlav
Stuplav</t>
        </is>
      </c>
      <c r="S561">
        <f>HYPERLINK("https://klasma.github.io/Logging_2313/artfynd/A 36365-2022 artfynd.xlsx", "A 36365-2022")</f>
        <v/>
      </c>
      <c r="T561">
        <f>HYPERLINK("https://klasma.github.io/Logging_2313/kartor/A 36365-2022 karta.png", "A 36365-2022")</f>
        <v/>
      </c>
      <c r="V561">
        <f>HYPERLINK("https://klasma.github.io/Logging_2313/klagomål/A 36365-2022 FSC-klagomål.docx", "A 36365-2022")</f>
        <v/>
      </c>
      <c r="W561">
        <f>HYPERLINK("https://klasma.github.io/Logging_2313/klagomålsmail/A 36365-2022 FSC-klagomål mail.docx", "A 36365-2022")</f>
        <v/>
      </c>
      <c r="X561">
        <f>HYPERLINK("https://klasma.github.io/Logging_2313/tillsyn/A 36365-2022 tillsynsbegäran.docx", "A 36365-2022")</f>
        <v/>
      </c>
      <c r="Y561">
        <f>HYPERLINK("https://klasma.github.io/Logging_2313/tillsynsmail/A 36365-2022 tillsynsbegäran mail.docx", "A 36365-2022")</f>
        <v/>
      </c>
    </row>
    <row r="562" ht="15" customHeight="1">
      <c r="A562" t="inlineStr">
        <is>
          <t>A 36221-2022</t>
        </is>
      </c>
      <c r="B562" s="1" t="n">
        <v>44803</v>
      </c>
      <c r="C562" s="1" t="n">
        <v>46045</v>
      </c>
      <c r="D562" t="inlineStr">
        <is>
          <t>JÄMTLANDS LÄN</t>
        </is>
      </c>
      <c r="E562" t="inlineStr">
        <is>
          <t>STRÖMSUND</t>
        </is>
      </c>
      <c r="G562" t="n">
        <v>8.6</v>
      </c>
      <c r="H562" t="n">
        <v>2</v>
      </c>
      <c r="I562" t="n">
        <v>2</v>
      </c>
      <c r="J562" t="n">
        <v>2</v>
      </c>
      <c r="K562" t="n">
        <v>2</v>
      </c>
      <c r="L562" t="n">
        <v>0</v>
      </c>
      <c r="M562" t="n">
        <v>0</v>
      </c>
      <c r="N562" t="n">
        <v>0</v>
      </c>
      <c r="O562" t="n">
        <v>4</v>
      </c>
      <c r="P562" t="n">
        <v>2</v>
      </c>
      <c r="Q562" t="n">
        <v>6</v>
      </c>
      <c r="R562" s="2" t="inlineStr">
        <is>
          <t>Knärot
Liten hornflikmossa
Lunglav
Vedtrappmossa
Guckusko
Rödgul trumpetsvamp</t>
        </is>
      </c>
      <c r="S562">
        <f>HYPERLINK("https://klasma.github.io/Logging_2313/artfynd/A 36221-2022 artfynd.xlsx", "A 36221-2022")</f>
        <v/>
      </c>
      <c r="T562">
        <f>HYPERLINK("https://klasma.github.io/Logging_2313/kartor/A 36221-2022 karta.png", "A 36221-2022")</f>
        <v/>
      </c>
      <c r="U562">
        <f>HYPERLINK("https://klasma.github.io/Logging_2313/knärot/A 36221-2022 karta knärot.png", "A 36221-2022")</f>
        <v/>
      </c>
      <c r="V562">
        <f>HYPERLINK("https://klasma.github.io/Logging_2313/klagomål/A 36221-2022 FSC-klagomål.docx", "A 36221-2022")</f>
        <v/>
      </c>
      <c r="W562">
        <f>HYPERLINK("https://klasma.github.io/Logging_2313/klagomålsmail/A 36221-2022 FSC-klagomål mail.docx", "A 36221-2022")</f>
        <v/>
      </c>
      <c r="X562">
        <f>HYPERLINK("https://klasma.github.io/Logging_2313/tillsyn/A 36221-2022 tillsynsbegäran.docx", "A 36221-2022")</f>
        <v/>
      </c>
      <c r="Y562">
        <f>HYPERLINK("https://klasma.github.io/Logging_2313/tillsynsmail/A 36221-2022 tillsynsbegäran mail.docx", "A 36221-2022")</f>
        <v/>
      </c>
    </row>
    <row r="563" ht="15" customHeight="1">
      <c r="A563" t="inlineStr">
        <is>
          <t>A 24431-2024</t>
        </is>
      </c>
      <c r="B563" s="1" t="n">
        <v>45457</v>
      </c>
      <c r="C563" s="1" t="n">
        <v>46045</v>
      </c>
      <c r="D563" t="inlineStr">
        <is>
          <t>JÄMTLANDS LÄN</t>
        </is>
      </c>
      <c r="E563" t="inlineStr">
        <is>
          <t>RAGUNDA</t>
        </is>
      </c>
      <c r="F563" t="inlineStr">
        <is>
          <t>SCA</t>
        </is>
      </c>
      <c r="G563" t="n">
        <v>3.6</v>
      </c>
      <c r="H563" t="n">
        <v>1</v>
      </c>
      <c r="I563" t="n">
        <v>0</v>
      </c>
      <c r="J563" t="n">
        <v>6</v>
      </c>
      <c r="K563" t="n">
        <v>0</v>
      </c>
      <c r="L563" t="n">
        <v>0</v>
      </c>
      <c r="M563" t="n">
        <v>0</v>
      </c>
      <c r="N563" t="n">
        <v>0</v>
      </c>
      <c r="O563" t="n">
        <v>6</v>
      </c>
      <c r="P563" t="n">
        <v>0</v>
      </c>
      <c r="Q563" t="n">
        <v>6</v>
      </c>
      <c r="R563" s="2" t="inlineStr">
        <is>
          <t>Doftskinn
Gammelgransskål
Rosenticka
Tretåig hackspett
Ullticka
Vitgrynig nållav</t>
        </is>
      </c>
      <c r="S563">
        <f>HYPERLINK("https://klasma.github.io/Logging_2303/artfynd/A 24431-2024 artfynd.xlsx", "A 24431-2024")</f>
        <v/>
      </c>
      <c r="T563">
        <f>HYPERLINK("https://klasma.github.io/Logging_2303/kartor/A 24431-2024 karta.png", "A 24431-2024")</f>
        <v/>
      </c>
      <c r="V563">
        <f>HYPERLINK("https://klasma.github.io/Logging_2303/klagomål/A 24431-2024 FSC-klagomål.docx", "A 24431-2024")</f>
        <v/>
      </c>
      <c r="W563">
        <f>HYPERLINK("https://klasma.github.io/Logging_2303/klagomålsmail/A 24431-2024 FSC-klagomål mail.docx", "A 24431-2024")</f>
        <v/>
      </c>
      <c r="X563">
        <f>HYPERLINK("https://klasma.github.io/Logging_2303/tillsyn/A 24431-2024 tillsynsbegäran.docx", "A 24431-2024")</f>
        <v/>
      </c>
      <c r="Y563">
        <f>HYPERLINK("https://klasma.github.io/Logging_2303/tillsynsmail/A 24431-2024 tillsynsbegäran mail.docx", "A 24431-2024")</f>
        <v/>
      </c>
      <c r="Z563">
        <f>HYPERLINK("https://klasma.github.io/Logging_2303/fåglar/A 24431-2024 prioriterade fågelarter.docx", "A 24431-2024")</f>
        <v/>
      </c>
    </row>
    <row r="564" ht="15" customHeight="1">
      <c r="A564" t="inlineStr">
        <is>
          <t>A 13548-2024</t>
        </is>
      </c>
      <c r="B564" s="1" t="n">
        <v>45387.95348379629</v>
      </c>
      <c r="C564" s="1" t="n">
        <v>46045</v>
      </c>
      <c r="D564" t="inlineStr">
        <is>
          <t>JÄMTLANDS LÄN</t>
        </is>
      </c>
      <c r="E564" t="inlineStr">
        <is>
          <t>BRÄCKE</t>
        </is>
      </c>
      <c r="F564" t="inlineStr">
        <is>
          <t>SCA</t>
        </is>
      </c>
      <c r="G564" t="n">
        <v>1.3</v>
      </c>
      <c r="H564" t="n">
        <v>0</v>
      </c>
      <c r="I564" t="n">
        <v>2</v>
      </c>
      <c r="J564" t="n">
        <v>4</v>
      </c>
      <c r="K564" t="n">
        <v>0</v>
      </c>
      <c r="L564" t="n">
        <v>0</v>
      </c>
      <c r="M564" t="n">
        <v>0</v>
      </c>
      <c r="N564" t="n">
        <v>0</v>
      </c>
      <c r="O564" t="n">
        <v>4</v>
      </c>
      <c r="P564" t="n">
        <v>0</v>
      </c>
      <c r="Q564" t="n">
        <v>6</v>
      </c>
      <c r="R564" s="2" t="inlineStr">
        <is>
          <t>Blå taggsvamp
Dvärgbägarlav
Kolflarnlav
Motaggsvamp
Skinnlav
Vedticka</t>
        </is>
      </c>
      <c r="S564">
        <f>HYPERLINK("https://klasma.github.io/Logging_2305/artfynd/A 13548-2024 artfynd.xlsx", "A 13548-2024")</f>
        <v/>
      </c>
      <c r="T564">
        <f>HYPERLINK("https://klasma.github.io/Logging_2305/kartor/A 13548-2024 karta.png", "A 13548-2024")</f>
        <v/>
      </c>
      <c r="V564">
        <f>HYPERLINK("https://klasma.github.io/Logging_2305/klagomål/A 13548-2024 FSC-klagomål.docx", "A 13548-2024")</f>
        <v/>
      </c>
      <c r="W564">
        <f>HYPERLINK("https://klasma.github.io/Logging_2305/klagomålsmail/A 13548-2024 FSC-klagomål mail.docx", "A 13548-2024")</f>
        <v/>
      </c>
      <c r="X564">
        <f>HYPERLINK("https://klasma.github.io/Logging_2305/tillsyn/A 13548-2024 tillsynsbegäran.docx", "A 13548-2024")</f>
        <v/>
      </c>
      <c r="Y564">
        <f>HYPERLINK("https://klasma.github.io/Logging_2305/tillsynsmail/A 13548-2024 tillsynsbegäran mail.docx", "A 13548-2024")</f>
        <v/>
      </c>
    </row>
    <row r="565" ht="15" customHeight="1">
      <c r="A565" t="inlineStr">
        <is>
          <t>A 27571-2025</t>
        </is>
      </c>
      <c r="B565" s="1" t="n">
        <v>45813.49040509259</v>
      </c>
      <c r="C565" s="1" t="n">
        <v>46045</v>
      </c>
      <c r="D565" t="inlineStr">
        <is>
          <t>JÄMTLANDS LÄN</t>
        </is>
      </c>
      <c r="E565" t="inlineStr">
        <is>
          <t>BERG</t>
        </is>
      </c>
      <c r="F565" t="inlineStr">
        <is>
          <t>SCA</t>
        </is>
      </c>
      <c r="G565" t="n">
        <v>20.7</v>
      </c>
      <c r="H565" t="n">
        <v>1</v>
      </c>
      <c r="I565" t="n">
        <v>0</v>
      </c>
      <c r="J565" t="n">
        <v>5</v>
      </c>
      <c r="K565" t="n">
        <v>1</v>
      </c>
      <c r="L565" t="n">
        <v>0</v>
      </c>
      <c r="M565" t="n">
        <v>0</v>
      </c>
      <c r="N565" t="n">
        <v>0</v>
      </c>
      <c r="O565" t="n">
        <v>6</v>
      </c>
      <c r="P565" t="n">
        <v>1</v>
      </c>
      <c r="Q565" t="n">
        <v>6</v>
      </c>
      <c r="R565" s="2" t="inlineStr">
        <is>
          <t>Gräddporing
Dvärgbägarlav
Granticka
Harticka
Tretåig hackspett
Vedflamlav</t>
        </is>
      </c>
      <c r="S565">
        <f>HYPERLINK("https://klasma.github.io/Logging_2326/artfynd/A 27571-2025 artfynd.xlsx", "A 27571-2025")</f>
        <v/>
      </c>
      <c r="T565">
        <f>HYPERLINK("https://klasma.github.io/Logging_2326/kartor/A 27571-2025 karta.png", "A 27571-2025")</f>
        <v/>
      </c>
      <c r="V565">
        <f>HYPERLINK("https://klasma.github.io/Logging_2326/klagomål/A 27571-2025 FSC-klagomål.docx", "A 27571-2025")</f>
        <v/>
      </c>
      <c r="W565">
        <f>HYPERLINK("https://klasma.github.io/Logging_2326/klagomålsmail/A 27571-2025 FSC-klagomål mail.docx", "A 27571-2025")</f>
        <v/>
      </c>
      <c r="X565">
        <f>HYPERLINK("https://klasma.github.io/Logging_2326/tillsyn/A 27571-2025 tillsynsbegäran.docx", "A 27571-2025")</f>
        <v/>
      </c>
      <c r="Y565">
        <f>HYPERLINK("https://klasma.github.io/Logging_2326/tillsynsmail/A 27571-2025 tillsynsbegäran mail.docx", "A 27571-2025")</f>
        <v/>
      </c>
      <c r="Z565">
        <f>HYPERLINK("https://klasma.github.io/Logging_2326/fåglar/A 27571-2025 prioriterade fågelarter.docx", "A 27571-2025")</f>
        <v/>
      </c>
    </row>
    <row r="566" ht="15" customHeight="1">
      <c r="A566" t="inlineStr">
        <is>
          <t>A 4938-2025</t>
        </is>
      </c>
      <c r="B566" s="1" t="n">
        <v>45688</v>
      </c>
      <c r="C566" s="1" t="n">
        <v>46045</v>
      </c>
      <c r="D566" t="inlineStr">
        <is>
          <t>JÄMTLANDS LÄN</t>
        </is>
      </c>
      <c r="E566" t="inlineStr">
        <is>
          <t>ÅRE</t>
        </is>
      </c>
      <c r="G566" t="n">
        <v>0.9</v>
      </c>
      <c r="H566" t="n">
        <v>0</v>
      </c>
      <c r="I566" t="n">
        <v>2</v>
      </c>
      <c r="J566" t="n">
        <v>2</v>
      </c>
      <c r="K566" t="n">
        <v>2</v>
      </c>
      <c r="L566" t="n">
        <v>0</v>
      </c>
      <c r="M566" t="n">
        <v>0</v>
      </c>
      <c r="N566" t="n">
        <v>0</v>
      </c>
      <c r="O566" t="n">
        <v>4</v>
      </c>
      <c r="P566" t="n">
        <v>2</v>
      </c>
      <c r="Q566" t="n">
        <v>6</v>
      </c>
      <c r="R566" s="2" t="inlineStr">
        <is>
          <t>Citronfingersvamp
Kejsarskivling
Garnlav
Skrovellav
Papegojvaxskivling
Svavelriska</t>
        </is>
      </c>
      <c r="S566">
        <f>HYPERLINK("https://klasma.github.io/Logging_2321/artfynd/A 4938-2025 artfynd.xlsx", "A 4938-2025")</f>
        <v/>
      </c>
      <c r="T566">
        <f>HYPERLINK("https://klasma.github.io/Logging_2321/kartor/A 4938-2025 karta.png", "A 4938-2025")</f>
        <v/>
      </c>
      <c r="V566">
        <f>HYPERLINK("https://klasma.github.io/Logging_2321/klagomål/A 4938-2025 FSC-klagomål.docx", "A 4938-2025")</f>
        <v/>
      </c>
      <c r="W566">
        <f>HYPERLINK("https://klasma.github.io/Logging_2321/klagomålsmail/A 4938-2025 FSC-klagomål mail.docx", "A 4938-2025")</f>
        <v/>
      </c>
      <c r="X566">
        <f>HYPERLINK("https://klasma.github.io/Logging_2321/tillsyn/A 4938-2025 tillsynsbegäran.docx", "A 4938-2025")</f>
        <v/>
      </c>
      <c r="Y566">
        <f>HYPERLINK("https://klasma.github.io/Logging_2321/tillsynsmail/A 4938-2025 tillsynsbegäran mail.docx", "A 4938-2025")</f>
        <v/>
      </c>
    </row>
    <row r="567" ht="15" customHeight="1">
      <c r="A567" t="inlineStr">
        <is>
          <t>A 17078-2024</t>
        </is>
      </c>
      <c r="B567" s="1" t="n">
        <v>45412</v>
      </c>
      <c r="C567" s="1" t="n">
        <v>46045</v>
      </c>
      <c r="D567" t="inlineStr">
        <is>
          <t>JÄMTLANDS LÄN</t>
        </is>
      </c>
      <c r="E567" t="inlineStr">
        <is>
          <t>BERG</t>
        </is>
      </c>
      <c r="G567" t="n">
        <v>17.8</v>
      </c>
      <c r="H567" t="n">
        <v>2</v>
      </c>
      <c r="I567" t="n">
        <v>2</v>
      </c>
      <c r="J567" t="n">
        <v>3</v>
      </c>
      <c r="K567" t="n">
        <v>1</v>
      </c>
      <c r="L567" t="n">
        <v>0</v>
      </c>
      <c r="M567" t="n">
        <v>0</v>
      </c>
      <c r="N567" t="n">
        <v>0</v>
      </c>
      <c r="O567" t="n">
        <v>4</v>
      </c>
      <c r="P567" t="n">
        <v>1</v>
      </c>
      <c r="Q567" t="n">
        <v>6</v>
      </c>
      <c r="R567" s="2" t="inlineStr">
        <is>
          <t>Rynkskinn
Granticka
Tretåig hackspett
Vitgrynig nållav
Spindelblomster
Ögonpyrola</t>
        </is>
      </c>
      <c r="S567">
        <f>HYPERLINK("https://klasma.github.io/Logging_2326/artfynd/A 17078-2024 artfynd.xlsx", "A 17078-2024")</f>
        <v/>
      </c>
      <c r="T567">
        <f>HYPERLINK("https://klasma.github.io/Logging_2326/kartor/A 17078-2024 karta.png", "A 17078-2024")</f>
        <v/>
      </c>
      <c r="V567">
        <f>HYPERLINK("https://klasma.github.io/Logging_2326/klagomål/A 17078-2024 FSC-klagomål.docx", "A 17078-2024")</f>
        <v/>
      </c>
      <c r="W567">
        <f>HYPERLINK("https://klasma.github.io/Logging_2326/klagomålsmail/A 17078-2024 FSC-klagomål mail.docx", "A 17078-2024")</f>
        <v/>
      </c>
      <c r="X567">
        <f>HYPERLINK("https://klasma.github.io/Logging_2326/tillsyn/A 17078-2024 tillsynsbegäran.docx", "A 17078-2024")</f>
        <v/>
      </c>
      <c r="Y567">
        <f>HYPERLINK("https://klasma.github.io/Logging_2326/tillsynsmail/A 17078-2024 tillsynsbegäran mail.docx", "A 17078-2024")</f>
        <v/>
      </c>
      <c r="Z567">
        <f>HYPERLINK("https://klasma.github.io/Logging_2326/fåglar/A 17078-2024 prioriterade fågelarter.docx", "A 17078-2024")</f>
        <v/>
      </c>
    </row>
    <row r="568" ht="15" customHeight="1">
      <c r="A568" t="inlineStr">
        <is>
          <t>A 46723-2025</t>
        </is>
      </c>
      <c r="B568" s="1" t="n">
        <v>45926.58501157408</v>
      </c>
      <c r="C568" s="1" t="n">
        <v>46045</v>
      </c>
      <c r="D568" t="inlineStr">
        <is>
          <t>JÄMTLANDS LÄN</t>
        </is>
      </c>
      <c r="E568" t="inlineStr">
        <is>
          <t>STRÖMSUND</t>
        </is>
      </c>
      <c r="G568" t="n">
        <v>8.5</v>
      </c>
      <c r="H568" t="n">
        <v>6</v>
      </c>
      <c r="I568" t="n">
        <v>1</v>
      </c>
      <c r="J568" t="n">
        <v>3</v>
      </c>
      <c r="K568" t="n">
        <v>0</v>
      </c>
      <c r="L568" t="n">
        <v>0</v>
      </c>
      <c r="M568" t="n">
        <v>0</v>
      </c>
      <c r="N568" t="n">
        <v>0</v>
      </c>
      <c r="O568" t="n">
        <v>3</v>
      </c>
      <c r="P568" t="n">
        <v>0</v>
      </c>
      <c r="Q568" t="n">
        <v>6</v>
      </c>
      <c r="R568" s="2" t="inlineStr">
        <is>
          <t>Grönsångare
Talltita
Tretåig hackspett
Guckusko
Kungsfågel
Fläcknycklar</t>
        </is>
      </c>
      <c r="S568">
        <f>HYPERLINK("https://klasma.github.io/Logging_2313/artfynd/A 46723-2025 artfynd.xlsx", "A 46723-2025")</f>
        <v/>
      </c>
      <c r="T568">
        <f>HYPERLINK("https://klasma.github.io/Logging_2313/kartor/A 46723-2025 karta.png", "A 46723-2025")</f>
        <v/>
      </c>
      <c r="V568">
        <f>HYPERLINK("https://klasma.github.io/Logging_2313/klagomål/A 46723-2025 FSC-klagomål.docx", "A 46723-2025")</f>
        <v/>
      </c>
      <c r="W568">
        <f>HYPERLINK("https://klasma.github.io/Logging_2313/klagomålsmail/A 46723-2025 FSC-klagomål mail.docx", "A 46723-2025")</f>
        <v/>
      </c>
      <c r="X568">
        <f>HYPERLINK("https://klasma.github.io/Logging_2313/tillsyn/A 46723-2025 tillsynsbegäran.docx", "A 46723-2025")</f>
        <v/>
      </c>
      <c r="Y568">
        <f>HYPERLINK("https://klasma.github.io/Logging_2313/tillsynsmail/A 46723-2025 tillsynsbegäran mail.docx", "A 46723-2025")</f>
        <v/>
      </c>
      <c r="Z568">
        <f>HYPERLINK("https://klasma.github.io/Logging_2313/fåglar/A 46723-2025 prioriterade fågelarter.docx", "A 46723-2025")</f>
        <v/>
      </c>
    </row>
    <row r="569" ht="15" customHeight="1">
      <c r="A569" t="inlineStr">
        <is>
          <t>A 6236-2021</t>
        </is>
      </c>
      <c r="B569" s="1" t="n">
        <v>44231</v>
      </c>
      <c r="C569" s="1" t="n">
        <v>46045</v>
      </c>
      <c r="D569" t="inlineStr">
        <is>
          <t>JÄMTLANDS LÄN</t>
        </is>
      </c>
      <c r="E569" t="inlineStr">
        <is>
          <t>ÅRE</t>
        </is>
      </c>
      <c r="G569" t="n">
        <v>39.1</v>
      </c>
      <c r="H569" t="n">
        <v>2</v>
      </c>
      <c r="I569" t="n">
        <v>4</v>
      </c>
      <c r="J569" t="n">
        <v>1</v>
      </c>
      <c r="K569" t="n">
        <v>0</v>
      </c>
      <c r="L569" t="n">
        <v>0</v>
      </c>
      <c r="M569" t="n">
        <v>0</v>
      </c>
      <c r="N569" t="n">
        <v>0</v>
      </c>
      <c r="O569" t="n">
        <v>1</v>
      </c>
      <c r="P569" t="n">
        <v>0</v>
      </c>
      <c r="Q569" t="n">
        <v>6</v>
      </c>
      <c r="R569" s="2" t="inlineStr">
        <is>
          <t>Garnlav
Bårdlav
Gytterlav
Spindelblomster
Stuplav
Revlummer</t>
        </is>
      </c>
      <c r="S569">
        <f>HYPERLINK("https://klasma.github.io/Logging_2321/artfynd/A 6236-2021 artfynd.xlsx", "A 6236-2021")</f>
        <v/>
      </c>
      <c r="T569">
        <f>HYPERLINK("https://klasma.github.io/Logging_2321/kartor/A 6236-2021 karta.png", "A 6236-2021")</f>
        <v/>
      </c>
      <c r="V569">
        <f>HYPERLINK("https://klasma.github.io/Logging_2321/klagomål/A 6236-2021 FSC-klagomål.docx", "A 6236-2021")</f>
        <v/>
      </c>
      <c r="W569">
        <f>HYPERLINK("https://klasma.github.io/Logging_2321/klagomålsmail/A 6236-2021 FSC-klagomål mail.docx", "A 6236-2021")</f>
        <v/>
      </c>
      <c r="X569">
        <f>HYPERLINK("https://klasma.github.io/Logging_2321/tillsyn/A 6236-2021 tillsynsbegäran.docx", "A 6236-2021")</f>
        <v/>
      </c>
      <c r="Y569">
        <f>HYPERLINK("https://klasma.github.io/Logging_2321/tillsynsmail/A 6236-2021 tillsynsbegäran mail.docx", "A 6236-2021")</f>
        <v/>
      </c>
    </row>
    <row r="570" ht="15" customHeight="1">
      <c r="A570" t="inlineStr">
        <is>
          <t>A 30035-2024</t>
        </is>
      </c>
      <c r="B570" s="1" t="n">
        <v>45485</v>
      </c>
      <c r="C570" s="1" t="n">
        <v>46045</v>
      </c>
      <c r="D570" t="inlineStr">
        <is>
          <t>JÄMTLANDS LÄN</t>
        </is>
      </c>
      <c r="E570" t="inlineStr">
        <is>
          <t>ÅRE</t>
        </is>
      </c>
      <c r="G570" t="n">
        <v>16.7</v>
      </c>
      <c r="H570" t="n">
        <v>1</v>
      </c>
      <c r="I570" t="n">
        <v>2</v>
      </c>
      <c r="J570" t="n">
        <v>4</v>
      </c>
      <c r="K570" t="n">
        <v>0</v>
      </c>
      <c r="L570" t="n">
        <v>0</v>
      </c>
      <c r="M570" t="n">
        <v>0</v>
      </c>
      <c r="N570" t="n">
        <v>0</v>
      </c>
      <c r="O570" t="n">
        <v>4</v>
      </c>
      <c r="P570" t="n">
        <v>0</v>
      </c>
      <c r="Q570" t="n">
        <v>6</v>
      </c>
      <c r="R570" s="2" t="inlineStr">
        <is>
          <t>Granticka
Leptoporus mollis
Skrovellav
Tretåig hackspett
Blåmossa
Stuplav</t>
        </is>
      </c>
      <c r="S570">
        <f>HYPERLINK("https://klasma.github.io/Logging_2321/artfynd/A 30035-2024 artfynd.xlsx", "A 30035-2024")</f>
        <v/>
      </c>
      <c r="T570">
        <f>HYPERLINK("https://klasma.github.io/Logging_2321/kartor/A 30035-2024 karta.png", "A 30035-2024")</f>
        <v/>
      </c>
      <c r="V570">
        <f>HYPERLINK("https://klasma.github.io/Logging_2321/klagomål/A 30035-2024 FSC-klagomål.docx", "A 30035-2024")</f>
        <v/>
      </c>
      <c r="W570">
        <f>HYPERLINK("https://klasma.github.io/Logging_2321/klagomålsmail/A 30035-2024 FSC-klagomål mail.docx", "A 30035-2024")</f>
        <v/>
      </c>
      <c r="X570">
        <f>HYPERLINK("https://klasma.github.io/Logging_2321/tillsyn/A 30035-2024 tillsynsbegäran.docx", "A 30035-2024")</f>
        <v/>
      </c>
      <c r="Y570">
        <f>HYPERLINK("https://klasma.github.io/Logging_2321/tillsynsmail/A 30035-2024 tillsynsbegäran mail.docx", "A 30035-2024")</f>
        <v/>
      </c>
      <c r="Z570">
        <f>HYPERLINK("https://klasma.github.io/Logging_2321/fåglar/A 30035-2024 prioriterade fågelarter.docx", "A 30035-2024")</f>
        <v/>
      </c>
    </row>
    <row r="571" ht="15" customHeight="1">
      <c r="A571" t="inlineStr">
        <is>
          <t>A 48699-2025</t>
        </is>
      </c>
      <c r="B571" s="1" t="n">
        <v>45936.61651620371</v>
      </c>
      <c r="C571" s="1" t="n">
        <v>46045</v>
      </c>
      <c r="D571" t="inlineStr">
        <is>
          <t>JÄMTLANDS LÄN</t>
        </is>
      </c>
      <c r="E571" t="inlineStr">
        <is>
          <t>HÄRJEDALEN</t>
        </is>
      </c>
      <c r="F571" t="inlineStr">
        <is>
          <t>Bergvik skog väst AB</t>
        </is>
      </c>
      <c r="G571" t="n">
        <v>26.9</v>
      </c>
      <c r="H571" t="n">
        <v>0</v>
      </c>
      <c r="I571" t="n">
        <v>0</v>
      </c>
      <c r="J571" t="n">
        <v>6</v>
      </c>
      <c r="K571" t="n">
        <v>0</v>
      </c>
      <c r="L571" t="n">
        <v>0</v>
      </c>
      <c r="M571" t="n">
        <v>0</v>
      </c>
      <c r="N571" t="n">
        <v>0</v>
      </c>
      <c r="O571" t="n">
        <v>6</v>
      </c>
      <c r="P571" t="n">
        <v>0</v>
      </c>
      <c r="Q571" t="n">
        <v>6</v>
      </c>
      <c r="R571" s="2" t="inlineStr">
        <is>
          <t>Blanksvart spiklav
Blågrå svartspik
Dvärgbägarlav
Kolflarnlav
Mörk kolflarnlav
Nordtagging</t>
        </is>
      </c>
      <c r="S571">
        <f>HYPERLINK("https://klasma.github.io/Logging_2361/artfynd/A 48699-2025 artfynd.xlsx", "A 48699-2025")</f>
        <v/>
      </c>
      <c r="T571">
        <f>HYPERLINK("https://klasma.github.io/Logging_2361/kartor/A 48699-2025 karta.png", "A 48699-2025")</f>
        <v/>
      </c>
      <c r="V571">
        <f>HYPERLINK("https://klasma.github.io/Logging_2361/klagomål/A 48699-2025 FSC-klagomål.docx", "A 48699-2025")</f>
        <v/>
      </c>
      <c r="W571">
        <f>HYPERLINK("https://klasma.github.io/Logging_2361/klagomålsmail/A 48699-2025 FSC-klagomål mail.docx", "A 48699-2025")</f>
        <v/>
      </c>
      <c r="X571">
        <f>HYPERLINK("https://klasma.github.io/Logging_2361/tillsyn/A 48699-2025 tillsynsbegäran.docx", "A 48699-2025")</f>
        <v/>
      </c>
      <c r="Y571">
        <f>HYPERLINK("https://klasma.github.io/Logging_2361/tillsynsmail/A 48699-2025 tillsynsbegäran mail.docx", "A 48699-2025")</f>
        <v/>
      </c>
    </row>
    <row r="572" ht="15" customHeight="1">
      <c r="A572" t="inlineStr">
        <is>
          <t>A 40013-2025</t>
        </is>
      </c>
      <c r="B572" s="1" t="n">
        <v>45894.345</v>
      </c>
      <c r="C572" s="1" t="n">
        <v>46045</v>
      </c>
      <c r="D572" t="inlineStr">
        <is>
          <t>JÄMTLANDS LÄN</t>
        </is>
      </c>
      <c r="E572" t="inlineStr">
        <is>
          <t>STRÖMSUND</t>
        </is>
      </c>
      <c r="F572" t="inlineStr">
        <is>
          <t>SCA</t>
        </is>
      </c>
      <c r="G572" t="n">
        <v>2.7</v>
      </c>
      <c r="H572" t="n">
        <v>1</v>
      </c>
      <c r="I572" t="n">
        <v>1</v>
      </c>
      <c r="J572" t="n">
        <v>5</v>
      </c>
      <c r="K572" t="n">
        <v>0</v>
      </c>
      <c r="L572" t="n">
        <v>0</v>
      </c>
      <c r="M572" t="n">
        <v>0</v>
      </c>
      <c r="N572" t="n">
        <v>0</v>
      </c>
      <c r="O572" t="n">
        <v>5</v>
      </c>
      <c r="P572" t="n">
        <v>0</v>
      </c>
      <c r="Q572" t="n">
        <v>6</v>
      </c>
      <c r="R572" s="2" t="inlineStr">
        <is>
          <t>Doftskinn
Garnlav
Harticka
Lunglav
Tretåig hackspett
Luddlav</t>
        </is>
      </c>
      <c r="S572">
        <f>HYPERLINK("https://klasma.github.io/Logging_2313/artfynd/A 40013-2025 artfynd.xlsx", "A 40013-2025")</f>
        <v/>
      </c>
      <c r="T572">
        <f>HYPERLINK("https://klasma.github.io/Logging_2313/kartor/A 40013-2025 karta.png", "A 40013-2025")</f>
        <v/>
      </c>
      <c r="V572">
        <f>HYPERLINK("https://klasma.github.io/Logging_2313/klagomål/A 40013-2025 FSC-klagomål.docx", "A 40013-2025")</f>
        <v/>
      </c>
      <c r="W572">
        <f>HYPERLINK("https://klasma.github.io/Logging_2313/klagomålsmail/A 40013-2025 FSC-klagomål mail.docx", "A 40013-2025")</f>
        <v/>
      </c>
      <c r="X572">
        <f>HYPERLINK("https://klasma.github.io/Logging_2313/tillsyn/A 40013-2025 tillsynsbegäran.docx", "A 40013-2025")</f>
        <v/>
      </c>
      <c r="Y572">
        <f>HYPERLINK("https://klasma.github.io/Logging_2313/tillsynsmail/A 40013-2025 tillsynsbegäran mail.docx", "A 40013-2025")</f>
        <v/>
      </c>
      <c r="Z572">
        <f>HYPERLINK("https://klasma.github.io/Logging_2313/fåglar/A 40013-2025 prioriterade fågelarter.docx", "A 40013-2025")</f>
        <v/>
      </c>
    </row>
    <row r="573" ht="15" customHeight="1">
      <c r="A573" t="inlineStr">
        <is>
          <t>A 45564-2024</t>
        </is>
      </c>
      <c r="B573" s="1" t="n">
        <v>45579.37072916667</v>
      </c>
      <c r="C573" s="1" t="n">
        <v>46045</v>
      </c>
      <c r="D573" t="inlineStr">
        <is>
          <t>JÄMTLANDS LÄN</t>
        </is>
      </c>
      <c r="E573" t="inlineStr">
        <is>
          <t>STRÖMSUND</t>
        </is>
      </c>
      <c r="F573" t="inlineStr">
        <is>
          <t>Holmen skog AB</t>
        </is>
      </c>
      <c r="G573" t="n">
        <v>4.9</v>
      </c>
      <c r="H573" t="n">
        <v>1</v>
      </c>
      <c r="I573" t="n">
        <v>2</v>
      </c>
      <c r="J573" t="n">
        <v>4</v>
      </c>
      <c r="K573" t="n">
        <v>0</v>
      </c>
      <c r="L573" t="n">
        <v>0</v>
      </c>
      <c r="M573" t="n">
        <v>0</v>
      </c>
      <c r="N573" t="n">
        <v>0</v>
      </c>
      <c r="O573" t="n">
        <v>4</v>
      </c>
      <c r="P573" t="n">
        <v>0</v>
      </c>
      <c r="Q573" t="n">
        <v>6</v>
      </c>
      <c r="R573" s="2" t="inlineStr">
        <is>
          <t>Garnlav
Lunglav
Skrovellav
Tretåig hackspett
Bårdlav
Stuplav</t>
        </is>
      </c>
      <c r="S573">
        <f>HYPERLINK("https://klasma.github.io/Logging_2313/artfynd/A 45564-2024 artfynd.xlsx", "A 45564-2024")</f>
        <v/>
      </c>
      <c r="T573">
        <f>HYPERLINK("https://klasma.github.io/Logging_2313/kartor/A 45564-2024 karta.png", "A 45564-2024")</f>
        <v/>
      </c>
      <c r="V573">
        <f>HYPERLINK("https://klasma.github.io/Logging_2313/klagomål/A 45564-2024 FSC-klagomål.docx", "A 45564-2024")</f>
        <v/>
      </c>
      <c r="W573">
        <f>HYPERLINK("https://klasma.github.io/Logging_2313/klagomålsmail/A 45564-2024 FSC-klagomål mail.docx", "A 45564-2024")</f>
        <v/>
      </c>
      <c r="X573">
        <f>HYPERLINK("https://klasma.github.io/Logging_2313/tillsyn/A 45564-2024 tillsynsbegäran.docx", "A 45564-2024")</f>
        <v/>
      </c>
      <c r="Y573">
        <f>HYPERLINK("https://klasma.github.io/Logging_2313/tillsynsmail/A 45564-2024 tillsynsbegäran mail.docx", "A 45564-2024")</f>
        <v/>
      </c>
      <c r="Z573">
        <f>HYPERLINK("https://klasma.github.io/Logging_2313/fåglar/A 45564-2024 prioriterade fågelarter.docx", "A 45564-2024")</f>
        <v/>
      </c>
    </row>
    <row r="574" ht="15" customHeight="1">
      <c r="A574" t="inlineStr">
        <is>
          <t>A 49291-2025</t>
        </is>
      </c>
      <c r="B574" s="1" t="n">
        <v>45938.53188657408</v>
      </c>
      <c r="C574" s="1" t="n">
        <v>46045</v>
      </c>
      <c r="D574" t="inlineStr">
        <is>
          <t>JÄMTLANDS LÄN</t>
        </is>
      </c>
      <c r="E574" t="inlineStr">
        <is>
          <t>RAGUNDA</t>
        </is>
      </c>
      <c r="F574" t="inlineStr">
        <is>
          <t>SCA</t>
        </is>
      </c>
      <c r="G574" t="n">
        <v>4.2</v>
      </c>
      <c r="H574" t="n">
        <v>1</v>
      </c>
      <c r="I574" t="n">
        <v>3</v>
      </c>
      <c r="J574" t="n">
        <v>2</v>
      </c>
      <c r="K574" t="n">
        <v>0</v>
      </c>
      <c r="L574" t="n">
        <v>0</v>
      </c>
      <c r="M574" t="n">
        <v>0</v>
      </c>
      <c r="N574" t="n">
        <v>0</v>
      </c>
      <c r="O574" t="n">
        <v>2</v>
      </c>
      <c r="P574" t="n">
        <v>0</v>
      </c>
      <c r="Q574" t="n">
        <v>6</v>
      </c>
      <c r="R574" s="2" t="inlineStr">
        <is>
          <t>Kolflarnlav
Lunglav
Korallblylav
Skinnlav
Vårärt
Blåsippa</t>
        </is>
      </c>
      <c r="S574">
        <f>HYPERLINK("https://klasma.github.io/Logging_2303/artfynd/A 49291-2025 artfynd.xlsx", "A 49291-2025")</f>
        <v/>
      </c>
      <c r="T574">
        <f>HYPERLINK("https://klasma.github.io/Logging_2303/kartor/A 49291-2025 karta.png", "A 49291-2025")</f>
        <v/>
      </c>
      <c r="V574">
        <f>HYPERLINK("https://klasma.github.io/Logging_2303/klagomål/A 49291-2025 FSC-klagomål.docx", "A 49291-2025")</f>
        <v/>
      </c>
      <c r="W574">
        <f>HYPERLINK("https://klasma.github.io/Logging_2303/klagomålsmail/A 49291-2025 FSC-klagomål mail.docx", "A 49291-2025")</f>
        <v/>
      </c>
      <c r="X574">
        <f>HYPERLINK("https://klasma.github.io/Logging_2303/tillsyn/A 49291-2025 tillsynsbegäran.docx", "A 49291-2025")</f>
        <v/>
      </c>
      <c r="Y574">
        <f>HYPERLINK("https://klasma.github.io/Logging_2303/tillsynsmail/A 49291-2025 tillsynsbegäran mail.docx", "A 49291-2025")</f>
        <v/>
      </c>
    </row>
    <row r="575" ht="15" customHeight="1">
      <c r="A575" t="inlineStr">
        <is>
          <t>A 50212-2025</t>
        </is>
      </c>
      <c r="B575" s="1" t="n">
        <v>45943.67789351852</v>
      </c>
      <c r="C575" s="1" t="n">
        <v>46045</v>
      </c>
      <c r="D575" t="inlineStr">
        <is>
          <t>JÄMTLANDS LÄN</t>
        </is>
      </c>
      <c r="E575" t="inlineStr">
        <is>
          <t>STRÖMSUND</t>
        </is>
      </c>
      <c r="F575" t="inlineStr">
        <is>
          <t>SCA</t>
        </is>
      </c>
      <c r="G575" t="n">
        <v>2.7</v>
      </c>
      <c r="H575" t="n">
        <v>1</v>
      </c>
      <c r="I575" t="n">
        <v>2</v>
      </c>
      <c r="J575" t="n">
        <v>4</v>
      </c>
      <c r="K575" t="n">
        <v>0</v>
      </c>
      <c r="L575" t="n">
        <v>0</v>
      </c>
      <c r="M575" t="n">
        <v>0</v>
      </c>
      <c r="N575" t="n">
        <v>0</v>
      </c>
      <c r="O575" t="n">
        <v>4</v>
      </c>
      <c r="P575" t="n">
        <v>0</v>
      </c>
      <c r="Q575" t="n">
        <v>6</v>
      </c>
      <c r="R575" s="2" t="inlineStr">
        <is>
          <t>Granticka
Harticka
Lunglav
Rosenticka
Guckusko
Stuplav</t>
        </is>
      </c>
      <c r="S575">
        <f>HYPERLINK("https://klasma.github.io/Logging_2313/artfynd/A 50212-2025 artfynd.xlsx", "A 50212-2025")</f>
        <v/>
      </c>
      <c r="T575">
        <f>HYPERLINK("https://klasma.github.io/Logging_2313/kartor/A 50212-2025 karta.png", "A 50212-2025")</f>
        <v/>
      </c>
      <c r="V575">
        <f>HYPERLINK("https://klasma.github.io/Logging_2313/klagomål/A 50212-2025 FSC-klagomål.docx", "A 50212-2025")</f>
        <v/>
      </c>
      <c r="W575">
        <f>HYPERLINK("https://klasma.github.io/Logging_2313/klagomålsmail/A 50212-2025 FSC-klagomål mail.docx", "A 50212-2025")</f>
        <v/>
      </c>
      <c r="X575">
        <f>HYPERLINK("https://klasma.github.io/Logging_2313/tillsyn/A 50212-2025 tillsynsbegäran.docx", "A 50212-2025")</f>
        <v/>
      </c>
      <c r="Y575">
        <f>HYPERLINK("https://klasma.github.io/Logging_2313/tillsynsmail/A 50212-2025 tillsynsbegäran mail.docx", "A 50212-2025")</f>
        <v/>
      </c>
    </row>
    <row r="576" ht="15" customHeight="1">
      <c r="A576" t="inlineStr">
        <is>
          <t>A 18338-2025</t>
        </is>
      </c>
      <c r="B576" s="1" t="n">
        <v>45762.51075231482</v>
      </c>
      <c r="C576" s="1" t="n">
        <v>46045</v>
      </c>
      <c r="D576" t="inlineStr">
        <is>
          <t>JÄMTLANDS LÄN</t>
        </is>
      </c>
      <c r="E576" t="inlineStr">
        <is>
          <t>ÖSTERSUND</t>
        </is>
      </c>
      <c r="F576" t="inlineStr">
        <is>
          <t>SCA</t>
        </is>
      </c>
      <c r="G576" t="n">
        <v>5.3</v>
      </c>
      <c r="H576" t="n">
        <v>1</v>
      </c>
      <c r="I576" t="n">
        <v>2</v>
      </c>
      <c r="J576" t="n">
        <v>3</v>
      </c>
      <c r="K576" t="n">
        <v>0</v>
      </c>
      <c r="L576" t="n">
        <v>0</v>
      </c>
      <c r="M576" t="n">
        <v>0</v>
      </c>
      <c r="N576" t="n">
        <v>0</v>
      </c>
      <c r="O576" t="n">
        <v>3</v>
      </c>
      <c r="P576" t="n">
        <v>0</v>
      </c>
      <c r="Q576" t="n">
        <v>6</v>
      </c>
      <c r="R576" s="2" t="inlineStr">
        <is>
          <t>Kolflarnlav
Oljetagging
Vedflamlav
Barkticka
Stor aspticka
Fläcknycklar</t>
        </is>
      </c>
      <c r="S576">
        <f>HYPERLINK("https://klasma.github.io/Logging_2380/artfynd/A 18338-2025 artfynd.xlsx", "A 18338-2025")</f>
        <v/>
      </c>
      <c r="T576">
        <f>HYPERLINK("https://klasma.github.io/Logging_2380/kartor/A 18338-2025 karta.png", "A 18338-2025")</f>
        <v/>
      </c>
      <c r="V576">
        <f>HYPERLINK("https://klasma.github.io/Logging_2380/klagomål/A 18338-2025 FSC-klagomål.docx", "A 18338-2025")</f>
        <v/>
      </c>
      <c r="W576">
        <f>HYPERLINK("https://klasma.github.io/Logging_2380/klagomålsmail/A 18338-2025 FSC-klagomål mail.docx", "A 18338-2025")</f>
        <v/>
      </c>
      <c r="X576">
        <f>HYPERLINK("https://klasma.github.io/Logging_2380/tillsyn/A 18338-2025 tillsynsbegäran.docx", "A 18338-2025")</f>
        <v/>
      </c>
      <c r="Y576">
        <f>HYPERLINK("https://klasma.github.io/Logging_2380/tillsynsmail/A 18338-2025 tillsynsbegäran mail.docx", "A 18338-2025")</f>
        <v/>
      </c>
    </row>
    <row r="577" ht="15" customHeight="1">
      <c r="A577" t="inlineStr">
        <is>
          <t>A 24670-2025</t>
        </is>
      </c>
      <c r="B577" s="1" t="n">
        <v>45798.64947916667</v>
      </c>
      <c r="C577" s="1" t="n">
        <v>46045</v>
      </c>
      <c r="D577" t="inlineStr">
        <is>
          <t>JÄMTLANDS LÄN</t>
        </is>
      </c>
      <c r="E577" t="inlineStr">
        <is>
          <t>BERG</t>
        </is>
      </c>
      <c r="G577" t="n">
        <v>8.800000000000001</v>
      </c>
      <c r="H577" t="n">
        <v>1</v>
      </c>
      <c r="I577" t="n">
        <v>2</v>
      </c>
      <c r="J577" t="n">
        <v>2</v>
      </c>
      <c r="K577" t="n">
        <v>1</v>
      </c>
      <c r="L577" t="n">
        <v>0</v>
      </c>
      <c r="M577" t="n">
        <v>0</v>
      </c>
      <c r="N577" t="n">
        <v>0</v>
      </c>
      <c r="O577" t="n">
        <v>3</v>
      </c>
      <c r="P577" t="n">
        <v>1</v>
      </c>
      <c r="Q577" t="n">
        <v>6</v>
      </c>
      <c r="R577" s="2" t="inlineStr">
        <is>
          <t>Rynkskinn
Garnlav
Lunglav
Flagellkvastmossa
Vågbandad barkbock
Revlummer</t>
        </is>
      </c>
      <c r="S577">
        <f>HYPERLINK("https://klasma.github.io/Logging_2326/artfynd/A 24670-2025 artfynd.xlsx", "A 24670-2025")</f>
        <v/>
      </c>
      <c r="T577">
        <f>HYPERLINK("https://klasma.github.io/Logging_2326/kartor/A 24670-2025 karta.png", "A 24670-2025")</f>
        <v/>
      </c>
      <c r="V577">
        <f>HYPERLINK("https://klasma.github.io/Logging_2326/klagomål/A 24670-2025 FSC-klagomål.docx", "A 24670-2025")</f>
        <v/>
      </c>
      <c r="W577">
        <f>HYPERLINK("https://klasma.github.io/Logging_2326/klagomålsmail/A 24670-2025 FSC-klagomål mail.docx", "A 24670-2025")</f>
        <v/>
      </c>
      <c r="X577">
        <f>HYPERLINK("https://klasma.github.io/Logging_2326/tillsyn/A 24670-2025 tillsynsbegäran.docx", "A 24670-2025")</f>
        <v/>
      </c>
      <c r="Y577">
        <f>HYPERLINK("https://klasma.github.io/Logging_2326/tillsynsmail/A 24670-2025 tillsynsbegäran mail.docx", "A 24670-2025")</f>
        <v/>
      </c>
    </row>
    <row r="578" ht="15" customHeight="1">
      <c r="A578" t="inlineStr">
        <is>
          <t>A 30233-2022</t>
        </is>
      </c>
      <c r="B578" s="1" t="n">
        <v>44757</v>
      </c>
      <c r="C578" s="1" t="n">
        <v>46045</v>
      </c>
      <c r="D578" t="inlineStr">
        <is>
          <t>JÄMTLANDS LÄN</t>
        </is>
      </c>
      <c r="E578" t="inlineStr">
        <is>
          <t>STRÖMSUND</t>
        </is>
      </c>
      <c r="F578" t="inlineStr">
        <is>
          <t>SCA</t>
        </is>
      </c>
      <c r="G578" t="n">
        <v>10.1</v>
      </c>
      <c r="H578" t="n">
        <v>3</v>
      </c>
      <c r="I578" t="n">
        <v>2</v>
      </c>
      <c r="J578" t="n">
        <v>4</v>
      </c>
      <c r="K578" t="n">
        <v>0</v>
      </c>
      <c r="L578" t="n">
        <v>0</v>
      </c>
      <c r="M578" t="n">
        <v>0</v>
      </c>
      <c r="N578" t="n">
        <v>0</v>
      </c>
      <c r="O578" t="n">
        <v>4</v>
      </c>
      <c r="P578" t="n">
        <v>0</v>
      </c>
      <c r="Q578" t="n">
        <v>6</v>
      </c>
      <c r="R578" s="2" t="inlineStr">
        <is>
          <t>Garnlav
Lunglav
Talltita
Tretåig hackspett
Guckusko
Stuplav</t>
        </is>
      </c>
      <c r="S578">
        <f>HYPERLINK("https://klasma.github.io/Logging_2313/artfynd/A 30233-2022 artfynd.xlsx", "A 30233-2022")</f>
        <v/>
      </c>
      <c r="T578">
        <f>HYPERLINK("https://klasma.github.io/Logging_2313/kartor/A 30233-2022 karta.png", "A 30233-2022")</f>
        <v/>
      </c>
      <c r="V578">
        <f>HYPERLINK("https://klasma.github.io/Logging_2313/klagomål/A 30233-2022 FSC-klagomål.docx", "A 30233-2022")</f>
        <v/>
      </c>
      <c r="W578">
        <f>HYPERLINK("https://klasma.github.io/Logging_2313/klagomålsmail/A 30233-2022 FSC-klagomål mail.docx", "A 30233-2022")</f>
        <v/>
      </c>
      <c r="X578">
        <f>HYPERLINK("https://klasma.github.io/Logging_2313/tillsyn/A 30233-2022 tillsynsbegäran.docx", "A 30233-2022")</f>
        <v/>
      </c>
      <c r="Y578">
        <f>HYPERLINK("https://klasma.github.io/Logging_2313/tillsynsmail/A 30233-2022 tillsynsbegäran mail.docx", "A 30233-2022")</f>
        <v/>
      </c>
      <c r="Z578">
        <f>HYPERLINK("https://klasma.github.io/Logging_2313/fåglar/A 30233-2022 prioriterade fågelarter.docx", "A 30233-2022")</f>
        <v/>
      </c>
    </row>
    <row r="579" ht="15" customHeight="1">
      <c r="A579" t="inlineStr">
        <is>
          <t>A 11097-2024</t>
        </is>
      </c>
      <c r="B579" s="1" t="n">
        <v>45370</v>
      </c>
      <c r="C579" s="1" t="n">
        <v>46045</v>
      </c>
      <c r="D579" t="inlineStr">
        <is>
          <t>JÄMTLANDS LÄN</t>
        </is>
      </c>
      <c r="E579" t="inlineStr">
        <is>
          <t>KROKOM</t>
        </is>
      </c>
      <c r="G579" t="n">
        <v>12.3</v>
      </c>
      <c r="H579" t="n">
        <v>1</v>
      </c>
      <c r="I579" t="n">
        <v>0</v>
      </c>
      <c r="J579" t="n">
        <v>6</v>
      </c>
      <c r="K579" t="n">
        <v>0</v>
      </c>
      <c r="L579" t="n">
        <v>0</v>
      </c>
      <c r="M579" t="n">
        <v>0</v>
      </c>
      <c r="N579" t="n">
        <v>0</v>
      </c>
      <c r="O579" t="n">
        <v>6</v>
      </c>
      <c r="P579" t="n">
        <v>0</v>
      </c>
      <c r="Q579" t="n">
        <v>6</v>
      </c>
      <c r="R579" s="2" t="inlineStr">
        <is>
          <t>Granticka
Lunglav
Rosenticka
Skrovellav
Tretåig hackspett
Ullticka</t>
        </is>
      </c>
      <c r="S579">
        <f>HYPERLINK("https://klasma.github.io/Logging_2309/artfynd/A 11097-2024 artfynd.xlsx", "A 11097-2024")</f>
        <v/>
      </c>
      <c r="T579">
        <f>HYPERLINK("https://klasma.github.io/Logging_2309/kartor/A 11097-2024 karta.png", "A 11097-2024")</f>
        <v/>
      </c>
      <c r="V579">
        <f>HYPERLINK("https://klasma.github.io/Logging_2309/klagomål/A 11097-2024 FSC-klagomål.docx", "A 11097-2024")</f>
        <v/>
      </c>
      <c r="W579">
        <f>HYPERLINK("https://klasma.github.io/Logging_2309/klagomålsmail/A 11097-2024 FSC-klagomål mail.docx", "A 11097-2024")</f>
        <v/>
      </c>
      <c r="X579">
        <f>HYPERLINK("https://klasma.github.io/Logging_2309/tillsyn/A 11097-2024 tillsynsbegäran.docx", "A 11097-2024")</f>
        <v/>
      </c>
      <c r="Y579">
        <f>HYPERLINK("https://klasma.github.io/Logging_2309/tillsynsmail/A 11097-2024 tillsynsbegäran mail.docx", "A 11097-2024")</f>
        <v/>
      </c>
      <c r="Z579">
        <f>HYPERLINK("https://klasma.github.io/Logging_2309/fåglar/A 11097-2024 prioriterade fågelarter.docx", "A 11097-2024")</f>
        <v/>
      </c>
    </row>
    <row r="580" ht="15" customHeight="1">
      <c r="A580" t="inlineStr">
        <is>
          <t>A 51664-2025</t>
        </is>
      </c>
      <c r="B580" s="1" t="n">
        <v>45951.49009259259</v>
      </c>
      <c r="C580" s="1" t="n">
        <v>46045</v>
      </c>
      <c r="D580" t="inlineStr">
        <is>
          <t>JÄMTLANDS LÄN</t>
        </is>
      </c>
      <c r="E580" t="inlineStr">
        <is>
          <t>STRÖMSUND</t>
        </is>
      </c>
      <c r="F580" t="inlineStr">
        <is>
          <t>SCA</t>
        </is>
      </c>
      <c r="G580" t="n">
        <v>9</v>
      </c>
      <c r="H580" t="n">
        <v>2</v>
      </c>
      <c r="I580" t="n">
        <v>1</v>
      </c>
      <c r="J580" t="n">
        <v>3</v>
      </c>
      <c r="K580" t="n">
        <v>1</v>
      </c>
      <c r="L580" t="n">
        <v>0</v>
      </c>
      <c r="M580" t="n">
        <v>0</v>
      </c>
      <c r="N580" t="n">
        <v>0</v>
      </c>
      <c r="O580" t="n">
        <v>4</v>
      </c>
      <c r="P580" t="n">
        <v>1</v>
      </c>
      <c r="Q580" t="n">
        <v>6</v>
      </c>
      <c r="R580" s="2" t="inlineStr">
        <is>
          <t>Norsk näverlav
Gammelgransskål
Garnlav
Skrovellav
Tvåblad
Brudsporre</t>
        </is>
      </c>
      <c r="S580">
        <f>HYPERLINK("https://klasma.github.io/Logging_2313/artfynd/A 51664-2025 artfynd.xlsx", "A 51664-2025")</f>
        <v/>
      </c>
      <c r="T580">
        <f>HYPERLINK("https://klasma.github.io/Logging_2313/kartor/A 51664-2025 karta.png", "A 51664-2025")</f>
        <v/>
      </c>
      <c r="V580">
        <f>HYPERLINK("https://klasma.github.io/Logging_2313/klagomål/A 51664-2025 FSC-klagomål.docx", "A 51664-2025")</f>
        <v/>
      </c>
      <c r="W580">
        <f>HYPERLINK("https://klasma.github.io/Logging_2313/klagomålsmail/A 51664-2025 FSC-klagomål mail.docx", "A 51664-2025")</f>
        <v/>
      </c>
      <c r="X580">
        <f>HYPERLINK("https://klasma.github.io/Logging_2313/tillsyn/A 51664-2025 tillsynsbegäran.docx", "A 51664-2025")</f>
        <v/>
      </c>
      <c r="Y580">
        <f>HYPERLINK("https://klasma.github.io/Logging_2313/tillsynsmail/A 51664-2025 tillsynsbegäran mail.docx", "A 51664-2025")</f>
        <v/>
      </c>
    </row>
    <row r="581" ht="15" customHeight="1">
      <c r="A581" t="inlineStr">
        <is>
          <t>A 52548-2025</t>
        </is>
      </c>
      <c r="B581" s="1" t="n">
        <v>45954.5528125</v>
      </c>
      <c r="C581" s="1" t="n">
        <v>46045</v>
      </c>
      <c r="D581" t="inlineStr">
        <is>
          <t>JÄMTLANDS LÄN</t>
        </is>
      </c>
      <c r="E581" t="inlineStr">
        <is>
          <t>HÄRJEDALEN</t>
        </is>
      </c>
      <c r="F581" t="inlineStr">
        <is>
          <t>SCA</t>
        </is>
      </c>
      <c r="G581" t="n">
        <v>5.3</v>
      </c>
      <c r="H581" t="n">
        <v>0</v>
      </c>
      <c r="I581" t="n">
        <v>0</v>
      </c>
      <c r="J581" t="n">
        <v>6</v>
      </c>
      <c r="K581" t="n">
        <v>0</v>
      </c>
      <c r="L581" t="n">
        <v>0</v>
      </c>
      <c r="M581" t="n">
        <v>0</v>
      </c>
      <c r="N581" t="n">
        <v>0</v>
      </c>
      <c r="O581" t="n">
        <v>6</v>
      </c>
      <c r="P581" t="n">
        <v>0</v>
      </c>
      <c r="Q581" t="n">
        <v>6</v>
      </c>
      <c r="R581" s="2" t="inlineStr">
        <is>
          <t>Blå taggsvamp
Orange taggsvamp
Skrovlig taggsvamp
Svart taggsvamp
Svartvit taggsvamp
Talltaggsvamp</t>
        </is>
      </c>
      <c r="S581">
        <f>HYPERLINK("https://klasma.github.io/Logging_2361/artfynd/A 52548-2025 artfynd.xlsx", "A 52548-2025")</f>
        <v/>
      </c>
      <c r="T581">
        <f>HYPERLINK("https://klasma.github.io/Logging_2361/kartor/A 52548-2025 karta.png", "A 52548-2025")</f>
        <v/>
      </c>
      <c r="V581">
        <f>HYPERLINK("https://klasma.github.io/Logging_2361/klagomål/A 52548-2025 FSC-klagomål.docx", "A 52548-2025")</f>
        <v/>
      </c>
      <c r="W581">
        <f>HYPERLINK("https://klasma.github.io/Logging_2361/klagomålsmail/A 52548-2025 FSC-klagomål mail.docx", "A 52548-2025")</f>
        <v/>
      </c>
      <c r="X581">
        <f>HYPERLINK("https://klasma.github.io/Logging_2361/tillsyn/A 52548-2025 tillsynsbegäran.docx", "A 52548-2025")</f>
        <v/>
      </c>
      <c r="Y581">
        <f>HYPERLINK("https://klasma.github.io/Logging_2361/tillsynsmail/A 52548-2025 tillsynsbegäran mail.docx", "A 52548-2025")</f>
        <v/>
      </c>
    </row>
    <row r="582" ht="15" customHeight="1">
      <c r="A582" t="inlineStr">
        <is>
          <t>A 31853-2025</t>
        </is>
      </c>
      <c r="B582" s="1" t="n">
        <v>45834</v>
      </c>
      <c r="C582" s="1" t="n">
        <v>46045</v>
      </c>
      <c r="D582" t="inlineStr">
        <is>
          <t>JÄMTLANDS LÄN</t>
        </is>
      </c>
      <c r="E582" t="inlineStr">
        <is>
          <t>HÄRJEDALEN</t>
        </is>
      </c>
      <c r="F582" t="inlineStr">
        <is>
          <t>Övriga Aktiebolag</t>
        </is>
      </c>
      <c r="G582" t="n">
        <v>2.7</v>
      </c>
      <c r="H582" t="n">
        <v>3</v>
      </c>
      <c r="I582" t="n">
        <v>0</v>
      </c>
      <c r="J582" t="n">
        <v>4</v>
      </c>
      <c r="K582" t="n">
        <v>1</v>
      </c>
      <c r="L582" t="n">
        <v>0</v>
      </c>
      <c r="M582" t="n">
        <v>0</v>
      </c>
      <c r="N582" t="n">
        <v>0</v>
      </c>
      <c r="O582" t="n">
        <v>5</v>
      </c>
      <c r="P582" t="n">
        <v>1</v>
      </c>
      <c r="Q582" t="n">
        <v>6</v>
      </c>
      <c r="R582" s="2" t="inlineStr">
        <is>
          <t>Knärot
Garnlav
Lunglav
Skrovellav
Talltita
Revlummer</t>
        </is>
      </c>
      <c r="S582">
        <f>HYPERLINK("https://klasma.github.io/Logging_2361/artfynd/A 31853-2025 artfynd.xlsx", "A 31853-2025")</f>
        <v/>
      </c>
      <c r="T582">
        <f>HYPERLINK("https://klasma.github.io/Logging_2361/kartor/A 31853-2025 karta.png", "A 31853-2025")</f>
        <v/>
      </c>
      <c r="U582">
        <f>HYPERLINK("https://klasma.github.io/Logging_2361/knärot/A 31853-2025 karta knärot.png", "A 31853-2025")</f>
        <v/>
      </c>
      <c r="V582">
        <f>HYPERLINK("https://klasma.github.io/Logging_2361/klagomål/A 31853-2025 FSC-klagomål.docx", "A 31853-2025")</f>
        <v/>
      </c>
      <c r="W582">
        <f>HYPERLINK("https://klasma.github.io/Logging_2361/klagomålsmail/A 31853-2025 FSC-klagomål mail.docx", "A 31853-2025")</f>
        <v/>
      </c>
      <c r="X582">
        <f>HYPERLINK("https://klasma.github.io/Logging_2361/tillsyn/A 31853-2025 tillsynsbegäran.docx", "A 31853-2025")</f>
        <v/>
      </c>
      <c r="Y582">
        <f>HYPERLINK("https://klasma.github.io/Logging_2361/tillsynsmail/A 31853-2025 tillsynsbegäran mail.docx", "A 31853-2025")</f>
        <v/>
      </c>
      <c r="Z582">
        <f>HYPERLINK("https://klasma.github.io/Logging_2361/fåglar/A 31853-2025 prioriterade fågelarter.docx", "A 31853-2025")</f>
        <v/>
      </c>
    </row>
    <row r="583" ht="15" customHeight="1">
      <c r="A583" t="inlineStr">
        <is>
          <t>A 43278-2024</t>
        </is>
      </c>
      <c r="B583" s="1" t="n">
        <v>45568</v>
      </c>
      <c r="C583" s="1" t="n">
        <v>46045</v>
      </c>
      <c r="D583" t="inlineStr">
        <is>
          <t>JÄMTLANDS LÄN</t>
        </is>
      </c>
      <c r="E583" t="inlineStr">
        <is>
          <t>HÄRJEDALEN</t>
        </is>
      </c>
      <c r="F583" t="inlineStr">
        <is>
          <t>SCA</t>
        </is>
      </c>
      <c r="G583" t="n">
        <v>14.7</v>
      </c>
      <c r="H583" t="n">
        <v>0</v>
      </c>
      <c r="I583" t="n">
        <v>0</v>
      </c>
      <c r="J583" t="n">
        <v>5</v>
      </c>
      <c r="K583" t="n">
        <v>1</v>
      </c>
      <c r="L583" t="n">
        <v>0</v>
      </c>
      <c r="M583" t="n">
        <v>0</v>
      </c>
      <c r="N583" t="n">
        <v>0</v>
      </c>
      <c r="O583" t="n">
        <v>6</v>
      </c>
      <c r="P583" t="n">
        <v>1</v>
      </c>
      <c r="Q583" t="n">
        <v>6</v>
      </c>
      <c r="R583" s="2" t="inlineStr">
        <is>
          <t>Rynkskinn
Gammelgransskål
Garnlav
Gränsticka
Knottrig blåslav
Ullticka</t>
        </is>
      </c>
      <c r="S583">
        <f>HYPERLINK("https://klasma.github.io/Logging_2361/artfynd/A 43278-2024 artfynd.xlsx", "A 43278-2024")</f>
        <v/>
      </c>
      <c r="T583">
        <f>HYPERLINK("https://klasma.github.io/Logging_2361/kartor/A 43278-2024 karta.png", "A 43278-2024")</f>
        <v/>
      </c>
      <c r="V583">
        <f>HYPERLINK("https://klasma.github.io/Logging_2361/klagomål/A 43278-2024 FSC-klagomål.docx", "A 43278-2024")</f>
        <v/>
      </c>
      <c r="W583">
        <f>HYPERLINK("https://klasma.github.io/Logging_2361/klagomålsmail/A 43278-2024 FSC-klagomål mail.docx", "A 43278-2024")</f>
        <v/>
      </c>
      <c r="X583">
        <f>HYPERLINK("https://klasma.github.io/Logging_2361/tillsyn/A 43278-2024 tillsynsbegäran.docx", "A 43278-2024")</f>
        <v/>
      </c>
      <c r="Y583">
        <f>HYPERLINK("https://klasma.github.io/Logging_2361/tillsynsmail/A 43278-2024 tillsynsbegäran mail.docx", "A 43278-2024")</f>
        <v/>
      </c>
    </row>
    <row r="584" ht="15" customHeight="1">
      <c r="A584" t="inlineStr">
        <is>
          <t>A 29272-2024</t>
        </is>
      </c>
      <c r="B584" s="1" t="n">
        <v>45482</v>
      </c>
      <c r="C584" s="1" t="n">
        <v>46045</v>
      </c>
      <c r="D584" t="inlineStr">
        <is>
          <t>JÄMTLANDS LÄN</t>
        </is>
      </c>
      <c r="E584" t="inlineStr">
        <is>
          <t>BRÄCKE</t>
        </is>
      </c>
      <c r="F584" t="inlineStr">
        <is>
          <t>SCA</t>
        </is>
      </c>
      <c r="G584" t="n">
        <v>1.6</v>
      </c>
      <c r="H584" t="n">
        <v>3</v>
      </c>
      <c r="I584" t="n">
        <v>0</v>
      </c>
      <c r="J584" t="n">
        <v>5</v>
      </c>
      <c r="K584" t="n">
        <v>0</v>
      </c>
      <c r="L584" t="n">
        <v>0</v>
      </c>
      <c r="M584" t="n">
        <v>0</v>
      </c>
      <c r="N584" t="n">
        <v>0</v>
      </c>
      <c r="O584" t="n">
        <v>5</v>
      </c>
      <c r="P584" t="n">
        <v>0</v>
      </c>
      <c r="Q584" t="n">
        <v>6</v>
      </c>
      <c r="R584" s="2" t="inlineStr">
        <is>
          <t>Garnlav
Lunglav
Skogshare
Spillkråka
Tretåig hackspett
Revlummer</t>
        </is>
      </c>
      <c r="S584">
        <f>HYPERLINK("https://klasma.github.io/Logging_2305/artfynd/A 29272-2024 artfynd.xlsx", "A 29272-2024")</f>
        <v/>
      </c>
      <c r="T584">
        <f>HYPERLINK("https://klasma.github.io/Logging_2305/kartor/A 29272-2024 karta.png", "A 29272-2024")</f>
        <v/>
      </c>
      <c r="V584">
        <f>HYPERLINK("https://klasma.github.io/Logging_2305/klagomål/A 29272-2024 FSC-klagomål.docx", "A 29272-2024")</f>
        <v/>
      </c>
      <c r="W584">
        <f>HYPERLINK("https://klasma.github.io/Logging_2305/klagomålsmail/A 29272-2024 FSC-klagomål mail.docx", "A 29272-2024")</f>
        <v/>
      </c>
      <c r="X584">
        <f>HYPERLINK("https://klasma.github.io/Logging_2305/tillsyn/A 29272-2024 tillsynsbegäran.docx", "A 29272-2024")</f>
        <v/>
      </c>
      <c r="Y584">
        <f>HYPERLINK("https://klasma.github.io/Logging_2305/tillsynsmail/A 29272-2024 tillsynsbegäran mail.docx", "A 29272-2024")</f>
        <v/>
      </c>
      <c r="Z584">
        <f>HYPERLINK("https://klasma.github.io/Logging_2305/fåglar/A 29272-2024 prioriterade fågelarter.docx", "A 29272-2024")</f>
        <v/>
      </c>
    </row>
    <row r="585" ht="15" customHeight="1">
      <c r="A585" t="inlineStr">
        <is>
          <t>A 26129-2025</t>
        </is>
      </c>
      <c r="B585" s="1" t="n">
        <v>45805.40678240741</v>
      </c>
      <c r="C585" s="1" t="n">
        <v>46045</v>
      </c>
      <c r="D585" t="inlineStr">
        <is>
          <t>JÄMTLANDS LÄN</t>
        </is>
      </c>
      <c r="E585" t="inlineStr">
        <is>
          <t>STRÖMSUND</t>
        </is>
      </c>
      <c r="F585" t="inlineStr">
        <is>
          <t>SCA</t>
        </is>
      </c>
      <c r="G585" t="n">
        <v>6.9</v>
      </c>
      <c r="H585" t="n">
        <v>1</v>
      </c>
      <c r="I585" t="n">
        <v>3</v>
      </c>
      <c r="J585" t="n">
        <v>2</v>
      </c>
      <c r="K585" t="n">
        <v>1</v>
      </c>
      <c r="L585" t="n">
        <v>0</v>
      </c>
      <c r="M585" t="n">
        <v>0</v>
      </c>
      <c r="N585" t="n">
        <v>0</v>
      </c>
      <c r="O585" t="n">
        <v>3</v>
      </c>
      <c r="P585" t="n">
        <v>1</v>
      </c>
      <c r="Q585" t="n">
        <v>6</v>
      </c>
      <c r="R585" s="2" t="inlineStr">
        <is>
          <t>Goliatmusseron
Lunglav
Skrovlig taggsvamp
Dropptaggsvamp
Plattlummer
Skarp dropptaggsvamp</t>
        </is>
      </c>
      <c r="S585">
        <f>HYPERLINK("https://klasma.github.io/Logging_2313/artfynd/A 26129-2025 artfynd.xlsx", "A 26129-2025")</f>
        <v/>
      </c>
      <c r="T585">
        <f>HYPERLINK("https://klasma.github.io/Logging_2313/kartor/A 26129-2025 karta.png", "A 26129-2025")</f>
        <v/>
      </c>
      <c r="V585">
        <f>HYPERLINK("https://klasma.github.io/Logging_2313/klagomål/A 26129-2025 FSC-klagomål.docx", "A 26129-2025")</f>
        <v/>
      </c>
      <c r="W585">
        <f>HYPERLINK("https://klasma.github.io/Logging_2313/klagomålsmail/A 26129-2025 FSC-klagomål mail.docx", "A 26129-2025")</f>
        <v/>
      </c>
      <c r="X585">
        <f>HYPERLINK("https://klasma.github.io/Logging_2313/tillsyn/A 26129-2025 tillsynsbegäran.docx", "A 26129-2025")</f>
        <v/>
      </c>
      <c r="Y585">
        <f>HYPERLINK("https://klasma.github.io/Logging_2313/tillsynsmail/A 26129-2025 tillsynsbegäran mail.docx", "A 26129-2025")</f>
        <v/>
      </c>
    </row>
    <row r="586" ht="15" customHeight="1">
      <c r="A586" t="inlineStr">
        <is>
          <t>A 54269-2025</t>
        </is>
      </c>
      <c r="B586" s="1" t="n">
        <v>45964.67756944444</v>
      </c>
      <c r="C586" s="1" t="n">
        <v>46045</v>
      </c>
      <c r="D586" t="inlineStr">
        <is>
          <t>JÄMTLANDS LÄN</t>
        </is>
      </c>
      <c r="E586" t="inlineStr">
        <is>
          <t>STRÖMSUND</t>
        </is>
      </c>
      <c r="F586" t="inlineStr">
        <is>
          <t>SCA</t>
        </is>
      </c>
      <c r="G586" t="n">
        <v>4.8</v>
      </c>
      <c r="H586" t="n">
        <v>0</v>
      </c>
      <c r="I586" t="n">
        <v>3</v>
      </c>
      <c r="J586" t="n">
        <v>3</v>
      </c>
      <c r="K586" t="n">
        <v>0</v>
      </c>
      <c r="L586" t="n">
        <v>0</v>
      </c>
      <c r="M586" t="n">
        <v>0</v>
      </c>
      <c r="N586" t="n">
        <v>0</v>
      </c>
      <c r="O586" t="n">
        <v>3</v>
      </c>
      <c r="P586" t="n">
        <v>0</v>
      </c>
      <c r="Q586" t="n">
        <v>6</v>
      </c>
      <c r="R586" s="2" t="inlineStr">
        <is>
          <t>Gammelgransskål
Granticka
Stjärntagging
Stuplav
Trådticka
Vedticka</t>
        </is>
      </c>
      <c r="S586">
        <f>HYPERLINK("https://klasma.github.io/Logging_2313/artfynd/A 54269-2025 artfynd.xlsx", "A 54269-2025")</f>
        <v/>
      </c>
      <c r="T586">
        <f>HYPERLINK("https://klasma.github.io/Logging_2313/kartor/A 54269-2025 karta.png", "A 54269-2025")</f>
        <v/>
      </c>
      <c r="V586">
        <f>HYPERLINK("https://klasma.github.io/Logging_2313/klagomål/A 54269-2025 FSC-klagomål.docx", "A 54269-2025")</f>
        <v/>
      </c>
      <c r="W586">
        <f>HYPERLINK("https://klasma.github.io/Logging_2313/klagomålsmail/A 54269-2025 FSC-klagomål mail.docx", "A 54269-2025")</f>
        <v/>
      </c>
      <c r="X586">
        <f>HYPERLINK("https://klasma.github.io/Logging_2313/tillsyn/A 54269-2025 tillsynsbegäran.docx", "A 54269-2025")</f>
        <v/>
      </c>
      <c r="Y586">
        <f>HYPERLINK("https://klasma.github.io/Logging_2313/tillsynsmail/A 54269-2025 tillsynsbegäran mail.docx", "A 54269-2025")</f>
        <v/>
      </c>
    </row>
    <row r="587" ht="15" customHeight="1">
      <c r="A587" t="inlineStr">
        <is>
          <t>A 37398-2022</t>
        </is>
      </c>
      <c r="B587" s="1" t="n">
        <v>44806</v>
      </c>
      <c r="C587" s="1" t="n">
        <v>46045</v>
      </c>
      <c r="D587" t="inlineStr">
        <is>
          <t>JÄMTLANDS LÄN</t>
        </is>
      </c>
      <c r="E587" t="inlineStr">
        <is>
          <t>BERG</t>
        </is>
      </c>
      <c r="G587" t="n">
        <v>29.6</v>
      </c>
      <c r="H587" t="n">
        <v>3</v>
      </c>
      <c r="I587" t="n">
        <v>1</v>
      </c>
      <c r="J587" t="n">
        <v>5</v>
      </c>
      <c r="K587" t="n">
        <v>0</v>
      </c>
      <c r="L587" t="n">
        <v>0</v>
      </c>
      <c r="M587" t="n">
        <v>0</v>
      </c>
      <c r="N587" t="n">
        <v>0</v>
      </c>
      <c r="O587" t="n">
        <v>5</v>
      </c>
      <c r="P587" t="n">
        <v>0</v>
      </c>
      <c r="Q587" t="n">
        <v>6</v>
      </c>
      <c r="R587" s="2" t="inlineStr">
        <is>
          <t>Gränsticka
Harticka
Spillkråka
Stjärntagging
Tretåig hackspett
Spindelblomster</t>
        </is>
      </c>
      <c r="S587">
        <f>HYPERLINK("https://klasma.github.io/Logging_2326/artfynd/A 37398-2022 artfynd.xlsx", "A 37398-2022")</f>
        <v/>
      </c>
      <c r="T587">
        <f>HYPERLINK("https://klasma.github.io/Logging_2326/kartor/A 37398-2022 karta.png", "A 37398-2022")</f>
        <v/>
      </c>
      <c r="V587">
        <f>HYPERLINK("https://klasma.github.io/Logging_2326/klagomål/A 37398-2022 FSC-klagomål.docx", "A 37398-2022")</f>
        <v/>
      </c>
      <c r="W587">
        <f>HYPERLINK("https://klasma.github.io/Logging_2326/klagomålsmail/A 37398-2022 FSC-klagomål mail.docx", "A 37398-2022")</f>
        <v/>
      </c>
      <c r="X587">
        <f>HYPERLINK("https://klasma.github.io/Logging_2326/tillsyn/A 37398-2022 tillsynsbegäran.docx", "A 37398-2022")</f>
        <v/>
      </c>
      <c r="Y587">
        <f>HYPERLINK("https://klasma.github.io/Logging_2326/tillsynsmail/A 37398-2022 tillsynsbegäran mail.docx", "A 37398-2022")</f>
        <v/>
      </c>
      <c r="Z587">
        <f>HYPERLINK("https://klasma.github.io/Logging_2326/fåglar/A 37398-2022 prioriterade fågelarter.docx", "A 37398-2022")</f>
        <v/>
      </c>
    </row>
    <row r="588" ht="15" customHeight="1">
      <c r="A588" t="inlineStr">
        <is>
          <t>A 62177-2025</t>
        </is>
      </c>
      <c r="B588" s="1" t="n">
        <v>46006.51480324074</v>
      </c>
      <c r="C588" s="1" t="n">
        <v>46045</v>
      </c>
      <c r="D588" t="inlineStr">
        <is>
          <t>JÄMTLANDS LÄN</t>
        </is>
      </c>
      <c r="E588" t="inlineStr">
        <is>
          <t>KROKOM</t>
        </is>
      </c>
      <c r="G588" t="n">
        <v>20.9</v>
      </c>
      <c r="H588" t="n">
        <v>2</v>
      </c>
      <c r="I588" t="n">
        <v>0</v>
      </c>
      <c r="J588" t="n">
        <v>6</v>
      </c>
      <c r="K588" t="n">
        <v>0</v>
      </c>
      <c r="L588" t="n">
        <v>0</v>
      </c>
      <c r="M588" t="n">
        <v>0</v>
      </c>
      <c r="N588" t="n">
        <v>0</v>
      </c>
      <c r="O588" t="n">
        <v>6</v>
      </c>
      <c r="P588" t="n">
        <v>0</v>
      </c>
      <c r="Q588" t="n">
        <v>6</v>
      </c>
      <c r="R588" s="2" t="inlineStr">
        <is>
          <t>Garnlav
Granticka
Harticka
Talltita
Tretåig hackspett
Ullticka</t>
        </is>
      </c>
      <c r="S588">
        <f>HYPERLINK("https://klasma.github.io/Logging_2309/artfynd/A 62177-2025 artfynd.xlsx", "A 62177-2025")</f>
        <v/>
      </c>
      <c r="T588">
        <f>HYPERLINK("https://klasma.github.io/Logging_2309/kartor/A 62177-2025 karta.png", "A 62177-2025")</f>
        <v/>
      </c>
      <c r="V588">
        <f>HYPERLINK("https://klasma.github.io/Logging_2309/klagomål/A 62177-2025 FSC-klagomål.docx", "A 62177-2025")</f>
        <v/>
      </c>
      <c r="W588">
        <f>HYPERLINK("https://klasma.github.io/Logging_2309/klagomålsmail/A 62177-2025 FSC-klagomål mail.docx", "A 62177-2025")</f>
        <v/>
      </c>
      <c r="X588">
        <f>HYPERLINK("https://klasma.github.io/Logging_2309/tillsyn/A 62177-2025 tillsynsbegäran.docx", "A 62177-2025")</f>
        <v/>
      </c>
      <c r="Y588">
        <f>HYPERLINK("https://klasma.github.io/Logging_2309/tillsynsmail/A 62177-2025 tillsynsbegäran mail.docx", "A 62177-2025")</f>
        <v/>
      </c>
      <c r="Z588">
        <f>HYPERLINK("https://klasma.github.io/Logging_2309/fåglar/A 62177-2025 prioriterade fågelarter.docx", "A 62177-2025")</f>
        <v/>
      </c>
    </row>
    <row r="589" ht="15" customHeight="1">
      <c r="A589" t="inlineStr">
        <is>
          <t>A 22143-2025</t>
        </is>
      </c>
      <c r="B589" s="1" t="n">
        <v>45785.55251157407</v>
      </c>
      <c r="C589" s="1" t="n">
        <v>46045</v>
      </c>
      <c r="D589" t="inlineStr">
        <is>
          <t>JÄMTLANDS LÄN</t>
        </is>
      </c>
      <c r="E589" t="inlineStr">
        <is>
          <t>BRÄCKE</t>
        </is>
      </c>
      <c r="F589" t="inlineStr">
        <is>
          <t>SCA</t>
        </is>
      </c>
      <c r="G589" t="n">
        <v>4.3</v>
      </c>
      <c r="H589" t="n">
        <v>2</v>
      </c>
      <c r="I589" t="n">
        <v>2</v>
      </c>
      <c r="J589" t="n">
        <v>3</v>
      </c>
      <c r="K589" t="n">
        <v>1</v>
      </c>
      <c r="L589" t="n">
        <v>0</v>
      </c>
      <c r="M589" t="n">
        <v>0</v>
      </c>
      <c r="N589" t="n">
        <v>0</v>
      </c>
      <c r="O589" t="n">
        <v>4</v>
      </c>
      <c r="P589" t="n">
        <v>1</v>
      </c>
      <c r="Q589" t="n">
        <v>6</v>
      </c>
      <c r="R589" s="2" t="inlineStr">
        <is>
          <t>Knärot
Garnlav
Lunglav
Talltita
Luddlav
Skinnlav</t>
        </is>
      </c>
      <c r="S589">
        <f>HYPERLINK("https://klasma.github.io/Logging_2305/artfynd/A 22143-2025 artfynd.xlsx", "A 22143-2025")</f>
        <v/>
      </c>
      <c r="T589">
        <f>HYPERLINK("https://klasma.github.io/Logging_2305/kartor/A 22143-2025 karta.png", "A 22143-2025")</f>
        <v/>
      </c>
      <c r="U589">
        <f>HYPERLINK("https://klasma.github.io/Logging_2305/knärot/A 22143-2025 karta knärot.png", "A 22143-2025")</f>
        <v/>
      </c>
      <c r="V589">
        <f>HYPERLINK("https://klasma.github.io/Logging_2305/klagomål/A 22143-2025 FSC-klagomål.docx", "A 22143-2025")</f>
        <v/>
      </c>
      <c r="W589">
        <f>HYPERLINK("https://klasma.github.io/Logging_2305/klagomålsmail/A 22143-2025 FSC-klagomål mail.docx", "A 22143-2025")</f>
        <v/>
      </c>
      <c r="X589">
        <f>HYPERLINK("https://klasma.github.io/Logging_2305/tillsyn/A 22143-2025 tillsynsbegäran.docx", "A 22143-2025")</f>
        <v/>
      </c>
      <c r="Y589">
        <f>HYPERLINK("https://klasma.github.io/Logging_2305/tillsynsmail/A 22143-2025 tillsynsbegäran mail.docx", "A 22143-2025")</f>
        <v/>
      </c>
      <c r="Z589">
        <f>HYPERLINK("https://klasma.github.io/Logging_2305/fåglar/A 22143-2025 prioriterade fågelarter.docx", "A 22143-2025")</f>
        <v/>
      </c>
    </row>
    <row r="590" ht="15" customHeight="1">
      <c r="A590" t="inlineStr">
        <is>
          <t>A 27957-2025</t>
        </is>
      </c>
      <c r="B590" s="1" t="n">
        <v>45817.53871527778</v>
      </c>
      <c r="C590" s="1" t="n">
        <v>46045</v>
      </c>
      <c r="D590" t="inlineStr">
        <is>
          <t>JÄMTLANDS LÄN</t>
        </is>
      </c>
      <c r="E590" t="inlineStr">
        <is>
          <t>BERG</t>
        </is>
      </c>
      <c r="G590" t="n">
        <v>22.6</v>
      </c>
      <c r="H590" t="n">
        <v>1</v>
      </c>
      <c r="I590" t="n">
        <v>0</v>
      </c>
      <c r="J590" t="n">
        <v>5</v>
      </c>
      <c r="K590" t="n">
        <v>0</v>
      </c>
      <c r="L590" t="n">
        <v>0</v>
      </c>
      <c r="M590" t="n">
        <v>0</v>
      </c>
      <c r="N590" t="n">
        <v>0</v>
      </c>
      <c r="O590" t="n">
        <v>5</v>
      </c>
      <c r="P590" t="n">
        <v>0</v>
      </c>
      <c r="Q590" t="n">
        <v>6</v>
      </c>
      <c r="R590" s="2" t="inlineStr">
        <is>
          <t>Garnlav
Kolflarnlav
Lunglav
Mörk kolflarnlav
Skrovellav
Vanlig groda</t>
        </is>
      </c>
      <c r="S590">
        <f>HYPERLINK("https://klasma.github.io/Logging_2326/artfynd/A 27957-2025 artfynd.xlsx", "A 27957-2025")</f>
        <v/>
      </c>
      <c r="T590">
        <f>HYPERLINK("https://klasma.github.io/Logging_2326/kartor/A 27957-2025 karta.png", "A 27957-2025")</f>
        <v/>
      </c>
      <c r="V590">
        <f>HYPERLINK("https://klasma.github.io/Logging_2326/klagomål/A 27957-2025 FSC-klagomål.docx", "A 27957-2025")</f>
        <v/>
      </c>
      <c r="W590">
        <f>HYPERLINK("https://klasma.github.io/Logging_2326/klagomålsmail/A 27957-2025 FSC-klagomål mail.docx", "A 27957-2025")</f>
        <v/>
      </c>
      <c r="X590">
        <f>HYPERLINK("https://klasma.github.io/Logging_2326/tillsyn/A 27957-2025 tillsynsbegäran.docx", "A 27957-2025")</f>
        <v/>
      </c>
      <c r="Y590">
        <f>HYPERLINK("https://klasma.github.io/Logging_2326/tillsynsmail/A 27957-2025 tillsynsbegäran mail.docx", "A 27957-2025")</f>
        <v/>
      </c>
    </row>
    <row r="591" ht="15" customHeight="1">
      <c r="A591" t="inlineStr">
        <is>
          <t>A 40376-2024</t>
        </is>
      </c>
      <c r="B591" s="1" t="n">
        <v>45555.4065162037</v>
      </c>
      <c r="C591" s="1" t="n">
        <v>46045</v>
      </c>
      <c r="D591" t="inlineStr">
        <is>
          <t>JÄMTLANDS LÄN</t>
        </is>
      </c>
      <c r="E591" t="inlineStr">
        <is>
          <t>BRÄCKE</t>
        </is>
      </c>
      <c r="F591" t="inlineStr">
        <is>
          <t>Naturvårdsverket</t>
        </is>
      </c>
      <c r="G591" t="n">
        <v>2.9</v>
      </c>
      <c r="H591" t="n">
        <v>0</v>
      </c>
      <c r="I591" t="n">
        <v>1</v>
      </c>
      <c r="J591" t="n">
        <v>5</v>
      </c>
      <c r="K591" t="n">
        <v>0</v>
      </c>
      <c r="L591" t="n">
        <v>0</v>
      </c>
      <c r="M591" t="n">
        <v>0</v>
      </c>
      <c r="N591" t="n">
        <v>0</v>
      </c>
      <c r="O591" t="n">
        <v>5</v>
      </c>
      <c r="P591" t="n">
        <v>0</v>
      </c>
      <c r="Q591" t="n">
        <v>6</v>
      </c>
      <c r="R591" s="2" t="inlineStr">
        <is>
          <t>Dvärgbägarlav
Kolflarnlav
Mörk kolflarnlav
Vedflamlav
Vedskivlav
Dropptaggsvamp</t>
        </is>
      </c>
      <c r="S591">
        <f>HYPERLINK("https://klasma.github.io/Logging_2305/artfynd/A 40376-2024 artfynd.xlsx", "A 40376-2024")</f>
        <v/>
      </c>
      <c r="T591">
        <f>HYPERLINK("https://klasma.github.io/Logging_2305/kartor/A 40376-2024 karta.png", "A 40376-2024")</f>
        <v/>
      </c>
      <c r="U591">
        <f>HYPERLINK("https://klasma.github.io/Logging_2305/knärot/A 40376-2024 karta knärot.png", "A 40376-2024")</f>
        <v/>
      </c>
      <c r="V591">
        <f>HYPERLINK("https://klasma.github.io/Logging_2305/klagomål/A 40376-2024 FSC-klagomål.docx", "A 40376-2024")</f>
        <v/>
      </c>
      <c r="W591">
        <f>HYPERLINK("https://klasma.github.io/Logging_2305/klagomålsmail/A 40376-2024 FSC-klagomål mail.docx", "A 40376-2024")</f>
        <v/>
      </c>
      <c r="X591">
        <f>HYPERLINK("https://klasma.github.io/Logging_2305/tillsyn/A 40376-2024 tillsynsbegäran.docx", "A 40376-2024")</f>
        <v/>
      </c>
      <c r="Y591">
        <f>HYPERLINK("https://klasma.github.io/Logging_2305/tillsynsmail/A 40376-2024 tillsynsbegäran mail.docx", "A 40376-2024")</f>
        <v/>
      </c>
    </row>
    <row r="592" ht="15" customHeight="1">
      <c r="A592" t="inlineStr">
        <is>
          <t>A 27364-2023</t>
        </is>
      </c>
      <c r="B592" s="1" t="n">
        <v>45096</v>
      </c>
      <c r="C592" s="1" t="n">
        <v>46045</v>
      </c>
      <c r="D592" t="inlineStr">
        <is>
          <t>JÄMTLANDS LÄN</t>
        </is>
      </c>
      <c r="E592" t="inlineStr">
        <is>
          <t>STRÖMSUND</t>
        </is>
      </c>
      <c r="F592" t="inlineStr">
        <is>
          <t>SCA</t>
        </is>
      </c>
      <c r="G592" t="n">
        <v>8.300000000000001</v>
      </c>
      <c r="H592" t="n">
        <v>0</v>
      </c>
      <c r="I592" t="n">
        <v>1</v>
      </c>
      <c r="J592" t="n">
        <v>4</v>
      </c>
      <c r="K592" t="n">
        <v>1</v>
      </c>
      <c r="L592" t="n">
        <v>0</v>
      </c>
      <c r="M592" t="n">
        <v>0</v>
      </c>
      <c r="N592" t="n">
        <v>0</v>
      </c>
      <c r="O592" t="n">
        <v>5</v>
      </c>
      <c r="P592" t="n">
        <v>1</v>
      </c>
      <c r="Q592" t="n">
        <v>6</v>
      </c>
      <c r="R592" s="2" t="inlineStr">
        <is>
          <t>Läderlappslav
Garnlav
Harticka
Lunglav
Vitgrynig nållav
Vedticka</t>
        </is>
      </c>
      <c r="S592">
        <f>HYPERLINK("https://klasma.github.io/Logging_2313/artfynd/A 27364-2023 artfynd.xlsx", "A 27364-2023")</f>
        <v/>
      </c>
      <c r="T592">
        <f>HYPERLINK("https://klasma.github.io/Logging_2313/kartor/A 27364-2023 karta.png", "A 27364-2023")</f>
        <v/>
      </c>
      <c r="V592">
        <f>HYPERLINK("https://klasma.github.io/Logging_2313/klagomål/A 27364-2023 FSC-klagomål.docx", "A 27364-2023")</f>
        <v/>
      </c>
      <c r="W592">
        <f>HYPERLINK("https://klasma.github.io/Logging_2313/klagomålsmail/A 27364-2023 FSC-klagomål mail.docx", "A 27364-2023")</f>
        <v/>
      </c>
      <c r="X592">
        <f>HYPERLINK("https://klasma.github.io/Logging_2313/tillsyn/A 27364-2023 tillsynsbegäran.docx", "A 27364-2023")</f>
        <v/>
      </c>
      <c r="Y592">
        <f>HYPERLINK("https://klasma.github.io/Logging_2313/tillsynsmail/A 27364-2023 tillsynsbegäran mail.docx", "A 27364-2023")</f>
        <v/>
      </c>
    </row>
    <row r="593" ht="15" customHeight="1">
      <c r="A593" t="inlineStr">
        <is>
          <t>A 29141-2025</t>
        </is>
      </c>
      <c r="B593" s="1" t="n">
        <v>45821.61508101852</v>
      </c>
      <c r="C593" s="1" t="n">
        <v>46045</v>
      </c>
      <c r="D593" t="inlineStr">
        <is>
          <t>JÄMTLANDS LÄN</t>
        </is>
      </c>
      <c r="E593" t="inlineStr">
        <is>
          <t>BRÄCKE</t>
        </is>
      </c>
      <c r="G593" t="n">
        <v>6.1</v>
      </c>
      <c r="H593" t="n">
        <v>0</v>
      </c>
      <c r="I593" t="n">
        <v>0</v>
      </c>
      <c r="J593" t="n">
        <v>6</v>
      </c>
      <c r="K593" t="n">
        <v>0</v>
      </c>
      <c r="L593" t="n">
        <v>0</v>
      </c>
      <c r="M593" t="n">
        <v>0</v>
      </c>
      <c r="N593" t="n">
        <v>0</v>
      </c>
      <c r="O593" t="n">
        <v>6</v>
      </c>
      <c r="P593" t="n">
        <v>0</v>
      </c>
      <c r="Q593" t="n">
        <v>6</v>
      </c>
      <c r="R593" s="2" t="inlineStr">
        <is>
          <t>Blå taggsvamp
Dvärgbägarlav
Nordtagging
Vaddporing
Vedflamlav
Vedskivlav</t>
        </is>
      </c>
      <c r="S593">
        <f>HYPERLINK("https://klasma.github.io/Logging_2305/artfynd/A 29141-2025 artfynd.xlsx", "A 29141-2025")</f>
        <v/>
      </c>
      <c r="T593">
        <f>HYPERLINK("https://klasma.github.io/Logging_2305/kartor/A 29141-2025 karta.png", "A 29141-2025")</f>
        <v/>
      </c>
      <c r="V593">
        <f>HYPERLINK("https://klasma.github.io/Logging_2305/klagomål/A 29141-2025 FSC-klagomål.docx", "A 29141-2025")</f>
        <v/>
      </c>
      <c r="W593">
        <f>HYPERLINK("https://klasma.github.io/Logging_2305/klagomålsmail/A 29141-2025 FSC-klagomål mail.docx", "A 29141-2025")</f>
        <v/>
      </c>
      <c r="X593">
        <f>HYPERLINK("https://klasma.github.io/Logging_2305/tillsyn/A 29141-2025 tillsynsbegäran.docx", "A 29141-2025")</f>
        <v/>
      </c>
      <c r="Y593">
        <f>HYPERLINK("https://klasma.github.io/Logging_2305/tillsynsmail/A 29141-2025 tillsynsbegäran mail.docx", "A 29141-2025")</f>
        <v/>
      </c>
    </row>
    <row r="594" ht="15" customHeight="1">
      <c r="A594" t="inlineStr">
        <is>
          <t>A 5269-2024</t>
        </is>
      </c>
      <c r="B594" s="1" t="n">
        <v>45330</v>
      </c>
      <c r="C594" s="1" t="n">
        <v>46045</v>
      </c>
      <c r="D594" t="inlineStr">
        <is>
          <t>JÄMTLANDS LÄN</t>
        </is>
      </c>
      <c r="E594" t="inlineStr">
        <is>
          <t>BRÄCKE</t>
        </is>
      </c>
      <c r="F594" t="inlineStr">
        <is>
          <t>SCA</t>
        </is>
      </c>
      <c r="G594" t="n">
        <v>8.300000000000001</v>
      </c>
      <c r="H594" t="n">
        <v>2</v>
      </c>
      <c r="I594" t="n">
        <v>0</v>
      </c>
      <c r="J594" t="n">
        <v>5</v>
      </c>
      <c r="K594" t="n">
        <v>1</v>
      </c>
      <c r="L594" t="n">
        <v>0</v>
      </c>
      <c r="M594" t="n">
        <v>0</v>
      </c>
      <c r="N594" t="n">
        <v>0</v>
      </c>
      <c r="O594" t="n">
        <v>6</v>
      </c>
      <c r="P594" t="n">
        <v>1</v>
      </c>
      <c r="Q594" t="n">
        <v>6</v>
      </c>
      <c r="R594" s="2" t="inlineStr">
        <is>
          <t>Knärot
Granticka
Lunglav
Skogshare
Tretåig hackspett
Ullticka</t>
        </is>
      </c>
      <c r="S594">
        <f>HYPERLINK("https://klasma.github.io/Logging_2305/artfynd/A 5269-2024 artfynd.xlsx", "A 5269-2024")</f>
        <v/>
      </c>
      <c r="T594">
        <f>HYPERLINK("https://klasma.github.io/Logging_2305/kartor/A 5269-2024 karta.png", "A 5269-2024")</f>
        <v/>
      </c>
      <c r="U594">
        <f>HYPERLINK("https://klasma.github.io/Logging_2305/knärot/A 5269-2024 karta knärot.png", "A 5269-2024")</f>
        <v/>
      </c>
      <c r="V594">
        <f>HYPERLINK("https://klasma.github.io/Logging_2305/klagomål/A 5269-2024 FSC-klagomål.docx", "A 5269-2024")</f>
        <v/>
      </c>
      <c r="W594">
        <f>HYPERLINK("https://klasma.github.io/Logging_2305/klagomålsmail/A 5269-2024 FSC-klagomål mail.docx", "A 5269-2024")</f>
        <v/>
      </c>
      <c r="X594">
        <f>HYPERLINK("https://klasma.github.io/Logging_2305/tillsyn/A 5269-2024 tillsynsbegäran.docx", "A 5269-2024")</f>
        <v/>
      </c>
      <c r="Y594">
        <f>HYPERLINK("https://klasma.github.io/Logging_2305/tillsynsmail/A 5269-2024 tillsynsbegäran mail.docx", "A 5269-2024")</f>
        <v/>
      </c>
      <c r="Z594">
        <f>HYPERLINK("https://klasma.github.io/Logging_2305/fåglar/A 5269-2024 prioriterade fågelarter.docx", "A 5269-2024")</f>
        <v/>
      </c>
    </row>
    <row r="595" ht="15" customHeight="1">
      <c r="A595" t="inlineStr">
        <is>
          <t>A 57417-2025</t>
        </is>
      </c>
      <c r="B595" s="1" t="n">
        <v>45980.45195601852</v>
      </c>
      <c r="C595" s="1" t="n">
        <v>46045</v>
      </c>
      <c r="D595" t="inlineStr">
        <is>
          <t>JÄMTLANDS LÄN</t>
        </is>
      </c>
      <c r="E595" t="inlineStr">
        <is>
          <t>ÅRE</t>
        </is>
      </c>
      <c r="G595" t="n">
        <v>10</v>
      </c>
      <c r="H595" t="n">
        <v>0</v>
      </c>
      <c r="I595" t="n">
        <v>1</v>
      </c>
      <c r="J595" t="n">
        <v>5</v>
      </c>
      <c r="K595" t="n">
        <v>0</v>
      </c>
      <c r="L595" t="n">
        <v>0</v>
      </c>
      <c r="M595" t="n">
        <v>0</v>
      </c>
      <c r="N595" t="n">
        <v>0</v>
      </c>
      <c r="O595" t="n">
        <v>5</v>
      </c>
      <c r="P595" t="n">
        <v>0</v>
      </c>
      <c r="Q595" t="n">
        <v>6</v>
      </c>
      <c r="R595" s="2" t="inlineStr">
        <is>
          <t>Garnlav
Granticka
Gränsticka
Rödbrun blekspik
Skrovellav
Stuplav</t>
        </is>
      </c>
      <c r="S595">
        <f>HYPERLINK("https://klasma.github.io/Logging_2321/artfynd/A 57417-2025 artfynd.xlsx", "A 57417-2025")</f>
        <v/>
      </c>
      <c r="T595">
        <f>HYPERLINK("https://klasma.github.io/Logging_2321/kartor/A 57417-2025 karta.png", "A 57417-2025")</f>
        <v/>
      </c>
      <c r="V595">
        <f>HYPERLINK("https://klasma.github.io/Logging_2321/klagomål/A 57417-2025 FSC-klagomål.docx", "A 57417-2025")</f>
        <v/>
      </c>
      <c r="W595">
        <f>HYPERLINK("https://klasma.github.io/Logging_2321/klagomålsmail/A 57417-2025 FSC-klagomål mail.docx", "A 57417-2025")</f>
        <v/>
      </c>
      <c r="X595">
        <f>HYPERLINK("https://klasma.github.io/Logging_2321/tillsyn/A 57417-2025 tillsynsbegäran.docx", "A 57417-2025")</f>
        <v/>
      </c>
      <c r="Y595">
        <f>HYPERLINK("https://klasma.github.io/Logging_2321/tillsynsmail/A 57417-2025 tillsynsbegäran mail.docx", "A 57417-2025")</f>
        <v/>
      </c>
    </row>
    <row r="596" ht="15" customHeight="1">
      <c r="A596" t="inlineStr">
        <is>
          <t>A 30884-2025</t>
        </is>
      </c>
      <c r="B596" s="1" t="n">
        <v>45832.34564814815</v>
      </c>
      <c r="C596" s="1" t="n">
        <v>46045</v>
      </c>
      <c r="D596" t="inlineStr">
        <is>
          <t>JÄMTLANDS LÄN</t>
        </is>
      </c>
      <c r="E596" t="inlineStr">
        <is>
          <t>RAGUNDA</t>
        </is>
      </c>
      <c r="F596" t="inlineStr">
        <is>
          <t>SCA</t>
        </is>
      </c>
      <c r="G596" t="n">
        <v>5.7</v>
      </c>
      <c r="H596" t="n">
        <v>0</v>
      </c>
      <c r="I596" t="n">
        <v>1</v>
      </c>
      <c r="J596" t="n">
        <v>5</v>
      </c>
      <c r="K596" t="n">
        <v>0</v>
      </c>
      <c r="L596" t="n">
        <v>0</v>
      </c>
      <c r="M596" t="n">
        <v>0</v>
      </c>
      <c r="N596" t="n">
        <v>0</v>
      </c>
      <c r="O596" t="n">
        <v>5</v>
      </c>
      <c r="P596" t="n">
        <v>0</v>
      </c>
      <c r="Q596" t="n">
        <v>6</v>
      </c>
      <c r="R596" s="2" t="inlineStr">
        <is>
          <t>Garnlav
Granticka
Rosenticka
Stjärntagging
Ullticka
Rödgul trumpetsvamp</t>
        </is>
      </c>
      <c r="S596">
        <f>HYPERLINK("https://klasma.github.io/Logging_2303/artfynd/A 30884-2025 artfynd.xlsx", "A 30884-2025")</f>
        <v/>
      </c>
      <c r="T596">
        <f>HYPERLINK("https://klasma.github.io/Logging_2303/kartor/A 30884-2025 karta.png", "A 30884-2025")</f>
        <v/>
      </c>
      <c r="V596">
        <f>HYPERLINK("https://klasma.github.io/Logging_2303/klagomål/A 30884-2025 FSC-klagomål.docx", "A 30884-2025")</f>
        <v/>
      </c>
      <c r="W596">
        <f>HYPERLINK("https://klasma.github.io/Logging_2303/klagomålsmail/A 30884-2025 FSC-klagomål mail.docx", "A 30884-2025")</f>
        <v/>
      </c>
      <c r="X596">
        <f>HYPERLINK("https://klasma.github.io/Logging_2303/tillsyn/A 30884-2025 tillsynsbegäran.docx", "A 30884-2025")</f>
        <v/>
      </c>
      <c r="Y596">
        <f>HYPERLINK("https://klasma.github.io/Logging_2303/tillsynsmail/A 30884-2025 tillsynsbegäran mail.docx", "A 30884-2025")</f>
        <v/>
      </c>
    </row>
    <row r="597" ht="15" customHeight="1">
      <c r="A597" t="inlineStr">
        <is>
          <t>A 19402-2025</t>
        </is>
      </c>
      <c r="B597" s="1" t="n">
        <v>45769.67778935185</v>
      </c>
      <c r="C597" s="1" t="n">
        <v>46045</v>
      </c>
      <c r="D597" t="inlineStr">
        <is>
          <t>JÄMTLANDS LÄN</t>
        </is>
      </c>
      <c r="E597" t="inlineStr">
        <is>
          <t>RAGUNDA</t>
        </is>
      </c>
      <c r="F597" t="inlineStr">
        <is>
          <t>SCA</t>
        </is>
      </c>
      <c r="G597" t="n">
        <v>3.1</v>
      </c>
      <c r="H597" t="n">
        <v>2</v>
      </c>
      <c r="I597" t="n">
        <v>3</v>
      </c>
      <c r="J597" t="n">
        <v>3</v>
      </c>
      <c r="K597" t="n">
        <v>0</v>
      </c>
      <c r="L597" t="n">
        <v>0</v>
      </c>
      <c r="M597" t="n">
        <v>0</v>
      </c>
      <c r="N597" t="n">
        <v>0</v>
      </c>
      <c r="O597" t="n">
        <v>3</v>
      </c>
      <c r="P597" t="n">
        <v>0</v>
      </c>
      <c r="Q597" t="n">
        <v>6</v>
      </c>
      <c r="R597" s="2" t="inlineStr">
        <is>
          <t>Garnlav
Lunglav
Tretåig hackspett
Bårdlav
Spindelblomster
Stuplav</t>
        </is>
      </c>
      <c r="S597">
        <f>HYPERLINK("https://klasma.github.io/Logging_2303/artfynd/A 19402-2025 artfynd.xlsx", "A 19402-2025")</f>
        <v/>
      </c>
      <c r="T597">
        <f>HYPERLINK("https://klasma.github.io/Logging_2303/kartor/A 19402-2025 karta.png", "A 19402-2025")</f>
        <v/>
      </c>
      <c r="V597">
        <f>HYPERLINK("https://klasma.github.io/Logging_2303/klagomål/A 19402-2025 FSC-klagomål.docx", "A 19402-2025")</f>
        <v/>
      </c>
      <c r="W597">
        <f>HYPERLINK("https://klasma.github.io/Logging_2303/klagomålsmail/A 19402-2025 FSC-klagomål mail.docx", "A 19402-2025")</f>
        <v/>
      </c>
      <c r="X597">
        <f>HYPERLINK("https://klasma.github.io/Logging_2303/tillsyn/A 19402-2025 tillsynsbegäran.docx", "A 19402-2025")</f>
        <v/>
      </c>
      <c r="Y597">
        <f>HYPERLINK("https://klasma.github.io/Logging_2303/tillsynsmail/A 19402-2025 tillsynsbegäran mail.docx", "A 19402-2025")</f>
        <v/>
      </c>
      <c r="Z597">
        <f>HYPERLINK("https://klasma.github.io/Logging_2303/fåglar/A 19402-2025 prioriterade fågelarter.docx", "A 19402-2025")</f>
        <v/>
      </c>
    </row>
    <row r="598" ht="15" customHeight="1">
      <c r="A598" t="inlineStr">
        <is>
          <t>A 32580-2025</t>
        </is>
      </c>
      <c r="B598" s="1" t="n">
        <v>45838.59434027778</v>
      </c>
      <c r="C598" s="1" t="n">
        <v>46045</v>
      </c>
      <c r="D598" t="inlineStr">
        <is>
          <t>JÄMTLANDS LÄN</t>
        </is>
      </c>
      <c r="E598" t="inlineStr">
        <is>
          <t>BRÄCKE</t>
        </is>
      </c>
      <c r="G598" t="n">
        <v>20.9</v>
      </c>
      <c r="H598" t="n">
        <v>4</v>
      </c>
      <c r="I598" t="n">
        <v>2</v>
      </c>
      <c r="J598" t="n">
        <v>3</v>
      </c>
      <c r="K598" t="n">
        <v>1</v>
      </c>
      <c r="L598" t="n">
        <v>0</v>
      </c>
      <c r="M598" t="n">
        <v>0</v>
      </c>
      <c r="N598" t="n">
        <v>0</v>
      </c>
      <c r="O598" t="n">
        <v>4</v>
      </c>
      <c r="P598" t="n">
        <v>1</v>
      </c>
      <c r="Q598" t="n">
        <v>6</v>
      </c>
      <c r="R598" s="2" t="inlineStr">
        <is>
          <t>Knärot
Garnlav
Talltita
Tretåig hackspett
Dropptaggsvamp
Plattlummer</t>
        </is>
      </c>
      <c r="S598">
        <f>HYPERLINK("https://klasma.github.io/Logging_2305/artfynd/A 32580-2025 artfynd.xlsx", "A 32580-2025")</f>
        <v/>
      </c>
      <c r="T598">
        <f>HYPERLINK("https://klasma.github.io/Logging_2305/kartor/A 32580-2025 karta.png", "A 32580-2025")</f>
        <v/>
      </c>
      <c r="U598">
        <f>HYPERLINK("https://klasma.github.io/Logging_2305/knärot/A 32580-2025 karta knärot.png", "A 32580-2025")</f>
        <v/>
      </c>
      <c r="V598">
        <f>HYPERLINK("https://klasma.github.io/Logging_2305/klagomål/A 32580-2025 FSC-klagomål.docx", "A 32580-2025")</f>
        <v/>
      </c>
      <c r="W598">
        <f>HYPERLINK("https://klasma.github.io/Logging_2305/klagomålsmail/A 32580-2025 FSC-klagomål mail.docx", "A 32580-2025")</f>
        <v/>
      </c>
      <c r="X598">
        <f>HYPERLINK("https://klasma.github.io/Logging_2305/tillsyn/A 32580-2025 tillsynsbegäran.docx", "A 32580-2025")</f>
        <v/>
      </c>
      <c r="Y598">
        <f>HYPERLINK("https://klasma.github.io/Logging_2305/tillsynsmail/A 32580-2025 tillsynsbegäran mail.docx", "A 32580-2025")</f>
        <v/>
      </c>
      <c r="Z598">
        <f>HYPERLINK("https://klasma.github.io/Logging_2305/fåglar/A 32580-2025 prioriterade fågelarter.docx", "A 32580-2025")</f>
        <v/>
      </c>
    </row>
    <row r="599" ht="15" customHeight="1">
      <c r="A599" t="inlineStr">
        <is>
          <t>A 36522-2025</t>
        </is>
      </c>
      <c r="B599" s="1" t="n">
        <v>45869</v>
      </c>
      <c r="C599" s="1" t="n">
        <v>46045</v>
      </c>
      <c r="D599" t="inlineStr">
        <is>
          <t>JÄMTLANDS LÄN</t>
        </is>
      </c>
      <c r="E599" t="inlineStr">
        <is>
          <t>HÄRJEDALEN</t>
        </is>
      </c>
      <c r="G599" t="n">
        <v>20</v>
      </c>
      <c r="H599" t="n">
        <v>2</v>
      </c>
      <c r="I599" t="n">
        <v>1</v>
      </c>
      <c r="J599" t="n">
        <v>5</v>
      </c>
      <c r="K599" t="n">
        <v>0</v>
      </c>
      <c r="L599" t="n">
        <v>0</v>
      </c>
      <c r="M599" t="n">
        <v>0</v>
      </c>
      <c r="N599" t="n">
        <v>0</v>
      </c>
      <c r="O599" t="n">
        <v>5</v>
      </c>
      <c r="P599" t="n">
        <v>0</v>
      </c>
      <c r="Q599" t="n">
        <v>6</v>
      </c>
      <c r="R599" s="2" t="inlineStr">
        <is>
          <t>Garnlav
Knottrig blåslav
Tretåig hackspett
Varglav
Vedflamlav
Luddlav</t>
        </is>
      </c>
      <c r="S599">
        <f>HYPERLINK("https://klasma.github.io/Logging_2361/artfynd/A 36522-2025 artfynd.xlsx", "A 36522-2025")</f>
        <v/>
      </c>
      <c r="T599">
        <f>HYPERLINK("https://klasma.github.io/Logging_2361/kartor/A 36522-2025 karta.png", "A 36522-2025")</f>
        <v/>
      </c>
      <c r="V599">
        <f>HYPERLINK("https://klasma.github.io/Logging_2361/klagomål/A 36522-2025 FSC-klagomål.docx", "A 36522-2025")</f>
        <v/>
      </c>
      <c r="W599">
        <f>HYPERLINK("https://klasma.github.io/Logging_2361/klagomålsmail/A 36522-2025 FSC-klagomål mail.docx", "A 36522-2025")</f>
        <v/>
      </c>
      <c r="X599">
        <f>HYPERLINK("https://klasma.github.io/Logging_2361/tillsyn/A 36522-2025 tillsynsbegäran.docx", "A 36522-2025")</f>
        <v/>
      </c>
      <c r="Y599">
        <f>HYPERLINK("https://klasma.github.io/Logging_2361/tillsynsmail/A 36522-2025 tillsynsbegäran mail.docx", "A 36522-2025")</f>
        <v/>
      </c>
      <c r="Z599">
        <f>HYPERLINK("https://klasma.github.io/Logging_2361/fåglar/A 36522-2025 prioriterade fågelarter.docx", "A 36522-2025")</f>
        <v/>
      </c>
    </row>
    <row r="600" ht="15" customHeight="1">
      <c r="A600" t="inlineStr">
        <is>
          <t>A 46118-2024</t>
        </is>
      </c>
      <c r="B600" s="1" t="n">
        <v>45581</v>
      </c>
      <c r="C600" s="1" t="n">
        <v>46045</v>
      </c>
      <c r="D600" t="inlineStr">
        <is>
          <t>JÄMTLANDS LÄN</t>
        </is>
      </c>
      <c r="E600" t="inlineStr">
        <is>
          <t>KROKOM</t>
        </is>
      </c>
      <c r="G600" t="n">
        <v>12.3</v>
      </c>
      <c r="H600" t="n">
        <v>2</v>
      </c>
      <c r="I600" t="n">
        <v>0</v>
      </c>
      <c r="J600" t="n">
        <v>5</v>
      </c>
      <c r="K600" t="n">
        <v>0</v>
      </c>
      <c r="L600" t="n">
        <v>0</v>
      </c>
      <c r="M600" t="n">
        <v>0</v>
      </c>
      <c r="N600" t="n">
        <v>0</v>
      </c>
      <c r="O600" t="n">
        <v>5</v>
      </c>
      <c r="P600" t="n">
        <v>0</v>
      </c>
      <c r="Q600" t="n">
        <v>6</v>
      </c>
      <c r="R600" s="2" t="inlineStr">
        <is>
          <t>Garnlav
Granticka
Harticka
Tretåig hackspett
Ullticka
Sparvuggla</t>
        </is>
      </c>
      <c r="S600">
        <f>HYPERLINK("https://klasma.github.io/Logging_2309/artfynd/A 46118-2024 artfynd.xlsx", "A 46118-2024")</f>
        <v/>
      </c>
      <c r="T600">
        <f>HYPERLINK("https://klasma.github.io/Logging_2309/kartor/A 46118-2024 karta.png", "A 46118-2024")</f>
        <v/>
      </c>
      <c r="V600">
        <f>HYPERLINK("https://klasma.github.io/Logging_2309/klagomål/A 46118-2024 FSC-klagomål.docx", "A 46118-2024")</f>
        <v/>
      </c>
      <c r="W600">
        <f>HYPERLINK("https://klasma.github.io/Logging_2309/klagomålsmail/A 46118-2024 FSC-klagomål mail.docx", "A 46118-2024")</f>
        <v/>
      </c>
      <c r="X600">
        <f>HYPERLINK("https://klasma.github.io/Logging_2309/tillsyn/A 46118-2024 tillsynsbegäran.docx", "A 46118-2024")</f>
        <v/>
      </c>
      <c r="Y600">
        <f>HYPERLINK("https://klasma.github.io/Logging_2309/tillsynsmail/A 46118-2024 tillsynsbegäran mail.docx", "A 46118-2024")</f>
        <v/>
      </c>
      <c r="Z600">
        <f>HYPERLINK("https://klasma.github.io/Logging_2309/fåglar/A 46118-2024 prioriterade fågelarter.docx", "A 46118-2024")</f>
        <v/>
      </c>
    </row>
    <row r="601" ht="15" customHeight="1">
      <c r="A601" t="inlineStr">
        <is>
          <t>A 16978-2025</t>
        </is>
      </c>
      <c r="B601" s="1" t="n">
        <v>45755</v>
      </c>
      <c r="C601" s="1" t="n">
        <v>46045</v>
      </c>
      <c r="D601" t="inlineStr">
        <is>
          <t>JÄMTLANDS LÄN</t>
        </is>
      </c>
      <c r="E601" t="inlineStr">
        <is>
          <t>KROKOM</t>
        </is>
      </c>
      <c r="G601" t="n">
        <v>10.8</v>
      </c>
      <c r="H601" t="n">
        <v>4</v>
      </c>
      <c r="I601" t="n">
        <v>0</v>
      </c>
      <c r="J601" t="n">
        <v>5</v>
      </c>
      <c r="K601" t="n">
        <v>0</v>
      </c>
      <c r="L601" t="n">
        <v>0</v>
      </c>
      <c r="M601" t="n">
        <v>0</v>
      </c>
      <c r="N601" t="n">
        <v>0</v>
      </c>
      <c r="O601" t="n">
        <v>5</v>
      </c>
      <c r="P601" t="n">
        <v>0</v>
      </c>
      <c r="Q601" t="n">
        <v>6</v>
      </c>
      <c r="R601" s="2" t="inlineStr">
        <is>
          <t>Garnlav
Granticka
Spillkråka
Talltita
Tretåig hackspett
Kungsfågel</t>
        </is>
      </c>
      <c r="S601">
        <f>HYPERLINK("https://klasma.github.io/Logging_2309/artfynd/A 16978-2025 artfynd.xlsx", "A 16978-2025")</f>
        <v/>
      </c>
      <c r="T601">
        <f>HYPERLINK("https://klasma.github.io/Logging_2309/kartor/A 16978-2025 karta.png", "A 16978-2025")</f>
        <v/>
      </c>
      <c r="V601">
        <f>HYPERLINK("https://klasma.github.io/Logging_2309/klagomål/A 16978-2025 FSC-klagomål.docx", "A 16978-2025")</f>
        <v/>
      </c>
      <c r="W601">
        <f>HYPERLINK("https://klasma.github.io/Logging_2309/klagomålsmail/A 16978-2025 FSC-klagomål mail.docx", "A 16978-2025")</f>
        <v/>
      </c>
      <c r="X601">
        <f>HYPERLINK("https://klasma.github.io/Logging_2309/tillsyn/A 16978-2025 tillsynsbegäran.docx", "A 16978-2025")</f>
        <v/>
      </c>
      <c r="Y601">
        <f>HYPERLINK("https://klasma.github.io/Logging_2309/tillsynsmail/A 16978-2025 tillsynsbegäran mail.docx", "A 16978-2025")</f>
        <v/>
      </c>
      <c r="Z601">
        <f>HYPERLINK("https://klasma.github.io/Logging_2309/fåglar/A 16978-2025 prioriterade fågelarter.docx", "A 16978-2025")</f>
        <v/>
      </c>
    </row>
    <row r="602" ht="15" customHeight="1">
      <c r="A602" t="inlineStr">
        <is>
          <t>A 34646-2025</t>
        </is>
      </c>
      <c r="B602" s="1" t="n">
        <v>45848.34456018519</v>
      </c>
      <c r="C602" s="1" t="n">
        <v>46045</v>
      </c>
      <c r="D602" t="inlineStr">
        <is>
          <t>JÄMTLANDS LÄN</t>
        </is>
      </c>
      <c r="E602" t="inlineStr">
        <is>
          <t>STRÖMSUND</t>
        </is>
      </c>
      <c r="F602" t="inlineStr">
        <is>
          <t>SCA</t>
        </is>
      </c>
      <c r="G602" t="n">
        <v>26.1</v>
      </c>
      <c r="H602" t="n">
        <v>4</v>
      </c>
      <c r="I602" t="n">
        <v>1</v>
      </c>
      <c r="J602" t="n">
        <v>4</v>
      </c>
      <c r="K602" t="n">
        <v>0</v>
      </c>
      <c r="L602" t="n">
        <v>0</v>
      </c>
      <c r="M602" t="n">
        <v>0</v>
      </c>
      <c r="N602" t="n">
        <v>0</v>
      </c>
      <c r="O602" t="n">
        <v>4</v>
      </c>
      <c r="P602" t="n">
        <v>0</v>
      </c>
      <c r="Q602" t="n">
        <v>6</v>
      </c>
      <c r="R602" s="2" t="inlineStr">
        <is>
          <t>Lunglav
Skrovellav
Spillkråka
Tretåig hackspett
Plattlummer
Lavskrika</t>
        </is>
      </c>
      <c r="S602">
        <f>HYPERLINK("https://klasma.github.io/Logging_2313/artfynd/A 34646-2025 artfynd.xlsx", "A 34646-2025")</f>
        <v/>
      </c>
      <c r="T602">
        <f>HYPERLINK("https://klasma.github.io/Logging_2313/kartor/A 34646-2025 karta.png", "A 34646-2025")</f>
        <v/>
      </c>
      <c r="V602">
        <f>HYPERLINK("https://klasma.github.io/Logging_2313/klagomål/A 34646-2025 FSC-klagomål.docx", "A 34646-2025")</f>
        <v/>
      </c>
      <c r="W602">
        <f>HYPERLINK("https://klasma.github.io/Logging_2313/klagomålsmail/A 34646-2025 FSC-klagomål mail.docx", "A 34646-2025")</f>
        <v/>
      </c>
      <c r="X602">
        <f>HYPERLINK("https://klasma.github.io/Logging_2313/tillsyn/A 34646-2025 tillsynsbegäran.docx", "A 34646-2025")</f>
        <v/>
      </c>
      <c r="Y602">
        <f>HYPERLINK("https://klasma.github.io/Logging_2313/tillsynsmail/A 34646-2025 tillsynsbegäran mail.docx", "A 34646-2025")</f>
        <v/>
      </c>
      <c r="Z602">
        <f>HYPERLINK("https://klasma.github.io/Logging_2313/fåglar/A 34646-2025 prioriterade fågelarter.docx", "A 34646-2025")</f>
        <v/>
      </c>
    </row>
    <row r="603" ht="15" customHeight="1">
      <c r="A603" t="inlineStr">
        <is>
          <t>A 56422-2023</t>
        </is>
      </c>
      <c r="B603" s="1" t="n">
        <v>45237</v>
      </c>
      <c r="C603" s="1" t="n">
        <v>46045</v>
      </c>
      <c r="D603" t="inlineStr">
        <is>
          <t>JÄMTLANDS LÄN</t>
        </is>
      </c>
      <c r="E603" t="inlineStr">
        <is>
          <t>STRÖMSUND</t>
        </is>
      </c>
      <c r="G603" t="n">
        <v>10.1</v>
      </c>
      <c r="H603" t="n">
        <v>0</v>
      </c>
      <c r="I603" t="n">
        <v>0</v>
      </c>
      <c r="J603" t="n">
        <v>3</v>
      </c>
      <c r="K603" t="n">
        <v>2</v>
      </c>
      <c r="L603" t="n">
        <v>1</v>
      </c>
      <c r="M603" t="n">
        <v>0</v>
      </c>
      <c r="N603" t="n">
        <v>0</v>
      </c>
      <c r="O603" t="n">
        <v>6</v>
      </c>
      <c r="P603" t="n">
        <v>3</v>
      </c>
      <c r="Q603" t="n">
        <v>6</v>
      </c>
      <c r="R603" s="2" t="inlineStr">
        <is>
          <t>Trådbrosklav
Liten sotlav
Norsk näverlav
Kavernularia
Lunglav
Skrovellav</t>
        </is>
      </c>
      <c r="S603">
        <f>HYPERLINK("https://klasma.github.io/Logging_2313/artfynd/A 56422-2023 artfynd.xlsx", "A 56422-2023")</f>
        <v/>
      </c>
      <c r="T603">
        <f>HYPERLINK("https://klasma.github.io/Logging_2313/kartor/A 56422-2023 karta.png", "A 56422-2023")</f>
        <v/>
      </c>
      <c r="V603">
        <f>HYPERLINK("https://klasma.github.io/Logging_2313/klagomål/A 56422-2023 FSC-klagomål.docx", "A 56422-2023")</f>
        <v/>
      </c>
      <c r="W603">
        <f>HYPERLINK("https://klasma.github.io/Logging_2313/klagomålsmail/A 56422-2023 FSC-klagomål mail.docx", "A 56422-2023")</f>
        <v/>
      </c>
      <c r="X603">
        <f>HYPERLINK("https://klasma.github.io/Logging_2313/tillsyn/A 56422-2023 tillsynsbegäran.docx", "A 56422-2023")</f>
        <v/>
      </c>
      <c r="Y603">
        <f>HYPERLINK("https://klasma.github.io/Logging_2313/tillsynsmail/A 56422-2023 tillsynsbegäran mail.docx", "A 56422-2023")</f>
        <v/>
      </c>
    </row>
    <row r="604" ht="15" customHeight="1">
      <c r="A604" t="inlineStr">
        <is>
          <t>A 2242-2026</t>
        </is>
      </c>
      <c r="B604" s="1" t="n">
        <v>46036.54077546296</v>
      </c>
      <c r="C604" s="1" t="n">
        <v>46045</v>
      </c>
      <c r="D604" t="inlineStr">
        <is>
          <t>JÄMTLANDS LÄN</t>
        </is>
      </c>
      <c r="E604" t="inlineStr">
        <is>
          <t>STRÖMSUND</t>
        </is>
      </c>
      <c r="G604" t="n">
        <v>11.5</v>
      </c>
      <c r="H604" t="n">
        <v>5</v>
      </c>
      <c r="I604" t="n">
        <v>0</v>
      </c>
      <c r="J604" t="n">
        <v>4</v>
      </c>
      <c r="K604" t="n">
        <v>0</v>
      </c>
      <c r="L604" t="n">
        <v>0</v>
      </c>
      <c r="M604" t="n">
        <v>0</v>
      </c>
      <c r="N604" t="n">
        <v>0</v>
      </c>
      <c r="O604" t="n">
        <v>4</v>
      </c>
      <c r="P604" t="n">
        <v>0</v>
      </c>
      <c r="Q604" t="n">
        <v>6</v>
      </c>
      <c r="R604" s="2" t="inlineStr">
        <is>
          <t>Garnlav
Spillkråka
Talltita
Tretåig hackspett
Lavskrika
Sparvuggla</t>
        </is>
      </c>
      <c r="S604">
        <f>HYPERLINK("https://klasma.github.io/Logging_2313/artfynd/A 2242-2026 artfynd.xlsx", "A 2242-2026")</f>
        <v/>
      </c>
      <c r="T604">
        <f>HYPERLINK("https://klasma.github.io/Logging_2313/kartor/A 2242-2026 karta.png", "A 2242-2026")</f>
        <v/>
      </c>
      <c r="V604">
        <f>HYPERLINK("https://klasma.github.io/Logging_2313/klagomål/A 2242-2026 FSC-klagomål.docx", "A 2242-2026")</f>
        <v/>
      </c>
      <c r="W604">
        <f>HYPERLINK("https://klasma.github.io/Logging_2313/klagomålsmail/A 2242-2026 FSC-klagomål mail.docx", "A 2242-2026")</f>
        <v/>
      </c>
      <c r="X604">
        <f>HYPERLINK("https://klasma.github.io/Logging_2313/tillsyn/A 2242-2026 tillsynsbegäran.docx", "A 2242-2026")</f>
        <v/>
      </c>
      <c r="Y604">
        <f>HYPERLINK("https://klasma.github.io/Logging_2313/tillsynsmail/A 2242-2026 tillsynsbegäran mail.docx", "A 2242-2026")</f>
        <v/>
      </c>
      <c r="Z604">
        <f>HYPERLINK("https://klasma.github.io/Logging_2313/fåglar/A 2242-2026 prioriterade fågelarter.docx", "A 2242-2026")</f>
        <v/>
      </c>
    </row>
    <row r="605" ht="15" customHeight="1">
      <c r="A605" t="inlineStr">
        <is>
          <t>A 2193-2026</t>
        </is>
      </c>
      <c r="B605" s="1" t="n">
        <v>46036.46946759259</v>
      </c>
      <c r="C605" s="1" t="n">
        <v>46045</v>
      </c>
      <c r="D605" t="inlineStr">
        <is>
          <t>JÄMTLANDS LÄN</t>
        </is>
      </c>
      <c r="E605" t="inlineStr">
        <is>
          <t>RAGUNDA</t>
        </is>
      </c>
      <c r="F605" t="inlineStr">
        <is>
          <t>SCA</t>
        </is>
      </c>
      <c r="G605" t="n">
        <v>2.4</v>
      </c>
      <c r="H605" t="n">
        <v>1</v>
      </c>
      <c r="I605" t="n">
        <v>1</v>
      </c>
      <c r="J605" t="n">
        <v>4</v>
      </c>
      <c r="K605" t="n">
        <v>1</v>
      </c>
      <c r="L605" t="n">
        <v>0</v>
      </c>
      <c r="M605" t="n">
        <v>0</v>
      </c>
      <c r="N605" t="n">
        <v>0</v>
      </c>
      <c r="O605" t="n">
        <v>5</v>
      </c>
      <c r="P605" t="n">
        <v>1</v>
      </c>
      <c r="Q605" t="n">
        <v>6</v>
      </c>
      <c r="R605" s="2" t="inlineStr">
        <is>
          <t>Knärot
Garnlav
Lunglav
Rosenticka
Ullticka
Luddlav</t>
        </is>
      </c>
      <c r="S605">
        <f>HYPERLINK("https://klasma.github.io/Logging_2303/artfynd/A 2193-2026 artfynd.xlsx", "A 2193-2026")</f>
        <v/>
      </c>
      <c r="T605">
        <f>HYPERLINK("https://klasma.github.io/Logging_2303/kartor/A 2193-2026 karta.png", "A 2193-2026")</f>
        <v/>
      </c>
      <c r="U605">
        <f>HYPERLINK("https://klasma.github.io/Logging_2303/knärot/A 2193-2026 karta knärot.png", "A 2193-2026")</f>
        <v/>
      </c>
      <c r="V605">
        <f>HYPERLINK("https://klasma.github.io/Logging_2303/klagomål/A 2193-2026 FSC-klagomål.docx", "A 2193-2026")</f>
        <v/>
      </c>
      <c r="W605">
        <f>HYPERLINK("https://klasma.github.io/Logging_2303/klagomålsmail/A 2193-2026 FSC-klagomål mail.docx", "A 2193-2026")</f>
        <v/>
      </c>
      <c r="X605">
        <f>HYPERLINK("https://klasma.github.io/Logging_2303/tillsyn/A 2193-2026 tillsynsbegäran.docx", "A 2193-2026")</f>
        <v/>
      </c>
      <c r="Y605">
        <f>HYPERLINK("https://klasma.github.io/Logging_2303/tillsynsmail/A 2193-2026 tillsynsbegäran mail.docx", "A 2193-2026")</f>
        <v/>
      </c>
    </row>
    <row r="606" ht="15" customHeight="1">
      <c r="A606" t="inlineStr">
        <is>
          <t>A 55646-2023</t>
        </is>
      </c>
      <c r="B606" s="1" t="n">
        <v>45238</v>
      </c>
      <c r="C606" s="1" t="n">
        <v>46045</v>
      </c>
      <c r="D606" t="inlineStr">
        <is>
          <t>JÄMTLANDS LÄN</t>
        </is>
      </c>
      <c r="E606" t="inlineStr">
        <is>
          <t>RAGUNDA</t>
        </is>
      </c>
      <c r="F606" t="inlineStr">
        <is>
          <t>SCA</t>
        </is>
      </c>
      <c r="G606" t="n">
        <v>3.9</v>
      </c>
      <c r="H606" t="n">
        <v>0</v>
      </c>
      <c r="I606" t="n">
        <v>1</v>
      </c>
      <c r="J606" t="n">
        <v>5</v>
      </c>
      <c r="K606" t="n">
        <v>0</v>
      </c>
      <c r="L606" t="n">
        <v>0</v>
      </c>
      <c r="M606" t="n">
        <v>0</v>
      </c>
      <c r="N606" t="n">
        <v>0</v>
      </c>
      <c r="O606" t="n">
        <v>5</v>
      </c>
      <c r="P606" t="n">
        <v>0</v>
      </c>
      <c r="Q606" t="n">
        <v>6</v>
      </c>
      <c r="R606" s="2" t="inlineStr">
        <is>
          <t>Gammelgransskål
Garnlav
Lunglav
Skrovellav
Småflikig brosklav
Korallblylav</t>
        </is>
      </c>
      <c r="S606">
        <f>HYPERLINK("https://klasma.github.io/Logging_2303/artfynd/A 55646-2023 artfynd.xlsx", "A 55646-2023")</f>
        <v/>
      </c>
      <c r="T606">
        <f>HYPERLINK("https://klasma.github.io/Logging_2303/kartor/A 55646-2023 karta.png", "A 55646-2023")</f>
        <v/>
      </c>
      <c r="V606">
        <f>HYPERLINK("https://klasma.github.io/Logging_2303/klagomål/A 55646-2023 FSC-klagomål.docx", "A 55646-2023")</f>
        <v/>
      </c>
      <c r="W606">
        <f>HYPERLINK("https://klasma.github.io/Logging_2303/klagomålsmail/A 55646-2023 FSC-klagomål mail.docx", "A 55646-2023")</f>
        <v/>
      </c>
      <c r="X606">
        <f>HYPERLINK("https://klasma.github.io/Logging_2303/tillsyn/A 55646-2023 tillsynsbegäran.docx", "A 55646-2023")</f>
        <v/>
      </c>
      <c r="Y606">
        <f>HYPERLINK("https://klasma.github.io/Logging_2303/tillsynsmail/A 55646-2023 tillsynsbegäran mail.docx", "A 55646-2023")</f>
        <v/>
      </c>
    </row>
    <row r="607" ht="15" customHeight="1">
      <c r="A607" t="inlineStr">
        <is>
          <t>A 35885-2025</t>
        </is>
      </c>
      <c r="B607" s="1" t="n">
        <v>45862</v>
      </c>
      <c r="C607" s="1" t="n">
        <v>46045</v>
      </c>
      <c r="D607" t="inlineStr">
        <is>
          <t>JÄMTLANDS LÄN</t>
        </is>
      </c>
      <c r="E607" t="inlineStr">
        <is>
          <t>KROKOM</t>
        </is>
      </c>
      <c r="G607" t="n">
        <v>10.5</v>
      </c>
      <c r="H607" t="n">
        <v>2</v>
      </c>
      <c r="I607" t="n">
        <v>1</v>
      </c>
      <c r="J607" t="n">
        <v>5</v>
      </c>
      <c r="K607" t="n">
        <v>0</v>
      </c>
      <c r="L607" t="n">
        <v>0</v>
      </c>
      <c r="M607" t="n">
        <v>0</v>
      </c>
      <c r="N607" t="n">
        <v>0</v>
      </c>
      <c r="O607" t="n">
        <v>5</v>
      </c>
      <c r="P607" t="n">
        <v>0</v>
      </c>
      <c r="Q607" t="n">
        <v>6</v>
      </c>
      <c r="R607" s="2" t="inlineStr">
        <is>
          <t>Granticka
Harticka
Talltita
Tretåig hackspett
Ullticka
Trådticka</t>
        </is>
      </c>
      <c r="S607">
        <f>HYPERLINK("https://klasma.github.io/Logging_2309/artfynd/A 35885-2025 artfynd.xlsx", "A 35885-2025")</f>
        <v/>
      </c>
      <c r="T607">
        <f>HYPERLINK("https://klasma.github.io/Logging_2309/kartor/A 35885-2025 karta.png", "A 35885-2025")</f>
        <v/>
      </c>
      <c r="V607">
        <f>HYPERLINK("https://klasma.github.io/Logging_2309/klagomål/A 35885-2025 FSC-klagomål.docx", "A 35885-2025")</f>
        <v/>
      </c>
      <c r="W607">
        <f>HYPERLINK("https://klasma.github.io/Logging_2309/klagomålsmail/A 35885-2025 FSC-klagomål mail.docx", "A 35885-2025")</f>
        <v/>
      </c>
      <c r="X607">
        <f>HYPERLINK("https://klasma.github.io/Logging_2309/tillsyn/A 35885-2025 tillsynsbegäran.docx", "A 35885-2025")</f>
        <v/>
      </c>
      <c r="Y607">
        <f>HYPERLINK("https://klasma.github.io/Logging_2309/tillsynsmail/A 35885-2025 tillsynsbegäran mail.docx", "A 35885-2025")</f>
        <v/>
      </c>
      <c r="Z607">
        <f>HYPERLINK("https://klasma.github.io/Logging_2309/fåglar/A 35885-2025 prioriterade fågelarter.docx", "A 35885-2025")</f>
        <v/>
      </c>
    </row>
    <row r="608" ht="15" customHeight="1">
      <c r="A608" t="inlineStr">
        <is>
          <t>A 40555-2024</t>
        </is>
      </c>
      <c r="B608" s="1" t="n">
        <v>45555</v>
      </c>
      <c r="C608" s="1" t="n">
        <v>46045</v>
      </c>
      <c r="D608" t="inlineStr">
        <is>
          <t>JÄMTLANDS LÄN</t>
        </is>
      </c>
      <c r="E608" t="inlineStr">
        <is>
          <t>ÖSTERSUND</t>
        </is>
      </c>
      <c r="G608" t="n">
        <v>7.7</v>
      </c>
      <c r="H608" t="n">
        <v>3</v>
      </c>
      <c r="I608" t="n">
        <v>3</v>
      </c>
      <c r="J608" t="n">
        <v>2</v>
      </c>
      <c r="K608" t="n">
        <v>1</v>
      </c>
      <c r="L608" t="n">
        <v>0</v>
      </c>
      <c r="M608" t="n">
        <v>0</v>
      </c>
      <c r="N608" t="n">
        <v>0</v>
      </c>
      <c r="O608" t="n">
        <v>3</v>
      </c>
      <c r="P608" t="n">
        <v>1</v>
      </c>
      <c r="Q608" t="n">
        <v>6</v>
      </c>
      <c r="R608" s="2" t="inlineStr">
        <is>
          <t>Knärot
Lunglav
Talltita
Guckusko
Luddlav
Skinnlav</t>
        </is>
      </c>
      <c r="S608">
        <f>HYPERLINK("https://klasma.github.io/Logging_2380/artfynd/A 40555-2024 artfynd.xlsx", "A 40555-2024")</f>
        <v/>
      </c>
      <c r="T608">
        <f>HYPERLINK("https://klasma.github.io/Logging_2380/kartor/A 40555-2024 karta.png", "A 40555-2024")</f>
        <v/>
      </c>
      <c r="U608">
        <f>HYPERLINK("https://klasma.github.io/Logging_2380/knärot/A 40555-2024 karta knärot.png", "A 40555-2024")</f>
        <v/>
      </c>
      <c r="V608">
        <f>HYPERLINK("https://klasma.github.io/Logging_2380/klagomål/A 40555-2024 FSC-klagomål.docx", "A 40555-2024")</f>
        <v/>
      </c>
      <c r="W608">
        <f>HYPERLINK("https://klasma.github.io/Logging_2380/klagomålsmail/A 40555-2024 FSC-klagomål mail.docx", "A 40555-2024")</f>
        <v/>
      </c>
      <c r="X608">
        <f>HYPERLINK("https://klasma.github.io/Logging_2380/tillsyn/A 40555-2024 tillsynsbegäran.docx", "A 40555-2024")</f>
        <v/>
      </c>
      <c r="Y608">
        <f>HYPERLINK("https://klasma.github.io/Logging_2380/tillsynsmail/A 40555-2024 tillsynsbegäran mail.docx", "A 40555-2024")</f>
        <v/>
      </c>
      <c r="Z608">
        <f>HYPERLINK("https://klasma.github.io/Logging_2380/fåglar/A 40555-2024 prioriterade fågelarter.docx", "A 40555-2024")</f>
        <v/>
      </c>
    </row>
    <row r="609" ht="15" customHeight="1">
      <c r="A609" t="inlineStr">
        <is>
          <t>A 46259-2024</t>
        </is>
      </c>
      <c r="B609" s="1" t="n">
        <v>45581</v>
      </c>
      <c r="C609" s="1" t="n">
        <v>46045</v>
      </c>
      <c r="D609" t="inlineStr">
        <is>
          <t>JÄMTLANDS LÄN</t>
        </is>
      </c>
      <c r="E609" t="inlineStr">
        <is>
          <t>ÅRE</t>
        </is>
      </c>
      <c r="G609" t="n">
        <v>4.7</v>
      </c>
      <c r="H609" t="n">
        <v>0</v>
      </c>
      <c r="I609" t="n">
        <v>3</v>
      </c>
      <c r="J609" t="n">
        <v>3</v>
      </c>
      <c r="K609" t="n">
        <v>0</v>
      </c>
      <c r="L609" t="n">
        <v>0</v>
      </c>
      <c r="M609" t="n">
        <v>0</v>
      </c>
      <c r="N609" t="n">
        <v>0</v>
      </c>
      <c r="O609" t="n">
        <v>3</v>
      </c>
      <c r="P609" t="n">
        <v>0</v>
      </c>
      <c r="Q609" t="n">
        <v>6</v>
      </c>
      <c r="R609" s="2" t="inlineStr">
        <is>
          <t>Garnlav
Granticka
Vitgrynig nållav
Diskvaxskivling
Svavelriska
Trådticka</t>
        </is>
      </c>
      <c r="S609">
        <f>HYPERLINK("https://klasma.github.io/Logging_2321/artfynd/A 46259-2024 artfynd.xlsx", "A 46259-2024")</f>
        <v/>
      </c>
      <c r="T609">
        <f>HYPERLINK("https://klasma.github.io/Logging_2321/kartor/A 46259-2024 karta.png", "A 46259-2024")</f>
        <v/>
      </c>
      <c r="V609">
        <f>HYPERLINK("https://klasma.github.io/Logging_2321/klagomål/A 46259-2024 FSC-klagomål.docx", "A 46259-2024")</f>
        <v/>
      </c>
      <c r="W609">
        <f>HYPERLINK("https://klasma.github.io/Logging_2321/klagomålsmail/A 46259-2024 FSC-klagomål mail.docx", "A 46259-2024")</f>
        <v/>
      </c>
      <c r="X609">
        <f>HYPERLINK("https://klasma.github.io/Logging_2321/tillsyn/A 46259-2024 tillsynsbegäran.docx", "A 46259-2024")</f>
        <v/>
      </c>
      <c r="Y609">
        <f>HYPERLINK("https://klasma.github.io/Logging_2321/tillsynsmail/A 46259-2024 tillsynsbegäran mail.docx", "A 46259-2024")</f>
        <v/>
      </c>
    </row>
    <row r="610" ht="15" customHeight="1">
      <c r="A610" t="inlineStr">
        <is>
          <t>A 36276-2025</t>
        </is>
      </c>
      <c r="B610" s="1" t="n">
        <v>45867.63619212963</v>
      </c>
      <c r="C610" s="1" t="n">
        <v>46045</v>
      </c>
      <c r="D610" t="inlineStr">
        <is>
          <t>JÄMTLANDS LÄN</t>
        </is>
      </c>
      <c r="E610" t="inlineStr">
        <is>
          <t>RAGUNDA</t>
        </is>
      </c>
      <c r="F610" t="inlineStr">
        <is>
          <t>SCA</t>
        </is>
      </c>
      <c r="G610" t="n">
        <v>3.2</v>
      </c>
      <c r="H610" t="n">
        <v>1</v>
      </c>
      <c r="I610" t="n">
        <v>2</v>
      </c>
      <c r="J610" t="n">
        <v>3</v>
      </c>
      <c r="K610" t="n">
        <v>1</v>
      </c>
      <c r="L610" t="n">
        <v>0</v>
      </c>
      <c r="M610" t="n">
        <v>0</v>
      </c>
      <c r="N610" t="n">
        <v>0</v>
      </c>
      <c r="O610" t="n">
        <v>4</v>
      </c>
      <c r="P610" t="n">
        <v>1</v>
      </c>
      <c r="Q610" t="n">
        <v>6</v>
      </c>
      <c r="R610" s="2" t="inlineStr">
        <is>
          <t>Knärot
Garnlav
Lunglav
Ullticka
Grovticka
Stuplav</t>
        </is>
      </c>
      <c r="S610">
        <f>HYPERLINK("https://klasma.github.io/Logging_2303/artfynd/A 36276-2025 artfynd.xlsx", "A 36276-2025")</f>
        <v/>
      </c>
      <c r="T610">
        <f>HYPERLINK("https://klasma.github.io/Logging_2303/kartor/A 36276-2025 karta.png", "A 36276-2025")</f>
        <v/>
      </c>
      <c r="U610">
        <f>HYPERLINK("https://klasma.github.io/Logging_2303/knärot/A 36276-2025 karta knärot.png", "A 36276-2025")</f>
        <v/>
      </c>
      <c r="V610">
        <f>HYPERLINK("https://klasma.github.io/Logging_2303/klagomål/A 36276-2025 FSC-klagomål.docx", "A 36276-2025")</f>
        <v/>
      </c>
      <c r="W610">
        <f>HYPERLINK("https://klasma.github.io/Logging_2303/klagomålsmail/A 36276-2025 FSC-klagomål mail.docx", "A 36276-2025")</f>
        <v/>
      </c>
      <c r="X610">
        <f>HYPERLINK("https://klasma.github.io/Logging_2303/tillsyn/A 36276-2025 tillsynsbegäran.docx", "A 36276-2025")</f>
        <v/>
      </c>
      <c r="Y610">
        <f>HYPERLINK("https://klasma.github.io/Logging_2303/tillsynsmail/A 36276-2025 tillsynsbegäran mail.docx", "A 36276-2025")</f>
        <v/>
      </c>
    </row>
    <row r="611" ht="15" customHeight="1">
      <c r="A611" t="inlineStr">
        <is>
          <t>A 34317-2025</t>
        </is>
      </c>
      <c r="B611" s="1" t="n">
        <v>45846.41361111111</v>
      </c>
      <c r="C611" s="1" t="n">
        <v>46045</v>
      </c>
      <c r="D611" t="inlineStr">
        <is>
          <t>JÄMTLANDS LÄN</t>
        </is>
      </c>
      <c r="E611" t="inlineStr">
        <is>
          <t>RAGUNDA</t>
        </is>
      </c>
      <c r="G611" t="n">
        <v>8.300000000000001</v>
      </c>
      <c r="H611" t="n">
        <v>2</v>
      </c>
      <c r="I611" t="n">
        <v>1</v>
      </c>
      <c r="J611" t="n">
        <v>4</v>
      </c>
      <c r="K611" t="n">
        <v>1</v>
      </c>
      <c r="L611" t="n">
        <v>0</v>
      </c>
      <c r="M611" t="n">
        <v>0</v>
      </c>
      <c r="N611" t="n">
        <v>0</v>
      </c>
      <c r="O611" t="n">
        <v>5</v>
      </c>
      <c r="P611" t="n">
        <v>1</v>
      </c>
      <c r="Q611" t="n">
        <v>6</v>
      </c>
      <c r="R611" s="2" t="inlineStr">
        <is>
          <t>Knärot
Garnlav
Lunglav
Nordtagging
Talltita
Skinnlav</t>
        </is>
      </c>
      <c r="S611">
        <f>HYPERLINK("https://klasma.github.io/Logging_2303/artfynd/A 34317-2025 artfynd.xlsx", "A 34317-2025")</f>
        <v/>
      </c>
      <c r="T611">
        <f>HYPERLINK("https://klasma.github.io/Logging_2303/kartor/A 34317-2025 karta.png", "A 34317-2025")</f>
        <v/>
      </c>
      <c r="U611">
        <f>HYPERLINK("https://klasma.github.io/Logging_2303/knärot/A 34317-2025 karta knärot.png", "A 34317-2025")</f>
        <v/>
      </c>
      <c r="V611">
        <f>HYPERLINK("https://klasma.github.io/Logging_2303/klagomål/A 34317-2025 FSC-klagomål.docx", "A 34317-2025")</f>
        <v/>
      </c>
      <c r="W611">
        <f>HYPERLINK("https://klasma.github.io/Logging_2303/klagomålsmail/A 34317-2025 FSC-klagomål mail.docx", "A 34317-2025")</f>
        <v/>
      </c>
      <c r="X611">
        <f>HYPERLINK("https://klasma.github.io/Logging_2303/tillsyn/A 34317-2025 tillsynsbegäran.docx", "A 34317-2025")</f>
        <v/>
      </c>
      <c r="Y611">
        <f>HYPERLINK("https://klasma.github.io/Logging_2303/tillsynsmail/A 34317-2025 tillsynsbegäran mail.docx", "A 34317-2025")</f>
        <v/>
      </c>
      <c r="Z611">
        <f>HYPERLINK("https://klasma.github.io/Logging_2303/fåglar/A 34317-2025 prioriterade fågelarter.docx", "A 34317-2025")</f>
        <v/>
      </c>
    </row>
    <row r="612" ht="15" customHeight="1">
      <c r="A612" t="inlineStr">
        <is>
          <t>A 40815-2025</t>
        </is>
      </c>
      <c r="B612" s="1" t="n">
        <v>45897</v>
      </c>
      <c r="C612" s="1" t="n">
        <v>46045</v>
      </c>
      <c r="D612" t="inlineStr">
        <is>
          <t>JÄMTLANDS LÄN</t>
        </is>
      </c>
      <c r="E612" t="inlineStr">
        <is>
          <t>ÖSTERSUND</t>
        </is>
      </c>
      <c r="F612" t="inlineStr">
        <is>
          <t>Kommuner</t>
        </is>
      </c>
      <c r="G612" t="n">
        <v>0.8</v>
      </c>
      <c r="H612" t="n">
        <v>2</v>
      </c>
      <c r="I612" t="n">
        <v>2</v>
      </c>
      <c r="J612" t="n">
        <v>2</v>
      </c>
      <c r="K612" t="n">
        <v>0</v>
      </c>
      <c r="L612" t="n">
        <v>0</v>
      </c>
      <c r="M612" t="n">
        <v>0</v>
      </c>
      <c r="N612" t="n">
        <v>0</v>
      </c>
      <c r="O612" t="n">
        <v>2</v>
      </c>
      <c r="P612" t="n">
        <v>0</v>
      </c>
      <c r="Q612" t="n">
        <v>6</v>
      </c>
      <c r="R612" s="2" t="inlineStr">
        <is>
          <t>Granticka
Lunglav
Svart trolldruva
Tibast
Blåsippa
Revlummer</t>
        </is>
      </c>
      <c r="S612">
        <f>HYPERLINK("https://klasma.github.io/Logging_2380/artfynd/A 40815-2025 artfynd.xlsx", "A 40815-2025")</f>
        <v/>
      </c>
      <c r="T612">
        <f>HYPERLINK("https://klasma.github.io/Logging_2380/kartor/A 40815-2025 karta.png", "A 40815-2025")</f>
        <v/>
      </c>
      <c r="V612">
        <f>HYPERLINK("https://klasma.github.io/Logging_2380/klagomål/A 40815-2025 FSC-klagomål.docx", "A 40815-2025")</f>
        <v/>
      </c>
      <c r="W612">
        <f>HYPERLINK("https://klasma.github.io/Logging_2380/klagomålsmail/A 40815-2025 FSC-klagomål mail.docx", "A 40815-2025")</f>
        <v/>
      </c>
      <c r="X612">
        <f>HYPERLINK("https://klasma.github.io/Logging_2380/tillsyn/A 40815-2025 tillsynsbegäran.docx", "A 40815-2025")</f>
        <v/>
      </c>
      <c r="Y612">
        <f>HYPERLINK("https://klasma.github.io/Logging_2380/tillsynsmail/A 40815-2025 tillsynsbegäran mail.docx", "A 40815-2025")</f>
        <v/>
      </c>
    </row>
    <row r="613" ht="15" customHeight="1">
      <c r="A613" t="inlineStr">
        <is>
          <t>A 10010-2025</t>
        </is>
      </c>
      <c r="B613" s="1" t="n">
        <v>45719</v>
      </c>
      <c r="C613" s="1" t="n">
        <v>46045</v>
      </c>
      <c r="D613" t="inlineStr">
        <is>
          <t>JÄMTLANDS LÄN</t>
        </is>
      </c>
      <c r="E613" t="inlineStr">
        <is>
          <t>HÄRJEDALEN</t>
        </is>
      </c>
      <c r="G613" t="n">
        <v>14.4</v>
      </c>
      <c r="H613" t="n">
        <v>2</v>
      </c>
      <c r="I613" t="n">
        <v>0</v>
      </c>
      <c r="J613" t="n">
        <v>5</v>
      </c>
      <c r="K613" t="n">
        <v>0</v>
      </c>
      <c r="L613" t="n">
        <v>0</v>
      </c>
      <c r="M613" t="n">
        <v>0</v>
      </c>
      <c r="N613" t="n">
        <v>0</v>
      </c>
      <c r="O613" t="n">
        <v>5</v>
      </c>
      <c r="P613" t="n">
        <v>0</v>
      </c>
      <c r="Q613" t="n">
        <v>6</v>
      </c>
      <c r="R613" s="2" t="inlineStr">
        <is>
          <t>Blanksvart spiklav
Blågrå svartspik
Garnlav
Tretåig hackspett
Vitgrynig nållav
Tjäder</t>
        </is>
      </c>
      <c r="S613">
        <f>HYPERLINK("https://klasma.github.io/Logging_2361/artfynd/A 10010-2025 artfynd.xlsx", "A 10010-2025")</f>
        <v/>
      </c>
      <c r="T613">
        <f>HYPERLINK("https://klasma.github.io/Logging_2361/kartor/A 10010-2025 karta.png", "A 10010-2025")</f>
        <v/>
      </c>
      <c r="V613">
        <f>HYPERLINK("https://klasma.github.io/Logging_2361/klagomål/A 10010-2025 FSC-klagomål.docx", "A 10010-2025")</f>
        <v/>
      </c>
      <c r="W613">
        <f>HYPERLINK("https://klasma.github.io/Logging_2361/klagomålsmail/A 10010-2025 FSC-klagomål mail.docx", "A 10010-2025")</f>
        <v/>
      </c>
      <c r="X613">
        <f>HYPERLINK("https://klasma.github.io/Logging_2361/tillsyn/A 10010-2025 tillsynsbegäran.docx", "A 10010-2025")</f>
        <v/>
      </c>
      <c r="Y613">
        <f>HYPERLINK("https://klasma.github.io/Logging_2361/tillsynsmail/A 10010-2025 tillsynsbegäran mail.docx", "A 10010-2025")</f>
        <v/>
      </c>
      <c r="Z613">
        <f>HYPERLINK("https://klasma.github.io/Logging_2361/fåglar/A 10010-2025 prioriterade fågelarter.docx", "A 10010-2025")</f>
        <v/>
      </c>
    </row>
    <row r="614" ht="15" customHeight="1">
      <c r="A614" t="inlineStr">
        <is>
          <t>A 61212-2025</t>
        </is>
      </c>
      <c r="B614" s="1" t="n">
        <v>46000.61640046296</v>
      </c>
      <c r="C614" s="1" t="n">
        <v>46045</v>
      </c>
      <c r="D614" t="inlineStr">
        <is>
          <t>JÄMTLANDS LÄN</t>
        </is>
      </c>
      <c r="E614" t="inlineStr">
        <is>
          <t>ÖSTERSUND</t>
        </is>
      </c>
      <c r="G614" t="n">
        <v>7.8</v>
      </c>
      <c r="H614" t="n">
        <v>3</v>
      </c>
      <c r="I614" t="n">
        <v>0</v>
      </c>
      <c r="J614" t="n">
        <v>5</v>
      </c>
      <c r="K614" t="n">
        <v>1</v>
      </c>
      <c r="L614" t="n">
        <v>0</v>
      </c>
      <c r="M614" t="n">
        <v>0</v>
      </c>
      <c r="N614" t="n">
        <v>0</v>
      </c>
      <c r="O614" t="n">
        <v>6</v>
      </c>
      <c r="P614" t="n">
        <v>1</v>
      </c>
      <c r="Q614" t="n">
        <v>6</v>
      </c>
      <c r="R614" s="2" t="inlineStr">
        <is>
          <t>Knärot
Granticka
Harticka
Spillkråka
Talltita
Ullticka</t>
        </is>
      </c>
      <c r="S614">
        <f>HYPERLINK("https://klasma.github.io/Logging_2380/artfynd/A 61212-2025 artfynd.xlsx", "A 61212-2025")</f>
        <v/>
      </c>
      <c r="T614">
        <f>HYPERLINK("https://klasma.github.io/Logging_2380/kartor/A 61212-2025 karta.png", "A 61212-2025")</f>
        <v/>
      </c>
      <c r="U614">
        <f>HYPERLINK("https://klasma.github.io/Logging_2380/knärot/A 61212-2025 karta knärot.png", "A 61212-2025")</f>
        <v/>
      </c>
      <c r="V614">
        <f>HYPERLINK("https://klasma.github.io/Logging_2380/klagomål/A 61212-2025 FSC-klagomål.docx", "A 61212-2025")</f>
        <v/>
      </c>
      <c r="W614">
        <f>HYPERLINK("https://klasma.github.io/Logging_2380/klagomålsmail/A 61212-2025 FSC-klagomål mail.docx", "A 61212-2025")</f>
        <v/>
      </c>
      <c r="X614">
        <f>HYPERLINK("https://klasma.github.io/Logging_2380/tillsyn/A 61212-2025 tillsynsbegäran.docx", "A 61212-2025")</f>
        <v/>
      </c>
      <c r="Y614">
        <f>HYPERLINK("https://klasma.github.io/Logging_2380/tillsynsmail/A 61212-2025 tillsynsbegäran mail.docx", "A 61212-2025")</f>
        <v/>
      </c>
      <c r="Z614">
        <f>HYPERLINK("https://klasma.github.io/Logging_2380/fåglar/A 61212-2025 prioriterade fågelarter.docx", "A 61212-2025")</f>
        <v/>
      </c>
    </row>
    <row r="615" ht="15" customHeight="1">
      <c r="A615" t="inlineStr">
        <is>
          <t>A 43942-2024</t>
        </is>
      </c>
      <c r="B615" s="1" t="n">
        <v>45572</v>
      </c>
      <c r="C615" s="1" t="n">
        <v>46045</v>
      </c>
      <c r="D615" t="inlineStr">
        <is>
          <t>JÄMTLANDS LÄN</t>
        </is>
      </c>
      <c r="E615" t="inlineStr">
        <is>
          <t>ÅRE</t>
        </is>
      </c>
      <c r="G615" t="n">
        <v>20.8</v>
      </c>
      <c r="H615" t="n">
        <v>0</v>
      </c>
      <c r="I615" t="n">
        <v>3</v>
      </c>
      <c r="J615" t="n">
        <v>3</v>
      </c>
      <c r="K615" t="n">
        <v>0</v>
      </c>
      <c r="L615" t="n">
        <v>0</v>
      </c>
      <c r="M615" t="n">
        <v>0</v>
      </c>
      <c r="N615" t="n">
        <v>0</v>
      </c>
      <c r="O615" t="n">
        <v>3</v>
      </c>
      <c r="P615" t="n">
        <v>0</v>
      </c>
      <c r="Q615" t="n">
        <v>6</v>
      </c>
      <c r="R615" s="2" t="inlineStr">
        <is>
          <t>Doftskinn
Granticka
Vedflikmossa
Kransrams
Mörk husmossa
Vedticka</t>
        </is>
      </c>
      <c r="S615">
        <f>HYPERLINK("https://klasma.github.io/Logging_2321/artfynd/A 43942-2024 artfynd.xlsx", "A 43942-2024")</f>
        <v/>
      </c>
      <c r="T615">
        <f>HYPERLINK("https://klasma.github.io/Logging_2321/kartor/A 43942-2024 karta.png", "A 43942-2024")</f>
        <v/>
      </c>
      <c r="V615">
        <f>HYPERLINK("https://klasma.github.io/Logging_2321/klagomål/A 43942-2024 FSC-klagomål.docx", "A 43942-2024")</f>
        <v/>
      </c>
      <c r="W615">
        <f>HYPERLINK("https://klasma.github.io/Logging_2321/klagomålsmail/A 43942-2024 FSC-klagomål mail.docx", "A 43942-2024")</f>
        <v/>
      </c>
      <c r="X615">
        <f>HYPERLINK("https://klasma.github.io/Logging_2321/tillsyn/A 43942-2024 tillsynsbegäran.docx", "A 43942-2024")</f>
        <v/>
      </c>
      <c r="Y615">
        <f>HYPERLINK("https://klasma.github.io/Logging_2321/tillsynsmail/A 43942-2024 tillsynsbegäran mail.docx", "A 43942-2024")</f>
        <v/>
      </c>
    </row>
    <row r="616" ht="15" customHeight="1">
      <c r="A616" t="inlineStr">
        <is>
          <t>A 3992-2026</t>
        </is>
      </c>
      <c r="B616" s="1" t="n">
        <v>46044.38502314815</v>
      </c>
      <c r="C616" s="1" t="n">
        <v>46045</v>
      </c>
      <c r="D616" t="inlineStr">
        <is>
          <t>JÄMTLANDS LÄN</t>
        </is>
      </c>
      <c r="E616" t="inlineStr">
        <is>
          <t>KROKOM</t>
        </is>
      </c>
      <c r="G616" t="n">
        <v>13.1</v>
      </c>
      <c r="H616" t="n">
        <v>2</v>
      </c>
      <c r="I616" t="n">
        <v>0</v>
      </c>
      <c r="J616" t="n">
        <v>5</v>
      </c>
      <c r="K616" t="n">
        <v>1</v>
      </c>
      <c r="L616" t="n">
        <v>0</v>
      </c>
      <c r="M616" t="n">
        <v>0</v>
      </c>
      <c r="N616" t="n">
        <v>0</v>
      </c>
      <c r="O616" t="n">
        <v>6</v>
      </c>
      <c r="P616" t="n">
        <v>1</v>
      </c>
      <c r="Q616" t="n">
        <v>6</v>
      </c>
      <c r="R616" s="2" t="inlineStr">
        <is>
          <t>Knärot
Blågrå svartspik
Garnlav
Lunglav
Talltita
Vedflamlav</t>
        </is>
      </c>
      <c r="S616">
        <f>HYPERLINK("https://klasma.github.io/Logging_2309/artfynd/A 3992-2026 artfynd.xlsx", "A 3992-2026")</f>
        <v/>
      </c>
      <c r="T616">
        <f>HYPERLINK("https://klasma.github.io/Logging_2309/kartor/A 3992-2026 karta.png", "A 3992-2026")</f>
        <v/>
      </c>
      <c r="U616">
        <f>HYPERLINK("https://klasma.github.io/Logging_2309/knärot/A 3992-2026 karta knärot.png", "A 3992-2026")</f>
        <v/>
      </c>
      <c r="V616">
        <f>HYPERLINK("https://klasma.github.io/Logging_2309/klagomål/A 3992-2026 FSC-klagomål.docx", "A 3992-2026")</f>
        <v/>
      </c>
      <c r="W616">
        <f>HYPERLINK("https://klasma.github.io/Logging_2309/klagomålsmail/A 3992-2026 FSC-klagomål mail.docx", "A 3992-2026")</f>
        <v/>
      </c>
      <c r="X616">
        <f>HYPERLINK("https://klasma.github.io/Logging_2309/tillsyn/A 3992-2026 tillsynsbegäran.docx", "A 3992-2026")</f>
        <v/>
      </c>
      <c r="Y616">
        <f>HYPERLINK("https://klasma.github.io/Logging_2309/tillsynsmail/A 3992-2026 tillsynsbegäran mail.docx", "A 3992-2026")</f>
        <v/>
      </c>
      <c r="Z616">
        <f>HYPERLINK("https://klasma.github.io/Logging_2309/fåglar/A 3992-2026 prioriterade fågelarter.docx", "A 3992-2026")</f>
        <v/>
      </c>
    </row>
    <row r="617" ht="15" customHeight="1">
      <c r="A617" t="inlineStr">
        <is>
          <t>A 30637-2024</t>
        </is>
      </c>
      <c r="B617" s="1" t="n">
        <v>45495.56244212963</v>
      </c>
      <c r="C617" s="1" t="n">
        <v>46045</v>
      </c>
      <c r="D617" t="inlineStr">
        <is>
          <t>JÄMTLANDS LÄN</t>
        </is>
      </c>
      <c r="E617" t="inlineStr">
        <is>
          <t>RAGUNDA</t>
        </is>
      </c>
      <c r="G617" t="n">
        <v>4.1</v>
      </c>
      <c r="H617" t="n">
        <v>5</v>
      </c>
      <c r="I617" t="n">
        <v>0</v>
      </c>
      <c r="J617" t="n">
        <v>4</v>
      </c>
      <c r="K617" t="n">
        <v>1</v>
      </c>
      <c r="L617" t="n">
        <v>0</v>
      </c>
      <c r="M617" t="n">
        <v>0</v>
      </c>
      <c r="N617" t="n">
        <v>0</v>
      </c>
      <c r="O617" t="n">
        <v>5</v>
      </c>
      <c r="P617" t="n">
        <v>1</v>
      </c>
      <c r="Q617" t="n">
        <v>6</v>
      </c>
      <c r="R617" s="2" t="inlineStr">
        <is>
          <t>Knärot
Lunglav
Spillkråka
Talltita
Tretåig hackspett
Vanlig groda</t>
        </is>
      </c>
      <c r="S617">
        <f>HYPERLINK("https://klasma.github.io/Logging_2303/artfynd/A 30637-2024 artfynd.xlsx", "A 30637-2024")</f>
        <v/>
      </c>
      <c r="T617">
        <f>HYPERLINK("https://klasma.github.io/Logging_2303/kartor/A 30637-2024 karta.png", "A 30637-2024")</f>
        <v/>
      </c>
      <c r="U617">
        <f>HYPERLINK("https://klasma.github.io/Logging_2303/knärot/A 30637-2024 karta knärot.png", "A 30637-2024")</f>
        <v/>
      </c>
      <c r="V617">
        <f>HYPERLINK("https://klasma.github.io/Logging_2303/klagomål/A 30637-2024 FSC-klagomål.docx", "A 30637-2024")</f>
        <v/>
      </c>
      <c r="W617">
        <f>HYPERLINK("https://klasma.github.io/Logging_2303/klagomålsmail/A 30637-2024 FSC-klagomål mail.docx", "A 30637-2024")</f>
        <v/>
      </c>
      <c r="X617">
        <f>HYPERLINK("https://klasma.github.io/Logging_2303/tillsyn/A 30637-2024 tillsynsbegäran.docx", "A 30637-2024")</f>
        <v/>
      </c>
      <c r="Y617">
        <f>HYPERLINK("https://klasma.github.io/Logging_2303/tillsynsmail/A 30637-2024 tillsynsbegäran mail.docx", "A 30637-2024")</f>
        <v/>
      </c>
      <c r="Z617">
        <f>HYPERLINK("https://klasma.github.io/Logging_2303/fåglar/A 30637-2024 prioriterade fågelarter.docx", "A 30637-2024")</f>
        <v/>
      </c>
    </row>
    <row r="618" ht="15" customHeight="1">
      <c r="A618" t="inlineStr">
        <is>
          <t>A 61382-2025</t>
        </is>
      </c>
      <c r="B618" s="1" t="n">
        <v>46001.44696759259</v>
      </c>
      <c r="C618" s="1" t="n">
        <v>46045</v>
      </c>
      <c r="D618" t="inlineStr">
        <is>
          <t>JÄMTLANDS LÄN</t>
        </is>
      </c>
      <c r="E618" t="inlineStr">
        <is>
          <t>KROKOM</t>
        </is>
      </c>
      <c r="G618" t="n">
        <v>36</v>
      </c>
      <c r="H618" t="n">
        <v>1</v>
      </c>
      <c r="I618" t="n">
        <v>0</v>
      </c>
      <c r="J618" t="n">
        <v>6</v>
      </c>
      <c r="K618" t="n">
        <v>0</v>
      </c>
      <c r="L618" t="n">
        <v>0</v>
      </c>
      <c r="M618" t="n">
        <v>0</v>
      </c>
      <c r="N618" t="n">
        <v>0</v>
      </c>
      <c r="O618" t="n">
        <v>6</v>
      </c>
      <c r="P618" t="n">
        <v>0</v>
      </c>
      <c r="Q618" t="n">
        <v>6</v>
      </c>
      <c r="R618" s="2" t="inlineStr">
        <is>
          <t>Doftskinn
Garnlav
Granticka
Harticka
Skrovellav
Tretåig hackspett</t>
        </is>
      </c>
      <c r="S618">
        <f>HYPERLINK("https://klasma.github.io/Logging_2309/artfynd/A 61382-2025 artfynd.xlsx", "A 61382-2025")</f>
        <v/>
      </c>
      <c r="T618">
        <f>HYPERLINK("https://klasma.github.io/Logging_2309/kartor/A 61382-2025 karta.png", "A 61382-2025")</f>
        <v/>
      </c>
      <c r="V618">
        <f>HYPERLINK("https://klasma.github.io/Logging_2309/klagomål/A 61382-2025 FSC-klagomål.docx", "A 61382-2025")</f>
        <v/>
      </c>
      <c r="W618">
        <f>HYPERLINK("https://klasma.github.io/Logging_2309/klagomålsmail/A 61382-2025 FSC-klagomål mail.docx", "A 61382-2025")</f>
        <v/>
      </c>
      <c r="X618">
        <f>HYPERLINK("https://klasma.github.io/Logging_2309/tillsyn/A 61382-2025 tillsynsbegäran.docx", "A 61382-2025")</f>
        <v/>
      </c>
      <c r="Y618">
        <f>HYPERLINK("https://klasma.github.io/Logging_2309/tillsynsmail/A 61382-2025 tillsynsbegäran mail.docx", "A 61382-2025")</f>
        <v/>
      </c>
      <c r="Z618">
        <f>HYPERLINK("https://klasma.github.io/Logging_2309/fåglar/A 61382-2025 prioriterade fågelarter.docx", "A 61382-2025")</f>
        <v/>
      </c>
    </row>
    <row r="619" ht="15" customHeight="1">
      <c r="A619" t="inlineStr">
        <is>
          <t>A 52582-2024</t>
        </is>
      </c>
      <c r="B619" s="1" t="n">
        <v>45609.67738425926</v>
      </c>
      <c r="C619" s="1" t="n">
        <v>46045</v>
      </c>
      <c r="D619" t="inlineStr">
        <is>
          <t>JÄMTLANDS LÄN</t>
        </is>
      </c>
      <c r="E619" t="inlineStr">
        <is>
          <t>STRÖMSUND</t>
        </is>
      </c>
      <c r="F619" t="inlineStr">
        <is>
          <t>SCA</t>
        </is>
      </c>
      <c r="G619" t="n">
        <v>2.5</v>
      </c>
      <c r="H619" t="n">
        <v>2</v>
      </c>
      <c r="I619" t="n">
        <v>1</v>
      </c>
      <c r="J619" t="n">
        <v>4</v>
      </c>
      <c r="K619" t="n">
        <v>1</v>
      </c>
      <c r="L619" t="n">
        <v>0</v>
      </c>
      <c r="M619" t="n">
        <v>0</v>
      </c>
      <c r="N619" t="n">
        <v>0</v>
      </c>
      <c r="O619" t="n">
        <v>5</v>
      </c>
      <c r="P619" t="n">
        <v>1</v>
      </c>
      <c r="Q619" t="n">
        <v>6</v>
      </c>
      <c r="R619" s="2" t="inlineStr">
        <is>
          <t>Knärot
Kolflarnlav
Mörk kolflarnlav
Svart taggsvamp
Tretåig hackspett
Dropptaggsvamp</t>
        </is>
      </c>
      <c r="S619">
        <f>HYPERLINK("https://klasma.github.io/Logging_2313/artfynd/A 52582-2024 artfynd.xlsx", "A 52582-2024")</f>
        <v/>
      </c>
      <c r="T619">
        <f>HYPERLINK("https://klasma.github.io/Logging_2313/kartor/A 52582-2024 karta.png", "A 52582-2024")</f>
        <v/>
      </c>
      <c r="U619">
        <f>HYPERLINK("https://klasma.github.io/Logging_2313/knärot/A 52582-2024 karta knärot.png", "A 52582-2024")</f>
        <v/>
      </c>
      <c r="V619">
        <f>HYPERLINK("https://klasma.github.io/Logging_2313/klagomål/A 52582-2024 FSC-klagomål.docx", "A 52582-2024")</f>
        <v/>
      </c>
      <c r="W619">
        <f>HYPERLINK("https://klasma.github.io/Logging_2313/klagomålsmail/A 52582-2024 FSC-klagomål mail.docx", "A 52582-2024")</f>
        <v/>
      </c>
      <c r="X619">
        <f>HYPERLINK("https://klasma.github.io/Logging_2313/tillsyn/A 52582-2024 tillsynsbegäran.docx", "A 52582-2024")</f>
        <v/>
      </c>
      <c r="Y619">
        <f>HYPERLINK("https://klasma.github.io/Logging_2313/tillsynsmail/A 52582-2024 tillsynsbegäran mail.docx", "A 52582-2024")</f>
        <v/>
      </c>
      <c r="Z619">
        <f>HYPERLINK("https://klasma.github.io/Logging_2313/fåglar/A 52582-2024 prioriterade fågelarter.docx", "A 52582-2024")</f>
        <v/>
      </c>
    </row>
    <row r="620" ht="15" customHeight="1">
      <c r="A620" t="inlineStr">
        <is>
          <t>A 47115-2025</t>
        </is>
      </c>
      <c r="B620" s="1" t="n">
        <v>45929</v>
      </c>
      <c r="C620" s="1" t="n">
        <v>46045</v>
      </c>
      <c r="D620" t="inlineStr">
        <is>
          <t>JÄMTLANDS LÄN</t>
        </is>
      </c>
      <c r="E620" t="inlineStr">
        <is>
          <t>RAGUNDA</t>
        </is>
      </c>
      <c r="G620" t="n">
        <v>6.4</v>
      </c>
      <c r="H620" t="n">
        <v>4</v>
      </c>
      <c r="I620" t="n">
        <v>0</v>
      </c>
      <c r="J620" t="n">
        <v>3</v>
      </c>
      <c r="K620" t="n">
        <v>2</v>
      </c>
      <c r="L620" t="n">
        <v>0</v>
      </c>
      <c r="M620" t="n">
        <v>0</v>
      </c>
      <c r="N620" t="n">
        <v>0</v>
      </c>
      <c r="O620" t="n">
        <v>5</v>
      </c>
      <c r="P620" t="n">
        <v>2</v>
      </c>
      <c r="Q620" t="n">
        <v>6</v>
      </c>
      <c r="R620" s="2" t="inlineStr">
        <is>
          <t>Doftticka
Knärot
Garnlav
Lunglav
Tretåig hackspett
Lavskrika</t>
        </is>
      </c>
      <c r="S620">
        <f>HYPERLINK("https://klasma.github.io/Logging_2303/artfynd/A 47115-2025 artfynd.xlsx", "A 47115-2025")</f>
        <v/>
      </c>
      <c r="T620">
        <f>HYPERLINK("https://klasma.github.io/Logging_2303/kartor/A 47115-2025 karta.png", "A 47115-2025")</f>
        <v/>
      </c>
      <c r="U620">
        <f>HYPERLINK("https://klasma.github.io/Logging_2303/knärot/A 47115-2025 karta knärot.png", "A 47115-2025")</f>
        <v/>
      </c>
      <c r="V620">
        <f>HYPERLINK("https://klasma.github.io/Logging_2303/klagomål/A 47115-2025 FSC-klagomål.docx", "A 47115-2025")</f>
        <v/>
      </c>
      <c r="W620">
        <f>HYPERLINK("https://klasma.github.io/Logging_2303/klagomålsmail/A 47115-2025 FSC-klagomål mail.docx", "A 47115-2025")</f>
        <v/>
      </c>
      <c r="X620">
        <f>HYPERLINK("https://klasma.github.io/Logging_2303/tillsyn/A 47115-2025 tillsynsbegäran.docx", "A 47115-2025")</f>
        <v/>
      </c>
      <c r="Y620">
        <f>HYPERLINK("https://klasma.github.io/Logging_2303/tillsynsmail/A 47115-2025 tillsynsbegäran mail.docx", "A 47115-2025")</f>
        <v/>
      </c>
      <c r="Z620">
        <f>HYPERLINK("https://klasma.github.io/Logging_2303/fåglar/A 47115-2025 prioriterade fågelarter.docx", "A 47115-2025")</f>
        <v/>
      </c>
    </row>
    <row r="621" ht="15" customHeight="1">
      <c r="A621" t="inlineStr">
        <is>
          <t>A 37891-2025</t>
        </is>
      </c>
      <c r="B621" s="1" t="n">
        <v>45881.54024305556</v>
      </c>
      <c r="C621" s="1" t="n">
        <v>46045</v>
      </c>
      <c r="D621" t="inlineStr">
        <is>
          <t>JÄMTLANDS LÄN</t>
        </is>
      </c>
      <c r="E621" t="inlineStr">
        <is>
          <t>ÅRE</t>
        </is>
      </c>
      <c r="G621" t="n">
        <v>8.300000000000001</v>
      </c>
      <c r="H621" t="n">
        <v>3</v>
      </c>
      <c r="I621" t="n">
        <v>1</v>
      </c>
      <c r="J621" t="n">
        <v>3</v>
      </c>
      <c r="K621" t="n">
        <v>0</v>
      </c>
      <c r="L621" t="n">
        <v>0</v>
      </c>
      <c r="M621" t="n">
        <v>0</v>
      </c>
      <c r="N621" t="n">
        <v>0</v>
      </c>
      <c r="O621" t="n">
        <v>3</v>
      </c>
      <c r="P621" t="n">
        <v>0</v>
      </c>
      <c r="Q621" t="n">
        <v>6</v>
      </c>
      <c r="R621" s="2" t="inlineStr">
        <is>
          <t>Grå blåbärsfältmätare
Skogshare
Svartvit flugsnappare
Maskfingersvamp
Trana
Vanlig groda</t>
        </is>
      </c>
      <c r="S621">
        <f>HYPERLINK("https://klasma.github.io/Logging_2321/artfynd/A 37891-2025 artfynd.xlsx", "A 37891-2025")</f>
        <v/>
      </c>
      <c r="T621">
        <f>HYPERLINK("https://klasma.github.io/Logging_2321/kartor/A 37891-2025 karta.png", "A 37891-2025")</f>
        <v/>
      </c>
      <c r="V621">
        <f>HYPERLINK("https://klasma.github.io/Logging_2321/klagomål/A 37891-2025 FSC-klagomål.docx", "A 37891-2025")</f>
        <v/>
      </c>
      <c r="W621">
        <f>HYPERLINK("https://klasma.github.io/Logging_2321/klagomålsmail/A 37891-2025 FSC-klagomål mail.docx", "A 37891-2025")</f>
        <v/>
      </c>
      <c r="X621">
        <f>HYPERLINK("https://klasma.github.io/Logging_2321/tillsyn/A 37891-2025 tillsynsbegäran.docx", "A 37891-2025")</f>
        <v/>
      </c>
      <c r="Y621">
        <f>HYPERLINK("https://klasma.github.io/Logging_2321/tillsynsmail/A 37891-2025 tillsynsbegäran mail.docx", "A 37891-2025")</f>
        <v/>
      </c>
      <c r="Z621">
        <f>HYPERLINK("https://klasma.github.io/Logging_2321/fåglar/A 37891-2025 prioriterade fågelarter.docx", "A 37891-2025")</f>
        <v/>
      </c>
    </row>
    <row r="622" ht="15" customHeight="1">
      <c r="A622" t="inlineStr">
        <is>
          <t>A 54196-2024</t>
        </is>
      </c>
      <c r="B622" s="1" t="n">
        <v>45616.6450462963</v>
      </c>
      <c r="C622" s="1" t="n">
        <v>46045</v>
      </c>
      <c r="D622" t="inlineStr">
        <is>
          <t>JÄMTLANDS LÄN</t>
        </is>
      </c>
      <c r="E622" t="inlineStr">
        <is>
          <t>HÄRJEDALEN</t>
        </is>
      </c>
      <c r="G622" t="n">
        <v>4.4</v>
      </c>
      <c r="H622" t="n">
        <v>2</v>
      </c>
      <c r="I622" t="n">
        <v>0</v>
      </c>
      <c r="J622" t="n">
        <v>5</v>
      </c>
      <c r="K622" t="n">
        <v>1</v>
      </c>
      <c r="L622" t="n">
        <v>0</v>
      </c>
      <c r="M622" t="n">
        <v>0</v>
      </c>
      <c r="N622" t="n">
        <v>0</v>
      </c>
      <c r="O622" t="n">
        <v>6</v>
      </c>
      <c r="P622" t="n">
        <v>1</v>
      </c>
      <c r="Q622" t="n">
        <v>6</v>
      </c>
      <c r="R622" s="2" t="inlineStr">
        <is>
          <t>Knärot
Garnlav
Kolflarnlav
Mörk kolflarnlav
Tretåig hackspett
Ullticka</t>
        </is>
      </c>
      <c r="S622">
        <f>HYPERLINK("https://klasma.github.io/Logging_2361/artfynd/A 54196-2024 artfynd.xlsx", "A 54196-2024")</f>
        <v/>
      </c>
      <c r="T622">
        <f>HYPERLINK("https://klasma.github.io/Logging_2361/kartor/A 54196-2024 karta.png", "A 54196-2024")</f>
        <v/>
      </c>
      <c r="U622">
        <f>HYPERLINK("https://klasma.github.io/Logging_2361/knärot/A 54196-2024 karta knärot.png", "A 54196-2024")</f>
        <v/>
      </c>
      <c r="V622">
        <f>HYPERLINK("https://klasma.github.io/Logging_2361/klagomål/A 54196-2024 FSC-klagomål.docx", "A 54196-2024")</f>
        <v/>
      </c>
      <c r="W622">
        <f>HYPERLINK("https://klasma.github.io/Logging_2361/klagomålsmail/A 54196-2024 FSC-klagomål mail.docx", "A 54196-2024")</f>
        <v/>
      </c>
      <c r="X622">
        <f>HYPERLINK("https://klasma.github.io/Logging_2361/tillsyn/A 54196-2024 tillsynsbegäran.docx", "A 54196-2024")</f>
        <v/>
      </c>
      <c r="Y622">
        <f>HYPERLINK("https://klasma.github.io/Logging_2361/tillsynsmail/A 54196-2024 tillsynsbegäran mail.docx", "A 54196-2024")</f>
        <v/>
      </c>
      <c r="Z622">
        <f>HYPERLINK("https://klasma.github.io/Logging_2361/fåglar/A 54196-2024 prioriterade fågelarter.docx", "A 54196-2024")</f>
        <v/>
      </c>
    </row>
    <row r="623" ht="15" customHeight="1">
      <c r="A623" t="inlineStr">
        <is>
          <t>A 29464-2024</t>
        </is>
      </c>
      <c r="B623" s="1" t="n">
        <v>45483.97010416666</v>
      </c>
      <c r="C623" s="1" t="n">
        <v>46045</v>
      </c>
      <c r="D623" t="inlineStr">
        <is>
          <t>JÄMTLANDS LÄN</t>
        </is>
      </c>
      <c r="E623" t="inlineStr">
        <is>
          <t>BRÄCKE</t>
        </is>
      </c>
      <c r="F623" t="inlineStr">
        <is>
          <t>SCA</t>
        </is>
      </c>
      <c r="G623" t="n">
        <v>4</v>
      </c>
      <c r="H623" t="n">
        <v>0</v>
      </c>
      <c r="I623" t="n">
        <v>1</v>
      </c>
      <c r="J623" t="n">
        <v>5</v>
      </c>
      <c r="K623" t="n">
        <v>0</v>
      </c>
      <c r="L623" t="n">
        <v>0</v>
      </c>
      <c r="M623" t="n">
        <v>0</v>
      </c>
      <c r="N623" t="n">
        <v>0</v>
      </c>
      <c r="O623" t="n">
        <v>5</v>
      </c>
      <c r="P623" t="n">
        <v>0</v>
      </c>
      <c r="Q623" t="n">
        <v>6</v>
      </c>
      <c r="R623" s="2" t="inlineStr">
        <is>
          <t>Gammelgransskål
Garnlav
Granticka
Kolflarnlav
Lunglav
Stuplav</t>
        </is>
      </c>
      <c r="S623">
        <f>HYPERLINK("https://klasma.github.io/Logging_2305/artfynd/A 29464-2024 artfynd.xlsx", "A 29464-2024")</f>
        <v/>
      </c>
      <c r="T623">
        <f>HYPERLINK("https://klasma.github.io/Logging_2305/kartor/A 29464-2024 karta.png", "A 29464-2024")</f>
        <v/>
      </c>
      <c r="V623">
        <f>HYPERLINK("https://klasma.github.io/Logging_2305/klagomål/A 29464-2024 FSC-klagomål.docx", "A 29464-2024")</f>
        <v/>
      </c>
      <c r="W623">
        <f>HYPERLINK("https://klasma.github.io/Logging_2305/klagomålsmail/A 29464-2024 FSC-klagomål mail.docx", "A 29464-2024")</f>
        <v/>
      </c>
      <c r="X623">
        <f>HYPERLINK("https://klasma.github.io/Logging_2305/tillsyn/A 29464-2024 tillsynsbegäran.docx", "A 29464-2024")</f>
        <v/>
      </c>
      <c r="Y623">
        <f>HYPERLINK("https://klasma.github.io/Logging_2305/tillsynsmail/A 29464-2024 tillsynsbegäran mail.docx", "A 29464-2024")</f>
        <v/>
      </c>
    </row>
    <row r="624" ht="15" customHeight="1">
      <c r="A624" t="inlineStr">
        <is>
          <t>A 59719-2024</t>
        </is>
      </c>
      <c r="B624" s="1" t="n">
        <v>45639.47033564815</v>
      </c>
      <c r="C624" s="1" t="n">
        <v>46045</v>
      </c>
      <c r="D624" t="inlineStr">
        <is>
          <t>JÄMTLANDS LÄN</t>
        </is>
      </c>
      <c r="E624" t="inlineStr">
        <is>
          <t>BRÄCKE</t>
        </is>
      </c>
      <c r="F624" t="inlineStr">
        <is>
          <t>SCA</t>
        </is>
      </c>
      <c r="G624" t="n">
        <v>1.8</v>
      </c>
      <c r="H624" t="n">
        <v>1</v>
      </c>
      <c r="I624" t="n">
        <v>2</v>
      </c>
      <c r="J624" t="n">
        <v>4</v>
      </c>
      <c r="K624" t="n">
        <v>0</v>
      </c>
      <c r="L624" t="n">
        <v>0</v>
      </c>
      <c r="M624" t="n">
        <v>0</v>
      </c>
      <c r="N624" t="n">
        <v>0</v>
      </c>
      <c r="O624" t="n">
        <v>4</v>
      </c>
      <c r="P624" t="n">
        <v>0</v>
      </c>
      <c r="Q624" t="n">
        <v>6</v>
      </c>
      <c r="R624" s="2" t="inlineStr">
        <is>
          <t>Granticka
Lunglav
Tretåig hackspett
Ullticka
Trådticka
Vedticka</t>
        </is>
      </c>
      <c r="S624">
        <f>HYPERLINK("https://klasma.github.io/Logging_2305/artfynd/A 59719-2024 artfynd.xlsx", "A 59719-2024")</f>
        <v/>
      </c>
      <c r="T624">
        <f>HYPERLINK("https://klasma.github.io/Logging_2305/kartor/A 59719-2024 karta.png", "A 59719-2024")</f>
        <v/>
      </c>
      <c r="V624">
        <f>HYPERLINK("https://klasma.github.io/Logging_2305/klagomål/A 59719-2024 FSC-klagomål.docx", "A 59719-2024")</f>
        <v/>
      </c>
      <c r="W624">
        <f>HYPERLINK("https://klasma.github.io/Logging_2305/klagomålsmail/A 59719-2024 FSC-klagomål mail.docx", "A 59719-2024")</f>
        <v/>
      </c>
      <c r="X624">
        <f>HYPERLINK("https://klasma.github.io/Logging_2305/tillsyn/A 59719-2024 tillsynsbegäran.docx", "A 59719-2024")</f>
        <v/>
      </c>
      <c r="Y624">
        <f>HYPERLINK("https://klasma.github.io/Logging_2305/tillsynsmail/A 59719-2024 tillsynsbegäran mail.docx", "A 59719-2024")</f>
        <v/>
      </c>
      <c r="Z624">
        <f>HYPERLINK("https://klasma.github.io/Logging_2305/fåglar/A 59719-2024 prioriterade fågelarter.docx", "A 59719-2024")</f>
        <v/>
      </c>
    </row>
    <row r="625" ht="15" customHeight="1">
      <c r="A625" t="inlineStr">
        <is>
          <t>A 16508-2021</t>
        </is>
      </c>
      <c r="B625" s="1" t="n">
        <v>44293</v>
      </c>
      <c r="C625" s="1" t="n">
        <v>46045</v>
      </c>
      <c r="D625" t="inlineStr">
        <is>
          <t>JÄMTLANDS LÄN</t>
        </is>
      </c>
      <c r="E625" t="inlineStr">
        <is>
          <t>BERG</t>
        </is>
      </c>
      <c r="G625" t="n">
        <v>18.9</v>
      </c>
      <c r="H625" t="n">
        <v>0</v>
      </c>
      <c r="I625" t="n">
        <v>1</v>
      </c>
      <c r="J625" t="n">
        <v>5</v>
      </c>
      <c r="K625" t="n">
        <v>0</v>
      </c>
      <c r="L625" t="n">
        <v>0</v>
      </c>
      <c r="M625" t="n">
        <v>0</v>
      </c>
      <c r="N625" t="n">
        <v>0</v>
      </c>
      <c r="O625" t="n">
        <v>5</v>
      </c>
      <c r="P625" t="n">
        <v>0</v>
      </c>
      <c r="Q625" t="n">
        <v>6</v>
      </c>
      <c r="R625" s="2" t="inlineStr">
        <is>
          <t>Gammelgransskål
Garnlav
Granticka
Knottrig blåslav
Rödbrun blekspik
Vedticka</t>
        </is>
      </c>
      <c r="S625">
        <f>HYPERLINK("https://klasma.github.io/Logging_2326/artfynd/A 16508-2021 artfynd.xlsx", "A 16508-2021")</f>
        <v/>
      </c>
      <c r="T625">
        <f>HYPERLINK("https://klasma.github.io/Logging_2326/kartor/A 16508-2021 karta.png", "A 16508-2021")</f>
        <v/>
      </c>
      <c r="V625">
        <f>HYPERLINK("https://klasma.github.io/Logging_2326/klagomål/A 16508-2021 FSC-klagomål.docx", "A 16508-2021")</f>
        <v/>
      </c>
      <c r="W625">
        <f>HYPERLINK("https://klasma.github.io/Logging_2326/klagomålsmail/A 16508-2021 FSC-klagomål mail.docx", "A 16508-2021")</f>
        <v/>
      </c>
      <c r="X625">
        <f>HYPERLINK("https://klasma.github.io/Logging_2326/tillsyn/A 16508-2021 tillsynsbegäran.docx", "A 16508-2021")</f>
        <v/>
      </c>
      <c r="Y625">
        <f>HYPERLINK("https://klasma.github.io/Logging_2326/tillsynsmail/A 16508-2021 tillsynsbegäran mail.docx", "A 16508-2021")</f>
        <v/>
      </c>
    </row>
    <row r="626" ht="15" customHeight="1">
      <c r="A626" t="inlineStr">
        <is>
          <t>A 49769-2024</t>
        </is>
      </c>
      <c r="B626" s="1" t="n">
        <v>45597.34450231482</v>
      </c>
      <c r="C626" s="1" t="n">
        <v>46045</v>
      </c>
      <c r="D626" t="inlineStr">
        <is>
          <t>JÄMTLANDS LÄN</t>
        </is>
      </c>
      <c r="E626" t="inlineStr">
        <is>
          <t>STRÖMSUND</t>
        </is>
      </c>
      <c r="F626" t="inlineStr">
        <is>
          <t>SCA</t>
        </is>
      </c>
      <c r="G626" t="n">
        <v>9.300000000000001</v>
      </c>
      <c r="H626" t="n">
        <v>0</v>
      </c>
      <c r="I626" t="n">
        <v>2</v>
      </c>
      <c r="J626" t="n">
        <v>4</v>
      </c>
      <c r="K626" t="n">
        <v>0</v>
      </c>
      <c r="L626" t="n">
        <v>0</v>
      </c>
      <c r="M626" t="n">
        <v>0</v>
      </c>
      <c r="N626" t="n">
        <v>0</v>
      </c>
      <c r="O626" t="n">
        <v>4</v>
      </c>
      <c r="P626" t="n">
        <v>0</v>
      </c>
      <c r="Q626" t="n">
        <v>6</v>
      </c>
      <c r="R626" s="2" t="inlineStr">
        <is>
          <t>Gammelgransskål
Garnlav
Lunglav
Violettgrå tagellav
Skinnlav
Stuplav</t>
        </is>
      </c>
      <c r="S626">
        <f>HYPERLINK("https://klasma.github.io/Logging_2313/artfynd/A 49769-2024 artfynd.xlsx", "A 49769-2024")</f>
        <v/>
      </c>
      <c r="T626">
        <f>HYPERLINK("https://klasma.github.io/Logging_2313/kartor/A 49769-2024 karta.png", "A 49769-2024")</f>
        <v/>
      </c>
      <c r="V626">
        <f>HYPERLINK("https://klasma.github.io/Logging_2313/klagomål/A 49769-2024 FSC-klagomål.docx", "A 49769-2024")</f>
        <v/>
      </c>
      <c r="W626">
        <f>HYPERLINK("https://klasma.github.io/Logging_2313/klagomålsmail/A 49769-2024 FSC-klagomål mail.docx", "A 49769-2024")</f>
        <v/>
      </c>
      <c r="X626">
        <f>HYPERLINK("https://klasma.github.io/Logging_2313/tillsyn/A 49769-2024 tillsynsbegäran.docx", "A 49769-2024")</f>
        <v/>
      </c>
      <c r="Y626">
        <f>HYPERLINK("https://klasma.github.io/Logging_2313/tillsynsmail/A 49769-2024 tillsynsbegäran mail.docx", "A 49769-2024")</f>
        <v/>
      </c>
    </row>
    <row r="627" ht="15" customHeight="1">
      <c r="A627" t="inlineStr">
        <is>
          <t>A 42385-2023</t>
        </is>
      </c>
      <c r="B627" s="1" t="n">
        <v>45180</v>
      </c>
      <c r="C627" s="1" t="n">
        <v>46045</v>
      </c>
      <c r="D627" t="inlineStr">
        <is>
          <t>JÄMTLANDS LÄN</t>
        </is>
      </c>
      <c r="E627" t="inlineStr">
        <is>
          <t>KROKOM</t>
        </is>
      </c>
      <c r="F627" t="inlineStr">
        <is>
          <t>Övriga Aktiebolag</t>
        </is>
      </c>
      <c r="G627" t="n">
        <v>7.7</v>
      </c>
      <c r="H627" t="n">
        <v>1</v>
      </c>
      <c r="I627" t="n">
        <v>0</v>
      </c>
      <c r="J627" t="n">
        <v>4</v>
      </c>
      <c r="K627" t="n">
        <v>2</v>
      </c>
      <c r="L627" t="n">
        <v>0</v>
      </c>
      <c r="M627" t="n">
        <v>0</v>
      </c>
      <c r="N627" t="n">
        <v>0</v>
      </c>
      <c r="O627" t="n">
        <v>6</v>
      </c>
      <c r="P627" t="n">
        <v>2</v>
      </c>
      <c r="Q627" t="n">
        <v>6</v>
      </c>
      <c r="R627" s="2" t="inlineStr">
        <is>
          <t>Fjällfotad musseron
Goliatmusseron
Grantaggsvamp
Skrovlig taggsvamp
Tallriska
Tretåig hackspett</t>
        </is>
      </c>
      <c r="S627">
        <f>HYPERLINK("https://klasma.github.io/Logging_2309/artfynd/A 42385-2023 artfynd.xlsx", "A 42385-2023")</f>
        <v/>
      </c>
      <c r="T627">
        <f>HYPERLINK("https://klasma.github.io/Logging_2309/kartor/A 42385-2023 karta.png", "A 42385-2023")</f>
        <v/>
      </c>
      <c r="V627">
        <f>HYPERLINK("https://klasma.github.io/Logging_2309/klagomål/A 42385-2023 FSC-klagomål.docx", "A 42385-2023")</f>
        <v/>
      </c>
      <c r="W627">
        <f>HYPERLINK("https://klasma.github.io/Logging_2309/klagomålsmail/A 42385-2023 FSC-klagomål mail.docx", "A 42385-2023")</f>
        <v/>
      </c>
      <c r="X627">
        <f>HYPERLINK("https://klasma.github.io/Logging_2309/tillsyn/A 42385-2023 tillsynsbegäran.docx", "A 42385-2023")</f>
        <v/>
      </c>
      <c r="Y627">
        <f>HYPERLINK("https://klasma.github.io/Logging_2309/tillsynsmail/A 42385-2023 tillsynsbegäran mail.docx", "A 42385-2023")</f>
        <v/>
      </c>
      <c r="Z627">
        <f>HYPERLINK("https://klasma.github.io/Logging_2309/fåglar/A 42385-2023 prioriterade fågelarter.docx", "A 42385-2023")</f>
        <v/>
      </c>
    </row>
    <row r="628" ht="15" customHeight="1">
      <c r="A628" t="inlineStr">
        <is>
          <t>A 48779-2023</t>
        </is>
      </c>
      <c r="B628" s="1" t="n">
        <v>45208.9496875</v>
      </c>
      <c r="C628" s="1" t="n">
        <v>46045</v>
      </c>
      <c r="D628" t="inlineStr">
        <is>
          <t>JÄMTLANDS LÄN</t>
        </is>
      </c>
      <c r="E628" t="inlineStr">
        <is>
          <t>BRÄCKE</t>
        </is>
      </c>
      <c r="F628" t="inlineStr">
        <is>
          <t>Naturvårdsverket</t>
        </is>
      </c>
      <c r="G628" t="n">
        <v>5.4</v>
      </c>
      <c r="H628" t="n">
        <v>1</v>
      </c>
      <c r="I628" t="n">
        <v>0</v>
      </c>
      <c r="J628" t="n">
        <v>5</v>
      </c>
      <c r="K628" t="n">
        <v>1</v>
      </c>
      <c r="L628" t="n">
        <v>0</v>
      </c>
      <c r="M628" t="n">
        <v>0</v>
      </c>
      <c r="N628" t="n">
        <v>0</v>
      </c>
      <c r="O628" t="n">
        <v>6</v>
      </c>
      <c r="P628" t="n">
        <v>1</v>
      </c>
      <c r="Q628" t="n">
        <v>6</v>
      </c>
      <c r="R628" s="2" t="inlineStr">
        <is>
          <t>Knärot
Blå taggsvamp
Grantaggsvamp
Orange taggsvamp
Stjärntagging
Svart taggsvamp</t>
        </is>
      </c>
      <c r="S628">
        <f>HYPERLINK("https://klasma.github.io/Logging_2305/artfynd/A 48779-2023 artfynd.xlsx", "A 48779-2023")</f>
        <v/>
      </c>
      <c r="T628">
        <f>HYPERLINK("https://klasma.github.io/Logging_2305/kartor/A 48779-2023 karta.png", "A 48779-2023")</f>
        <v/>
      </c>
      <c r="U628">
        <f>HYPERLINK("https://klasma.github.io/Logging_2305/knärot/A 48779-2023 karta knärot.png", "A 48779-2023")</f>
        <v/>
      </c>
      <c r="V628">
        <f>HYPERLINK("https://klasma.github.io/Logging_2305/klagomål/A 48779-2023 FSC-klagomål.docx", "A 48779-2023")</f>
        <v/>
      </c>
      <c r="W628">
        <f>HYPERLINK("https://klasma.github.io/Logging_2305/klagomålsmail/A 48779-2023 FSC-klagomål mail.docx", "A 48779-2023")</f>
        <v/>
      </c>
      <c r="X628">
        <f>HYPERLINK("https://klasma.github.io/Logging_2305/tillsyn/A 48779-2023 tillsynsbegäran.docx", "A 48779-2023")</f>
        <v/>
      </c>
      <c r="Y628">
        <f>HYPERLINK("https://klasma.github.io/Logging_2305/tillsynsmail/A 48779-2023 tillsynsbegäran mail.docx", "A 48779-2023")</f>
        <v/>
      </c>
    </row>
    <row r="629" ht="15" customHeight="1">
      <c r="A629" t="inlineStr">
        <is>
          <t>A 43190-2022</t>
        </is>
      </c>
      <c r="B629" s="1" t="n">
        <v>44834</v>
      </c>
      <c r="C629" s="1" t="n">
        <v>46045</v>
      </c>
      <c r="D629" t="inlineStr">
        <is>
          <t>JÄMTLANDS LÄN</t>
        </is>
      </c>
      <c r="E629" t="inlineStr">
        <is>
          <t>KROKOM</t>
        </is>
      </c>
      <c r="G629" t="n">
        <v>6.8</v>
      </c>
      <c r="H629" t="n">
        <v>2</v>
      </c>
      <c r="I629" t="n">
        <v>2</v>
      </c>
      <c r="J629" t="n">
        <v>3</v>
      </c>
      <c r="K629" t="n">
        <v>1</v>
      </c>
      <c r="L629" t="n">
        <v>0</v>
      </c>
      <c r="M629" t="n">
        <v>0</v>
      </c>
      <c r="N629" t="n">
        <v>0</v>
      </c>
      <c r="O629" t="n">
        <v>4</v>
      </c>
      <c r="P629" t="n">
        <v>1</v>
      </c>
      <c r="Q629" t="n">
        <v>6</v>
      </c>
      <c r="R629" s="2" t="inlineStr">
        <is>
          <t>Knärot
Lunglav
Talltita
Ullticka
Bårdlav
Skinnlav</t>
        </is>
      </c>
      <c r="S629">
        <f>HYPERLINK("https://klasma.github.io/Logging_2309/artfynd/A 43190-2022 artfynd.xlsx", "A 43190-2022")</f>
        <v/>
      </c>
      <c r="T629">
        <f>HYPERLINK("https://klasma.github.io/Logging_2309/kartor/A 43190-2022 karta.png", "A 43190-2022")</f>
        <v/>
      </c>
      <c r="U629">
        <f>HYPERLINK("https://klasma.github.io/Logging_2309/knärot/A 43190-2022 karta knärot.png", "A 43190-2022")</f>
        <v/>
      </c>
      <c r="V629">
        <f>HYPERLINK("https://klasma.github.io/Logging_2309/klagomål/A 43190-2022 FSC-klagomål.docx", "A 43190-2022")</f>
        <v/>
      </c>
      <c r="W629">
        <f>HYPERLINK("https://klasma.github.io/Logging_2309/klagomålsmail/A 43190-2022 FSC-klagomål mail.docx", "A 43190-2022")</f>
        <v/>
      </c>
      <c r="X629">
        <f>HYPERLINK("https://klasma.github.io/Logging_2309/tillsyn/A 43190-2022 tillsynsbegäran.docx", "A 43190-2022")</f>
        <v/>
      </c>
      <c r="Y629">
        <f>HYPERLINK("https://klasma.github.io/Logging_2309/tillsynsmail/A 43190-2022 tillsynsbegäran mail.docx", "A 43190-2022")</f>
        <v/>
      </c>
      <c r="Z629">
        <f>HYPERLINK("https://klasma.github.io/Logging_2309/fåglar/A 43190-2022 prioriterade fågelarter.docx", "A 43190-2022")</f>
        <v/>
      </c>
    </row>
    <row r="630" ht="15" customHeight="1">
      <c r="A630" t="inlineStr">
        <is>
          <t>A 3995-2025</t>
        </is>
      </c>
      <c r="B630" s="1" t="n">
        <v>45684</v>
      </c>
      <c r="C630" s="1" t="n">
        <v>46045</v>
      </c>
      <c r="D630" t="inlineStr">
        <is>
          <t>JÄMTLANDS LÄN</t>
        </is>
      </c>
      <c r="E630" t="inlineStr">
        <is>
          <t>ÖSTERSUND</t>
        </is>
      </c>
      <c r="G630" t="n">
        <v>6.5</v>
      </c>
      <c r="H630" t="n">
        <v>1</v>
      </c>
      <c r="I630" t="n">
        <v>0</v>
      </c>
      <c r="J630" t="n">
        <v>5</v>
      </c>
      <c r="K630" t="n">
        <v>1</v>
      </c>
      <c r="L630" t="n">
        <v>0</v>
      </c>
      <c r="M630" t="n">
        <v>0</v>
      </c>
      <c r="N630" t="n">
        <v>0</v>
      </c>
      <c r="O630" t="n">
        <v>6</v>
      </c>
      <c r="P630" t="n">
        <v>1</v>
      </c>
      <c r="Q630" t="n">
        <v>6</v>
      </c>
      <c r="R630" s="2" t="inlineStr">
        <is>
          <t>Rynkskinn
Gränsticka
Rosenticka
Tretåig hackspett
Ullticka
Vedtrappmossa</t>
        </is>
      </c>
      <c r="S630">
        <f>HYPERLINK("https://klasma.github.io/Logging_2380/artfynd/A 3995-2025 artfynd.xlsx", "A 3995-2025")</f>
        <v/>
      </c>
      <c r="T630">
        <f>HYPERLINK("https://klasma.github.io/Logging_2380/kartor/A 3995-2025 karta.png", "A 3995-2025")</f>
        <v/>
      </c>
      <c r="V630">
        <f>HYPERLINK("https://klasma.github.io/Logging_2380/klagomål/A 3995-2025 FSC-klagomål.docx", "A 3995-2025")</f>
        <v/>
      </c>
      <c r="W630">
        <f>HYPERLINK("https://klasma.github.io/Logging_2380/klagomålsmail/A 3995-2025 FSC-klagomål mail.docx", "A 3995-2025")</f>
        <v/>
      </c>
      <c r="X630">
        <f>HYPERLINK("https://klasma.github.io/Logging_2380/tillsyn/A 3995-2025 tillsynsbegäran.docx", "A 3995-2025")</f>
        <v/>
      </c>
      <c r="Y630">
        <f>HYPERLINK("https://klasma.github.io/Logging_2380/tillsynsmail/A 3995-2025 tillsynsbegäran mail.docx", "A 3995-2025")</f>
        <v/>
      </c>
      <c r="Z630">
        <f>HYPERLINK("https://klasma.github.io/Logging_2380/fåglar/A 3995-2025 prioriterade fågelarter.docx", "A 3995-2025")</f>
        <v/>
      </c>
    </row>
    <row r="631" ht="15" customHeight="1">
      <c r="A631" t="inlineStr">
        <is>
          <t>A 12712-2021</t>
        </is>
      </c>
      <c r="B631" s="1" t="n">
        <v>44270.58950231481</v>
      </c>
      <c r="C631" s="1" t="n">
        <v>46045</v>
      </c>
      <c r="D631" t="inlineStr">
        <is>
          <t>JÄMTLANDS LÄN</t>
        </is>
      </c>
      <c r="E631" t="inlineStr">
        <is>
          <t>ÖSTERSUND</t>
        </is>
      </c>
      <c r="G631" t="n">
        <v>8</v>
      </c>
      <c r="H631" t="n">
        <v>2</v>
      </c>
      <c r="I631" t="n">
        <v>3</v>
      </c>
      <c r="J631" t="n">
        <v>1</v>
      </c>
      <c r="K631" t="n">
        <v>0</v>
      </c>
      <c r="L631" t="n">
        <v>1</v>
      </c>
      <c r="M631" t="n">
        <v>0</v>
      </c>
      <c r="N631" t="n">
        <v>0</v>
      </c>
      <c r="O631" t="n">
        <v>2</v>
      </c>
      <c r="P631" t="n">
        <v>1</v>
      </c>
      <c r="Q631" t="n">
        <v>6</v>
      </c>
      <c r="R631" s="2" t="inlineStr">
        <is>
          <t>Trolldruvemätare
Talltita
Kransrams
Tibast
Underviol
Blåsippa</t>
        </is>
      </c>
      <c r="S631">
        <f>HYPERLINK("https://klasma.github.io/Logging_2380/artfynd/A 12712-2021 artfynd.xlsx", "A 12712-2021")</f>
        <v/>
      </c>
      <c r="T631">
        <f>HYPERLINK("https://klasma.github.io/Logging_2380/kartor/A 12712-2021 karta.png", "A 12712-2021")</f>
        <v/>
      </c>
      <c r="V631">
        <f>HYPERLINK("https://klasma.github.io/Logging_2380/klagomål/A 12712-2021 FSC-klagomål.docx", "A 12712-2021")</f>
        <v/>
      </c>
      <c r="W631">
        <f>HYPERLINK("https://klasma.github.io/Logging_2380/klagomålsmail/A 12712-2021 FSC-klagomål mail.docx", "A 12712-2021")</f>
        <v/>
      </c>
      <c r="X631">
        <f>HYPERLINK("https://klasma.github.io/Logging_2380/tillsyn/A 12712-2021 tillsynsbegäran.docx", "A 12712-2021")</f>
        <v/>
      </c>
      <c r="Y631">
        <f>HYPERLINK("https://klasma.github.io/Logging_2380/tillsynsmail/A 12712-2021 tillsynsbegäran mail.docx", "A 12712-2021")</f>
        <v/>
      </c>
      <c r="Z631">
        <f>HYPERLINK("https://klasma.github.io/Logging_2380/fåglar/A 12712-2021 prioriterade fågelarter.docx", "A 12712-2021")</f>
        <v/>
      </c>
    </row>
    <row r="632" ht="15" customHeight="1">
      <c r="A632" t="inlineStr">
        <is>
          <t>A 54406-2023</t>
        </is>
      </c>
      <c r="B632" s="1" t="n">
        <v>45233.38612268519</v>
      </c>
      <c r="C632" s="1" t="n">
        <v>46045</v>
      </c>
      <c r="D632" t="inlineStr">
        <is>
          <t>JÄMTLANDS LÄN</t>
        </is>
      </c>
      <c r="E632" t="inlineStr">
        <is>
          <t>BERG</t>
        </is>
      </c>
      <c r="G632" t="n">
        <v>10.2</v>
      </c>
      <c r="H632" t="n">
        <v>1</v>
      </c>
      <c r="I632" t="n">
        <v>1</v>
      </c>
      <c r="J632" t="n">
        <v>4</v>
      </c>
      <c r="K632" t="n">
        <v>0</v>
      </c>
      <c r="L632" t="n">
        <v>0</v>
      </c>
      <c r="M632" t="n">
        <v>0</v>
      </c>
      <c r="N632" t="n">
        <v>0</v>
      </c>
      <c r="O632" t="n">
        <v>4</v>
      </c>
      <c r="P632" t="n">
        <v>0</v>
      </c>
      <c r="Q632" t="n">
        <v>6</v>
      </c>
      <c r="R632" s="2" t="inlineStr">
        <is>
          <t>Gammelgransskål
Garnlav
Granticka
Knottrig blåslav
Barkkornlav
Revlummer</t>
        </is>
      </c>
      <c r="S632">
        <f>HYPERLINK("https://klasma.github.io/Logging_2326/artfynd/A 54406-2023 artfynd.xlsx", "A 54406-2023")</f>
        <v/>
      </c>
      <c r="T632">
        <f>HYPERLINK("https://klasma.github.io/Logging_2326/kartor/A 54406-2023 karta.png", "A 54406-2023")</f>
        <v/>
      </c>
      <c r="V632">
        <f>HYPERLINK("https://klasma.github.io/Logging_2326/klagomål/A 54406-2023 FSC-klagomål.docx", "A 54406-2023")</f>
        <v/>
      </c>
      <c r="W632">
        <f>HYPERLINK("https://klasma.github.io/Logging_2326/klagomålsmail/A 54406-2023 FSC-klagomål mail.docx", "A 54406-2023")</f>
        <v/>
      </c>
      <c r="X632">
        <f>HYPERLINK("https://klasma.github.io/Logging_2326/tillsyn/A 54406-2023 tillsynsbegäran.docx", "A 54406-2023")</f>
        <v/>
      </c>
      <c r="Y632">
        <f>HYPERLINK("https://klasma.github.io/Logging_2326/tillsynsmail/A 54406-2023 tillsynsbegäran mail.docx", "A 54406-2023")</f>
        <v/>
      </c>
    </row>
    <row r="633" ht="15" customHeight="1">
      <c r="A633" t="inlineStr">
        <is>
          <t>A 58951-2023</t>
        </is>
      </c>
      <c r="B633" s="1" t="n">
        <v>45252</v>
      </c>
      <c r="C633" s="1" t="n">
        <v>46045</v>
      </c>
      <c r="D633" t="inlineStr">
        <is>
          <t>JÄMTLANDS LÄN</t>
        </is>
      </c>
      <c r="E633" t="inlineStr">
        <is>
          <t>KROKOM</t>
        </is>
      </c>
      <c r="F633" t="inlineStr">
        <is>
          <t>Övriga Aktiebolag</t>
        </is>
      </c>
      <c r="G633" t="n">
        <v>4.4</v>
      </c>
      <c r="H633" t="n">
        <v>0</v>
      </c>
      <c r="I633" t="n">
        <v>2</v>
      </c>
      <c r="J633" t="n">
        <v>4</v>
      </c>
      <c r="K633" t="n">
        <v>0</v>
      </c>
      <c r="L633" t="n">
        <v>0</v>
      </c>
      <c r="M633" t="n">
        <v>0</v>
      </c>
      <c r="N633" t="n">
        <v>0</v>
      </c>
      <c r="O633" t="n">
        <v>4</v>
      </c>
      <c r="P633" t="n">
        <v>0</v>
      </c>
      <c r="Q633" t="n">
        <v>6</v>
      </c>
      <c r="R633" s="2" t="inlineStr">
        <is>
          <t>Garnlav
Lunglav
Rödbrun blekspik
Skrovellav
Bårdlav
Gulnål</t>
        </is>
      </c>
      <c r="S633">
        <f>HYPERLINK("https://klasma.github.io/Logging_2309/artfynd/A 58951-2023 artfynd.xlsx", "A 58951-2023")</f>
        <v/>
      </c>
      <c r="T633">
        <f>HYPERLINK("https://klasma.github.io/Logging_2309/kartor/A 58951-2023 karta.png", "A 58951-2023")</f>
        <v/>
      </c>
      <c r="V633">
        <f>HYPERLINK("https://klasma.github.io/Logging_2309/klagomål/A 58951-2023 FSC-klagomål.docx", "A 58951-2023")</f>
        <v/>
      </c>
      <c r="W633">
        <f>HYPERLINK("https://klasma.github.io/Logging_2309/klagomålsmail/A 58951-2023 FSC-klagomål mail.docx", "A 58951-2023")</f>
        <v/>
      </c>
      <c r="X633">
        <f>HYPERLINK("https://klasma.github.io/Logging_2309/tillsyn/A 58951-2023 tillsynsbegäran.docx", "A 58951-2023")</f>
        <v/>
      </c>
      <c r="Y633">
        <f>HYPERLINK("https://klasma.github.io/Logging_2309/tillsynsmail/A 58951-2023 tillsynsbegäran mail.docx", "A 58951-2023")</f>
        <v/>
      </c>
    </row>
    <row r="634" ht="15" customHeight="1">
      <c r="A634" t="inlineStr">
        <is>
          <t>A 41185-2024</t>
        </is>
      </c>
      <c r="B634" s="1" t="n">
        <v>45559</v>
      </c>
      <c r="C634" s="1" t="n">
        <v>46045</v>
      </c>
      <c r="D634" t="inlineStr">
        <is>
          <t>JÄMTLANDS LÄN</t>
        </is>
      </c>
      <c r="E634" t="inlineStr">
        <is>
          <t>HÄRJEDALEN</t>
        </is>
      </c>
      <c r="F634" t="inlineStr">
        <is>
          <t>Bergvik skog väst AB</t>
        </is>
      </c>
      <c r="G634" t="n">
        <v>11.1</v>
      </c>
      <c r="H634" t="n">
        <v>1</v>
      </c>
      <c r="I634" t="n">
        <v>1</v>
      </c>
      <c r="J634" t="n">
        <v>4</v>
      </c>
      <c r="K634" t="n">
        <v>1</v>
      </c>
      <c r="L634" t="n">
        <v>0</v>
      </c>
      <c r="M634" t="n">
        <v>0</v>
      </c>
      <c r="N634" t="n">
        <v>0</v>
      </c>
      <c r="O634" t="n">
        <v>5</v>
      </c>
      <c r="P634" t="n">
        <v>1</v>
      </c>
      <c r="Q634" t="n">
        <v>6</v>
      </c>
      <c r="R634" s="2" t="inlineStr">
        <is>
          <t>Knärot
Garnlav
Kolflarnlav
Lunglav
Skrovellav
Stuplav</t>
        </is>
      </c>
      <c r="S634">
        <f>HYPERLINK("https://klasma.github.io/Logging_2361/artfynd/A 41185-2024 artfynd.xlsx", "A 41185-2024")</f>
        <v/>
      </c>
      <c r="T634">
        <f>HYPERLINK("https://klasma.github.io/Logging_2361/kartor/A 41185-2024 karta.png", "A 41185-2024")</f>
        <v/>
      </c>
      <c r="U634">
        <f>HYPERLINK("https://klasma.github.io/Logging_2361/knärot/A 41185-2024 karta knärot.png", "A 41185-2024")</f>
        <v/>
      </c>
      <c r="V634">
        <f>HYPERLINK("https://klasma.github.io/Logging_2361/klagomål/A 41185-2024 FSC-klagomål.docx", "A 41185-2024")</f>
        <v/>
      </c>
      <c r="W634">
        <f>HYPERLINK("https://klasma.github.io/Logging_2361/klagomålsmail/A 41185-2024 FSC-klagomål mail.docx", "A 41185-2024")</f>
        <v/>
      </c>
      <c r="X634">
        <f>HYPERLINK("https://klasma.github.io/Logging_2361/tillsyn/A 41185-2024 tillsynsbegäran.docx", "A 41185-2024")</f>
        <v/>
      </c>
      <c r="Y634">
        <f>HYPERLINK("https://klasma.github.io/Logging_2361/tillsynsmail/A 41185-2024 tillsynsbegäran mail.docx", "A 41185-2024")</f>
        <v/>
      </c>
    </row>
    <row r="635" ht="15" customHeight="1">
      <c r="A635" t="inlineStr">
        <is>
          <t>A 44450-2024</t>
        </is>
      </c>
      <c r="B635" s="1" t="n">
        <v>45574</v>
      </c>
      <c r="C635" s="1" t="n">
        <v>46045</v>
      </c>
      <c r="D635" t="inlineStr">
        <is>
          <t>JÄMTLANDS LÄN</t>
        </is>
      </c>
      <c r="E635" t="inlineStr">
        <is>
          <t>HÄRJEDALEN</t>
        </is>
      </c>
      <c r="G635" t="n">
        <v>14.2</v>
      </c>
      <c r="H635" t="n">
        <v>2</v>
      </c>
      <c r="I635" t="n">
        <v>0</v>
      </c>
      <c r="J635" t="n">
        <v>4</v>
      </c>
      <c r="K635" t="n">
        <v>1</v>
      </c>
      <c r="L635" t="n">
        <v>0</v>
      </c>
      <c r="M635" t="n">
        <v>0</v>
      </c>
      <c r="N635" t="n">
        <v>0</v>
      </c>
      <c r="O635" t="n">
        <v>5</v>
      </c>
      <c r="P635" t="n">
        <v>1</v>
      </c>
      <c r="Q635" t="n">
        <v>6</v>
      </c>
      <c r="R635" s="2" t="inlineStr">
        <is>
          <t>Rynkskinn
Garnlav
Rosenticka
Tretåig hackspett
Ullticka
Lavskrika</t>
        </is>
      </c>
      <c r="S635">
        <f>HYPERLINK("https://klasma.github.io/Logging_2361/artfynd/A 44450-2024 artfynd.xlsx", "A 44450-2024")</f>
        <v/>
      </c>
      <c r="T635">
        <f>HYPERLINK("https://klasma.github.io/Logging_2361/kartor/A 44450-2024 karta.png", "A 44450-2024")</f>
        <v/>
      </c>
      <c r="V635">
        <f>HYPERLINK("https://klasma.github.io/Logging_2361/klagomål/A 44450-2024 FSC-klagomål.docx", "A 44450-2024")</f>
        <v/>
      </c>
      <c r="W635">
        <f>HYPERLINK("https://klasma.github.io/Logging_2361/klagomålsmail/A 44450-2024 FSC-klagomål mail.docx", "A 44450-2024")</f>
        <v/>
      </c>
      <c r="X635">
        <f>HYPERLINK("https://klasma.github.io/Logging_2361/tillsyn/A 44450-2024 tillsynsbegäran.docx", "A 44450-2024")</f>
        <v/>
      </c>
      <c r="Y635">
        <f>HYPERLINK("https://klasma.github.io/Logging_2361/tillsynsmail/A 44450-2024 tillsynsbegäran mail.docx", "A 44450-2024")</f>
        <v/>
      </c>
      <c r="Z635">
        <f>HYPERLINK("https://klasma.github.io/Logging_2361/fåglar/A 44450-2024 prioriterade fågelarter.docx", "A 44450-2024")</f>
        <v/>
      </c>
    </row>
    <row r="636" ht="15" customHeight="1">
      <c r="A636" t="inlineStr">
        <is>
          <t>A 933-2023</t>
        </is>
      </c>
      <c r="B636" s="1" t="n">
        <v>44932</v>
      </c>
      <c r="C636" s="1" t="n">
        <v>46045</v>
      </c>
      <c r="D636" t="inlineStr">
        <is>
          <t>JÄMTLANDS LÄN</t>
        </is>
      </c>
      <c r="E636" t="inlineStr">
        <is>
          <t>RAGUNDA</t>
        </is>
      </c>
      <c r="F636" t="inlineStr">
        <is>
          <t>SCA</t>
        </is>
      </c>
      <c r="G636" t="n">
        <v>2</v>
      </c>
      <c r="H636" t="n">
        <v>3</v>
      </c>
      <c r="I636" t="n">
        <v>3</v>
      </c>
      <c r="J636" t="n">
        <v>0</v>
      </c>
      <c r="K636" t="n">
        <v>0</v>
      </c>
      <c r="L636" t="n">
        <v>1</v>
      </c>
      <c r="M636" t="n">
        <v>0</v>
      </c>
      <c r="N636" t="n">
        <v>0</v>
      </c>
      <c r="O636" t="n">
        <v>1</v>
      </c>
      <c r="P636" t="n">
        <v>1</v>
      </c>
      <c r="Q636" t="n">
        <v>6</v>
      </c>
      <c r="R636" s="2" t="inlineStr">
        <is>
          <t>Trolldruvemätare
Stor aspticka
Svart trolldruva
Tvåblad
Nattviol
Gullviva</t>
        </is>
      </c>
      <c r="S636">
        <f>HYPERLINK("https://klasma.github.io/Logging_2303/artfynd/A 933-2023 artfynd.xlsx", "A 933-2023")</f>
        <v/>
      </c>
      <c r="T636">
        <f>HYPERLINK("https://klasma.github.io/Logging_2303/kartor/A 933-2023 karta.png", "A 933-2023")</f>
        <v/>
      </c>
      <c r="V636">
        <f>HYPERLINK("https://klasma.github.io/Logging_2303/klagomål/A 933-2023 FSC-klagomål.docx", "A 933-2023")</f>
        <v/>
      </c>
      <c r="W636">
        <f>HYPERLINK("https://klasma.github.io/Logging_2303/klagomålsmail/A 933-2023 FSC-klagomål mail.docx", "A 933-2023")</f>
        <v/>
      </c>
      <c r="X636">
        <f>HYPERLINK("https://klasma.github.io/Logging_2303/tillsyn/A 933-2023 tillsynsbegäran.docx", "A 933-2023")</f>
        <v/>
      </c>
      <c r="Y636">
        <f>HYPERLINK("https://klasma.github.io/Logging_2303/tillsynsmail/A 933-2023 tillsynsbegäran mail.docx", "A 933-2023")</f>
        <v/>
      </c>
    </row>
    <row r="637" ht="15" customHeight="1">
      <c r="A637" t="inlineStr">
        <is>
          <t>A 14205-2021</t>
        </is>
      </c>
      <c r="B637" s="1" t="n">
        <v>44278</v>
      </c>
      <c r="C637" s="1" t="n">
        <v>46045</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14205-2021 artfynd.xlsx", "A 14205-2021")</f>
        <v/>
      </c>
      <c r="T637">
        <f>HYPERLINK("https://klasma.github.io/Logging_2321/kartor/A 14205-2021 karta.png", "A 14205-2021")</f>
        <v/>
      </c>
      <c r="V637">
        <f>HYPERLINK("https://klasma.github.io/Logging_2321/klagomål/A 14205-2021 FSC-klagomål.docx", "A 14205-2021")</f>
        <v/>
      </c>
      <c r="W637">
        <f>HYPERLINK("https://klasma.github.io/Logging_2321/klagomålsmail/A 14205-2021 FSC-klagomål mail.docx", "A 14205-2021")</f>
        <v/>
      </c>
      <c r="X637">
        <f>HYPERLINK("https://klasma.github.io/Logging_2321/tillsyn/A 14205-2021 tillsynsbegäran.docx", "A 14205-2021")</f>
        <v/>
      </c>
      <c r="Y637">
        <f>HYPERLINK("https://klasma.github.io/Logging_2321/tillsynsmail/A 14205-2021 tillsynsbegäran mail.docx", "A 14205-2021")</f>
        <v/>
      </c>
      <c r="Z637">
        <f>HYPERLINK("https://klasma.github.io/Logging_2321/fåglar/A 14205-2021 prioriterade fågelarter.docx", "A 14205-2021")</f>
        <v/>
      </c>
    </row>
    <row r="638" ht="15" customHeight="1">
      <c r="A638" t="inlineStr">
        <is>
          <t>A 22773-2021</t>
        </is>
      </c>
      <c r="B638" s="1" t="n">
        <v>44327</v>
      </c>
      <c r="C638" s="1" t="n">
        <v>46045</v>
      </c>
      <c r="D638" t="inlineStr">
        <is>
          <t>JÄMTLANDS LÄN</t>
        </is>
      </c>
      <c r="E638" t="inlineStr">
        <is>
          <t>STRÖMSUND</t>
        </is>
      </c>
      <c r="G638" t="n">
        <v>1.8</v>
      </c>
      <c r="H638" t="n">
        <v>1</v>
      </c>
      <c r="I638" t="n">
        <v>2</v>
      </c>
      <c r="J638" t="n">
        <v>1</v>
      </c>
      <c r="K638" t="n">
        <v>0</v>
      </c>
      <c r="L638" t="n">
        <v>1</v>
      </c>
      <c r="M638" t="n">
        <v>0</v>
      </c>
      <c r="N638" t="n">
        <v>0</v>
      </c>
      <c r="O638" t="n">
        <v>2</v>
      </c>
      <c r="P638" t="n">
        <v>1</v>
      </c>
      <c r="Q638" t="n">
        <v>5</v>
      </c>
      <c r="R638" s="2" t="inlineStr">
        <is>
          <t>Trolldruvemätare
Lunglav
Svart trolldruva
Ögonpyrola
Blåsippa</t>
        </is>
      </c>
      <c r="S638">
        <f>HYPERLINK("https://klasma.github.io/Logging_2313/artfynd/A 22773-2021 artfynd.xlsx", "A 22773-2021")</f>
        <v/>
      </c>
      <c r="T638">
        <f>HYPERLINK("https://klasma.github.io/Logging_2313/kartor/A 22773-2021 karta.png", "A 22773-2021")</f>
        <v/>
      </c>
      <c r="V638">
        <f>HYPERLINK("https://klasma.github.io/Logging_2313/klagomål/A 22773-2021 FSC-klagomål.docx", "A 22773-2021")</f>
        <v/>
      </c>
      <c r="W638">
        <f>HYPERLINK("https://klasma.github.io/Logging_2313/klagomålsmail/A 22773-2021 FSC-klagomål mail.docx", "A 22773-2021")</f>
        <v/>
      </c>
      <c r="X638">
        <f>HYPERLINK("https://klasma.github.io/Logging_2313/tillsyn/A 22773-2021 tillsynsbegäran.docx", "A 22773-2021")</f>
        <v/>
      </c>
      <c r="Y638">
        <f>HYPERLINK("https://klasma.github.io/Logging_2313/tillsynsmail/A 22773-2021 tillsynsbegäran mail.docx", "A 22773-2021")</f>
        <v/>
      </c>
    </row>
    <row r="639" ht="15" customHeight="1">
      <c r="A639" t="inlineStr">
        <is>
          <t>A 65187-2021</t>
        </is>
      </c>
      <c r="B639" s="1" t="n">
        <v>44515</v>
      </c>
      <c r="C639" s="1" t="n">
        <v>46045</v>
      </c>
      <c r="D639" t="inlineStr">
        <is>
          <t>JÄMTLANDS LÄN</t>
        </is>
      </c>
      <c r="E639" t="inlineStr">
        <is>
          <t>KROKOM</t>
        </is>
      </c>
      <c r="F639" t="inlineStr">
        <is>
          <t>Kyrkan</t>
        </is>
      </c>
      <c r="G639" t="n">
        <v>27.3</v>
      </c>
      <c r="H639" t="n">
        <v>1</v>
      </c>
      <c r="I639" t="n">
        <v>2</v>
      </c>
      <c r="J639" t="n">
        <v>2</v>
      </c>
      <c r="K639" t="n">
        <v>0</v>
      </c>
      <c r="L639" t="n">
        <v>0</v>
      </c>
      <c r="M639" t="n">
        <v>0</v>
      </c>
      <c r="N639" t="n">
        <v>0</v>
      </c>
      <c r="O639" t="n">
        <v>2</v>
      </c>
      <c r="P639" t="n">
        <v>0</v>
      </c>
      <c r="Q639" t="n">
        <v>5</v>
      </c>
      <c r="R639" s="2" t="inlineStr">
        <is>
          <t>Flattoppad klubbsvamp
Skrovellav
Kransrams
Svart trolldruva
Blåsippa</t>
        </is>
      </c>
      <c r="S639">
        <f>HYPERLINK("https://klasma.github.io/Logging_2309/artfynd/A 65187-2021 artfynd.xlsx", "A 65187-2021")</f>
        <v/>
      </c>
      <c r="T639">
        <f>HYPERLINK("https://klasma.github.io/Logging_2309/kartor/A 65187-2021 karta.png", "A 65187-2021")</f>
        <v/>
      </c>
      <c r="V639">
        <f>HYPERLINK("https://klasma.github.io/Logging_2309/klagomål/A 65187-2021 FSC-klagomål.docx", "A 65187-2021")</f>
        <v/>
      </c>
      <c r="W639">
        <f>HYPERLINK("https://klasma.github.io/Logging_2309/klagomålsmail/A 65187-2021 FSC-klagomål mail.docx", "A 65187-2021")</f>
        <v/>
      </c>
      <c r="X639">
        <f>HYPERLINK("https://klasma.github.io/Logging_2309/tillsyn/A 65187-2021 tillsynsbegäran.docx", "A 65187-2021")</f>
        <v/>
      </c>
      <c r="Y639">
        <f>HYPERLINK("https://klasma.github.io/Logging_2309/tillsynsmail/A 65187-2021 tillsynsbegäran mail.docx", "A 65187-2021")</f>
        <v/>
      </c>
    </row>
    <row r="640" ht="15" customHeight="1">
      <c r="A640" t="inlineStr">
        <is>
          <t>A 58238-2021</t>
        </is>
      </c>
      <c r="B640" s="1" t="n">
        <v>44487</v>
      </c>
      <c r="C640" s="1" t="n">
        <v>46045</v>
      </c>
      <c r="D640" t="inlineStr">
        <is>
          <t>JÄMTLANDS LÄN</t>
        </is>
      </c>
      <c r="E640" t="inlineStr">
        <is>
          <t>ÅRE</t>
        </is>
      </c>
      <c r="G640" t="n">
        <v>42.2</v>
      </c>
      <c r="H640" t="n">
        <v>0</v>
      </c>
      <c r="I640" t="n">
        <v>0</v>
      </c>
      <c r="J640" t="n">
        <v>3</v>
      </c>
      <c r="K640" t="n">
        <v>2</v>
      </c>
      <c r="L640" t="n">
        <v>0</v>
      </c>
      <c r="M640" t="n">
        <v>0</v>
      </c>
      <c r="N640" t="n">
        <v>0</v>
      </c>
      <c r="O640" t="n">
        <v>5</v>
      </c>
      <c r="P640" t="n">
        <v>2</v>
      </c>
      <c r="Q640" t="n">
        <v>5</v>
      </c>
      <c r="R640" s="2" t="inlineStr">
        <is>
          <t>Lappticka
Norsk näverlav
Gammelgransskål
Gränsticka
Rödbrun blekspik</t>
        </is>
      </c>
      <c r="S640">
        <f>HYPERLINK("https://klasma.github.io/Logging_2321/artfynd/A 58238-2021 artfynd.xlsx", "A 58238-2021")</f>
        <v/>
      </c>
      <c r="T640">
        <f>HYPERLINK("https://klasma.github.io/Logging_2321/kartor/A 58238-2021 karta.png", "A 58238-2021")</f>
        <v/>
      </c>
      <c r="V640">
        <f>HYPERLINK("https://klasma.github.io/Logging_2321/klagomål/A 58238-2021 FSC-klagomål.docx", "A 58238-2021")</f>
        <v/>
      </c>
      <c r="W640">
        <f>HYPERLINK("https://klasma.github.io/Logging_2321/klagomålsmail/A 58238-2021 FSC-klagomål mail.docx", "A 58238-2021")</f>
        <v/>
      </c>
      <c r="X640">
        <f>HYPERLINK("https://klasma.github.io/Logging_2321/tillsyn/A 58238-2021 tillsynsbegäran.docx", "A 58238-2021")</f>
        <v/>
      </c>
      <c r="Y640">
        <f>HYPERLINK("https://klasma.github.io/Logging_2321/tillsynsmail/A 58238-2021 tillsynsbegäran mail.docx", "A 58238-2021")</f>
        <v/>
      </c>
    </row>
    <row r="641" ht="15" customHeight="1">
      <c r="A641" t="inlineStr">
        <is>
          <t>A 21037-2021</t>
        </is>
      </c>
      <c r="B641" s="1" t="n">
        <v>44319</v>
      </c>
      <c r="C641" s="1" t="n">
        <v>46045</v>
      </c>
      <c r="D641" t="inlineStr">
        <is>
          <t>JÄMTLANDS LÄN</t>
        </is>
      </c>
      <c r="E641" t="inlineStr">
        <is>
          <t>RAGUNDA</t>
        </is>
      </c>
      <c r="F641" t="inlineStr">
        <is>
          <t>Kyrkan</t>
        </is>
      </c>
      <c r="G641" t="n">
        <v>0.8</v>
      </c>
      <c r="H641" t="n">
        <v>0</v>
      </c>
      <c r="I641" t="n">
        <v>2</v>
      </c>
      <c r="J641" t="n">
        <v>3</v>
      </c>
      <c r="K641" t="n">
        <v>0</v>
      </c>
      <c r="L641" t="n">
        <v>0</v>
      </c>
      <c r="M641" t="n">
        <v>0</v>
      </c>
      <c r="N641" t="n">
        <v>0</v>
      </c>
      <c r="O641" t="n">
        <v>3</v>
      </c>
      <c r="P641" t="n">
        <v>0</v>
      </c>
      <c r="Q641" t="n">
        <v>5</v>
      </c>
      <c r="R641" s="2" t="inlineStr">
        <is>
          <t>Olivbrun gytterlav
Persiljespindling
Stickelfrö
Grov baronmossa
Guldlockmossa</t>
        </is>
      </c>
      <c r="S641">
        <f>HYPERLINK("https://klasma.github.io/Logging_2303/artfynd/A 21037-2021 artfynd.xlsx", "A 21037-2021")</f>
        <v/>
      </c>
      <c r="T641">
        <f>HYPERLINK("https://klasma.github.io/Logging_2303/kartor/A 21037-2021 karta.png", "A 21037-2021")</f>
        <v/>
      </c>
      <c r="V641">
        <f>HYPERLINK("https://klasma.github.io/Logging_2303/klagomål/A 21037-2021 FSC-klagomål.docx", "A 21037-2021")</f>
        <v/>
      </c>
      <c r="W641">
        <f>HYPERLINK("https://klasma.github.io/Logging_2303/klagomålsmail/A 21037-2021 FSC-klagomål mail.docx", "A 21037-2021")</f>
        <v/>
      </c>
      <c r="X641">
        <f>HYPERLINK("https://klasma.github.io/Logging_2303/tillsyn/A 21037-2021 tillsynsbegäran.docx", "A 21037-2021")</f>
        <v/>
      </c>
      <c r="Y641">
        <f>HYPERLINK("https://klasma.github.io/Logging_2303/tillsynsmail/A 21037-2021 tillsynsbegäran mail.docx", "A 21037-2021")</f>
        <v/>
      </c>
    </row>
    <row r="642" ht="15" customHeight="1">
      <c r="A642" t="inlineStr">
        <is>
          <t>A 60246-2021</t>
        </is>
      </c>
      <c r="B642" s="1" t="n">
        <v>44495</v>
      </c>
      <c r="C642" s="1" t="n">
        <v>46045</v>
      </c>
      <c r="D642" t="inlineStr">
        <is>
          <t>JÄMTLANDS LÄN</t>
        </is>
      </c>
      <c r="E642" t="inlineStr">
        <is>
          <t>ÅRE</t>
        </is>
      </c>
      <c r="G642" t="n">
        <v>4.3</v>
      </c>
      <c r="H642" t="n">
        <v>1</v>
      </c>
      <c r="I642" t="n">
        <v>0</v>
      </c>
      <c r="J642" t="n">
        <v>4</v>
      </c>
      <c r="K642" t="n">
        <v>1</v>
      </c>
      <c r="L642" t="n">
        <v>0</v>
      </c>
      <c r="M642" t="n">
        <v>0</v>
      </c>
      <c r="N642" t="n">
        <v>0</v>
      </c>
      <c r="O642" t="n">
        <v>5</v>
      </c>
      <c r="P642" t="n">
        <v>1</v>
      </c>
      <c r="Q642" t="n">
        <v>5</v>
      </c>
      <c r="R642" s="2" t="inlineStr">
        <is>
          <t>Lappticka
Granticka
Tretåig hackspett
Ullticka
Vitgrynig nållav</t>
        </is>
      </c>
      <c r="S642">
        <f>HYPERLINK("https://klasma.github.io/Logging_2321/artfynd/A 60246-2021 artfynd.xlsx", "A 60246-2021")</f>
        <v/>
      </c>
      <c r="T642">
        <f>HYPERLINK("https://klasma.github.io/Logging_2321/kartor/A 60246-2021 karta.png", "A 60246-2021")</f>
        <v/>
      </c>
      <c r="V642">
        <f>HYPERLINK("https://klasma.github.io/Logging_2321/klagomål/A 60246-2021 FSC-klagomål.docx", "A 60246-2021")</f>
        <v/>
      </c>
      <c r="W642">
        <f>HYPERLINK("https://klasma.github.io/Logging_2321/klagomålsmail/A 60246-2021 FSC-klagomål mail.docx", "A 60246-2021")</f>
        <v/>
      </c>
      <c r="X642">
        <f>HYPERLINK("https://klasma.github.io/Logging_2321/tillsyn/A 60246-2021 tillsynsbegäran.docx", "A 60246-2021")</f>
        <v/>
      </c>
      <c r="Y642">
        <f>HYPERLINK("https://klasma.github.io/Logging_2321/tillsynsmail/A 60246-2021 tillsynsbegäran mail.docx", "A 60246-2021")</f>
        <v/>
      </c>
      <c r="Z642">
        <f>HYPERLINK("https://klasma.github.io/Logging_2321/fåglar/A 60246-2021 prioriterade fågelarter.docx", "A 60246-2021")</f>
        <v/>
      </c>
    </row>
    <row r="643" ht="15" customHeight="1">
      <c r="A643" t="inlineStr">
        <is>
          <t>A 47297-2022</t>
        </is>
      </c>
      <c r="B643" s="1" t="n">
        <v>44852.95255787037</v>
      </c>
      <c r="C643" s="1" t="n">
        <v>46045</v>
      </c>
      <c r="D643" t="inlineStr">
        <is>
          <t>JÄMTLANDS LÄN</t>
        </is>
      </c>
      <c r="E643" t="inlineStr">
        <is>
          <t>STRÖMSUND</t>
        </is>
      </c>
      <c r="F643" t="inlineStr">
        <is>
          <t>SCA</t>
        </is>
      </c>
      <c r="G643" t="n">
        <v>3.4</v>
      </c>
      <c r="H643" t="n">
        <v>1</v>
      </c>
      <c r="I643" t="n">
        <v>0</v>
      </c>
      <c r="J643" t="n">
        <v>4</v>
      </c>
      <c r="K643" t="n">
        <v>1</v>
      </c>
      <c r="L643" t="n">
        <v>0</v>
      </c>
      <c r="M643" t="n">
        <v>0</v>
      </c>
      <c r="N643" t="n">
        <v>0</v>
      </c>
      <c r="O643" t="n">
        <v>5</v>
      </c>
      <c r="P643" t="n">
        <v>1</v>
      </c>
      <c r="Q643" t="n">
        <v>5</v>
      </c>
      <c r="R643" s="2" t="inlineStr">
        <is>
          <t>Knärot
Gammelgransskål
Garnlav
Lunglav
Ullticka</t>
        </is>
      </c>
      <c r="S643">
        <f>HYPERLINK("https://klasma.github.io/Logging_2313/artfynd/A 47297-2022 artfynd.xlsx", "A 47297-2022")</f>
        <v/>
      </c>
      <c r="T643">
        <f>HYPERLINK("https://klasma.github.io/Logging_2313/kartor/A 47297-2022 karta.png", "A 47297-2022")</f>
        <v/>
      </c>
      <c r="U643">
        <f>HYPERLINK("https://klasma.github.io/Logging_2313/knärot/A 47297-2022 karta knärot.png", "A 47297-2022")</f>
        <v/>
      </c>
      <c r="V643">
        <f>HYPERLINK("https://klasma.github.io/Logging_2313/klagomål/A 47297-2022 FSC-klagomål.docx", "A 47297-2022")</f>
        <v/>
      </c>
      <c r="W643">
        <f>HYPERLINK("https://klasma.github.io/Logging_2313/klagomålsmail/A 47297-2022 FSC-klagomål mail.docx", "A 47297-2022")</f>
        <v/>
      </c>
      <c r="X643">
        <f>HYPERLINK("https://klasma.github.io/Logging_2313/tillsyn/A 47297-2022 tillsynsbegäran.docx", "A 47297-2022")</f>
        <v/>
      </c>
      <c r="Y643">
        <f>HYPERLINK("https://klasma.github.io/Logging_2313/tillsynsmail/A 47297-2022 tillsynsbegäran mail.docx", "A 47297-2022")</f>
        <v/>
      </c>
    </row>
    <row r="644" ht="15" customHeight="1">
      <c r="A644" t="inlineStr">
        <is>
          <t>A 45114-2022</t>
        </is>
      </c>
      <c r="B644" s="1" t="n">
        <v>44843.84256944444</v>
      </c>
      <c r="C644" s="1" t="n">
        <v>46045</v>
      </c>
      <c r="D644" t="inlineStr">
        <is>
          <t>JÄMTLANDS LÄN</t>
        </is>
      </c>
      <c r="E644" t="inlineStr">
        <is>
          <t>ÅRE</t>
        </is>
      </c>
      <c r="G644" t="n">
        <v>2.1</v>
      </c>
      <c r="H644" t="n">
        <v>1</v>
      </c>
      <c r="I644" t="n">
        <v>3</v>
      </c>
      <c r="J644" t="n">
        <v>1</v>
      </c>
      <c r="K644" t="n">
        <v>0</v>
      </c>
      <c r="L644" t="n">
        <v>0</v>
      </c>
      <c r="M644" t="n">
        <v>0</v>
      </c>
      <c r="N644" t="n">
        <v>0</v>
      </c>
      <c r="O644" t="n">
        <v>1</v>
      </c>
      <c r="P644" t="n">
        <v>0</v>
      </c>
      <c r="Q644" t="n">
        <v>5</v>
      </c>
      <c r="R644" s="2" t="inlineStr">
        <is>
          <t>Lunglav
Luddlav
Strutbräken
Stuplav
Fläcknycklar</t>
        </is>
      </c>
      <c r="S644">
        <f>HYPERLINK("https://klasma.github.io/Logging_2321/artfynd/A 45114-2022 artfynd.xlsx", "A 45114-2022")</f>
        <v/>
      </c>
      <c r="T644">
        <f>HYPERLINK("https://klasma.github.io/Logging_2321/kartor/A 45114-2022 karta.png", "A 45114-2022")</f>
        <v/>
      </c>
      <c r="V644">
        <f>HYPERLINK("https://klasma.github.io/Logging_2321/klagomål/A 45114-2022 FSC-klagomål.docx", "A 45114-2022")</f>
        <v/>
      </c>
      <c r="W644">
        <f>HYPERLINK("https://klasma.github.io/Logging_2321/klagomålsmail/A 45114-2022 FSC-klagomål mail.docx", "A 45114-2022")</f>
        <v/>
      </c>
      <c r="X644">
        <f>HYPERLINK("https://klasma.github.io/Logging_2321/tillsyn/A 45114-2022 tillsynsbegäran.docx", "A 45114-2022")</f>
        <v/>
      </c>
      <c r="Y644">
        <f>HYPERLINK("https://klasma.github.io/Logging_2321/tillsynsmail/A 45114-2022 tillsynsbegäran mail.docx", "A 45114-2022")</f>
        <v/>
      </c>
    </row>
    <row r="645" ht="15" customHeight="1">
      <c r="A645" t="inlineStr">
        <is>
          <t>A 54582-2022</t>
        </is>
      </c>
      <c r="B645" s="1" t="n">
        <v>44882</v>
      </c>
      <c r="C645" s="1" t="n">
        <v>46045</v>
      </c>
      <c r="D645" t="inlineStr">
        <is>
          <t>JÄMTLANDS LÄN</t>
        </is>
      </c>
      <c r="E645" t="inlineStr">
        <is>
          <t>STRÖMSUND</t>
        </is>
      </c>
      <c r="F645" t="inlineStr">
        <is>
          <t>SCA</t>
        </is>
      </c>
      <c r="G645" t="n">
        <v>10.1</v>
      </c>
      <c r="H645" t="n">
        <v>0</v>
      </c>
      <c r="I645" t="n">
        <v>1</v>
      </c>
      <c r="J645" t="n">
        <v>4</v>
      </c>
      <c r="K645" t="n">
        <v>0</v>
      </c>
      <c r="L645" t="n">
        <v>0</v>
      </c>
      <c r="M645" t="n">
        <v>0</v>
      </c>
      <c r="N645" t="n">
        <v>0</v>
      </c>
      <c r="O645" t="n">
        <v>4</v>
      </c>
      <c r="P645" t="n">
        <v>0</v>
      </c>
      <c r="Q645" t="n">
        <v>5</v>
      </c>
      <c r="R645" s="2" t="inlineStr">
        <is>
          <t>Granticka
Lunglav
Ullticka
Vitgrynig nållav
Dropptaggsvamp</t>
        </is>
      </c>
      <c r="S645">
        <f>HYPERLINK("https://klasma.github.io/Logging_2313/artfynd/A 54582-2022 artfynd.xlsx", "A 54582-2022")</f>
        <v/>
      </c>
      <c r="T645">
        <f>HYPERLINK("https://klasma.github.io/Logging_2313/kartor/A 54582-2022 karta.png", "A 54582-2022")</f>
        <v/>
      </c>
      <c r="V645">
        <f>HYPERLINK("https://klasma.github.io/Logging_2313/klagomål/A 54582-2022 FSC-klagomål.docx", "A 54582-2022")</f>
        <v/>
      </c>
      <c r="W645">
        <f>HYPERLINK("https://klasma.github.io/Logging_2313/klagomålsmail/A 54582-2022 FSC-klagomål mail.docx", "A 54582-2022")</f>
        <v/>
      </c>
      <c r="X645">
        <f>HYPERLINK("https://klasma.github.io/Logging_2313/tillsyn/A 54582-2022 tillsynsbegäran.docx", "A 54582-2022")</f>
        <v/>
      </c>
      <c r="Y645">
        <f>HYPERLINK("https://klasma.github.io/Logging_2313/tillsynsmail/A 54582-2022 tillsynsbegäran mail.docx", "A 54582-2022")</f>
        <v/>
      </c>
    </row>
    <row r="646" ht="15" customHeight="1">
      <c r="A646" t="inlineStr">
        <is>
          <t>A 12196-2022</t>
        </is>
      </c>
      <c r="B646" s="1" t="n">
        <v>44636.94211805556</v>
      </c>
      <c r="C646" s="1" t="n">
        <v>46045</v>
      </c>
      <c r="D646" t="inlineStr">
        <is>
          <t>JÄMTLANDS LÄN</t>
        </is>
      </c>
      <c r="E646" t="inlineStr">
        <is>
          <t>STRÖMSUND</t>
        </is>
      </c>
      <c r="F646" t="inlineStr">
        <is>
          <t>SCA</t>
        </is>
      </c>
      <c r="G646" t="n">
        <v>6.7</v>
      </c>
      <c r="H646" t="n">
        <v>0</v>
      </c>
      <c r="I646" t="n">
        <v>1</v>
      </c>
      <c r="J646" t="n">
        <v>3</v>
      </c>
      <c r="K646" t="n">
        <v>1</v>
      </c>
      <c r="L646" t="n">
        <v>0</v>
      </c>
      <c r="M646" t="n">
        <v>0</v>
      </c>
      <c r="N646" t="n">
        <v>0</v>
      </c>
      <c r="O646" t="n">
        <v>4</v>
      </c>
      <c r="P646" t="n">
        <v>1</v>
      </c>
      <c r="Q646" t="n">
        <v>5</v>
      </c>
      <c r="R646" s="2" t="inlineStr">
        <is>
          <t>Rynkskinn
Garnlav
Rosenticka
Vitgrynig nållav
Kransrams</t>
        </is>
      </c>
      <c r="S646">
        <f>HYPERLINK("https://klasma.github.io/Logging_2313/artfynd/A 12196-2022 artfynd.xlsx", "A 12196-2022")</f>
        <v/>
      </c>
      <c r="T646">
        <f>HYPERLINK("https://klasma.github.io/Logging_2313/kartor/A 12196-2022 karta.png", "A 12196-2022")</f>
        <v/>
      </c>
      <c r="V646">
        <f>HYPERLINK("https://klasma.github.io/Logging_2313/klagomål/A 12196-2022 FSC-klagomål.docx", "A 12196-2022")</f>
        <v/>
      </c>
      <c r="W646">
        <f>HYPERLINK("https://klasma.github.io/Logging_2313/klagomålsmail/A 12196-2022 FSC-klagomål mail.docx", "A 12196-2022")</f>
        <v/>
      </c>
      <c r="X646">
        <f>HYPERLINK("https://klasma.github.io/Logging_2313/tillsyn/A 12196-2022 tillsynsbegäran.docx", "A 12196-2022")</f>
        <v/>
      </c>
      <c r="Y646">
        <f>HYPERLINK("https://klasma.github.io/Logging_2313/tillsynsmail/A 12196-2022 tillsynsbegäran mail.docx", "A 12196-2022")</f>
        <v/>
      </c>
    </row>
    <row r="647" ht="15" customHeight="1">
      <c r="A647" t="inlineStr">
        <is>
          <t>A 33546-2021</t>
        </is>
      </c>
      <c r="B647" s="1" t="n">
        <v>44377</v>
      </c>
      <c r="C647" s="1" t="n">
        <v>46045</v>
      </c>
      <c r="D647" t="inlineStr">
        <is>
          <t>JÄMTLANDS LÄN</t>
        </is>
      </c>
      <c r="E647" t="inlineStr">
        <is>
          <t>STRÖMSUND</t>
        </is>
      </c>
      <c r="G647" t="n">
        <v>1.9</v>
      </c>
      <c r="H647" t="n">
        <v>0</v>
      </c>
      <c r="I647" t="n">
        <v>2</v>
      </c>
      <c r="J647" t="n">
        <v>3</v>
      </c>
      <c r="K647" t="n">
        <v>0</v>
      </c>
      <c r="L647" t="n">
        <v>0</v>
      </c>
      <c r="M647" t="n">
        <v>0</v>
      </c>
      <c r="N647" t="n">
        <v>0</v>
      </c>
      <c r="O647" t="n">
        <v>3</v>
      </c>
      <c r="P647" t="n">
        <v>0</v>
      </c>
      <c r="Q647" t="n">
        <v>5</v>
      </c>
      <c r="R647" s="2" t="inlineStr">
        <is>
          <t>Gränsticka
Lunglav
Vitgrynig nållav
Skinnlav
Stuplav</t>
        </is>
      </c>
      <c r="S647">
        <f>HYPERLINK("https://klasma.github.io/Logging_2313/artfynd/A 33546-2021 artfynd.xlsx", "A 33546-2021")</f>
        <v/>
      </c>
      <c r="T647">
        <f>HYPERLINK("https://klasma.github.io/Logging_2313/kartor/A 33546-2021 karta.png", "A 33546-2021")</f>
        <v/>
      </c>
      <c r="V647">
        <f>HYPERLINK("https://klasma.github.io/Logging_2313/klagomål/A 33546-2021 FSC-klagomål.docx", "A 33546-2021")</f>
        <v/>
      </c>
      <c r="W647">
        <f>HYPERLINK("https://klasma.github.io/Logging_2313/klagomålsmail/A 33546-2021 FSC-klagomål mail.docx", "A 33546-2021")</f>
        <v/>
      </c>
      <c r="X647">
        <f>HYPERLINK("https://klasma.github.io/Logging_2313/tillsyn/A 33546-2021 tillsynsbegäran.docx", "A 33546-2021")</f>
        <v/>
      </c>
      <c r="Y647">
        <f>HYPERLINK("https://klasma.github.io/Logging_2313/tillsynsmail/A 33546-2021 tillsynsbegäran mail.docx", "A 33546-2021")</f>
        <v/>
      </c>
    </row>
    <row r="648" ht="15" customHeight="1">
      <c r="A648" t="inlineStr">
        <is>
          <t>A 43106-2023</t>
        </is>
      </c>
      <c r="B648" s="1" t="n">
        <v>45182</v>
      </c>
      <c r="C648" s="1" t="n">
        <v>46045</v>
      </c>
      <c r="D648" t="inlineStr">
        <is>
          <t>JÄMTLANDS LÄN</t>
        </is>
      </c>
      <c r="E648" t="inlineStr">
        <is>
          <t>RAGUNDA</t>
        </is>
      </c>
      <c r="F648" t="inlineStr">
        <is>
          <t>SCA</t>
        </is>
      </c>
      <c r="G648" t="n">
        <v>7.6</v>
      </c>
      <c r="H648" t="n">
        <v>0</v>
      </c>
      <c r="I648" t="n">
        <v>0</v>
      </c>
      <c r="J648" t="n">
        <v>5</v>
      </c>
      <c r="K648" t="n">
        <v>0</v>
      </c>
      <c r="L648" t="n">
        <v>0</v>
      </c>
      <c r="M648" t="n">
        <v>0</v>
      </c>
      <c r="N648" t="n">
        <v>0</v>
      </c>
      <c r="O648" t="n">
        <v>5</v>
      </c>
      <c r="P648" t="n">
        <v>0</v>
      </c>
      <c r="Q648" t="n">
        <v>5</v>
      </c>
      <c r="R648" s="2" t="inlineStr">
        <is>
          <t>Blanksvart spiklav
Blågrå svartspik
Harticka
Rosenticka
Ullticka</t>
        </is>
      </c>
      <c r="S648">
        <f>HYPERLINK("https://klasma.github.io/Logging_2303/artfynd/A 43106-2023 artfynd.xlsx", "A 43106-2023")</f>
        <v/>
      </c>
      <c r="T648">
        <f>HYPERLINK("https://klasma.github.io/Logging_2303/kartor/A 43106-2023 karta.png", "A 43106-2023")</f>
        <v/>
      </c>
      <c r="V648">
        <f>HYPERLINK("https://klasma.github.io/Logging_2303/klagomål/A 43106-2023 FSC-klagomål.docx", "A 43106-2023")</f>
        <v/>
      </c>
      <c r="W648">
        <f>HYPERLINK("https://klasma.github.io/Logging_2303/klagomålsmail/A 43106-2023 FSC-klagomål mail.docx", "A 43106-2023")</f>
        <v/>
      </c>
      <c r="X648">
        <f>HYPERLINK("https://klasma.github.io/Logging_2303/tillsyn/A 43106-2023 tillsynsbegäran.docx", "A 43106-2023")</f>
        <v/>
      </c>
      <c r="Y648">
        <f>HYPERLINK("https://klasma.github.io/Logging_2303/tillsynsmail/A 43106-2023 tillsynsbegäran mail.docx", "A 43106-2023")</f>
        <v/>
      </c>
    </row>
    <row r="649" ht="15" customHeight="1">
      <c r="A649" t="inlineStr">
        <is>
          <t>A 32277-2021</t>
        </is>
      </c>
      <c r="B649" s="1" t="n">
        <v>44371</v>
      </c>
      <c r="C649" s="1" t="n">
        <v>46045</v>
      </c>
      <c r="D649" t="inlineStr">
        <is>
          <t>JÄMTLANDS LÄN</t>
        </is>
      </c>
      <c r="E649" t="inlineStr">
        <is>
          <t>STRÖMSUND</t>
        </is>
      </c>
      <c r="F649" t="inlineStr">
        <is>
          <t>SCA</t>
        </is>
      </c>
      <c r="G649" t="n">
        <v>17.6</v>
      </c>
      <c r="H649" t="n">
        <v>0</v>
      </c>
      <c r="I649" t="n">
        <v>0</v>
      </c>
      <c r="J649" t="n">
        <v>3</v>
      </c>
      <c r="K649" t="n">
        <v>2</v>
      </c>
      <c r="L649" t="n">
        <v>0</v>
      </c>
      <c r="M649" t="n">
        <v>0</v>
      </c>
      <c r="N649" t="n">
        <v>0</v>
      </c>
      <c r="O649" t="n">
        <v>5</v>
      </c>
      <c r="P649" t="n">
        <v>2</v>
      </c>
      <c r="Q649" t="n">
        <v>5</v>
      </c>
      <c r="R649" s="2" t="inlineStr">
        <is>
          <t>Liten sotlav
Norsk näverlav
Gränsticka
Harticka
Stjärntagging</t>
        </is>
      </c>
      <c r="S649">
        <f>HYPERLINK("https://klasma.github.io/Logging_2313/artfynd/A 32277-2021 artfynd.xlsx", "A 32277-2021")</f>
        <v/>
      </c>
      <c r="T649">
        <f>HYPERLINK("https://klasma.github.io/Logging_2313/kartor/A 32277-2021 karta.png", "A 32277-2021")</f>
        <v/>
      </c>
      <c r="V649">
        <f>HYPERLINK("https://klasma.github.io/Logging_2313/klagomål/A 32277-2021 FSC-klagomål.docx", "A 32277-2021")</f>
        <v/>
      </c>
      <c r="W649">
        <f>HYPERLINK("https://klasma.github.io/Logging_2313/klagomålsmail/A 32277-2021 FSC-klagomål mail.docx", "A 32277-2021")</f>
        <v/>
      </c>
      <c r="X649">
        <f>HYPERLINK("https://klasma.github.io/Logging_2313/tillsyn/A 32277-2021 tillsynsbegäran.docx", "A 32277-2021")</f>
        <v/>
      </c>
      <c r="Y649">
        <f>HYPERLINK("https://klasma.github.io/Logging_2313/tillsynsmail/A 32277-2021 tillsynsbegäran mail.docx", "A 32277-2021")</f>
        <v/>
      </c>
    </row>
    <row r="650" ht="15" customHeight="1">
      <c r="A650" t="inlineStr">
        <is>
          <t>A 27577-2022</t>
        </is>
      </c>
      <c r="B650" s="1" t="n">
        <v>44742</v>
      </c>
      <c r="C650" s="1" t="n">
        <v>46045</v>
      </c>
      <c r="D650" t="inlineStr">
        <is>
          <t>JÄMTLANDS LÄN</t>
        </is>
      </c>
      <c r="E650" t="inlineStr">
        <is>
          <t>ÖSTERSUND</t>
        </is>
      </c>
      <c r="F650" t="inlineStr">
        <is>
          <t>SCA</t>
        </is>
      </c>
      <c r="G650" t="n">
        <v>12</v>
      </c>
      <c r="H650" t="n">
        <v>2</v>
      </c>
      <c r="I650" t="n">
        <v>3</v>
      </c>
      <c r="J650" t="n">
        <v>1</v>
      </c>
      <c r="K650" t="n">
        <v>0</v>
      </c>
      <c r="L650" t="n">
        <v>0</v>
      </c>
      <c r="M650" t="n">
        <v>0</v>
      </c>
      <c r="N650" t="n">
        <v>0</v>
      </c>
      <c r="O650" t="n">
        <v>1</v>
      </c>
      <c r="P650" t="n">
        <v>0</v>
      </c>
      <c r="Q650" t="n">
        <v>5</v>
      </c>
      <c r="R650" s="2" t="inlineStr">
        <is>
          <t>Granticka
Tibast
Tvåblad
Underviol
Blåsippa</t>
        </is>
      </c>
      <c r="S650">
        <f>HYPERLINK("https://klasma.github.io/Logging_2380/artfynd/A 27577-2022 artfynd.xlsx", "A 27577-2022")</f>
        <v/>
      </c>
      <c r="T650">
        <f>HYPERLINK("https://klasma.github.io/Logging_2380/kartor/A 27577-2022 karta.png", "A 27577-2022")</f>
        <v/>
      </c>
      <c r="V650">
        <f>HYPERLINK("https://klasma.github.io/Logging_2380/klagomål/A 27577-2022 FSC-klagomål.docx", "A 27577-2022")</f>
        <v/>
      </c>
      <c r="W650">
        <f>HYPERLINK("https://klasma.github.io/Logging_2380/klagomålsmail/A 27577-2022 FSC-klagomål mail.docx", "A 27577-2022")</f>
        <v/>
      </c>
      <c r="X650">
        <f>HYPERLINK("https://klasma.github.io/Logging_2380/tillsyn/A 27577-2022 tillsynsbegäran.docx", "A 27577-2022")</f>
        <v/>
      </c>
      <c r="Y650">
        <f>HYPERLINK("https://klasma.github.io/Logging_2380/tillsynsmail/A 27577-2022 tillsynsbegäran mail.docx", "A 27577-2022")</f>
        <v/>
      </c>
    </row>
    <row r="651" ht="15" customHeight="1">
      <c r="A651" t="inlineStr">
        <is>
          <t>A 14908-2022</t>
        </is>
      </c>
      <c r="B651" s="1" t="n">
        <v>44656</v>
      </c>
      <c r="C651" s="1" t="n">
        <v>46045</v>
      </c>
      <c r="D651" t="inlineStr">
        <is>
          <t>JÄMTLANDS LÄN</t>
        </is>
      </c>
      <c r="E651" t="inlineStr">
        <is>
          <t>RAGUNDA</t>
        </is>
      </c>
      <c r="F651" t="inlineStr">
        <is>
          <t>SCA</t>
        </is>
      </c>
      <c r="G651" t="n">
        <v>4.6</v>
      </c>
      <c r="H651" t="n">
        <v>0</v>
      </c>
      <c r="I651" t="n">
        <v>3</v>
      </c>
      <c r="J651" t="n">
        <v>2</v>
      </c>
      <c r="K651" t="n">
        <v>0</v>
      </c>
      <c r="L651" t="n">
        <v>0</v>
      </c>
      <c r="M651" t="n">
        <v>0</v>
      </c>
      <c r="N651" t="n">
        <v>0</v>
      </c>
      <c r="O651" t="n">
        <v>2</v>
      </c>
      <c r="P651" t="n">
        <v>0</v>
      </c>
      <c r="Q651" t="n">
        <v>5</v>
      </c>
      <c r="R651" s="2" t="inlineStr">
        <is>
          <t>Garnlav
Skrovellav
Bårdlav
Källmossa
Ögonpyrola</t>
        </is>
      </c>
      <c r="S651">
        <f>HYPERLINK("https://klasma.github.io/Logging_2303/artfynd/A 14908-2022 artfynd.xlsx", "A 14908-2022")</f>
        <v/>
      </c>
      <c r="T651">
        <f>HYPERLINK("https://klasma.github.io/Logging_2303/kartor/A 14908-2022 karta.png", "A 14908-2022")</f>
        <v/>
      </c>
      <c r="V651">
        <f>HYPERLINK("https://klasma.github.io/Logging_2303/klagomål/A 14908-2022 FSC-klagomål.docx", "A 14908-2022")</f>
        <v/>
      </c>
      <c r="W651">
        <f>HYPERLINK("https://klasma.github.io/Logging_2303/klagomålsmail/A 14908-2022 FSC-klagomål mail.docx", "A 14908-2022")</f>
        <v/>
      </c>
      <c r="X651">
        <f>HYPERLINK("https://klasma.github.io/Logging_2303/tillsyn/A 14908-2022 tillsynsbegäran.docx", "A 14908-2022")</f>
        <v/>
      </c>
      <c r="Y651">
        <f>HYPERLINK("https://klasma.github.io/Logging_2303/tillsynsmail/A 14908-2022 tillsynsbegäran mail.docx", "A 14908-2022")</f>
        <v/>
      </c>
    </row>
    <row r="652" ht="15" customHeight="1">
      <c r="A652" t="inlineStr">
        <is>
          <t>A 12973-2024</t>
        </is>
      </c>
      <c r="B652" s="1" t="n">
        <v>45385.51104166666</v>
      </c>
      <c r="C652" s="1" t="n">
        <v>46045</v>
      </c>
      <c r="D652" t="inlineStr">
        <is>
          <t>JÄMTLANDS LÄN</t>
        </is>
      </c>
      <c r="E652" t="inlineStr">
        <is>
          <t>BERG</t>
        </is>
      </c>
      <c r="G652" t="n">
        <v>1.9</v>
      </c>
      <c r="H652" t="n">
        <v>1</v>
      </c>
      <c r="I652" t="n">
        <v>0</v>
      </c>
      <c r="J652" t="n">
        <v>4</v>
      </c>
      <c r="K652" t="n">
        <v>1</v>
      </c>
      <c r="L652" t="n">
        <v>0</v>
      </c>
      <c r="M652" t="n">
        <v>0</v>
      </c>
      <c r="N652" t="n">
        <v>0</v>
      </c>
      <c r="O652" t="n">
        <v>5</v>
      </c>
      <c r="P652" t="n">
        <v>1</v>
      </c>
      <c r="Q652" t="n">
        <v>5</v>
      </c>
      <c r="R652" s="2" t="inlineStr">
        <is>
          <t>Doftticka
Leptoporus mollis
Lunglav
Rosa skärelav
Ullticka</t>
        </is>
      </c>
      <c r="S652">
        <f>HYPERLINK("https://klasma.github.io/Logging_2326/artfynd/A 12973-2024 artfynd.xlsx", "A 12973-2024")</f>
        <v/>
      </c>
      <c r="T652">
        <f>HYPERLINK("https://klasma.github.io/Logging_2326/kartor/A 12973-2024 karta.png", "A 12973-2024")</f>
        <v/>
      </c>
      <c r="V652">
        <f>HYPERLINK("https://klasma.github.io/Logging_2326/klagomål/A 12973-2024 FSC-klagomål.docx", "A 12973-2024")</f>
        <v/>
      </c>
      <c r="W652">
        <f>HYPERLINK("https://klasma.github.io/Logging_2326/klagomålsmail/A 12973-2024 FSC-klagomål mail.docx", "A 12973-2024")</f>
        <v/>
      </c>
      <c r="X652">
        <f>HYPERLINK("https://klasma.github.io/Logging_2326/tillsyn/A 12973-2024 tillsynsbegäran.docx", "A 12973-2024")</f>
        <v/>
      </c>
      <c r="Y652">
        <f>HYPERLINK("https://klasma.github.io/Logging_2326/tillsynsmail/A 12973-2024 tillsynsbegäran mail.docx", "A 12973-2024")</f>
        <v/>
      </c>
    </row>
    <row r="653" ht="15" customHeight="1">
      <c r="A653" t="inlineStr">
        <is>
          <t>A 4579-2024</t>
        </is>
      </c>
      <c r="B653" s="1" t="n">
        <v>45327</v>
      </c>
      <c r="C653" s="1" t="n">
        <v>46045</v>
      </c>
      <c r="D653" t="inlineStr">
        <is>
          <t>JÄMTLANDS LÄN</t>
        </is>
      </c>
      <c r="E653" t="inlineStr">
        <is>
          <t>STRÖMSUND</t>
        </is>
      </c>
      <c r="G653" t="n">
        <v>3.4</v>
      </c>
      <c r="H653" t="n">
        <v>4</v>
      </c>
      <c r="I653" t="n">
        <v>1</v>
      </c>
      <c r="J653" t="n">
        <v>1</v>
      </c>
      <c r="K653" t="n">
        <v>0</v>
      </c>
      <c r="L653" t="n">
        <v>1</v>
      </c>
      <c r="M653" t="n">
        <v>0</v>
      </c>
      <c r="N653" t="n">
        <v>0</v>
      </c>
      <c r="O653" t="n">
        <v>2</v>
      </c>
      <c r="P653" t="n">
        <v>1</v>
      </c>
      <c r="Q653" t="n">
        <v>5</v>
      </c>
      <c r="R653" s="2" t="inlineStr">
        <is>
          <t>Violett guldvinge
Månlåsbräken
Tvåblad
Brudsporre
Fläcknycklar</t>
        </is>
      </c>
      <c r="S653">
        <f>HYPERLINK("https://klasma.github.io/Logging_2313/artfynd/A 4579-2024 artfynd.xlsx", "A 4579-2024")</f>
        <v/>
      </c>
      <c r="T653">
        <f>HYPERLINK("https://klasma.github.io/Logging_2313/kartor/A 4579-2024 karta.png", "A 4579-2024")</f>
        <v/>
      </c>
      <c r="V653">
        <f>HYPERLINK("https://klasma.github.io/Logging_2313/klagomål/A 4579-2024 FSC-klagomål.docx", "A 4579-2024")</f>
        <v/>
      </c>
      <c r="W653">
        <f>HYPERLINK("https://klasma.github.io/Logging_2313/klagomålsmail/A 4579-2024 FSC-klagomål mail.docx", "A 4579-2024")</f>
        <v/>
      </c>
      <c r="X653">
        <f>HYPERLINK("https://klasma.github.io/Logging_2313/tillsyn/A 4579-2024 tillsynsbegäran.docx", "A 4579-2024")</f>
        <v/>
      </c>
      <c r="Y653">
        <f>HYPERLINK("https://klasma.github.io/Logging_2313/tillsynsmail/A 4579-2024 tillsynsbegäran mail.docx", "A 4579-2024")</f>
        <v/>
      </c>
    </row>
    <row r="654" ht="15" customHeight="1">
      <c r="A654" t="inlineStr">
        <is>
          <t>A 14195-2021</t>
        </is>
      </c>
      <c r="B654" s="1" t="n">
        <v>44278</v>
      </c>
      <c r="C654" s="1" t="n">
        <v>46045</v>
      </c>
      <c r="D654" t="inlineStr">
        <is>
          <t>JÄMTLANDS LÄN</t>
        </is>
      </c>
      <c r="E654" t="inlineStr">
        <is>
          <t>ÅRE</t>
        </is>
      </c>
      <c r="G654" t="n">
        <v>23.1</v>
      </c>
      <c r="H654" t="n">
        <v>2</v>
      </c>
      <c r="I654" t="n">
        <v>0</v>
      </c>
      <c r="J654" t="n">
        <v>5</v>
      </c>
      <c r="K654" t="n">
        <v>0</v>
      </c>
      <c r="L654" t="n">
        <v>0</v>
      </c>
      <c r="M654" t="n">
        <v>0</v>
      </c>
      <c r="N654" t="n">
        <v>0</v>
      </c>
      <c r="O654" t="n">
        <v>5</v>
      </c>
      <c r="P654" t="n">
        <v>0</v>
      </c>
      <c r="Q654" t="n">
        <v>5</v>
      </c>
      <c r="R654" s="2" t="inlineStr">
        <is>
          <t>Garnlav
Granticka
Knottrig blåslav
Spillkråka
Tretåig hackspett</t>
        </is>
      </c>
      <c r="S654">
        <f>HYPERLINK("https://klasma.github.io/Logging_2321/artfynd/A 14195-2021 artfynd.xlsx", "A 14195-2021")</f>
        <v/>
      </c>
      <c r="T654">
        <f>HYPERLINK("https://klasma.github.io/Logging_2321/kartor/A 14195-2021 karta.png", "A 14195-2021")</f>
        <v/>
      </c>
      <c r="V654">
        <f>HYPERLINK("https://klasma.github.io/Logging_2321/klagomål/A 14195-2021 FSC-klagomål.docx", "A 14195-2021")</f>
        <v/>
      </c>
      <c r="W654">
        <f>HYPERLINK("https://klasma.github.io/Logging_2321/klagomålsmail/A 14195-2021 FSC-klagomål mail.docx", "A 14195-2021")</f>
        <v/>
      </c>
      <c r="X654">
        <f>HYPERLINK("https://klasma.github.io/Logging_2321/tillsyn/A 14195-2021 tillsynsbegäran.docx", "A 14195-2021")</f>
        <v/>
      </c>
      <c r="Y654">
        <f>HYPERLINK("https://klasma.github.io/Logging_2321/tillsynsmail/A 14195-2021 tillsynsbegäran mail.docx", "A 14195-2021")</f>
        <v/>
      </c>
      <c r="Z654">
        <f>HYPERLINK("https://klasma.github.io/Logging_2321/fåglar/A 14195-2021 prioriterade fågelarter.docx", "A 14195-2021")</f>
        <v/>
      </c>
    </row>
    <row r="655" ht="15" customHeight="1">
      <c r="A655" t="inlineStr">
        <is>
          <t>A 38527-2025</t>
        </is>
      </c>
      <c r="B655" s="1" t="n">
        <v>45884.40715277778</v>
      </c>
      <c r="C655" s="1" t="n">
        <v>46045</v>
      </c>
      <c r="D655" t="inlineStr">
        <is>
          <t>JÄMTLANDS LÄN</t>
        </is>
      </c>
      <c r="E655" t="inlineStr">
        <is>
          <t>BRÄCKE</t>
        </is>
      </c>
      <c r="F655" t="inlineStr">
        <is>
          <t>SCA</t>
        </is>
      </c>
      <c r="G655" t="n">
        <v>1.8</v>
      </c>
      <c r="H655" t="n">
        <v>1</v>
      </c>
      <c r="I655" t="n">
        <v>1</v>
      </c>
      <c r="J655" t="n">
        <v>3</v>
      </c>
      <c r="K655" t="n">
        <v>0</v>
      </c>
      <c r="L655" t="n">
        <v>0</v>
      </c>
      <c r="M655" t="n">
        <v>0</v>
      </c>
      <c r="N655" t="n">
        <v>0</v>
      </c>
      <c r="O655" t="n">
        <v>3</v>
      </c>
      <c r="P655" t="n">
        <v>0</v>
      </c>
      <c r="Q655" t="n">
        <v>5</v>
      </c>
      <c r="R655" s="2" t="inlineStr">
        <is>
          <t>Gammelgransskål
Lunglav
Ullticka
Luddlav
Revlummer</t>
        </is>
      </c>
      <c r="S655">
        <f>HYPERLINK("https://klasma.github.io/Logging_2305/artfynd/A 38527-2025 artfynd.xlsx", "A 38527-2025")</f>
        <v/>
      </c>
      <c r="T655">
        <f>HYPERLINK("https://klasma.github.io/Logging_2305/kartor/A 38527-2025 karta.png", "A 38527-2025")</f>
        <v/>
      </c>
      <c r="V655">
        <f>HYPERLINK("https://klasma.github.io/Logging_2305/klagomål/A 38527-2025 FSC-klagomål.docx", "A 38527-2025")</f>
        <v/>
      </c>
      <c r="W655">
        <f>HYPERLINK("https://klasma.github.io/Logging_2305/klagomålsmail/A 38527-2025 FSC-klagomål mail.docx", "A 38527-2025")</f>
        <v/>
      </c>
      <c r="X655">
        <f>HYPERLINK("https://klasma.github.io/Logging_2305/tillsyn/A 38527-2025 tillsynsbegäran.docx", "A 38527-2025")</f>
        <v/>
      </c>
      <c r="Y655">
        <f>HYPERLINK("https://klasma.github.io/Logging_2305/tillsynsmail/A 38527-2025 tillsynsbegäran mail.docx", "A 38527-2025")</f>
        <v/>
      </c>
    </row>
    <row r="656" ht="15" customHeight="1">
      <c r="A656" t="inlineStr">
        <is>
          <t>A 18634-2025</t>
        </is>
      </c>
      <c r="B656" s="1" t="n">
        <v>45763.55266203704</v>
      </c>
      <c r="C656" s="1" t="n">
        <v>46045</v>
      </c>
      <c r="D656" t="inlineStr">
        <is>
          <t>JÄMTLANDS LÄN</t>
        </is>
      </c>
      <c r="E656" t="inlineStr">
        <is>
          <t>BRÄCKE</t>
        </is>
      </c>
      <c r="F656" t="inlineStr">
        <is>
          <t>SCA</t>
        </is>
      </c>
      <c r="G656" t="n">
        <v>8.300000000000001</v>
      </c>
      <c r="H656" t="n">
        <v>2</v>
      </c>
      <c r="I656" t="n">
        <v>2</v>
      </c>
      <c r="J656" t="n">
        <v>2</v>
      </c>
      <c r="K656" t="n">
        <v>1</v>
      </c>
      <c r="L656" t="n">
        <v>0</v>
      </c>
      <c r="M656" t="n">
        <v>0</v>
      </c>
      <c r="N656" t="n">
        <v>0</v>
      </c>
      <c r="O656" t="n">
        <v>3</v>
      </c>
      <c r="P656" t="n">
        <v>1</v>
      </c>
      <c r="Q656" t="n">
        <v>5</v>
      </c>
      <c r="R656" s="2" t="inlineStr">
        <is>
          <t>Knärot
Garnlav
Lunglav
Korallblylav
Plattlummer</t>
        </is>
      </c>
      <c r="S656">
        <f>HYPERLINK("https://klasma.github.io/Logging_2305/artfynd/A 18634-2025 artfynd.xlsx", "A 18634-2025")</f>
        <v/>
      </c>
      <c r="T656">
        <f>HYPERLINK("https://klasma.github.io/Logging_2305/kartor/A 18634-2025 karta.png", "A 18634-2025")</f>
        <v/>
      </c>
      <c r="U656">
        <f>HYPERLINK("https://klasma.github.io/Logging_2305/knärot/A 18634-2025 karta knärot.png", "A 18634-2025")</f>
        <v/>
      </c>
      <c r="V656">
        <f>HYPERLINK("https://klasma.github.io/Logging_2305/klagomål/A 18634-2025 FSC-klagomål.docx", "A 18634-2025")</f>
        <v/>
      </c>
      <c r="W656">
        <f>HYPERLINK("https://klasma.github.io/Logging_2305/klagomålsmail/A 18634-2025 FSC-klagomål mail.docx", "A 18634-2025")</f>
        <v/>
      </c>
      <c r="X656">
        <f>HYPERLINK("https://klasma.github.io/Logging_2305/tillsyn/A 18634-2025 tillsynsbegäran.docx", "A 18634-2025")</f>
        <v/>
      </c>
      <c r="Y656">
        <f>HYPERLINK("https://klasma.github.io/Logging_2305/tillsynsmail/A 18634-2025 tillsynsbegäran mail.docx", "A 18634-2025")</f>
        <v/>
      </c>
    </row>
    <row r="657" ht="15" customHeight="1">
      <c r="A657" t="inlineStr">
        <is>
          <t>A 56483-2023</t>
        </is>
      </c>
      <c r="B657" s="1" t="n">
        <v>45243</v>
      </c>
      <c r="C657" s="1" t="n">
        <v>46045</v>
      </c>
      <c r="D657" t="inlineStr">
        <is>
          <t>JÄMTLANDS LÄN</t>
        </is>
      </c>
      <c r="E657" t="inlineStr">
        <is>
          <t>HÄRJEDALEN</t>
        </is>
      </c>
      <c r="G657" t="n">
        <v>7.3</v>
      </c>
      <c r="H657" t="n">
        <v>1</v>
      </c>
      <c r="I657" t="n">
        <v>0</v>
      </c>
      <c r="J657" t="n">
        <v>5</v>
      </c>
      <c r="K657" t="n">
        <v>0</v>
      </c>
      <c r="L657" t="n">
        <v>0</v>
      </c>
      <c r="M657" t="n">
        <v>0</v>
      </c>
      <c r="N657" t="n">
        <v>0</v>
      </c>
      <c r="O657" t="n">
        <v>5</v>
      </c>
      <c r="P657" t="n">
        <v>0</v>
      </c>
      <c r="Q657" t="n">
        <v>5</v>
      </c>
      <c r="R657" s="2" t="inlineStr">
        <is>
          <t>Blanksvart spiklav
Blågrå svartspik
Garnlav
Tretåig hackspett
Ullticka</t>
        </is>
      </c>
      <c r="S657">
        <f>HYPERLINK("https://klasma.github.io/Logging_2361/artfynd/A 56483-2023 artfynd.xlsx", "A 56483-2023")</f>
        <v/>
      </c>
      <c r="T657">
        <f>HYPERLINK("https://klasma.github.io/Logging_2361/kartor/A 56483-2023 karta.png", "A 56483-2023")</f>
        <v/>
      </c>
      <c r="V657">
        <f>HYPERLINK("https://klasma.github.io/Logging_2361/klagomål/A 56483-2023 FSC-klagomål.docx", "A 56483-2023")</f>
        <v/>
      </c>
      <c r="W657">
        <f>HYPERLINK("https://klasma.github.io/Logging_2361/klagomålsmail/A 56483-2023 FSC-klagomål mail.docx", "A 56483-2023")</f>
        <v/>
      </c>
      <c r="X657">
        <f>HYPERLINK("https://klasma.github.io/Logging_2361/tillsyn/A 56483-2023 tillsynsbegäran.docx", "A 56483-2023")</f>
        <v/>
      </c>
      <c r="Y657">
        <f>HYPERLINK("https://klasma.github.io/Logging_2361/tillsynsmail/A 56483-2023 tillsynsbegäran mail.docx", "A 56483-2023")</f>
        <v/>
      </c>
      <c r="Z657">
        <f>HYPERLINK("https://klasma.github.io/Logging_2361/fåglar/A 56483-2023 prioriterade fågelarter.docx", "A 56483-2023")</f>
        <v/>
      </c>
    </row>
    <row r="658" ht="15" customHeight="1">
      <c r="A658" t="inlineStr">
        <is>
          <t>A 59537-2023</t>
        </is>
      </c>
      <c r="B658" s="1" t="n">
        <v>45254</v>
      </c>
      <c r="C658" s="1" t="n">
        <v>46045</v>
      </c>
      <c r="D658" t="inlineStr">
        <is>
          <t>JÄMTLANDS LÄN</t>
        </is>
      </c>
      <c r="E658" t="inlineStr">
        <is>
          <t>ÖSTERSUND</t>
        </is>
      </c>
      <c r="G658" t="n">
        <v>4.1</v>
      </c>
      <c r="H658" t="n">
        <v>3</v>
      </c>
      <c r="I658" t="n">
        <v>0</v>
      </c>
      <c r="J658" t="n">
        <v>4</v>
      </c>
      <c r="K658" t="n">
        <v>0</v>
      </c>
      <c r="L658" t="n">
        <v>0</v>
      </c>
      <c r="M658" t="n">
        <v>0</v>
      </c>
      <c r="N658" t="n">
        <v>0</v>
      </c>
      <c r="O658" t="n">
        <v>4</v>
      </c>
      <c r="P658" t="n">
        <v>0</v>
      </c>
      <c r="Q658" t="n">
        <v>5</v>
      </c>
      <c r="R658" s="2" t="inlineStr">
        <is>
          <t>Granticka
Kråka
Talltita
Ullticka
Revlummer</t>
        </is>
      </c>
      <c r="S658">
        <f>HYPERLINK("https://klasma.github.io/Logging_2380/artfynd/A 59537-2023 artfynd.xlsx", "A 59537-2023")</f>
        <v/>
      </c>
      <c r="T658">
        <f>HYPERLINK("https://klasma.github.io/Logging_2380/kartor/A 59537-2023 karta.png", "A 59537-2023")</f>
        <v/>
      </c>
      <c r="V658">
        <f>HYPERLINK("https://klasma.github.io/Logging_2380/klagomål/A 59537-2023 FSC-klagomål.docx", "A 59537-2023")</f>
        <v/>
      </c>
      <c r="W658">
        <f>HYPERLINK("https://klasma.github.io/Logging_2380/klagomålsmail/A 59537-2023 FSC-klagomål mail.docx", "A 59537-2023")</f>
        <v/>
      </c>
      <c r="X658">
        <f>HYPERLINK("https://klasma.github.io/Logging_2380/tillsyn/A 59537-2023 tillsynsbegäran.docx", "A 59537-2023")</f>
        <v/>
      </c>
      <c r="Y658">
        <f>HYPERLINK("https://klasma.github.io/Logging_2380/tillsynsmail/A 59537-2023 tillsynsbegäran mail.docx", "A 59537-2023")</f>
        <v/>
      </c>
      <c r="Z658">
        <f>HYPERLINK("https://klasma.github.io/Logging_2380/fåglar/A 59537-2023 prioriterade fågelarter.docx", "A 59537-2023")</f>
        <v/>
      </c>
    </row>
    <row r="659" ht="15" customHeight="1">
      <c r="A659" t="inlineStr">
        <is>
          <t>A 39118-2025</t>
        </is>
      </c>
      <c r="B659" s="1" t="n">
        <v>45888.55305555555</v>
      </c>
      <c r="C659" s="1" t="n">
        <v>46045</v>
      </c>
      <c r="D659" t="inlineStr">
        <is>
          <t>JÄMTLANDS LÄN</t>
        </is>
      </c>
      <c r="E659" t="inlineStr">
        <is>
          <t>KROKOM</t>
        </is>
      </c>
      <c r="G659" t="n">
        <v>38.4</v>
      </c>
      <c r="H659" t="n">
        <v>1</v>
      </c>
      <c r="I659" t="n">
        <v>2</v>
      </c>
      <c r="J659" t="n">
        <v>3</v>
      </c>
      <c r="K659" t="n">
        <v>0</v>
      </c>
      <c r="L659" t="n">
        <v>0</v>
      </c>
      <c r="M659" t="n">
        <v>0</v>
      </c>
      <c r="N659" t="n">
        <v>0</v>
      </c>
      <c r="O659" t="n">
        <v>3</v>
      </c>
      <c r="P659" t="n">
        <v>0</v>
      </c>
      <c r="Q659" t="n">
        <v>5</v>
      </c>
      <c r="R659" s="2" t="inlineStr">
        <is>
          <t>Mörk kolflarnlav
Skrovellav
Tretåig hackspett
Skinnlav
Stuplav</t>
        </is>
      </c>
      <c r="S659">
        <f>HYPERLINK("https://klasma.github.io/Logging_2309/artfynd/A 39118-2025 artfynd.xlsx", "A 39118-2025")</f>
        <v/>
      </c>
      <c r="T659">
        <f>HYPERLINK("https://klasma.github.io/Logging_2309/kartor/A 39118-2025 karta.png", "A 39118-2025")</f>
        <v/>
      </c>
      <c r="V659">
        <f>HYPERLINK("https://klasma.github.io/Logging_2309/klagomål/A 39118-2025 FSC-klagomål.docx", "A 39118-2025")</f>
        <v/>
      </c>
      <c r="W659">
        <f>HYPERLINK("https://klasma.github.io/Logging_2309/klagomålsmail/A 39118-2025 FSC-klagomål mail.docx", "A 39118-2025")</f>
        <v/>
      </c>
      <c r="X659">
        <f>HYPERLINK("https://klasma.github.io/Logging_2309/tillsyn/A 39118-2025 tillsynsbegäran.docx", "A 39118-2025")</f>
        <v/>
      </c>
      <c r="Y659">
        <f>HYPERLINK("https://klasma.github.io/Logging_2309/tillsynsmail/A 39118-2025 tillsynsbegäran mail.docx", "A 39118-2025")</f>
        <v/>
      </c>
      <c r="Z659">
        <f>HYPERLINK("https://klasma.github.io/Logging_2309/fåglar/A 39118-2025 prioriterade fågelarter.docx", "A 39118-2025")</f>
        <v/>
      </c>
    </row>
    <row r="660" ht="15" customHeight="1">
      <c r="A660" t="inlineStr">
        <is>
          <t>A 24204-2024</t>
        </is>
      </c>
      <c r="B660" s="1" t="n">
        <v>45456</v>
      </c>
      <c r="C660" s="1" t="n">
        <v>46045</v>
      </c>
      <c r="D660" t="inlineStr">
        <is>
          <t>JÄMTLANDS LÄN</t>
        </is>
      </c>
      <c r="E660" t="inlineStr">
        <is>
          <t>BERG</t>
        </is>
      </c>
      <c r="G660" t="n">
        <v>6.9</v>
      </c>
      <c r="H660" t="n">
        <v>5</v>
      </c>
      <c r="I660" t="n">
        <v>0</v>
      </c>
      <c r="J660" t="n">
        <v>5</v>
      </c>
      <c r="K660" t="n">
        <v>0</v>
      </c>
      <c r="L660" t="n">
        <v>0</v>
      </c>
      <c r="M660" t="n">
        <v>0</v>
      </c>
      <c r="N660" t="n">
        <v>0</v>
      </c>
      <c r="O660" t="n">
        <v>5</v>
      </c>
      <c r="P660" t="n">
        <v>0</v>
      </c>
      <c r="Q660" t="n">
        <v>5</v>
      </c>
      <c r="R660" s="2" t="inlineStr">
        <is>
          <t>Drillsnäppa
Fjällvråk
Svartvit flugsnappare
Talltita
Tretåig hackspett</t>
        </is>
      </c>
      <c r="S660">
        <f>HYPERLINK("https://klasma.github.io/Logging_2326/artfynd/A 24204-2024 artfynd.xlsx", "A 24204-2024")</f>
        <v/>
      </c>
      <c r="T660">
        <f>HYPERLINK("https://klasma.github.io/Logging_2326/kartor/A 24204-2024 karta.png", "A 24204-2024")</f>
        <v/>
      </c>
      <c r="V660">
        <f>HYPERLINK("https://klasma.github.io/Logging_2326/klagomål/A 24204-2024 FSC-klagomål.docx", "A 24204-2024")</f>
        <v/>
      </c>
      <c r="W660">
        <f>HYPERLINK("https://klasma.github.io/Logging_2326/klagomålsmail/A 24204-2024 FSC-klagomål mail.docx", "A 24204-2024")</f>
        <v/>
      </c>
      <c r="X660">
        <f>HYPERLINK("https://klasma.github.io/Logging_2326/tillsyn/A 24204-2024 tillsynsbegäran.docx", "A 24204-2024")</f>
        <v/>
      </c>
      <c r="Y660">
        <f>HYPERLINK("https://klasma.github.io/Logging_2326/tillsynsmail/A 24204-2024 tillsynsbegäran mail.docx", "A 24204-2024")</f>
        <v/>
      </c>
      <c r="Z660">
        <f>HYPERLINK("https://klasma.github.io/Logging_2326/fåglar/A 24204-2024 prioriterade fågelarter.docx", "A 24204-2024")</f>
        <v/>
      </c>
    </row>
    <row r="661" ht="15" customHeight="1">
      <c r="A661" t="inlineStr">
        <is>
          <t>A 27313-2024</t>
        </is>
      </c>
      <c r="B661" s="1" t="n">
        <v>45471.94623842592</v>
      </c>
      <c r="C661" s="1" t="n">
        <v>46045</v>
      </c>
      <c r="D661" t="inlineStr">
        <is>
          <t>JÄMTLANDS LÄN</t>
        </is>
      </c>
      <c r="E661" t="inlineStr">
        <is>
          <t>RAGUNDA</t>
        </is>
      </c>
      <c r="G661" t="n">
        <v>2.1</v>
      </c>
      <c r="H661" t="n">
        <v>2</v>
      </c>
      <c r="I661" t="n">
        <v>0</v>
      </c>
      <c r="J661" t="n">
        <v>3</v>
      </c>
      <c r="K661" t="n">
        <v>1</v>
      </c>
      <c r="L661" t="n">
        <v>0</v>
      </c>
      <c r="M661" t="n">
        <v>0</v>
      </c>
      <c r="N661" t="n">
        <v>0</v>
      </c>
      <c r="O661" t="n">
        <v>4</v>
      </c>
      <c r="P661" t="n">
        <v>1</v>
      </c>
      <c r="Q661" t="n">
        <v>5</v>
      </c>
      <c r="R661" s="2" t="inlineStr">
        <is>
          <t>Knärot
Gammelgransskål
Garnlav
Lunglav
Nattviol</t>
        </is>
      </c>
      <c r="S661">
        <f>HYPERLINK("https://klasma.github.io/Logging_2303/artfynd/A 27313-2024 artfynd.xlsx", "A 27313-2024")</f>
        <v/>
      </c>
      <c r="T661">
        <f>HYPERLINK("https://klasma.github.io/Logging_2303/kartor/A 27313-2024 karta.png", "A 27313-2024")</f>
        <v/>
      </c>
      <c r="U661">
        <f>HYPERLINK("https://klasma.github.io/Logging_2303/knärot/A 27313-2024 karta knärot.png", "A 27313-2024")</f>
        <v/>
      </c>
      <c r="V661">
        <f>HYPERLINK("https://klasma.github.io/Logging_2303/klagomål/A 27313-2024 FSC-klagomål.docx", "A 27313-2024")</f>
        <v/>
      </c>
      <c r="W661">
        <f>HYPERLINK("https://klasma.github.io/Logging_2303/klagomålsmail/A 27313-2024 FSC-klagomål mail.docx", "A 27313-2024")</f>
        <v/>
      </c>
      <c r="X661">
        <f>HYPERLINK("https://klasma.github.io/Logging_2303/tillsyn/A 27313-2024 tillsynsbegäran.docx", "A 27313-2024")</f>
        <v/>
      </c>
      <c r="Y661">
        <f>HYPERLINK("https://klasma.github.io/Logging_2303/tillsynsmail/A 27313-2024 tillsynsbegäran mail.docx", "A 27313-2024")</f>
        <v/>
      </c>
    </row>
    <row r="662" ht="15" customHeight="1">
      <c r="A662" t="inlineStr">
        <is>
          <t>A 39974-2025</t>
        </is>
      </c>
      <c r="B662" s="1" t="n">
        <v>45893.38599537037</v>
      </c>
      <c r="C662" s="1" t="n">
        <v>46045</v>
      </c>
      <c r="D662" t="inlineStr">
        <is>
          <t>JÄMTLANDS LÄN</t>
        </is>
      </c>
      <c r="E662" t="inlineStr">
        <is>
          <t>RAGUNDA</t>
        </is>
      </c>
      <c r="F662" t="inlineStr">
        <is>
          <t>SCA</t>
        </is>
      </c>
      <c r="G662" t="n">
        <v>2.5</v>
      </c>
      <c r="H662" t="n">
        <v>0</v>
      </c>
      <c r="I662" t="n">
        <v>2</v>
      </c>
      <c r="J662" t="n">
        <v>3</v>
      </c>
      <c r="K662" t="n">
        <v>0</v>
      </c>
      <c r="L662" t="n">
        <v>0</v>
      </c>
      <c r="M662" t="n">
        <v>0</v>
      </c>
      <c r="N662" t="n">
        <v>0</v>
      </c>
      <c r="O662" t="n">
        <v>3</v>
      </c>
      <c r="P662" t="n">
        <v>0</v>
      </c>
      <c r="Q662" t="n">
        <v>5</v>
      </c>
      <c r="R662" s="2" t="inlineStr">
        <is>
          <t>Garnlav
Lunglav
Skrovellav
Dropptaggsvamp
Luddlav</t>
        </is>
      </c>
      <c r="S662">
        <f>HYPERLINK("https://klasma.github.io/Logging_2303/artfynd/A 39974-2025 artfynd.xlsx", "A 39974-2025")</f>
        <v/>
      </c>
      <c r="T662">
        <f>HYPERLINK("https://klasma.github.io/Logging_2303/kartor/A 39974-2025 karta.png", "A 39974-2025")</f>
        <v/>
      </c>
      <c r="V662">
        <f>HYPERLINK("https://klasma.github.io/Logging_2303/klagomål/A 39974-2025 FSC-klagomål.docx", "A 39974-2025")</f>
        <v/>
      </c>
      <c r="W662">
        <f>HYPERLINK("https://klasma.github.io/Logging_2303/klagomålsmail/A 39974-2025 FSC-klagomål mail.docx", "A 39974-2025")</f>
        <v/>
      </c>
      <c r="X662">
        <f>HYPERLINK("https://klasma.github.io/Logging_2303/tillsyn/A 39974-2025 tillsynsbegäran.docx", "A 39974-2025")</f>
        <v/>
      </c>
      <c r="Y662">
        <f>HYPERLINK("https://klasma.github.io/Logging_2303/tillsynsmail/A 39974-2025 tillsynsbegäran mail.docx", "A 39974-2025")</f>
        <v/>
      </c>
    </row>
    <row r="663" ht="15" customHeight="1">
      <c r="A663" t="inlineStr">
        <is>
          <t>A 12988-2021</t>
        </is>
      </c>
      <c r="B663" s="1" t="n">
        <v>44271</v>
      </c>
      <c r="C663" s="1" t="n">
        <v>46045</v>
      </c>
      <c r="D663" t="inlineStr">
        <is>
          <t>JÄMTLANDS LÄN</t>
        </is>
      </c>
      <c r="E663" t="inlineStr">
        <is>
          <t>ÅRE</t>
        </is>
      </c>
      <c r="G663" t="n">
        <v>25.9</v>
      </c>
      <c r="H663" t="n">
        <v>1</v>
      </c>
      <c r="I663" t="n">
        <v>2</v>
      </c>
      <c r="J663" t="n">
        <v>3</v>
      </c>
      <c r="K663" t="n">
        <v>0</v>
      </c>
      <c r="L663" t="n">
        <v>0</v>
      </c>
      <c r="M663" t="n">
        <v>0</v>
      </c>
      <c r="N663" t="n">
        <v>0</v>
      </c>
      <c r="O663" t="n">
        <v>3</v>
      </c>
      <c r="P663" t="n">
        <v>0</v>
      </c>
      <c r="Q663" t="n">
        <v>5</v>
      </c>
      <c r="R663" s="2" t="inlineStr">
        <is>
          <t>Granticka
Skrovellav
Ullticka
Spindelblomster
Stuplav</t>
        </is>
      </c>
      <c r="S663">
        <f>HYPERLINK("https://klasma.github.io/Logging_2321/artfynd/A 12988-2021 artfynd.xlsx", "A 12988-2021")</f>
        <v/>
      </c>
      <c r="T663">
        <f>HYPERLINK("https://klasma.github.io/Logging_2321/kartor/A 12988-2021 karta.png", "A 12988-2021")</f>
        <v/>
      </c>
      <c r="V663">
        <f>HYPERLINK("https://klasma.github.io/Logging_2321/klagomål/A 12988-2021 FSC-klagomål.docx", "A 12988-2021")</f>
        <v/>
      </c>
      <c r="W663">
        <f>HYPERLINK("https://klasma.github.io/Logging_2321/klagomålsmail/A 12988-2021 FSC-klagomål mail.docx", "A 12988-2021")</f>
        <v/>
      </c>
      <c r="X663">
        <f>HYPERLINK("https://klasma.github.io/Logging_2321/tillsyn/A 12988-2021 tillsynsbegäran.docx", "A 12988-2021")</f>
        <v/>
      </c>
      <c r="Y663">
        <f>HYPERLINK("https://klasma.github.io/Logging_2321/tillsynsmail/A 12988-2021 tillsynsbegäran mail.docx", "A 12988-2021")</f>
        <v/>
      </c>
    </row>
    <row r="664" ht="15" customHeight="1">
      <c r="A664" t="inlineStr">
        <is>
          <t>A 39941-2024</t>
        </is>
      </c>
      <c r="B664" s="1" t="n">
        <v>45553</v>
      </c>
      <c r="C664" s="1" t="n">
        <v>46045</v>
      </c>
      <c r="D664" t="inlineStr">
        <is>
          <t>JÄMTLANDS LÄN</t>
        </is>
      </c>
      <c r="E664" t="inlineStr">
        <is>
          <t>ÖSTERSUND</t>
        </is>
      </c>
      <c r="G664" t="n">
        <v>6</v>
      </c>
      <c r="H664" t="n">
        <v>0</v>
      </c>
      <c r="I664" t="n">
        <v>2</v>
      </c>
      <c r="J664" t="n">
        <v>3</v>
      </c>
      <c r="K664" t="n">
        <v>0</v>
      </c>
      <c r="L664" t="n">
        <v>0</v>
      </c>
      <c r="M664" t="n">
        <v>0</v>
      </c>
      <c r="N664" t="n">
        <v>0</v>
      </c>
      <c r="O664" t="n">
        <v>3</v>
      </c>
      <c r="P664" t="n">
        <v>0</v>
      </c>
      <c r="Q664" t="n">
        <v>5</v>
      </c>
      <c r="R664" s="2" t="inlineStr">
        <is>
          <t>Garnlav
Lunglav
Skrovellav
Bårdlav
Luddlav</t>
        </is>
      </c>
      <c r="S664">
        <f>HYPERLINK("https://klasma.github.io/Logging_2380/artfynd/A 39941-2024 artfynd.xlsx", "A 39941-2024")</f>
        <v/>
      </c>
      <c r="T664">
        <f>HYPERLINK("https://klasma.github.io/Logging_2380/kartor/A 39941-2024 karta.png", "A 39941-2024")</f>
        <v/>
      </c>
      <c r="V664">
        <f>HYPERLINK("https://klasma.github.io/Logging_2380/klagomål/A 39941-2024 FSC-klagomål.docx", "A 39941-2024")</f>
        <v/>
      </c>
      <c r="W664">
        <f>HYPERLINK("https://klasma.github.io/Logging_2380/klagomålsmail/A 39941-2024 FSC-klagomål mail.docx", "A 39941-2024")</f>
        <v/>
      </c>
      <c r="X664">
        <f>HYPERLINK("https://klasma.github.io/Logging_2380/tillsyn/A 39941-2024 tillsynsbegäran.docx", "A 39941-2024")</f>
        <v/>
      </c>
      <c r="Y664">
        <f>HYPERLINK("https://klasma.github.io/Logging_2380/tillsynsmail/A 39941-2024 tillsynsbegäran mail.docx", "A 39941-2024")</f>
        <v/>
      </c>
    </row>
    <row r="665" ht="15" customHeight="1">
      <c r="A665" t="inlineStr">
        <is>
          <t>A 54841-2022</t>
        </is>
      </c>
      <c r="B665" s="1" t="n">
        <v>44883</v>
      </c>
      <c r="C665" s="1" t="n">
        <v>46045</v>
      </c>
      <c r="D665" t="inlineStr">
        <is>
          <t>JÄMTLANDS LÄN</t>
        </is>
      </c>
      <c r="E665" t="inlineStr">
        <is>
          <t>BERG</t>
        </is>
      </c>
      <c r="F665" t="inlineStr">
        <is>
          <t>SCA</t>
        </is>
      </c>
      <c r="G665" t="n">
        <v>21.9</v>
      </c>
      <c r="H665" t="n">
        <v>0</v>
      </c>
      <c r="I665" t="n">
        <v>0</v>
      </c>
      <c r="J665" t="n">
        <v>2</v>
      </c>
      <c r="K665" t="n">
        <v>3</v>
      </c>
      <c r="L665" t="n">
        <v>0</v>
      </c>
      <c r="M665" t="n">
        <v>0</v>
      </c>
      <c r="N665" t="n">
        <v>0</v>
      </c>
      <c r="O665" t="n">
        <v>5</v>
      </c>
      <c r="P665" t="n">
        <v>3</v>
      </c>
      <c r="Q665" t="n">
        <v>5</v>
      </c>
      <c r="R665" s="2" t="inlineStr">
        <is>
          <t>Fläckporing
Gräddporing
Smalfotad taggsvamp
Dvärgbägarlav
Vedflamlav</t>
        </is>
      </c>
      <c r="S665">
        <f>HYPERLINK("https://klasma.github.io/Logging_2326/artfynd/A 54841-2022 artfynd.xlsx", "A 54841-2022")</f>
        <v/>
      </c>
      <c r="T665">
        <f>HYPERLINK("https://klasma.github.io/Logging_2326/kartor/A 54841-2022 karta.png", "A 54841-2022")</f>
        <v/>
      </c>
      <c r="V665">
        <f>HYPERLINK("https://klasma.github.io/Logging_2326/klagomål/A 54841-2022 FSC-klagomål.docx", "A 54841-2022")</f>
        <v/>
      </c>
      <c r="W665">
        <f>HYPERLINK("https://klasma.github.io/Logging_2326/klagomålsmail/A 54841-2022 FSC-klagomål mail.docx", "A 54841-2022")</f>
        <v/>
      </c>
      <c r="X665">
        <f>HYPERLINK("https://klasma.github.io/Logging_2326/tillsyn/A 54841-2022 tillsynsbegäran.docx", "A 54841-2022")</f>
        <v/>
      </c>
      <c r="Y665">
        <f>HYPERLINK("https://klasma.github.io/Logging_2326/tillsynsmail/A 54841-2022 tillsynsbegäran mail.docx", "A 54841-2022")</f>
        <v/>
      </c>
    </row>
    <row r="666" ht="15" customHeight="1">
      <c r="A666" t="inlineStr">
        <is>
          <t>A 65899-2021</t>
        </is>
      </c>
      <c r="B666" s="1" t="n">
        <v>44517</v>
      </c>
      <c r="C666" s="1" t="n">
        <v>46045</v>
      </c>
      <c r="D666" t="inlineStr">
        <is>
          <t>JÄMTLANDS LÄN</t>
        </is>
      </c>
      <c r="E666" t="inlineStr">
        <is>
          <t>HÄRJEDALEN</t>
        </is>
      </c>
      <c r="G666" t="n">
        <v>25</v>
      </c>
      <c r="H666" t="n">
        <v>0</v>
      </c>
      <c r="I666" t="n">
        <v>0</v>
      </c>
      <c r="J666" t="n">
        <v>5</v>
      </c>
      <c r="K666" t="n">
        <v>0</v>
      </c>
      <c r="L666" t="n">
        <v>0</v>
      </c>
      <c r="M666" t="n">
        <v>0</v>
      </c>
      <c r="N666" t="n">
        <v>0</v>
      </c>
      <c r="O666" t="n">
        <v>5</v>
      </c>
      <c r="P666" t="n">
        <v>0</v>
      </c>
      <c r="Q666" t="n">
        <v>5</v>
      </c>
      <c r="R666" s="2" t="inlineStr">
        <is>
          <t>Gammelgransskål
Garnlav
Granticka
Harticka
Vedskivlav</t>
        </is>
      </c>
      <c r="S666">
        <f>HYPERLINK("https://klasma.github.io/Logging_2361/artfynd/A 65899-2021 artfynd.xlsx", "A 65899-2021")</f>
        <v/>
      </c>
      <c r="T666">
        <f>HYPERLINK("https://klasma.github.io/Logging_2361/kartor/A 65899-2021 karta.png", "A 65899-2021")</f>
        <v/>
      </c>
      <c r="V666">
        <f>HYPERLINK("https://klasma.github.io/Logging_2361/klagomål/A 65899-2021 FSC-klagomål.docx", "A 65899-2021")</f>
        <v/>
      </c>
      <c r="W666">
        <f>HYPERLINK("https://klasma.github.io/Logging_2361/klagomålsmail/A 65899-2021 FSC-klagomål mail.docx", "A 65899-2021")</f>
        <v/>
      </c>
      <c r="X666">
        <f>HYPERLINK("https://klasma.github.io/Logging_2361/tillsyn/A 65899-2021 tillsynsbegäran.docx", "A 65899-2021")</f>
        <v/>
      </c>
      <c r="Y666">
        <f>HYPERLINK("https://klasma.github.io/Logging_2361/tillsynsmail/A 65899-2021 tillsynsbegäran mail.docx", "A 65899-2021")</f>
        <v/>
      </c>
    </row>
    <row r="667" ht="15" customHeight="1">
      <c r="A667" t="inlineStr">
        <is>
          <t>A 38169-2024</t>
        </is>
      </c>
      <c r="B667" s="1" t="n">
        <v>45545.45748842593</v>
      </c>
      <c r="C667" s="1" t="n">
        <v>46045</v>
      </c>
      <c r="D667" t="inlineStr">
        <is>
          <t>JÄMTLANDS LÄN</t>
        </is>
      </c>
      <c r="E667" t="inlineStr">
        <is>
          <t>RAGUNDA</t>
        </is>
      </c>
      <c r="G667" t="n">
        <v>7.5</v>
      </c>
      <c r="H667" t="n">
        <v>2</v>
      </c>
      <c r="I667" t="n">
        <v>0</v>
      </c>
      <c r="J667" t="n">
        <v>5</v>
      </c>
      <c r="K667" t="n">
        <v>0</v>
      </c>
      <c r="L667" t="n">
        <v>0</v>
      </c>
      <c r="M667" t="n">
        <v>0</v>
      </c>
      <c r="N667" t="n">
        <v>0</v>
      </c>
      <c r="O667" t="n">
        <v>5</v>
      </c>
      <c r="P667" t="n">
        <v>0</v>
      </c>
      <c r="Q667" t="n">
        <v>5</v>
      </c>
      <c r="R667" s="2" t="inlineStr">
        <is>
          <t>Garnlav
Lunglav
Skrovellav
Talltita
Tretåig hackspett</t>
        </is>
      </c>
      <c r="S667">
        <f>HYPERLINK("https://klasma.github.io/Logging_2303/artfynd/A 38169-2024 artfynd.xlsx", "A 38169-2024")</f>
        <v/>
      </c>
      <c r="T667">
        <f>HYPERLINK("https://klasma.github.io/Logging_2303/kartor/A 38169-2024 karta.png", "A 38169-2024")</f>
        <v/>
      </c>
      <c r="V667">
        <f>HYPERLINK("https://klasma.github.io/Logging_2303/klagomål/A 38169-2024 FSC-klagomål.docx", "A 38169-2024")</f>
        <v/>
      </c>
      <c r="W667">
        <f>HYPERLINK("https://klasma.github.io/Logging_2303/klagomålsmail/A 38169-2024 FSC-klagomål mail.docx", "A 38169-2024")</f>
        <v/>
      </c>
      <c r="X667">
        <f>HYPERLINK("https://klasma.github.io/Logging_2303/tillsyn/A 38169-2024 tillsynsbegäran.docx", "A 38169-2024")</f>
        <v/>
      </c>
      <c r="Y667">
        <f>HYPERLINK("https://klasma.github.io/Logging_2303/tillsynsmail/A 38169-2024 tillsynsbegäran mail.docx", "A 38169-2024")</f>
        <v/>
      </c>
      <c r="Z667">
        <f>HYPERLINK("https://klasma.github.io/Logging_2303/fåglar/A 38169-2024 prioriterade fågelarter.docx", "A 38169-2024")</f>
        <v/>
      </c>
    </row>
    <row r="668" ht="15" customHeight="1">
      <c r="A668" t="inlineStr">
        <is>
          <t>A 42982-2025</t>
        </is>
      </c>
      <c r="B668" s="1" t="n">
        <v>45909.4393287037</v>
      </c>
      <c r="C668" s="1" t="n">
        <v>46045</v>
      </c>
      <c r="D668" t="inlineStr">
        <is>
          <t>JÄMTLANDS LÄN</t>
        </is>
      </c>
      <c r="E668" t="inlineStr">
        <is>
          <t>HÄRJEDALEN</t>
        </is>
      </c>
      <c r="F668" t="inlineStr">
        <is>
          <t>Bergvik skog väst AB</t>
        </is>
      </c>
      <c r="G668" t="n">
        <v>3.7</v>
      </c>
      <c r="H668" t="n">
        <v>0</v>
      </c>
      <c r="I668" t="n">
        <v>1</v>
      </c>
      <c r="J668" t="n">
        <v>4</v>
      </c>
      <c r="K668" t="n">
        <v>0</v>
      </c>
      <c r="L668" t="n">
        <v>0</v>
      </c>
      <c r="M668" t="n">
        <v>0</v>
      </c>
      <c r="N668" t="n">
        <v>0</v>
      </c>
      <c r="O668" t="n">
        <v>4</v>
      </c>
      <c r="P668" t="n">
        <v>0</v>
      </c>
      <c r="Q668" t="n">
        <v>5</v>
      </c>
      <c r="R668" s="2" t="inlineStr">
        <is>
          <t>Dvärgbägarlav
Mörk kolflarnlav
Vedflamlav
Vedskivlav
Dropptaggsvamp</t>
        </is>
      </c>
      <c r="S668">
        <f>HYPERLINK("https://klasma.github.io/Logging_2361/artfynd/A 42982-2025 artfynd.xlsx", "A 42982-2025")</f>
        <v/>
      </c>
      <c r="T668">
        <f>HYPERLINK("https://klasma.github.io/Logging_2361/kartor/A 42982-2025 karta.png", "A 42982-2025")</f>
        <v/>
      </c>
      <c r="V668">
        <f>HYPERLINK("https://klasma.github.io/Logging_2361/klagomål/A 42982-2025 FSC-klagomål.docx", "A 42982-2025")</f>
        <v/>
      </c>
      <c r="W668">
        <f>HYPERLINK("https://klasma.github.io/Logging_2361/klagomålsmail/A 42982-2025 FSC-klagomål mail.docx", "A 42982-2025")</f>
        <v/>
      </c>
      <c r="X668">
        <f>HYPERLINK("https://klasma.github.io/Logging_2361/tillsyn/A 42982-2025 tillsynsbegäran.docx", "A 42982-2025")</f>
        <v/>
      </c>
      <c r="Y668">
        <f>HYPERLINK("https://klasma.github.io/Logging_2361/tillsynsmail/A 42982-2025 tillsynsbegäran mail.docx", "A 42982-2025")</f>
        <v/>
      </c>
    </row>
    <row r="669" ht="15" customHeight="1">
      <c r="A669" t="inlineStr">
        <is>
          <t>A 57071-2024</t>
        </is>
      </c>
      <c r="B669" s="1" t="n">
        <v>45629.35422453703</v>
      </c>
      <c r="C669" s="1" t="n">
        <v>46045</v>
      </c>
      <c r="D669" t="inlineStr">
        <is>
          <t>JÄMTLANDS LÄN</t>
        </is>
      </c>
      <c r="E669" t="inlineStr">
        <is>
          <t>STRÖMSUND</t>
        </is>
      </c>
      <c r="F669" t="inlineStr">
        <is>
          <t>SCA</t>
        </is>
      </c>
      <c r="G669" t="n">
        <v>3.3</v>
      </c>
      <c r="H669" t="n">
        <v>0</v>
      </c>
      <c r="I669" t="n">
        <v>0</v>
      </c>
      <c r="J669" t="n">
        <v>5</v>
      </c>
      <c r="K669" t="n">
        <v>0</v>
      </c>
      <c r="L669" t="n">
        <v>0</v>
      </c>
      <c r="M669" t="n">
        <v>0</v>
      </c>
      <c r="N669" t="n">
        <v>0</v>
      </c>
      <c r="O669" t="n">
        <v>5</v>
      </c>
      <c r="P669" t="n">
        <v>0</v>
      </c>
      <c r="Q669" t="n">
        <v>5</v>
      </c>
      <c r="R669" s="2" t="inlineStr">
        <is>
          <t>Granticka
Gränsticka
Harticka
Lunglav
Ullticka</t>
        </is>
      </c>
      <c r="S669">
        <f>HYPERLINK("https://klasma.github.io/Logging_2313/artfynd/A 57071-2024 artfynd.xlsx", "A 57071-2024")</f>
        <v/>
      </c>
      <c r="T669">
        <f>HYPERLINK("https://klasma.github.io/Logging_2313/kartor/A 57071-2024 karta.png", "A 57071-2024")</f>
        <v/>
      </c>
      <c r="V669">
        <f>HYPERLINK("https://klasma.github.io/Logging_2313/klagomål/A 57071-2024 FSC-klagomål.docx", "A 57071-2024")</f>
        <v/>
      </c>
      <c r="W669">
        <f>HYPERLINK("https://klasma.github.io/Logging_2313/klagomålsmail/A 57071-2024 FSC-klagomål mail.docx", "A 57071-2024")</f>
        <v/>
      </c>
      <c r="X669">
        <f>HYPERLINK("https://klasma.github.io/Logging_2313/tillsyn/A 57071-2024 tillsynsbegäran.docx", "A 57071-2024")</f>
        <v/>
      </c>
      <c r="Y669">
        <f>HYPERLINK("https://klasma.github.io/Logging_2313/tillsynsmail/A 57071-2024 tillsynsbegäran mail.docx", "A 57071-2024")</f>
        <v/>
      </c>
    </row>
    <row r="670" ht="15" customHeight="1">
      <c r="A670" t="inlineStr">
        <is>
          <t>A 10747-2024</t>
        </is>
      </c>
      <c r="B670" s="1" t="n">
        <v>45369</v>
      </c>
      <c r="C670" s="1" t="n">
        <v>46045</v>
      </c>
      <c r="D670" t="inlineStr">
        <is>
          <t>JÄMTLANDS LÄN</t>
        </is>
      </c>
      <c r="E670" t="inlineStr">
        <is>
          <t>ÖSTERSUND</t>
        </is>
      </c>
      <c r="G670" t="n">
        <v>4.3</v>
      </c>
      <c r="H670" t="n">
        <v>1</v>
      </c>
      <c r="I670" t="n">
        <v>1</v>
      </c>
      <c r="J670" t="n">
        <v>3</v>
      </c>
      <c r="K670" t="n">
        <v>1</v>
      </c>
      <c r="L670" t="n">
        <v>0</v>
      </c>
      <c r="M670" t="n">
        <v>0</v>
      </c>
      <c r="N670" t="n">
        <v>0</v>
      </c>
      <c r="O670" t="n">
        <v>4</v>
      </c>
      <c r="P670" t="n">
        <v>1</v>
      </c>
      <c r="Q670" t="n">
        <v>5</v>
      </c>
      <c r="R670" s="2" t="inlineStr">
        <is>
          <t>Fjällfotad musseron
Barrviolspindling
Gultoppig fingersvamp
Tretåig hackspett
Fjällig taggsvamp s.str.</t>
        </is>
      </c>
      <c r="S670">
        <f>HYPERLINK("https://klasma.github.io/Logging_2380/artfynd/A 10747-2024 artfynd.xlsx", "A 10747-2024")</f>
        <v/>
      </c>
      <c r="T670">
        <f>HYPERLINK("https://klasma.github.io/Logging_2380/kartor/A 10747-2024 karta.png", "A 10747-2024")</f>
        <v/>
      </c>
      <c r="V670">
        <f>HYPERLINK("https://klasma.github.io/Logging_2380/klagomål/A 10747-2024 FSC-klagomål.docx", "A 10747-2024")</f>
        <v/>
      </c>
      <c r="W670">
        <f>HYPERLINK("https://klasma.github.io/Logging_2380/klagomålsmail/A 10747-2024 FSC-klagomål mail.docx", "A 10747-2024")</f>
        <v/>
      </c>
      <c r="X670">
        <f>HYPERLINK("https://klasma.github.io/Logging_2380/tillsyn/A 10747-2024 tillsynsbegäran.docx", "A 10747-2024")</f>
        <v/>
      </c>
      <c r="Y670">
        <f>HYPERLINK("https://klasma.github.io/Logging_2380/tillsynsmail/A 10747-2024 tillsynsbegäran mail.docx", "A 10747-2024")</f>
        <v/>
      </c>
      <c r="Z670">
        <f>HYPERLINK("https://klasma.github.io/Logging_2380/fåglar/A 10747-2024 prioriterade fågelarter.docx", "A 10747-2024")</f>
        <v/>
      </c>
    </row>
    <row r="671" ht="15" customHeight="1">
      <c r="A671" t="inlineStr">
        <is>
          <t>A 44217-2025</t>
        </is>
      </c>
      <c r="B671" s="1" t="n">
        <v>45915.6362037037</v>
      </c>
      <c r="C671" s="1" t="n">
        <v>46045</v>
      </c>
      <c r="D671" t="inlineStr">
        <is>
          <t>JÄMTLANDS LÄN</t>
        </is>
      </c>
      <c r="E671" t="inlineStr">
        <is>
          <t>BRÄCKE</t>
        </is>
      </c>
      <c r="F671" t="inlineStr">
        <is>
          <t>SCA</t>
        </is>
      </c>
      <c r="G671" t="n">
        <v>5.8</v>
      </c>
      <c r="H671" t="n">
        <v>3</v>
      </c>
      <c r="I671" t="n">
        <v>2</v>
      </c>
      <c r="J671" t="n">
        <v>2</v>
      </c>
      <c r="K671" t="n">
        <v>1</v>
      </c>
      <c r="L671" t="n">
        <v>0</v>
      </c>
      <c r="M671" t="n">
        <v>0</v>
      </c>
      <c r="N671" t="n">
        <v>0</v>
      </c>
      <c r="O671" t="n">
        <v>3</v>
      </c>
      <c r="P671" t="n">
        <v>1</v>
      </c>
      <c r="Q671" t="n">
        <v>5</v>
      </c>
      <c r="R671" s="2" t="inlineStr">
        <is>
          <t>Knärot
Lunglav
Talltita
Grönpyrola
Plattlummer</t>
        </is>
      </c>
      <c r="S671">
        <f>HYPERLINK("https://klasma.github.io/Logging_2305/artfynd/A 44217-2025 artfynd.xlsx", "A 44217-2025")</f>
        <v/>
      </c>
      <c r="T671">
        <f>HYPERLINK("https://klasma.github.io/Logging_2305/kartor/A 44217-2025 karta.png", "A 44217-2025")</f>
        <v/>
      </c>
      <c r="U671">
        <f>HYPERLINK("https://klasma.github.io/Logging_2305/knärot/A 44217-2025 karta knärot.png", "A 44217-2025")</f>
        <v/>
      </c>
      <c r="V671">
        <f>HYPERLINK("https://klasma.github.io/Logging_2305/klagomål/A 44217-2025 FSC-klagomål.docx", "A 44217-2025")</f>
        <v/>
      </c>
      <c r="W671">
        <f>HYPERLINK("https://klasma.github.io/Logging_2305/klagomålsmail/A 44217-2025 FSC-klagomål mail.docx", "A 44217-2025")</f>
        <v/>
      </c>
      <c r="X671">
        <f>HYPERLINK("https://klasma.github.io/Logging_2305/tillsyn/A 44217-2025 tillsynsbegäran.docx", "A 44217-2025")</f>
        <v/>
      </c>
      <c r="Y671">
        <f>HYPERLINK("https://klasma.github.io/Logging_2305/tillsynsmail/A 44217-2025 tillsynsbegäran mail.docx", "A 44217-2025")</f>
        <v/>
      </c>
      <c r="Z671">
        <f>HYPERLINK("https://klasma.github.io/Logging_2305/fåglar/A 44217-2025 prioriterade fågelarter.docx", "A 44217-2025")</f>
        <v/>
      </c>
    </row>
    <row r="672" ht="15" customHeight="1">
      <c r="A672" t="inlineStr">
        <is>
          <t>A 39365-2024</t>
        </is>
      </c>
      <c r="B672" s="1" t="n">
        <v>45551.46912037037</v>
      </c>
      <c r="C672" s="1" t="n">
        <v>46045</v>
      </c>
      <c r="D672" t="inlineStr">
        <is>
          <t>JÄMTLANDS LÄN</t>
        </is>
      </c>
      <c r="E672" t="inlineStr">
        <is>
          <t>RAGUNDA</t>
        </is>
      </c>
      <c r="F672" t="inlineStr">
        <is>
          <t>SCA</t>
        </is>
      </c>
      <c r="G672" t="n">
        <v>7.3</v>
      </c>
      <c r="H672" t="n">
        <v>0</v>
      </c>
      <c r="I672" t="n">
        <v>3</v>
      </c>
      <c r="J672" t="n">
        <v>2</v>
      </c>
      <c r="K672" t="n">
        <v>0</v>
      </c>
      <c r="L672" t="n">
        <v>0</v>
      </c>
      <c r="M672" t="n">
        <v>0</v>
      </c>
      <c r="N672" t="n">
        <v>0</v>
      </c>
      <c r="O672" t="n">
        <v>2</v>
      </c>
      <c r="P672" t="n">
        <v>0</v>
      </c>
      <c r="Q672" t="n">
        <v>5</v>
      </c>
      <c r="R672" s="2" t="inlineStr">
        <is>
          <t>Lunglav
Ullticka
Korallblylav
Stor aspticka
Vedticka</t>
        </is>
      </c>
      <c r="S672">
        <f>HYPERLINK("https://klasma.github.io/Logging_2303/artfynd/A 39365-2024 artfynd.xlsx", "A 39365-2024")</f>
        <v/>
      </c>
      <c r="T672">
        <f>HYPERLINK("https://klasma.github.io/Logging_2303/kartor/A 39365-2024 karta.png", "A 39365-2024")</f>
        <v/>
      </c>
      <c r="U672">
        <f>HYPERLINK("https://klasma.github.io/Logging_2303/knärot/A 39365-2024 karta knärot.png", "A 39365-2024")</f>
        <v/>
      </c>
      <c r="V672">
        <f>HYPERLINK("https://klasma.github.io/Logging_2303/klagomål/A 39365-2024 FSC-klagomål.docx", "A 39365-2024")</f>
        <v/>
      </c>
      <c r="W672">
        <f>HYPERLINK("https://klasma.github.io/Logging_2303/klagomålsmail/A 39365-2024 FSC-klagomål mail.docx", "A 39365-2024")</f>
        <v/>
      </c>
      <c r="X672">
        <f>HYPERLINK("https://klasma.github.io/Logging_2303/tillsyn/A 39365-2024 tillsynsbegäran.docx", "A 39365-2024")</f>
        <v/>
      </c>
      <c r="Y672">
        <f>HYPERLINK("https://klasma.github.io/Logging_2303/tillsynsmail/A 39365-2024 tillsynsbegäran mail.docx", "A 39365-2024")</f>
        <v/>
      </c>
    </row>
    <row r="673" ht="15" customHeight="1">
      <c r="A673" t="inlineStr">
        <is>
          <t>A 15244-2025</t>
        </is>
      </c>
      <c r="B673" s="1" t="n">
        <v>45744.61550925926</v>
      </c>
      <c r="C673" s="1" t="n">
        <v>46045</v>
      </c>
      <c r="D673" t="inlineStr">
        <is>
          <t>JÄMTLANDS LÄN</t>
        </is>
      </c>
      <c r="E673" t="inlineStr">
        <is>
          <t>RAGUNDA</t>
        </is>
      </c>
      <c r="F673" t="inlineStr">
        <is>
          <t>SCA</t>
        </is>
      </c>
      <c r="G673" t="n">
        <v>2.6</v>
      </c>
      <c r="H673" t="n">
        <v>0</v>
      </c>
      <c r="I673" t="n">
        <v>2</v>
      </c>
      <c r="J673" t="n">
        <v>3</v>
      </c>
      <c r="K673" t="n">
        <v>0</v>
      </c>
      <c r="L673" t="n">
        <v>0</v>
      </c>
      <c r="M673" t="n">
        <v>0</v>
      </c>
      <c r="N673" t="n">
        <v>0</v>
      </c>
      <c r="O673" t="n">
        <v>3</v>
      </c>
      <c r="P673" t="n">
        <v>0</v>
      </c>
      <c r="Q673" t="n">
        <v>5</v>
      </c>
      <c r="R673" s="2" t="inlineStr">
        <is>
          <t>Garnlav
Rosenticka
Ullticka
Stuplav
Vedticka</t>
        </is>
      </c>
      <c r="S673">
        <f>HYPERLINK("https://klasma.github.io/Logging_2303/artfynd/A 15244-2025 artfynd.xlsx", "A 15244-2025")</f>
        <v/>
      </c>
      <c r="T673">
        <f>HYPERLINK("https://klasma.github.io/Logging_2303/kartor/A 15244-2025 karta.png", "A 15244-2025")</f>
        <v/>
      </c>
      <c r="V673">
        <f>HYPERLINK("https://klasma.github.io/Logging_2303/klagomål/A 15244-2025 FSC-klagomål.docx", "A 15244-2025")</f>
        <v/>
      </c>
      <c r="W673">
        <f>HYPERLINK("https://klasma.github.io/Logging_2303/klagomålsmail/A 15244-2025 FSC-klagomål mail.docx", "A 15244-2025")</f>
        <v/>
      </c>
      <c r="X673">
        <f>HYPERLINK("https://klasma.github.io/Logging_2303/tillsyn/A 15244-2025 tillsynsbegäran.docx", "A 15244-2025")</f>
        <v/>
      </c>
      <c r="Y673">
        <f>HYPERLINK("https://klasma.github.io/Logging_2303/tillsynsmail/A 15244-2025 tillsynsbegäran mail.docx", "A 15244-2025")</f>
        <v/>
      </c>
    </row>
    <row r="674" ht="15" customHeight="1">
      <c r="A674" t="inlineStr">
        <is>
          <t>A 4775-2025</t>
        </is>
      </c>
      <c r="B674" s="1" t="n">
        <v>45688</v>
      </c>
      <c r="C674" s="1" t="n">
        <v>46045</v>
      </c>
      <c r="D674" t="inlineStr">
        <is>
          <t>JÄMTLANDS LÄN</t>
        </is>
      </c>
      <c r="E674" t="inlineStr">
        <is>
          <t>ÅRE</t>
        </is>
      </c>
      <c r="G674" t="n">
        <v>0.7</v>
      </c>
      <c r="H674" t="n">
        <v>1</v>
      </c>
      <c r="I674" t="n">
        <v>2</v>
      </c>
      <c r="J674" t="n">
        <v>3</v>
      </c>
      <c r="K674" t="n">
        <v>0</v>
      </c>
      <c r="L674" t="n">
        <v>0</v>
      </c>
      <c r="M674" t="n">
        <v>0</v>
      </c>
      <c r="N674" t="n">
        <v>0</v>
      </c>
      <c r="O674" t="n">
        <v>3</v>
      </c>
      <c r="P674" t="n">
        <v>0</v>
      </c>
      <c r="Q674" t="n">
        <v>5</v>
      </c>
      <c r="R674" s="2" t="inlineStr">
        <is>
          <t>Garnlav
Tretåig hackspett
Vitgrynig nållav
Diskvaxskivling
Trådticka</t>
        </is>
      </c>
      <c r="S674">
        <f>HYPERLINK("https://klasma.github.io/Logging_2321/artfynd/A 4775-2025 artfynd.xlsx", "A 4775-2025")</f>
        <v/>
      </c>
      <c r="T674">
        <f>HYPERLINK("https://klasma.github.io/Logging_2321/kartor/A 4775-2025 karta.png", "A 4775-2025")</f>
        <v/>
      </c>
      <c r="V674">
        <f>HYPERLINK("https://klasma.github.io/Logging_2321/klagomål/A 4775-2025 FSC-klagomål.docx", "A 4775-2025")</f>
        <v/>
      </c>
      <c r="W674">
        <f>HYPERLINK("https://klasma.github.io/Logging_2321/klagomålsmail/A 4775-2025 FSC-klagomål mail.docx", "A 4775-2025")</f>
        <v/>
      </c>
      <c r="X674">
        <f>HYPERLINK("https://klasma.github.io/Logging_2321/tillsyn/A 4775-2025 tillsynsbegäran.docx", "A 4775-2025")</f>
        <v/>
      </c>
      <c r="Y674">
        <f>HYPERLINK("https://klasma.github.io/Logging_2321/tillsynsmail/A 4775-2025 tillsynsbegäran mail.docx", "A 4775-2025")</f>
        <v/>
      </c>
      <c r="Z674">
        <f>HYPERLINK("https://klasma.github.io/Logging_2321/fåglar/A 4775-2025 prioriterade fågelarter.docx", "A 4775-2025")</f>
        <v/>
      </c>
    </row>
    <row r="675" ht="15" customHeight="1">
      <c r="A675" t="inlineStr">
        <is>
          <t>A 53436-2025</t>
        </is>
      </c>
      <c r="B675" s="1" t="n">
        <v>45959.63353009259</v>
      </c>
      <c r="C675" s="1" t="n">
        <v>46045</v>
      </c>
      <c r="D675" t="inlineStr">
        <is>
          <t>JÄMTLANDS LÄN</t>
        </is>
      </c>
      <c r="E675" t="inlineStr">
        <is>
          <t>ÅRE</t>
        </is>
      </c>
      <c r="F675" t="inlineStr">
        <is>
          <t>Övriga Aktiebolag</t>
        </is>
      </c>
      <c r="G675" t="n">
        <v>120.6</v>
      </c>
      <c r="H675" t="n">
        <v>0</v>
      </c>
      <c r="I675" t="n">
        <v>1</v>
      </c>
      <c r="J675" t="n">
        <v>4</v>
      </c>
      <c r="K675" t="n">
        <v>0</v>
      </c>
      <c r="L675" t="n">
        <v>0</v>
      </c>
      <c r="M675" t="n">
        <v>0</v>
      </c>
      <c r="N675" t="n">
        <v>0</v>
      </c>
      <c r="O675" t="n">
        <v>4</v>
      </c>
      <c r="P675" t="n">
        <v>0</v>
      </c>
      <c r="Q675" t="n">
        <v>5</v>
      </c>
      <c r="R675" s="2" t="inlineStr">
        <is>
          <t>Brunpudrad nållav
Granticka
Kavernularia
Rödbrun blekspik
Gytterlav</t>
        </is>
      </c>
      <c r="S675">
        <f>HYPERLINK("https://klasma.github.io/Logging_2321/artfynd/A 53436-2025 artfynd.xlsx", "A 53436-2025")</f>
        <v/>
      </c>
      <c r="T675">
        <f>HYPERLINK("https://klasma.github.io/Logging_2321/kartor/A 53436-2025 karta.png", "A 53436-2025")</f>
        <v/>
      </c>
      <c r="V675">
        <f>HYPERLINK("https://klasma.github.io/Logging_2321/klagomål/A 53436-2025 FSC-klagomål.docx", "A 53436-2025")</f>
        <v/>
      </c>
      <c r="W675">
        <f>HYPERLINK("https://klasma.github.io/Logging_2321/klagomålsmail/A 53436-2025 FSC-klagomål mail.docx", "A 53436-2025")</f>
        <v/>
      </c>
      <c r="X675">
        <f>HYPERLINK("https://klasma.github.io/Logging_2321/tillsyn/A 53436-2025 tillsynsbegäran.docx", "A 53436-2025")</f>
        <v/>
      </c>
      <c r="Y675">
        <f>HYPERLINK("https://klasma.github.io/Logging_2321/tillsynsmail/A 53436-2025 tillsynsbegäran mail.docx", "A 53436-2025")</f>
        <v/>
      </c>
    </row>
    <row r="676" ht="15" customHeight="1">
      <c r="A676" t="inlineStr">
        <is>
          <t>A 55383-2022</t>
        </is>
      </c>
      <c r="B676" s="1" t="n">
        <v>44882</v>
      </c>
      <c r="C676" s="1" t="n">
        <v>46045</v>
      </c>
      <c r="D676" t="inlineStr">
        <is>
          <t>JÄMTLANDS LÄN</t>
        </is>
      </c>
      <c r="E676" t="inlineStr">
        <is>
          <t>HÄRJEDALEN</t>
        </is>
      </c>
      <c r="G676" t="n">
        <v>11</v>
      </c>
      <c r="H676" t="n">
        <v>1</v>
      </c>
      <c r="I676" t="n">
        <v>1</v>
      </c>
      <c r="J676" t="n">
        <v>3</v>
      </c>
      <c r="K676" t="n">
        <v>1</v>
      </c>
      <c r="L676" t="n">
        <v>0</v>
      </c>
      <c r="M676" t="n">
        <v>0</v>
      </c>
      <c r="N676" t="n">
        <v>0</v>
      </c>
      <c r="O676" t="n">
        <v>4</v>
      </c>
      <c r="P676" t="n">
        <v>1</v>
      </c>
      <c r="Q676" t="n">
        <v>5</v>
      </c>
      <c r="R676" s="2" t="inlineStr">
        <is>
          <t>Grantickeporing
Garnlav
Granticka
Tretåig hackspett
Svavelriska</t>
        </is>
      </c>
      <c r="S676">
        <f>HYPERLINK("https://klasma.github.io/Logging_2361/artfynd/A 55383-2022 artfynd.xlsx", "A 55383-2022")</f>
        <v/>
      </c>
      <c r="T676">
        <f>HYPERLINK("https://klasma.github.io/Logging_2361/kartor/A 55383-2022 karta.png", "A 55383-2022")</f>
        <v/>
      </c>
      <c r="V676">
        <f>HYPERLINK("https://klasma.github.io/Logging_2361/klagomål/A 55383-2022 FSC-klagomål.docx", "A 55383-2022")</f>
        <v/>
      </c>
      <c r="W676">
        <f>HYPERLINK("https://klasma.github.io/Logging_2361/klagomålsmail/A 55383-2022 FSC-klagomål mail.docx", "A 55383-2022")</f>
        <v/>
      </c>
      <c r="X676">
        <f>HYPERLINK("https://klasma.github.io/Logging_2361/tillsyn/A 55383-2022 tillsynsbegäran.docx", "A 55383-2022")</f>
        <v/>
      </c>
      <c r="Y676">
        <f>HYPERLINK("https://klasma.github.io/Logging_2361/tillsynsmail/A 55383-2022 tillsynsbegäran mail.docx", "A 55383-2022")</f>
        <v/>
      </c>
      <c r="Z676">
        <f>HYPERLINK("https://klasma.github.io/Logging_2361/fåglar/A 55383-2022 prioriterade fågelarter.docx", "A 55383-2022")</f>
        <v/>
      </c>
    </row>
    <row r="677" ht="15" customHeight="1">
      <c r="A677" t="inlineStr">
        <is>
          <t>A 54374-2025</t>
        </is>
      </c>
      <c r="B677" s="1" t="n">
        <v>45965.41842592593</v>
      </c>
      <c r="C677" s="1" t="n">
        <v>46045</v>
      </c>
      <c r="D677" t="inlineStr">
        <is>
          <t>JÄMTLANDS LÄN</t>
        </is>
      </c>
      <c r="E677" t="inlineStr">
        <is>
          <t>ÅRE</t>
        </is>
      </c>
      <c r="G677" t="n">
        <v>51.1</v>
      </c>
      <c r="H677" t="n">
        <v>3</v>
      </c>
      <c r="I677" t="n">
        <v>1</v>
      </c>
      <c r="J677" t="n">
        <v>4</v>
      </c>
      <c r="K677" t="n">
        <v>0</v>
      </c>
      <c r="L677" t="n">
        <v>0</v>
      </c>
      <c r="M677" t="n">
        <v>0</v>
      </c>
      <c r="N677" t="n">
        <v>0</v>
      </c>
      <c r="O677" t="n">
        <v>4</v>
      </c>
      <c r="P677" t="n">
        <v>0</v>
      </c>
      <c r="Q677" t="n">
        <v>5</v>
      </c>
      <c r="R677" s="2" t="inlineStr">
        <is>
          <t>Järpe
Lunglav
Skrovellav
Tretåig hackspett
Spindelblomster</t>
        </is>
      </c>
      <c r="S677">
        <f>HYPERLINK("https://klasma.github.io/Logging_2321/artfynd/A 54374-2025 artfynd.xlsx", "A 54374-2025")</f>
        <v/>
      </c>
      <c r="T677">
        <f>HYPERLINK("https://klasma.github.io/Logging_2321/kartor/A 54374-2025 karta.png", "A 54374-2025")</f>
        <v/>
      </c>
      <c r="V677">
        <f>HYPERLINK("https://klasma.github.io/Logging_2321/klagomål/A 54374-2025 FSC-klagomål.docx", "A 54374-2025")</f>
        <v/>
      </c>
      <c r="W677">
        <f>HYPERLINK("https://klasma.github.io/Logging_2321/klagomålsmail/A 54374-2025 FSC-klagomål mail.docx", "A 54374-2025")</f>
        <v/>
      </c>
      <c r="X677">
        <f>HYPERLINK("https://klasma.github.io/Logging_2321/tillsyn/A 54374-2025 tillsynsbegäran.docx", "A 54374-2025")</f>
        <v/>
      </c>
      <c r="Y677">
        <f>HYPERLINK("https://klasma.github.io/Logging_2321/tillsynsmail/A 54374-2025 tillsynsbegäran mail.docx", "A 54374-2025")</f>
        <v/>
      </c>
      <c r="Z677">
        <f>HYPERLINK("https://klasma.github.io/Logging_2321/fåglar/A 54374-2025 prioriterade fågelarter.docx", "A 54374-2025")</f>
        <v/>
      </c>
    </row>
    <row r="678" ht="15" customHeight="1">
      <c r="A678" t="inlineStr">
        <is>
          <t>A 11319-2025</t>
        </is>
      </c>
      <c r="B678" s="1" t="n">
        <v>45726</v>
      </c>
      <c r="C678" s="1" t="n">
        <v>46045</v>
      </c>
      <c r="D678" t="inlineStr">
        <is>
          <t>JÄMTLANDS LÄN</t>
        </is>
      </c>
      <c r="E678" t="inlineStr">
        <is>
          <t>KROKOM</t>
        </is>
      </c>
      <c r="G678" t="n">
        <v>13.8</v>
      </c>
      <c r="H678" t="n">
        <v>1</v>
      </c>
      <c r="I678" t="n">
        <v>4</v>
      </c>
      <c r="J678" t="n">
        <v>1</v>
      </c>
      <c r="K678" t="n">
        <v>0</v>
      </c>
      <c r="L678" t="n">
        <v>0</v>
      </c>
      <c r="M678" t="n">
        <v>0</v>
      </c>
      <c r="N678" t="n">
        <v>0</v>
      </c>
      <c r="O678" t="n">
        <v>1</v>
      </c>
      <c r="P678" t="n">
        <v>0</v>
      </c>
      <c r="Q678" t="n">
        <v>5</v>
      </c>
      <c r="R678" s="2" t="inlineStr">
        <is>
          <t>Lunglav
Bårdlav
Luddlav
Plattlummer
Stuplav</t>
        </is>
      </c>
      <c r="S678">
        <f>HYPERLINK("https://klasma.github.io/Logging_2309/artfynd/A 11319-2025 artfynd.xlsx", "A 11319-2025")</f>
        <v/>
      </c>
      <c r="T678">
        <f>HYPERLINK("https://klasma.github.io/Logging_2309/kartor/A 11319-2025 karta.png", "A 11319-2025")</f>
        <v/>
      </c>
      <c r="V678">
        <f>HYPERLINK("https://klasma.github.io/Logging_2309/klagomål/A 11319-2025 FSC-klagomål.docx", "A 11319-2025")</f>
        <v/>
      </c>
      <c r="W678">
        <f>HYPERLINK("https://klasma.github.io/Logging_2309/klagomålsmail/A 11319-2025 FSC-klagomål mail.docx", "A 11319-2025")</f>
        <v/>
      </c>
      <c r="X678">
        <f>HYPERLINK("https://klasma.github.io/Logging_2309/tillsyn/A 11319-2025 tillsynsbegäran.docx", "A 11319-2025")</f>
        <v/>
      </c>
      <c r="Y678">
        <f>HYPERLINK("https://klasma.github.io/Logging_2309/tillsynsmail/A 11319-2025 tillsynsbegäran mail.docx", "A 11319-2025")</f>
        <v/>
      </c>
    </row>
    <row r="679" ht="15" customHeight="1">
      <c r="A679" t="inlineStr">
        <is>
          <t>A 30991-2024</t>
        </is>
      </c>
      <c r="B679" s="1" t="n">
        <v>45499.55119212963</v>
      </c>
      <c r="C679" s="1" t="n">
        <v>46045</v>
      </c>
      <c r="D679" t="inlineStr">
        <is>
          <t>JÄMTLANDS LÄN</t>
        </is>
      </c>
      <c r="E679" t="inlineStr">
        <is>
          <t>BRÄCKE</t>
        </is>
      </c>
      <c r="F679" t="inlineStr">
        <is>
          <t>Sveaskog</t>
        </is>
      </c>
      <c r="G679" t="n">
        <v>4.7</v>
      </c>
      <c r="H679" t="n">
        <v>3</v>
      </c>
      <c r="I679" t="n">
        <v>0</v>
      </c>
      <c r="J679" t="n">
        <v>3</v>
      </c>
      <c r="K679" t="n">
        <v>1</v>
      </c>
      <c r="L679" t="n">
        <v>0</v>
      </c>
      <c r="M679" t="n">
        <v>0</v>
      </c>
      <c r="N679" t="n">
        <v>0</v>
      </c>
      <c r="O679" t="n">
        <v>4</v>
      </c>
      <c r="P679" t="n">
        <v>1</v>
      </c>
      <c r="Q679" t="n">
        <v>5</v>
      </c>
      <c r="R679" s="2" t="inlineStr">
        <is>
          <t>Knärot
Granticka
Lunglav
Tretåig hackspett
Fläcknycklar</t>
        </is>
      </c>
      <c r="S679">
        <f>HYPERLINK("https://klasma.github.io/Logging_2305/artfynd/A 30991-2024 artfynd.xlsx", "A 30991-2024")</f>
        <v/>
      </c>
      <c r="T679">
        <f>HYPERLINK("https://klasma.github.io/Logging_2305/kartor/A 30991-2024 karta.png", "A 30991-2024")</f>
        <v/>
      </c>
      <c r="U679">
        <f>HYPERLINK("https://klasma.github.io/Logging_2305/knärot/A 30991-2024 karta knärot.png", "A 30991-2024")</f>
        <v/>
      </c>
      <c r="V679">
        <f>HYPERLINK("https://klasma.github.io/Logging_2305/klagomål/A 30991-2024 FSC-klagomål.docx", "A 30991-2024")</f>
        <v/>
      </c>
      <c r="W679">
        <f>HYPERLINK("https://klasma.github.io/Logging_2305/klagomålsmail/A 30991-2024 FSC-klagomål mail.docx", "A 30991-2024")</f>
        <v/>
      </c>
      <c r="X679">
        <f>HYPERLINK("https://klasma.github.io/Logging_2305/tillsyn/A 30991-2024 tillsynsbegäran.docx", "A 30991-2024")</f>
        <v/>
      </c>
      <c r="Y679">
        <f>HYPERLINK("https://klasma.github.io/Logging_2305/tillsynsmail/A 30991-2024 tillsynsbegäran mail.docx", "A 30991-2024")</f>
        <v/>
      </c>
      <c r="Z679">
        <f>HYPERLINK("https://klasma.github.io/Logging_2305/fåglar/A 30991-2024 prioriterade fågelarter.docx", "A 30991-2024")</f>
        <v/>
      </c>
    </row>
    <row r="680" ht="15" customHeight="1">
      <c r="A680" t="inlineStr">
        <is>
          <t>A 47560-2024</t>
        </is>
      </c>
      <c r="B680" s="1" t="n">
        <v>45587.6758449074</v>
      </c>
      <c r="C680" s="1" t="n">
        <v>46045</v>
      </c>
      <c r="D680" t="inlineStr">
        <is>
          <t>JÄMTLANDS LÄN</t>
        </is>
      </c>
      <c r="E680" t="inlineStr">
        <is>
          <t>BRÄCKE</t>
        </is>
      </c>
      <c r="G680" t="n">
        <v>4.3</v>
      </c>
      <c r="H680" t="n">
        <v>1</v>
      </c>
      <c r="I680" t="n">
        <v>0</v>
      </c>
      <c r="J680" t="n">
        <v>4</v>
      </c>
      <c r="K680" t="n">
        <v>1</v>
      </c>
      <c r="L680" t="n">
        <v>0</v>
      </c>
      <c r="M680" t="n">
        <v>0</v>
      </c>
      <c r="N680" t="n">
        <v>0</v>
      </c>
      <c r="O680" t="n">
        <v>5</v>
      </c>
      <c r="P680" t="n">
        <v>1</v>
      </c>
      <c r="Q680" t="n">
        <v>5</v>
      </c>
      <c r="R680" s="2" t="inlineStr">
        <is>
          <t>Knärot
Garnlav
Granticka
Lunglav
Ullticka</t>
        </is>
      </c>
      <c r="S680">
        <f>HYPERLINK("https://klasma.github.io/Logging_2305/artfynd/A 47560-2024 artfynd.xlsx", "A 47560-2024")</f>
        <v/>
      </c>
      <c r="T680">
        <f>HYPERLINK("https://klasma.github.io/Logging_2305/kartor/A 47560-2024 karta.png", "A 47560-2024")</f>
        <v/>
      </c>
      <c r="U680">
        <f>HYPERLINK("https://klasma.github.io/Logging_2305/knärot/A 47560-2024 karta knärot.png", "A 47560-2024")</f>
        <v/>
      </c>
      <c r="V680">
        <f>HYPERLINK("https://klasma.github.io/Logging_2305/klagomål/A 47560-2024 FSC-klagomål.docx", "A 47560-2024")</f>
        <v/>
      </c>
      <c r="W680">
        <f>HYPERLINK("https://klasma.github.io/Logging_2305/klagomålsmail/A 47560-2024 FSC-klagomål mail.docx", "A 47560-2024")</f>
        <v/>
      </c>
      <c r="X680">
        <f>HYPERLINK("https://klasma.github.io/Logging_2305/tillsyn/A 47560-2024 tillsynsbegäran.docx", "A 47560-2024")</f>
        <v/>
      </c>
      <c r="Y680">
        <f>HYPERLINK("https://klasma.github.io/Logging_2305/tillsynsmail/A 47560-2024 tillsynsbegäran mail.docx", "A 47560-2024")</f>
        <v/>
      </c>
    </row>
    <row r="681" ht="15" customHeight="1">
      <c r="A681" t="inlineStr">
        <is>
          <t>A 12966-2024</t>
        </is>
      </c>
      <c r="B681" s="1" t="n">
        <v>45385</v>
      </c>
      <c r="C681" s="1" t="n">
        <v>46045</v>
      </c>
      <c r="D681" t="inlineStr">
        <is>
          <t>JÄMTLANDS LÄN</t>
        </is>
      </c>
      <c r="E681" t="inlineStr">
        <is>
          <t>BERG</t>
        </is>
      </c>
      <c r="G681" t="n">
        <v>6.3</v>
      </c>
      <c r="H681" t="n">
        <v>1</v>
      </c>
      <c r="I681" t="n">
        <v>0</v>
      </c>
      <c r="J681" t="n">
        <v>5</v>
      </c>
      <c r="K681" t="n">
        <v>0</v>
      </c>
      <c r="L681" t="n">
        <v>0</v>
      </c>
      <c r="M681" t="n">
        <v>0</v>
      </c>
      <c r="N681" t="n">
        <v>0</v>
      </c>
      <c r="O681" t="n">
        <v>5</v>
      </c>
      <c r="P681" t="n">
        <v>0</v>
      </c>
      <c r="Q681" t="n">
        <v>5</v>
      </c>
      <c r="R681" s="2" t="inlineStr">
        <is>
          <t>Garnlav
Granticka
Lunglav
Skrovellav
Tretåig hackspett</t>
        </is>
      </c>
      <c r="S681">
        <f>HYPERLINK("https://klasma.github.io/Logging_2326/artfynd/A 12966-2024 artfynd.xlsx", "A 12966-2024")</f>
        <v/>
      </c>
      <c r="T681">
        <f>HYPERLINK("https://klasma.github.io/Logging_2326/kartor/A 12966-2024 karta.png", "A 12966-2024")</f>
        <v/>
      </c>
      <c r="V681">
        <f>HYPERLINK("https://klasma.github.io/Logging_2326/klagomål/A 12966-2024 FSC-klagomål.docx", "A 12966-2024")</f>
        <v/>
      </c>
      <c r="W681">
        <f>HYPERLINK("https://klasma.github.io/Logging_2326/klagomålsmail/A 12966-2024 FSC-klagomål mail.docx", "A 12966-2024")</f>
        <v/>
      </c>
      <c r="X681">
        <f>HYPERLINK("https://klasma.github.io/Logging_2326/tillsyn/A 12966-2024 tillsynsbegäran.docx", "A 12966-2024")</f>
        <v/>
      </c>
      <c r="Y681">
        <f>HYPERLINK("https://klasma.github.io/Logging_2326/tillsynsmail/A 12966-2024 tillsynsbegäran mail.docx", "A 12966-2024")</f>
        <v/>
      </c>
      <c r="Z681">
        <f>HYPERLINK("https://klasma.github.io/Logging_2326/fåglar/A 12966-2024 prioriterade fågelarter.docx", "A 12966-2024")</f>
        <v/>
      </c>
    </row>
    <row r="682" ht="15" customHeight="1">
      <c r="A682" t="inlineStr">
        <is>
          <t>A 30034-2024</t>
        </is>
      </c>
      <c r="B682" s="1" t="n">
        <v>45485</v>
      </c>
      <c r="C682" s="1" t="n">
        <v>46045</v>
      </c>
      <c r="D682" t="inlineStr">
        <is>
          <t>JÄMTLANDS LÄN</t>
        </is>
      </c>
      <c r="E682" t="inlineStr">
        <is>
          <t>ÅRE</t>
        </is>
      </c>
      <c r="G682" t="n">
        <v>25.9</v>
      </c>
      <c r="H682" t="n">
        <v>1</v>
      </c>
      <c r="I682" t="n">
        <v>2</v>
      </c>
      <c r="J682" t="n">
        <v>3</v>
      </c>
      <c r="K682" t="n">
        <v>0</v>
      </c>
      <c r="L682" t="n">
        <v>0</v>
      </c>
      <c r="M682" t="n">
        <v>0</v>
      </c>
      <c r="N682" t="n">
        <v>0</v>
      </c>
      <c r="O682" t="n">
        <v>3</v>
      </c>
      <c r="P682" t="n">
        <v>0</v>
      </c>
      <c r="Q682" t="n">
        <v>5</v>
      </c>
      <c r="R682" s="2" t="inlineStr">
        <is>
          <t>Granticka
Skrovellav
Ullticka
Spindelblomster
Stuplav</t>
        </is>
      </c>
      <c r="S682">
        <f>HYPERLINK("https://klasma.github.io/Logging_2321/artfynd/A 30034-2024 artfynd.xlsx", "A 30034-2024")</f>
        <v/>
      </c>
      <c r="T682">
        <f>HYPERLINK("https://klasma.github.io/Logging_2321/kartor/A 30034-2024 karta.png", "A 30034-2024")</f>
        <v/>
      </c>
      <c r="V682">
        <f>HYPERLINK("https://klasma.github.io/Logging_2321/klagomål/A 30034-2024 FSC-klagomål.docx", "A 30034-2024")</f>
        <v/>
      </c>
      <c r="W682">
        <f>HYPERLINK("https://klasma.github.io/Logging_2321/klagomålsmail/A 30034-2024 FSC-klagomål mail.docx", "A 30034-2024")</f>
        <v/>
      </c>
      <c r="X682">
        <f>HYPERLINK("https://klasma.github.io/Logging_2321/tillsyn/A 30034-2024 tillsynsbegäran.docx", "A 30034-2024")</f>
        <v/>
      </c>
      <c r="Y682">
        <f>HYPERLINK("https://klasma.github.io/Logging_2321/tillsynsmail/A 30034-2024 tillsynsbegäran mail.docx", "A 30034-2024")</f>
        <v/>
      </c>
    </row>
    <row r="683" ht="15" customHeight="1">
      <c r="A683" t="inlineStr">
        <is>
          <t>A 18629-2024</t>
        </is>
      </c>
      <c r="B683" s="1" t="n">
        <v>45425.96472222222</v>
      </c>
      <c r="C683" s="1" t="n">
        <v>46045</v>
      </c>
      <c r="D683" t="inlineStr">
        <is>
          <t>JÄMTLANDS LÄN</t>
        </is>
      </c>
      <c r="E683" t="inlineStr">
        <is>
          <t>RAGUNDA</t>
        </is>
      </c>
      <c r="F683" t="inlineStr">
        <is>
          <t>SCA</t>
        </is>
      </c>
      <c r="G683" t="n">
        <v>1.6</v>
      </c>
      <c r="H683" t="n">
        <v>2</v>
      </c>
      <c r="I683" t="n">
        <v>1</v>
      </c>
      <c r="J683" t="n">
        <v>3</v>
      </c>
      <c r="K683" t="n">
        <v>0</v>
      </c>
      <c r="L683" t="n">
        <v>0</v>
      </c>
      <c r="M683" t="n">
        <v>0</v>
      </c>
      <c r="N683" t="n">
        <v>0</v>
      </c>
      <c r="O683" t="n">
        <v>3</v>
      </c>
      <c r="P683" t="n">
        <v>0</v>
      </c>
      <c r="Q683" t="n">
        <v>5</v>
      </c>
      <c r="R683" s="2" t="inlineStr">
        <is>
          <t>Garnlav
Lunglav
Tretåig hackspett
Stuplav
Fläcknycklar</t>
        </is>
      </c>
      <c r="S683">
        <f>HYPERLINK("https://klasma.github.io/Logging_2303/artfynd/A 18629-2024 artfynd.xlsx", "A 18629-2024")</f>
        <v/>
      </c>
      <c r="T683">
        <f>HYPERLINK("https://klasma.github.io/Logging_2303/kartor/A 18629-2024 karta.png", "A 18629-2024")</f>
        <v/>
      </c>
      <c r="V683">
        <f>HYPERLINK("https://klasma.github.io/Logging_2303/klagomål/A 18629-2024 FSC-klagomål.docx", "A 18629-2024")</f>
        <v/>
      </c>
      <c r="W683">
        <f>HYPERLINK("https://klasma.github.io/Logging_2303/klagomålsmail/A 18629-2024 FSC-klagomål mail.docx", "A 18629-2024")</f>
        <v/>
      </c>
      <c r="X683">
        <f>HYPERLINK("https://klasma.github.io/Logging_2303/tillsyn/A 18629-2024 tillsynsbegäran.docx", "A 18629-2024")</f>
        <v/>
      </c>
      <c r="Y683">
        <f>HYPERLINK("https://klasma.github.io/Logging_2303/tillsynsmail/A 18629-2024 tillsynsbegäran mail.docx", "A 18629-2024")</f>
        <v/>
      </c>
      <c r="Z683">
        <f>HYPERLINK("https://klasma.github.io/Logging_2303/fåglar/A 18629-2024 prioriterade fågelarter.docx", "A 18629-2024")</f>
        <v/>
      </c>
    </row>
    <row r="684" ht="15" customHeight="1">
      <c r="A684" t="inlineStr">
        <is>
          <t>A 23246-2025</t>
        </is>
      </c>
      <c r="B684" s="1" t="n">
        <v>45791.51086805556</v>
      </c>
      <c r="C684" s="1" t="n">
        <v>46045</v>
      </c>
      <c r="D684" t="inlineStr">
        <is>
          <t>JÄMTLANDS LÄN</t>
        </is>
      </c>
      <c r="E684" t="inlineStr">
        <is>
          <t>BRÄCKE</t>
        </is>
      </c>
      <c r="F684" t="inlineStr">
        <is>
          <t>SCA</t>
        </is>
      </c>
      <c r="G684" t="n">
        <v>4.2</v>
      </c>
      <c r="H684" t="n">
        <v>0</v>
      </c>
      <c r="I684" t="n">
        <v>1</v>
      </c>
      <c r="J684" t="n">
        <v>4</v>
      </c>
      <c r="K684" t="n">
        <v>0</v>
      </c>
      <c r="L684" t="n">
        <v>0</v>
      </c>
      <c r="M684" t="n">
        <v>0</v>
      </c>
      <c r="N684" t="n">
        <v>0</v>
      </c>
      <c r="O684" t="n">
        <v>4</v>
      </c>
      <c r="P684" t="n">
        <v>0</v>
      </c>
      <c r="Q684" t="n">
        <v>5</v>
      </c>
      <c r="R684" s="2" t="inlineStr">
        <is>
          <t>Garnlav
Lunglav
Ullticka
Vedtrappmossa
Bårdlav</t>
        </is>
      </c>
      <c r="S684">
        <f>HYPERLINK("https://klasma.github.io/Logging_2305/artfynd/A 23246-2025 artfynd.xlsx", "A 23246-2025")</f>
        <v/>
      </c>
      <c r="T684">
        <f>HYPERLINK("https://klasma.github.io/Logging_2305/kartor/A 23246-2025 karta.png", "A 23246-2025")</f>
        <v/>
      </c>
      <c r="V684">
        <f>HYPERLINK("https://klasma.github.io/Logging_2305/klagomål/A 23246-2025 FSC-klagomål.docx", "A 23246-2025")</f>
        <v/>
      </c>
      <c r="W684">
        <f>HYPERLINK("https://klasma.github.io/Logging_2305/klagomålsmail/A 23246-2025 FSC-klagomål mail.docx", "A 23246-2025")</f>
        <v/>
      </c>
      <c r="X684">
        <f>HYPERLINK("https://klasma.github.io/Logging_2305/tillsyn/A 23246-2025 tillsynsbegäran.docx", "A 23246-2025")</f>
        <v/>
      </c>
      <c r="Y684">
        <f>HYPERLINK("https://klasma.github.io/Logging_2305/tillsynsmail/A 23246-2025 tillsynsbegäran mail.docx", "A 23246-2025")</f>
        <v/>
      </c>
    </row>
    <row r="685" ht="15" customHeight="1">
      <c r="A685" t="inlineStr">
        <is>
          <t>A 20039-2024</t>
        </is>
      </c>
      <c r="B685" s="1" t="n">
        <v>45434</v>
      </c>
      <c r="C685" s="1" t="n">
        <v>46045</v>
      </c>
      <c r="D685" t="inlineStr">
        <is>
          <t>JÄMTLANDS LÄN</t>
        </is>
      </c>
      <c r="E685" t="inlineStr">
        <is>
          <t>ÅRE</t>
        </is>
      </c>
      <c r="G685" t="n">
        <v>5.3</v>
      </c>
      <c r="H685" t="n">
        <v>1</v>
      </c>
      <c r="I685" t="n">
        <v>0</v>
      </c>
      <c r="J685" t="n">
        <v>4</v>
      </c>
      <c r="K685" t="n">
        <v>1</v>
      </c>
      <c r="L685" t="n">
        <v>0</v>
      </c>
      <c r="M685" t="n">
        <v>0</v>
      </c>
      <c r="N685" t="n">
        <v>0</v>
      </c>
      <c r="O685" t="n">
        <v>5</v>
      </c>
      <c r="P685" t="n">
        <v>1</v>
      </c>
      <c r="Q685" t="n">
        <v>5</v>
      </c>
      <c r="R685" s="2" t="inlineStr">
        <is>
          <t>Vågticka
Garnlav
Gränsticka
Tretåig hackspett
Ullticka</t>
        </is>
      </c>
      <c r="S685">
        <f>HYPERLINK("https://klasma.github.io/Logging_2321/artfynd/A 20039-2024 artfynd.xlsx", "A 20039-2024")</f>
        <v/>
      </c>
      <c r="T685">
        <f>HYPERLINK("https://klasma.github.io/Logging_2321/kartor/A 20039-2024 karta.png", "A 20039-2024")</f>
        <v/>
      </c>
      <c r="V685">
        <f>HYPERLINK("https://klasma.github.io/Logging_2321/klagomål/A 20039-2024 FSC-klagomål.docx", "A 20039-2024")</f>
        <v/>
      </c>
      <c r="W685">
        <f>HYPERLINK("https://klasma.github.io/Logging_2321/klagomålsmail/A 20039-2024 FSC-klagomål mail.docx", "A 20039-2024")</f>
        <v/>
      </c>
      <c r="X685">
        <f>HYPERLINK("https://klasma.github.io/Logging_2321/tillsyn/A 20039-2024 tillsynsbegäran.docx", "A 20039-2024")</f>
        <v/>
      </c>
      <c r="Y685">
        <f>HYPERLINK("https://klasma.github.io/Logging_2321/tillsynsmail/A 20039-2024 tillsynsbegäran mail.docx", "A 20039-2024")</f>
        <v/>
      </c>
      <c r="Z685">
        <f>HYPERLINK("https://klasma.github.io/Logging_2321/fåglar/A 20039-2024 prioriterade fågelarter.docx", "A 20039-2024")</f>
        <v/>
      </c>
    </row>
    <row r="686" ht="15" customHeight="1">
      <c r="A686" t="inlineStr">
        <is>
          <t>A 45979-2023</t>
        </is>
      </c>
      <c r="B686" s="1" t="n">
        <v>45189</v>
      </c>
      <c r="C686" s="1" t="n">
        <v>46045</v>
      </c>
      <c r="D686" t="inlineStr">
        <is>
          <t>JÄMTLANDS LÄN</t>
        </is>
      </c>
      <c r="E686" t="inlineStr">
        <is>
          <t>ÖSTERSUND</t>
        </is>
      </c>
      <c r="G686" t="n">
        <v>3.3</v>
      </c>
      <c r="H686" t="n">
        <v>3</v>
      </c>
      <c r="I686" t="n">
        <v>2</v>
      </c>
      <c r="J686" t="n">
        <v>0</v>
      </c>
      <c r="K686" t="n">
        <v>0</v>
      </c>
      <c r="L686" t="n">
        <v>1</v>
      </c>
      <c r="M686" t="n">
        <v>0</v>
      </c>
      <c r="N686" t="n">
        <v>0</v>
      </c>
      <c r="O686" t="n">
        <v>1</v>
      </c>
      <c r="P686" t="n">
        <v>1</v>
      </c>
      <c r="Q686" t="n">
        <v>5</v>
      </c>
      <c r="R686" s="2" t="inlineStr">
        <is>
          <t>Trolldruvemätare
Svart trolldruva
Tvåblad
Dactylorhiza incarnata subsp. incarnata
Ängsnycklar</t>
        </is>
      </c>
      <c r="S686">
        <f>HYPERLINK("https://klasma.github.io/Logging_2380/artfynd/A 45979-2023 artfynd.xlsx", "A 45979-2023")</f>
        <v/>
      </c>
      <c r="T686">
        <f>HYPERLINK("https://klasma.github.io/Logging_2380/kartor/A 45979-2023 karta.png", "A 45979-2023")</f>
        <v/>
      </c>
      <c r="V686">
        <f>HYPERLINK("https://klasma.github.io/Logging_2380/klagomål/A 45979-2023 FSC-klagomål.docx", "A 45979-2023")</f>
        <v/>
      </c>
      <c r="W686">
        <f>HYPERLINK("https://klasma.github.io/Logging_2380/klagomålsmail/A 45979-2023 FSC-klagomål mail.docx", "A 45979-2023")</f>
        <v/>
      </c>
      <c r="X686">
        <f>HYPERLINK("https://klasma.github.io/Logging_2380/tillsyn/A 45979-2023 tillsynsbegäran.docx", "A 45979-2023")</f>
        <v/>
      </c>
      <c r="Y686">
        <f>HYPERLINK("https://klasma.github.io/Logging_2380/tillsynsmail/A 45979-2023 tillsynsbegäran mail.docx", "A 45979-2023")</f>
        <v/>
      </c>
    </row>
    <row r="687" ht="15" customHeight="1">
      <c r="A687" t="inlineStr">
        <is>
          <t>A 53815-2024</t>
        </is>
      </c>
      <c r="B687" s="1" t="n">
        <v>45615</v>
      </c>
      <c r="C687" s="1" t="n">
        <v>46045</v>
      </c>
      <c r="D687" t="inlineStr">
        <is>
          <t>JÄMTLANDS LÄN</t>
        </is>
      </c>
      <c r="E687" t="inlineStr">
        <is>
          <t>KROKOM</t>
        </is>
      </c>
      <c r="F687" t="inlineStr">
        <is>
          <t>Övriga Aktiebolag</t>
        </is>
      </c>
      <c r="G687" t="n">
        <v>11.8</v>
      </c>
      <c r="H687" t="n">
        <v>2</v>
      </c>
      <c r="I687" t="n">
        <v>0</v>
      </c>
      <c r="J687" t="n">
        <v>5</v>
      </c>
      <c r="K687" t="n">
        <v>0</v>
      </c>
      <c r="L687" t="n">
        <v>0</v>
      </c>
      <c r="M687" t="n">
        <v>0</v>
      </c>
      <c r="N687" t="n">
        <v>0</v>
      </c>
      <c r="O687" t="n">
        <v>5</v>
      </c>
      <c r="P687" t="n">
        <v>0</v>
      </c>
      <c r="Q687" t="n">
        <v>5</v>
      </c>
      <c r="R687" s="2" t="inlineStr">
        <is>
          <t>Garnlav
Lunglav
Skrovellav
Spillkråka
Tretåig hackspett</t>
        </is>
      </c>
      <c r="S687">
        <f>HYPERLINK("https://klasma.github.io/Logging_2309/artfynd/A 53815-2024 artfynd.xlsx", "A 53815-2024")</f>
        <v/>
      </c>
      <c r="T687">
        <f>HYPERLINK("https://klasma.github.io/Logging_2309/kartor/A 53815-2024 karta.png", "A 53815-2024")</f>
        <v/>
      </c>
      <c r="V687">
        <f>HYPERLINK("https://klasma.github.io/Logging_2309/klagomål/A 53815-2024 FSC-klagomål.docx", "A 53815-2024")</f>
        <v/>
      </c>
      <c r="W687">
        <f>HYPERLINK("https://klasma.github.io/Logging_2309/klagomålsmail/A 53815-2024 FSC-klagomål mail.docx", "A 53815-2024")</f>
        <v/>
      </c>
      <c r="X687">
        <f>HYPERLINK("https://klasma.github.io/Logging_2309/tillsyn/A 53815-2024 tillsynsbegäran.docx", "A 53815-2024")</f>
        <v/>
      </c>
      <c r="Y687">
        <f>HYPERLINK("https://klasma.github.io/Logging_2309/tillsynsmail/A 53815-2024 tillsynsbegäran mail.docx", "A 53815-2024")</f>
        <v/>
      </c>
      <c r="Z687">
        <f>HYPERLINK("https://klasma.github.io/Logging_2309/fåglar/A 53815-2024 prioriterade fågelarter.docx", "A 53815-2024")</f>
        <v/>
      </c>
    </row>
    <row r="688" ht="15" customHeight="1">
      <c r="A688" t="inlineStr">
        <is>
          <t>A 25286-2023</t>
        </is>
      </c>
      <c r="B688" s="1" t="n">
        <v>45079</v>
      </c>
      <c r="C688" s="1" t="n">
        <v>46045</v>
      </c>
      <c r="D688" t="inlineStr">
        <is>
          <t>JÄMTLANDS LÄN</t>
        </is>
      </c>
      <c r="E688" t="inlineStr">
        <is>
          <t>KROKOM</t>
        </is>
      </c>
      <c r="G688" t="n">
        <v>11.4</v>
      </c>
      <c r="H688" t="n">
        <v>1</v>
      </c>
      <c r="I688" t="n">
        <v>2</v>
      </c>
      <c r="J688" t="n">
        <v>3</v>
      </c>
      <c r="K688" t="n">
        <v>0</v>
      </c>
      <c r="L688" t="n">
        <v>0</v>
      </c>
      <c r="M688" t="n">
        <v>0</v>
      </c>
      <c r="N688" t="n">
        <v>0</v>
      </c>
      <c r="O688" t="n">
        <v>3</v>
      </c>
      <c r="P688" t="n">
        <v>0</v>
      </c>
      <c r="Q688" t="n">
        <v>5</v>
      </c>
      <c r="R688" s="2" t="inlineStr">
        <is>
          <t>Garnlav
Gränsticka
Spillkråka
Blodticka
Trådticka</t>
        </is>
      </c>
      <c r="S688">
        <f>HYPERLINK("https://klasma.github.io/Logging_2309/artfynd/A 25286-2023 artfynd.xlsx", "A 25286-2023")</f>
        <v/>
      </c>
      <c r="T688">
        <f>HYPERLINK("https://klasma.github.io/Logging_2309/kartor/A 25286-2023 karta.png", "A 25286-2023")</f>
        <v/>
      </c>
      <c r="V688">
        <f>HYPERLINK("https://klasma.github.io/Logging_2309/klagomål/A 25286-2023 FSC-klagomål.docx", "A 25286-2023")</f>
        <v/>
      </c>
      <c r="W688">
        <f>HYPERLINK("https://klasma.github.io/Logging_2309/klagomålsmail/A 25286-2023 FSC-klagomål mail.docx", "A 25286-2023")</f>
        <v/>
      </c>
      <c r="X688">
        <f>HYPERLINK("https://klasma.github.io/Logging_2309/tillsyn/A 25286-2023 tillsynsbegäran.docx", "A 25286-2023")</f>
        <v/>
      </c>
      <c r="Y688">
        <f>HYPERLINK("https://klasma.github.io/Logging_2309/tillsynsmail/A 25286-2023 tillsynsbegäran mail.docx", "A 25286-2023")</f>
        <v/>
      </c>
      <c r="Z688">
        <f>HYPERLINK("https://klasma.github.io/Logging_2309/fåglar/A 25286-2023 prioriterade fågelarter.docx", "A 25286-2023")</f>
        <v/>
      </c>
    </row>
    <row r="689" ht="15" customHeight="1">
      <c r="A689" t="inlineStr">
        <is>
          <t>A 42565-2024</t>
        </is>
      </c>
      <c r="B689" s="1" t="n">
        <v>45565</v>
      </c>
      <c r="C689" s="1" t="n">
        <v>46045</v>
      </c>
      <c r="D689" t="inlineStr">
        <is>
          <t>JÄMTLANDS LÄN</t>
        </is>
      </c>
      <c r="E689" t="inlineStr">
        <is>
          <t>ÅRE</t>
        </is>
      </c>
      <c r="F689" t="inlineStr">
        <is>
          <t>Övriga Aktiebolag</t>
        </is>
      </c>
      <c r="G689" t="n">
        <v>8.4</v>
      </c>
      <c r="H689" t="n">
        <v>0</v>
      </c>
      <c r="I689" t="n">
        <v>0</v>
      </c>
      <c r="J689" t="n">
        <v>4</v>
      </c>
      <c r="K689" t="n">
        <v>1</v>
      </c>
      <c r="L689" t="n">
        <v>0</v>
      </c>
      <c r="M689" t="n">
        <v>0</v>
      </c>
      <c r="N689" t="n">
        <v>0</v>
      </c>
      <c r="O689" t="n">
        <v>5</v>
      </c>
      <c r="P689" t="n">
        <v>1</v>
      </c>
      <c r="Q689" t="n">
        <v>5</v>
      </c>
      <c r="R689" s="2" t="inlineStr">
        <is>
          <t>Norsk näverlav
Gammelgransskål
Garnlav
Gränsticka
Skrovellav</t>
        </is>
      </c>
      <c r="S689">
        <f>HYPERLINK("https://klasma.github.io/Logging_2321/artfynd/A 42565-2024 artfynd.xlsx", "A 42565-2024")</f>
        <v/>
      </c>
      <c r="T689">
        <f>HYPERLINK("https://klasma.github.io/Logging_2321/kartor/A 42565-2024 karta.png", "A 42565-2024")</f>
        <v/>
      </c>
      <c r="V689">
        <f>HYPERLINK("https://klasma.github.io/Logging_2321/klagomål/A 42565-2024 FSC-klagomål.docx", "A 42565-2024")</f>
        <v/>
      </c>
      <c r="W689">
        <f>HYPERLINK("https://klasma.github.io/Logging_2321/klagomålsmail/A 42565-2024 FSC-klagomål mail.docx", "A 42565-2024")</f>
        <v/>
      </c>
      <c r="X689">
        <f>HYPERLINK("https://klasma.github.io/Logging_2321/tillsyn/A 42565-2024 tillsynsbegäran.docx", "A 42565-2024")</f>
        <v/>
      </c>
      <c r="Y689">
        <f>HYPERLINK("https://klasma.github.io/Logging_2321/tillsynsmail/A 42565-2024 tillsynsbegäran mail.docx", "A 42565-2024")</f>
        <v/>
      </c>
    </row>
    <row r="690" ht="15" customHeight="1">
      <c r="A690" t="inlineStr">
        <is>
          <t>A 10491-2024</t>
        </is>
      </c>
      <c r="B690" s="1" t="n">
        <v>45366</v>
      </c>
      <c r="C690" s="1" t="n">
        <v>46045</v>
      </c>
      <c r="D690" t="inlineStr">
        <is>
          <t>JÄMTLANDS LÄN</t>
        </is>
      </c>
      <c r="E690" t="inlineStr">
        <is>
          <t>ÅRE</t>
        </is>
      </c>
      <c r="G690" t="n">
        <v>13.5</v>
      </c>
      <c r="H690" t="n">
        <v>0</v>
      </c>
      <c r="I690" t="n">
        <v>0</v>
      </c>
      <c r="J690" t="n">
        <v>4</v>
      </c>
      <c r="K690" t="n">
        <v>1</v>
      </c>
      <c r="L690" t="n">
        <v>0</v>
      </c>
      <c r="M690" t="n">
        <v>0</v>
      </c>
      <c r="N690" t="n">
        <v>0</v>
      </c>
      <c r="O690" t="n">
        <v>5</v>
      </c>
      <c r="P690" t="n">
        <v>1</v>
      </c>
      <c r="Q690" t="n">
        <v>5</v>
      </c>
      <c r="R690" s="2" t="inlineStr">
        <is>
          <t>Ulltickeporing
Brunpudrad nållav
Harticka
Rödbrun blekspik
Ullticka</t>
        </is>
      </c>
      <c r="S690">
        <f>HYPERLINK("https://klasma.github.io/Logging_2321/artfynd/A 10491-2024 artfynd.xlsx", "A 10491-2024")</f>
        <v/>
      </c>
      <c r="T690">
        <f>HYPERLINK("https://klasma.github.io/Logging_2321/kartor/A 10491-2024 karta.png", "A 10491-2024")</f>
        <v/>
      </c>
      <c r="V690">
        <f>HYPERLINK("https://klasma.github.io/Logging_2321/klagomål/A 10491-2024 FSC-klagomål.docx", "A 10491-2024")</f>
        <v/>
      </c>
      <c r="W690">
        <f>HYPERLINK("https://klasma.github.io/Logging_2321/klagomålsmail/A 10491-2024 FSC-klagomål mail.docx", "A 10491-2024")</f>
        <v/>
      </c>
      <c r="X690">
        <f>HYPERLINK("https://klasma.github.io/Logging_2321/tillsyn/A 10491-2024 tillsynsbegäran.docx", "A 10491-2024")</f>
        <v/>
      </c>
      <c r="Y690">
        <f>HYPERLINK("https://klasma.github.io/Logging_2321/tillsynsmail/A 10491-2024 tillsynsbegäran mail.docx", "A 10491-2024")</f>
        <v/>
      </c>
    </row>
    <row r="691" ht="15" customHeight="1">
      <c r="A691" t="inlineStr">
        <is>
          <t>A 6748-2024</t>
        </is>
      </c>
      <c r="B691" s="1" t="n">
        <v>45342</v>
      </c>
      <c r="C691" s="1" t="n">
        <v>46045</v>
      </c>
      <c r="D691" t="inlineStr">
        <is>
          <t>JÄMTLANDS LÄN</t>
        </is>
      </c>
      <c r="E691" t="inlineStr">
        <is>
          <t>BRÄCKE</t>
        </is>
      </c>
      <c r="G691" t="n">
        <v>4.1</v>
      </c>
      <c r="H691" t="n">
        <v>1</v>
      </c>
      <c r="I691" t="n">
        <v>0</v>
      </c>
      <c r="J691" t="n">
        <v>4</v>
      </c>
      <c r="K691" t="n">
        <v>1</v>
      </c>
      <c r="L691" t="n">
        <v>0</v>
      </c>
      <c r="M691" t="n">
        <v>0</v>
      </c>
      <c r="N691" t="n">
        <v>0</v>
      </c>
      <c r="O691" t="n">
        <v>5</v>
      </c>
      <c r="P691" t="n">
        <v>1</v>
      </c>
      <c r="Q691" t="n">
        <v>5</v>
      </c>
      <c r="R691" s="2" t="inlineStr">
        <is>
          <t>Knärot
Garnlav
Lunglav
Skrovellav
Ullticka</t>
        </is>
      </c>
      <c r="S691">
        <f>HYPERLINK("https://klasma.github.io/Logging_2305/artfynd/A 6748-2024 artfynd.xlsx", "A 6748-2024")</f>
        <v/>
      </c>
      <c r="T691">
        <f>HYPERLINK("https://klasma.github.io/Logging_2305/kartor/A 6748-2024 karta.png", "A 6748-2024")</f>
        <v/>
      </c>
      <c r="U691">
        <f>HYPERLINK("https://klasma.github.io/Logging_2305/knärot/A 6748-2024 karta knärot.png", "A 6748-2024")</f>
        <v/>
      </c>
      <c r="V691">
        <f>HYPERLINK("https://klasma.github.io/Logging_2305/klagomål/A 6748-2024 FSC-klagomål.docx", "A 6748-2024")</f>
        <v/>
      </c>
      <c r="W691">
        <f>HYPERLINK("https://klasma.github.io/Logging_2305/klagomålsmail/A 6748-2024 FSC-klagomål mail.docx", "A 6748-2024")</f>
        <v/>
      </c>
      <c r="X691">
        <f>HYPERLINK("https://klasma.github.io/Logging_2305/tillsyn/A 6748-2024 tillsynsbegäran.docx", "A 6748-2024")</f>
        <v/>
      </c>
      <c r="Y691">
        <f>HYPERLINK("https://klasma.github.io/Logging_2305/tillsynsmail/A 6748-2024 tillsynsbegäran mail.docx", "A 6748-2024")</f>
        <v/>
      </c>
    </row>
    <row r="692" ht="15" customHeight="1">
      <c r="A692" t="inlineStr">
        <is>
          <t>A 20337-2025</t>
        </is>
      </c>
      <c r="B692" s="1" t="n">
        <v>45775.36545138889</v>
      </c>
      <c r="C692" s="1" t="n">
        <v>46045</v>
      </c>
      <c r="D692" t="inlineStr">
        <is>
          <t>JÄMTLANDS LÄN</t>
        </is>
      </c>
      <c r="E692" t="inlineStr">
        <is>
          <t>BERG</t>
        </is>
      </c>
      <c r="F692" t="inlineStr">
        <is>
          <t>SCA</t>
        </is>
      </c>
      <c r="G692" t="n">
        <v>13.8</v>
      </c>
      <c r="H692" t="n">
        <v>0</v>
      </c>
      <c r="I692" t="n">
        <v>0</v>
      </c>
      <c r="J692" t="n">
        <v>3</v>
      </c>
      <c r="K692" t="n">
        <v>2</v>
      </c>
      <c r="L692" t="n">
        <v>0</v>
      </c>
      <c r="M692" t="n">
        <v>0</v>
      </c>
      <c r="N692" t="n">
        <v>0</v>
      </c>
      <c r="O692" t="n">
        <v>5</v>
      </c>
      <c r="P692" t="n">
        <v>2</v>
      </c>
      <c r="Q692" t="n">
        <v>5</v>
      </c>
      <c r="R692" s="2" t="inlineStr">
        <is>
          <t>Gräddporing
Tajgataggsvamp
Dvärgbägarlav
Nordtagging
Vaddporing</t>
        </is>
      </c>
      <c r="S692">
        <f>HYPERLINK("https://klasma.github.io/Logging_2326/artfynd/A 20337-2025 artfynd.xlsx", "A 20337-2025")</f>
        <v/>
      </c>
      <c r="T692">
        <f>HYPERLINK("https://klasma.github.io/Logging_2326/kartor/A 20337-2025 karta.png", "A 20337-2025")</f>
        <v/>
      </c>
      <c r="V692">
        <f>HYPERLINK("https://klasma.github.io/Logging_2326/klagomål/A 20337-2025 FSC-klagomål.docx", "A 20337-2025")</f>
        <v/>
      </c>
      <c r="W692">
        <f>HYPERLINK("https://klasma.github.io/Logging_2326/klagomålsmail/A 20337-2025 FSC-klagomål mail.docx", "A 20337-2025")</f>
        <v/>
      </c>
      <c r="X692">
        <f>HYPERLINK("https://klasma.github.io/Logging_2326/tillsyn/A 20337-2025 tillsynsbegäran.docx", "A 20337-2025")</f>
        <v/>
      </c>
      <c r="Y692">
        <f>HYPERLINK("https://klasma.github.io/Logging_2326/tillsynsmail/A 20337-2025 tillsynsbegäran mail.docx", "A 20337-2025")</f>
        <v/>
      </c>
    </row>
    <row r="693" ht="15" customHeight="1">
      <c r="A693" t="inlineStr">
        <is>
          <t>A 26206-2025</t>
        </is>
      </c>
      <c r="B693" s="1" t="n">
        <v>45805.51493055555</v>
      </c>
      <c r="C693" s="1" t="n">
        <v>46045</v>
      </c>
      <c r="D693" t="inlineStr">
        <is>
          <t>JÄMTLANDS LÄN</t>
        </is>
      </c>
      <c r="E693" t="inlineStr">
        <is>
          <t>STRÖMSUND</t>
        </is>
      </c>
      <c r="G693" t="n">
        <v>13</v>
      </c>
      <c r="H693" t="n">
        <v>1</v>
      </c>
      <c r="I693" t="n">
        <v>3</v>
      </c>
      <c r="J693" t="n">
        <v>2</v>
      </c>
      <c r="K693" t="n">
        <v>0</v>
      </c>
      <c r="L693" t="n">
        <v>0</v>
      </c>
      <c r="M693" t="n">
        <v>0</v>
      </c>
      <c r="N693" t="n">
        <v>0</v>
      </c>
      <c r="O693" t="n">
        <v>2</v>
      </c>
      <c r="P693" t="n">
        <v>0</v>
      </c>
      <c r="Q693" t="n">
        <v>5</v>
      </c>
      <c r="R693" s="2" t="inlineStr">
        <is>
          <t>Lunglav
Skrovellav
Grönkulla
Stor aspticka
Stuplav</t>
        </is>
      </c>
      <c r="S693">
        <f>HYPERLINK("https://klasma.github.io/Logging_2313/artfynd/A 26206-2025 artfynd.xlsx", "A 26206-2025")</f>
        <v/>
      </c>
      <c r="T693">
        <f>HYPERLINK("https://klasma.github.io/Logging_2313/kartor/A 26206-2025 karta.png", "A 26206-2025")</f>
        <v/>
      </c>
      <c r="V693">
        <f>HYPERLINK("https://klasma.github.io/Logging_2313/klagomål/A 26206-2025 FSC-klagomål.docx", "A 26206-2025")</f>
        <v/>
      </c>
      <c r="W693">
        <f>HYPERLINK("https://klasma.github.io/Logging_2313/klagomålsmail/A 26206-2025 FSC-klagomål mail.docx", "A 26206-2025")</f>
        <v/>
      </c>
      <c r="X693">
        <f>HYPERLINK("https://klasma.github.io/Logging_2313/tillsyn/A 26206-2025 tillsynsbegäran.docx", "A 26206-2025")</f>
        <v/>
      </c>
      <c r="Y693">
        <f>HYPERLINK("https://klasma.github.io/Logging_2313/tillsynsmail/A 26206-2025 tillsynsbegäran mail.docx", "A 26206-2025")</f>
        <v/>
      </c>
    </row>
    <row r="694" ht="15" customHeight="1">
      <c r="A694" t="inlineStr">
        <is>
          <t>A 60683-2022</t>
        </is>
      </c>
      <c r="B694" s="1" t="n">
        <v>44911</v>
      </c>
      <c r="C694" s="1" t="n">
        <v>46045</v>
      </c>
      <c r="D694" t="inlineStr">
        <is>
          <t>JÄMTLANDS LÄN</t>
        </is>
      </c>
      <c r="E694" t="inlineStr">
        <is>
          <t>RAGUNDA</t>
        </is>
      </c>
      <c r="F694" t="inlineStr">
        <is>
          <t>SCA</t>
        </is>
      </c>
      <c r="G694" t="n">
        <v>2.4</v>
      </c>
      <c r="H694" t="n">
        <v>2</v>
      </c>
      <c r="I694" t="n">
        <v>2</v>
      </c>
      <c r="J694" t="n">
        <v>1</v>
      </c>
      <c r="K694" t="n">
        <v>0</v>
      </c>
      <c r="L694" t="n">
        <v>0</v>
      </c>
      <c r="M694" t="n">
        <v>0</v>
      </c>
      <c r="N694" t="n">
        <v>0</v>
      </c>
      <c r="O694" t="n">
        <v>1</v>
      </c>
      <c r="P694" t="n">
        <v>0</v>
      </c>
      <c r="Q694" t="n">
        <v>5</v>
      </c>
      <c r="R694" s="2" t="inlineStr">
        <is>
          <t>Granticka
Blodticka
Diskvaxskivling
Fläcknycklar
Blåsippa</t>
        </is>
      </c>
      <c r="S694">
        <f>HYPERLINK("https://klasma.github.io/Logging_2303/artfynd/A 60683-2022 artfynd.xlsx", "A 60683-2022")</f>
        <v/>
      </c>
      <c r="T694">
        <f>HYPERLINK("https://klasma.github.io/Logging_2303/kartor/A 60683-2022 karta.png", "A 60683-2022")</f>
        <v/>
      </c>
      <c r="V694">
        <f>HYPERLINK("https://klasma.github.io/Logging_2303/klagomål/A 60683-2022 FSC-klagomål.docx", "A 60683-2022")</f>
        <v/>
      </c>
      <c r="W694">
        <f>HYPERLINK("https://klasma.github.io/Logging_2303/klagomålsmail/A 60683-2022 FSC-klagomål mail.docx", "A 60683-2022")</f>
        <v/>
      </c>
      <c r="X694">
        <f>HYPERLINK("https://klasma.github.io/Logging_2303/tillsyn/A 60683-2022 tillsynsbegäran.docx", "A 60683-2022")</f>
        <v/>
      </c>
      <c r="Y694">
        <f>HYPERLINK("https://klasma.github.io/Logging_2303/tillsynsmail/A 60683-2022 tillsynsbegäran mail.docx", "A 60683-2022")</f>
        <v/>
      </c>
    </row>
    <row r="695" ht="15" customHeight="1">
      <c r="A695" t="inlineStr">
        <is>
          <t>A 48914-2021</t>
        </is>
      </c>
      <c r="B695" s="1" t="n">
        <v>44452</v>
      </c>
      <c r="C695" s="1" t="n">
        <v>46045</v>
      </c>
      <c r="D695" t="inlineStr">
        <is>
          <t>JÄMTLANDS LÄN</t>
        </is>
      </c>
      <c r="E695" t="inlineStr">
        <is>
          <t>KROKOM</t>
        </is>
      </c>
      <c r="G695" t="n">
        <v>20.4</v>
      </c>
      <c r="H695" t="n">
        <v>1</v>
      </c>
      <c r="I695" t="n">
        <v>2</v>
      </c>
      <c r="J695" t="n">
        <v>3</v>
      </c>
      <c r="K695" t="n">
        <v>0</v>
      </c>
      <c r="L695" t="n">
        <v>0</v>
      </c>
      <c r="M695" t="n">
        <v>0</v>
      </c>
      <c r="N695" t="n">
        <v>0</v>
      </c>
      <c r="O695" t="n">
        <v>3</v>
      </c>
      <c r="P695" t="n">
        <v>0</v>
      </c>
      <c r="Q695" t="n">
        <v>5</v>
      </c>
      <c r="R695" s="2" t="inlineStr">
        <is>
          <t>Brunpudrad nållav
Granticka
Rödbrun blekspik
Gulnål
Spindelblomster</t>
        </is>
      </c>
      <c r="S695">
        <f>HYPERLINK("https://klasma.github.io/Logging_2309/artfynd/A 48914-2021 artfynd.xlsx", "A 48914-2021")</f>
        <v/>
      </c>
      <c r="T695">
        <f>HYPERLINK("https://klasma.github.io/Logging_2309/kartor/A 48914-2021 karta.png", "A 48914-2021")</f>
        <v/>
      </c>
      <c r="V695">
        <f>HYPERLINK("https://klasma.github.io/Logging_2309/klagomål/A 48914-2021 FSC-klagomål.docx", "A 48914-2021")</f>
        <v/>
      </c>
      <c r="W695">
        <f>HYPERLINK("https://klasma.github.io/Logging_2309/klagomålsmail/A 48914-2021 FSC-klagomål mail.docx", "A 48914-2021")</f>
        <v/>
      </c>
      <c r="X695">
        <f>HYPERLINK("https://klasma.github.io/Logging_2309/tillsyn/A 48914-2021 tillsynsbegäran.docx", "A 48914-2021")</f>
        <v/>
      </c>
      <c r="Y695">
        <f>HYPERLINK("https://klasma.github.io/Logging_2309/tillsynsmail/A 48914-2021 tillsynsbegäran mail.docx", "A 48914-2021")</f>
        <v/>
      </c>
    </row>
    <row r="696" ht="15" customHeight="1">
      <c r="A696" t="inlineStr">
        <is>
          <t>A 15379-2024</t>
        </is>
      </c>
      <c r="B696" s="1" t="n">
        <v>45400.94002314815</v>
      </c>
      <c r="C696" s="1" t="n">
        <v>46045</v>
      </c>
      <c r="D696" t="inlineStr">
        <is>
          <t>JÄMTLANDS LÄN</t>
        </is>
      </c>
      <c r="E696" t="inlineStr">
        <is>
          <t>RAGUNDA</t>
        </is>
      </c>
      <c r="F696" t="inlineStr">
        <is>
          <t>SCA</t>
        </is>
      </c>
      <c r="G696" t="n">
        <v>4.2</v>
      </c>
      <c r="H696" t="n">
        <v>3</v>
      </c>
      <c r="I696" t="n">
        <v>3</v>
      </c>
      <c r="J696" t="n">
        <v>0</v>
      </c>
      <c r="K696" t="n">
        <v>1</v>
      </c>
      <c r="L696" t="n">
        <v>0</v>
      </c>
      <c r="M696" t="n">
        <v>0</v>
      </c>
      <c r="N696" t="n">
        <v>0</v>
      </c>
      <c r="O696" t="n">
        <v>1</v>
      </c>
      <c r="P696" t="n">
        <v>1</v>
      </c>
      <c r="Q696" t="n">
        <v>5</v>
      </c>
      <c r="R696" s="2" t="inlineStr">
        <is>
          <t>Knärot
Finbräken
Guckusko
Svavelriska
Blåsippa</t>
        </is>
      </c>
      <c r="S696">
        <f>HYPERLINK("https://klasma.github.io/Logging_2303/artfynd/A 15379-2024 artfynd.xlsx", "A 15379-2024")</f>
        <v/>
      </c>
      <c r="T696">
        <f>HYPERLINK("https://klasma.github.io/Logging_2303/kartor/A 15379-2024 karta.png", "A 15379-2024")</f>
        <v/>
      </c>
      <c r="U696">
        <f>HYPERLINK("https://klasma.github.io/Logging_2303/knärot/A 15379-2024 karta knärot.png", "A 15379-2024")</f>
        <v/>
      </c>
      <c r="V696">
        <f>HYPERLINK("https://klasma.github.io/Logging_2303/klagomål/A 15379-2024 FSC-klagomål.docx", "A 15379-2024")</f>
        <v/>
      </c>
      <c r="W696">
        <f>HYPERLINK("https://klasma.github.io/Logging_2303/klagomålsmail/A 15379-2024 FSC-klagomål mail.docx", "A 15379-2024")</f>
        <v/>
      </c>
      <c r="X696">
        <f>HYPERLINK("https://klasma.github.io/Logging_2303/tillsyn/A 15379-2024 tillsynsbegäran.docx", "A 15379-2024")</f>
        <v/>
      </c>
      <c r="Y696">
        <f>HYPERLINK("https://klasma.github.io/Logging_2303/tillsynsmail/A 15379-2024 tillsynsbegäran mail.docx", "A 15379-2024")</f>
        <v/>
      </c>
    </row>
    <row r="697" ht="15" customHeight="1">
      <c r="A697" t="inlineStr">
        <is>
          <t>A 19925-2025</t>
        </is>
      </c>
      <c r="B697" s="1" t="n">
        <v>45771.634375</v>
      </c>
      <c r="C697" s="1" t="n">
        <v>46045</v>
      </c>
      <c r="D697" t="inlineStr">
        <is>
          <t>JÄMTLANDS LÄN</t>
        </is>
      </c>
      <c r="E697" t="inlineStr">
        <is>
          <t>ÅRE</t>
        </is>
      </c>
      <c r="G697" t="n">
        <v>7.6</v>
      </c>
      <c r="H697" t="n">
        <v>1</v>
      </c>
      <c r="I697" t="n">
        <v>1</v>
      </c>
      <c r="J697" t="n">
        <v>2</v>
      </c>
      <c r="K697" t="n">
        <v>0</v>
      </c>
      <c r="L697" t="n">
        <v>1</v>
      </c>
      <c r="M697" t="n">
        <v>0</v>
      </c>
      <c r="N697" t="n">
        <v>0</v>
      </c>
      <c r="O697" t="n">
        <v>3</v>
      </c>
      <c r="P697" t="n">
        <v>1</v>
      </c>
      <c r="Q697" t="n">
        <v>5</v>
      </c>
      <c r="R697" s="2" t="inlineStr">
        <is>
          <t>Skarptandad daggkåpa
Liten svartspik
Vitgrynig nållav
Kornig nållav
Blåsippa</t>
        </is>
      </c>
      <c r="S697">
        <f>HYPERLINK("https://klasma.github.io/Logging_2321/artfynd/A 19925-2025 artfynd.xlsx", "A 19925-2025")</f>
        <v/>
      </c>
      <c r="T697">
        <f>HYPERLINK("https://klasma.github.io/Logging_2321/kartor/A 19925-2025 karta.png", "A 19925-2025")</f>
        <v/>
      </c>
      <c r="V697">
        <f>HYPERLINK("https://klasma.github.io/Logging_2321/klagomål/A 19925-2025 FSC-klagomål.docx", "A 19925-2025")</f>
        <v/>
      </c>
      <c r="W697">
        <f>HYPERLINK("https://klasma.github.io/Logging_2321/klagomålsmail/A 19925-2025 FSC-klagomål mail.docx", "A 19925-2025")</f>
        <v/>
      </c>
      <c r="X697">
        <f>HYPERLINK("https://klasma.github.io/Logging_2321/tillsyn/A 19925-2025 tillsynsbegäran.docx", "A 19925-2025")</f>
        <v/>
      </c>
      <c r="Y697">
        <f>HYPERLINK("https://klasma.github.io/Logging_2321/tillsynsmail/A 19925-2025 tillsynsbegäran mail.docx", "A 19925-2025")</f>
        <v/>
      </c>
    </row>
    <row r="698" ht="15" customHeight="1">
      <c r="A698" t="inlineStr">
        <is>
          <t>A 62060-2025</t>
        </is>
      </c>
      <c r="B698" s="1" t="n">
        <v>46006.34435185185</v>
      </c>
      <c r="C698" s="1" t="n">
        <v>46045</v>
      </c>
      <c r="D698" t="inlineStr">
        <is>
          <t>JÄMTLANDS LÄN</t>
        </is>
      </c>
      <c r="E698" t="inlineStr">
        <is>
          <t>ÖSTERSUND</t>
        </is>
      </c>
      <c r="F698" t="inlineStr">
        <is>
          <t>SCA</t>
        </is>
      </c>
      <c r="G698" t="n">
        <v>6</v>
      </c>
      <c r="H698" t="n">
        <v>1</v>
      </c>
      <c r="I698" t="n">
        <v>3</v>
      </c>
      <c r="J698" t="n">
        <v>2</v>
      </c>
      <c r="K698" t="n">
        <v>0</v>
      </c>
      <c r="L698" t="n">
        <v>0</v>
      </c>
      <c r="M698" t="n">
        <v>0</v>
      </c>
      <c r="N698" t="n">
        <v>0</v>
      </c>
      <c r="O698" t="n">
        <v>2</v>
      </c>
      <c r="P698" t="n">
        <v>0</v>
      </c>
      <c r="Q698" t="n">
        <v>5</v>
      </c>
      <c r="R698" s="2" t="inlineStr">
        <is>
          <t>Skrovlig taggsvamp
Tretåig hackspett
Dropptaggsvamp
Fjällig taggsvamp s.str.
Skarp dropptaggsvamp</t>
        </is>
      </c>
      <c r="S698">
        <f>HYPERLINK("https://klasma.github.io/Logging_2380/artfynd/A 62060-2025 artfynd.xlsx", "A 62060-2025")</f>
        <v/>
      </c>
      <c r="T698">
        <f>HYPERLINK("https://klasma.github.io/Logging_2380/kartor/A 62060-2025 karta.png", "A 62060-2025")</f>
        <v/>
      </c>
      <c r="V698">
        <f>HYPERLINK("https://klasma.github.io/Logging_2380/klagomål/A 62060-2025 FSC-klagomål.docx", "A 62060-2025")</f>
        <v/>
      </c>
      <c r="W698">
        <f>HYPERLINK("https://klasma.github.io/Logging_2380/klagomålsmail/A 62060-2025 FSC-klagomål mail.docx", "A 62060-2025")</f>
        <v/>
      </c>
      <c r="X698">
        <f>HYPERLINK("https://klasma.github.io/Logging_2380/tillsyn/A 62060-2025 tillsynsbegäran.docx", "A 62060-2025")</f>
        <v/>
      </c>
      <c r="Y698">
        <f>HYPERLINK("https://klasma.github.io/Logging_2380/tillsynsmail/A 62060-2025 tillsynsbegäran mail.docx", "A 62060-2025")</f>
        <v/>
      </c>
      <c r="Z698">
        <f>HYPERLINK("https://klasma.github.io/Logging_2380/fåglar/A 62060-2025 prioriterade fågelarter.docx", "A 62060-2025")</f>
        <v/>
      </c>
    </row>
    <row r="699" ht="15" customHeight="1">
      <c r="A699" t="inlineStr">
        <is>
          <t>A 63663-2025</t>
        </is>
      </c>
      <c r="B699" s="1" t="n">
        <v>46014.45143518518</v>
      </c>
      <c r="C699" s="1" t="n">
        <v>46045</v>
      </c>
      <c r="D699" t="inlineStr">
        <is>
          <t>JÄMTLANDS LÄN</t>
        </is>
      </c>
      <c r="E699" t="inlineStr">
        <is>
          <t>HÄRJEDALEN</t>
        </is>
      </c>
      <c r="G699" t="n">
        <v>16.5</v>
      </c>
      <c r="H699" t="n">
        <v>0</v>
      </c>
      <c r="I699" t="n">
        <v>2</v>
      </c>
      <c r="J699" t="n">
        <v>3</v>
      </c>
      <c r="K699" t="n">
        <v>0</v>
      </c>
      <c r="L699" t="n">
        <v>0</v>
      </c>
      <c r="M699" t="n">
        <v>0</v>
      </c>
      <c r="N699" t="n">
        <v>0</v>
      </c>
      <c r="O699" t="n">
        <v>3</v>
      </c>
      <c r="P699" t="n">
        <v>0</v>
      </c>
      <c r="Q699" t="n">
        <v>5</v>
      </c>
      <c r="R699" s="2" t="inlineStr">
        <is>
          <t>Blå taggsvamp
Orange taggsvamp
Svart taggsvamp
Dropptaggsvamp
Skarp dropptaggsvamp</t>
        </is>
      </c>
      <c r="S699">
        <f>HYPERLINK("https://klasma.github.io/Logging_2361/artfynd/A 63663-2025 artfynd.xlsx", "A 63663-2025")</f>
        <v/>
      </c>
      <c r="T699">
        <f>HYPERLINK("https://klasma.github.io/Logging_2361/kartor/A 63663-2025 karta.png", "A 63663-2025")</f>
        <v/>
      </c>
      <c r="V699">
        <f>HYPERLINK("https://klasma.github.io/Logging_2361/klagomål/A 63663-2025 FSC-klagomål.docx", "A 63663-2025")</f>
        <v/>
      </c>
      <c r="W699">
        <f>HYPERLINK("https://klasma.github.io/Logging_2361/klagomålsmail/A 63663-2025 FSC-klagomål mail.docx", "A 63663-2025")</f>
        <v/>
      </c>
      <c r="X699">
        <f>HYPERLINK("https://klasma.github.io/Logging_2361/tillsyn/A 63663-2025 tillsynsbegäran.docx", "A 63663-2025")</f>
        <v/>
      </c>
      <c r="Y699">
        <f>HYPERLINK("https://klasma.github.io/Logging_2361/tillsynsmail/A 63663-2025 tillsynsbegäran mail.docx", "A 63663-2025")</f>
        <v/>
      </c>
    </row>
    <row r="700" ht="15" customHeight="1">
      <c r="A700" t="inlineStr">
        <is>
          <t>A 28659-2025</t>
        </is>
      </c>
      <c r="B700" s="1" t="n">
        <v>45819.65783564815</v>
      </c>
      <c r="C700" s="1" t="n">
        <v>46045</v>
      </c>
      <c r="D700" t="inlineStr">
        <is>
          <t>JÄMTLANDS LÄN</t>
        </is>
      </c>
      <c r="E700" t="inlineStr">
        <is>
          <t>BERG</t>
        </is>
      </c>
      <c r="G700" t="n">
        <v>4.8</v>
      </c>
      <c r="H700" t="n">
        <v>2</v>
      </c>
      <c r="I700" t="n">
        <v>2</v>
      </c>
      <c r="J700" t="n">
        <v>3</v>
      </c>
      <c r="K700" t="n">
        <v>0</v>
      </c>
      <c r="L700" t="n">
        <v>0</v>
      </c>
      <c r="M700" t="n">
        <v>0</v>
      </c>
      <c r="N700" t="n">
        <v>0</v>
      </c>
      <c r="O700" t="n">
        <v>3</v>
      </c>
      <c r="P700" t="n">
        <v>0</v>
      </c>
      <c r="Q700" t="n">
        <v>5</v>
      </c>
      <c r="R700" s="2" t="inlineStr">
        <is>
          <t>Garnlav
Lunglav
Vitgrynig nållav
Korallrot
Spindelblomster</t>
        </is>
      </c>
      <c r="S700">
        <f>HYPERLINK("https://klasma.github.io/Logging_2326/artfynd/A 28659-2025 artfynd.xlsx", "A 28659-2025")</f>
        <v/>
      </c>
      <c r="T700">
        <f>HYPERLINK("https://klasma.github.io/Logging_2326/kartor/A 28659-2025 karta.png", "A 28659-2025")</f>
        <v/>
      </c>
      <c r="V700">
        <f>HYPERLINK("https://klasma.github.io/Logging_2326/klagomål/A 28659-2025 FSC-klagomål.docx", "A 28659-2025")</f>
        <v/>
      </c>
      <c r="W700">
        <f>HYPERLINK("https://klasma.github.io/Logging_2326/klagomålsmail/A 28659-2025 FSC-klagomål mail.docx", "A 28659-2025")</f>
        <v/>
      </c>
      <c r="X700">
        <f>HYPERLINK("https://klasma.github.io/Logging_2326/tillsyn/A 28659-2025 tillsynsbegäran.docx", "A 28659-2025")</f>
        <v/>
      </c>
      <c r="Y700">
        <f>HYPERLINK("https://klasma.github.io/Logging_2326/tillsynsmail/A 28659-2025 tillsynsbegäran mail.docx", "A 28659-2025")</f>
        <v/>
      </c>
    </row>
    <row r="701" ht="15" customHeight="1">
      <c r="A701" t="inlineStr">
        <is>
          <t>A 56152-2025</t>
        </is>
      </c>
      <c r="B701" s="1" t="n">
        <v>45974.36434027777</v>
      </c>
      <c r="C701" s="1" t="n">
        <v>46045</v>
      </c>
      <c r="D701" t="inlineStr">
        <is>
          <t>JÄMTLANDS LÄN</t>
        </is>
      </c>
      <c r="E701" t="inlineStr">
        <is>
          <t>KROKOM</t>
        </is>
      </c>
      <c r="G701" t="n">
        <v>6.7</v>
      </c>
      <c r="H701" t="n">
        <v>2</v>
      </c>
      <c r="I701" t="n">
        <v>0</v>
      </c>
      <c r="J701" t="n">
        <v>4</v>
      </c>
      <c r="K701" t="n">
        <v>0</v>
      </c>
      <c r="L701" t="n">
        <v>0</v>
      </c>
      <c r="M701" t="n">
        <v>0</v>
      </c>
      <c r="N701" t="n">
        <v>0</v>
      </c>
      <c r="O701" t="n">
        <v>4</v>
      </c>
      <c r="P701" t="n">
        <v>0</v>
      </c>
      <c r="Q701" t="n">
        <v>5</v>
      </c>
      <c r="R701" s="2" t="inlineStr">
        <is>
          <t>Garnlav
Granticka
Harticka
Tretåig hackspett
Revlummer</t>
        </is>
      </c>
      <c r="S701">
        <f>HYPERLINK("https://klasma.github.io/Logging_2309/artfynd/A 56152-2025 artfynd.xlsx", "A 56152-2025")</f>
        <v/>
      </c>
      <c r="T701">
        <f>HYPERLINK("https://klasma.github.io/Logging_2309/kartor/A 56152-2025 karta.png", "A 56152-2025")</f>
        <v/>
      </c>
      <c r="V701">
        <f>HYPERLINK("https://klasma.github.io/Logging_2309/klagomål/A 56152-2025 FSC-klagomål.docx", "A 56152-2025")</f>
        <v/>
      </c>
      <c r="W701">
        <f>HYPERLINK("https://klasma.github.io/Logging_2309/klagomålsmail/A 56152-2025 FSC-klagomål mail.docx", "A 56152-2025")</f>
        <v/>
      </c>
      <c r="X701">
        <f>HYPERLINK("https://klasma.github.io/Logging_2309/tillsyn/A 56152-2025 tillsynsbegäran.docx", "A 56152-2025")</f>
        <v/>
      </c>
      <c r="Y701">
        <f>HYPERLINK("https://klasma.github.io/Logging_2309/tillsynsmail/A 56152-2025 tillsynsbegäran mail.docx", "A 56152-2025")</f>
        <v/>
      </c>
      <c r="Z701">
        <f>HYPERLINK("https://klasma.github.io/Logging_2309/fåglar/A 56152-2025 prioriterade fågelarter.docx", "A 56152-2025")</f>
        <v/>
      </c>
    </row>
    <row r="702" ht="15" customHeight="1">
      <c r="A702" t="inlineStr">
        <is>
          <t>A 29117-2025</t>
        </is>
      </c>
      <c r="B702" s="1" t="n">
        <v>45821.59243055555</v>
      </c>
      <c r="C702" s="1" t="n">
        <v>46045</v>
      </c>
      <c r="D702" t="inlineStr">
        <is>
          <t>JÄMTLANDS LÄN</t>
        </is>
      </c>
      <c r="E702" t="inlineStr">
        <is>
          <t>ÖSTERSUND</t>
        </is>
      </c>
      <c r="G702" t="n">
        <v>15.4</v>
      </c>
      <c r="H702" t="n">
        <v>5</v>
      </c>
      <c r="I702" t="n">
        <v>2</v>
      </c>
      <c r="J702" t="n">
        <v>0</v>
      </c>
      <c r="K702" t="n">
        <v>1</v>
      </c>
      <c r="L702" t="n">
        <v>0</v>
      </c>
      <c r="M702" t="n">
        <v>0</v>
      </c>
      <c r="N702" t="n">
        <v>0</v>
      </c>
      <c r="O702" t="n">
        <v>1</v>
      </c>
      <c r="P702" t="n">
        <v>1</v>
      </c>
      <c r="Q702" t="n">
        <v>5</v>
      </c>
      <c r="R702" s="2" t="inlineStr">
        <is>
          <t>Knärot
Guckusko
Spindelblomster
Fläcknycklar
Revlummer</t>
        </is>
      </c>
      <c r="S702">
        <f>HYPERLINK("https://klasma.github.io/Logging_2380/artfynd/A 29117-2025 artfynd.xlsx", "A 29117-2025")</f>
        <v/>
      </c>
      <c r="T702">
        <f>HYPERLINK("https://klasma.github.io/Logging_2380/kartor/A 29117-2025 karta.png", "A 29117-2025")</f>
        <v/>
      </c>
      <c r="U702">
        <f>HYPERLINK("https://klasma.github.io/Logging_2380/knärot/A 29117-2025 karta knärot.png", "A 29117-2025")</f>
        <v/>
      </c>
      <c r="V702">
        <f>HYPERLINK("https://klasma.github.io/Logging_2380/klagomål/A 29117-2025 FSC-klagomål.docx", "A 29117-2025")</f>
        <v/>
      </c>
      <c r="W702">
        <f>HYPERLINK("https://klasma.github.io/Logging_2380/klagomålsmail/A 29117-2025 FSC-klagomål mail.docx", "A 29117-2025")</f>
        <v/>
      </c>
      <c r="X702">
        <f>HYPERLINK("https://klasma.github.io/Logging_2380/tillsyn/A 29117-2025 tillsynsbegäran.docx", "A 29117-2025")</f>
        <v/>
      </c>
      <c r="Y702">
        <f>HYPERLINK("https://klasma.github.io/Logging_2380/tillsynsmail/A 29117-2025 tillsynsbegäran mail.docx", "A 29117-2025")</f>
        <v/>
      </c>
    </row>
    <row r="703" ht="15" customHeight="1">
      <c r="A703" t="inlineStr">
        <is>
          <t>A 56516-2025</t>
        </is>
      </c>
      <c r="B703" s="1" t="n">
        <v>45975.45591435185</v>
      </c>
      <c r="C703" s="1" t="n">
        <v>46045</v>
      </c>
      <c r="D703" t="inlineStr">
        <is>
          <t>JÄMTLANDS LÄN</t>
        </is>
      </c>
      <c r="E703" t="inlineStr">
        <is>
          <t>HÄRJEDALEN</t>
        </is>
      </c>
      <c r="F703" t="inlineStr">
        <is>
          <t>Bergvik skog väst AB</t>
        </is>
      </c>
      <c r="G703" t="n">
        <v>11.7</v>
      </c>
      <c r="H703" t="n">
        <v>0</v>
      </c>
      <c r="I703" t="n">
        <v>0</v>
      </c>
      <c r="J703" t="n">
        <v>5</v>
      </c>
      <c r="K703" t="n">
        <v>0</v>
      </c>
      <c r="L703" t="n">
        <v>0</v>
      </c>
      <c r="M703" t="n">
        <v>0</v>
      </c>
      <c r="N703" t="n">
        <v>0</v>
      </c>
      <c r="O703" t="n">
        <v>5</v>
      </c>
      <c r="P703" t="n">
        <v>0</v>
      </c>
      <c r="Q703" t="n">
        <v>5</v>
      </c>
      <c r="R703" s="2" t="inlineStr">
        <is>
          <t>Garnlav
Kolflarnlav
Mörk kolflarnlav
Vedskivlav
Vitgrynig nållav</t>
        </is>
      </c>
      <c r="S703">
        <f>HYPERLINK("https://klasma.github.io/Logging_2361/artfynd/A 56516-2025 artfynd.xlsx", "A 56516-2025")</f>
        <v/>
      </c>
      <c r="T703">
        <f>HYPERLINK("https://klasma.github.io/Logging_2361/kartor/A 56516-2025 karta.png", "A 56516-2025")</f>
        <v/>
      </c>
      <c r="V703">
        <f>HYPERLINK("https://klasma.github.io/Logging_2361/klagomål/A 56516-2025 FSC-klagomål.docx", "A 56516-2025")</f>
        <v/>
      </c>
      <c r="W703">
        <f>HYPERLINK("https://klasma.github.io/Logging_2361/klagomålsmail/A 56516-2025 FSC-klagomål mail.docx", "A 56516-2025")</f>
        <v/>
      </c>
      <c r="X703">
        <f>HYPERLINK("https://klasma.github.io/Logging_2361/tillsyn/A 56516-2025 tillsynsbegäran.docx", "A 56516-2025")</f>
        <v/>
      </c>
      <c r="Y703">
        <f>HYPERLINK("https://klasma.github.io/Logging_2361/tillsynsmail/A 56516-2025 tillsynsbegäran mail.docx", "A 56516-2025")</f>
        <v/>
      </c>
    </row>
    <row r="704" ht="15" customHeight="1">
      <c r="A704" t="inlineStr">
        <is>
          <t>A 56934-2025</t>
        </is>
      </c>
      <c r="B704" s="1" t="n">
        <v>45978.61351851852</v>
      </c>
      <c r="C704" s="1" t="n">
        <v>46045</v>
      </c>
      <c r="D704" t="inlineStr">
        <is>
          <t>JÄMTLANDS LÄN</t>
        </is>
      </c>
      <c r="E704" t="inlineStr">
        <is>
          <t>ÖSTERSUND</t>
        </is>
      </c>
      <c r="G704" t="n">
        <v>4.3</v>
      </c>
      <c r="H704" t="n">
        <v>2</v>
      </c>
      <c r="I704" t="n">
        <v>0</v>
      </c>
      <c r="J704" t="n">
        <v>4</v>
      </c>
      <c r="K704" t="n">
        <v>0</v>
      </c>
      <c r="L704" t="n">
        <v>0</v>
      </c>
      <c r="M704" t="n">
        <v>0</v>
      </c>
      <c r="N704" t="n">
        <v>0</v>
      </c>
      <c r="O704" t="n">
        <v>4</v>
      </c>
      <c r="P704" t="n">
        <v>0</v>
      </c>
      <c r="Q704" t="n">
        <v>5</v>
      </c>
      <c r="R704" s="2" t="inlineStr">
        <is>
          <t>Garnlav
Granticka
Harticka
Talltita
Revlummer</t>
        </is>
      </c>
      <c r="S704">
        <f>HYPERLINK("https://klasma.github.io/Logging_2380/artfynd/A 56934-2025 artfynd.xlsx", "A 56934-2025")</f>
        <v/>
      </c>
      <c r="T704">
        <f>HYPERLINK("https://klasma.github.io/Logging_2380/kartor/A 56934-2025 karta.png", "A 56934-2025")</f>
        <v/>
      </c>
      <c r="V704">
        <f>HYPERLINK("https://klasma.github.io/Logging_2380/klagomål/A 56934-2025 FSC-klagomål.docx", "A 56934-2025")</f>
        <v/>
      </c>
      <c r="W704">
        <f>HYPERLINK("https://klasma.github.io/Logging_2380/klagomålsmail/A 56934-2025 FSC-klagomål mail.docx", "A 56934-2025")</f>
        <v/>
      </c>
      <c r="X704">
        <f>HYPERLINK("https://klasma.github.io/Logging_2380/tillsyn/A 56934-2025 tillsynsbegäran.docx", "A 56934-2025")</f>
        <v/>
      </c>
      <c r="Y704">
        <f>HYPERLINK("https://klasma.github.io/Logging_2380/tillsynsmail/A 56934-2025 tillsynsbegäran mail.docx", "A 56934-2025")</f>
        <v/>
      </c>
      <c r="Z704">
        <f>HYPERLINK("https://klasma.github.io/Logging_2380/fåglar/A 56934-2025 prioriterade fågelarter.docx", "A 56934-2025")</f>
        <v/>
      </c>
    </row>
    <row r="705" ht="15" customHeight="1">
      <c r="A705" t="inlineStr">
        <is>
          <t>A 71570-2021</t>
        </is>
      </c>
      <c r="B705" s="1" t="n">
        <v>44540</v>
      </c>
      <c r="C705" s="1" t="n">
        <v>46045</v>
      </c>
      <c r="D705" t="inlineStr">
        <is>
          <t>JÄMTLANDS LÄN</t>
        </is>
      </c>
      <c r="E705" t="inlineStr">
        <is>
          <t>KROKOM</t>
        </is>
      </c>
      <c r="G705" t="n">
        <v>0.6</v>
      </c>
      <c r="H705" t="n">
        <v>0</v>
      </c>
      <c r="I705" t="n">
        <v>3</v>
      </c>
      <c r="J705" t="n">
        <v>1</v>
      </c>
      <c r="K705" t="n">
        <v>1</v>
      </c>
      <c r="L705" t="n">
        <v>0</v>
      </c>
      <c r="M705" t="n">
        <v>0</v>
      </c>
      <c r="N705" t="n">
        <v>0</v>
      </c>
      <c r="O705" t="n">
        <v>2</v>
      </c>
      <c r="P705" t="n">
        <v>1</v>
      </c>
      <c r="Q705" t="n">
        <v>5</v>
      </c>
      <c r="R705" s="2" t="inlineStr">
        <is>
          <t>Läderdoftande fingersvamp
Gultoppig fingersvamp
Droppklibbskivling
Fjällig taggsvamp s.str.
Ögonpyrola</t>
        </is>
      </c>
      <c r="S705">
        <f>HYPERLINK("https://klasma.github.io/Logging_2309/artfynd/A 71570-2021 artfynd.xlsx", "A 71570-2021")</f>
        <v/>
      </c>
      <c r="T705">
        <f>HYPERLINK("https://klasma.github.io/Logging_2309/kartor/A 71570-2021 karta.png", "A 71570-2021")</f>
        <v/>
      </c>
      <c r="V705">
        <f>HYPERLINK("https://klasma.github.io/Logging_2309/klagomål/A 71570-2021 FSC-klagomål.docx", "A 71570-2021")</f>
        <v/>
      </c>
      <c r="W705">
        <f>HYPERLINK("https://klasma.github.io/Logging_2309/klagomålsmail/A 71570-2021 FSC-klagomål mail.docx", "A 71570-2021")</f>
        <v/>
      </c>
      <c r="X705">
        <f>HYPERLINK("https://klasma.github.io/Logging_2309/tillsyn/A 71570-2021 tillsynsbegäran.docx", "A 71570-2021")</f>
        <v/>
      </c>
      <c r="Y705">
        <f>HYPERLINK("https://klasma.github.io/Logging_2309/tillsynsmail/A 71570-2021 tillsynsbegäran mail.docx", "A 71570-2021")</f>
        <v/>
      </c>
    </row>
    <row r="706" ht="15" customHeight="1">
      <c r="A706" t="inlineStr">
        <is>
          <t>A 56737-2025</t>
        </is>
      </c>
      <c r="B706" s="1" t="n">
        <v>45978.34453703704</v>
      </c>
      <c r="C706" s="1" t="n">
        <v>46045</v>
      </c>
      <c r="D706" t="inlineStr">
        <is>
          <t>JÄMTLANDS LÄN</t>
        </is>
      </c>
      <c r="E706" t="inlineStr">
        <is>
          <t>BRÄCKE</t>
        </is>
      </c>
      <c r="F706" t="inlineStr">
        <is>
          <t>SCA</t>
        </is>
      </c>
      <c r="G706" t="n">
        <v>3.5</v>
      </c>
      <c r="H706" t="n">
        <v>0</v>
      </c>
      <c r="I706" t="n">
        <v>2</v>
      </c>
      <c r="J706" t="n">
        <v>2</v>
      </c>
      <c r="K706" t="n">
        <v>1</v>
      </c>
      <c r="L706" t="n">
        <v>0</v>
      </c>
      <c r="M706" t="n">
        <v>0</v>
      </c>
      <c r="N706" t="n">
        <v>0</v>
      </c>
      <c r="O706" t="n">
        <v>3</v>
      </c>
      <c r="P706" t="n">
        <v>1</v>
      </c>
      <c r="Q706" t="n">
        <v>5</v>
      </c>
      <c r="R706" s="2" t="inlineStr">
        <is>
          <t>Smultronkantarell
Blå taggsvamp
Dvärgbägarlav
Dropptaggsvamp
Strimspindling</t>
        </is>
      </c>
      <c r="S706">
        <f>HYPERLINK("https://klasma.github.io/Logging_2305/artfynd/A 56737-2025 artfynd.xlsx", "A 56737-2025")</f>
        <v/>
      </c>
      <c r="T706">
        <f>HYPERLINK("https://klasma.github.io/Logging_2305/kartor/A 56737-2025 karta.png", "A 56737-2025")</f>
        <v/>
      </c>
      <c r="V706">
        <f>HYPERLINK("https://klasma.github.io/Logging_2305/klagomål/A 56737-2025 FSC-klagomål.docx", "A 56737-2025")</f>
        <v/>
      </c>
      <c r="W706">
        <f>HYPERLINK("https://klasma.github.io/Logging_2305/klagomålsmail/A 56737-2025 FSC-klagomål mail.docx", "A 56737-2025")</f>
        <v/>
      </c>
      <c r="X706">
        <f>HYPERLINK("https://klasma.github.io/Logging_2305/tillsyn/A 56737-2025 tillsynsbegäran.docx", "A 56737-2025")</f>
        <v/>
      </c>
      <c r="Y706">
        <f>HYPERLINK("https://klasma.github.io/Logging_2305/tillsynsmail/A 56737-2025 tillsynsbegäran mail.docx", "A 56737-2025")</f>
        <v/>
      </c>
    </row>
    <row r="707" ht="15" customHeight="1">
      <c r="A707" t="inlineStr">
        <is>
          <t>A 57047-2025</t>
        </is>
      </c>
      <c r="B707" s="1" t="n">
        <v>45979.346875</v>
      </c>
      <c r="C707" s="1" t="n">
        <v>46045</v>
      </c>
      <c r="D707" t="inlineStr">
        <is>
          <t>JÄMTLANDS LÄN</t>
        </is>
      </c>
      <c r="E707" t="inlineStr">
        <is>
          <t>STRÖMSUND</t>
        </is>
      </c>
      <c r="F707" t="inlineStr">
        <is>
          <t>SCA</t>
        </is>
      </c>
      <c r="G707" t="n">
        <v>5.9</v>
      </c>
      <c r="H707" t="n">
        <v>0</v>
      </c>
      <c r="I707" t="n">
        <v>0</v>
      </c>
      <c r="J707" t="n">
        <v>5</v>
      </c>
      <c r="K707" t="n">
        <v>0</v>
      </c>
      <c r="L707" t="n">
        <v>0</v>
      </c>
      <c r="M707" t="n">
        <v>0</v>
      </c>
      <c r="N707" t="n">
        <v>0</v>
      </c>
      <c r="O707" t="n">
        <v>5</v>
      </c>
      <c r="P707" t="n">
        <v>0</v>
      </c>
      <c r="Q707" t="n">
        <v>5</v>
      </c>
      <c r="R707" s="2" t="inlineStr">
        <is>
          <t>Gammelgransskål
Garnlav
Granticka
Harticka
Vitgrynig nållav</t>
        </is>
      </c>
      <c r="S707">
        <f>HYPERLINK("https://klasma.github.io/Logging_2313/artfynd/A 57047-2025 artfynd.xlsx", "A 57047-2025")</f>
        <v/>
      </c>
      <c r="T707">
        <f>HYPERLINK("https://klasma.github.io/Logging_2313/kartor/A 57047-2025 karta.png", "A 57047-2025")</f>
        <v/>
      </c>
      <c r="V707">
        <f>HYPERLINK("https://klasma.github.io/Logging_2313/klagomål/A 57047-2025 FSC-klagomål.docx", "A 57047-2025")</f>
        <v/>
      </c>
      <c r="W707">
        <f>HYPERLINK("https://klasma.github.io/Logging_2313/klagomålsmail/A 57047-2025 FSC-klagomål mail.docx", "A 57047-2025")</f>
        <v/>
      </c>
      <c r="X707">
        <f>HYPERLINK("https://klasma.github.io/Logging_2313/tillsyn/A 57047-2025 tillsynsbegäran.docx", "A 57047-2025")</f>
        <v/>
      </c>
      <c r="Y707">
        <f>HYPERLINK("https://klasma.github.io/Logging_2313/tillsynsmail/A 57047-2025 tillsynsbegäran mail.docx", "A 57047-2025")</f>
        <v/>
      </c>
    </row>
    <row r="708" ht="15" customHeight="1">
      <c r="A708" t="inlineStr">
        <is>
          <t>A 61164-2024</t>
        </is>
      </c>
      <c r="B708" s="1" t="n">
        <v>45645.59539351852</v>
      </c>
      <c r="C708" s="1" t="n">
        <v>46045</v>
      </c>
      <c r="D708" t="inlineStr">
        <is>
          <t>JÄMTLANDS LÄN</t>
        </is>
      </c>
      <c r="E708" t="inlineStr">
        <is>
          <t>STRÖMSUND</t>
        </is>
      </c>
      <c r="F708" t="inlineStr">
        <is>
          <t>SCA</t>
        </is>
      </c>
      <c r="G708" t="n">
        <v>3.3</v>
      </c>
      <c r="H708" t="n">
        <v>0</v>
      </c>
      <c r="I708" t="n">
        <v>1</v>
      </c>
      <c r="J708" t="n">
        <v>3</v>
      </c>
      <c r="K708" t="n">
        <v>1</v>
      </c>
      <c r="L708" t="n">
        <v>0</v>
      </c>
      <c r="M708" t="n">
        <v>0</v>
      </c>
      <c r="N708" t="n">
        <v>0</v>
      </c>
      <c r="O708" t="n">
        <v>4</v>
      </c>
      <c r="P708" t="n">
        <v>1</v>
      </c>
      <c r="Q708" t="n">
        <v>5</v>
      </c>
      <c r="R708" s="2" t="inlineStr">
        <is>
          <t>Rynkskinn
Gammelgransskål
Garnlav
Granticka
Vedticka</t>
        </is>
      </c>
      <c r="S708">
        <f>HYPERLINK("https://klasma.github.io/Logging_2313/artfynd/A 61164-2024 artfynd.xlsx", "A 61164-2024")</f>
        <v/>
      </c>
      <c r="T708">
        <f>HYPERLINK("https://klasma.github.io/Logging_2313/kartor/A 61164-2024 karta.png", "A 61164-2024")</f>
        <v/>
      </c>
      <c r="V708">
        <f>HYPERLINK("https://klasma.github.io/Logging_2313/klagomål/A 61164-2024 FSC-klagomål.docx", "A 61164-2024")</f>
        <v/>
      </c>
      <c r="W708">
        <f>HYPERLINK("https://klasma.github.io/Logging_2313/klagomålsmail/A 61164-2024 FSC-klagomål mail.docx", "A 61164-2024")</f>
        <v/>
      </c>
      <c r="X708">
        <f>HYPERLINK("https://klasma.github.io/Logging_2313/tillsyn/A 61164-2024 tillsynsbegäran.docx", "A 61164-2024")</f>
        <v/>
      </c>
      <c r="Y708">
        <f>HYPERLINK("https://klasma.github.io/Logging_2313/tillsynsmail/A 61164-2024 tillsynsbegäran mail.docx", "A 61164-2024")</f>
        <v/>
      </c>
    </row>
    <row r="709" ht="15" customHeight="1">
      <c r="A709" t="inlineStr">
        <is>
          <t>A 30620-2025</t>
        </is>
      </c>
      <c r="B709" s="1" t="n">
        <v>45831.46936342592</v>
      </c>
      <c r="C709" s="1" t="n">
        <v>46045</v>
      </c>
      <c r="D709" t="inlineStr">
        <is>
          <t>JÄMTLANDS LÄN</t>
        </is>
      </c>
      <c r="E709" t="inlineStr">
        <is>
          <t>BRÄCKE</t>
        </is>
      </c>
      <c r="G709" t="n">
        <v>4</v>
      </c>
      <c r="H709" t="n">
        <v>0</v>
      </c>
      <c r="I709" t="n">
        <v>1</v>
      </c>
      <c r="J709" t="n">
        <v>4</v>
      </c>
      <c r="K709" t="n">
        <v>0</v>
      </c>
      <c r="L709" t="n">
        <v>0</v>
      </c>
      <c r="M709" t="n">
        <v>0</v>
      </c>
      <c r="N709" t="n">
        <v>0</v>
      </c>
      <c r="O709" t="n">
        <v>4</v>
      </c>
      <c r="P709" t="n">
        <v>0</v>
      </c>
      <c r="Q709" t="n">
        <v>5</v>
      </c>
      <c r="R709" s="2" t="inlineStr">
        <is>
          <t>Garnlav
Granticka
Lunglav
Ullticka
Rödgul trumpetsvamp</t>
        </is>
      </c>
      <c r="S709">
        <f>HYPERLINK("https://klasma.github.io/Logging_2305/artfynd/A 30620-2025 artfynd.xlsx", "A 30620-2025")</f>
        <v/>
      </c>
      <c r="T709">
        <f>HYPERLINK("https://klasma.github.io/Logging_2305/kartor/A 30620-2025 karta.png", "A 30620-2025")</f>
        <v/>
      </c>
      <c r="V709">
        <f>HYPERLINK("https://klasma.github.io/Logging_2305/klagomål/A 30620-2025 FSC-klagomål.docx", "A 30620-2025")</f>
        <v/>
      </c>
      <c r="W709">
        <f>HYPERLINK("https://klasma.github.io/Logging_2305/klagomålsmail/A 30620-2025 FSC-klagomål mail.docx", "A 30620-2025")</f>
        <v/>
      </c>
      <c r="X709">
        <f>HYPERLINK("https://klasma.github.io/Logging_2305/tillsyn/A 30620-2025 tillsynsbegäran.docx", "A 30620-2025")</f>
        <v/>
      </c>
      <c r="Y709">
        <f>HYPERLINK("https://klasma.github.io/Logging_2305/tillsynsmail/A 30620-2025 tillsynsbegäran mail.docx", "A 30620-2025")</f>
        <v/>
      </c>
    </row>
    <row r="710" ht="15" customHeight="1">
      <c r="A710" t="inlineStr">
        <is>
          <t>A 30886-2025</t>
        </is>
      </c>
      <c r="B710" s="1" t="n">
        <v>45832.34578703704</v>
      </c>
      <c r="C710" s="1" t="n">
        <v>46045</v>
      </c>
      <c r="D710" t="inlineStr">
        <is>
          <t>JÄMTLANDS LÄN</t>
        </is>
      </c>
      <c r="E710" t="inlineStr">
        <is>
          <t>RAGUNDA</t>
        </is>
      </c>
      <c r="F710" t="inlineStr">
        <is>
          <t>SCA</t>
        </is>
      </c>
      <c r="G710" t="n">
        <v>4.4</v>
      </c>
      <c r="H710" t="n">
        <v>3</v>
      </c>
      <c r="I710" t="n">
        <v>1</v>
      </c>
      <c r="J710" t="n">
        <v>2</v>
      </c>
      <c r="K710" t="n">
        <v>1</v>
      </c>
      <c r="L710" t="n">
        <v>0</v>
      </c>
      <c r="M710" t="n">
        <v>0</v>
      </c>
      <c r="N710" t="n">
        <v>0</v>
      </c>
      <c r="O710" t="n">
        <v>3</v>
      </c>
      <c r="P710" t="n">
        <v>1</v>
      </c>
      <c r="Q710" t="n">
        <v>5</v>
      </c>
      <c r="R710" s="2" t="inlineStr">
        <is>
          <t>Knärot
Järpe
Lunglav
Ögonpyrola
Nattviol</t>
        </is>
      </c>
      <c r="S710">
        <f>HYPERLINK("https://klasma.github.io/Logging_2303/artfynd/A 30886-2025 artfynd.xlsx", "A 30886-2025")</f>
        <v/>
      </c>
      <c r="T710">
        <f>HYPERLINK("https://klasma.github.io/Logging_2303/kartor/A 30886-2025 karta.png", "A 30886-2025")</f>
        <v/>
      </c>
      <c r="U710">
        <f>HYPERLINK("https://klasma.github.io/Logging_2303/knärot/A 30886-2025 karta knärot.png", "A 30886-2025")</f>
        <v/>
      </c>
      <c r="V710">
        <f>HYPERLINK("https://klasma.github.io/Logging_2303/klagomål/A 30886-2025 FSC-klagomål.docx", "A 30886-2025")</f>
        <v/>
      </c>
      <c r="W710">
        <f>HYPERLINK("https://klasma.github.io/Logging_2303/klagomålsmail/A 30886-2025 FSC-klagomål mail.docx", "A 30886-2025")</f>
        <v/>
      </c>
      <c r="X710">
        <f>HYPERLINK("https://klasma.github.io/Logging_2303/tillsyn/A 30886-2025 tillsynsbegäran.docx", "A 30886-2025")</f>
        <v/>
      </c>
      <c r="Y710">
        <f>HYPERLINK("https://klasma.github.io/Logging_2303/tillsynsmail/A 30886-2025 tillsynsbegäran mail.docx", "A 30886-2025")</f>
        <v/>
      </c>
      <c r="Z710">
        <f>HYPERLINK("https://klasma.github.io/Logging_2303/fåglar/A 30886-2025 prioriterade fågelarter.docx", "A 30886-2025")</f>
        <v/>
      </c>
    </row>
    <row r="711" ht="15" customHeight="1">
      <c r="A711" t="inlineStr">
        <is>
          <t>A 31592-2025</t>
        </is>
      </c>
      <c r="B711" s="1" t="n">
        <v>45833.69836805556</v>
      </c>
      <c r="C711" s="1" t="n">
        <v>46045</v>
      </c>
      <c r="D711" t="inlineStr">
        <is>
          <t>JÄMTLANDS LÄN</t>
        </is>
      </c>
      <c r="E711" t="inlineStr">
        <is>
          <t>BRÄCKE</t>
        </is>
      </c>
      <c r="F711" t="inlineStr">
        <is>
          <t>SCA</t>
        </is>
      </c>
      <c r="G711" t="n">
        <v>4.2</v>
      </c>
      <c r="H711" t="n">
        <v>0</v>
      </c>
      <c r="I711" t="n">
        <v>1</v>
      </c>
      <c r="J711" t="n">
        <v>4</v>
      </c>
      <c r="K711" t="n">
        <v>0</v>
      </c>
      <c r="L711" t="n">
        <v>0</v>
      </c>
      <c r="M711" t="n">
        <v>0</v>
      </c>
      <c r="N711" t="n">
        <v>0</v>
      </c>
      <c r="O711" t="n">
        <v>4</v>
      </c>
      <c r="P711" t="n">
        <v>0</v>
      </c>
      <c r="Q711" t="n">
        <v>5</v>
      </c>
      <c r="R711" s="2" t="inlineStr">
        <is>
          <t>Grantaggsvamp
Lunglav
Rosenticka
Ullticka
Kryddspindling</t>
        </is>
      </c>
      <c r="S711">
        <f>HYPERLINK("https://klasma.github.io/Logging_2305/artfynd/A 31592-2025 artfynd.xlsx", "A 31592-2025")</f>
        <v/>
      </c>
      <c r="T711">
        <f>HYPERLINK("https://klasma.github.io/Logging_2305/kartor/A 31592-2025 karta.png", "A 31592-2025")</f>
        <v/>
      </c>
      <c r="V711">
        <f>HYPERLINK("https://klasma.github.io/Logging_2305/klagomål/A 31592-2025 FSC-klagomål.docx", "A 31592-2025")</f>
        <v/>
      </c>
      <c r="W711">
        <f>HYPERLINK("https://klasma.github.io/Logging_2305/klagomålsmail/A 31592-2025 FSC-klagomål mail.docx", "A 31592-2025")</f>
        <v/>
      </c>
      <c r="X711">
        <f>HYPERLINK("https://klasma.github.io/Logging_2305/tillsyn/A 31592-2025 tillsynsbegäran.docx", "A 31592-2025")</f>
        <v/>
      </c>
      <c r="Y711">
        <f>HYPERLINK("https://klasma.github.io/Logging_2305/tillsynsmail/A 31592-2025 tillsynsbegäran mail.docx", "A 31592-2025")</f>
        <v/>
      </c>
    </row>
    <row r="712" ht="15" customHeight="1">
      <c r="A712" t="inlineStr">
        <is>
          <t>A 58236-2025</t>
        </is>
      </c>
      <c r="B712" s="1" t="n">
        <v>45985.38736111111</v>
      </c>
      <c r="C712" s="1" t="n">
        <v>46045</v>
      </c>
      <c r="D712" t="inlineStr">
        <is>
          <t>JÄMTLANDS LÄN</t>
        </is>
      </c>
      <c r="E712" t="inlineStr">
        <is>
          <t>STRÖMSUND</t>
        </is>
      </c>
      <c r="F712" t="inlineStr">
        <is>
          <t>SCA</t>
        </is>
      </c>
      <c r="G712" t="n">
        <v>1.5</v>
      </c>
      <c r="H712" t="n">
        <v>0</v>
      </c>
      <c r="I712" t="n">
        <v>1</v>
      </c>
      <c r="J712" t="n">
        <v>4</v>
      </c>
      <c r="K712" t="n">
        <v>0</v>
      </c>
      <c r="L712" t="n">
        <v>0</v>
      </c>
      <c r="M712" t="n">
        <v>0</v>
      </c>
      <c r="N712" t="n">
        <v>0</v>
      </c>
      <c r="O712" t="n">
        <v>4</v>
      </c>
      <c r="P712" t="n">
        <v>0</v>
      </c>
      <c r="Q712" t="n">
        <v>5</v>
      </c>
      <c r="R712" s="2" t="inlineStr">
        <is>
          <t>Gammelgransskål
Garnlav
Granticka
Vitgrynig nållav
Stuplav</t>
        </is>
      </c>
      <c r="S712">
        <f>HYPERLINK("https://klasma.github.io/Logging_2313/artfynd/A 58236-2025 artfynd.xlsx", "A 58236-2025")</f>
        <v/>
      </c>
      <c r="T712">
        <f>HYPERLINK("https://klasma.github.io/Logging_2313/kartor/A 58236-2025 karta.png", "A 58236-2025")</f>
        <v/>
      </c>
      <c r="V712">
        <f>HYPERLINK("https://klasma.github.io/Logging_2313/klagomål/A 58236-2025 FSC-klagomål.docx", "A 58236-2025")</f>
        <v/>
      </c>
      <c r="W712">
        <f>HYPERLINK("https://klasma.github.io/Logging_2313/klagomålsmail/A 58236-2025 FSC-klagomål mail.docx", "A 58236-2025")</f>
        <v/>
      </c>
      <c r="X712">
        <f>HYPERLINK("https://klasma.github.io/Logging_2313/tillsyn/A 58236-2025 tillsynsbegäran.docx", "A 58236-2025")</f>
        <v/>
      </c>
      <c r="Y712">
        <f>HYPERLINK("https://klasma.github.io/Logging_2313/tillsynsmail/A 58236-2025 tillsynsbegäran mail.docx", "A 58236-2025")</f>
        <v/>
      </c>
    </row>
    <row r="713" ht="15" customHeight="1">
      <c r="A713" t="inlineStr">
        <is>
          <t>A 31378-2025</t>
        </is>
      </c>
      <c r="B713" s="1" t="n">
        <v>45833.44834490741</v>
      </c>
      <c r="C713" s="1" t="n">
        <v>46045</v>
      </c>
      <c r="D713" t="inlineStr">
        <is>
          <t>JÄMTLANDS LÄN</t>
        </is>
      </c>
      <c r="E713" t="inlineStr">
        <is>
          <t>BRÄCKE</t>
        </is>
      </c>
      <c r="F713" t="inlineStr">
        <is>
          <t>SCA</t>
        </is>
      </c>
      <c r="G713" t="n">
        <v>1.6</v>
      </c>
      <c r="H713" t="n">
        <v>1</v>
      </c>
      <c r="I713" t="n">
        <v>1</v>
      </c>
      <c r="J713" t="n">
        <v>3</v>
      </c>
      <c r="K713" t="n">
        <v>1</v>
      </c>
      <c r="L713" t="n">
        <v>0</v>
      </c>
      <c r="M713" t="n">
        <v>0</v>
      </c>
      <c r="N713" t="n">
        <v>0</v>
      </c>
      <c r="O713" t="n">
        <v>4</v>
      </c>
      <c r="P713" t="n">
        <v>1</v>
      </c>
      <c r="Q713" t="n">
        <v>5</v>
      </c>
      <c r="R713" s="2" t="inlineStr">
        <is>
          <t>Knärot
Granticka
Gränsticka
Lunglav
Stuplav</t>
        </is>
      </c>
      <c r="S713">
        <f>HYPERLINK("https://klasma.github.io/Logging_2305/artfynd/A 31378-2025 artfynd.xlsx", "A 31378-2025")</f>
        <v/>
      </c>
      <c r="T713">
        <f>HYPERLINK("https://klasma.github.io/Logging_2305/kartor/A 31378-2025 karta.png", "A 31378-2025")</f>
        <v/>
      </c>
      <c r="U713">
        <f>HYPERLINK("https://klasma.github.io/Logging_2305/knärot/A 31378-2025 karta knärot.png", "A 31378-2025")</f>
        <v/>
      </c>
      <c r="V713">
        <f>HYPERLINK("https://klasma.github.io/Logging_2305/klagomål/A 31378-2025 FSC-klagomål.docx", "A 31378-2025")</f>
        <v/>
      </c>
      <c r="W713">
        <f>HYPERLINK("https://klasma.github.io/Logging_2305/klagomålsmail/A 31378-2025 FSC-klagomål mail.docx", "A 31378-2025")</f>
        <v/>
      </c>
      <c r="X713">
        <f>HYPERLINK("https://klasma.github.io/Logging_2305/tillsyn/A 31378-2025 tillsynsbegäran.docx", "A 31378-2025")</f>
        <v/>
      </c>
      <c r="Y713">
        <f>HYPERLINK("https://klasma.github.io/Logging_2305/tillsynsmail/A 31378-2025 tillsynsbegäran mail.docx", "A 31378-2025")</f>
        <v/>
      </c>
    </row>
    <row r="714" ht="15" customHeight="1">
      <c r="A714" t="inlineStr">
        <is>
          <t>A 74005-2021</t>
        </is>
      </c>
      <c r="B714" s="1" t="n">
        <v>44557</v>
      </c>
      <c r="C714" s="1" t="n">
        <v>46045</v>
      </c>
      <c r="D714" t="inlineStr">
        <is>
          <t>JÄMTLANDS LÄN</t>
        </is>
      </c>
      <c r="E714" t="inlineStr">
        <is>
          <t>KROKOM</t>
        </is>
      </c>
      <c r="G714" t="n">
        <v>19.9</v>
      </c>
      <c r="H714" t="n">
        <v>1</v>
      </c>
      <c r="I714" t="n">
        <v>1</v>
      </c>
      <c r="J714" t="n">
        <v>4</v>
      </c>
      <c r="K714" t="n">
        <v>0</v>
      </c>
      <c r="L714" t="n">
        <v>0</v>
      </c>
      <c r="M714" t="n">
        <v>0</v>
      </c>
      <c r="N714" t="n">
        <v>0</v>
      </c>
      <c r="O714" t="n">
        <v>4</v>
      </c>
      <c r="P714" t="n">
        <v>0</v>
      </c>
      <c r="Q714" t="n">
        <v>5</v>
      </c>
      <c r="R714" s="2" t="inlineStr">
        <is>
          <t>Doftskinn
Gammelgransskål
Garnlav
Gränsticka
Spindelblomster</t>
        </is>
      </c>
      <c r="S714">
        <f>HYPERLINK("https://klasma.github.io/Logging_2309/artfynd/A 74005-2021 artfynd.xlsx", "A 74005-2021")</f>
        <v/>
      </c>
      <c r="T714">
        <f>HYPERLINK("https://klasma.github.io/Logging_2309/kartor/A 74005-2021 karta.png", "A 74005-2021")</f>
        <v/>
      </c>
      <c r="V714">
        <f>HYPERLINK("https://klasma.github.io/Logging_2309/klagomål/A 74005-2021 FSC-klagomål.docx", "A 74005-2021")</f>
        <v/>
      </c>
      <c r="W714">
        <f>HYPERLINK("https://klasma.github.io/Logging_2309/klagomålsmail/A 74005-2021 FSC-klagomål mail.docx", "A 74005-2021")</f>
        <v/>
      </c>
      <c r="X714">
        <f>HYPERLINK("https://klasma.github.io/Logging_2309/tillsyn/A 74005-2021 tillsynsbegäran.docx", "A 74005-2021")</f>
        <v/>
      </c>
      <c r="Y714">
        <f>HYPERLINK("https://klasma.github.io/Logging_2309/tillsynsmail/A 74005-2021 tillsynsbegäran mail.docx", "A 74005-2021")</f>
        <v/>
      </c>
    </row>
    <row r="715" ht="15" customHeight="1">
      <c r="A715" t="inlineStr">
        <is>
          <t>A 31731-2025</t>
        </is>
      </c>
      <c r="B715" s="1" t="n">
        <v>45834.46990740741</v>
      </c>
      <c r="C715" s="1" t="n">
        <v>46045</v>
      </c>
      <c r="D715" t="inlineStr">
        <is>
          <t>JÄMTLANDS LÄN</t>
        </is>
      </c>
      <c r="E715" t="inlineStr">
        <is>
          <t>BRÄCKE</t>
        </is>
      </c>
      <c r="F715" t="inlineStr">
        <is>
          <t>SCA</t>
        </is>
      </c>
      <c r="G715" t="n">
        <v>9.1</v>
      </c>
      <c r="H715" t="n">
        <v>0</v>
      </c>
      <c r="I715" t="n">
        <v>0</v>
      </c>
      <c r="J715" t="n">
        <v>5</v>
      </c>
      <c r="K715" t="n">
        <v>0</v>
      </c>
      <c r="L715" t="n">
        <v>0</v>
      </c>
      <c r="M715" t="n">
        <v>0</v>
      </c>
      <c r="N715" t="n">
        <v>0</v>
      </c>
      <c r="O715" t="n">
        <v>5</v>
      </c>
      <c r="P715" t="n">
        <v>0</v>
      </c>
      <c r="Q715" t="n">
        <v>5</v>
      </c>
      <c r="R715" s="2" t="inlineStr">
        <is>
          <t>Doftskinn
Gammelgransskål
Lunglav
Nordtagging
Skrovellav</t>
        </is>
      </c>
      <c r="S715">
        <f>HYPERLINK("https://klasma.github.io/Logging_2305/artfynd/A 31731-2025 artfynd.xlsx", "A 31731-2025")</f>
        <v/>
      </c>
      <c r="T715">
        <f>HYPERLINK("https://klasma.github.io/Logging_2305/kartor/A 31731-2025 karta.png", "A 31731-2025")</f>
        <v/>
      </c>
      <c r="V715">
        <f>HYPERLINK("https://klasma.github.io/Logging_2305/klagomål/A 31731-2025 FSC-klagomål.docx", "A 31731-2025")</f>
        <v/>
      </c>
      <c r="W715">
        <f>HYPERLINK("https://klasma.github.io/Logging_2305/klagomålsmail/A 31731-2025 FSC-klagomål mail.docx", "A 31731-2025")</f>
        <v/>
      </c>
      <c r="X715">
        <f>HYPERLINK("https://klasma.github.io/Logging_2305/tillsyn/A 31731-2025 tillsynsbegäran.docx", "A 31731-2025")</f>
        <v/>
      </c>
      <c r="Y715">
        <f>HYPERLINK("https://klasma.github.io/Logging_2305/tillsynsmail/A 31731-2025 tillsynsbegäran mail.docx", "A 31731-2025")</f>
        <v/>
      </c>
    </row>
    <row r="716" ht="15" customHeight="1">
      <c r="A716" t="inlineStr">
        <is>
          <t>A 32658-2025</t>
        </is>
      </c>
      <c r="B716" s="1" t="n">
        <v>45838.67858796296</v>
      </c>
      <c r="C716" s="1" t="n">
        <v>46045</v>
      </c>
      <c r="D716" t="inlineStr">
        <is>
          <t>JÄMTLANDS LÄN</t>
        </is>
      </c>
      <c r="E716" t="inlineStr">
        <is>
          <t>KROKOM</t>
        </is>
      </c>
      <c r="F716" t="inlineStr">
        <is>
          <t>SCA</t>
        </is>
      </c>
      <c r="G716" t="n">
        <v>5.6</v>
      </c>
      <c r="H716" t="n">
        <v>0</v>
      </c>
      <c r="I716" t="n">
        <v>1</v>
      </c>
      <c r="J716" t="n">
        <v>3</v>
      </c>
      <c r="K716" t="n">
        <v>1</v>
      </c>
      <c r="L716" t="n">
        <v>0</v>
      </c>
      <c r="M716" t="n">
        <v>0</v>
      </c>
      <c r="N716" t="n">
        <v>0</v>
      </c>
      <c r="O716" t="n">
        <v>4</v>
      </c>
      <c r="P716" t="n">
        <v>1</v>
      </c>
      <c r="Q716" t="n">
        <v>5</v>
      </c>
      <c r="R716" s="2" t="inlineStr">
        <is>
          <t>Gräddporing
Kolflarnlav
Vedskivlav
Vitplätt
Gullgröppa</t>
        </is>
      </c>
      <c r="S716">
        <f>HYPERLINK("https://klasma.github.io/Logging_2309/artfynd/A 32658-2025 artfynd.xlsx", "A 32658-2025")</f>
        <v/>
      </c>
      <c r="T716">
        <f>HYPERLINK("https://klasma.github.io/Logging_2309/kartor/A 32658-2025 karta.png", "A 32658-2025")</f>
        <v/>
      </c>
      <c r="V716">
        <f>HYPERLINK("https://klasma.github.io/Logging_2309/klagomål/A 32658-2025 FSC-klagomål.docx", "A 32658-2025")</f>
        <v/>
      </c>
      <c r="W716">
        <f>HYPERLINK("https://klasma.github.io/Logging_2309/klagomålsmail/A 32658-2025 FSC-klagomål mail.docx", "A 32658-2025")</f>
        <v/>
      </c>
      <c r="X716">
        <f>HYPERLINK("https://klasma.github.io/Logging_2309/tillsyn/A 32658-2025 tillsynsbegäran.docx", "A 32658-2025")</f>
        <v/>
      </c>
      <c r="Y716">
        <f>HYPERLINK("https://klasma.github.io/Logging_2309/tillsynsmail/A 32658-2025 tillsynsbegäran mail.docx", "A 32658-2025")</f>
        <v/>
      </c>
    </row>
    <row r="717" ht="15" customHeight="1">
      <c r="A717" t="inlineStr">
        <is>
          <t>A 32097-2025</t>
        </is>
      </c>
      <c r="B717" s="1" t="n">
        <v>45835.4641087963</v>
      </c>
      <c r="C717" s="1" t="n">
        <v>46045</v>
      </c>
      <c r="D717" t="inlineStr">
        <is>
          <t>JÄMTLANDS LÄN</t>
        </is>
      </c>
      <c r="E717" t="inlineStr">
        <is>
          <t>ÅRE</t>
        </is>
      </c>
      <c r="G717" t="n">
        <v>6.2</v>
      </c>
      <c r="H717" t="n">
        <v>2</v>
      </c>
      <c r="I717" t="n">
        <v>3</v>
      </c>
      <c r="J717" t="n">
        <v>2</v>
      </c>
      <c r="K717" t="n">
        <v>0</v>
      </c>
      <c r="L717" t="n">
        <v>0</v>
      </c>
      <c r="M717" t="n">
        <v>0</v>
      </c>
      <c r="N717" t="n">
        <v>0</v>
      </c>
      <c r="O717" t="n">
        <v>2</v>
      </c>
      <c r="P717" t="n">
        <v>0</v>
      </c>
      <c r="Q717" t="n">
        <v>5</v>
      </c>
      <c r="R717" s="2" t="inlineStr">
        <is>
          <t>Granticka
Lunglav
Spindelblomster
Stuplav
Tvåblad</t>
        </is>
      </c>
      <c r="S717">
        <f>HYPERLINK("https://klasma.github.io/Logging_2321/artfynd/A 32097-2025 artfynd.xlsx", "A 32097-2025")</f>
        <v/>
      </c>
      <c r="T717">
        <f>HYPERLINK("https://klasma.github.io/Logging_2321/kartor/A 32097-2025 karta.png", "A 32097-2025")</f>
        <v/>
      </c>
      <c r="V717">
        <f>HYPERLINK("https://klasma.github.io/Logging_2321/klagomål/A 32097-2025 FSC-klagomål.docx", "A 32097-2025")</f>
        <v/>
      </c>
      <c r="W717">
        <f>HYPERLINK("https://klasma.github.io/Logging_2321/klagomålsmail/A 32097-2025 FSC-klagomål mail.docx", "A 32097-2025")</f>
        <v/>
      </c>
      <c r="X717">
        <f>HYPERLINK("https://klasma.github.io/Logging_2321/tillsyn/A 32097-2025 tillsynsbegäran.docx", "A 32097-2025")</f>
        <v/>
      </c>
      <c r="Y717">
        <f>HYPERLINK("https://klasma.github.io/Logging_2321/tillsynsmail/A 32097-2025 tillsynsbegäran mail.docx", "A 32097-2025")</f>
        <v/>
      </c>
    </row>
    <row r="718" ht="15" customHeight="1">
      <c r="A718" t="inlineStr">
        <is>
          <t>A 58372-2025</t>
        </is>
      </c>
      <c r="B718" s="1" t="n">
        <v>45985.53155092592</v>
      </c>
      <c r="C718" s="1" t="n">
        <v>46045</v>
      </c>
      <c r="D718" t="inlineStr">
        <is>
          <t>JÄMTLANDS LÄN</t>
        </is>
      </c>
      <c r="E718" t="inlineStr">
        <is>
          <t>ÖSTERSUND</t>
        </is>
      </c>
      <c r="G718" t="n">
        <v>7.1</v>
      </c>
      <c r="H718" t="n">
        <v>1</v>
      </c>
      <c r="I718" t="n">
        <v>0</v>
      </c>
      <c r="J718" t="n">
        <v>5</v>
      </c>
      <c r="K718" t="n">
        <v>0</v>
      </c>
      <c r="L718" t="n">
        <v>0</v>
      </c>
      <c r="M718" t="n">
        <v>0</v>
      </c>
      <c r="N718" t="n">
        <v>0</v>
      </c>
      <c r="O718" t="n">
        <v>5</v>
      </c>
      <c r="P718" t="n">
        <v>0</v>
      </c>
      <c r="Q718" t="n">
        <v>5</v>
      </c>
      <c r="R718" s="2" t="inlineStr">
        <is>
          <t>Garnlav
Harticka
Lunglav
Tretåig hackspett
Ullticka</t>
        </is>
      </c>
      <c r="S718">
        <f>HYPERLINK("https://klasma.github.io/Logging_2380/artfynd/A 58372-2025 artfynd.xlsx", "A 58372-2025")</f>
        <v/>
      </c>
      <c r="T718">
        <f>HYPERLINK("https://klasma.github.io/Logging_2380/kartor/A 58372-2025 karta.png", "A 58372-2025")</f>
        <v/>
      </c>
      <c r="V718">
        <f>HYPERLINK("https://klasma.github.io/Logging_2380/klagomål/A 58372-2025 FSC-klagomål.docx", "A 58372-2025")</f>
        <v/>
      </c>
      <c r="W718">
        <f>HYPERLINK("https://klasma.github.io/Logging_2380/klagomålsmail/A 58372-2025 FSC-klagomål mail.docx", "A 58372-2025")</f>
        <v/>
      </c>
      <c r="X718">
        <f>HYPERLINK("https://klasma.github.io/Logging_2380/tillsyn/A 58372-2025 tillsynsbegäran.docx", "A 58372-2025")</f>
        <v/>
      </c>
      <c r="Y718">
        <f>HYPERLINK("https://klasma.github.io/Logging_2380/tillsynsmail/A 58372-2025 tillsynsbegäran mail.docx", "A 58372-2025")</f>
        <v/>
      </c>
      <c r="Z718">
        <f>HYPERLINK("https://klasma.github.io/Logging_2380/fåglar/A 58372-2025 prioriterade fågelarter.docx", "A 58372-2025")</f>
        <v/>
      </c>
    </row>
    <row r="719" ht="15" customHeight="1">
      <c r="A719" t="inlineStr">
        <is>
          <t>A 58960-2025</t>
        </is>
      </c>
      <c r="B719" s="1" t="n">
        <v>45987.59572916666</v>
      </c>
      <c r="C719" s="1" t="n">
        <v>46045</v>
      </c>
      <c r="D719" t="inlineStr">
        <is>
          <t>JÄMTLANDS LÄN</t>
        </is>
      </c>
      <c r="E719" t="inlineStr">
        <is>
          <t>STRÖMSUND</t>
        </is>
      </c>
      <c r="G719" t="n">
        <v>9.699999999999999</v>
      </c>
      <c r="H719" t="n">
        <v>0</v>
      </c>
      <c r="I719" t="n">
        <v>3</v>
      </c>
      <c r="J719" t="n">
        <v>2</v>
      </c>
      <c r="K719" t="n">
        <v>0</v>
      </c>
      <c r="L719" t="n">
        <v>0</v>
      </c>
      <c r="M719" t="n">
        <v>0</v>
      </c>
      <c r="N719" t="n">
        <v>0</v>
      </c>
      <c r="O719" t="n">
        <v>2</v>
      </c>
      <c r="P719" t="n">
        <v>0</v>
      </c>
      <c r="Q719" t="n">
        <v>5</v>
      </c>
      <c r="R719" s="2" t="inlineStr">
        <is>
          <t>Lunglav
Orange taggsvamp
Granriska
Svart trolldruva
Svavelriska</t>
        </is>
      </c>
      <c r="S719">
        <f>HYPERLINK("https://klasma.github.io/Logging_2313/artfynd/A 58960-2025 artfynd.xlsx", "A 58960-2025")</f>
        <v/>
      </c>
      <c r="T719">
        <f>HYPERLINK("https://klasma.github.io/Logging_2313/kartor/A 58960-2025 karta.png", "A 58960-2025")</f>
        <v/>
      </c>
      <c r="V719">
        <f>HYPERLINK("https://klasma.github.io/Logging_2313/klagomål/A 58960-2025 FSC-klagomål.docx", "A 58960-2025")</f>
        <v/>
      </c>
      <c r="W719">
        <f>HYPERLINK("https://klasma.github.io/Logging_2313/klagomålsmail/A 58960-2025 FSC-klagomål mail.docx", "A 58960-2025")</f>
        <v/>
      </c>
      <c r="X719">
        <f>HYPERLINK("https://klasma.github.io/Logging_2313/tillsyn/A 58960-2025 tillsynsbegäran.docx", "A 58960-2025")</f>
        <v/>
      </c>
      <c r="Y719">
        <f>HYPERLINK("https://klasma.github.io/Logging_2313/tillsynsmail/A 58960-2025 tillsynsbegäran mail.docx", "A 58960-2025")</f>
        <v/>
      </c>
    </row>
    <row r="720" ht="15" customHeight="1">
      <c r="A720" t="inlineStr">
        <is>
          <t>A 23729-2024</t>
        </is>
      </c>
      <c r="B720" s="1" t="n">
        <v>45454.95868055556</v>
      </c>
      <c r="C720" s="1" t="n">
        <v>46045</v>
      </c>
      <c r="D720" t="inlineStr">
        <is>
          <t>JÄMTLANDS LÄN</t>
        </is>
      </c>
      <c r="E720" t="inlineStr">
        <is>
          <t>BRÄCKE</t>
        </is>
      </c>
      <c r="F720" t="inlineStr">
        <is>
          <t>SCA</t>
        </is>
      </c>
      <c r="G720" t="n">
        <v>7.6</v>
      </c>
      <c r="H720" t="n">
        <v>1</v>
      </c>
      <c r="I720" t="n">
        <v>2</v>
      </c>
      <c r="J720" t="n">
        <v>2</v>
      </c>
      <c r="K720" t="n">
        <v>1</v>
      </c>
      <c r="L720" t="n">
        <v>0</v>
      </c>
      <c r="M720" t="n">
        <v>0</v>
      </c>
      <c r="N720" t="n">
        <v>0</v>
      </c>
      <c r="O720" t="n">
        <v>3</v>
      </c>
      <c r="P720" t="n">
        <v>1</v>
      </c>
      <c r="Q720" t="n">
        <v>5</v>
      </c>
      <c r="R720" s="2" t="inlineStr">
        <is>
          <t>Doftticka
Blanksvart spiklav
Kolflarnlav
Bårdlav
Stuplav</t>
        </is>
      </c>
      <c r="S720">
        <f>HYPERLINK("https://klasma.github.io/Logging_2305/artfynd/A 23729-2024 artfynd.xlsx", "A 23729-2024")</f>
        <v/>
      </c>
      <c r="T720">
        <f>HYPERLINK("https://klasma.github.io/Logging_2305/kartor/A 23729-2024 karta.png", "A 23729-2024")</f>
        <v/>
      </c>
      <c r="V720">
        <f>HYPERLINK("https://klasma.github.io/Logging_2305/klagomål/A 23729-2024 FSC-klagomål.docx", "A 23729-2024")</f>
        <v/>
      </c>
      <c r="W720">
        <f>HYPERLINK("https://klasma.github.io/Logging_2305/klagomålsmail/A 23729-2024 FSC-klagomål mail.docx", "A 23729-2024")</f>
        <v/>
      </c>
      <c r="X720">
        <f>HYPERLINK("https://klasma.github.io/Logging_2305/tillsyn/A 23729-2024 tillsynsbegäran.docx", "A 23729-2024")</f>
        <v/>
      </c>
      <c r="Y720">
        <f>HYPERLINK("https://klasma.github.io/Logging_2305/tillsynsmail/A 23729-2024 tillsynsbegäran mail.docx", "A 23729-2024")</f>
        <v/>
      </c>
    </row>
    <row r="721" ht="15" customHeight="1">
      <c r="A721" t="inlineStr">
        <is>
          <t>A 26406-2023</t>
        </is>
      </c>
      <c r="B721" s="1" t="n">
        <v>45089</v>
      </c>
      <c r="C721" s="1" t="n">
        <v>46045</v>
      </c>
      <c r="D721" t="inlineStr">
        <is>
          <t>JÄMTLANDS LÄN</t>
        </is>
      </c>
      <c r="E721" t="inlineStr">
        <is>
          <t>STRÖMSUND</t>
        </is>
      </c>
      <c r="G721" t="n">
        <v>12.8</v>
      </c>
      <c r="H721" t="n">
        <v>1</v>
      </c>
      <c r="I721" t="n">
        <v>1</v>
      </c>
      <c r="J721" t="n">
        <v>3</v>
      </c>
      <c r="K721" t="n">
        <v>1</v>
      </c>
      <c r="L721" t="n">
        <v>0</v>
      </c>
      <c r="M721" t="n">
        <v>0</v>
      </c>
      <c r="N721" t="n">
        <v>0</v>
      </c>
      <c r="O721" t="n">
        <v>4</v>
      </c>
      <c r="P721" t="n">
        <v>1</v>
      </c>
      <c r="Q721" t="n">
        <v>5</v>
      </c>
      <c r="R721" s="2" t="inlineStr">
        <is>
          <t>Knärot
Lunglav
Rosenticka
Vitgrynig nållav
Blodticka</t>
        </is>
      </c>
      <c r="S721">
        <f>HYPERLINK("https://klasma.github.io/Logging_2313/artfynd/A 26406-2023 artfynd.xlsx", "A 26406-2023")</f>
        <v/>
      </c>
      <c r="T721">
        <f>HYPERLINK("https://klasma.github.io/Logging_2313/kartor/A 26406-2023 karta.png", "A 26406-2023")</f>
        <v/>
      </c>
      <c r="U721">
        <f>HYPERLINK("https://klasma.github.io/Logging_2313/knärot/A 26406-2023 karta knärot.png", "A 26406-2023")</f>
        <v/>
      </c>
      <c r="V721">
        <f>HYPERLINK("https://klasma.github.io/Logging_2313/klagomål/A 26406-2023 FSC-klagomål.docx", "A 26406-2023")</f>
        <v/>
      </c>
      <c r="W721">
        <f>HYPERLINK("https://klasma.github.io/Logging_2313/klagomålsmail/A 26406-2023 FSC-klagomål mail.docx", "A 26406-2023")</f>
        <v/>
      </c>
      <c r="X721">
        <f>HYPERLINK("https://klasma.github.io/Logging_2313/tillsyn/A 26406-2023 tillsynsbegäran.docx", "A 26406-2023")</f>
        <v/>
      </c>
      <c r="Y721">
        <f>HYPERLINK("https://klasma.github.io/Logging_2313/tillsynsmail/A 26406-2023 tillsynsbegäran mail.docx", "A 26406-2023")</f>
        <v/>
      </c>
    </row>
    <row r="722" ht="15" customHeight="1">
      <c r="A722" t="inlineStr">
        <is>
          <t>A 39487-2024</t>
        </is>
      </c>
      <c r="B722" s="1" t="n">
        <v>45551</v>
      </c>
      <c r="C722" s="1" t="n">
        <v>46045</v>
      </c>
      <c r="D722" t="inlineStr">
        <is>
          <t>JÄMTLANDS LÄN</t>
        </is>
      </c>
      <c r="E722" t="inlineStr">
        <is>
          <t>KROKOM</t>
        </is>
      </c>
      <c r="G722" t="n">
        <v>8</v>
      </c>
      <c r="H722" t="n">
        <v>2</v>
      </c>
      <c r="I722" t="n">
        <v>0</v>
      </c>
      <c r="J722" t="n">
        <v>4</v>
      </c>
      <c r="K722" t="n">
        <v>1</v>
      </c>
      <c r="L722" t="n">
        <v>0</v>
      </c>
      <c r="M722" t="n">
        <v>0</v>
      </c>
      <c r="N722" t="n">
        <v>0</v>
      </c>
      <c r="O722" t="n">
        <v>5</v>
      </c>
      <c r="P722" t="n">
        <v>1</v>
      </c>
      <c r="Q722" t="n">
        <v>5</v>
      </c>
      <c r="R722" s="2" t="inlineStr">
        <is>
          <t>Knärot
Granticka
Harticka
Tretåig hackspett
Ullticka</t>
        </is>
      </c>
      <c r="S722">
        <f>HYPERLINK("https://klasma.github.io/Logging_2309/artfynd/A 39487-2024 artfynd.xlsx", "A 39487-2024")</f>
        <v/>
      </c>
      <c r="T722">
        <f>HYPERLINK("https://klasma.github.io/Logging_2309/kartor/A 39487-2024 karta.png", "A 39487-2024")</f>
        <v/>
      </c>
      <c r="U722">
        <f>HYPERLINK("https://klasma.github.io/Logging_2309/knärot/A 39487-2024 karta knärot.png", "A 39487-2024")</f>
        <v/>
      </c>
      <c r="V722">
        <f>HYPERLINK("https://klasma.github.io/Logging_2309/klagomål/A 39487-2024 FSC-klagomål.docx", "A 39487-2024")</f>
        <v/>
      </c>
      <c r="W722">
        <f>HYPERLINK("https://klasma.github.io/Logging_2309/klagomålsmail/A 39487-2024 FSC-klagomål mail.docx", "A 39487-2024")</f>
        <v/>
      </c>
      <c r="X722">
        <f>HYPERLINK("https://klasma.github.io/Logging_2309/tillsyn/A 39487-2024 tillsynsbegäran.docx", "A 39487-2024")</f>
        <v/>
      </c>
      <c r="Y722">
        <f>HYPERLINK("https://klasma.github.io/Logging_2309/tillsynsmail/A 39487-2024 tillsynsbegäran mail.docx", "A 39487-2024")</f>
        <v/>
      </c>
      <c r="Z722">
        <f>HYPERLINK("https://klasma.github.io/Logging_2309/fåglar/A 39487-2024 prioriterade fågelarter.docx", "A 39487-2024")</f>
        <v/>
      </c>
    </row>
    <row r="723" ht="15" customHeight="1">
      <c r="A723" t="inlineStr">
        <is>
          <t>A 34748-2025</t>
        </is>
      </c>
      <c r="B723" s="1" t="n">
        <v>45848.6153587963</v>
      </c>
      <c r="C723" s="1" t="n">
        <v>46045</v>
      </c>
      <c r="D723" t="inlineStr">
        <is>
          <t>JÄMTLANDS LÄN</t>
        </is>
      </c>
      <c r="E723" t="inlineStr">
        <is>
          <t>BRÄCKE</t>
        </is>
      </c>
      <c r="F723" t="inlineStr">
        <is>
          <t>SCA</t>
        </is>
      </c>
      <c r="G723" t="n">
        <v>7.1</v>
      </c>
      <c r="H723" t="n">
        <v>0</v>
      </c>
      <c r="I723" t="n">
        <v>2</v>
      </c>
      <c r="J723" t="n">
        <v>3</v>
      </c>
      <c r="K723" t="n">
        <v>0</v>
      </c>
      <c r="L723" t="n">
        <v>0</v>
      </c>
      <c r="M723" t="n">
        <v>0</v>
      </c>
      <c r="N723" t="n">
        <v>0</v>
      </c>
      <c r="O723" t="n">
        <v>3</v>
      </c>
      <c r="P723" t="n">
        <v>0</v>
      </c>
      <c r="Q723" t="n">
        <v>5</v>
      </c>
      <c r="R723" s="2" t="inlineStr">
        <is>
          <t>Lunglav
Skrovellav
Ullticka
Bårdlav
Stuplav</t>
        </is>
      </c>
      <c r="S723">
        <f>HYPERLINK("https://klasma.github.io/Logging_2305/artfynd/A 34748-2025 artfynd.xlsx", "A 34748-2025")</f>
        <v/>
      </c>
      <c r="T723">
        <f>HYPERLINK("https://klasma.github.io/Logging_2305/kartor/A 34748-2025 karta.png", "A 34748-2025")</f>
        <v/>
      </c>
      <c r="V723">
        <f>HYPERLINK("https://klasma.github.io/Logging_2305/klagomål/A 34748-2025 FSC-klagomål.docx", "A 34748-2025")</f>
        <v/>
      </c>
      <c r="W723">
        <f>HYPERLINK("https://klasma.github.io/Logging_2305/klagomålsmail/A 34748-2025 FSC-klagomål mail.docx", "A 34748-2025")</f>
        <v/>
      </c>
      <c r="X723">
        <f>HYPERLINK("https://klasma.github.io/Logging_2305/tillsyn/A 34748-2025 tillsynsbegäran.docx", "A 34748-2025")</f>
        <v/>
      </c>
      <c r="Y723">
        <f>HYPERLINK("https://klasma.github.io/Logging_2305/tillsynsmail/A 34748-2025 tillsynsbegäran mail.docx", "A 34748-2025")</f>
        <v/>
      </c>
    </row>
    <row r="724" ht="15" customHeight="1">
      <c r="A724" t="inlineStr">
        <is>
          <t>A 34881-2025</t>
        </is>
      </c>
      <c r="B724" s="1" t="n">
        <v>45849.46912037037</v>
      </c>
      <c r="C724" s="1" t="n">
        <v>46045</v>
      </c>
      <c r="D724" t="inlineStr">
        <is>
          <t>JÄMTLANDS LÄN</t>
        </is>
      </c>
      <c r="E724" t="inlineStr">
        <is>
          <t>STRÖMSUND</t>
        </is>
      </c>
      <c r="F724" t="inlineStr">
        <is>
          <t>SCA</t>
        </is>
      </c>
      <c r="G724" t="n">
        <v>4</v>
      </c>
      <c r="H724" t="n">
        <v>1</v>
      </c>
      <c r="I724" t="n">
        <v>1</v>
      </c>
      <c r="J724" t="n">
        <v>4</v>
      </c>
      <c r="K724" t="n">
        <v>0</v>
      </c>
      <c r="L724" t="n">
        <v>0</v>
      </c>
      <c r="M724" t="n">
        <v>0</v>
      </c>
      <c r="N724" t="n">
        <v>0</v>
      </c>
      <c r="O724" t="n">
        <v>4</v>
      </c>
      <c r="P724" t="n">
        <v>0</v>
      </c>
      <c r="Q724" t="n">
        <v>5</v>
      </c>
      <c r="R724" s="2" t="inlineStr">
        <is>
          <t>Gammelgransskål
Garnlav
Lunglav
Vitgrynig nållav
Korallrot</t>
        </is>
      </c>
      <c r="S724">
        <f>HYPERLINK("https://klasma.github.io/Logging_2313/artfynd/A 34881-2025 artfynd.xlsx", "A 34881-2025")</f>
        <v/>
      </c>
      <c r="T724">
        <f>HYPERLINK("https://klasma.github.io/Logging_2313/kartor/A 34881-2025 karta.png", "A 34881-2025")</f>
        <v/>
      </c>
      <c r="V724">
        <f>HYPERLINK("https://klasma.github.io/Logging_2313/klagomål/A 34881-2025 FSC-klagomål.docx", "A 34881-2025")</f>
        <v/>
      </c>
      <c r="W724">
        <f>HYPERLINK("https://klasma.github.io/Logging_2313/klagomålsmail/A 34881-2025 FSC-klagomål mail.docx", "A 34881-2025")</f>
        <v/>
      </c>
      <c r="X724">
        <f>HYPERLINK("https://klasma.github.io/Logging_2313/tillsyn/A 34881-2025 tillsynsbegäran.docx", "A 34881-2025")</f>
        <v/>
      </c>
      <c r="Y724">
        <f>HYPERLINK("https://klasma.github.io/Logging_2313/tillsynsmail/A 34881-2025 tillsynsbegäran mail.docx", "A 34881-2025")</f>
        <v/>
      </c>
    </row>
    <row r="725" ht="15" customHeight="1">
      <c r="A725" t="inlineStr">
        <is>
          <t>A 35344-2025</t>
        </is>
      </c>
      <c r="B725" s="1" t="n">
        <v>45854.61494212963</v>
      </c>
      <c r="C725" s="1" t="n">
        <v>46045</v>
      </c>
      <c r="D725" t="inlineStr">
        <is>
          <t>JÄMTLANDS LÄN</t>
        </is>
      </c>
      <c r="E725" t="inlineStr">
        <is>
          <t>RAGUNDA</t>
        </is>
      </c>
      <c r="F725" t="inlineStr">
        <is>
          <t>SCA</t>
        </is>
      </c>
      <c r="G725" t="n">
        <v>6.1</v>
      </c>
      <c r="H725" t="n">
        <v>0</v>
      </c>
      <c r="I725" t="n">
        <v>0</v>
      </c>
      <c r="J725" t="n">
        <v>5</v>
      </c>
      <c r="K725" t="n">
        <v>0</v>
      </c>
      <c r="L725" t="n">
        <v>0</v>
      </c>
      <c r="M725" t="n">
        <v>0</v>
      </c>
      <c r="N725" t="n">
        <v>0</v>
      </c>
      <c r="O725" t="n">
        <v>5</v>
      </c>
      <c r="P725" t="n">
        <v>0</v>
      </c>
      <c r="Q725" t="n">
        <v>5</v>
      </c>
      <c r="R725" s="2" t="inlineStr">
        <is>
          <t>Blå taggsvamp
Garnlav
Lunglav
Svart taggsvamp
Vedtrappmossa</t>
        </is>
      </c>
      <c r="S725">
        <f>HYPERLINK("https://klasma.github.io/Logging_2303/artfynd/A 35344-2025 artfynd.xlsx", "A 35344-2025")</f>
        <v/>
      </c>
      <c r="T725">
        <f>HYPERLINK("https://klasma.github.io/Logging_2303/kartor/A 35344-2025 karta.png", "A 35344-2025")</f>
        <v/>
      </c>
      <c r="V725">
        <f>HYPERLINK("https://klasma.github.io/Logging_2303/klagomål/A 35344-2025 FSC-klagomål.docx", "A 35344-2025")</f>
        <v/>
      </c>
      <c r="W725">
        <f>HYPERLINK("https://klasma.github.io/Logging_2303/klagomålsmail/A 35344-2025 FSC-klagomål mail.docx", "A 35344-2025")</f>
        <v/>
      </c>
      <c r="X725">
        <f>HYPERLINK("https://klasma.github.io/Logging_2303/tillsyn/A 35344-2025 tillsynsbegäran.docx", "A 35344-2025")</f>
        <v/>
      </c>
      <c r="Y725">
        <f>HYPERLINK("https://klasma.github.io/Logging_2303/tillsynsmail/A 35344-2025 tillsynsbegäran mail.docx", "A 35344-2025")</f>
        <v/>
      </c>
    </row>
    <row r="726" ht="15" customHeight="1">
      <c r="A726" t="inlineStr">
        <is>
          <t>A 2579-2025</t>
        </is>
      </c>
      <c r="B726" s="1" t="n">
        <v>45674.67744212963</v>
      </c>
      <c r="C726" s="1" t="n">
        <v>46045</v>
      </c>
      <c r="D726" t="inlineStr">
        <is>
          <t>JÄMTLANDS LÄN</t>
        </is>
      </c>
      <c r="E726" t="inlineStr">
        <is>
          <t>RAGUNDA</t>
        </is>
      </c>
      <c r="F726" t="inlineStr">
        <is>
          <t>SCA</t>
        </is>
      </c>
      <c r="G726" t="n">
        <v>5.5</v>
      </c>
      <c r="H726" t="n">
        <v>3</v>
      </c>
      <c r="I726" t="n">
        <v>0</v>
      </c>
      <c r="J726" t="n">
        <v>4</v>
      </c>
      <c r="K726" t="n">
        <v>0</v>
      </c>
      <c r="L726" t="n">
        <v>0</v>
      </c>
      <c r="M726" t="n">
        <v>0</v>
      </c>
      <c r="N726" t="n">
        <v>0</v>
      </c>
      <c r="O726" t="n">
        <v>4</v>
      </c>
      <c r="P726" t="n">
        <v>0</v>
      </c>
      <c r="Q726" t="n">
        <v>5</v>
      </c>
      <c r="R726" s="2" t="inlineStr">
        <is>
          <t>Granticka
Rosenticka
Rördrom
Spillkråka
Revlummer</t>
        </is>
      </c>
      <c r="S726">
        <f>HYPERLINK("https://klasma.github.io/Logging_2303/artfynd/A 2579-2025 artfynd.xlsx", "A 2579-2025")</f>
        <v/>
      </c>
      <c r="T726">
        <f>HYPERLINK("https://klasma.github.io/Logging_2303/kartor/A 2579-2025 karta.png", "A 2579-2025")</f>
        <v/>
      </c>
      <c r="V726">
        <f>HYPERLINK("https://klasma.github.io/Logging_2303/klagomål/A 2579-2025 FSC-klagomål.docx", "A 2579-2025")</f>
        <v/>
      </c>
      <c r="W726">
        <f>HYPERLINK("https://klasma.github.io/Logging_2303/klagomålsmail/A 2579-2025 FSC-klagomål mail.docx", "A 2579-2025")</f>
        <v/>
      </c>
      <c r="X726">
        <f>HYPERLINK("https://klasma.github.io/Logging_2303/tillsyn/A 2579-2025 tillsynsbegäran.docx", "A 2579-2025")</f>
        <v/>
      </c>
      <c r="Y726">
        <f>HYPERLINK("https://klasma.github.io/Logging_2303/tillsynsmail/A 2579-2025 tillsynsbegäran mail.docx", "A 2579-2025")</f>
        <v/>
      </c>
      <c r="Z726">
        <f>HYPERLINK("https://klasma.github.io/Logging_2303/fåglar/A 2579-2025 prioriterade fågelarter.docx", "A 2579-2025")</f>
        <v/>
      </c>
    </row>
    <row r="727" ht="15" customHeight="1">
      <c r="A727" t="inlineStr">
        <is>
          <t>A 59334-2025</t>
        </is>
      </c>
      <c r="B727" s="1" t="n">
        <v>45989.36503472222</v>
      </c>
      <c r="C727" s="1" t="n">
        <v>46045</v>
      </c>
      <c r="D727" t="inlineStr">
        <is>
          <t>JÄMTLANDS LÄN</t>
        </is>
      </c>
      <c r="E727" t="inlineStr">
        <is>
          <t>KROKOM</t>
        </is>
      </c>
      <c r="G727" t="n">
        <v>10.1</v>
      </c>
      <c r="H727" t="n">
        <v>3</v>
      </c>
      <c r="I727" t="n">
        <v>0</v>
      </c>
      <c r="J727" t="n">
        <v>4</v>
      </c>
      <c r="K727" t="n">
        <v>0</v>
      </c>
      <c r="L727" t="n">
        <v>0</v>
      </c>
      <c r="M727" t="n">
        <v>0</v>
      </c>
      <c r="N727" t="n">
        <v>0</v>
      </c>
      <c r="O727" t="n">
        <v>4</v>
      </c>
      <c r="P727" t="n">
        <v>0</v>
      </c>
      <c r="Q727" t="n">
        <v>5</v>
      </c>
      <c r="R727" s="2" t="inlineStr">
        <is>
          <t>Garnlav
Granticka
Spillkråka
Tretåig hackspett
Lavskrika</t>
        </is>
      </c>
      <c r="S727">
        <f>HYPERLINK("https://klasma.github.io/Logging_2309/artfynd/A 59334-2025 artfynd.xlsx", "A 59334-2025")</f>
        <v/>
      </c>
      <c r="T727">
        <f>HYPERLINK("https://klasma.github.io/Logging_2309/kartor/A 59334-2025 karta.png", "A 59334-2025")</f>
        <v/>
      </c>
      <c r="V727">
        <f>HYPERLINK("https://klasma.github.io/Logging_2309/klagomål/A 59334-2025 FSC-klagomål.docx", "A 59334-2025")</f>
        <v/>
      </c>
      <c r="W727">
        <f>HYPERLINK("https://klasma.github.io/Logging_2309/klagomålsmail/A 59334-2025 FSC-klagomål mail.docx", "A 59334-2025")</f>
        <v/>
      </c>
      <c r="X727">
        <f>HYPERLINK("https://klasma.github.io/Logging_2309/tillsyn/A 59334-2025 tillsynsbegäran.docx", "A 59334-2025")</f>
        <v/>
      </c>
      <c r="Y727">
        <f>HYPERLINK("https://klasma.github.io/Logging_2309/tillsynsmail/A 59334-2025 tillsynsbegäran mail.docx", "A 59334-2025")</f>
        <v/>
      </c>
      <c r="Z727">
        <f>HYPERLINK("https://klasma.github.io/Logging_2309/fåglar/A 59334-2025 prioriterade fågelarter.docx", "A 59334-2025")</f>
        <v/>
      </c>
    </row>
    <row r="728" ht="15" customHeight="1">
      <c r="A728" t="inlineStr">
        <is>
          <t>A 19799-2024</t>
        </is>
      </c>
      <c r="B728" s="1" t="n">
        <v>45432.94736111111</v>
      </c>
      <c r="C728" s="1" t="n">
        <v>46045</v>
      </c>
      <c r="D728" t="inlineStr">
        <is>
          <t>JÄMTLANDS LÄN</t>
        </is>
      </c>
      <c r="E728" t="inlineStr">
        <is>
          <t>HÄRJEDALEN</t>
        </is>
      </c>
      <c r="F728" t="inlineStr">
        <is>
          <t>SCA</t>
        </is>
      </c>
      <c r="G728" t="n">
        <v>2</v>
      </c>
      <c r="H728" t="n">
        <v>1</v>
      </c>
      <c r="I728" t="n">
        <v>1</v>
      </c>
      <c r="J728" t="n">
        <v>3</v>
      </c>
      <c r="K728" t="n">
        <v>1</v>
      </c>
      <c r="L728" t="n">
        <v>0</v>
      </c>
      <c r="M728" t="n">
        <v>0</v>
      </c>
      <c r="N728" t="n">
        <v>0</v>
      </c>
      <c r="O728" t="n">
        <v>4</v>
      </c>
      <c r="P728" t="n">
        <v>1</v>
      </c>
      <c r="Q728" t="n">
        <v>5</v>
      </c>
      <c r="R728" s="2" t="inlineStr">
        <is>
          <t>Knärot
Garnlav
Lunglav
Mörk kolflarnlav
Stuplav</t>
        </is>
      </c>
      <c r="S728">
        <f>HYPERLINK("https://klasma.github.io/Logging_2361/artfynd/A 19799-2024 artfynd.xlsx", "A 19799-2024")</f>
        <v/>
      </c>
      <c r="T728">
        <f>HYPERLINK("https://klasma.github.io/Logging_2361/kartor/A 19799-2024 karta.png", "A 19799-2024")</f>
        <v/>
      </c>
      <c r="U728">
        <f>HYPERLINK("https://klasma.github.io/Logging_2361/knärot/A 19799-2024 karta knärot.png", "A 19799-2024")</f>
        <v/>
      </c>
      <c r="V728">
        <f>HYPERLINK("https://klasma.github.io/Logging_2361/klagomål/A 19799-2024 FSC-klagomål.docx", "A 19799-2024")</f>
        <v/>
      </c>
      <c r="W728">
        <f>HYPERLINK("https://klasma.github.io/Logging_2361/klagomålsmail/A 19799-2024 FSC-klagomål mail.docx", "A 19799-2024")</f>
        <v/>
      </c>
      <c r="X728">
        <f>HYPERLINK("https://klasma.github.io/Logging_2361/tillsyn/A 19799-2024 tillsynsbegäran.docx", "A 19799-2024")</f>
        <v/>
      </c>
      <c r="Y728">
        <f>HYPERLINK("https://klasma.github.io/Logging_2361/tillsynsmail/A 19799-2024 tillsynsbegäran mail.docx", "A 19799-2024")</f>
        <v/>
      </c>
    </row>
    <row r="729" ht="15" customHeight="1">
      <c r="A729" t="inlineStr">
        <is>
          <t>A 57073-2023</t>
        </is>
      </c>
      <c r="B729" s="1" t="n">
        <v>45244</v>
      </c>
      <c r="C729" s="1" t="n">
        <v>46045</v>
      </c>
      <c r="D729" t="inlineStr">
        <is>
          <t>JÄMTLANDS LÄN</t>
        </is>
      </c>
      <c r="E729" t="inlineStr">
        <is>
          <t>RAGUNDA</t>
        </is>
      </c>
      <c r="F729" t="inlineStr">
        <is>
          <t>SCA</t>
        </is>
      </c>
      <c r="G729" t="n">
        <v>4.1</v>
      </c>
      <c r="H729" t="n">
        <v>1</v>
      </c>
      <c r="I729" t="n">
        <v>0</v>
      </c>
      <c r="J729" t="n">
        <v>4</v>
      </c>
      <c r="K729" t="n">
        <v>1</v>
      </c>
      <c r="L729" t="n">
        <v>0</v>
      </c>
      <c r="M729" t="n">
        <v>0</v>
      </c>
      <c r="N729" t="n">
        <v>0</v>
      </c>
      <c r="O729" t="n">
        <v>5</v>
      </c>
      <c r="P729" t="n">
        <v>1</v>
      </c>
      <c r="Q729" t="n">
        <v>5</v>
      </c>
      <c r="R729" s="2" t="inlineStr">
        <is>
          <t>Aspgelélav
Granticka
Lunglav
Tretåig hackspett
Ullticka</t>
        </is>
      </c>
      <c r="S729">
        <f>HYPERLINK("https://klasma.github.io/Logging_2303/artfynd/A 57073-2023 artfynd.xlsx", "A 57073-2023")</f>
        <v/>
      </c>
      <c r="T729">
        <f>HYPERLINK("https://klasma.github.io/Logging_2303/kartor/A 57073-2023 karta.png", "A 57073-2023")</f>
        <v/>
      </c>
      <c r="V729">
        <f>HYPERLINK("https://klasma.github.io/Logging_2303/klagomål/A 57073-2023 FSC-klagomål.docx", "A 57073-2023")</f>
        <v/>
      </c>
      <c r="W729">
        <f>HYPERLINK("https://klasma.github.io/Logging_2303/klagomålsmail/A 57073-2023 FSC-klagomål mail.docx", "A 57073-2023")</f>
        <v/>
      </c>
      <c r="X729">
        <f>HYPERLINK("https://klasma.github.io/Logging_2303/tillsyn/A 57073-2023 tillsynsbegäran.docx", "A 57073-2023")</f>
        <v/>
      </c>
      <c r="Y729">
        <f>HYPERLINK("https://klasma.github.io/Logging_2303/tillsynsmail/A 57073-2023 tillsynsbegäran mail.docx", "A 57073-2023")</f>
        <v/>
      </c>
      <c r="Z729">
        <f>HYPERLINK("https://klasma.github.io/Logging_2303/fåglar/A 57073-2023 prioriterade fågelarter.docx", "A 57073-2023")</f>
        <v/>
      </c>
    </row>
    <row r="730" ht="15" customHeight="1">
      <c r="A730" t="inlineStr">
        <is>
          <t>A 56499-2025</t>
        </is>
      </c>
      <c r="B730" s="1" t="n">
        <v>45975.43427083334</v>
      </c>
      <c r="C730" s="1" t="n">
        <v>46045</v>
      </c>
      <c r="D730" t="inlineStr">
        <is>
          <t>JÄMTLANDS LÄN</t>
        </is>
      </c>
      <c r="E730" t="inlineStr">
        <is>
          <t>ÖSTERSUND</t>
        </is>
      </c>
      <c r="G730" t="n">
        <v>7.4</v>
      </c>
      <c r="H730" t="n">
        <v>2</v>
      </c>
      <c r="I730" t="n">
        <v>1</v>
      </c>
      <c r="J730" t="n">
        <v>3</v>
      </c>
      <c r="K730" t="n">
        <v>0</v>
      </c>
      <c r="L730" t="n">
        <v>0</v>
      </c>
      <c r="M730" t="n">
        <v>0</v>
      </c>
      <c r="N730" t="n">
        <v>0</v>
      </c>
      <c r="O730" t="n">
        <v>3</v>
      </c>
      <c r="P730" t="n">
        <v>0</v>
      </c>
      <c r="Q730" t="n">
        <v>5</v>
      </c>
      <c r="R730" s="2" t="inlineStr">
        <is>
          <t>Garnlav
Lunglav
Tretåig hackspett
Luddlav
Revlummer</t>
        </is>
      </c>
      <c r="S730">
        <f>HYPERLINK("https://klasma.github.io/Logging_2380/artfynd/A 56499-2025 artfynd.xlsx", "A 56499-2025")</f>
        <v/>
      </c>
      <c r="T730">
        <f>HYPERLINK("https://klasma.github.io/Logging_2380/kartor/A 56499-2025 karta.png", "A 56499-2025")</f>
        <v/>
      </c>
      <c r="V730">
        <f>HYPERLINK("https://klasma.github.io/Logging_2380/klagomål/A 56499-2025 FSC-klagomål.docx", "A 56499-2025")</f>
        <v/>
      </c>
      <c r="W730">
        <f>HYPERLINK("https://klasma.github.io/Logging_2380/klagomålsmail/A 56499-2025 FSC-klagomål mail.docx", "A 56499-2025")</f>
        <v/>
      </c>
      <c r="X730">
        <f>HYPERLINK("https://klasma.github.io/Logging_2380/tillsyn/A 56499-2025 tillsynsbegäran.docx", "A 56499-2025")</f>
        <v/>
      </c>
      <c r="Y730">
        <f>HYPERLINK("https://klasma.github.io/Logging_2380/tillsynsmail/A 56499-2025 tillsynsbegäran mail.docx", "A 56499-2025")</f>
        <v/>
      </c>
      <c r="Z730">
        <f>HYPERLINK("https://klasma.github.io/Logging_2380/fåglar/A 56499-2025 prioriterade fågelarter.docx", "A 56499-2025")</f>
        <v/>
      </c>
    </row>
    <row r="731" ht="15" customHeight="1">
      <c r="A731" t="inlineStr">
        <is>
          <t>A 36995-2025</t>
        </is>
      </c>
      <c r="B731" s="1" t="n">
        <v>45874.67765046296</v>
      </c>
      <c r="C731" s="1" t="n">
        <v>46045</v>
      </c>
      <c r="D731" t="inlineStr">
        <is>
          <t>JÄMTLANDS LÄN</t>
        </is>
      </c>
      <c r="E731" t="inlineStr">
        <is>
          <t>KROKOM</t>
        </is>
      </c>
      <c r="F731" t="inlineStr">
        <is>
          <t>SCA</t>
        </is>
      </c>
      <c r="G731" t="n">
        <v>8.1</v>
      </c>
      <c r="H731" t="n">
        <v>1</v>
      </c>
      <c r="I731" t="n">
        <v>0</v>
      </c>
      <c r="J731" t="n">
        <v>5</v>
      </c>
      <c r="K731" t="n">
        <v>0</v>
      </c>
      <c r="L731" t="n">
        <v>0</v>
      </c>
      <c r="M731" t="n">
        <v>0</v>
      </c>
      <c r="N731" t="n">
        <v>0</v>
      </c>
      <c r="O731" t="n">
        <v>5</v>
      </c>
      <c r="P731" t="n">
        <v>0</v>
      </c>
      <c r="Q731" t="n">
        <v>5</v>
      </c>
      <c r="R731" s="2" t="inlineStr">
        <is>
          <t>Dvärgbägarlav
Garnlav
Nordtagging
Skrovellav
Tretåig hackspett</t>
        </is>
      </c>
      <c r="S731">
        <f>HYPERLINK("https://klasma.github.io/Logging_2309/artfynd/A 36995-2025 artfynd.xlsx", "A 36995-2025")</f>
        <v/>
      </c>
      <c r="T731">
        <f>HYPERLINK("https://klasma.github.io/Logging_2309/kartor/A 36995-2025 karta.png", "A 36995-2025")</f>
        <v/>
      </c>
      <c r="V731">
        <f>HYPERLINK("https://klasma.github.io/Logging_2309/klagomål/A 36995-2025 FSC-klagomål.docx", "A 36995-2025")</f>
        <v/>
      </c>
      <c r="W731">
        <f>HYPERLINK("https://klasma.github.io/Logging_2309/klagomålsmail/A 36995-2025 FSC-klagomål mail.docx", "A 36995-2025")</f>
        <v/>
      </c>
      <c r="X731">
        <f>HYPERLINK("https://klasma.github.io/Logging_2309/tillsyn/A 36995-2025 tillsynsbegäran.docx", "A 36995-2025")</f>
        <v/>
      </c>
      <c r="Y731">
        <f>HYPERLINK("https://klasma.github.io/Logging_2309/tillsynsmail/A 36995-2025 tillsynsbegäran mail.docx", "A 36995-2025")</f>
        <v/>
      </c>
      <c r="Z731">
        <f>HYPERLINK("https://klasma.github.io/Logging_2309/fåglar/A 36995-2025 prioriterade fågelarter.docx", "A 36995-2025")</f>
        <v/>
      </c>
    </row>
    <row r="732" ht="15" customHeight="1">
      <c r="A732" t="inlineStr">
        <is>
          <t>A 29061-2023</t>
        </is>
      </c>
      <c r="B732" s="1" t="n">
        <v>45104</v>
      </c>
      <c r="C732" s="1" t="n">
        <v>46045</v>
      </c>
      <c r="D732" t="inlineStr">
        <is>
          <t>JÄMTLANDS LÄN</t>
        </is>
      </c>
      <c r="E732" t="inlineStr">
        <is>
          <t>STRÖMSUND</t>
        </is>
      </c>
      <c r="F732" t="inlineStr">
        <is>
          <t>SCA</t>
        </is>
      </c>
      <c r="G732" t="n">
        <v>5.2</v>
      </c>
      <c r="H732" t="n">
        <v>1</v>
      </c>
      <c r="I732" t="n">
        <v>0</v>
      </c>
      <c r="J732" t="n">
        <v>5</v>
      </c>
      <c r="K732" t="n">
        <v>0</v>
      </c>
      <c r="L732" t="n">
        <v>0</v>
      </c>
      <c r="M732" t="n">
        <v>0</v>
      </c>
      <c r="N732" t="n">
        <v>0</v>
      </c>
      <c r="O732" t="n">
        <v>5</v>
      </c>
      <c r="P732" t="n">
        <v>0</v>
      </c>
      <c r="Q732" t="n">
        <v>5</v>
      </c>
      <c r="R732" s="2" t="inlineStr">
        <is>
          <t>Gammelgransskål
Garnlav
Lunglav
Skrovellav
Tretåig hackspett</t>
        </is>
      </c>
      <c r="S732">
        <f>HYPERLINK("https://klasma.github.io/Logging_2313/artfynd/A 29061-2023 artfynd.xlsx", "A 29061-2023")</f>
        <v/>
      </c>
      <c r="T732">
        <f>HYPERLINK("https://klasma.github.io/Logging_2313/kartor/A 29061-2023 karta.png", "A 29061-2023")</f>
        <v/>
      </c>
      <c r="V732">
        <f>HYPERLINK("https://klasma.github.io/Logging_2313/klagomål/A 29061-2023 FSC-klagomål.docx", "A 29061-2023")</f>
        <v/>
      </c>
      <c r="W732">
        <f>HYPERLINK("https://klasma.github.io/Logging_2313/klagomålsmail/A 29061-2023 FSC-klagomål mail.docx", "A 29061-2023")</f>
        <v/>
      </c>
      <c r="X732">
        <f>HYPERLINK("https://klasma.github.io/Logging_2313/tillsyn/A 29061-2023 tillsynsbegäran.docx", "A 29061-2023")</f>
        <v/>
      </c>
      <c r="Y732">
        <f>HYPERLINK("https://klasma.github.io/Logging_2313/tillsynsmail/A 29061-2023 tillsynsbegäran mail.docx", "A 29061-2023")</f>
        <v/>
      </c>
      <c r="Z732">
        <f>HYPERLINK("https://klasma.github.io/Logging_2313/fåglar/A 29061-2023 prioriterade fågelarter.docx", "A 29061-2023")</f>
        <v/>
      </c>
    </row>
    <row r="733" ht="15" customHeight="1">
      <c r="A733" t="inlineStr">
        <is>
          <t>A 17855-2024</t>
        </is>
      </c>
      <c r="B733" s="1" t="n">
        <v>45419</v>
      </c>
      <c r="C733" s="1" t="n">
        <v>46045</v>
      </c>
      <c r="D733" t="inlineStr">
        <is>
          <t>JÄMTLANDS LÄN</t>
        </is>
      </c>
      <c r="E733" t="inlineStr">
        <is>
          <t>ÅRE</t>
        </is>
      </c>
      <c r="F733" t="inlineStr">
        <is>
          <t>Övriga Aktiebolag</t>
        </is>
      </c>
      <c r="G733" t="n">
        <v>11.6</v>
      </c>
      <c r="H733" t="n">
        <v>1</v>
      </c>
      <c r="I733" t="n">
        <v>1</v>
      </c>
      <c r="J733" t="n">
        <v>4</v>
      </c>
      <c r="K733" t="n">
        <v>0</v>
      </c>
      <c r="L733" t="n">
        <v>0</v>
      </c>
      <c r="M733" t="n">
        <v>0</v>
      </c>
      <c r="N733" t="n">
        <v>0</v>
      </c>
      <c r="O733" t="n">
        <v>4</v>
      </c>
      <c r="P733" t="n">
        <v>0</v>
      </c>
      <c r="Q733" t="n">
        <v>5</v>
      </c>
      <c r="R733" s="2" t="inlineStr">
        <is>
          <t>Garnlav
Granticka
Spillkråka
Ullticka
Trådticka</t>
        </is>
      </c>
      <c r="S733">
        <f>HYPERLINK("https://klasma.github.io/Logging_2321/artfynd/A 17855-2024 artfynd.xlsx", "A 17855-2024")</f>
        <v/>
      </c>
      <c r="T733">
        <f>HYPERLINK("https://klasma.github.io/Logging_2321/kartor/A 17855-2024 karta.png", "A 17855-2024")</f>
        <v/>
      </c>
      <c r="V733">
        <f>HYPERLINK("https://klasma.github.io/Logging_2321/klagomål/A 17855-2024 FSC-klagomål.docx", "A 17855-2024")</f>
        <v/>
      </c>
      <c r="W733">
        <f>HYPERLINK("https://klasma.github.io/Logging_2321/klagomålsmail/A 17855-2024 FSC-klagomål mail.docx", "A 17855-2024")</f>
        <v/>
      </c>
      <c r="X733">
        <f>HYPERLINK("https://klasma.github.io/Logging_2321/tillsyn/A 17855-2024 tillsynsbegäran.docx", "A 17855-2024")</f>
        <v/>
      </c>
      <c r="Y733">
        <f>HYPERLINK("https://klasma.github.io/Logging_2321/tillsynsmail/A 17855-2024 tillsynsbegäran mail.docx", "A 17855-2024")</f>
        <v/>
      </c>
      <c r="Z733">
        <f>HYPERLINK("https://klasma.github.io/Logging_2321/fåglar/A 17855-2024 prioriterade fågelarter.docx", "A 17855-2024")</f>
        <v/>
      </c>
    </row>
    <row r="734" ht="15" customHeight="1">
      <c r="A734" t="inlineStr">
        <is>
          <t>A 56203-2021</t>
        </is>
      </c>
      <c r="B734" s="1" t="n">
        <v>44477</v>
      </c>
      <c r="C734" s="1" t="n">
        <v>46045</v>
      </c>
      <c r="D734" t="inlineStr">
        <is>
          <t>JÄMTLANDS LÄN</t>
        </is>
      </c>
      <c r="E734" t="inlineStr">
        <is>
          <t>BERG</t>
        </is>
      </c>
      <c r="F734" t="inlineStr">
        <is>
          <t>SCA</t>
        </is>
      </c>
      <c r="G734" t="n">
        <v>3.4</v>
      </c>
      <c r="H734" t="n">
        <v>2</v>
      </c>
      <c r="I734" t="n">
        <v>0</v>
      </c>
      <c r="J734" t="n">
        <v>4</v>
      </c>
      <c r="K734" t="n">
        <v>0</v>
      </c>
      <c r="L734" t="n">
        <v>0</v>
      </c>
      <c r="M734" t="n">
        <v>0</v>
      </c>
      <c r="N734" t="n">
        <v>0</v>
      </c>
      <c r="O734" t="n">
        <v>4</v>
      </c>
      <c r="P734" t="n">
        <v>0</v>
      </c>
      <c r="Q734" t="n">
        <v>5</v>
      </c>
      <c r="R734" s="2" t="inlineStr">
        <is>
          <t>Garnlav
Granticka
Lunglav
Tretåig hackspett
Tjäder</t>
        </is>
      </c>
      <c r="S734">
        <f>HYPERLINK("https://klasma.github.io/Logging_2326/artfynd/A 56203-2021 artfynd.xlsx", "A 56203-2021")</f>
        <v/>
      </c>
      <c r="T734">
        <f>HYPERLINK("https://klasma.github.io/Logging_2326/kartor/A 56203-2021 karta.png", "A 56203-2021")</f>
        <v/>
      </c>
      <c r="V734">
        <f>HYPERLINK("https://klasma.github.io/Logging_2326/klagomål/A 56203-2021 FSC-klagomål.docx", "A 56203-2021")</f>
        <v/>
      </c>
      <c r="W734">
        <f>HYPERLINK("https://klasma.github.io/Logging_2326/klagomålsmail/A 56203-2021 FSC-klagomål mail.docx", "A 56203-2021")</f>
        <v/>
      </c>
      <c r="X734">
        <f>HYPERLINK("https://klasma.github.io/Logging_2326/tillsyn/A 56203-2021 tillsynsbegäran.docx", "A 56203-2021")</f>
        <v/>
      </c>
      <c r="Y734">
        <f>HYPERLINK("https://klasma.github.io/Logging_2326/tillsynsmail/A 56203-2021 tillsynsbegäran mail.docx", "A 56203-2021")</f>
        <v/>
      </c>
      <c r="Z734">
        <f>HYPERLINK("https://klasma.github.io/Logging_2326/fåglar/A 56203-2021 prioriterade fågelarter.docx", "A 56203-2021")</f>
        <v/>
      </c>
    </row>
    <row r="735" ht="15" customHeight="1">
      <c r="A735" t="inlineStr">
        <is>
          <t>A 35749-2024</t>
        </is>
      </c>
      <c r="B735" s="1" t="n">
        <v>45532</v>
      </c>
      <c r="C735" s="1" t="n">
        <v>46045</v>
      </c>
      <c r="D735" t="inlineStr">
        <is>
          <t>JÄMTLANDS LÄN</t>
        </is>
      </c>
      <c r="E735" t="inlineStr">
        <is>
          <t>KROKOM</t>
        </is>
      </c>
      <c r="G735" t="n">
        <v>17.3</v>
      </c>
      <c r="H735" t="n">
        <v>1</v>
      </c>
      <c r="I735" t="n">
        <v>0</v>
      </c>
      <c r="J735" t="n">
        <v>5</v>
      </c>
      <c r="K735" t="n">
        <v>0</v>
      </c>
      <c r="L735" t="n">
        <v>0</v>
      </c>
      <c r="M735" t="n">
        <v>0</v>
      </c>
      <c r="N735" t="n">
        <v>0</v>
      </c>
      <c r="O735" t="n">
        <v>5</v>
      </c>
      <c r="P735" t="n">
        <v>0</v>
      </c>
      <c r="Q735" t="n">
        <v>5</v>
      </c>
      <c r="R735" s="2" t="inlineStr">
        <is>
          <t>Garnlav
Granticka
Gränsticka
Harticka
Tretåig hackspett</t>
        </is>
      </c>
      <c r="S735">
        <f>HYPERLINK("https://klasma.github.io/Logging_2309/artfynd/A 35749-2024 artfynd.xlsx", "A 35749-2024")</f>
        <v/>
      </c>
      <c r="T735">
        <f>HYPERLINK("https://klasma.github.io/Logging_2309/kartor/A 35749-2024 karta.png", "A 35749-2024")</f>
        <v/>
      </c>
      <c r="V735">
        <f>HYPERLINK("https://klasma.github.io/Logging_2309/klagomål/A 35749-2024 FSC-klagomål.docx", "A 35749-2024")</f>
        <v/>
      </c>
      <c r="W735">
        <f>HYPERLINK("https://klasma.github.io/Logging_2309/klagomålsmail/A 35749-2024 FSC-klagomål mail.docx", "A 35749-2024")</f>
        <v/>
      </c>
      <c r="X735">
        <f>HYPERLINK("https://klasma.github.io/Logging_2309/tillsyn/A 35749-2024 tillsynsbegäran.docx", "A 35749-2024")</f>
        <v/>
      </c>
      <c r="Y735">
        <f>HYPERLINK("https://klasma.github.io/Logging_2309/tillsynsmail/A 35749-2024 tillsynsbegäran mail.docx", "A 35749-2024")</f>
        <v/>
      </c>
      <c r="Z735">
        <f>HYPERLINK("https://klasma.github.io/Logging_2309/fåglar/A 35749-2024 prioriterade fågelarter.docx", "A 35749-2024")</f>
        <v/>
      </c>
    </row>
    <row r="736" ht="15" customHeight="1">
      <c r="A736" t="inlineStr">
        <is>
          <t>A 48189-2025</t>
        </is>
      </c>
      <c r="B736" s="1" t="n">
        <v>45931</v>
      </c>
      <c r="C736" s="1" t="n">
        <v>46045</v>
      </c>
      <c r="D736" t="inlineStr">
        <is>
          <t>JÄMTLANDS LÄN</t>
        </is>
      </c>
      <c r="E736" t="inlineStr">
        <is>
          <t>ÅRE</t>
        </is>
      </c>
      <c r="G736" t="n">
        <v>2.9</v>
      </c>
      <c r="H736" t="n">
        <v>1</v>
      </c>
      <c r="I736" t="n">
        <v>0</v>
      </c>
      <c r="J736" t="n">
        <v>4</v>
      </c>
      <c r="K736" t="n">
        <v>0</v>
      </c>
      <c r="L736" t="n">
        <v>0</v>
      </c>
      <c r="M736" t="n">
        <v>0</v>
      </c>
      <c r="N736" t="n">
        <v>0</v>
      </c>
      <c r="O736" t="n">
        <v>4</v>
      </c>
      <c r="P736" t="n">
        <v>0</v>
      </c>
      <c r="Q736" t="n">
        <v>5</v>
      </c>
      <c r="R736" s="2" t="inlineStr">
        <is>
          <t>Garnlav
Granticka
Gränsticka
Ullticka
Orre</t>
        </is>
      </c>
      <c r="S736">
        <f>HYPERLINK("https://klasma.github.io/Logging_2321/artfynd/A 48189-2025 artfynd.xlsx", "A 48189-2025")</f>
        <v/>
      </c>
      <c r="T736">
        <f>HYPERLINK("https://klasma.github.io/Logging_2321/kartor/A 48189-2025 karta.png", "A 48189-2025")</f>
        <v/>
      </c>
      <c r="V736">
        <f>HYPERLINK("https://klasma.github.io/Logging_2321/klagomål/A 48189-2025 FSC-klagomål.docx", "A 48189-2025")</f>
        <v/>
      </c>
      <c r="W736">
        <f>HYPERLINK("https://klasma.github.io/Logging_2321/klagomålsmail/A 48189-2025 FSC-klagomål mail.docx", "A 48189-2025")</f>
        <v/>
      </c>
      <c r="X736">
        <f>HYPERLINK("https://klasma.github.io/Logging_2321/tillsyn/A 48189-2025 tillsynsbegäran.docx", "A 48189-2025")</f>
        <v/>
      </c>
      <c r="Y736">
        <f>HYPERLINK("https://klasma.github.io/Logging_2321/tillsynsmail/A 48189-2025 tillsynsbegäran mail.docx", "A 48189-2025")</f>
        <v/>
      </c>
      <c r="Z736">
        <f>HYPERLINK("https://klasma.github.io/Logging_2321/fåglar/A 48189-2025 prioriterade fågelarter.docx", "A 48189-2025")</f>
        <v/>
      </c>
    </row>
    <row r="737" ht="15" customHeight="1">
      <c r="A737" t="inlineStr">
        <is>
          <t>A 54731-2024</t>
        </is>
      </c>
      <c r="B737" s="1" t="n">
        <v>45618.43853009259</v>
      </c>
      <c r="C737" s="1" t="n">
        <v>46045</v>
      </c>
      <c r="D737" t="inlineStr">
        <is>
          <t>JÄMTLANDS LÄN</t>
        </is>
      </c>
      <c r="E737" t="inlineStr">
        <is>
          <t>ÖSTERSUND</t>
        </is>
      </c>
      <c r="F737" t="inlineStr">
        <is>
          <t>SCA</t>
        </is>
      </c>
      <c r="G737" t="n">
        <v>16.8</v>
      </c>
      <c r="H737" t="n">
        <v>1</v>
      </c>
      <c r="I737" t="n">
        <v>1</v>
      </c>
      <c r="J737" t="n">
        <v>4</v>
      </c>
      <c r="K737" t="n">
        <v>0</v>
      </c>
      <c r="L737" t="n">
        <v>0</v>
      </c>
      <c r="M737" t="n">
        <v>0</v>
      </c>
      <c r="N737" t="n">
        <v>0</v>
      </c>
      <c r="O737" t="n">
        <v>4</v>
      </c>
      <c r="P737" t="n">
        <v>0</v>
      </c>
      <c r="Q737" t="n">
        <v>5</v>
      </c>
      <c r="R737" s="2" t="inlineStr">
        <is>
          <t>Granticka
Lunglav
Rödvingetrast
Ullticka
Kransrams</t>
        </is>
      </c>
      <c r="S737">
        <f>HYPERLINK("https://klasma.github.io/Logging_2380/artfynd/A 54731-2024 artfynd.xlsx", "A 54731-2024")</f>
        <v/>
      </c>
      <c r="T737">
        <f>HYPERLINK("https://klasma.github.io/Logging_2380/kartor/A 54731-2024 karta.png", "A 54731-2024")</f>
        <v/>
      </c>
      <c r="V737">
        <f>HYPERLINK("https://klasma.github.io/Logging_2380/klagomål/A 54731-2024 FSC-klagomål.docx", "A 54731-2024")</f>
        <v/>
      </c>
      <c r="W737">
        <f>HYPERLINK("https://klasma.github.io/Logging_2380/klagomålsmail/A 54731-2024 FSC-klagomål mail.docx", "A 54731-2024")</f>
        <v/>
      </c>
      <c r="X737">
        <f>HYPERLINK("https://klasma.github.io/Logging_2380/tillsyn/A 54731-2024 tillsynsbegäran.docx", "A 54731-2024")</f>
        <v/>
      </c>
      <c r="Y737">
        <f>HYPERLINK("https://klasma.github.io/Logging_2380/tillsynsmail/A 54731-2024 tillsynsbegäran mail.docx", "A 54731-2024")</f>
        <v/>
      </c>
      <c r="Z737">
        <f>HYPERLINK("https://klasma.github.io/Logging_2380/fåglar/A 54731-2024 prioriterade fågelarter.docx", "A 54731-2024")</f>
        <v/>
      </c>
    </row>
    <row r="738" ht="15" customHeight="1">
      <c r="A738" t="inlineStr">
        <is>
          <t>A 13266-2023</t>
        </is>
      </c>
      <c r="B738" s="1" t="n">
        <v>45002.94356481481</v>
      </c>
      <c r="C738" s="1" t="n">
        <v>46045</v>
      </c>
      <c r="D738" t="inlineStr">
        <is>
          <t>JÄMTLANDS LÄN</t>
        </is>
      </c>
      <c r="E738" t="inlineStr">
        <is>
          <t>RAGUNDA</t>
        </is>
      </c>
      <c r="F738" t="inlineStr">
        <is>
          <t>SCA</t>
        </is>
      </c>
      <c r="G738" t="n">
        <v>4.1</v>
      </c>
      <c r="H738" t="n">
        <v>1</v>
      </c>
      <c r="I738" t="n">
        <v>0</v>
      </c>
      <c r="J738" t="n">
        <v>4</v>
      </c>
      <c r="K738" t="n">
        <v>0</v>
      </c>
      <c r="L738" t="n">
        <v>0</v>
      </c>
      <c r="M738" t="n">
        <v>0</v>
      </c>
      <c r="N738" t="n">
        <v>0</v>
      </c>
      <c r="O738" t="n">
        <v>4</v>
      </c>
      <c r="P738" t="n">
        <v>0</v>
      </c>
      <c r="Q738" t="n">
        <v>5</v>
      </c>
      <c r="R738" s="2" t="inlineStr">
        <is>
          <t>Gammelgransskål
Garnlav
Granticka
Lunglav
Revlummer</t>
        </is>
      </c>
      <c r="S738">
        <f>HYPERLINK("https://klasma.github.io/Logging_2303/artfynd/A 13266-2023 artfynd.xlsx", "A 13266-2023")</f>
        <v/>
      </c>
      <c r="T738">
        <f>HYPERLINK("https://klasma.github.io/Logging_2303/kartor/A 13266-2023 karta.png", "A 13266-2023")</f>
        <v/>
      </c>
      <c r="V738">
        <f>HYPERLINK("https://klasma.github.io/Logging_2303/klagomål/A 13266-2023 FSC-klagomål.docx", "A 13266-2023")</f>
        <v/>
      </c>
      <c r="W738">
        <f>HYPERLINK("https://klasma.github.io/Logging_2303/klagomålsmail/A 13266-2023 FSC-klagomål mail.docx", "A 13266-2023")</f>
        <v/>
      </c>
      <c r="X738">
        <f>HYPERLINK("https://klasma.github.io/Logging_2303/tillsyn/A 13266-2023 tillsynsbegäran.docx", "A 13266-2023")</f>
        <v/>
      </c>
      <c r="Y738">
        <f>HYPERLINK("https://klasma.github.io/Logging_2303/tillsynsmail/A 13266-2023 tillsynsbegäran mail.docx", "A 13266-2023")</f>
        <v/>
      </c>
    </row>
    <row r="739" ht="15" customHeight="1">
      <c r="A739" t="inlineStr">
        <is>
          <t>A 38334-2023</t>
        </is>
      </c>
      <c r="B739" s="1" t="n">
        <v>45161</v>
      </c>
      <c r="C739" s="1" t="n">
        <v>46045</v>
      </c>
      <c r="D739" t="inlineStr">
        <is>
          <t>JÄMTLANDS LÄN</t>
        </is>
      </c>
      <c r="E739" t="inlineStr">
        <is>
          <t>ÖSTERSUND</t>
        </is>
      </c>
      <c r="G739" t="n">
        <v>10.5</v>
      </c>
      <c r="H739" t="n">
        <v>1</v>
      </c>
      <c r="I739" t="n">
        <v>0</v>
      </c>
      <c r="J739" t="n">
        <v>3</v>
      </c>
      <c r="K739" t="n">
        <v>2</v>
      </c>
      <c r="L739" t="n">
        <v>0</v>
      </c>
      <c r="M739" t="n">
        <v>0</v>
      </c>
      <c r="N739" t="n">
        <v>0</v>
      </c>
      <c r="O739" t="n">
        <v>5</v>
      </c>
      <c r="P739" t="n">
        <v>2</v>
      </c>
      <c r="Q739" t="n">
        <v>5</v>
      </c>
      <c r="R739" s="2" t="inlineStr">
        <is>
          <t>Rynkskinn
Violett fingersvamp
Granticka
Harticka
Tretåig hackspett</t>
        </is>
      </c>
      <c r="S739">
        <f>HYPERLINK("https://klasma.github.io/Logging_2380/artfynd/A 38334-2023 artfynd.xlsx", "A 38334-2023")</f>
        <v/>
      </c>
      <c r="T739">
        <f>HYPERLINK("https://klasma.github.io/Logging_2380/kartor/A 38334-2023 karta.png", "A 38334-2023")</f>
        <v/>
      </c>
      <c r="V739">
        <f>HYPERLINK("https://klasma.github.io/Logging_2380/klagomål/A 38334-2023 FSC-klagomål.docx", "A 38334-2023")</f>
        <v/>
      </c>
      <c r="W739">
        <f>HYPERLINK("https://klasma.github.io/Logging_2380/klagomålsmail/A 38334-2023 FSC-klagomål mail.docx", "A 38334-2023")</f>
        <v/>
      </c>
      <c r="X739">
        <f>HYPERLINK("https://klasma.github.io/Logging_2380/tillsyn/A 38334-2023 tillsynsbegäran.docx", "A 38334-2023")</f>
        <v/>
      </c>
      <c r="Y739">
        <f>HYPERLINK("https://klasma.github.io/Logging_2380/tillsynsmail/A 38334-2023 tillsynsbegäran mail.docx", "A 38334-2023")</f>
        <v/>
      </c>
      <c r="Z739">
        <f>HYPERLINK("https://klasma.github.io/Logging_2380/fåglar/A 38334-2023 prioriterade fågelarter.docx", "A 38334-2023")</f>
        <v/>
      </c>
    </row>
    <row r="740" ht="15" customHeight="1">
      <c r="A740" t="inlineStr">
        <is>
          <t>A 22469-2024</t>
        </is>
      </c>
      <c r="B740" s="1" t="n">
        <v>45446.95087962963</v>
      </c>
      <c r="C740" s="1" t="n">
        <v>46045</v>
      </c>
      <c r="D740" t="inlineStr">
        <is>
          <t>JÄMTLANDS LÄN</t>
        </is>
      </c>
      <c r="E740" t="inlineStr">
        <is>
          <t>RAGUNDA</t>
        </is>
      </c>
      <c r="F740" t="inlineStr">
        <is>
          <t>SCA</t>
        </is>
      </c>
      <c r="G740" t="n">
        <v>5.2</v>
      </c>
      <c r="H740" t="n">
        <v>1</v>
      </c>
      <c r="I740" t="n">
        <v>2</v>
      </c>
      <c r="J740" t="n">
        <v>3</v>
      </c>
      <c r="K740" t="n">
        <v>0</v>
      </c>
      <c r="L740" t="n">
        <v>0</v>
      </c>
      <c r="M740" t="n">
        <v>0</v>
      </c>
      <c r="N740" t="n">
        <v>0</v>
      </c>
      <c r="O740" t="n">
        <v>3</v>
      </c>
      <c r="P740" t="n">
        <v>0</v>
      </c>
      <c r="Q740" t="n">
        <v>5</v>
      </c>
      <c r="R740" s="2" t="inlineStr">
        <is>
          <t>Gammelgransskål
Garnlav
Lunglav
Gytterlav
Tvåblad</t>
        </is>
      </c>
      <c r="S740">
        <f>HYPERLINK("https://klasma.github.io/Logging_2303/artfynd/A 22469-2024 artfynd.xlsx", "A 22469-2024")</f>
        <v/>
      </c>
      <c r="T740">
        <f>HYPERLINK("https://klasma.github.io/Logging_2303/kartor/A 22469-2024 karta.png", "A 22469-2024")</f>
        <v/>
      </c>
      <c r="V740">
        <f>HYPERLINK("https://klasma.github.io/Logging_2303/klagomål/A 22469-2024 FSC-klagomål.docx", "A 22469-2024")</f>
        <v/>
      </c>
      <c r="W740">
        <f>HYPERLINK("https://klasma.github.io/Logging_2303/klagomålsmail/A 22469-2024 FSC-klagomål mail.docx", "A 22469-2024")</f>
        <v/>
      </c>
      <c r="X740">
        <f>HYPERLINK("https://klasma.github.io/Logging_2303/tillsyn/A 22469-2024 tillsynsbegäran.docx", "A 22469-2024")</f>
        <v/>
      </c>
      <c r="Y740">
        <f>HYPERLINK("https://klasma.github.io/Logging_2303/tillsynsmail/A 22469-2024 tillsynsbegäran mail.docx", "A 22469-2024")</f>
        <v/>
      </c>
    </row>
    <row r="741" ht="15" customHeight="1">
      <c r="A741" t="inlineStr">
        <is>
          <t>A 45969-2023</t>
        </is>
      </c>
      <c r="B741" s="1" t="n">
        <v>45195</v>
      </c>
      <c r="C741" s="1" t="n">
        <v>46045</v>
      </c>
      <c r="D741" t="inlineStr">
        <is>
          <t>JÄMTLANDS LÄN</t>
        </is>
      </c>
      <c r="E741" t="inlineStr">
        <is>
          <t>RAGUNDA</t>
        </is>
      </c>
      <c r="F741" t="inlineStr">
        <is>
          <t>SCA</t>
        </is>
      </c>
      <c r="G741" t="n">
        <v>9.300000000000001</v>
      </c>
      <c r="H741" t="n">
        <v>1</v>
      </c>
      <c r="I741" t="n">
        <v>4</v>
      </c>
      <c r="J741" t="n">
        <v>1</v>
      </c>
      <c r="K741" t="n">
        <v>0</v>
      </c>
      <c r="L741" t="n">
        <v>0</v>
      </c>
      <c r="M741" t="n">
        <v>0</v>
      </c>
      <c r="N741" t="n">
        <v>0</v>
      </c>
      <c r="O741" t="n">
        <v>1</v>
      </c>
      <c r="P741" t="n">
        <v>0</v>
      </c>
      <c r="Q741" t="n">
        <v>5</v>
      </c>
      <c r="R741" s="2" t="inlineStr">
        <is>
          <t>Lunglav
Dropptaggsvamp
Grönpyrola
Plattlummer
Skarp dropptaggsvamp</t>
        </is>
      </c>
      <c r="S741">
        <f>HYPERLINK("https://klasma.github.io/Logging_2303/artfynd/A 45969-2023 artfynd.xlsx", "A 45969-2023")</f>
        <v/>
      </c>
      <c r="T741">
        <f>HYPERLINK("https://klasma.github.io/Logging_2303/kartor/A 45969-2023 karta.png", "A 45969-2023")</f>
        <v/>
      </c>
      <c r="V741">
        <f>HYPERLINK("https://klasma.github.io/Logging_2303/klagomål/A 45969-2023 FSC-klagomål.docx", "A 45969-2023")</f>
        <v/>
      </c>
      <c r="W741">
        <f>HYPERLINK("https://klasma.github.io/Logging_2303/klagomålsmail/A 45969-2023 FSC-klagomål mail.docx", "A 45969-2023")</f>
        <v/>
      </c>
      <c r="X741">
        <f>HYPERLINK("https://klasma.github.io/Logging_2303/tillsyn/A 45969-2023 tillsynsbegäran.docx", "A 45969-2023")</f>
        <v/>
      </c>
      <c r="Y741">
        <f>HYPERLINK("https://klasma.github.io/Logging_2303/tillsynsmail/A 45969-2023 tillsynsbegäran mail.docx", "A 45969-2023")</f>
        <v/>
      </c>
    </row>
    <row r="742" ht="15" customHeight="1">
      <c r="A742" t="inlineStr">
        <is>
          <t>A 48780-2023</t>
        </is>
      </c>
      <c r="B742" s="1" t="n">
        <v>45208</v>
      </c>
      <c r="C742" s="1" t="n">
        <v>46045</v>
      </c>
      <c r="D742" t="inlineStr">
        <is>
          <t>JÄMTLANDS LÄN</t>
        </is>
      </c>
      <c r="E742" t="inlineStr">
        <is>
          <t>BRÄCKE</t>
        </is>
      </c>
      <c r="F742" t="inlineStr">
        <is>
          <t>Naturvårdsverket</t>
        </is>
      </c>
      <c r="G742" t="n">
        <v>11.2</v>
      </c>
      <c r="H742" t="n">
        <v>0</v>
      </c>
      <c r="I742" t="n">
        <v>1</v>
      </c>
      <c r="J742" t="n">
        <v>4</v>
      </c>
      <c r="K742" t="n">
        <v>0</v>
      </c>
      <c r="L742" t="n">
        <v>0</v>
      </c>
      <c r="M742" t="n">
        <v>0</v>
      </c>
      <c r="N742" t="n">
        <v>0</v>
      </c>
      <c r="O742" t="n">
        <v>4</v>
      </c>
      <c r="P742" t="n">
        <v>0</v>
      </c>
      <c r="Q742" t="n">
        <v>5</v>
      </c>
      <c r="R742" s="2" t="inlineStr">
        <is>
          <t>Blå taggsvamp
Dofttaggsvamp
Lunglav
Tallticka
Dropptaggsvamp</t>
        </is>
      </c>
      <c r="S742">
        <f>HYPERLINK("https://klasma.github.io/Logging_2305/artfynd/A 48780-2023 artfynd.xlsx", "A 48780-2023")</f>
        <v/>
      </c>
      <c r="T742">
        <f>HYPERLINK("https://klasma.github.io/Logging_2305/kartor/A 48780-2023 karta.png", "A 48780-2023")</f>
        <v/>
      </c>
      <c r="V742">
        <f>HYPERLINK("https://klasma.github.io/Logging_2305/klagomål/A 48780-2023 FSC-klagomål.docx", "A 48780-2023")</f>
        <v/>
      </c>
      <c r="W742">
        <f>HYPERLINK("https://klasma.github.io/Logging_2305/klagomålsmail/A 48780-2023 FSC-klagomål mail.docx", "A 48780-2023")</f>
        <v/>
      </c>
      <c r="X742">
        <f>HYPERLINK("https://klasma.github.io/Logging_2305/tillsyn/A 48780-2023 tillsynsbegäran.docx", "A 48780-2023")</f>
        <v/>
      </c>
      <c r="Y742">
        <f>HYPERLINK("https://klasma.github.io/Logging_2305/tillsynsmail/A 48780-2023 tillsynsbegäran mail.docx", "A 48780-2023")</f>
        <v/>
      </c>
    </row>
    <row r="743" ht="15" customHeight="1">
      <c r="A743" t="inlineStr">
        <is>
          <t>A 36207-2023</t>
        </is>
      </c>
      <c r="B743" s="1" t="n">
        <v>45149</v>
      </c>
      <c r="C743" s="1" t="n">
        <v>46045</v>
      </c>
      <c r="D743" t="inlineStr">
        <is>
          <t>JÄMTLANDS LÄN</t>
        </is>
      </c>
      <c r="E743" t="inlineStr">
        <is>
          <t>STRÖMSUND</t>
        </is>
      </c>
      <c r="F743" t="inlineStr">
        <is>
          <t>SCA</t>
        </is>
      </c>
      <c r="G743" t="n">
        <v>1</v>
      </c>
      <c r="H743" t="n">
        <v>3</v>
      </c>
      <c r="I743" t="n">
        <v>3</v>
      </c>
      <c r="J743" t="n">
        <v>1</v>
      </c>
      <c r="K743" t="n">
        <v>0</v>
      </c>
      <c r="L743" t="n">
        <v>0</v>
      </c>
      <c r="M743" t="n">
        <v>0</v>
      </c>
      <c r="N743" t="n">
        <v>0</v>
      </c>
      <c r="O743" t="n">
        <v>1</v>
      </c>
      <c r="P743" t="n">
        <v>0</v>
      </c>
      <c r="Q743" t="n">
        <v>5</v>
      </c>
      <c r="R743" s="2" t="inlineStr">
        <is>
          <t>Skogsfru
Barrfagerspindling
Kryddspindling
Tvåblad
Blåsippa</t>
        </is>
      </c>
      <c r="S743">
        <f>HYPERLINK("https://klasma.github.io/Logging_2313/artfynd/A 36207-2023 artfynd.xlsx", "A 36207-2023")</f>
        <v/>
      </c>
      <c r="T743">
        <f>HYPERLINK("https://klasma.github.io/Logging_2313/kartor/A 36207-2023 karta.png", "A 36207-2023")</f>
        <v/>
      </c>
      <c r="V743">
        <f>HYPERLINK("https://klasma.github.io/Logging_2313/klagomål/A 36207-2023 FSC-klagomål.docx", "A 36207-2023")</f>
        <v/>
      </c>
      <c r="W743">
        <f>HYPERLINK("https://klasma.github.io/Logging_2313/klagomålsmail/A 36207-2023 FSC-klagomål mail.docx", "A 36207-2023")</f>
        <v/>
      </c>
      <c r="X743">
        <f>HYPERLINK("https://klasma.github.io/Logging_2313/tillsyn/A 36207-2023 tillsynsbegäran.docx", "A 36207-2023")</f>
        <v/>
      </c>
      <c r="Y743">
        <f>HYPERLINK("https://klasma.github.io/Logging_2313/tillsynsmail/A 36207-2023 tillsynsbegäran mail.docx", "A 36207-2023")</f>
        <v/>
      </c>
    </row>
    <row r="744" ht="15" customHeight="1">
      <c r="A744" t="inlineStr">
        <is>
          <t>A 19530-2025</t>
        </is>
      </c>
      <c r="B744" s="1" t="n">
        <v>45770.46903935185</v>
      </c>
      <c r="C744" s="1" t="n">
        <v>46045</v>
      </c>
      <c r="D744" t="inlineStr">
        <is>
          <t>JÄMTLANDS LÄN</t>
        </is>
      </c>
      <c r="E744" t="inlineStr">
        <is>
          <t>BERG</t>
        </is>
      </c>
      <c r="F744" t="inlineStr">
        <is>
          <t>SCA</t>
        </is>
      </c>
      <c r="G744" t="n">
        <v>3.3</v>
      </c>
      <c r="H744" t="n">
        <v>3</v>
      </c>
      <c r="I744" t="n">
        <v>1</v>
      </c>
      <c r="J744" t="n">
        <v>3</v>
      </c>
      <c r="K744" t="n">
        <v>0</v>
      </c>
      <c r="L744" t="n">
        <v>0</v>
      </c>
      <c r="M744" t="n">
        <v>0</v>
      </c>
      <c r="N744" t="n">
        <v>0</v>
      </c>
      <c r="O744" t="n">
        <v>3</v>
      </c>
      <c r="P744" t="n">
        <v>0</v>
      </c>
      <c r="Q744" t="n">
        <v>5</v>
      </c>
      <c r="R744" s="2" t="inlineStr">
        <is>
          <t>Kolflarnlav
Talltita
Tretåig hackspett
Skarp dropptaggsvamp
Lavskrika</t>
        </is>
      </c>
      <c r="S744">
        <f>HYPERLINK("https://klasma.github.io/Logging_2326/artfynd/A 19530-2025 artfynd.xlsx", "A 19530-2025")</f>
        <v/>
      </c>
      <c r="T744">
        <f>HYPERLINK("https://klasma.github.io/Logging_2326/kartor/A 19530-2025 karta.png", "A 19530-2025")</f>
        <v/>
      </c>
      <c r="V744">
        <f>HYPERLINK("https://klasma.github.io/Logging_2326/klagomål/A 19530-2025 FSC-klagomål.docx", "A 19530-2025")</f>
        <v/>
      </c>
      <c r="W744">
        <f>HYPERLINK("https://klasma.github.io/Logging_2326/klagomålsmail/A 19530-2025 FSC-klagomål mail.docx", "A 19530-2025")</f>
        <v/>
      </c>
      <c r="X744">
        <f>HYPERLINK("https://klasma.github.io/Logging_2326/tillsyn/A 19530-2025 tillsynsbegäran.docx", "A 19530-2025")</f>
        <v/>
      </c>
      <c r="Y744">
        <f>HYPERLINK("https://klasma.github.io/Logging_2326/tillsynsmail/A 19530-2025 tillsynsbegäran mail.docx", "A 19530-2025")</f>
        <v/>
      </c>
      <c r="Z744">
        <f>HYPERLINK("https://klasma.github.io/Logging_2326/fåglar/A 19530-2025 prioriterade fågelarter.docx", "A 19530-2025")</f>
        <v/>
      </c>
    </row>
    <row r="745" ht="15" customHeight="1">
      <c r="A745" t="inlineStr">
        <is>
          <t>A 7717-2024</t>
        </is>
      </c>
      <c r="B745" s="1" t="n">
        <v>45349</v>
      </c>
      <c r="C745" s="1" t="n">
        <v>46045</v>
      </c>
      <c r="D745" t="inlineStr">
        <is>
          <t>JÄMTLANDS LÄN</t>
        </is>
      </c>
      <c r="E745" t="inlineStr">
        <is>
          <t>ÖSTERSUND</t>
        </is>
      </c>
      <c r="F745" t="inlineStr">
        <is>
          <t>Övriga Aktiebolag</t>
        </is>
      </c>
      <c r="G745" t="n">
        <v>2.5</v>
      </c>
      <c r="H745" t="n">
        <v>1</v>
      </c>
      <c r="I745" t="n">
        <v>1</v>
      </c>
      <c r="J745" t="n">
        <v>4</v>
      </c>
      <c r="K745" t="n">
        <v>0</v>
      </c>
      <c r="L745" t="n">
        <v>0</v>
      </c>
      <c r="M745" t="n">
        <v>0</v>
      </c>
      <c r="N745" t="n">
        <v>0</v>
      </c>
      <c r="O745" t="n">
        <v>4</v>
      </c>
      <c r="P745" t="n">
        <v>0</v>
      </c>
      <c r="Q745" t="n">
        <v>5</v>
      </c>
      <c r="R745" s="2" t="inlineStr">
        <is>
          <t>Garnlav
Lunglav
Skrovellav
Talltita
Stuplav</t>
        </is>
      </c>
      <c r="S745">
        <f>HYPERLINK("https://klasma.github.io/Logging_2380/artfynd/A 7717-2024 artfynd.xlsx", "A 7717-2024")</f>
        <v/>
      </c>
      <c r="T745">
        <f>HYPERLINK("https://klasma.github.io/Logging_2380/kartor/A 7717-2024 karta.png", "A 7717-2024")</f>
        <v/>
      </c>
      <c r="V745">
        <f>HYPERLINK("https://klasma.github.io/Logging_2380/klagomål/A 7717-2024 FSC-klagomål.docx", "A 7717-2024")</f>
        <v/>
      </c>
      <c r="W745">
        <f>HYPERLINK("https://klasma.github.io/Logging_2380/klagomålsmail/A 7717-2024 FSC-klagomål mail.docx", "A 7717-2024")</f>
        <v/>
      </c>
      <c r="X745">
        <f>HYPERLINK("https://klasma.github.io/Logging_2380/tillsyn/A 7717-2024 tillsynsbegäran.docx", "A 7717-2024")</f>
        <v/>
      </c>
      <c r="Y745">
        <f>HYPERLINK("https://klasma.github.io/Logging_2380/tillsynsmail/A 7717-2024 tillsynsbegäran mail.docx", "A 7717-2024")</f>
        <v/>
      </c>
      <c r="Z745">
        <f>HYPERLINK("https://klasma.github.io/Logging_2380/fåglar/A 7717-2024 prioriterade fågelarter.docx", "A 7717-2024")</f>
        <v/>
      </c>
    </row>
    <row r="746" ht="15" customHeight="1">
      <c r="A746" t="inlineStr">
        <is>
          <t>A 10023-2023</t>
        </is>
      </c>
      <c r="B746" s="1" t="n">
        <v>44979</v>
      </c>
      <c r="C746" s="1" t="n">
        <v>46045</v>
      </c>
      <c r="D746" t="inlineStr">
        <is>
          <t>JÄMTLANDS LÄN</t>
        </is>
      </c>
      <c r="E746" t="inlineStr">
        <is>
          <t>HÄRJEDALEN</t>
        </is>
      </c>
      <c r="G746" t="n">
        <v>12.6</v>
      </c>
      <c r="H746" t="n">
        <v>5</v>
      </c>
      <c r="I746" t="n">
        <v>1</v>
      </c>
      <c r="J746" t="n">
        <v>0</v>
      </c>
      <c r="K746" t="n">
        <v>0</v>
      </c>
      <c r="L746" t="n">
        <v>0</v>
      </c>
      <c r="M746" t="n">
        <v>0</v>
      </c>
      <c r="N746" t="n">
        <v>0</v>
      </c>
      <c r="O746" t="n">
        <v>0</v>
      </c>
      <c r="P746" t="n">
        <v>0</v>
      </c>
      <c r="Q746" t="n">
        <v>5</v>
      </c>
      <c r="R746" s="2" t="inlineStr">
        <is>
          <t>Spindelblomster
Vanlig groda
Fläcknycklar
Mattlummer
Revlummer</t>
        </is>
      </c>
      <c r="S746">
        <f>HYPERLINK("https://klasma.github.io/Logging_2361/artfynd/A 10023-2023 artfynd.xlsx", "A 10023-2023")</f>
        <v/>
      </c>
      <c r="T746">
        <f>HYPERLINK("https://klasma.github.io/Logging_2361/kartor/A 10023-2023 karta.png", "A 10023-2023")</f>
        <v/>
      </c>
      <c r="V746">
        <f>HYPERLINK("https://klasma.github.io/Logging_2361/klagomål/A 10023-2023 FSC-klagomål.docx", "A 10023-2023")</f>
        <v/>
      </c>
      <c r="W746">
        <f>HYPERLINK("https://klasma.github.io/Logging_2361/klagomålsmail/A 10023-2023 FSC-klagomål mail.docx", "A 10023-2023")</f>
        <v/>
      </c>
      <c r="X746">
        <f>HYPERLINK("https://klasma.github.io/Logging_2361/tillsyn/A 10023-2023 tillsynsbegäran.docx", "A 10023-2023")</f>
        <v/>
      </c>
      <c r="Y746">
        <f>HYPERLINK("https://klasma.github.io/Logging_2361/tillsynsmail/A 10023-2023 tillsynsbegäran mail.docx", "A 10023-2023")</f>
        <v/>
      </c>
    </row>
    <row r="747" ht="15" customHeight="1">
      <c r="A747" t="inlineStr">
        <is>
          <t>A 53280-2022</t>
        </is>
      </c>
      <c r="B747" s="1" t="n">
        <v>44876</v>
      </c>
      <c r="C747" s="1" t="n">
        <v>46045</v>
      </c>
      <c r="D747" t="inlineStr">
        <is>
          <t>JÄMTLANDS LÄN</t>
        </is>
      </c>
      <c r="E747" t="inlineStr">
        <is>
          <t>BRÄCKE</t>
        </is>
      </c>
      <c r="F747" t="inlineStr">
        <is>
          <t>SCA</t>
        </is>
      </c>
      <c r="G747" t="n">
        <v>2</v>
      </c>
      <c r="H747" t="n">
        <v>2</v>
      </c>
      <c r="I747" t="n">
        <v>3</v>
      </c>
      <c r="J747" t="n">
        <v>2</v>
      </c>
      <c r="K747" t="n">
        <v>0</v>
      </c>
      <c r="L747" t="n">
        <v>0</v>
      </c>
      <c r="M747" t="n">
        <v>0</v>
      </c>
      <c r="N747" t="n">
        <v>0</v>
      </c>
      <c r="O747" t="n">
        <v>2</v>
      </c>
      <c r="P747" t="n">
        <v>0</v>
      </c>
      <c r="Q747" t="n">
        <v>5</v>
      </c>
      <c r="R747" s="2" t="inlineStr">
        <is>
          <t>Järpe
Lunglav
Skinnlav
Spindelblomster
Stuplav</t>
        </is>
      </c>
      <c r="S747">
        <f>HYPERLINK("https://klasma.github.io/Logging_2305/artfynd/A 53280-2022 artfynd.xlsx", "A 53280-2022")</f>
        <v/>
      </c>
      <c r="T747">
        <f>HYPERLINK("https://klasma.github.io/Logging_2305/kartor/A 53280-2022 karta.png", "A 53280-2022")</f>
        <v/>
      </c>
      <c r="V747">
        <f>HYPERLINK("https://klasma.github.io/Logging_2305/klagomål/A 53280-2022 FSC-klagomål.docx", "A 53280-2022")</f>
        <v/>
      </c>
      <c r="W747">
        <f>HYPERLINK("https://klasma.github.io/Logging_2305/klagomålsmail/A 53280-2022 FSC-klagomål mail.docx", "A 53280-2022")</f>
        <v/>
      </c>
      <c r="X747">
        <f>HYPERLINK("https://klasma.github.io/Logging_2305/tillsyn/A 53280-2022 tillsynsbegäran.docx", "A 53280-2022")</f>
        <v/>
      </c>
      <c r="Y747">
        <f>HYPERLINK("https://klasma.github.io/Logging_2305/tillsynsmail/A 53280-2022 tillsynsbegäran mail.docx", "A 53280-2022")</f>
        <v/>
      </c>
      <c r="Z747">
        <f>HYPERLINK("https://klasma.github.io/Logging_2305/fåglar/A 53280-2022 prioriterade fågelarter.docx", "A 53280-2022")</f>
        <v/>
      </c>
    </row>
    <row r="748" ht="15" customHeight="1">
      <c r="A748" t="inlineStr">
        <is>
          <t>A 12024-2022</t>
        </is>
      </c>
      <c r="B748" s="1" t="n">
        <v>44635</v>
      </c>
      <c r="C748" s="1" t="n">
        <v>46045</v>
      </c>
      <c r="D748" t="inlineStr">
        <is>
          <t>JÄMTLANDS LÄN</t>
        </is>
      </c>
      <c r="E748" t="inlineStr">
        <is>
          <t>RAGUNDA</t>
        </is>
      </c>
      <c r="F748" t="inlineStr">
        <is>
          <t>SCA</t>
        </is>
      </c>
      <c r="G748" t="n">
        <v>4.9</v>
      </c>
      <c r="H748" t="n">
        <v>1</v>
      </c>
      <c r="I748" t="n">
        <v>1</v>
      </c>
      <c r="J748" t="n">
        <v>3</v>
      </c>
      <c r="K748" t="n">
        <v>1</v>
      </c>
      <c r="L748" t="n">
        <v>0</v>
      </c>
      <c r="M748" t="n">
        <v>0</v>
      </c>
      <c r="N748" t="n">
        <v>0</v>
      </c>
      <c r="O748" t="n">
        <v>4</v>
      </c>
      <c r="P748" t="n">
        <v>1</v>
      </c>
      <c r="Q748" t="n">
        <v>5</v>
      </c>
      <c r="R748" s="2" t="inlineStr">
        <is>
          <t>Rynkskinn
Garnlav
Tretåig hackspett
Vitgrynig nållav
Dropptaggsvamp</t>
        </is>
      </c>
      <c r="S748">
        <f>HYPERLINK("https://klasma.github.io/Logging_2303/artfynd/A 12024-2022 artfynd.xlsx", "A 12024-2022")</f>
        <v/>
      </c>
      <c r="T748">
        <f>HYPERLINK("https://klasma.github.io/Logging_2303/kartor/A 12024-2022 karta.png", "A 12024-2022")</f>
        <v/>
      </c>
      <c r="V748">
        <f>HYPERLINK("https://klasma.github.io/Logging_2303/klagomål/A 12024-2022 FSC-klagomål.docx", "A 12024-2022")</f>
        <v/>
      </c>
      <c r="W748">
        <f>HYPERLINK("https://klasma.github.io/Logging_2303/klagomålsmail/A 12024-2022 FSC-klagomål mail.docx", "A 12024-2022")</f>
        <v/>
      </c>
      <c r="X748">
        <f>HYPERLINK("https://klasma.github.io/Logging_2303/tillsyn/A 12024-2022 tillsynsbegäran.docx", "A 12024-2022")</f>
        <v/>
      </c>
      <c r="Y748">
        <f>HYPERLINK("https://klasma.github.io/Logging_2303/tillsynsmail/A 12024-2022 tillsynsbegäran mail.docx", "A 12024-2022")</f>
        <v/>
      </c>
      <c r="Z748">
        <f>HYPERLINK("https://klasma.github.io/Logging_2303/fåglar/A 12024-2022 prioriterade fågelarter.docx", "A 12024-2022")</f>
        <v/>
      </c>
    </row>
    <row r="749" ht="15" customHeight="1">
      <c r="A749" t="inlineStr">
        <is>
          <t>A 59039-2022</t>
        </is>
      </c>
      <c r="B749" s="1" t="n">
        <v>44903</v>
      </c>
      <c r="C749" s="1" t="n">
        <v>46045</v>
      </c>
      <c r="D749" t="inlineStr">
        <is>
          <t>JÄMTLANDS LÄN</t>
        </is>
      </c>
      <c r="E749" t="inlineStr">
        <is>
          <t>KROKOM</t>
        </is>
      </c>
      <c r="F749" t="inlineStr">
        <is>
          <t>SCA</t>
        </is>
      </c>
      <c r="G749" t="n">
        <v>2.5</v>
      </c>
      <c r="H749" t="n">
        <v>1</v>
      </c>
      <c r="I749" t="n">
        <v>0</v>
      </c>
      <c r="J749" t="n">
        <v>5</v>
      </c>
      <c r="K749" t="n">
        <v>0</v>
      </c>
      <c r="L749" t="n">
        <v>0</v>
      </c>
      <c r="M749" t="n">
        <v>0</v>
      </c>
      <c r="N749" t="n">
        <v>0</v>
      </c>
      <c r="O749" t="n">
        <v>5</v>
      </c>
      <c r="P749" t="n">
        <v>0</v>
      </c>
      <c r="Q749" t="n">
        <v>5</v>
      </c>
      <c r="R749" s="2" t="inlineStr">
        <is>
          <t>Garnlav
Lunglav
Skrovellav
Tallticka
Tretåig hackspett</t>
        </is>
      </c>
      <c r="S749">
        <f>HYPERLINK("https://klasma.github.io/Logging_2309/artfynd/A 59039-2022 artfynd.xlsx", "A 59039-2022")</f>
        <v/>
      </c>
      <c r="T749">
        <f>HYPERLINK("https://klasma.github.io/Logging_2309/kartor/A 59039-2022 karta.png", "A 59039-2022")</f>
        <v/>
      </c>
      <c r="V749">
        <f>HYPERLINK("https://klasma.github.io/Logging_2309/klagomål/A 59039-2022 FSC-klagomål.docx", "A 59039-2022")</f>
        <v/>
      </c>
      <c r="W749">
        <f>HYPERLINK("https://klasma.github.io/Logging_2309/klagomålsmail/A 59039-2022 FSC-klagomål mail.docx", "A 59039-2022")</f>
        <v/>
      </c>
      <c r="X749">
        <f>HYPERLINK("https://klasma.github.io/Logging_2309/tillsyn/A 59039-2022 tillsynsbegäran.docx", "A 59039-2022")</f>
        <v/>
      </c>
      <c r="Y749">
        <f>HYPERLINK("https://klasma.github.io/Logging_2309/tillsynsmail/A 59039-2022 tillsynsbegäran mail.docx", "A 59039-2022")</f>
        <v/>
      </c>
      <c r="Z749">
        <f>HYPERLINK("https://klasma.github.io/Logging_2309/fåglar/A 59039-2022 prioriterade fågelarter.docx", "A 59039-2022")</f>
        <v/>
      </c>
    </row>
    <row r="750" ht="15" customHeight="1">
      <c r="A750" t="inlineStr">
        <is>
          <t>A 54887-2023</t>
        </is>
      </c>
      <c r="B750" s="1" t="n">
        <v>45236</v>
      </c>
      <c r="C750" s="1" t="n">
        <v>46045</v>
      </c>
      <c r="D750" t="inlineStr">
        <is>
          <t>JÄMTLANDS LÄN</t>
        </is>
      </c>
      <c r="E750" t="inlineStr">
        <is>
          <t>STRÖMSUND</t>
        </is>
      </c>
      <c r="G750" t="n">
        <v>20.9</v>
      </c>
      <c r="H750" t="n">
        <v>1</v>
      </c>
      <c r="I750" t="n">
        <v>2</v>
      </c>
      <c r="J750" t="n">
        <v>2</v>
      </c>
      <c r="K750" t="n">
        <v>0</v>
      </c>
      <c r="L750" t="n">
        <v>0</v>
      </c>
      <c r="M750" t="n">
        <v>0</v>
      </c>
      <c r="N750" t="n">
        <v>0</v>
      </c>
      <c r="O750" t="n">
        <v>2</v>
      </c>
      <c r="P750" t="n">
        <v>0</v>
      </c>
      <c r="Q750" t="n">
        <v>5</v>
      </c>
      <c r="R750" s="2" t="inlineStr">
        <is>
          <t>Garnlav
Harticka
Finbräken
Kransrams
Blåsippa</t>
        </is>
      </c>
      <c r="S750">
        <f>HYPERLINK("https://klasma.github.io/Logging_2313/artfynd/A 54887-2023 artfynd.xlsx", "A 54887-2023")</f>
        <v/>
      </c>
      <c r="T750">
        <f>HYPERLINK("https://klasma.github.io/Logging_2313/kartor/A 54887-2023 karta.png", "A 54887-2023")</f>
        <v/>
      </c>
      <c r="V750">
        <f>HYPERLINK("https://klasma.github.io/Logging_2313/klagomål/A 54887-2023 FSC-klagomål.docx", "A 54887-2023")</f>
        <v/>
      </c>
      <c r="W750">
        <f>HYPERLINK("https://klasma.github.io/Logging_2313/klagomålsmail/A 54887-2023 FSC-klagomål mail.docx", "A 54887-2023")</f>
        <v/>
      </c>
      <c r="X750">
        <f>HYPERLINK("https://klasma.github.io/Logging_2313/tillsyn/A 54887-2023 tillsynsbegäran.docx", "A 54887-2023")</f>
        <v/>
      </c>
      <c r="Y750">
        <f>HYPERLINK("https://klasma.github.io/Logging_2313/tillsynsmail/A 54887-2023 tillsynsbegäran mail.docx", "A 54887-2023")</f>
        <v/>
      </c>
    </row>
    <row r="751" ht="15" customHeight="1">
      <c r="A751" t="inlineStr">
        <is>
          <t>A 25152-2024</t>
        </is>
      </c>
      <c r="B751" s="1" t="n">
        <v>45462.50429398148</v>
      </c>
      <c r="C751" s="1" t="n">
        <v>46045</v>
      </c>
      <c r="D751" t="inlineStr">
        <is>
          <t>JÄMTLANDS LÄN</t>
        </is>
      </c>
      <c r="E751" t="inlineStr">
        <is>
          <t>STRÖMSUND</t>
        </is>
      </c>
      <c r="F751" t="inlineStr">
        <is>
          <t>Holmen skog AB</t>
        </is>
      </c>
      <c r="G751" t="n">
        <v>2.4</v>
      </c>
      <c r="H751" t="n">
        <v>1</v>
      </c>
      <c r="I751" t="n">
        <v>0</v>
      </c>
      <c r="J751" t="n">
        <v>5</v>
      </c>
      <c r="K751" t="n">
        <v>0</v>
      </c>
      <c r="L751" t="n">
        <v>0</v>
      </c>
      <c r="M751" t="n">
        <v>0</v>
      </c>
      <c r="N751" t="n">
        <v>0</v>
      </c>
      <c r="O751" t="n">
        <v>5</v>
      </c>
      <c r="P751" t="n">
        <v>0</v>
      </c>
      <c r="Q751" t="n">
        <v>5</v>
      </c>
      <c r="R751" s="2" t="inlineStr">
        <is>
          <t>Garnlav
Granticka
Harticka
Spillkråka
Ullticka</t>
        </is>
      </c>
      <c r="S751">
        <f>HYPERLINK("https://klasma.github.io/Logging_2313/artfynd/A 25152-2024 artfynd.xlsx", "A 25152-2024")</f>
        <v/>
      </c>
      <c r="T751">
        <f>HYPERLINK("https://klasma.github.io/Logging_2313/kartor/A 25152-2024 karta.png", "A 25152-2024")</f>
        <v/>
      </c>
      <c r="V751">
        <f>HYPERLINK("https://klasma.github.io/Logging_2313/klagomål/A 25152-2024 FSC-klagomål.docx", "A 25152-2024")</f>
        <v/>
      </c>
      <c r="W751">
        <f>HYPERLINK("https://klasma.github.io/Logging_2313/klagomålsmail/A 25152-2024 FSC-klagomål mail.docx", "A 25152-2024")</f>
        <v/>
      </c>
      <c r="X751">
        <f>HYPERLINK("https://klasma.github.io/Logging_2313/tillsyn/A 25152-2024 tillsynsbegäran.docx", "A 25152-2024")</f>
        <v/>
      </c>
      <c r="Y751">
        <f>HYPERLINK("https://klasma.github.io/Logging_2313/tillsynsmail/A 25152-2024 tillsynsbegäran mail.docx", "A 25152-2024")</f>
        <v/>
      </c>
      <c r="Z751">
        <f>HYPERLINK("https://klasma.github.io/Logging_2313/fåglar/A 25152-2024 prioriterade fågelarter.docx", "A 25152-2024")</f>
        <v/>
      </c>
    </row>
    <row r="752" ht="15" customHeight="1">
      <c r="A752" t="inlineStr">
        <is>
          <t>A 72538-2021</t>
        </is>
      </c>
      <c r="B752" s="1" t="n">
        <v>44546</v>
      </c>
      <c r="C752" s="1" t="n">
        <v>46045</v>
      </c>
      <c r="D752" t="inlineStr">
        <is>
          <t>JÄMTLANDS LÄN</t>
        </is>
      </c>
      <c r="E752" t="inlineStr">
        <is>
          <t>KROKOM</t>
        </is>
      </c>
      <c r="F752" t="inlineStr">
        <is>
          <t>Övriga Aktiebolag</t>
        </is>
      </c>
      <c r="G752" t="n">
        <v>23.4</v>
      </c>
      <c r="H752" t="n">
        <v>0</v>
      </c>
      <c r="I752" t="n">
        <v>0</v>
      </c>
      <c r="J752" t="n">
        <v>5</v>
      </c>
      <c r="K752" t="n">
        <v>0</v>
      </c>
      <c r="L752" t="n">
        <v>0</v>
      </c>
      <c r="M752" t="n">
        <v>0</v>
      </c>
      <c r="N752" t="n">
        <v>0</v>
      </c>
      <c r="O752" t="n">
        <v>5</v>
      </c>
      <c r="P752" t="n">
        <v>0</v>
      </c>
      <c r="Q752" t="n">
        <v>5</v>
      </c>
      <c r="R752" s="2" t="inlineStr">
        <is>
          <t>Garnlav
Granticka
Gränsticka
Stjärntagging
Vitgrynig nållav</t>
        </is>
      </c>
      <c r="S752">
        <f>HYPERLINK("https://klasma.github.io/Logging_2309/artfynd/A 72538-2021 artfynd.xlsx", "A 72538-2021")</f>
        <v/>
      </c>
      <c r="T752">
        <f>HYPERLINK("https://klasma.github.io/Logging_2309/kartor/A 72538-2021 karta.png", "A 72538-2021")</f>
        <v/>
      </c>
      <c r="V752">
        <f>HYPERLINK("https://klasma.github.io/Logging_2309/klagomål/A 72538-2021 FSC-klagomål.docx", "A 72538-2021")</f>
        <v/>
      </c>
      <c r="W752">
        <f>HYPERLINK("https://klasma.github.io/Logging_2309/klagomålsmail/A 72538-2021 FSC-klagomål mail.docx", "A 72538-2021")</f>
        <v/>
      </c>
      <c r="X752">
        <f>HYPERLINK("https://klasma.github.io/Logging_2309/tillsyn/A 72538-2021 tillsynsbegäran.docx", "A 72538-2021")</f>
        <v/>
      </c>
      <c r="Y752">
        <f>HYPERLINK("https://klasma.github.io/Logging_2309/tillsynsmail/A 72538-2021 tillsynsbegäran mail.docx", "A 72538-2021")</f>
        <v/>
      </c>
    </row>
    <row r="753" ht="15" customHeight="1">
      <c r="A753" t="inlineStr">
        <is>
          <t>A 42826-2021</t>
        </is>
      </c>
      <c r="B753" s="1" t="n">
        <v>44430</v>
      </c>
      <c r="C753" s="1" t="n">
        <v>46045</v>
      </c>
      <c r="D753" t="inlineStr">
        <is>
          <t>JÄMTLANDS LÄN</t>
        </is>
      </c>
      <c r="E753" t="inlineStr">
        <is>
          <t>HÄRJEDALEN</t>
        </is>
      </c>
      <c r="F753" t="inlineStr">
        <is>
          <t>Sveaskog</t>
        </is>
      </c>
      <c r="G753" t="n">
        <v>8.1</v>
      </c>
      <c r="H753" t="n">
        <v>2</v>
      </c>
      <c r="I753" t="n">
        <v>0</v>
      </c>
      <c r="J753" t="n">
        <v>3</v>
      </c>
      <c r="K753" t="n">
        <v>1</v>
      </c>
      <c r="L753" t="n">
        <v>0</v>
      </c>
      <c r="M753" t="n">
        <v>0</v>
      </c>
      <c r="N753" t="n">
        <v>0</v>
      </c>
      <c r="O753" t="n">
        <v>4</v>
      </c>
      <c r="P753" t="n">
        <v>1</v>
      </c>
      <c r="Q753" t="n">
        <v>4</v>
      </c>
      <c r="R753" s="2" t="inlineStr">
        <is>
          <t>Knärot
Garnlav
Kungsörn
Motaggsvamp</t>
        </is>
      </c>
      <c r="S753">
        <f>HYPERLINK("https://klasma.github.io/Logging_2361/artfynd/A 42826-2021 artfynd.xlsx", "A 42826-2021")</f>
        <v/>
      </c>
      <c r="T753">
        <f>HYPERLINK("https://klasma.github.io/Logging_2361/kartor/A 42826-2021 karta.png", "A 42826-2021")</f>
        <v/>
      </c>
      <c r="U753">
        <f>HYPERLINK("https://klasma.github.io/Logging_2361/knärot/A 42826-2021 karta knärot.png", "A 42826-2021")</f>
        <v/>
      </c>
      <c r="V753">
        <f>HYPERLINK("https://klasma.github.io/Logging_2361/klagomål/A 42826-2021 FSC-klagomål.docx", "A 42826-2021")</f>
        <v/>
      </c>
      <c r="W753">
        <f>HYPERLINK("https://klasma.github.io/Logging_2361/klagomålsmail/A 42826-2021 FSC-klagomål mail.docx", "A 42826-2021")</f>
        <v/>
      </c>
      <c r="X753">
        <f>HYPERLINK("https://klasma.github.io/Logging_2361/tillsyn/A 42826-2021 tillsynsbegäran.docx", "A 42826-2021")</f>
        <v/>
      </c>
      <c r="Y753">
        <f>HYPERLINK("https://klasma.github.io/Logging_2361/tillsynsmail/A 42826-2021 tillsynsbegäran mail.docx", "A 42826-2021")</f>
        <v/>
      </c>
      <c r="Z753">
        <f>HYPERLINK("https://klasma.github.io/Logging_2361/fåglar/A 42826-2021 prioriterade fågelarter.docx", "A 42826-2021")</f>
        <v/>
      </c>
    </row>
    <row r="754" ht="15" customHeight="1">
      <c r="A754" t="inlineStr">
        <is>
          <t>A 8636-2021</t>
        </is>
      </c>
      <c r="B754" s="1" t="n">
        <v>44245</v>
      </c>
      <c r="C754" s="1" t="n">
        <v>46045</v>
      </c>
      <c r="D754" t="inlineStr">
        <is>
          <t>JÄMTLANDS LÄN</t>
        </is>
      </c>
      <c r="E754" t="inlineStr">
        <is>
          <t>RAGUNDA</t>
        </is>
      </c>
      <c r="F754" t="inlineStr">
        <is>
          <t>SCA</t>
        </is>
      </c>
      <c r="G754" t="n">
        <v>6.9</v>
      </c>
      <c r="H754" t="n">
        <v>0</v>
      </c>
      <c r="I754" t="n">
        <v>3</v>
      </c>
      <c r="J754" t="n">
        <v>1</v>
      </c>
      <c r="K754" t="n">
        <v>0</v>
      </c>
      <c r="L754" t="n">
        <v>0</v>
      </c>
      <c r="M754" t="n">
        <v>0</v>
      </c>
      <c r="N754" t="n">
        <v>0</v>
      </c>
      <c r="O754" t="n">
        <v>1</v>
      </c>
      <c r="P754" t="n">
        <v>0</v>
      </c>
      <c r="Q754" t="n">
        <v>4</v>
      </c>
      <c r="R754" s="2" t="inlineStr">
        <is>
          <t>Lunglav
Luddlav
Skinnlav
Stuplav</t>
        </is>
      </c>
      <c r="S754">
        <f>HYPERLINK("https://klasma.github.io/Logging_2303/artfynd/A 8636-2021 artfynd.xlsx", "A 8636-2021")</f>
        <v/>
      </c>
      <c r="T754">
        <f>HYPERLINK("https://klasma.github.io/Logging_2303/kartor/A 8636-2021 karta.png", "A 8636-2021")</f>
        <v/>
      </c>
      <c r="V754">
        <f>HYPERLINK("https://klasma.github.io/Logging_2303/klagomål/A 8636-2021 FSC-klagomål.docx", "A 8636-2021")</f>
        <v/>
      </c>
      <c r="W754">
        <f>HYPERLINK("https://klasma.github.io/Logging_2303/klagomålsmail/A 8636-2021 FSC-klagomål mail.docx", "A 8636-2021")</f>
        <v/>
      </c>
      <c r="X754">
        <f>HYPERLINK("https://klasma.github.io/Logging_2303/tillsyn/A 8636-2021 tillsynsbegäran.docx", "A 8636-2021")</f>
        <v/>
      </c>
      <c r="Y754">
        <f>HYPERLINK("https://klasma.github.io/Logging_2303/tillsynsmail/A 8636-2021 tillsynsbegäran mail.docx", "A 8636-2021")</f>
        <v/>
      </c>
    </row>
    <row r="755" ht="15" customHeight="1">
      <c r="A755" t="inlineStr">
        <is>
          <t>A 36820-2021</t>
        </is>
      </c>
      <c r="B755" s="1" t="n">
        <v>44392</v>
      </c>
      <c r="C755" s="1" t="n">
        <v>46045</v>
      </c>
      <c r="D755" t="inlineStr">
        <is>
          <t>JÄMTLANDS LÄN</t>
        </is>
      </c>
      <c r="E755" t="inlineStr">
        <is>
          <t>BRÄCKE</t>
        </is>
      </c>
      <c r="F755" t="inlineStr">
        <is>
          <t>SCA</t>
        </is>
      </c>
      <c r="G755" t="n">
        <v>2.4</v>
      </c>
      <c r="H755" t="n">
        <v>1</v>
      </c>
      <c r="I755" t="n">
        <v>0</v>
      </c>
      <c r="J755" t="n">
        <v>3</v>
      </c>
      <c r="K755" t="n">
        <v>1</v>
      </c>
      <c r="L755" t="n">
        <v>0</v>
      </c>
      <c r="M755" t="n">
        <v>0</v>
      </c>
      <c r="N755" t="n">
        <v>0</v>
      </c>
      <c r="O755" t="n">
        <v>4</v>
      </c>
      <c r="P755" t="n">
        <v>1</v>
      </c>
      <c r="Q755" t="n">
        <v>4</v>
      </c>
      <c r="R755" s="2" t="inlineStr">
        <is>
          <t>Knärot
Lunglav
Skrovellav
Vitgrynig nållav</t>
        </is>
      </c>
      <c r="S755">
        <f>HYPERLINK("https://klasma.github.io/Logging_2305/artfynd/A 36820-2021 artfynd.xlsx", "A 36820-2021")</f>
        <v/>
      </c>
      <c r="T755">
        <f>HYPERLINK("https://klasma.github.io/Logging_2305/kartor/A 36820-2021 karta.png", "A 36820-2021")</f>
        <v/>
      </c>
      <c r="U755">
        <f>HYPERLINK("https://klasma.github.io/Logging_2305/knärot/A 36820-2021 karta knärot.png", "A 36820-2021")</f>
        <v/>
      </c>
      <c r="V755">
        <f>HYPERLINK("https://klasma.github.io/Logging_2305/klagomål/A 36820-2021 FSC-klagomål.docx", "A 36820-2021")</f>
        <v/>
      </c>
      <c r="W755">
        <f>HYPERLINK("https://klasma.github.io/Logging_2305/klagomålsmail/A 36820-2021 FSC-klagomål mail.docx", "A 36820-2021")</f>
        <v/>
      </c>
      <c r="X755">
        <f>HYPERLINK("https://klasma.github.io/Logging_2305/tillsyn/A 36820-2021 tillsynsbegäran.docx", "A 36820-2021")</f>
        <v/>
      </c>
      <c r="Y755">
        <f>HYPERLINK("https://klasma.github.io/Logging_2305/tillsynsmail/A 36820-2021 tillsynsbegäran mail.docx", "A 36820-2021")</f>
        <v/>
      </c>
    </row>
    <row r="756" ht="15" customHeight="1">
      <c r="A756" t="inlineStr">
        <is>
          <t>A 44601-2021</t>
        </is>
      </c>
      <c r="B756" s="1" t="n">
        <v>44435</v>
      </c>
      <c r="C756" s="1" t="n">
        <v>46045</v>
      </c>
      <c r="D756" t="inlineStr">
        <is>
          <t>JÄMTLANDS LÄN</t>
        </is>
      </c>
      <c r="E756" t="inlineStr">
        <is>
          <t>STRÖMSUND</t>
        </is>
      </c>
      <c r="F756" t="inlineStr">
        <is>
          <t>SCA</t>
        </is>
      </c>
      <c r="G756" t="n">
        <v>10.7</v>
      </c>
      <c r="H756" t="n">
        <v>0</v>
      </c>
      <c r="I756" t="n">
        <v>1</v>
      </c>
      <c r="J756" t="n">
        <v>3</v>
      </c>
      <c r="K756" t="n">
        <v>0</v>
      </c>
      <c r="L756" t="n">
        <v>0</v>
      </c>
      <c r="M756" t="n">
        <v>0</v>
      </c>
      <c r="N756" t="n">
        <v>0</v>
      </c>
      <c r="O756" t="n">
        <v>3</v>
      </c>
      <c r="P756" t="n">
        <v>0</v>
      </c>
      <c r="Q756" t="n">
        <v>4</v>
      </c>
      <c r="R756" s="2" t="inlineStr">
        <is>
          <t>Garnlav
Granticka
Lunglav
Stuplav</t>
        </is>
      </c>
      <c r="S756">
        <f>HYPERLINK("https://klasma.github.io/Logging_2313/artfynd/A 44601-2021 artfynd.xlsx", "A 44601-2021")</f>
        <v/>
      </c>
      <c r="T756">
        <f>HYPERLINK("https://klasma.github.io/Logging_2313/kartor/A 44601-2021 karta.png", "A 44601-2021")</f>
        <v/>
      </c>
      <c r="V756">
        <f>HYPERLINK("https://klasma.github.io/Logging_2313/klagomål/A 44601-2021 FSC-klagomål.docx", "A 44601-2021")</f>
        <v/>
      </c>
      <c r="W756">
        <f>HYPERLINK("https://klasma.github.io/Logging_2313/klagomålsmail/A 44601-2021 FSC-klagomål mail.docx", "A 44601-2021")</f>
        <v/>
      </c>
      <c r="X756">
        <f>HYPERLINK("https://klasma.github.io/Logging_2313/tillsyn/A 44601-2021 tillsynsbegäran.docx", "A 44601-2021")</f>
        <v/>
      </c>
      <c r="Y756">
        <f>HYPERLINK("https://klasma.github.io/Logging_2313/tillsynsmail/A 44601-2021 tillsynsbegäran mail.docx", "A 44601-2021")</f>
        <v/>
      </c>
    </row>
    <row r="757" ht="15" customHeight="1">
      <c r="A757" t="inlineStr">
        <is>
          <t>A 16691-2021</t>
        </is>
      </c>
      <c r="B757" s="1" t="n">
        <v>44294</v>
      </c>
      <c r="C757" s="1" t="n">
        <v>46045</v>
      </c>
      <c r="D757" t="inlineStr">
        <is>
          <t>JÄMTLANDS LÄN</t>
        </is>
      </c>
      <c r="E757" t="inlineStr">
        <is>
          <t>HÄRJEDALEN</t>
        </is>
      </c>
      <c r="G757" t="n">
        <v>4.2</v>
      </c>
      <c r="H757" t="n">
        <v>0</v>
      </c>
      <c r="I757" t="n">
        <v>1</v>
      </c>
      <c r="J757" t="n">
        <v>3</v>
      </c>
      <c r="K757" t="n">
        <v>0</v>
      </c>
      <c r="L757" t="n">
        <v>0</v>
      </c>
      <c r="M757" t="n">
        <v>0</v>
      </c>
      <c r="N757" t="n">
        <v>0</v>
      </c>
      <c r="O757" t="n">
        <v>3</v>
      </c>
      <c r="P757" t="n">
        <v>0</v>
      </c>
      <c r="Q757" t="n">
        <v>4</v>
      </c>
      <c r="R757" s="2" t="inlineStr">
        <is>
          <t>Granticka
Knottrig blåslav
Vitgrynig nållav
Kornig nållav</t>
        </is>
      </c>
      <c r="S757">
        <f>HYPERLINK("https://klasma.github.io/Logging_2361/artfynd/A 16691-2021 artfynd.xlsx", "A 16691-2021")</f>
        <v/>
      </c>
      <c r="T757">
        <f>HYPERLINK("https://klasma.github.io/Logging_2361/kartor/A 16691-2021 karta.png", "A 16691-2021")</f>
        <v/>
      </c>
      <c r="V757">
        <f>HYPERLINK("https://klasma.github.io/Logging_2361/klagomål/A 16691-2021 FSC-klagomål.docx", "A 16691-2021")</f>
        <v/>
      </c>
      <c r="W757">
        <f>HYPERLINK("https://klasma.github.io/Logging_2361/klagomålsmail/A 16691-2021 FSC-klagomål mail.docx", "A 16691-2021")</f>
        <v/>
      </c>
      <c r="X757">
        <f>HYPERLINK("https://klasma.github.io/Logging_2361/tillsyn/A 16691-2021 tillsynsbegäran.docx", "A 16691-2021")</f>
        <v/>
      </c>
      <c r="Y757">
        <f>HYPERLINK("https://klasma.github.io/Logging_2361/tillsynsmail/A 16691-2021 tillsynsbegäran mail.docx", "A 16691-2021")</f>
        <v/>
      </c>
    </row>
    <row r="758" ht="15" customHeight="1">
      <c r="A758" t="inlineStr">
        <is>
          <t>A 54979-2021</t>
        </is>
      </c>
      <c r="B758" s="1" t="n">
        <v>44474.53888888889</v>
      </c>
      <c r="C758" s="1" t="n">
        <v>46045</v>
      </c>
      <c r="D758" t="inlineStr">
        <is>
          <t>JÄMTLANDS LÄN</t>
        </is>
      </c>
      <c r="E758" t="inlineStr">
        <is>
          <t>BERG</t>
        </is>
      </c>
      <c r="G758" t="n">
        <v>13.5</v>
      </c>
      <c r="H758" t="n">
        <v>0</v>
      </c>
      <c r="I758" t="n">
        <v>1</v>
      </c>
      <c r="J758" t="n">
        <v>3</v>
      </c>
      <c r="K758" t="n">
        <v>0</v>
      </c>
      <c r="L758" t="n">
        <v>0</v>
      </c>
      <c r="M758" t="n">
        <v>0</v>
      </c>
      <c r="N758" t="n">
        <v>0</v>
      </c>
      <c r="O758" t="n">
        <v>3</v>
      </c>
      <c r="P758" t="n">
        <v>0</v>
      </c>
      <c r="Q758" t="n">
        <v>4</v>
      </c>
      <c r="R758" s="2" t="inlineStr">
        <is>
          <t>Garnlav
Lunglav
Skrovellav
Luddlav</t>
        </is>
      </c>
      <c r="S758">
        <f>HYPERLINK("https://klasma.github.io/Logging_2326/artfynd/A 54979-2021 artfynd.xlsx", "A 54979-2021")</f>
        <v/>
      </c>
      <c r="T758">
        <f>HYPERLINK("https://klasma.github.io/Logging_2326/kartor/A 54979-2021 karta.png", "A 54979-2021")</f>
        <v/>
      </c>
      <c r="V758">
        <f>HYPERLINK("https://klasma.github.io/Logging_2326/klagomål/A 54979-2021 FSC-klagomål.docx", "A 54979-2021")</f>
        <v/>
      </c>
      <c r="W758">
        <f>HYPERLINK("https://klasma.github.io/Logging_2326/klagomålsmail/A 54979-2021 FSC-klagomål mail.docx", "A 54979-2021")</f>
        <v/>
      </c>
      <c r="X758">
        <f>HYPERLINK("https://klasma.github.io/Logging_2326/tillsyn/A 54979-2021 tillsynsbegäran.docx", "A 54979-2021")</f>
        <v/>
      </c>
      <c r="Y758">
        <f>HYPERLINK("https://klasma.github.io/Logging_2326/tillsynsmail/A 54979-2021 tillsynsbegäran mail.docx", "A 54979-2021")</f>
        <v/>
      </c>
    </row>
    <row r="759" ht="15" customHeight="1">
      <c r="A759" t="inlineStr">
        <is>
          <t>A 3540-2022</t>
        </is>
      </c>
      <c r="B759" s="1" t="n">
        <v>44585</v>
      </c>
      <c r="C759" s="1" t="n">
        <v>46045</v>
      </c>
      <c r="D759" t="inlineStr">
        <is>
          <t>JÄMTLANDS LÄN</t>
        </is>
      </c>
      <c r="E759" t="inlineStr">
        <is>
          <t>STRÖMSUND</t>
        </is>
      </c>
      <c r="F759" t="inlineStr">
        <is>
          <t>SCA</t>
        </is>
      </c>
      <c r="G759" t="n">
        <v>10.3</v>
      </c>
      <c r="H759" t="n">
        <v>0</v>
      </c>
      <c r="I759" t="n">
        <v>0</v>
      </c>
      <c r="J759" t="n">
        <v>3</v>
      </c>
      <c r="K759" t="n">
        <v>1</v>
      </c>
      <c r="L759" t="n">
        <v>0</v>
      </c>
      <c r="M759" t="n">
        <v>0</v>
      </c>
      <c r="N759" t="n">
        <v>0</v>
      </c>
      <c r="O759" t="n">
        <v>4</v>
      </c>
      <c r="P759" t="n">
        <v>1</v>
      </c>
      <c r="Q759" t="n">
        <v>4</v>
      </c>
      <c r="R759" s="2" t="inlineStr">
        <is>
          <t>Rynkskinn
Granticka
Harticka
Skrovellav</t>
        </is>
      </c>
      <c r="S759">
        <f>HYPERLINK("https://klasma.github.io/Logging_2313/artfynd/A 3540-2022 artfynd.xlsx", "A 3540-2022")</f>
        <v/>
      </c>
      <c r="T759">
        <f>HYPERLINK("https://klasma.github.io/Logging_2313/kartor/A 3540-2022 karta.png", "A 3540-2022")</f>
        <v/>
      </c>
      <c r="V759">
        <f>HYPERLINK("https://klasma.github.io/Logging_2313/klagomål/A 3540-2022 FSC-klagomål.docx", "A 3540-2022")</f>
        <v/>
      </c>
      <c r="W759">
        <f>HYPERLINK("https://klasma.github.io/Logging_2313/klagomålsmail/A 3540-2022 FSC-klagomål mail.docx", "A 3540-2022")</f>
        <v/>
      </c>
      <c r="X759">
        <f>HYPERLINK("https://klasma.github.io/Logging_2313/tillsyn/A 3540-2022 tillsynsbegäran.docx", "A 3540-2022")</f>
        <v/>
      </c>
      <c r="Y759">
        <f>HYPERLINK("https://klasma.github.io/Logging_2313/tillsynsmail/A 3540-2022 tillsynsbegäran mail.docx", "A 3540-2022")</f>
        <v/>
      </c>
    </row>
    <row r="760" ht="15" customHeight="1">
      <c r="A760" t="inlineStr">
        <is>
          <t>A 19851-2022</t>
        </is>
      </c>
      <c r="B760" s="1" t="n">
        <v>44696</v>
      </c>
      <c r="C760" s="1" t="n">
        <v>46045</v>
      </c>
      <c r="D760" t="inlineStr">
        <is>
          <t>JÄMTLANDS LÄN</t>
        </is>
      </c>
      <c r="E760" t="inlineStr">
        <is>
          <t>RAGUNDA</t>
        </is>
      </c>
      <c r="F760" t="inlineStr">
        <is>
          <t>SCA</t>
        </is>
      </c>
      <c r="G760" t="n">
        <v>3</v>
      </c>
      <c r="H760" t="n">
        <v>2</v>
      </c>
      <c r="I760" t="n">
        <v>0</v>
      </c>
      <c r="J760" t="n">
        <v>3</v>
      </c>
      <c r="K760" t="n">
        <v>0</v>
      </c>
      <c r="L760" t="n">
        <v>0</v>
      </c>
      <c r="M760" t="n">
        <v>0</v>
      </c>
      <c r="N760" t="n">
        <v>0</v>
      </c>
      <c r="O760" t="n">
        <v>3</v>
      </c>
      <c r="P760" t="n">
        <v>0</v>
      </c>
      <c r="Q760" t="n">
        <v>4</v>
      </c>
      <c r="R760" s="2" t="inlineStr">
        <is>
          <t>Garnlav
Talltita
Ullticka
Revlummer</t>
        </is>
      </c>
      <c r="S760">
        <f>HYPERLINK("https://klasma.github.io/Logging_2303/artfynd/A 19851-2022 artfynd.xlsx", "A 19851-2022")</f>
        <v/>
      </c>
      <c r="T760">
        <f>HYPERLINK("https://klasma.github.io/Logging_2303/kartor/A 19851-2022 karta.png", "A 19851-2022")</f>
        <v/>
      </c>
      <c r="V760">
        <f>HYPERLINK("https://klasma.github.io/Logging_2303/klagomål/A 19851-2022 FSC-klagomål.docx", "A 19851-2022")</f>
        <v/>
      </c>
      <c r="W760">
        <f>HYPERLINK("https://klasma.github.io/Logging_2303/klagomålsmail/A 19851-2022 FSC-klagomål mail.docx", "A 19851-2022")</f>
        <v/>
      </c>
      <c r="X760">
        <f>HYPERLINK("https://klasma.github.io/Logging_2303/tillsyn/A 19851-2022 tillsynsbegäran.docx", "A 19851-2022")</f>
        <v/>
      </c>
      <c r="Y760">
        <f>HYPERLINK("https://klasma.github.io/Logging_2303/tillsynsmail/A 19851-2022 tillsynsbegäran mail.docx", "A 19851-2022")</f>
        <v/>
      </c>
      <c r="Z760">
        <f>HYPERLINK("https://klasma.github.io/Logging_2303/fåglar/A 19851-2022 prioriterade fågelarter.docx", "A 19851-2022")</f>
        <v/>
      </c>
    </row>
    <row r="761" ht="15" customHeight="1">
      <c r="A761" t="inlineStr">
        <is>
          <t>A 23207-2022</t>
        </is>
      </c>
      <c r="B761" s="1" t="n">
        <v>44719</v>
      </c>
      <c r="C761" s="1" t="n">
        <v>46045</v>
      </c>
      <c r="D761" t="inlineStr">
        <is>
          <t>JÄMTLANDS LÄN</t>
        </is>
      </c>
      <c r="E761" t="inlineStr">
        <is>
          <t>STRÖMSUND</t>
        </is>
      </c>
      <c r="F761" t="inlineStr">
        <is>
          <t>SCA</t>
        </is>
      </c>
      <c r="G761" t="n">
        <v>1.6</v>
      </c>
      <c r="H761" t="n">
        <v>1</v>
      </c>
      <c r="I761" t="n">
        <v>1</v>
      </c>
      <c r="J761" t="n">
        <v>2</v>
      </c>
      <c r="K761" t="n">
        <v>1</v>
      </c>
      <c r="L761" t="n">
        <v>0</v>
      </c>
      <c r="M761" t="n">
        <v>0</v>
      </c>
      <c r="N761" t="n">
        <v>0</v>
      </c>
      <c r="O761" t="n">
        <v>3</v>
      </c>
      <c r="P761" t="n">
        <v>1</v>
      </c>
      <c r="Q761" t="n">
        <v>4</v>
      </c>
      <c r="R761" s="2" t="inlineStr">
        <is>
          <t>Doftticka
Garnlav
Lunglav
Stuplav</t>
        </is>
      </c>
      <c r="S761">
        <f>HYPERLINK("https://klasma.github.io/Logging_2313/artfynd/A 23207-2022 artfynd.xlsx", "A 23207-2022")</f>
        <v/>
      </c>
      <c r="T761">
        <f>HYPERLINK("https://klasma.github.io/Logging_2313/kartor/A 23207-2022 karta.png", "A 23207-2022")</f>
        <v/>
      </c>
      <c r="V761">
        <f>HYPERLINK("https://klasma.github.io/Logging_2313/klagomål/A 23207-2022 FSC-klagomål.docx", "A 23207-2022")</f>
        <v/>
      </c>
      <c r="W761">
        <f>HYPERLINK("https://klasma.github.io/Logging_2313/klagomålsmail/A 23207-2022 FSC-klagomål mail.docx", "A 23207-2022")</f>
        <v/>
      </c>
      <c r="X761">
        <f>HYPERLINK("https://klasma.github.io/Logging_2313/tillsyn/A 23207-2022 tillsynsbegäran.docx", "A 23207-2022")</f>
        <v/>
      </c>
      <c r="Y761">
        <f>HYPERLINK("https://klasma.github.io/Logging_2313/tillsynsmail/A 23207-2022 tillsynsbegäran mail.docx", "A 23207-2022")</f>
        <v/>
      </c>
    </row>
    <row r="762" ht="15" customHeight="1">
      <c r="A762" t="inlineStr">
        <is>
          <t>A 35742-2022</t>
        </is>
      </c>
      <c r="B762" s="1" t="n">
        <v>44799</v>
      </c>
      <c r="C762" s="1" t="n">
        <v>46045</v>
      </c>
      <c r="D762" t="inlineStr">
        <is>
          <t>JÄMTLANDS LÄN</t>
        </is>
      </c>
      <c r="E762" t="inlineStr">
        <is>
          <t>BERG</t>
        </is>
      </c>
      <c r="F762" t="inlineStr">
        <is>
          <t>SCA</t>
        </is>
      </c>
      <c r="G762" t="n">
        <v>16.6</v>
      </c>
      <c r="H762" t="n">
        <v>1</v>
      </c>
      <c r="I762" t="n">
        <v>1</v>
      </c>
      <c r="J762" t="n">
        <v>3</v>
      </c>
      <c r="K762" t="n">
        <v>0</v>
      </c>
      <c r="L762" t="n">
        <v>0</v>
      </c>
      <c r="M762" t="n">
        <v>0</v>
      </c>
      <c r="N762" t="n">
        <v>0</v>
      </c>
      <c r="O762" t="n">
        <v>3</v>
      </c>
      <c r="P762" t="n">
        <v>0</v>
      </c>
      <c r="Q762" t="n">
        <v>4</v>
      </c>
      <c r="R762" s="2" t="inlineStr">
        <is>
          <t>Dvärgbägarlav
Vedflamlav
Vedskivlav
Plattlummer</t>
        </is>
      </c>
      <c r="S762">
        <f>HYPERLINK("https://klasma.github.io/Logging_2326/artfynd/A 35742-2022 artfynd.xlsx", "A 35742-2022")</f>
        <v/>
      </c>
      <c r="T762">
        <f>HYPERLINK("https://klasma.github.io/Logging_2326/kartor/A 35742-2022 karta.png", "A 35742-2022")</f>
        <v/>
      </c>
      <c r="V762">
        <f>HYPERLINK("https://klasma.github.io/Logging_2326/klagomål/A 35742-2022 FSC-klagomål.docx", "A 35742-2022")</f>
        <v/>
      </c>
      <c r="W762">
        <f>HYPERLINK("https://klasma.github.io/Logging_2326/klagomålsmail/A 35742-2022 FSC-klagomål mail.docx", "A 35742-2022")</f>
        <v/>
      </c>
      <c r="X762">
        <f>HYPERLINK("https://klasma.github.io/Logging_2326/tillsyn/A 35742-2022 tillsynsbegäran.docx", "A 35742-2022")</f>
        <v/>
      </c>
      <c r="Y762">
        <f>HYPERLINK("https://klasma.github.io/Logging_2326/tillsynsmail/A 35742-2022 tillsynsbegäran mail.docx", "A 35742-2022")</f>
        <v/>
      </c>
    </row>
    <row r="763" ht="15" customHeight="1">
      <c r="A763" t="inlineStr">
        <is>
          <t>A 37958-2021</t>
        </is>
      </c>
      <c r="B763" s="1" t="n">
        <v>44403</v>
      </c>
      <c r="C763" s="1" t="n">
        <v>46045</v>
      </c>
      <c r="D763" t="inlineStr">
        <is>
          <t>JÄMTLANDS LÄN</t>
        </is>
      </c>
      <c r="E763" t="inlineStr">
        <is>
          <t>BRÄCKE</t>
        </is>
      </c>
      <c r="F763" t="inlineStr">
        <is>
          <t>SCA</t>
        </is>
      </c>
      <c r="G763" t="n">
        <v>3.5</v>
      </c>
      <c r="H763" t="n">
        <v>0</v>
      </c>
      <c r="I763" t="n">
        <v>0</v>
      </c>
      <c r="J763" t="n">
        <v>4</v>
      </c>
      <c r="K763" t="n">
        <v>0</v>
      </c>
      <c r="L763" t="n">
        <v>0</v>
      </c>
      <c r="M763" t="n">
        <v>0</v>
      </c>
      <c r="N763" t="n">
        <v>0</v>
      </c>
      <c r="O763" t="n">
        <v>4</v>
      </c>
      <c r="P763" t="n">
        <v>0</v>
      </c>
      <c r="Q763" t="n">
        <v>4</v>
      </c>
      <c r="R763" s="2" t="inlineStr">
        <is>
          <t>Dvärgbägarlav
Kolflarnlav
Lunglav
Vedtrappmossa</t>
        </is>
      </c>
      <c r="S763">
        <f>HYPERLINK("https://klasma.github.io/Logging_2305/artfynd/A 37958-2021 artfynd.xlsx", "A 37958-2021")</f>
        <v/>
      </c>
      <c r="T763">
        <f>HYPERLINK("https://klasma.github.io/Logging_2305/kartor/A 37958-2021 karta.png", "A 37958-2021")</f>
        <v/>
      </c>
      <c r="V763">
        <f>HYPERLINK("https://klasma.github.io/Logging_2305/klagomål/A 37958-2021 FSC-klagomål.docx", "A 37958-2021")</f>
        <v/>
      </c>
      <c r="W763">
        <f>HYPERLINK("https://klasma.github.io/Logging_2305/klagomålsmail/A 37958-2021 FSC-klagomål mail.docx", "A 37958-2021")</f>
        <v/>
      </c>
      <c r="X763">
        <f>HYPERLINK("https://klasma.github.io/Logging_2305/tillsyn/A 37958-2021 tillsynsbegäran.docx", "A 37958-2021")</f>
        <v/>
      </c>
      <c r="Y763">
        <f>HYPERLINK("https://klasma.github.io/Logging_2305/tillsynsmail/A 37958-2021 tillsynsbegäran mail.docx", "A 37958-2021")</f>
        <v/>
      </c>
    </row>
    <row r="764" ht="15" customHeight="1">
      <c r="A764" t="inlineStr">
        <is>
          <t>A 15667-2022</t>
        </is>
      </c>
      <c r="B764" s="1" t="n">
        <v>44662</v>
      </c>
      <c r="C764" s="1" t="n">
        <v>46045</v>
      </c>
      <c r="D764" t="inlineStr">
        <is>
          <t>JÄMTLANDS LÄN</t>
        </is>
      </c>
      <c r="E764" t="inlineStr">
        <is>
          <t>RAGUNDA</t>
        </is>
      </c>
      <c r="F764" t="inlineStr">
        <is>
          <t>SCA</t>
        </is>
      </c>
      <c r="G764" t="n">
        <v>2.9</v>
      </c>
      <c r="H764" t="n">
        <v>0</v>
      </c>
      <c r="I764" t="n">
        <v>2</v>
      </c>
      <c r="J764" t="n">
        <v>2</v>
      </c>
      <c r="K764" t="n">
        <v>0</v>
      </c>
      <c r="L764" t="n">
        <v>0</v>
      </c>
      <c r="M764" t="n">
        <v>0</v>
      </c>
      <c r="N764" t="n">
        <v>0</v>
      </c>
      <c r="O764" t="n">
        <v>2</v>
      </c>
      <c r="P764" t="n">
        <v>0</v>
      </c>
      <c r="Q764" t="n">
        <v>4</v>
      </c>
      <c r="R764" s="2" t="inlineStr">
        <is>
          <t>Garnlav
Lunglav
Källmossa
Ögonpyrola</t>
        </is>
      </c>
      <c r="S764">
        <f>HYPERLINK("https://klasma.github.io/Logging_2303/artfynd/A 15667-2022 artfynd.xlsx", "A 15667-2022")</f>
        <v/>
      </c>
      <c r="T764">
        <f>HYPERLINK("https://klasma.github.io/Logging_2303/kartor/A 15667-2022 karta.png", "A 15667-2022")</f>
        <v/>
      </c>
      <c r="V764">
        <f>HYPERLINK("https://klasma.github.io/Logging_2303/klagomål/A 15667-2022 FSC-klagomål.docx", "A 15667-2022")</f>
        <v/>
      </c>
      <c r="W764">
        <f>HYPERLINK("https://klasma.github.io/Logging_2303/klagomålsmail/A 15667-2022 FSC-klagomål mail.docx", "A 15667-2022")</f>
        <v/>
      </c>
      <c r="X764">
        <f>HYPERLINK("https://klasma.github.io/Logging_2303/tillsyn/A 15667-2022 tillsynsbegäran.docx", "A 15667-2022")</f>
        <v/>
      </c>
      <c r="Y764">
        <f>HYPERLINK("https://klasma.github.io/Logging_2303/tillsynsmail/A 15667-2022 tillsynsbegäran mail.docx", "A 15667-2022")</f>
        <v/>
      </c>
    </row>
    <row r="765" ht="15" customHeight="1">
      <c r="A765" t="inlineStr">
        <is>
          <t>A 64302-2021</t>
        </is>
      </c>
      <c r="B765" s="1" t="n">
        <v>44510.94930555556</v>
      </c>
      <c r="C765" s="1" t="n">
        <v>46045</v>
      </c>
      <c r="D765" t="inlineStr">
        <is>
          <t>JÄMTLANDS LÄN</t>
        </is>
      </c>
      <c r="E765" t="inlineStr">
        <is>
          <t>KROKOM</t>
        </is>
      </c>
      <c r="G765" t="n">
        <v>2.4</v>
      </c>
      <c r="H765" t="n">
        <v>1</v>
      </c>
      <c r="I765" t="n">
        <v>0</v>
      </c>
      <c r="J765" t="n">
        <v>4</v>
      </c>
      <c r="K765" t="n">
        <v>0</v>
      </c>
      <c r="L765" t="n">
        <v>0</v>
      </c>
      <c r="M765" t="n">
        <v>0</v>
      </c>
      <c r="N765" t="n">
        <v>0</v>
      </c>
      <c r="O765" t="n">
        <v>4</v>
      </c>
      <c r="P765" t="n">
        <v>0</v>
      </c>
      <c r="Q765" t="n">
        <v>4</v>
      </c>
      <c r="R765" s="2" t="inlineStr">
        <is>
          <t>Garnlav
Lunglav
Skrovellav
Tretåig hackspett</t>
        </is>
      </c>
      <c r="S765">
        <f>HYPERLINK("https://klasma.github.io/Logging_2309/artfynd/A 64302-2021 artfynd.xlsx", "A 64302-2021")</f>
        <v/>
      </c>
      <c r="T765">
        <f>HYPERLINK("https://klasma.github.io/Logging_2309/kartor/A 64302-2021 karta.png", "A 64302-2021")</f>
        <v/>
      </c>
      <c r="V765">
        <f>HYPERLINK("https://klasma.github.io/Logging_2309/klagomål/A 64302-2021 FSC-klagomål.docx", "A 64302-2021")</f>
        <v/>
      </c>
      <c r="W765">
        <f>HYPERLINK("https://klasma.github.io/Logging_2309/klagomålsmail/A 64302-2021 FSC-klagomål mail.docx", "A 64302-2021")</f>
        <v/>
      </c>
      <c r="X765">
        <f>HYPERLINK("https://klasma.github.io/Logging_2309/tillsyn/A 64302-2021 tillsynsbegäran.docx", "A 64302-2021")</f>
        <v/>
      </c>
      <c r="Y765">
        <f>HYPERLINK("https://klasma.github.io/Logging_2309/tillsynsmail/A 64302-2021 tillsynsbegäran mail.docx", "A 64302-2021")</f>
        <v/>
      </c>
      <c r="Z765">
        <f>HYPERLINK("https://klasma.github.io/Logging_2309/fåglar/A 64302-2021 prioriterade fågelarter.docx", "A 64302-2021")</f>
        <v/>
      </c>
    </row>
    <row r="766" ht="15" customHeight="1">
      <c r="A766" t="inlineStr">
        <is>
          <t>A 33543-2021</t>
        </is>
      </c>
      <c r="B766" s="1" t="n">
        <v>44377.92190972222</v>
      </c>
      <c r="C766" s="1" t="n">
        <v>46045</v>
      </c>
      <c r="D766" t="inlineStr">
        <is>
          <t>JÄMTLANDS LÄN</t>
        </is>
      </c>
      <c r="E766" t="inlineStr">
        <is>
          <t>STRÖMSUND</t>
        </is>
      </c>
      <c r="G766" t="n">
        <v>4.5</v>
      </c>
      <c r="H766" t="n">
        <v>0</v>
      </c>
      <c r="I766" t="n">
        <v>1</v>
      </c>
      <c r="J766" t="n">
        <v>3</v>
      </c>
      <c r="K766" t="n">
        <v>0</v>
      </c>
      <c r="L766" t="n">
        <v>0</v>
      </c>
      <c r="M766" t="n">
        <v>0</v>
      </c>
      <c r="N766" t="n">
        <v>0</v>
      </c>
      <c r="O766" t="n">
        <v>3</v>
      </c>
      <c r="P766" t="n">
        <v>0</v>
      </c>
      <c r="Q766" t="n">
        <v>4</v>
      </c>
      <c r="R766" s="2" t="inlineStr">
        <is>
          <t>Garnlav
Lunglav
Vitgrynig nållav
Dvärgtufs</t>
        </is>
      </c>
      <c r="S766">
        <f>HYPERLINK("https://klasma.github.io/Logging_2313/artfynd/A 33543-2021 artfynd.xlsx", "A 33543-2021")</f>
        <v/>
      </c>
      <c r="T766">
        <f>HYPERLINK("https://klasma.github.io/Logging_2313/kartor/A 33543-2021 karta.png", "A 33543-2021")</f>
        <v/>
      </c>
      <c r="V766">
        <f>HYPERLINK("https://klasma.github.io/Logging_2313/klagomål/A 33543-2021 FSC-klagomål.docx", "A 33543-2021")</f>
        <v/>
      </c>
      <c r="W766">
        <f>HYPERLINK("https://klasma.github.io/Logging_2313/klagomålsmail/A 33543-2021 FSC-klagomål mail.docx", "A 33543-2021")</f>
        <v/>
      </c>
      <c r="X766">
        <f>HYPERLINK("https://klasma.github.io/Logging_2313/tillsyn/A 33543-2021 tillsynsbegäran.docx", "A 33543-2021")</f>
        <v/>
      </c>
      <c r="Y766">
        <f>HYPERLINK("https://klasma.github.io/Logging_2313/tillsynsmail/A 33543-2021 tillsynsbegäran mail.docx", "A 33543-2021")</f>
        <v/>
      </c>
    </row>
    <row r="767" ht="15" customHeight="1">
      <c r="A767" t="inlineStr">
        <is>
          <t>A 32968-2021</t>
        </is>
      </c>
      <c r="B767" s="1" t="n">
        <v>44376</v>
      </c>
      <c r="C767" s="1" t="n">
        <v>46045</v>
      </c>
      <c r="D767" t="inlineStr">
        <is>
          <t>JÄMTLANDS LÄN</t>
        </is>
      </c>
      <c r="E767" t="inlineStr">
        <is>
          <t>STRÖMSUND</t>
        </is>
      </c>
      <c r="F767" t="inlineStr">
        <is>
          <t>SCA</t>
        </is>
      </c>
      <c r="G767" t="n">
        <v>34.3</v>
      </c>
      <c r="H767" t="n">
        <v>1</v>
      </c>
      <c r="I767" t="n">
        <v>0</v>
      </c>
      <c r="J767" t="n">
        <v>4</v>
      </c>
      <c r="K767" t="n">
        <v>0</v>
      </c>
      <c r="L767" t="n">
        <v>0</v>
      </c>
      <c r="M767" t="n">
        <v>0</v>
      </c>
      <c r="N767" t="n">
        <v>0</v>
      </c>
      <c r="O767" t="n">
        <v>4</v>
      </c>
      <c r="P767" t="n">
        <v>0</v>
      </c>
      <c r="Q767" t="n">
        <v>4</v>
      </c>
      <c r="R767" s="2" t="inlineStr">
        <is>
          <t>Granticka
Lunglav
Skrovellav
Tretåig hackspett</t>
        </is>
      </c>
      <c r="S767">
        <f>HYPERLINK("https://klasma.github.io/Logging_2313/artfynd/A 32968-2021 artfynd.xlsx", "A 32968-2021")</f>
        <v/>
      </c>
      <c r="T767">
        <f>HYPERLINK("https://klasma.github.io/Logging_2313/kartor/A 32968-2021 karta.png", "A 32968-2021")</f>
        <v/>
      </c>
      <c r="V767">
        <f>HYPERLINK("https://klasma.github.io/Logging_2313/klagomål/A 32968-2021 FSC-klagomål.docx", "A 32968-2021")</f>
        <v/>
      </c>
      <c r="W767">
        <f>HYPERLINK("https://klasma.github.io/Logging_2313/klagomålsmail/A 32968-2021 FSC-klagomål mail.docx", "A 32968-2021")</f>
        <v/>
      </c>
      <c r="X767">
        <f>HYPERLINK("https://klasma.github.io/Logging_2313/tillsyn/A 32968-2021 tillsynsbegäran.docx", "A 32968-2021")</f>
        <v/>
      </c>
      <c r="Y767">
        <f>HYPERLINK("https://klasma.github.io/Logging_2313/tillsynsmail/A 32968-2021 tillsynsbegäran mail.docx", "A 32968-2021")</f>
        <v/>
      </c>
      <c r="Z767">
        <f>HYPERLINK("https://klasma.github.io/Logging_2313/fåglar/A 32968-2021 prioriterade fågelarter.docx", "A 32968-2021")</f>
        <v/>
      </c>
    </row>
    <row r="768" ht="15" customHeight="1">
      <c r="A768" t="inlineStr">
        <is>
          <t>A 22333-2022</t>
        </is>
      </c>
      <c r="B768" s="1" t="n">
        <v>44712</v>
      </c>
      <c r="C768" s="1" t="n">
        <v>46045</v>
      </c>
      <c r="D768" t="inlineStr">
        <is>
          <t>JÄMTLANDS LÄN</t>
        </is>
      </c>
      <c r="E768" t="inlineStr">
        <is>
          <t>BERG</t>
        </is>
      </c>
      <c r="F768" t="inlineStr">
        <is>
          <t>SCA</t>
        </is>
      </c>
      <c r="G768" t="n">
        <v>5.5</v>
      </c>
      <c r="H768" t="n">
        <v>1</v>
      </c>
      <c r="I768" t="n">
        <v>0</v>
      </c>
      <c r="J768" t="n">
        <v>3</v>
      </c>
      <c r="K768" t="n">
        <v>1</v>
      </c>
      <c r="L768" t="n">
        <v>0</v>
      </c>
      <c r="M768" t="n">
        <v>0</v>
      </c>
      <c r="N768" t="n">
        <v>0</v>
      </c>
      <c r="O768" t="n">
        <v>4</v>
      </c>
      <c r="P768" t="n">
        <v>1</v>
      </c>
      <c r="Q768" t="n">
        <v>4</v>
      </c>
      <c r="R768" s="2" t="inlineStr">
        <is>
          <t>Knärot
Gränsticka
Rosenticka
Ullticka</t>
        </is>
      </c>
      <c r="S768">
        <f>HYPERLINK("https://klasma.github.io/Logging_2326/artfynd/A 22333-2022 artfynd.xlsx", "A 22333-2022")</f>
        <v/>
      </c>
      <c r="T768">
        <f>HYPERLINK("https://klasma.github.io/Logging_2326/kartor/A 22333-2022 karta.png", "A 22333-2022")</f>
        <v/>
      </c>
      <c r="U768">
        <f>HYPERLINK("https://klasma.github.io/Logging_2326/knärot/A 22333-2022 karta knärot.png", "A 22333-2022")</f>
        <v/>
      </c>
      <c r="V768">
        <f>HYPERLINK("https://klasma.github.io/Logging_2326/klagomål/A 22333-2022 FSC-klagomål.docx", "A 22333-2022")</f>
        <v/>
      </c>
      <c r="W768">
        <f>HYPERLINK("https://klasma.github.io/Logging_2326/klagomålsmail/A 22333-2022 FSC-klagomål mail.docx", "A 22333-2022")</f>
        <v/>
      </c>
      <c r="X768">
        <f>HYPERLINK("https://klasma.github.io/Logging_2326/tillsyn/A 22333-2022 tillsynsbegäran.docx", "A 22333-2022")</f>
        <v/>
      </c>
      <c r="Y768">
        <f>HYPERLINK("https://klasma.github.io/Logging_2326/tillsynsmail/A 22333-2022 tillsynsbegäran mail.docx", "A 22333-2022")</f>
        <v/>
      </c>
    </row>
    <row r="769" ht="15" customHeight="1">
      <c r="A769" t="inlineStr">
        <is>
          <t>A 16680-2021</t>
        </is>
      </c>
      <c r="B769" s="1" t="n">
        <v>44294</v>
      </c>
      <c r="C769" s="1" t="n">
        <v>46045</v>
      </c>
      <c r="D769" t="inlineStr">
        <is>
          <t>JÄMTLANDS LÄN</t>
        </is>
      </c>
      <c r="E769" t="inlineStr">
        <is>
          <t>HÄRJEDALEN</t>
        </is>
      </c>
      <c r="G769" t="n">
        <v>5.7</v>
      </c>
      <c r="H769" t="n">
        <v>0</v>
      </c>
      <c r="I769" t="n">
        <v>3</v>
      </c>
      <c r="J769" t="n">
        <v>1</v>
      </c>
      <c r="K769" t="n">
        <v>0</v>
      </c>
      <c r="L769" t="n">
        <v>0</v>
      </c>
      <c r="M769" t="n">
        <v>0</v>
      </c>
      <c r="N769" t="n">
        <v>0</v>
      </c>
      <c r="O769" t="n">
        <v>1</v>
      </c>
      <c r="P769" t="n">
        <v>0</v>
      </c>
      <c r="Q769" t="n">
        <v>4</v>
      </c>
      <c r="R769" s="2" t="inlineStr">
        <is>
          <t>Vitgrynig nållav
Bronshjon
Bårdlav
Stuplav</t>
        </is>
      </c>
      <c r="S769">
        <f>HYPERLINK("https://klasma.github.io/Logging_2361/artfynd/A 16680-2021 artfynd.xlsx", "A 16680-2021")</f>
        <v/>
      </c>
      <c r="T769">
        <f>HYPERLINK("https://klasma.github.io/Logging_2361/kartor/A 16680-2021 karta.png", "A 16680-2021")</f>
        <v/>
      </c>
      <c r="V769">
        <f>HYPERLINK("https://klasma.github.io/Logging_2361/klagomål/A 16680-2021 FSC-klagomål.docx", "A 16680-2021")</f>
        <v/>
      </c>
      <c r="W769">
        <f>HYPERLINK("https://klasma.github.io/Logging_2361/klagomålsmail/A 16680-2021 FSC-klagomål mail.docx", "A 16680-2021")</f>
        <v/>
      </c>
      <c r="X769">
        <f>HYPERLINK("https://klasma.github.io/Logging_2361/tillsyn/A 16680-2021 tillsynsbegäran.docx", "A 16680-2021")</f>
        <v/>
      </c>
      <c r="Y769">
        <f>HYPERLINK("https://klasma.github.io/Logging_2361/tillsynsmail/A 16680-2021 tillsynsbegäran mail.docx", "A 16680-2021")</f>
        <v/>
      </c>
    </row>
    <row r="770" ht="15" customHeight="1">
      <c r="A770" t="inlineStr">
        <is>
          <t>A 25029-2022</t>
        </is>
      </c>
      <c r="B770" s="1" t="n">
        <v>44728</v>
      </c>
      <c r="C770" s="1" t="n">
        <v>46045</v>
      </c>
      <c r="D770" t="inlineStr">
        <is>
          <t>JÄMTLANDS LÄN</t>
        </is>
      </c>
      <c r="E770" t="inlineStr">
        <is>
          <t>KROKOM</t>
        </is>
      </c>
      <c r="F770" t="inlineStr">
        <is>
          <t>SCA</t>
        </is>
      </c>
      <c r="G770" t="n">
        <v>41.5</v>
      </c>
      <c r="H770" t="n">
        <v>3</v>
      </c>
      <c r="I770" t="n">
        <v>0</v>
      </c>
      <c r="J770" t="n">
        <v>2</v>
      </c>
      <c r="K770" t="n">
        <v>1</v>
      </c>
      <c r="L770" t="n">
        <v>0</v>
      </c>
      <c r="M770" t="n">
        <v>0</v>
      </c>
      <c r="N770" t="n">
        <v>0</v>
      </c>
      <c r="O770" t="n">
        <v>3</v>
      </c>
      <c r="P770" t="n">
        <v>1</v>
      </c>
      <c r="Q770" t="n">
        <v>4</v>
      </c>
      <c r="R770" s="2" t="inlineStr">
        <is>
          <t>Knärot
Skrovellav
Spillkråka
Fläcknycklar</t>
        </is>
      </c>
      <c r="S770">
        <f>HYPERLINK("https://klasma.github.io/Logging_2309/artfynd/A 25029-2022 artfynd.xlsx", "A 25029-2022")</f>
        <v/>
      </c>
      <c r="T770">
        <f>HYPERLINK("https://klasma.github.io/Logging_2309/kartor/A 25029-2022 karta.png", "A 25029-2022")</f>
        <v/>
      </c>
      <c r="U770">
        <f>HYPERLINK("https://klasma.github.io/Logging_2309/knärot/A 25029-2022 karta knärot.png", "A 25029-2022")</f>
        <v/>
      </c>
      <c r="V770">
        <f>HYPERLINK("https://klasma.github.io/Logging_2309/klagomål/A 25029-2022 FSC-klagomål.docx", "A 25029-2022")</f>
        <v/>
      </c>
      <c r="W770">
        <f>HYPERLINK("https://klasma.github.io/Logging_2309/klagomålsmail/A 25029-2022 FSC-klagomål mail.docx", "A 25029-2022")</f>
        <v/>
      </c>
      <c r="X770">
        <f>HYPERLINK("https://klasma.github.io/Logging_2309/tillsyn/A 25029-2022 tillsynsbegäran.docx", "A 25029-2022")</f>
        <v/>
      </c>
      <c r="Y770">
        <f>HYPERLINK("https://klasma.github.io/Logging_2309/tillsynsmail/A 25029-2022 tillsynsbegäran mail.docx", "A 25029-2022")</f>
        <v/>
      </c>
      <c r="Z770">
        <f>HYPERLINK("https://klasma.github.io/Logging_2309/fåglar/A 25029-2022 prioriterade fågelarter.docx", "A 25029-2022")</f>
        <v/>
      </c>
    </row>
    <row r="771" ht="15" customHeight="1">
      <c r="A771" t="inlineStr">
        <is>
          <t>A 35457-2024</t>
        </is>
      </c>
      <c r="B771" s="1" t="n">
        <v>45531.45752314815</v>
      </c>
      <c r="C771" s="1" t="n">
        <v>46045</v>
      </c>
      <c r="D771" t="inlineStr">
        <is>
          <t>JÄMTLANDS LÄN</t>
        </is>
      </c>
      <c r="E771" t="inlineStr">
        <is>
          <t>HÄRJEDALEN</t>
        </is>
      </c>
      <c r="G771" t="n">
        <v>4.2</v>
      </c>
      <c r="H771" t="n">
        <v>1</v>
      </c>
      <c r="I771" t="n">
        <v>0</v>
      </c>
      <c r="J771" t="n">
        <v>4</v>
      </c>
      <c r="K771" t="n">
        <v>0</v>
      </c>
      <c r="L771" t="n">
        <v>0</v>
      </c>
      <c r="M771" t="n">
        <v>0</v>
      </c>
      <c r="N771" t="n">
        <v>0</v>
      </c>
      <c r="O771" t="n">
        <v>4</v>
      </c>
      <c r="P771" t="n">
        <v>0</v>
      </c>
      <c r="Q771" t="n">
        <v>4</v>
      </c>
      <c r="R771" s="2" t="inlineStr">
        <is>
          <t>Dvärgbägarlav
Kolflarnlav
Mörk kolflarnlav
Varglav</t>
        </is>
      </c>
      <c r="S771">
        <f>HYPERLINK("https://klasma.github.io/Logging_2361/artfynd/A 35457-2024 artfynd.xlsx", "A 35457-2024")</f>
        <v/>
      </c>
      <c r="T771">
        <f>HYPERLINK("https://klasma.github.io/Logging_2361/kartor/A 35457-2024 karta.png", "A 35457-2024")</f>
        <v/>
      </c>
      <c r="V771">
        <f>HYPERLINK("https://klasma.github.io/Logging_2361/klagomål/A 35457-2024 FSC-klagomål.docx", "A 35457-2024")</f>
        <v/>
      </c>
      <c r="W771">
        <f>HYPERLINK("https://klasma.github.io/Logging_2361/klagomålsmail/A 35457-2024 FSC-klagomål mail.docx", "A 35457-2024")</f>
        <v/>
      </c>
      <c r="X771">
        <f>HYPERLINK("https://klasma.github.io/Logging_2361/tillsyn/A 35457-2024 tillsynsbegäran.docx", "A 35457-2024")</f>
        <v/>
      </c>
      <c r="Y771">
        <f>HYPERLINK("https://klasma.github.io/Logging_2361/tillsynsmail/A 35457-2024 tillsynsbegäran mail.docx", "A 35457-2024")</f>
        <v/>
      </c>
    </row>
    <row r="772" ht="15" customHeight="1">
      <c r="A772" t="inlineStr">
        <is>
          <t>A 12863-2024</t>
        </is>
      </c>
      <c r="B772" s="1" t="n">
        <v>45384.94145833333</v>
      </c>
      <c r="C772" s="1" t="n">
        <v>46045</v>
      </c>
      <c r="D772" t="inlineStr">
        <is>
          <t>JÄMTLANDS LÄN</t>
        </is>
      </c>
      <c r="E772" t="inlineStr">
        <is>
          <t>BRÄCKE</t>
        </is>
      </c>
      <c r="F772" t="inlineStr">
        <is>
          <t>SCA</t>
        </is>
      </c>
      <c r="G772" t="n">
        <v>10.2</v>
      </c>
      <c r="H772" t="n">
        <v>0</v>
      </c>
      <c r="I772" t="n">
        <v>1</v>
      </c>
      <c r="J772" t="n">
        <v>2</v>
      </c>
      <c r="K772" t="n">
        <v>1</v>
      </c>
      <c r="L772" t="n">
        <v>0</v>
      </c>
      <c r="M772" t="n">
        <v>0</v>
      </c>
      <c r="N772" t="n">
        <v>0</v>
      </c>
      <c r="O772" t="n">
        <v>3</v>
      </c>
      <c r="P772" t="n">
        <v>1</v>
      </c>
      <c r="Q772" t="n">
        <v>4</v>
      </c>
      <c r="R772" s="2" t="inlineStr">
        <is>
          <t>Gräddporing
Dvärgbägarlav
Skrovellav
Dropptaggsvamp</t>
        </is>
      </c>
      <c r="S772">
        <f>HYPERLINK("https://klasma.github.io/Logging_2305/artfynd/A 12863-2024 artfynd.xlsx", "A 12863-2024")</f>
        <v/>
      </c>
      <c r="T772">
        <f>HYPERLINK("https://klasma.github.io/Logging_2305/kartor/A 12863-2024 karta.png", "A 12863-2024")</f>
        <v/>
      </c>
      <c r="V772">
        <f>HYPERLINK("https://klasma.github.io/Logging_2305/klagomål/A 12863-2024 FSC-klagomål.docx", "A 12863-2024")</f>
        <v/>
      </c>
      <c r="W772">
        <f>HYPERLINK("https://klasma.github.io/Logging_2305/klagomålsmail/A 12863-2024 FSC-klagomål mail.docx", "A 12863-2024")</f>
        <v/>
      </c>
      <c r="X772">
        <f>HYPERLINK("https://klasma.github.io/Logging_2305/tillsyn/A 12863-2024 tillsynsbegäran.docx", "A 12863-2024")</f>
        <v/>
      </c>
      <c r="Y772">
        <f>HYPERLINK("https://klasma.github.io/Logging_2305/tillsynsmail/A 12863-2024 tillsynsbegäran mail.docx", "A 12863-2024")</f>
        <v/>
      </c>
    </row>
    <row r="773" ht="15" customHeight="1">
      <c r="A773" t="inlineStr">
        <is>
          <t>A 60566-2022</t>
        </is>
      </c>
      <c r="B773" s="1" t="n">
        <v>44904</v>
      </c>
      <c r="C773" s="1" t="n">
        <v>46045</v>
      </c>
      <c r="D773" t="inlineStr">
        <is>
          <t>JÄMTLANDS LÄN</t>
        </is>
      </c>
      <c r="E773" t="inlineStr">
        <is>
          <t>KROKOM</t>
        </is>
      </c>
      <c r="G773" t="n">
        <v>7.1</v>
      </c>
      <c r="H773" t="n">
        <v>1</v>
      </c>
      <c r="I773" t="n">
        <v>0</v>
      </c>
      <c r="J773" t="n">
        <v>3</v>
      </c>
      <c r="K773" t="n">
        <v>1</v>
      </c>
      <c r="L773" t="n">
        <v>0</v>
      </c>
      <c r="M773" t="n">
        <v>0</v>
      </c>
      <c r="N773" t="n">
        <v>0</v>
      </c>
      <c r="O773" t="n">
        <v>4</v>
      </c>
      <c r="P773" t="n">
        <v>1</v>
      </c>
      <c r="Q773" t="n">
        <v>4</v>
      </c>
      <c r="R773" s="2" t="inlineStr">
        <is>
          <t>Fjällfotad fingersvamp
Lunglav
Småflikig brosklav
Talltita</t>
        </is>
      </c>
      <c r="S773">
        <f>HYPERLINK("https://klasma.github.io/Logging_2309/artfynd/A 60566-2022 artfynd.xlsx", "A 60566-2022")</f>
        <v/>
      </c>
      <c r="T773">
        <f>HYPERLINK("https://klasma.github.io/Logging_2309/kartor/A 60566-2022 karta.png", "A 60566-2022")</f>
        <v/>
      </c>
      <c r="V773">
        <f>HYPERLINK("https://klasma.github.io/Logging_2309/klagomål/A 60566-2022 FSC-klagomål.docx", "A 60566-2022")</f>
        <v/>
      </c>
      <c r="W773">
        <f>HYPERLINK("https://klasma.github.io/Logging_2309/klagomålsmail/A 60566-2022 FSC-klagomål mail.docx", "A 60566-2022")</f>
        <v/>
      </c>
      <c r="X773">
        <f>HYPERLINK("https://klasma.github.io/Logging_2309/tillsyn/A 60566-2022 tillsynsbegäran.docx", "A 60566-2022")</f>
        <v/>
      </c>
      <c r="Y773">
        <f>HYPERLINK("https://klasma.github.io/Logging_2309/tillsynsmail/A 60566-2022 tillsynsbegäran mail.docx", "A 60566-2022")</f>
        <v/>
      </c>
      <c r="Z773">
        <f>HYPERLINK("https://klasma.github.io/Logging_2309/fåglar/A 60566-2022 prioriterade fågelarter.docx", "A 60566-2022")</f>
        <v/>
      </c>
    </row>
    <row r="774" ht="15" customHeight="1">
      <c r="A774" t="inlineStr">
        <is>
          <t>A 48431-2023</t>
        </is>
      </c>
      <c r="B774" s="1" t="n">
        <v>45205</v>
      </c>
      <c r="C774" s="1" t="n">
        <v>46045</v>
      </c>
      <c r="D774" t="inlineStr">
        <is>
          <t>JÄMTLANDS LÄN</t>
        </is>
      </c>
      <c r="E774" t="inlineStr">
        <is>
          <t>BRÄCKE</t>
        </is>
      </c>
      <c r="F774" t="inlineStr">
        <is>
          <t>SCA</t>
        </is>
      </c>
      <c r="G774" t="n">
        <v>8.1</v>
      </c>
      <c r="H774" t="n">
        <v>0</v>
      </c>
      <c r="I774" t="n">
        <v>3</v>
      </c>
      <c r="J774" t="n">
        <v>1</v>
      </c>
      <c r="K774" t="n">
        <v>0</v>
      </c>
      <c r="L774" t="n">
        <v>0</v>
      </c>
      <c r="M774" t="n">
        <v>0</v>
      </c>
      <c r="N774" t="n">
        <v>0</v>
      </c>
      <c r="O774" t="n">
        <v>1</v>
      </c>
      <c r="P774" t="n">
        <v>0</v>
      </c>
      <c r="Q774" t="n">
        <v>4</v>
      </c>
      <c r="R774" s="2" t="inlineStr">
        <is>
          <t>Tallticka
Gytterlav
Korallblylav
Stuplav</t>
        </is>
      </c>
      <c r="S774">
        <f>HYPERLINK("https://klasma.github.io/Logging_2305/artfynd/A 48431-2023 artfynd.xlsx", "A 48431-2023")</f>
        <v/>
      </c>
      <c r="T774">
        <f>HYPERLINK("https://klasma.github.io/Logging_2305/kartor/A 48431-2023 karta.png", "A 48431-2023")</f>
        <v/>
      </c>
      <c r="V774">
        <f>HYPERLINK("https://klasma.github.io/Logging_2305/klagomål/A 48431-2023 FSC-klagomål.docx", "A 48431-2023")</f>
        <v/>
      </c>
      <c r="W774">
        <f>HYPERLINK("https://klasma.github.io/Logging_2305/klagomålsmail/A 48431-2023 FSC-klagomål mail.docx", "A 48431-2023")</f>
        <v/>
      </c>
      <c r="X774">
        <f>HYPERLINK("https://klasma.github.io/Logging_2305/tillsyn/A 48431-2023 tillsynsbegäran.docx", "A 48431-2023")</f>
        <v/>
      </c>
      <c r="Y774">
        <f>HYPERLINK("https://klasma.github.io/Logging_2305/tillsynsmail/A 48431-2023 tillsynsbegäran mail.docx", "A 48431-2023")</f>
        <v/>
      </c>
    </row>
    <row r="775" ht="15" customHeight="1">
      <c r="A775" t="inlineStr">
        <is>
          <t>A 56224-2024</t>
        </is>
      </c>
      <c r="B775" s="1" t="n">
        <v>45624.61491898148</v>
      </c>
      <c r="C775" s="1" t="n">
        <v>46045</v>
      </c>
      <c r="D775" t="inlineStr">
        <is>
          <t>JÄMTLANDS LÄN</t>
        </is>
      </c>
      <c r="E775" t="inlineStr">
        <is>
          <t>BERG</t>
        </is>
      </c>
      <c r="F775" t="inlineStr">
        <is>
          <t>SCA</t>
        </is>
      </c>
      <c r="G775" t="n">
        <v>21</v>
      </c>
      <c r="H775" t="n">
        <v>0</v>
      </c>
      <c r="I775" t="n">
        <v>0</v>
      </c>
      <c r="J775" t="n">
        <v>4</v>
      </c>
      <c r="K775" t="n">
        <v>0</v>
      </c>
      <c r="L775" t="n">
        <v>0</v>
      </c>
      <c r="M775" t="n">
        <v>0</v>
      </c>
      <c r="N775" t="n">
        <v>0</v>
      </c>
      <c r="O775" t="n">
        <v>4</v>
      </c>
      <c r="P775" t="n">
        <v>0</v>
      </c>
      <c r="Q775" t="n">
        <v>4</v>
      </c>
      <c r="R775" s="2" t="inlineStr">
        <is>
          <t>Dvärgbägarlav
Nordtagging
Vedflamlav
Vedskivlav</t>
        </is>
      </c>
      <c r="S775">
        <f>HYPERLINK("https://klasma.github.io/Logging_2326/artfynd/A 56224-2024 artfynd.xlsx", "A 56224-2024")</f>
        <v/>
      </c>
      <c r="T775">
        <f>HYPERLINK("https://klasma.github.io/Logging_2326/kartor/A 56224-2024 karta.png", "A 56224-2024")</f>
        <v/>
      </c>
      <c r="V775">
        <f>HYPERLINK("https://klasma.github.io/Logging_2326/klagomål/A 56224-2024 FSC-klagomål.docx", "A 56224-2024")</f>
        <v/>
      </c>
      <c r="W775">
        <f>HYPERLINK("https://klasma.github.io/Logging_2326/klagomålsmail/A 56224-2024 FSC-klagomål mail.docx", "A 56224-2024")</f>
        <v/>
      </c>
      <c r="X775">
        <f>HYPERLINK("https://klasma.github.io/Logging_2326/tillsyn/A 56224-2024 tillsynsbegäran.docx", "A 56224-2024")</f>
        <v/>
      </c>
      <c r="Y775">
        <f>HYPERLINK("https://klasma.github.io/Logging_2326/tillsynsmail/A 56224-2024 tillsynsbegäran mail.docx", "A 56224-2024")</f>
        <v/>
      </c>
    </row>
    <row r="776" ht="15" customHeight="1">
      <c r="A776" t="inlineStr">
        <is>
          <t>A 46649-2022</t>
        </is>
      </c>
      <c r="B776" s="1" t="n">
        <v>44849</v>
      </c>
      <c r="C776" s="1" t="n">
        <v>46045</v>
      </c>
      <c r="D776" t="inlineStr">
        <is>
          <t>JÄMTLANDS LÄN</t>
        </is>
      </c>
      <c r="E776" t="inlineStr">
        <is>
          <t>BRÄCKE</t>
        </is>
      </c>
      <c r="F776" t="inlineStr">
        <is>
          <t>SCA</t>
        </is>
      </c>
      <c r="G776" t="n">
        <v>1.8</v>
      </c>
      <c r="H776" t="n">
        <v>1</v>
      </c>
      <c r="I776" t="n">
        <v>3</v>
      </c>
      <c r="J776" t="n">
        <v>1</v>
      </c>
      <c r="K776" t="n">
        <v>0</v>
      </c>
      <c r="L776" t="n">
        <v>0</v>
      </c>
      <c r="M776" t="n">
        <v>0</v>
      </c>
      <c r="N776" t="n">
        <v>0</v>
      </c>
      <c r="O776" t="n">
        <v>1</v>
      </c>
      <c r="P776" t="n">
        <v>0</v>
      </c>
      <c r="Q776" t="n">
        <v>4</v>
      </c>
      <c r="R776" s="2" t="inlineStr">
        <is>
          <t>Talltita
Rödgul trumpetsvamp
Skarp dropptaggsvamp
Svavelriska</t>
        </is>
      </c>
      <c r="S776">
        <f>HYPERLINK("https://klasma.github.io/Logging_2305/artfynd/A 46649-2022 artfynd.xlsx", "A 46649-2022")</f>
        <v/>
      </c>
      <c r="T776">
        <f>HYPERLINK("https://klasma.github.io/Logging_2305/kartor/A 46649-2022 karta.png", "A 46649-2022")</f>
        <v/>
      </c>
      <c r="V776">
        <f>HYPERLINK("https://klasma.github.io/Logging_2305/klagomål/A 46649-2022 FSC-klagomål.docx", "A 46649-2022")</f>
        <v/>
      </c>
      <c r="W776">
        <f>HYPERLINK("https://klasma.github.io/Logging_2305/klagomålsmail/A 46649-2022 FSC-klagomål mail.docx", "A 46649-2022")</f>
        <v/>
      </c>
      <c r="X776">
        <f>HYPERLINK("https://klasma.github.io/Logging_2305/tillsyn/A 46649-2022 tillsynsbegäran.docx", "A 46649-2022")</f>
        <v/>
      </c>
      <c r="Y776">
        <f>HYPERLINK("https://klasma.github.io/Logging_2305/tillsynsmail/A 46649-2022 tillsynsbegäran mail.docx", "A 46649-2022")</f>
        <v/>
      </c>
      <c r="Z776">
        <f>HYPERLINK("https://klasma.github.io/Logging_2305/fåglar/A 46649-2022 prioriterade fågelarter.docx", "A 46649-2022")</f>
        <v/>
      </c>
    </row>
    <row r="777" ht="15" customHeight="1">
      <c r="A777" t="inlineStr">
        <is>
          <t>A 37381-2022</t>
        </is>
      </c>
      <c r="B777" s="1" t="n">
        <v>44806</v>
      </c>
      <c r="C777" s="1" t="n">
        <v>46045</v>
      </c>
      <c r="D777" t="inlineStr">
        <is>
          <t>JÄMTLANDS LÄN</t>
        </is>
      </c>
      <c r="E777" t="inlineStr">
        <is>
          <t>BERG</t>
        </is>
      </c>
      <c r="G777" t="n">
        <v>29</v>
      </c>
      <c r="H777" t="n">
        <v>1</v>
      </c>
      <c r="I777" t="n">
        <v>0</v>
      </c>
      <c r="J777" t="n">
        <v>4</v>
      </c>
      <c r="K777" t="n">
        <v>0</v>
      </c>
      <c r="L777" t="n">
        <v>0</v>
      </c>
      <c r="M777" t="n">
        <v>0</v>
      </c>
      <c r="N777" t="n">
        <v>0</v>
      </c>
      <c r="O777" t="n">
        <v>4</v>
      </c>
      <c r="P777" t="n">
        <v>0</v>
      </c>
      <c r="Q777" t="n">
        <v>4</v>
      </c>
      <c r="R777" s="2" t="inlineStr">
        <is>
          <t>Garnlav
Granticka
Harticka
Tretåig hackspett</t>
        </is>
      </c>
      <c r="S777">
        <f>HYPERLINK("https://klasma.github.io/Logging_2326/artfynd/A 37381-2022 artfynd.xlsx", "A 37381-2022")</f>
        <v/>
      </c>
      <c r="T777">
        <f>HYPERLINK("https://klasma.github.io/Logging_2326/kartor/A 37381-2022 karta.png", "A 37381-2022")</f>
        <v/>
      </c>
      <c r="V777">
        <f>HYPERLINK("https://klasma.github.io/Logging_2326/klagomål/A 37381-2022 FSC-klagomål.docx", "A 37381-2022")</f>
        <v/>
      </c>
      <c r="W777">
        <f>HYPERLINK("https://klasma.github.io/Logging_2326/klagomålsmail/A 37381-2022 FSC-klagomål mail.docx", "A 37381-2022")</f>
        <v/>
      </c>
      <c r="X777">
        <f>HYPERLINK("https://klasma.github.io/Logging_2326/tillsyn/A 37381-2022 tillsynsbegäran.docx", "A 37381-2022")</f>
        <v/>
      </c>
      <c r="Y777">
        <f>HYPERLINK("https://klasma.github.io/Logging_2326/tillsynsmail/A 37381-2022 tillsynsbegäran mail.docx", "A 37381-2022")</f>
        <v/>
      </c>
      <c r="Z777">
        <f>HYPERLINK("https://klasma.github.io/Logging_2326/fåglar/A 37381-2022 prioriterade fågelarter.docx", "A 37381-2022")</f>
        <v/>
      </c>
    </row>
    <row r="778" ht="15" customHeight="1">
      <c r="A778" t="inlineStr">
        <is>
          <t>A 43960-2023</t>
        </is>
      </c>
      <c r="B778" s="1" t="n">
        <v>45187</v>
      </c>
      <c r="C778" s="1" t="n">
        <v>46045</v>
      </c>
      <c r="D778" t="inlineStr">
        <is>
          <t>JÄMTLANDS LÄN</t>
        </is>
      </c>
      <c r="E778" t="inlineStr">
        <is>
          <t>RAGUNDA</t>
        </is>
      </c>
      <c r="F778" t="inlineStr">
        <is>
          <t>SCA</t>
        </is>
      </c>
      <c r="G778" t="n">
        <v>5.5</v>
      </c>
      <c r="H778" t="n">
        <v>0</v>
      </c>
      <c r="I778" t="n">
        <v>1</v>
      </c>
      <c r="J778" t="n">
        <v>3</v>
      </c>
      <c r="K778" t="n">
        <v>0</v>
      </c>
      <c r="L778" t="n">
        <v>0</v>
      </c>
      <c r="M778" t="n">
        <v>0</v>
      </c>
      <c r="N778" t="n">
        <v>0</v>
      </c>
      <c r="O778" t="n">
        <v>3</v>
      </c>
      <c r="P778" t="n">
        <v>0</v>
      </c>
      <c r="Q778" t="n">
        <v>4</v>
      </c>
      <c r="R778" s="2" t="inlineStr">
        <is>
          <t>Granticka
Vedflikmossa
Vedtrappmossa
Vedticka</t>
        </is>
      </c>
      <c r="S778">
        <f>HYPERLINK("https://klasma.github.io/Logging_2303/artfynd/A 43960-2023 artfynd.xlsx", "A 43960-2023")</f>
        <v/>
      </c>
      <c r="T778">
        <f>HYPERLINK("https://klasma.github.io/Logging_2303/kartor/A 43960-2023 karta.png", "A 43960-2023")</f>
        <v/>
      </c>
      <c r="V778">
        <f>HYPERLINK("https://klasma.github.io/Logging_2303/klagomål/A 43960-2023 FSC-klagomål.docx", "A 43960-2023")</f>
        <v/>
      </c>
      <c r="W778">
        <f>HYPERLINK("https://klasma.github.io/Logging_2303/klagomålsmail/A 43960-2023 FSC-klagomål mail.docx", "A 43960-2023")</f>
        <v/>
      </c>
      <c r="X778">
        <f>HYPERLINK("https://klasma.github.io/Logging_2303/tillsyn/A 43960-2023 tillsynsbegäran.docx", "A 43960-2023")</f>
        <v/>
      </c>
      <c r="Y778">
        <f>HYPERLINK("https://klasma.github.io/Logging_2303/tillsynsmail/A 43960-2023 tillsynsbegäran mail.docx", "A 43960-2023")</f>
        <v/>
      </c>
    </row>
    <row r="779" ht="15" customHeight="1">
      <c r="A779" t="inlineStr">
        <is>
          <t>A 45420-2022</t>
        </is>
      </c>
      <c r="B779" s="1" t="n">
        <v>44844</v>
      </c>
      <c r="C779" s="1" t="n">
        <v>46045</v>
      </c>
      <c r="D779" t="inlineStr">
        <is>
          <t>JÄMTLANDS LÄN</t>
        </is>
      </c>
      <c r="E779" t="inlineStr">
        <is>
          <t>BRÄCKE</t>
        </is>
      </c>
      <c r="F779" t="inlineStr">
        <is>
          <t>SCA</t>
        </is>
      </c>
      <c r="G779" t="n">
        <v>1.6</v>
      </c>
      <c r="H779" t="n">
        <v>1</v>
      </c>
      <c r="I779" t="n">
        <v>2</v>
      </c>
      <c r="J779" t="n">
        <v>2</v>
      </c>
      <c r="K779" t="n">
        <v>0</v>
      </c>
      <c r="L779" t="n">
        <v>0</v>
      </c>
      <c r="M779" t="n">
        <v>0</v>
      </c>
      <c r="N779" t="n">
        <v>0</v>
      </c>
      <c r="O779" t="n">
        <v>2</v>
      </c>
      <c r="P779" t="n">
        <v>0</v>
      </c>
      <c r="Q779" t="n">
        <v>4</v>
      </c>
      <c r="R779" s="2" t="inlineStr">
        <is>
          <t>Talltita
Vitgrynig nållav
Rödgul trumpetsvamp
Svavelriska</t>
        </is>
      </c>
      <c r="S779">
        <f>HYPERLINK("https://klasma.github.io/Logging_2305/artfynd/A 45420-2022 artfynd.xlsx", "A 45420-2022")</f>
        <v/>
      </c>
      <c r="T779">
        <f>HYPERLINK("https://klasma.github.io/Logging_2305/kartor/A 45420-2022 karta.png", "A 45420-2022")</f>
        <v/>
      </c>
      <c r="V779">
        <f>HYPERLINK("https://klasma.github.io/Logging_2305/klagomål/A 45420-2022 FSC-klagomål.docx", "A 45420-2022")</f>
        <v/>
      </c>
      <c r="W779">
        <f>HYPERLINK("https://klasma.github.io/Logging_2305/klagomålsmail/A 45420-2022 FSC-klagomål mail.docx", "A 45420-2022")</f>
        <v/>
      </c>
      <c r="X779">
        <f>HYPERLINK("https://klasma.github.io/Logging_2305/tillsyn/A 45420-2022 tillsynsbegäran.docx", "A 45420-2022")</f>
        <v/>
      </c>
      <c r="Y779">
        <f>HYPERLINK("https://klasma.github.io/Logging_2305/tillsynsmail/A 45420-2022 tillsynsbegäran mail.docx", "A 45420-2022")</f>
        <v/>
      </c>
      <c r="Z779">
        <f>HYPERLINK("https://klasma.github.io/Logging_2305/fåglar/A 45420-2022 prioriterade fågelarter.docx", "A 45420-2022")</f>
        <v/>
      </c>
    </row>
    <row r="780" ht="15" customHeight="1">
      <c r="A780" t="inlineStr">
        <is>
          <t>A 24955-2023</t>
        </is>
      </c>
      <c r="B780" s="1" t="n">
        <v>45085</v>
      </c>
      <c r="C780" s="1" t="n">
        <v>46045</v>
      </c>
      <c r="D780" t="inlineStr">
        <is>
          <t>JÄMTLANDS LÄN</t>
        </is>
      </c>
      <c r="E780" t="inlineStr">
        <is>
          <t>HÄRJEDALEN</t>
        </is>
      </c>
      <c r="G780" t="n">
        <v>7.7</v>
      </c>
      <c r="H780" t="n">
        <v>1</v>
      </c>
      <c r="I780" t="n">
        <v>0</v>
      </c>
      <c r="J780" t="n">
        <v>4</v>
      </c>
      <c r="K780" t="n">
        <v>0</v>
      </c>
      <c r="L780" t="n">
        <v>0</v>
      </c>
      <c r="M780" t="n">
        <v>0</v>
      </c>
      <c r="N780" t="n">
        <v>0</v>
      </c>
      <c r="O780" t="n">
        <v>4</v>
      </c>
      <c r="P780" t="n">
        <v>0</v>
      </c>
      <c r="Q780" t="n">
        <v>4</v>
      </c>
      <c r="R780" s="2" t="inlineStr">
        <is>
          <t>Brunpudrad nållav
Dvärgbägarlav
Garnlav
Tretåig hackspett</t>
        </is>
      </c>
      <c r="S780">
        <f>HYPERLINK("https://klasma.github.io/Logging_2361/artfynd/A 24955-2023 artfynd.xlsx", "A 24955-2023")</f>
        <v/>
      </c>
      <c r="T780">
        <f>HYPERLINK("https://klasma.github.io/Logging_2361/kartor/A 24955-2023 karta.png", "A 24955-2023")</f>
        <v/>
      </c>
      <c r="V780">
        <f>HYPERLINK("https://klasma.github.io/Logging_2361/klagomål/A 24955-2023 FSC-klagomål.docx", "A 24955-2023")</f>
        <v/>
      </c>
      <c r="W780">
        <f>HYPERLINK("https://klasma.github.io/Logging_2361/klagomålsmail/A 24955-2023 FSC-klagomål mail.docx", "A 24955-2023")</f>
        <v/>
      </c>
      <c r="X780">
        <f>HYPERLINK("https://klasma.github.io/Logging_2361/tillsyn/A 24955-2023 tillsynsbegäran.docx", "A 24955-2023")</f>
        <v/>
      </c>
      <c r="Y780">
        <f>HYPERLINK("https://klasma.github.io/Logging_2361/tillsynsmail/A 24955-2023 tillsynsbegäran mail.docx", "A 24955-2023")</f>
        <v/>
      </c>
      <c r="Z780">
        <f>HYPERLINK("https://klasma.github.io/Logging_2361/fåglar/A 24955-2023 prioriterade fågelarter.docx", "A 24955-2023")</f>
        <v/>
      </c>
    </row>
    <row r="781" ht="15" customHeight="1">
      <c r="A781" t="inlineStr">
        <is>
          <t>A 48370-2024</t>
        </is>
      </c>
      <c r="B781" s="1" t="n">
        <v>45590.57973379629</v>
      </c>
      <c r="C781" s="1" t="n">
        <v>46045</v>
      </c>
      <c r="D781" t="inlineStr">
        <is>
          <t>JÄMTLANDS LÄN</t>
        </is>
      </c>
      <c r="E781" t="inlineStr">
        <is>
          <t>STRÖMSUND</t>
        </is>
      </c>
      <c r="F781" t="inlineStr">
        <is>
          <t>SCA</t>
        </is>
      </c>
      <c r="G781" t="n">
        <v>6.7</v>
      </c>
      <c r="H781" t="n">
        <v>0</v>
      </c>
      <c r="I781" t="n">
        <v>3</v>
      </c>
      <c r="J781" t="n">
        <v>1</v>
      </c>
      <c r="K781" t="n">
        <v>0</v>
      </c>
      <c r="L781" t="n">
        <v>0</v>
      </c>
      <c r="M781" t="n">
        <v>0</v>
      </c>
      <c r="N781" t="n">
        <v>0</v>
      </c>
      <c r="O781" t="n">
        <v>1</v>
      </c>
      <c r="P781" t="n">
        <v>0</v>
      </c>
      <c r="Q781" t="n">
        <v>4</v>
      </c>
      <c r="R781" s="2" t="inlineStr">
        <is>
          <t>Lunglav
Rävticka
Skinnlav
Stor aspticka</t>
        </is>
      </c>
      <c r="S781">
        <f>HYPERLINK("https://klasma.github.io/Logging_2313/artfynd/A 48370-2024 artfynd.xlsx", "A 48370-2024")</f>
        <v/>
      </c>
      <c r="T781">
        <f>HYPERLINK("https://klasma.github.io/Logging_2313/kartor/A 48370-2024 karta.png", "A 48370-2024")</f>
        <v/>
      </c>
      <c r="V781">
        <f>HYPERLINK("https://klasma.github.io/Logging_2313/klagomål/A 48370-2024 FSC-klagomål.docx", "A 48370-2024")</f>
        <v/>
      </c>
      <c r="W781">
        <f>HYPERLINK("https://klasma.github.io/Logging_2313/klagomålsmail/A 48370-2024 FSC-klagomål mail.docx", "A 48370-2024")</f>
        <v/>
      </c>
      <c r="X781">
        <f>HYPERLINK("https://klasma.github.io/Logging_2313/tillsyn/A 48370-2024 tillsynsbegäran.docx", "A 48370-2024")</f>
        <v/>
      </c>
      <c r="Y781">
        <f>HYPERLINK("https://klasma.github.io/Logging_2313/tillsynsmail/A 48370-2024 tillsynsbegäran mail.docx", "A 48370-2024")</f>
        <v/>
      </c>
    </row>
    <row r="782" ht="15" customHeight="1">
      <c r="A782" t="inlineStr">
        <is>
          <t>A 32903-2024</t>
        </is>
      </c>
      <c r="B782" s="1" t="n">
        <v>45516.94723379629</v>
      </c>
      <c r="C782" s="1" t="n">
        <v>46045</v>
      </c>
      <c r="D782" t="inlineStr">
        <is>
          <t>JÄMTLANDS LÄN</t>
        </is>
      </c>
      <c r="E782" t="inlineStr">
        <is>
          <t>RAGUNDA</t>
        </is>
      </c>
      <c r="F782" t="inlineStr">
        <is>
          <t>SCA</t>
        </is>
      </c>
      <c r="G782" t="n">
        <v>4.7</v>
      </c>
      <c r="H782" t="n">
        <v>0</v>
      </c>
      <c r="I782" t="n">
        <v>2</v>
      </c>
      <c r="J782" t="n">
        <v>1</v>
      </c>
      <c r="K782" t="n">
        <v>1</v>
      </c>
      <c r="L782" t="n">
        <v>0</v>
      </c>
      <c r="M782" t="n">
        <v>0</v>
      </c>
      <c r="N782" t="n">
        <v>0</v>
      </c>
      <c r="O782" t="n">
        <v>2</v>
      </c>
      <c r="P782" t="n">
        <v>1</v>
      </c>
      <c r="Q782" t="n">
        <v>4</v>
      </c>
      <c r="R782" s="2" t="inlineStr">
        <is>
          <t>Lappticka
Lunglav
Bollvitmossa
Luddlav</t>
        </is>
      </c>
      <c r="S782">
        <f>HYPERLINK("https://klasma.github.io/Logging_2303/artfynd/A 32903-2024 artfynd.xlsx", "A 32903-2024")</f>
        <v/>
      </c>
      <c r="T782">
        <f>HYPERLINK("https://klasma.github.io/Logging_2303/kartor/A 32903-2024 karta.png", "A 32903-2024")</f>
        <v/>
      </c>
      <c r="V782">
        <f>HYPERLINK("https://klasma.github.io/Logging_2303/klagomål/A 32903-2024 FSC-klagomål.docx", "A 32903-2024")</f>
        <v/>
      </c>
      <c r="W782">
        <f>HYPERLINK("https://klasma.github.io/Logging_2303/klagomålsmail/A 32903-2024 FSC-klagomål mail.docx", "A 32903-2024")</f>
        <v/>
      </c>
      <c r="X782">
        <f>HYPERLINK("https://klasma.github.io/Logging_2303/tillsyn/A 32903-2024 tillsynsbegäran.docx", "A 32903-2024")</f>
        <v/>
      </c>
      <c r="Y782">
        <f>HYPERLINK("https://klasma.github.io/Logging_2303/tillsynsmail/A 32903-2024 tillsynsbegäran mail.docx", "A 32903-2024")</f>
        <v/>
      </c>
    </row>
    <row r="783" ht="15" customHeight="1">
      <c r="A783" t="inlineStr">
        <is>
          <t>A 23682-2021</t>
        </is>
      </c>
      <c r="B783" s="1" t="n">
        <v>44334</v>
      </c>
      <c r="C783" s="1" t="n">
        <v>46045</v>
      </c>
      <c r="D783" t="inlineStr">
        <is>
          <t>JÄMTLANDS LÄN</t>
        </is>
      </c>
      <c r="E783" t="inlineStr">
        <is>
          <t>RAGUNDA</t>
        </is>
      </c>
      <c r="G783" t="n">
        <v>9.199999999999999</v>
      </c>
      <c r="H783" t="n">
        <v>1</v>
      </c>
      <c r="I783" t="n">
        <v>0</v>
      </c>
      <c r="J783" t="n">
        <v>3</v>
      </c>
      <c r="K783" t="n">
        <v>1</v>
      </c>
      <c r="L783" t="n">
        <v>0</v>
      </c>
      <c r="M783" t="n">
        <v>0</v>
      </c>
      <c r="N783" t="n">
        <v>0</v>
      </c>
      <c r="O783" t="n">
        <v>4</v>
      </c>
      <c r="P783" t="n">
        <v>1</v>
      </c>
      <c r="Q783" t="n">
        <v>4</v>
      </c>
      <c r="R783" s="2" t="inlineStr">
        <is>
          <t>Knärot
Garnlav
Lunglav
Rosenticka</t>
        </is>
      </c>
      <c r="S783">
        <f>HYPERLINK("https://klasma.github.io/Logging_2303/artfynd/A 23682-2021 artfynd.xlsx", "A 23682-2021")</f>
        <v/>
      </c>
      <c r="T783">
        <f>HYPERLINK("https://klasma.github.io/Logging_2303/kartor/A 23682-2021 karta.png", "A 23682-2021")</f>
        <v/>
      </c>
      <c r="U783">
        <f>HYPERLINK("https://klasma.github.io/Logging_2303/knärot/A 23682-2021 karta knärot.png", "A 23682-2021")</f>
        <v/>
      </c>
      <c r="V783">
        <f>HYPERLINK("https://klasma.github.io/Logging_2303/klagomål/A 23682-2021 FSC-klagomål.docx", "A 23682-2021")</f>
        <v/>
      </c>
      <c r="W783">
        <f>HYPERLINK("https://klasma.github.io/Logging_2303/klagomålsmail/A 23682-2021 FSC-klagomål mail.docx", "A 23682-2021")</f>
        <v/>
      </c>
      <c r="X783">
        <f>HYPERLINK("https://klasma.github.io/Logging_2303/tillsyn/A 23682-2021 tillsynsbegäran.docx", "A 23682-2021")</f>
        <v/>
      </c>
      <c r="Y783">
        <f>HYPERLINK("https://klasma.github.io/Logging_2303/tillsynsmail/A 23682-2021 tillsynsbegäran mail.docx", "A 23682-2021")</f>
        <v/>
      </c>
    </row>
    <row r="784" ht="15" customHeight="1">
      <c r="A784" t="inlineStr">
        <is>
          <t>A 23676-2021</t>
        </is>
      </c>
      <c r="B784" s="1" t="n">
        <v>44334.62565972222</v>
      </c>
      <c r="C784" s="1" t="n">
        <v>46045</v>
      </c>
      <c r="D784" t="inlineStr">
        <is>
          <t>JÄMTLANDS LÄN</t>
        </is>
      </c>
      <c r="E784" t="inlineStr">
        <is>
          <t>RAGUNDA</t>
        </is>
      </c>
      <c r="G784" t="n">
        <v>8.5</v>
      </c>
      <c r="H784" t="n">
        <v>1</v>
      </c>
      <c r="I784" t="n">
        <v>1</v>
      </c>
      <c r="J784" t="n">
        <v>3</v>
      </c>
      <c r="K784" t="n">
        <v>0</v>
      </c>
      <c r="L784" t="n">
        <v>0</v>
      </c>
      <c r="M784" t="n">
        <v>0</v>
      </c>
      <c r="N784" t="n">
        <v>0</v>
      </c>
      <c r="O784" t="n">
        <v>3</v>
      </c>
      <c r="P784" t="n">
        <v>0</v>
      </c>
      <c r="Q784" t="n">
        <v>4</v>
      </c>
      <c r="R784" s="2" t="inlineStr">
        <is>
          <t>Lunglav
Rosenticka
Tretåig hackspett
Strutbräken</t>
        </is>
      </c>
      <c r="S784">
        <f>HYPERLINK("https://klasma.github.io/Logging_2303/artfynd/A 23676-2021 artfynd.xlsx", "A 23676-2021")</f>
        <v/>
      </c>
      <c r="T784">
        <f>HYPERLINK("https://klasma.github.io/Logging_2303/kartor/A 23676-2021 karta.png", "A 23676-2021")</f>
        <v/>
      </c>
      <c r="V784">
        <f>HYPERLINK("https://klasma.github.io/Logging_2303/klagomål/A 23676-2021 FSC-klagomål.docx", "A 23676-2021")</f>
        <v/>
      </c>
      <c r="W784">
        <f>HYPERLINK("https://klasma.github.io/Logging_2303/klagomålsmail/A 23676-2021 FSC-klagomål mail.docx", "A 23676-2021")</f>
        <v/>
      </c>
      <c r="X784">
        <f>HYPERLINK("https://klasma.github.io/Logging_2303/tillsyn/A 23676-2021 tillsynsbegäran.docx", "A 23676-2021")</f>
        <v/>
      </c>
      <c r="Y784">
        <f>HYPERLINK("https://klasma.github.io/Logging_2303/tillsynsmail/A 23676-2021 tillsynsbegäran mail.docx", "A 23676-2021")</f>
        <v/>
      </c>
      <c r="Z784">
        <f>HYPERLINK("https://klasma.github.io/Logging_2303/fåglar/A 23676-2021 prioriterade fågelarter.docx", "A 23676-2021")</f>
        <v/>
      </c>
    </row>
    <row r="785" ht="15" customHeight="1">
      <c r="A785" t="inlineStr">
        <is>
          <t>A 12962-2024</t>
        </is>
      </c>
      <c r="B785" s="1" t="n">
        <v>45385.49314814815</v>
      </c>
      <c r="C785" s="1" t="n">
        <v>46045</v>
      </c>
      <c r="D785" t="inlineStr">
        <is>
          <t>JÄMTLANDS LÄN</t>
        </is>
      </c>
      <c r="E785" t="inlineStr">
        <is>
          <t>BERG</t>
        </is>
      </c>
      <c r="G785" t="n">
        <v>7.3</v>
      </c>
      <c r="H785" t="n">
        <v>1</v>
      </c>
      <c r="I785" t="n">
        <v>0</v>
      </c>
      <c r="J785" t="n">
        <v>4</v>
      </c>
      <c r="K785" t="n">
        <v>0</v>
      </c>
      <c r="L785" t="n">
        <v>0</v>
      </c>
      <c r="M785" t="n">
        <v>0</v>
      </c>
      <c r="N785" t="n">
        <v>0</v>
      </c>
      <c r="O785" t="n">
        <v>4</v>
      </c>
      <c r="P785" t="n">
        <v>0</v>
      </c>
      <c r="Q785" t="n">
        <v>4</v>
      </c>
      <c r="R785" s="2" t="inlineStr">
        <is>
          <t>Granticka
Lunglav
Skrovellav
Tretåig hackspett</t>
        </is>
      </c>
      <c r="S785">
        <f>HYPERLINK("https://klasma.github.io/Logging_2326/artfynd/A 12962-2024 artfynd.xlsx", "A 12962-2024")</f>
        <v/>
      </c>
      <c r="T785">
        <f>HYPERLINK("https://klasma.github.io/Logging_2326/kartor/A 12962-2024 karta.png", "A 12962-2024")</f>
        <v/>
      </c>
      <c r="V785">
        <f>HYPERLINK("https://klasma.github.io/Logging_2326/klagomål/A 12962-2024 FSC-klagomål.docx", "A 12962-2024")</f>
        <v/>
      </c>
      <c r="W785">
        <f>HYPERLINK("https://klasma.github.io/Logging_2326/klagomålsmail/A 12962-2024 FSC-klagomål mail.docx", "A 12962-2024")</f>
        <v/>
      </c>
      <c r="X785">
        <f>HYPERLINK("https://klasma.github.io/Logging_2326/tillsyn/A 12962-2024 tillsynsbegäran.docx", "A 12962-2024")</f>
        <v/>
      </c>
      <c r="Y785">
        <f>HYPERLINK("https://klasma.github.io/Logging_2326/tillsynsmail/A 12962-2024 tillsynsbegäran mail.docx", "A 12962-2024")</f>
        <v/>
      </c>
      <c r="Z785">
        <f>HYPERLINK("https://klasma.github.io/Logging_2326/fåglar/A 12962-2024 prioriterade fågelarter.docx", "A 12962-2024")</f>
        <v/>
      </c>
    </row>
    <row r="786" ht="15" customHeight="1">
      <c r="A786" t="inlineStr">
        <is>
          <t>A 999-2025</t>
        </is>
      </c>
      <c r="B786" s="1" t="n">
        <v>45666</v>
      </c>
      <c r="C786" s="1" t="n">
        <v>46045</v>
      </c>
      <c r="D786" t="inlineStr">
        <is>
          <t>JÄMTLANDS LÄN</t>
        </is>
      </c>
      <c r="E786" t="inlineStr">
        <is>
          <t>HÄRJEDALEN</t>
        </is>
      </c>
      <c r="F786" t="inlineStr">
        <is>
          <t>Holmen skog AB</t>
        </is>
      </c>
      <c r="G786" t="n">
        <v>3.9</v>
      </c>
      <c r="H786" t="n">
        <v>1</v>
      </c>
      <c r="I786" t="n">
        <v>0</v>
      </c>
      <c r="J786" t="n">
        <v>4</v>
      </c>
      <c r="K786" t="n">
        <v>0</v>
      </c>
      <c r="L786" t="n">
        <v>0</v>
      </c>
      <c r="M786" t="n">
        <v>0</v>
      </c>
      <c r="N786" t="n">
        <v>0</v>
      </c>
      <c r="O786" t="n">
        <v>4</v>
      </c>
      <c r="P786" t="n">
        <v>0</v>
      </c>
      <c r="Q786" t="n">
        <v>4</v>
      </c>
      <c r="R786" s="2" t="inlineStr">
        <is>
          <t>Lunglav
Tretåig hackspett
Ullticka
Violettgrå tagellav</t>
        </is>
      </c>
      <c r="S786">
        <f>HYPERLINK("https://klasma.github.io/Logging_2361/artfynd/A 999-2025 artfynd.xlsx", "A 999-2025")</f>
        <v/>
      </c>
      <c r="T786">
        <f>HYPERLINK("https://klasma.github.io/Logging_2361/kartor/A 999-2025 karta.png", "A 999-2025")</f>
        <v/>
      </c>
      <c r="V786">
        <f>HYPERLINK("https://klasma.github.io/Logging_2361/klagomål/A 999-2025 FSC-klagomål.docx", "A 999-2025")</f>
        <v/>
      </c>
      <c r="W786">
        <f>HYPERLINK("https://klasma.github.io/Logging_2361/klagomålsmail/A 999-2025 FSC-klagomål mail.docx", "A 999-2025")</f>
        <v/>
      </c>
      <c r="X786">
        <f>HYPERLINK("https://klasma.github.io/Logging_2361/tillsyn/A 999-2025 tillsynsbegäran.docx", "A 999-2025")</f>
        <v/>
      </c>
      <c r="Y786">
        <f>HYPERLINK("https://klasma.github.io/Logging_2361/tillsynsmail/A 999-2025 tillsynsbegäran mail.docx", "A 999-2025")</f>
        <v/>
      </c>
      <c r="Z786">
        <f>HYPERLINK("https://klasma.github.io/Logging_2361/fåglar/A 999-2025 prioriterade fågelarter.docx", "A 999-2025")</f>
        <v/>
      </c>
    </row>
    <row r="787" ht="15" customHeight="1">
      <c r="A787" t="inlineStr">
        <is>
          <t>A 55641-2021</t>
        </is>
      </c>
      <c r="B787" s="1" t="n">
        <v>44476</v>
      </c>
      <c r="C787" s="1" t="n">
        <v>46045</v>
      </c>
      <c r="D787" t="inlineStr">
        <is>
          <t>JÄMTLANDS LÄN</t>
        </is>
      </c>
      <c r="E787" t="inlineStr">
        <is>
          <t>HÄRJEDALEN</t>
        </is>
      </c>
      <c r="G787" t="n">
        <v>7.6</v>
      </c>
      <c r="H787" t="n">
        <v>1</v>
      </c>
      <c r="I787" t="n">
        <v>0</v>
      </c>
      <c r="J787" t="n">
        <v>4</v>
      </c>
      <c r="K787" t="n">
        <v>0</v>
      </c>
      <c r="L787" t="n">
        <v>0</v>
      </c>
      <c r="M787" t="n">
        <v>0</v>
      </c>
      <c r="N787" t="n">
        <v>0</v>
      </c>
      <c r="O787" t="n">
        <v>4</v>
      </c>
      <c r="P787" t="n">
        <v>0</v>
      </c>
      <c r="Q787" t="n">
        <v>4</v>
      </c>
      <c r="R787" s="2" t="inlineStr">
        <is>
          <t>Brunpudrad nållav
Dvärgbägarlav
Garnlav
Tretåig hackspett</t>
        </is>
      </c>
      <c r="S787">
        <f>HYPERLINK("https://klasma.github.io/Logging_2361/artfynd/A 55641-2021 artfynd.xlsx", "A 55641-2021")</f>
        <v/>
      </c>
      <c r="T787">
        <f>HYPERLINK("https://klasma.github.io/Logging_2361/kartor/A 55641-2021 karta.png", "A 55641-2021")</f>
        <v/>
      </c>
      <c r="V787">
        <f>HYPERLINK("https://klasma.github.io/Logging_2361/klagomål/A 55641-2021 FSC-klagomål.docx", "A 55641-2021")</f>
        <v/>
      </c>
      <c r="W787">
        <f>HYPERLINK("https://klasma.github.io/Logging_2361/klagomålsmail/A 55641-2021 FSC-klagomål mail.docx", "A 55641-2021")</f>
        <v/>
      </c>
      <c r="X787">
        <f>HYPERLINK("https://klasma.github.io/Logging_2361/tillsyn/A 55641-2021 tillsynsbegäran.docx", "A 55641-2021")</f>
        <v/>
      </c>
      <c r="Y787">
        <f>HYPERLINK("https://klasma.github.io/Logging_2361/tillsynsmail/A 55641-2021 tillsynsbegäran mail.docx", "A 55641-2021")</f>
        <v/>
      </c>
      <c r="Z787">
        <f>HYPERLINK("https://klasma.github.io/Logging_2361/fåglar/A 55641-2021 prioriterade fågelarter.docx", "A 55641-2021")</f>
        <v/>
      </c>
    </row>
    <row r="788" ht="15" customHeight="1">
      <c r="A788" t="inlineStr">
        <is>
          <t>A 49375-2024</t>
        </is>
      </c>
      <c r="B788" s="1" t="n">
        <v>45595.64222222222</v>
      </c>
      <c r="C788" s="1" t="n">
        <v>46045</v>
      </c>
      <c r="D788" t="inlineStr">
        <is>
          <t>JÄMTLANDS LÄN</t>
        </is>
      </c>
      <c r="E788" t="inlineStr">
        <is>
          <t>BRÄCKE</t>
        </is>
      </c>
      <c r="F788" t="inlineStr">
        <is>
          <t>SCA</t>
        </is>
      </c>
      <c r="G788" t="n">
        <v>8.5</v>
      </c>
      <c r="H788" t="n">
        <v>0</v>
      </c>
      <c r="I788" t="n">
        <v>0</v>
      </c>
      <c r="J788" t="n">
        <v>4</v>
      </c>
      <c r="K788" t="n">
        <v>0</v>
      </c>
      <c r="L788" t="n">
        <v>0</v>
      </c>
      <c r="M788" t="n">
        <v>0</v>
      </c>
      <c r="N788" t="n">
        <v>0</v>
      </c>
      <c r="O788" t="n">
        <v>4</v>
      </c>
      <c r="P788" t="n">
        <v>0</v>
      </c>
      <c r="Q788" t="n">
        <v>4</v>
      </c>
      <c r="R788" s="2" t="inlineStr">
        <is>
          <t>Doftskinn
Granticka
Lunglav
Skrovellav</t>
        </is>
      </c>
      <c r="S788">
        <f>HYPERLINK("https://klasma.github.io/Logging_2305/artfynd/A 49375-2024 artfynd.xlsx", "A 49375-2024")</f>
        <v/>
      </c>
      <c r="T788">
        <f>HYPERLINK("https://klasma.github.io/Logging_2305/kartor/A 49375-2024 karta.png", "A 49375-2024")</f>
        <v/>
      </c>
      <c r="V788">
        <f>HYPERLINK("https://klasma.github.io/Logging_2305/klagomål/A 49375-2024 FSC-klagomål.docx", "A 49375-2024")</f>
        <v/>
      </c>
      <c r="W788">
        <f>HYPERLINK("https://klasma.github.io/Logging_2305/klagomålsmail/A 49375-2024 FSC-klagomål mail.docx", "A 49375-2024")</f>
        <v/>
      </c>
      <c r="X788">
        <f>HYPERLINK("https://klasma.github.io/Logging_2305/tillsyn/A 49375-2024 tillsynsbegäran.docx", "A 49375-2024")</f>
        <v/>
      </c>
      <c r="Y788">
        <f>HYPERLINK("https://klasma.github.io/Logging_2305/tillsynsmail/A 49375-2024 tillsynsbegäran mail.docx", "A 49375-2024")</f>
        <v/>
      </c>
    </row>
    <row r="789" ht="15" customHeight="1">
      <c r="A789" t="inlineStr">
        <is>
          <t>A 55224-2024</t>
        </is>
      </c>
      <c r="B789" s="1" t="n">
        <v>45621</v>
      </c>
      <c r="C789" s="1" t="n">
        <v>46045</v>
      </c>
      <c r="D789" t="inlineStr">
        <is>
          <t>JÄMTLANDS LÄN</t>
        </is>
      </c>
      <c r="E789" t="inlineStr">
        <is>
          <t>KROKOM</t>
        </is>
      </c>
      <c r="G789" t="n">
        <v>38.3</v>
      </c>
      <c r="H789" t="n">
        <v>0</v>
      </c>
      <c r="I789" t="n">
        <v>1</v>
      </c>
      <c r="J789" t="n">
        <v>2</v>
      </c>
      <c r="K789" t="n">
        <v>1</v>
      </c>
      <c r="L789" t="n">
        <v>0</v>
      </c>
      <c r="M789" t="n">
        <v>0</v>
      </c>
      <c r="N789" t="n">
        <v>0</v>
      </c>
      <c r="O789" t="n">
        <v>3</v>
      </c>
      <c r="P789" t="n">
        <v>1</v>
      </c>
      <c r="Q789" t="n">
        <v>4</v>
      </c>
      <c r="R789" s="2" t="inlineStr">
        <is>
          <t>Rynkskinn
Granticka
Skrovellav
Fjällig taggsvamp s.str.</t>
        </is>
      </c>
      <c r="S789">
        <f>HYPERLINK("https://klasma.github.io/Logging_2309/artfynd/A 55224-2024 artfynd.xlsx", "A 55224-2024")</f>
        <v/>
      </c>
      <c r="T789">
        <f>HYPERLINK("https://klasma.github.io/Logging_2309/kartor/A 55224-2024 karta.png", "A 55224-2024")</f>
        <v/>
      </c>
      <c r="V789">
        <f>HYPERLINK("https://klasma.github.io/Logging_2309/klagomål/A 55224-2024 FSC-klagomål.docx", "A 55224-2024")</f>
        <v/>
      </c>
      <c r="W789">
        <f>HYPERLINK("https://klasma.github.io/Logging_2309/klagomålsmail/A 55224-2024 FSC-klagomål mail.docx", "A 55224-2024")</f>
        <v/>
      </c>
      <c r="X789">
        <f>HYPERLINK("https://klasma.github.io/Logging_2309/tillsyn/A 55224-2024 tillsynsbegäran.docx", "A 55224-2024")</f>
        <v/>
      </c>
      <c r="Y789">
        <f>HYPERLINK("https://klasma.github.io/Logging_2309/tillsynsmail/A 55224-2024 tillsynsbegäran mail.docx", "A 55224-2024")</f>
        <v/>
      </c>
    </row>
    <row r="790" ht="15" customHeight="1">
      <c r="A790" t="inlineStr">
        <is>
          <t>A 33928-2022</t>
        </is>
      </c>
      <c r="B790" s="1" t="n">
        <v>44790</v>
      </c>
      <c r="C790" s="1" t="n">
        <v>46045</v>
      </c>
      <c r="D790" t="inlineStr">
        <is>
          <t>JÄMTLANDS LÄN</t>
        </is>
      </c>
      <c r="E790" t="inlineStr">
        <is>
          <t>BRÄCKE</t>
        </is>
      </c>
      <c r="G790" t="n">
        <v>5.3</v>
      </c>
      <c r="H790" t="n">
        <v>3</v>
      </c>
      <c r="I790" t="n">
        <v>3</v>
      </c>
      <c r="J790" t="n">
        <v>0</v>
      </c>
      <c r="K790" t="n">
        <v>0</v>
      </c>
      <c r="L790" t="n">
        <v>0</v>
      </c>
      <c r="M790" t="n">
        <v>0</v>
      </c>
      <c r="N790" t="n">
        <v>0</v>
      </c>
      <c r="O790" t="n">
        <v>0</v>
      </c>
      <c r="P790" t="n">
        <v>0</v>
      </c>
      <c r="Q790" t="n">
        <v>4</v>
      </c>
      <c r="R790" s="2" t="inlineStr">
        <is>
          <t>Gräsull
Korallrot
Tvåblad
Dactylorhiza incarnata subsp. incarnata</t>
        </is>
      </c>
      <c r="S790">
        <f>HYPERLINK("https://klasma.github.io/Logging_2305/artfynd/A 33928-2022 artfynd.xlsx", "A 33928-2022")</f>
        <v/>
      </c>
      <c r="T790">
        <f>HYPERLINK("https://klasma.github.io/Logging_2305/kartor/A 33928-2022 karta.png", "A 33928-2022")</f>
        <v/>
      </c>
      <c r="V790">
        <f>HYPERLINK("https://klasma.github.io/Logging_2305/klagomål/A 33928-2022 FSC-klagomål.docx", "A 33928-2022")</f>
        <v/>
      </c>
      <c r="W790">
        <f>HYPERLINK("https://klasma.github.io/Logging_2305/klagomålsmail/A 33928-2022 FSC-klagomål mail.docx", "A 33928-2022")</f>
        <v/>
      </c>
      <c r="X790">
        <f>HYPERLINK("https://klasma.github.io/Logging_2305/tillsyn/A 33928-2022 tillsynsbegäran.docx", "A 33928-2022")</f>
        <v/>
      </c>
      <c r="Y790">
        <f>HYPERLINK("https://klasma.github.io/Logging_2305/tillsynsmail/A 33928-2022 tillsynsbegäran mail.docx", "A 33928-2022")</f>
        <v/>
      </c>
    </row>
    <row r="791" ht="15" customHeight="1">
      <c r="A791" t="inlineStr">
        <is>
          <t>A 25864-2024</t>
        </is>
      </c>
      <c r="B791" s="1" t="n">
        <v>45467.47204861111</v>
      </c>
      <c r="C791" s="1" t="n">
        <v>46045</v>
      </c>
      <c r="D791" t="inlineStr">
        <is>
          <t>JÄMTLANDS LÄN</t>
        </is>
      </c>
      <c r="E791" t="inlineStr">
        <is>
          <t>HÄRJEDALEN</t>
        </is>
      </c>
      <c r="F791" t="inlineStr">
        <is>
          <t>Sveaskog</t>
        </is>
      </c>
      <c r="G791" t="n">
        <v>5</v>
      </c>
      <c r="H791" t="n">
        <v>0</v>
      </c>
      <c r="I791" t="n">
        <v>0</v>
      </c>
      <c r="J791" t="n">
        <v>4</v>
      </c>
      <c r="K791" t="n">
        <v>0</v>
      </c>
      <c r="L791" t="n">
        <v>0</v>
      </c>
      <c r="M791" t="n">
        <v>0</v>
      </c>
      <c r="N791" t="n">
        <v>0</v>
      </c>
      <c r="O791" t="n">
        <v>4</v>
      </c>
      <c r="P791" t="n">
        <v>0</v>
      </c>
      <c r="Q791" t="n">
        <v>4</v>
      </c>
      <c r="R791" s="2" t="inlineStr">
        <is>
          <t>Dvärgbägarlav
Kolflarnlav
Mörk kolflarnlav
Vedflamlav</t>
        </is>
      </c>
      <c r="S791">
        <f>HYPERLINK("https://klasma.github.io/Logging_2361/artfynd/A 25864-2024 artfynd.xlsx", "A 25864-2024")</f>
        <v/>
      </c>
      <c r="T791">
        <f>HYPERLINK("https://klasma.github.io/Logging_2361/kartor/A 25864-2024 karta.png", "A 25864-2024")</f>
        <v/>
      </c>
      <c r="V791">
        <f>HYPERLINK("https://klasma.github.io/Logging_2361/klagomål/A 25864-2024 FSC-klagomål.docx", "A 25864-2024")</f>
        <v/>
      </c>
      <c r="W791">
        <f>HYPERLINK("https://klasma.github.io/Logging_2361/klagomålsmail/A 25864-2024 FSC-klagomål mail.docx", "A 25864-2024")</f>
        <v/>
      </c>
      <c r="X791">
        <f>HYPERLINK("https://klasma.github.io/Logging_2361/tillsyn/A 25864-2024 tillsynsbegäran.docx", "A 25864-2024")</f>
        <v/>
      </c>
      <c r="Y791">
        <f>HYPERLINK("https://klasma.github.io/Logging_2361/tillsynsmail/A 25864-2024 tillsynsbegäran mail.docx", "A 25864-2024")</f>
        <v/>
      </c>
    </row>
    <row r="792" ht="15" customHeight="1">
      <c r="A792" t="inlineStr">
        <is>
          <t>A 40653-2025</t>
        </is>
      </c>
      <c r="B792" s="1" t="n">
        <v>45896.63618055556</v>
      </c>
      <c r="C792" s="1" t="n">
        <v>46045</v>
      </c>
      <c r="D792" t="inlineStr">
        <is>
          <t>JÄMTLANDS LÄN</t>
        </is>
      </c>
      <c r="E792" t="inlineStr">
        <is>
          <t>RAGUNDA</t>
        </is>
      </c>
      <c r="F792" t="inlineStr">
        <is>
          <t>SCA</t>
        </is>
      </c>
      <c r="G792" t="n">
        <v>3.9</v>
      </c>
      <c r="H792" t="n">
        <v>0</v>
      </c>
      <c r="I792" t="n">
        <v>1</v>
      </c>
      <c r="J792" t="n">
        <v>3</v>
      </c>
      <c r="K792" t="n">
        <v>0</v>
      </c>
      <c r="L792" t="n">
        <v>0</v>
      </c>
      <c r="M792" t="n">
        <v>0</v>
      </c>
      <c r="N792" t="n">
        <v>0</v>
      </c>
      <c r="O792" t="n">
        <v>3</v>
      </c>
      <c r="P792" t="n">
        <v>0</v>
      </c>
      <c r="Q792" t="n">
        <v>4</v>
      </c>
      <c r="R792" s="2" t="inlineStr">
        <is>
          <t>Blå taggsvamp
Garnlav
Mörk kolflarnlav
Dropptaggsvamp</t>
        </is>
      </c>
      <c r="S792">
        <f>HYPERLINK("https://klasma.github.io/Logging_2303/artfynd/A 40653-2025 artfynd.xlsx", "A 40653-2025")</f>
        <v/>
      </c>
      <c r="T792">
        <f>HYPERLINK("https://klasma.github.io/Logging_2303/kartor/A 40653-2025 karta.png", "A 40653-2025")</f>
        <v/>
      </c>
      <c r="V792">
        <f>HYPERLINK("https://klasma.github.io/Logging_2303/klagomål/A 40653-2025 FSC-klagomål.docx", "A 40653-2025")</f>
        <v/>
      </c>
      <c r="W792">
        <f>HYPERLINK("https://klasma.github.io/Logging_2303/klagomålsmail/A 40653-2025 FSC-klagomål mail.docx", "A 40653-2025")</f>
        <v/>
      </c>
      <c r="X792">
        <f>HYPERLINK("https://klasma.github.io/Logging_2303/tillsyn/A 40653-2025 tillsynsbegäran.docx", "A 40653-2025")</f>
        <v/>
      </c>
      <c r="Y792">
        <f>HYPERLINK("https://klasma.github.io/Logging_2303/tillsynsmail/A 40653-2025 tillsynsbegäran mail.docx", "A 40653-2025")</f>
        <v/>
      </c>
    </row>
    <row r="793" ht="15" customHeight="1">
      <c r="A793" t="inlineStr">
        <is>
          <t>A 23931-2024</t>
        </is>
      </c>
      <c r="B793" s="1" t="n">
        <v>45455.96195601852</v>
      </c>
      <c r="C793" s="1" t="n">
        <v>46045</v>
      </c>
      <c r="D793" t="inlineStr">
        <is>
          <t>JÄMTLANDS LÄN</t>
        </is>
      </c>
      <c r="E793" t="inlineStr">
        <is>
          <t>RAGUNDA</t>
        </is>
      </c>
      <c r="F793" t="inlineStr">
        <is>
          <t>SCA</t>
        </is>
      </c>
      <c r="G793" t="n">
        <v>4</v>
      </c>
      <c r="H793" t="n">
        <v>1</v>
      </c>
      <c r="I793" t="n">
        <v>0</v>
      </c>
      <c r="J793" t="n">
        <v>3</v>
      </c>
      <c r="K793" t="n">
        <v>1</v>
      </c>
      <c r="L793" t="n">
        <v>0</v>
      </c>
      <c r="M793" t="n">
        <v>0</v>
      </c>
      <c r="N793" t="n">
        <v>0</v>
      </c>
      <c r="O793" t="n">
        <v>4</v>
      </c>
      <c r="P793" t="n">
        <v>1</v>
      </c>
      <c r="Q793" t="n">
        <v>4</v>
      </c>
      <c r="R793" s="2" t="inlineStr">
        <is>
          <t>Knärot
Garnlav
Lunglav
Ullticka</t>
        </is>
      </c>
      <c r="S793">
        <f>HYPERLINK("https://klasma.github.io/Logging_2303/artfynd/A 23931-2024 artfynd.xlsx", "A 23931-2024")</f>
        <v/>
      </c>
      <c r="T793">
        <f>HYPERLINK("https://klasma.github.io/Logging_2303/kartor/A 23931-2024 karta.png", "A 23931-2024")</f>
        <v/>
      </c>
      <c r="U793">
        <f>HYPERLINK("https://klasma.github.io/Logging_2303/knärot/A 23931-2024 karta knärot.png", "A 23931-2024")</f>
        <v/>
      </c>
      <c r="V793">
        <f>HYPERLINK("https://klasma.github.io/Logging_2303/klagomål/A 23931-2024 FSC-klagomål.docx", "A 23931-2024")</f>
        <v/>
      </c>
      <c r="W793">
        <f>HYPERLINK("https://klasma.github.io/Logging_2303/klagomålsmail/A 23931-2024 FSC-klagomål mail.docx", "A 23931-2024")</f>
        <v/>
      </c>
      <c r="X793">
        <f>HYPERLINK("https://klasma.github.io/Logging_2303/tillsyn/A 23931-2024 tillsynsbegäran.docx", "A 23931-2024")</f>
        <v/>
      </c>
      <c r="Y793">
        <f>HYPERLINK("https://klasma.github.io/Logging_2303/tillsynsmail/A 23931-2024 tillsynsbegäran mail.docx", "A 23931-2024")</f>
        <v/>
      </c>
    </row>
    <row r="794" ht="15" customHeight="1">
      <c r="A794" t="inlineStr">
        <is>
          <t>A 32654-2024</t>
        </is>
      </c>
      <c r="B794" s="1" t="n">
        <v>45513.96465277778</v>
      </c>
      <c r="C794" s="1" t="n">
        <v>46045</v>
      </c>
      <c r="D794" t="inlineStr">
        <is>
          <t>JÄMTLANDS LÄN</t>
        </is>
      </c>
      <c r="E794" t="inlineStr">
        <is>
          <t>BRÄCKE</t>
        </is>
      </c>
      <c r="F794" t="inlineStr">
        <is>
          <t>SCA</t>
        </is>
      </c>
      <c r="G794" t="n">
        <v>4.2</v>
      </c>
      <c r="H794" t="n">
        <v>0</v>
      </c>
      <c r="I794" t="n">
        <v>1</v>
      </c>
      <c r="J794" t="n">
        <v>3</v>
      </c>
      <c r="K794" t="n">
        <v>0</v>
      </c>
      <c r="L794" t="n">
        <v>0</v>
      </c>
      <c r="M794" t="n">
        <v>0</v>
      </c>
      <c r="N794" t="n">
        <v>0</v>
      </c>
      <c r="O794" t="n">
        <v>3</v>
      </c>
      <c r="P794" t="n">
        <v>0</v>
      </c>
      <c r="Q794" t="n">
        <v>4</v>
      </c>
      <c r="R794" s="2" t="inlineStr">
        <is>
          <t>Garnlav
Granticka
Lunglav
Stuplav</t>
        </is>
      </c>
      <c r="S794">
        <f>HYPERLINK("https://klasma.github.io/Logging_2305/artfynd/A 32654-2024 artfynd.xlsx", "A 32654-2024")</f>
        <v/>
      </c>
      <c r="T794">
        <f>HYPERLINK("https://klasma.github.io/Logging_2305/kartor/A 32654-2024 karta.png", "A 32654-2024")</f>
        <v/>
      </c>
      <c r="V794">
        <f>HYPERLINK("https://klasma.github.io/Logging_2305/klagomål/A 32654-2024 FSC-klagomål.docx", "A 32654-2024")</f>
        <v/>
      </c>
      <c r="W794">
        <f>HYPERLINK("https://klasma.github.io/Logging_2305/klagomålsmail/A 32654-2024 FSC-klagomål mail.docx", "A 32654-2024")</f>
        <v/>
      </c>
      <c r="X794">
        <f>HYPERLINK("https://klasma.github.io/Logging_2305/tillsyn/A 32654-2024 tillsynsbegäran.docx", "A 32654-2024")</f>
        <v/>
      </c>
      <c r="Y794">
        <f>HYPERLINK("https://klasma.github.io/Logging_2305/tillsynsmail/A 32654-2024 tillsynsbegäran mail.docx", "A 32654-2024")</f>
        <v/>
      </c>
    </row>
    <row r="795" ht="15" customHeight="1">
      <c r="A795" t="inlineStr">
        <is>
          <t>A 40913-2025</t>
        </is>
      </c>
      <c r="B795" s="1" t="n">
        <v>45897.61719907408</v>
      </c>
      <c r="C795" s="1" t="n">
        <v>46045</v>
      </c>
      <c r="D795" t="inlineStr">
        <is>
          <t>JÄMTLANDS LÄN</t>
        </is>
      </c>
      <c r="E795" t="inlineStr">
        <is>
          <t>BERG</t>
        </is>
      </c>
      <c r="F795" t="inlineStr">
        <is>
          <t>SCA</t>
        </is>
      </c>
      <c r="G795" t="n">
        <v>11.3</v>
      </c>
      <c r="H795" t="n">
        <v>0</v>
      </c>
      <c r="I795" t="n">
        <v>0</v>
      </c>
      <c r="J795" t="n">
        <v>3</v>
      </c>
      <c r="K795" t="n">
        <v>1</v>
      </c>
      <c r="L795" t="n">
        <v>0</v>
      </c>
      <c r="M795" t="n">
        <v>0</v>
      </c>
      <c r="N795" t="n">
        <v>0</v>
      </c>
      <c r="O795" t="n">
        <v>4</v>
      </c>
      <c r="P795" t="n">
        <v>1</v>
      </c>
      <c r="Q795" t="n">
        <v>4</v>
      </c>
      <c r="R795" s="2" t="inlineStr">
        <is>
          <t>Gräddporing
Blanksvart spiklav
Dvärgbägarlav
Nordtagging</t>
        </is>
      </c>
      <c r="S795">
        <f>HYPERLINK("https://klasma.github.io/Logging_2326/artfynd/A 40913-2025 artfynd.xlsx", "A 40913-2025")</f>
        <v/>
      </c>
      <c r="T795">
        <f>HYPERLINK("https://klasma.github.io/Logging_2326/kartor/A 40913-2025 karta.png", "A 40913-2025")</f>
        <v/>
      </c>
      <c r="V795">
        <f>HYPERLINK("https://klasma.github.io/Logging_2326/klagomål/A 40913-2025 FSC-klagomål.docx", "A 40913-2025")</f>
        <v/>
      </c>
      <c r="W795">
        <f>HYPERLINK("https://klasma.github.io/Logging_2326/klagomålsmail/A 40913-2025 FSC-klagomål mail.docx", "A 40913-2025")</f>
        <v/>
      </c>
      <c r="X795">
        <f>HYPERLINK("https://klasma.github.io/Logging_2326/tillsyn/A 40913-2025 tillsynsbegäran.docx", "A 40913-2025")</f>
        <v/>
      </c>
      <c r="Y795">
        <f>HYPERLINK("https://klasma.github.io/Logging_2326/tillsynsmail/A 40913-2025 tillsynsbegäran mail.docx", "A 40913-2025")</f>
        <v/>
      </c>
    </row>
    <row r="796" ht="15" customHeight="1">
      <c r="A796" t="inlineStr">
        <is>
          <t>A 57295-2022</t>
        </is>
      </c>
      <c r="B796" s="1" t="n">
        <v>44895</v>
      </c>
      <c r="C796" s="1" t="n">
        <v>46045</v>
      </c>
      <c r="D796" t="inlineStr">
        <is>
          <t>JÄMTLANDS LÄN</t>
        </is>
      </c>
      <c r="E796" t="inlineStr">
        <is>
          <t>KROKOM</t>
        </is>
      </c>
      <c r="G796" t="n">
        <v>36.3</v>
      </c>
      <c r="H796" t="n">
        <v>2</v>
      </c>
      <c r="I796" t="n">
        <v>0</v>
      </c>
      <c r="J796" t="n">
        <v>3</v>
      </c>
      <c r="K796" t="n">
        <v>1</v>
      </c>
      <c r="L796" t="n">
        <v>0</v>
      </c>
      <c r="M796" t="n">
        <v>0</v>
      </c>
      <c r="N796" t="n">
        <v>0</v>
      </c>
      <c r="O796" t="n">
        <v>4</v>
      </c>
      <c r="P796" t="n">
        <v>1</v>
      </c>
      <c r="Q796" t="n">
        <v>4</v>
      </c>
      <c r="R796" s="2" t="inlineStr">
        <is>
          <t>Doftticka
Garnlav
Lunglav
Tretåig hackspett</t>
        </is>
      </c>
      <c r="S796">
        <f>HYPERLINK("https://klasma.github.io/Logging_2309/artfynd/A 57295-2022 artfynd.xlsx", "A 57295-2022")</f>
        <v/>
      </c>
      <c r="T796">
        <f>HYPERLINK("https://klasma.github.io/Logging_2309/kartor/A 57295-2022 karta.png", "A 57295-2022")</f>
        <v/>
      </c>
      <c r="V796">
        <f>HYPERLINK("https://klasma.github.io/Logging_2309/klagomål/A 57295-2022 FSC-klagomål.docx", "A 57295-2022")</f>
        <v/>
      </c>
      <c r="W796">
        <f>HYPERLINK("https://klasma.github.io/Logging_2309/klagomålsmail/A 57295-2022 FSC-klagomål mail.docx", "A 57295-2022")</f>
        <v/>
      </c>
      <c r="X796">
        <f>HYPERLINK("https://klasma.github.io/Logging_2309/tillsyn/A 57295-2022 tillsynsbegäran.docx", "A 57295-2022")</f>
        <v/>
      </c>
      <c r="Y796">
        <f>HYPERLINK("https://klasma.github.io/Logging_2309/tillsynsmail/A 57295-2022 tillsynsbegäran mail.docx", "A 57295-2022")</f>
        <v/>
      </c>
      <c r="Z796">
        <f>HYPERLINK("https://klasma.github.io/Logging_2309/fåglar/A 57295-2022 prioriterade fågelarter.docx", "A 57295-2022")</f>
        <v/>
      </c>
    </row>
    <row r="797" ht="15" customHeight="1">
      <c r="A797" t="inlineStr">
        <is>
          <t>A 32260-2024</t>
        </is>
      </c>
      <c r="B797" s="1" t="n">
        <v>45511.95291666667</v>
      </c>
      <c r="C797" s="1" t="n">
        <v>46045</v>
      </c>
      <c r="D797" t="inlineStr">
        <is>
          <t>JÄMTLANDS LÄN</t>
        </is>
      </c>
      <c r="E797" t="inlineStr">
        <is>
          <t>BRÄCKE</t>
        </is>
      </c>
      <c r="F797" t="inlineStr">
        <is>
          <t>SCA</t>
        </is>
      </c>
      <c r="G797" t="n">
        <v>3.7</v>
      </c>
      <c r="H797" t="n">
        <v>0</v>
      </c>
      <c r="I797" t="n">
        <v>1</v>
      </c>
      <c r="J797" t="n">
        <v>3</v>
      </c>
      <c r="K797" t="n">
        <v>0</v>
      </c>
      <c r="L797" t="n">
        <v>0</v>
      </c>
      <c r="M797" t="n">
        <v>0</v>
      </c>
      <c r="N797" t="n">
        <v>0</v>
      </c>
      <c r="O797" t="n">
        <v>3</v>
      </c>
      <c r="P797" t="n">
        <v>0</v>
      </c>
      <c r="Q797" t="n">
        <v>4</v>
      </c>
      <c r="R797" s="2" t="inlineStr">
        <is>
          <t>Garnlav
Lunglav
Skrovellav
Luddlav</t>
        </is>
      </c>
      <c r="S797">
        <f>HYPERLINK("https://klasma.github.io/Logging_2305/artfynd/A 32260-2024 artfynd.xlsx", "A 32260-2024")</f>
        <v/>
      </c>
      <c r="T797">
        <f>HYPERLINK("https://klasma.github.io/Logging_2305/kartor/A 32260-2024 karta.png", "A 32260-2024")</f>
        <v/>
      </c>
      <c r="V797">
        <f>HYPERLINK("https://klasma.github.io/Logging_2305/klagomål/A 32260-2024 FSC-klagomål.docx", "A 32260-2024")</f>
        <v/>
      </c>
      <c r="W797">
        <f>HYPERLINK("https://klasma.github.io/Logging_2305/klagomålsmail/A 32260-2024 FSC-klagomål mail.docx", "A 32260-2024")</f>
        <v/>
      </c>
      <c r="X797">
        <f>HYPERLINK("https://klasma.github.io/Logging_2305/tillsyn/A 32260-2024 tillsynsbegäran.docx", "A 32260-2024")</f>
        <v/>
      </c>
      <c r="Y797">
        <f>HYPERLINK("https://klasma.github.io/Logging_2305/tillsynsmail/A 32260-2024 tillsynsbegäran mail.docx", "A 32260-2024")</f>
        <v/>
      </c>
    </row>
    <row r="798" ht="15" customHeight="1">
      <c r="A798" t="inlineStr">
        <is>
          <t>A 41549-2025</t>
        </is>
      </c>
      <c r="B798" s="1" t="n">
        <v>45901.58591435185</v>
      </c>
      <c r="C798" s="1" t="n">
        <v>46045</v>
      </c>
      <c r="D798" t="inlineStr">
        <is>
          <t>JÄMTLANDS LÄN</t>
        </is>
      </c>
      <c r="E798" t="inlineStr">
        <is>
          <t>HÄRJEDALEN</t>
        </is>
      </c>
      <c r="F798" t="inlineStr">
        <is>
          <t>Holmen skog AB</t>
        </is>
      </c>
      <c r="G798" t="n">
        <v>1.7</v>
      </c>
      <c r="H798" t="n">
        <v>0</v>
      </c>
      <c r="I798" t="n">
        <v>1</v>
      </c>
      <c r="J798" t="n">
        <v>3</v>
      </c>
      <c r="K798" t="n">
        <v>0</v>
      </c>
      <c r="L798" t="n">
        <v>0</v>
      </c>
      <c r="M798" t="n">
        <v>0</v>
      </c>
      <c r="N798" t="n">
        <v>0</v>
      </c>
      <c r="O798" t="n">
        <v>3</v>
      </c>
      <c r="P798" t="n">
        <v>0</v>
      </c>
      <c r="Q798" t="n">
        <v>4</v>
      </c>
      <c r="R798" s="2" t="inlineStr">
        <is>
          <t>Lunglav
Mörk kolflarnlav
Vedflamlav
Dropptaggsvamp</t>
        </is>
      </c>
      <c r="S798">
        <f>HYPERLINK("https://klasma.github.io/Logging_2361/artfynd/A 41549-2025 artfynd.xlsx", "A 41549-2025")</f>
        <v/>
      </c>
      <c r="T798">
        <f>HYPERLINK("https://klasma.github.io/Logging_2361/kartor/A 41549-2025 karta.png", "A 41549-2025")</f>
        <v/>
      </c>
      <c r="V798">
        <f>HYPERLINK("https://klasma.github.io/Logging_2361/klagomål/A 41549-2025 FSC-klagomål.docx", "A 41549-2025")</f>
        <v/>
      </c>
      <c r="W798">
        <f>HYPERLINK("https://klasma.github.io/Logging_2361/klagomålsmail/A 41549-2025 FSC-klagomål mail.docx", "A 41549-2025")</f>
        <v/>
      </c>
      <c r="X798">
        <f>HYPERLINK("https://klasma.github.io/Logging_2361/tillsyn/A 41549-2025 tillsynsbegäran.docx", "A 41549-2025")</f>
        <v/>
      </c>
      <c r="Y798">
        <f>HYPERLINK("https://klasma.github.io/Logging_2361/tillsynsmail/A 41549-2025 tillsynsbegäran mail.docx", "A 41549-2025")</f>
        <v/>
      </c>
    </row>
    <row r="799" ht="15" customHeight="1">
      <c r="A799" t="inlineStr">
        <is>
          <t>A 57537-2024</t>
        </is>
      </c>
      <c r="B799" s="1" t="n">
        <v>45630</v>
      </c>
      <c r="C799" s="1" t="n">
        <v>46045</v>
      </c>
      <c r="D799" t="inlineStr">
        <is>
          <t>JÄMTLANDS LÄN</t>
        </is>
      </c>
      <c r="E799" t="inlineStr">
        <is>
          <t>ÅRE</t>
        </is>
      </c>
      <c r="G799" t="n">
        <v>19.1</v>
      </c>
      <c r="H799" t="n">
        <v>1</v>
      </c>
      <c r="I799" t="n">
        <v>0</v>
      </c>
      <c r="J799" t="n">
        <v>4</v>
      </c>
      <c r="K799" t="n">
        <v>0</v>
      </c>
      <c r="L799" t="n">
        <v>0</v>
      </c>
      <c r="M799" t="n">
        <v>0</v>
      </c>
      <c r="N799" t="n">
        <v>0</v>
      </c>
      <c r="O799" t="n">
        <v>4</v>
      </c>
      <c r="P799" t="n">
        <v>0</v>
      </c>
      <c r="Q799" t="n">
        <v>4</v>
      </c>
      <c r="R799" s="2" t="inlineStr">
        <is>
          <t>Garnlav
Granticka
Tretåig hackspett
Ullticka</t>
        </is>
      </c>
      <c r="S799">
        <f>HYPERLINK("https://klasma.github.io/Logging_2321/artfynd/A 57537-2024 artfynd.xlsx", "A 57537-2024")</f>
        <v/>
      </c>
      <c r="T799">
        <f>HYPERLINK("https://klasma.github.io/Logging_2321/kartor/A 57537-2024 karta.png", "A 57537-2024")</f>
        <v/>
      </c>
      <c r="V799">
        <f>HYPERLINK("https://klasma.github.io/Logging_2321/klagomål/A 57537-2024 FSC-klagomål.docx", "A 57537-2024")</f>
        <v/>
      </c>
      <c r="W799">
        <f>HYPERLINK("https://klasma.github.io/Logging_2321/klagomålsmail/A 57537-2024 FSC-klagomål mail.docx", "A 57537-2024")</f>
        <v/>
      </c>
      <c r="X799">
        <f>HYPERLINK("https://klasma.github.io/Logging_2321/tillsyn/A 57537-2024 tillsynsbegäran.docx", "A 57537-2024")</f>
        <v/>
      </c>
      <c r="Y799">
        <f>HYPERLINK("https://klasma.github.io/Logging_2321/tillsynsmail/A 57537-2024 tillsynsbegäran mail.docx", "A 57537-2024")</f>
        <v/>
      </c>
      <c r="Z799">
        <f>HYPERLINK("https://klasma.github.io/Logging_2321/fåglar/A 57537-2024 prioriterade fågelarter.docx", "A 57537-2024")</f>
        <v/>
      </c>
    </row>
    <row r="800" ht="15" customHeight="1">
      <c r="A800" t="inlineStr">
        <is>
          <t>A 57606-2024</t>
        </is>
      </c>
      <c r="B800" s="1" t="n">
        <v>45630.53204861111</v>
      </c>
      <c r="C800" s="1" t="n">
        <v>46045</v>
      </c>
      <c r="D800" t="inlineStr">
        <is>
          <t>JÄMTLANDS LÄN</t>
        </is>
      </c>
      <c r="E800" t="inlineStr">
        <is>
          <t>BRÄCKE</t>
        </is>
      </c>
      <c r="F800" t="inlineStr">
        <is>
          <t>SCA</t>
        </is>
      </c>
      <c r="G800" t="n">
        <v>3.3</v>
      </c>
      <c r="H800" t="n">
        <v>4</v>
      </c>
      <c r="I800" t="n">
        <v>0</v>
      </c>
      <c r="J800" t="n">
        <v>2</v>
      </c>
      <c r="K800" t="n">
        <v>1</v>
      </c>
      <c r="L800" t="n">
        <v>0</v>
      </c>
      <c r="M800" t="n">
        <v>0</v>
      </c>
      <c r="N800" t="n">
        <v>0</v>
      </c>
      <c r="O800" t="n">
        <v>3</v>
      </c>
      <c r="P800" t="n">
        <v>1</v>
      </c>
      <c r="Q800" t="n">
        <v>4</v>
      </c>
      <c r="R800" s="2" t="inlineStr">
        <is>
          <t>Knärot
Spillkråka
Tretåig hackspett
Gråspett</t>
        </is>
      </c>
      <c r="S800">
        <f>HYPERLINK("https://klasma.github.io/Logging_2305/artfynd/A 57606-2024 artfynd.xlsx", "A 57606-2024")</f>
        <v/>
      </c>
      <c r="T800">
        <f>HYPERLINK("https://klasma.github.io/Logging_2305/kartor/A 57606-2024 karta.png", "A 57606-2024")</f>
        <v/>
      </c>
      <c r="U800">
        <f>HYPERLINK("https://klasma.github.io/Logging_2305/knärot/A 57606-2024 karta knärot.png", "A 57606-2024")</f>
        <v/>
      </c>
      <c r="V800">
        <f>HYPERLINK("https://klasma.github.io/Logging_2305/klagomål/A 57606-2024 FSC-klagomål.docx", "A 57606-2024")</f>
        <v/>
      </c>
      <c r="W800">
        <f>HYPERLINK("https://klasma.github.io/Logging_2305/klagomålsmail/A 57606-2024 FSC-klagomål mail.docx", "A 57606-2024")</f>
        <v/>
      </c>
      <c r="X800">
        <f>HYPERLINK("https://klasma.github.io/Logging_2305/tillsyn/A 57606-2024 tillsynsbegäran.docx", "A 57606-2024")</f>
        <v/>
      </c>
      <c r="Y800">
        <f>HYPERLINK("https://klasma.github.io/Logging_2305/tillsynsmail/A 57606-2024 tillsynsbegäran mail.docx", "A 57606-2024")</f>
        <v/>
      </c>
      <c r="Z800">
        <f>HYPERLINK("https://klasma.github.io/Logging_2305/fåglar/A 57606-2024 prioriterade fågelarter.docx", "A 57606-2024")</f>
        <v/>
      </c>
    </row>
    <row r="801" ht="15" customHeight="1">
      <c r="A801" t="inlineStr">
        <is>
          <t>A 12271-2022</t>
        </is>
      </c>
      <c r="B801" s="1" t="n">
        <v>44637</v>
      </c>
      <c r="C801" s="1" t="n">
        <v>46045</v>
      </c>
      <c r="D801" t="inlineStr">
        <is>
          <t>JÄMTLANDS LÄN</t>
        </is>
      </c>
      <c r="E801" t="inlineStr">
        <is>
          <t>ÅRE</t>
        </is>
      </c>
      <c r="G801" t="n">
        <v>19.9</v>
      </c>
      <c r="H801" t="n">
        <v>0</v>
      </c>
      <c r="I801" t="n">
        <v>1</v>
      </c>
      <c r="J801" t="n">
        <v>3</v>
      </c>
      <c r="K801" t="n">
        <v>0</v>
      </c>
      <c r="L801" t="n">
        <v>0</v>
      </c>
      <c r="M801" t="n">
        <v>0</v>
      </c>
      <c r="N801" t="n">
        <v>0</v>
      </c>
      <c r="O801" t="n">
        <v>3</v>
      </c>
      <c r="P801" t="n">
        <v>0</v>
      </c>
      <c r="Q801" t="n">
        <v>4</v>
      </c>
      <c r="R801" s="2" t="inlineStr">
        <is>
          <t>Granticka
Gränsticka
Skrovellav
Stuplav</t>
        </is>
      </c>
      <c r="S801">
        <f>HYPERLINK("https://klasma.github.io/Logging_2321/artfynd/A 12271-2022 artfynd.xlsx", "A 12271-2022")</f>
        <v/>
      </c>
      <c r="T801">
        <f>HYPERLINK("https://klasma.github.io/Logging_2321/kartor/A 12271-2022 karta.png", "A 12271-2022")</f>
        <v/>
      </c>
      <c r="V801">
        <f>HYPERLINK("https://klasma.github.io/Logging_2321/klagomål/A 12271-2022 FSC-klagomål.docx", "A 12271-2022")</f>
        <v/>
      </c>
      <c r="W801">
        <f>HYPERLINK("https://klasma.github.io/Logging_2321/klagomålsmail/A 12271-2022 FSC-klagomål mail.docx", "A 12271-2022")</f>
        <v/>
      </c>
      <c r="X801">
        <f>HYPERLINK("https://klasma.github.io/Logging_2321/tillsyn/A 12271-2022 tillsynsbegäran.docx", "A 12271-2022")</f>
        <v/>
      </c>
      <c r="Y801">
        <f>HYPERLINK("https://klasma.github.io/Logging_2321/tillsynsmail/A 12271-2022 tillsynsbegäran mail.docx", "A 12271-2022")</f>
        <v/>
      </c>
    </row>
    <row r="802" ht="15" customHeight="1">
      <c r="A802" t="inlineStr">
        <is>
          <t>A 2256-2024</t>
        </is>
      </c>
      <c r="B802" s="1" t="n">
        <v>45310</v>
      </c>
      <c r="C802" s="1" t="n">
        <v>46045</v>
      </c>
      <c r="D802" t="inlineStr">
        <is>
          <t>JÄMTLANDS LÄN</t>
        </is>
      </c>
      <c r="E802" t="inlineStr">
        <is>
          <t>KROKOM</t>
        </is>
      </c>
      <c r="G802" t="n">
        <v>29.6</v>
      </c>
      <c r="H802" t="n">
        <v>1</v>
      </c>
      <c r="I802" t="n">
        <v>1</v>
      </c>
      <c r="J802" t="n">
        <v>2</v>
      </c>
      <c r="K802" t="n">
        <v>0</v>
      </c>
      <c r="L802" t="n">
        <v>0</v>
      </c>
      <c r="M802" t="n">
        <v>0</v>
      </c>
      <c r="N802" t="n">
        <v>0</v>
      </c>
      <c r="O802" t="n">
        <v>2</v>
      </c>
      <c r="P802" t="n">
        <v>0</v>
      </c>
      <c r="Q802" t="n">
        <v>4</v>
      </c>
      <c r="R802" s="2" t="inlineStr">
        <is>
          <t>Garnlav
Gränsticka
Stuplav
Revlummer</t>
        </is>
      </c>
      <c r="S802">
        <f>HYPERLINK("https://klasma.github.io/Logging_2309/artfynd/A 2256-2024 artfynd.xlsx", "A 2256-2024")</f>
        <v/>
      </c>
      <c r="T802">
        <f>HYPERLINK("https://klasma.github.io/Logging_2309/kartor/A 2256-2024 karta.png", "A 2256-2024")</f>
        <v/>
      </c>
      <c r="V802">
        <f>HYPERLINK("https://klasma.github.io/Logging_2309/klagomål/A 2256-2024 FSC-klagomål.docx", "A 2256-2024")</f>
        <v/>
      </c>
      <c r="W802">
        <f>HYPERLINK("https://klasma.github.io/Logging_2309/klagomålsmail/A 2256-2024 FSC-klagomål mail.docx", "A 2256-2024")</f>
        <v/>
      </c>
      <c r="X802">
        <f>HYPERLINK("https://klasma.github.io/Logging_2309/tillsyn/A 2256-2024 tillsynsbegäran.docx", "A 2256-2024")</f>
        <v/>
      </c>
      <c r="Y802">
        <f>HYPERLINK("https://klasma.github.io/Logging_2309/tillsynsmail/A 2256-2024 tillsynsbegäran mail.docx", "A 2256-2024")</f>
        <v/>
      </c>
    </row>
    <row r="803" ht="15" customHeight="1">
      <c r="A803" t="inlineStr">
        <is>
          <t>A 36208-2023</t>
        </is>
      </c>
      <c r="B803" s="1" t="n">
        <v>45149</v>
      </c>
      <c r="C803" s="1" t="n">
        <v>46045</v>
      </c>
      <c r="D803" t="inlineStr">
        <is>
          <t>JÄMTLANDS LÄN</t>
        </is>
      </c>
      <c r="E803" t="inlineStr">
        <is>
          <t>STRÖMSUND</t>
        </is>
      </c>
      <c r="F803" t="inlineStr">
        <is>
          <t>SCA</t>
        </is>
      </c>
      <c r="G803" t="n">
        <v>1.8</v>
      </c>
      <c r="H803" t="n">
        <v>2</v>
      </c>
      <c r="I803" t="n">
        <v>2</v>
      </c>
      <c r="J803" t="n">
        <v>1</v>
      </c>
      <c r="K803" t="n">
        <v>1</v>
      </c>
      <c r="L803" t="n">
        <v>0</v>
      </c>
      <c r="M803" t="n">
        <v>0</v>
      </c>
      <c r="N803" t="n">
        <v>0</v>
      </c>
      <c r="O803" t="n">
        <v>2</v>
      </c>
      <c r="P803" t="n">
        <v>1</v>
      </c>
      <c r="Q803" t="n">
        <v>4</v>
      </c>
      <c r="R803" s="2" t="inlineStr">
        <is>
          <t>Knärot
Ullticka
Kransrams
Spindelblomster</t>
        </is>
      </c>
      <c r="S803">
        <f>HYPERLINK("https://klasma.github.io/Logging_2313/artfynd/A 36208-2023 artfynd.xlsx", "A 36208-2023")</f>
        <v/>
      </c>
      <c r="T803">
        <f>HYPERLINK("https://klasma.github.io/Logging_2313/kartor/A 36208-2023 karta.png", "A 36208-2023")</f>
        <v/>
      </c>
      <c r="U803">
        <f>HYPERLINK("https://klasma.github.io/Logging_2313/knärot/A 36208-2023 karta knärot.png", "A 36208-2023")</f>
        <v/>
      </c>
      <c r="V803">
        <f>HYPERLINK("https://klasma.github.io/Logging_2313/klagomål/A 36208-2023 FSC-klagomål.docx", "A 36208-2023")</f>
        <v/>
      </c>
      <c r="W803">
        <f>HYPERLINK("https://klasma.github.io/Logging_2313/klagomålsmail/A 36208-2023 FSC-klagomål mail.docx", "A 36208-2023")</f>
        <v/>
      </c>
      <c r="X803">
        <f>HYPERLINK("https://klasma.github.io/Logging_2313/tillsyn/A 36208-2023 tillsynsbegäran.docx", "A 36208-2023")</f>
        <v/>
      </c>
      <c r="Y803">
        <f>HYPERLINK("https://klasma.github.io/Logging_2313/tillsynsmail/A 36208-2023 tillsynsbegäran mail.docx", "A 36208-2023")</f>
        <v/>
      </c>
    </row>
    <row r="804" ht="15" customHeight="1">
      <c r="A804" t="inlineStr">
        <is>
          <t>A 33421-2021</t>
        </is>
      </c>
      <c r="B804" s="1" t="n">
        <v>44377</v>
      </c>
      <c r="C804" s="1" t="n">
        <v>46045</v>
      </c>
      <c r="D804" t="inlineStr">
        <is>
          <t>JÄMTLANDS LÄN</t>
        </is>
      </c>
      <c r="E804" t="inlineStr">
        <is>
          <t>HÄRJEDALEN</t>
        </is>
      </c>
      <c r="G804" t="n">
        <v>47.1</v>
      </c>
      <c r="H804" t="n">
        <v>3</v>
      </c>
      <c r="I804" t="n">
        <v>0</v>
      </c>
      <c r="J804" t="n">
        <v>3</v>
      </c>
      <c r="K804" t="n">
        <v>0</v>
      </c>
      <c r="L804" t="n">
        <v>0</v>
      </c>
      <c r="M804" t="n">
        <v>0</v>
      </c>
      <c r="N804" t="n">
        <v>0</v>
      </c>
      <c r="O804" t="n">
        <v>3</v>
      </c>
      <c r="P804" t="n">
        <v>0</v>
      </c>
      <c r="Q804" t="n">
        <v>4</v>
      </c>
      <c r="R804" s="2" t="inlineStr">
        <is>
          <t>Gultoppig fingersvamp
Svartvit flugsnappare
Talltita
Lavskrika</t>
        </is>
      </c>
      <c r="S804">
        <f>HYPERLINK("https://klasma.github.io/Logging_2361/artfynd/A 33421-2021 artfynd.xlsx", "A 33421-2021")</f>
        <v/>
      </c>
      <c r="T804">
        <f>HYPERLINK("https://klasma.github.io/Logging_2361/kartor/A 33421-2021 karta.png", "A 33421-2021")</f>
        <v/>
      </c>
      <c r="V804">
        <f>HYPERLINK("https://klasma.github.io/Logging_2361/klagomål/A 33421-2021 FSC-klagomål.docx", "A 33421-2021")</f>
        <v/>
      </c>
      <c r="W804">
        <f>HYPERLINK("https://klasma.github.io/Logging_2361/klagomålsmail/A 33421-2021 FSC-klagomål mail.docx", "A 33421-2021")</f>
        <v/>
      </c>
      <c r="X804">
        <f>HYPERLINK("https://klasma.github.io/Logging_2361/tillsyn/A 33421-2021 tillsynsbegäran.docx", "A 33421-2021")</f>
        <v/>
      </c>
      <c r="Y804">
        <f>HYPERLINK("https://klasma.github.io/Logging_2361/tillsynsmail/A 33421-2021 tillsynsbegäran mail.docx", "A 33421-2021")</f>
        <v/>
      </c>
      <c r="Z804">
        <f>HYPERLINK("https://klasma.github.io/Logging_2361/fåglar/A 33421-2021 prioriterade fågelarter.docx", "A 33421-2021")</f>
        <v/>
      </c>
    </row>
    <row r="805" ht="15" customHeight="1">
      <c r="A805" t="inlineStr">
        <is>
          <t>A 41068-2024</t>
        </is>
      </c>
      <c r="B805" s="1" t="n">
        <v>45559.38894675926</v>
      </c>
      <c r="C805" s="1" t="n">
        <v>46045</v>
      </c>
      <c r="D805" t="inlineStr">
        <is>
          <t>JÄMTLANDS LÄN</t>
        </is>
      </c>
      <c r="E805" t="inlineStr">
        <is>
          <t>HÄRJEDALEN</t>
        </is>
      </c>
      <c r="F805" t="inlineStr">
        <is>
          <t>Bergvik skog väst AB</t>
        </is>
      </c>
      <c r="G805" t="n">
        <v>51.1</v>
      </c>
      <c r="H805" t="n">
        <v>2</v>
      </c>
      <c r="I805" t="n">
        <v>0</v>
      </c>
      <c r="J805" t="n">
        <v>4</v>
      </c>
      <c r="K805" t="n">
        <v>0</v>
      </c>
      <c r="L805" t="n">
        <v>0</v>
      </c>
      <c r="M805" t="n">
        <v>0</v>
      </c>
      <c r="N805" t="n">
        <v>0</v>
      </c>
      <c r="O805" t="n">
        <v>4</v>
      </c>
      <c r="P805" t="n">
        <v>0</v>
      </c>
      <c r="Q805" t="n">
        <v>4</v>
      </c>
      <c r="R805" s="2" t="inlineStr">
        <is>
          <t>Granticka
Spillkråka
Tretåig hackspett
Ullticka</t>
        </is>
      </c>
      <c r="S805">
        <f>HYPERLINK("https://klasma.github.io/Logging_2361/artfynd/A 41068-2024 artfynd.xlsx", "A 41068-2024")</f>
        <v/>
      </c>
      <c r="T805">
        <f>HYPERLINK("https://klasma.github.io/Logging_2361/kartor/A 41068-2024 karta.png", "A 41068-2024")</f>
        <v/>
      </c>
      <c r="V805">
        <f>HYPERLINK("https://klasma.github.io/Logging_2361/klagomål/A 41068-2024 FSC-klagomål.docx", "A 41068-2024")</f>
        <v/>
      </c>
      <c r="W805">
        <f>HYPERLINK("https://klasma.github.io/Logging_2361/klagomålsmail/A 41068-2024 FSC-klagomål mail.docx", "A 41068-2024")</f>
        <v/>
      </c>
      <c r="X805">
        <f>HYPERLINK("https://klasma.github.io/Logging_2361/tillsyn/A 41068-2024 tillsynsbegäran.docx", "A 41068-2024")</f>
        <v/>
      </c>
      <c r="Y805">
        <f>HYPERLINK("https://klasma.github.io/Logging_2361/tillsynsmail/A 41068-2024 tillsynsbegäran mail.docx", "A 41068-2024")</f>
        <v/>
      </c>
      <c r="Z805">
        <f>HYPERLINK("https://klasma.github.io/Logging_2361/fåglar/A 41068-2024 prioriterade fågelarter.docx", "A 41068-2024")</f>
        <v/>
      </c>
    </row>
    <row r="806" ht="15" customHeight="1">
      <c r="A806" t="inlineStr">
        <is>
          <t>A 60580-2024</t>
        </is>
      </c>
      <c r="B806" s="1" t="n">
        <v>45644</v>
      </c>
      <c r="C806" s="1" t="n">
        <v>46045</v>
      </c>
      <c r="D806" t="inlineStr">
        <is>
          <t>JÄMTLANDS LÄN</t>
        </is>
      </c>
      <c r="E806" t="inlineStr">
        <is>
          <t>ÖSTERSUND</t>
        </is>
      </c>
      <c r="G806" t="n">
        <v>13.5</v>
      </c>
      <c r="H806" t="n">
        <v>2</v>
      </c>
      <c r="I806" t="n">
        <v>0</v>
      </c>
      <c r="J806" t="n">
        <v>4</v>
      </c>
      <c r="K806" t="n">
        <v>0</v>
      </c>
      <c r="L806" t="n">
        <v>0</v>
      </c>
      <c r="M806" t="n">
        <v>0</v>
      </c>
      <c r="N806" t="n">
        <v>0</v>
      </c>
      <c r="O806" t="n">
        <v>4</v>
      </c>
      <c r="P806" t="n">
        <v>0</v>
      </c>
      <c r="Q806" t="n">
        <v>4</v>
      </c>
      <c r="R806" s="2" t="inlineStr">
        <is>
          <t>Granticka
Lunglav
Spillkråka
Tretåig hackspett</t>
        </is>
      </c>
      <c r="S806">
        <f>HYPERLINK("https://klasma.github.io/Logging_2380/artfynd/A 60580-2024 artfynd.xlsx", "A 60580-2024")</f>
        <v/>
      </c>
      <c r="T806">
        <f>HYPERLINK("https://klasma.github.io/Logging_2380/kartor/A 60580-2024 karta.png", "A 60580-2024")</f>
        <v/>
      </c>
      <c r="V806">
        <f>HYPERLINK("https://klasma.github.io/Logging_2380/klagomål/A 60580-2024 FSC-klagomål.docx", "A 60580-2024")</f>
        <v/>
      </c>
      <c r="W806">
        <f>HYPERLINK("https://klasma.github.io/Logging_2380/klagomålsmail/A 60580-2024 FSC-klagomål mail.docx", "A 60580-2024")</f>
        <v/>
      </c>
      <c r="X806">
        <f>HYPERLINK("https://klasma.github.io/Logging_2380/tillsyn/A 60580-2024 tillsynsbegäran.docx", "A 60580-2024")</f>
        <v/>
      </c>
      <c r="Y806">
        <f>HYPERLINK("https://klasma.github.io/Logging_2380/tillsynsmail/A 60580-2024 tillsynsbegäran mail.docx", "A 60580-2024")</f>
        <v/>
      </c>
      <c r="Z806">
        <f>HYPERLINK("https://klasma.github.io/Logging_2380/fåglar/A 60580-2024 prioriterade fågelarter.docx", "A 60580-2024")</f>
        <v/>
      </c>
    </row>
    <row r="807" ht="15" customHeight="1">
      <c r="A807" t="inlineStr">
        <is>
          <t>A 7445-2025</t>
        </is>
      </c>
      <c r="B807" s="1" t="n">
        <v>45705.40694444445</v>
      </c>
      <c r="C807" s="1" t="n">
        <v>46045</v>
      </c>
      <c r="D807" t="inlineStr">
        <is>
          <t>JÄMTLANDS LÄN</t>
        </is>
      </c>
      <c r="E807" t="inlineStr">
        <is>
          <t>BRÄCKE</t>
        </is>
      </c>
      <c r="G807" t="n">
        <v>2.1</v>
      </c>
      <c r="H807" t="n">
        <v>1</v>
      </c>
      <c r="I807" t="n">
        <v>1</v>
      </c>
      <c r="J807" t="n">
        <v>2</v>
      </c>
      <c r="K807" t="n">
        <v>0</v>
      </c>
      <c r="L807" t="n">
        <v>0</v>
      </c>
      <c r="M807" t="n">
        <v>0</v>
      </c>
      <c r="N807" t="n">
        <v>0</v>
      </c>
      <c r="O807" t="n">
        <v>2</v>
      </c>
      <c r="P807" t="n">
        <v>0</v>
      </c>
      <c r="Q807" t="n">
        <v>4</v>
      </c>
      <c r="R807" s="2" t="inlineStr">
        <is>
          <t>Garnlav
Lunglav
Stuplav
Revlummer</t>
        </is>
      </c>
      <c r="S807">
        <f>HYPERLINK("https://klasma.github.io/Logging_2305/artfynd/A 7445-2025 artfynd.xlsx", "A 7445-2025")</f>
        <v/>
      </c>
      <c r="T807">
        <f>HYPERLINK("https://klasma.github.io/Logging_2305/kartor/A 7445-2025 karta.png", "A 7445-2025")</f>
        <v/>
      </c>
      <c r="V807">
        <f>HYPERLINK("https://klasma.github.io/Logging_2305/klagomål/A 7445-2025 FSC-klagomål.docx", "A 7445-2025")</f>
        <v/>
      </c>
      <c r="W807">
        <f>HYPERLINK("https://klasma.github.io/Logging_2305/klagomålsmail/A 7445-2025 FSC-klagomål mail.docx", "A 7445-2025")</f>
        <v/>
      </c>
      <c r="X807">
        <f>HYPERLINK("https://klasma.github.io/Logging_2305/tillsyn/A 7445-2025 tillsynsbegäran.docx", "A 7445-2025")</f>
        <v/>
      </c>
      <c r="Y807">
        <f>HYPERLINK("https://klasma.github.io/Logging_2305/tillsynsmail/A 7445-2025 tillsynsbegäran mail.docx", "A 7445-2025")</f>
        <v/>
      </c>
    </row>
    <row r="808" ht="15" customHeight="1">
      <c r="A808" t="inlineStr">
        <is>
          <t>A 43461-2025</t>
        </is>
      </c>
      <c r="B808" s="1" t="n">
        <v>45911.46922453704</v>
      </c>
      <c r="C808" s="1" t="n">
        <v>46045</v>
      </c>
      <c r="D808" t="inlineStr">
        <is>
          <t>JÄMTLANDS LÄN</t>
        </is>
      </c>
      <c r="E808" t="inlineStr">
        <is>
          <t>BRÄCKE</t>
        </is>
      </c>
      <c r="F808" t="inlineStr">
        <is>
          <t>SCA</t>
        </is>
      </c>
      <c r="G808" t="n">
        <v>2.3</v>
      </c>
      <c r="H808" t="n">
        <v>1</v>
      </c>
      <c r="I808" t="n">
        <v>0</v>
      </c>
      <c r="J808" t="n">
        <v>3</v>
      </c>
      <c r="K808" t="n">
        <v>1</v>
      </c>
      <c r="L808" t="n">
        <v>0</v>
      </c>
      <c r="M808" t="n">
        <v>0</v>
      </c>
      <c r="N808" t="n">
        <v>0</v>
      </c>
      <c r="O808" t="n">
        <v>4</v>
      </c>
      <c r="P808" t="n">
        <v>1</v>
      </c>
      <c r="Q808" t="n">
        <v>4</v>
      </c>
      <c r="R808" s="2" t="inlineStr">
        <is>
          <t>Doftticka
Doftskinn
Lunglav
Ullticka</t>
        </is>
      </c>
      <c r="S808">
        <f>HYPERLINK("https://klasma.github.io/Logging_2305/artfynd/A 43461-2025 artfynd.xlsx", "A 43461-2025")</f>
        <v/>
      </c>
      <c r="T808">
        <f>HYPERLINK("https://klasma.github.io/Logging_2305/kartor/A 43461-2025 karta.png", "A 43461-2025")</f>
        <v/>
      </c>
      <c r="V808">
        <f>HYPERLINK("https://klasma.github.io/Logging_2305/klagomål/A 43461-2025 FSC-klagomål.docx", "A 43461-2025")</f>
        <v/>
      </c>
      <c r="W808">
        <f>HYPERLINK("https://klasma.github.io/Logging_2305/klagomålsmail/A 43461-2025 FSC-klagomål mail.docx", "A 43461-2025")</f>
        <v/>
      </c>
      <c r="X808">
        <f>HYPERLINK("https://klasma.github.io/Logging_2305/tillsyn/A 43461-2025 tillsynsbegäran.docx", "A 43461-2025")</f>
        <v/>
      </c>
      <c r="Y808">
        <f>HYPERLINK("https://klasma.github.io/Logging_2305/tillsynsmail/A 43461-2025 tillsynsbegäran mail.docx", "A 43461-2025")</f>
        <v/>
      </c>
    </row>
    <row r="809" ht="15" customHeight="1">
      <c r="A809" t="inlineStr">
        <is>
          <t>A 43906-2025</t>
        </is>
      </c>
      <c r="B809" s="1" t="n">
        <v>45913.82180555556</v>
      </c>
      <c r="C809" s="1" t="n">
        <v>46045</v>
      </c>
      <c r="D809" t="inlineStr">
        <is>
          <t>JÄMTLANDS LÄN</t>
        </is>
      </c>
      <c r="E809" t="inlineStr">
        <is>
          <t>HÄRJEDALEN</t>
        </is>
      </c>
      <c r="G809" t="n">
        <v>10.5</v>
      </c>
      <c r="H809" t="n">
        <v>2</v>
      </c>
      <c r="I809" t="n">
        <v>1</v>
      </c>
      <c r="J809" t="n">
        <v>3</v>
      </c>
      <c r="K809" t="n">
        <v>0</v>
      </c>
      <c r="L809" t="n">
        <v>0</v>
      </c>
      <c r="M809" t="n">
        <v>0</v>
      </c>
      <c r="N809" t="n">
        <v>0</v>
      </c>
      <c r="O809" t="n">
        <v>3</v>
      </c>
      <c r="P809" t="n">
        <v>0</v>
      </c>
      <c r="Q809" t="n">
        <v>4</v>
      </c>
      <c r="R809" s="2" t="inlineStr">
        <is>
          <t>Talltita
Tretåig hackspett
Vitgrynig nållav
Dropptaggsvamp</t>
        </is>
      </c>
      <c r="S809">
        <f>HYPERLINK("https://klasma.github.io/Logging_2361/artfynd/A 43906-2025 artfynd.xlsx", "A 43906-2025")</f>
        <v/>
      </c>
      <c r="T809">
        <f>HYPERLINK("https://klasma.github.io/Logging_2361/kartor/A 43906-2025 karta.png", "A 43906-2025")</f>
        <v/>
      </c>
      <c r="V809">
        <f>HYPERLINK("https://klasma.github.io/Logging_2361/klagomål/A 43906-2025 FSC-klagomål.docx", "A 43906-2025")</f>
        <v/>
      </c>
      <c r="W809">
        <f>HYPERLINK("https://klasma.github.io/Logging_2361/klagomålsmail/A 43906-2025 FSC-klagomål mail.docx", "A 43906-2025")</f>
        <v/>
      </c>
      <c r="X809">
        <f>HYPERLINK("https://klasma.github.io/Logging_2361/tillsyn/A 43906-2025 tillsynsbegäran.docx", "A 43906-2025")</f>
        <v/>
      </c>
      <c r="Y809">
        <f>HYPERLINK("https://klasma.github.io/Logging_2361/tillsynsmail/A 43906-2025 tillsynsbegäran mail.docx", "A 43906-2025")</f>
        <v/>
      </c>
      <c r="Z809">
        <f>HYPERLINK("https://klasma.github.io/Logging_2361/fåglar/A 43906-2025 prioriterade fågelarter.docx", "A 43906-2025")</f>
        <v/>
      </c>
    </row>
    <row r="810" ht="15" customHeight="1">
      <c r="A810" t="inlineStr">
        <is>
          <t>A 27100-2025</t>
        </is>
      </c>
      <c r="B810" s="1" t="n">
        <v>45811.67803240741</v>
      </c>
      <c r="C810" s="1" t="n">
        <v>46045</v>
      </c>
      <c r="D810" t="inlineStr">
        <is>
          <t>JÄMTLANDS LÄN</t>
        </is>
      </c>
      <c r="E810" t="inlineStr">
        <is>
          <t>BERG</t>
        </is>
      </c>
      <c r="F810" t="inlineStr">
        <is>
          <t>SCA</t>
        </is>
      </c>
      <c r="G810" t="n">
        <v>6.1</v>
      </c>
      <c r="H810" t="n">
        <v>3</v>
      </c>
      <c r="I810" t="n">
        <v>0</v>
      </c>
      <c r="J810" t="n">
        <v>3</v>
      </c>
      <c r="K810" t="n">
        <v>0</v>
      </c>
      <c r="L810" t="n">
        <v>0</v>
      </c>
      <c r="M810" t="n">
        <v>0</v>
      </c>
      <c r="N810" t="n">
        <v>0</v>
      </c>
      <c r="O810" t="n">
        <v>3</v>
      </c>
      <c r="P810" t="n">
        <v>0</v>
      </c>
      <c r="Q810" t="n">
        <v>4</v>
      </c>
      <c r="R810" s="2" t="inlineStr">
        <is>
          <t>Granticka
Kungsörn
Tretåig hackspett
Lavskrika</t>
        </is>
      </c>
      <c r="S810">
        <f>HYPERLINK("https://klasma.github.io/Logging_2326/artfynd/A 27100-2025 artfynd.xlsx", "A 27100-2025")</f>
        <v/>
      </c>
      <c r="T810">
        <f>HYPERLINK("https://klasma.github.io/Logging_2326/kartor/A 27100-2025 karta.png", "A 27100-2025")</f>
        <v/>
      </c>
      <c r="V810">
        <f>HYPERLINK("https://klasma.github.io/Logging_2326/klagomål/A 27100-2025 FSC-klagomål.docx", "A 27100-2025")</f>
        <v/>
      </c>
      <c r="W810">
        <f>HYPERLINK("https://klasma.github.io/Logging_2326/klagomålsmail/A 27100-2025 FSC-klagomål mail.docx", "A 27100-2025")</f>
        <v/>
      </c>
      <c r="X810">
        <f>HYPERLINK("https://klasma.github.io/Logging_2326/tillsyn/A 27100-2025 tillsynsbegäran.docx", "A 27100-2025")</f>
        <v/>
      </c>
      <c r="Y810">
        <f>HYPERLINK("https://klasma.github.io/Logging_2326/tillsynsmail/A 27100-2025 tillsynsbegäran mail.docx", "A 27100-2025")</f>
        <v/>
      </c>
      <c r="Z810">
        <f>HYPERLINK("https://klasma.github.io/Logging_2326/fåglar/A 27100-2025 prioriterade fågelarter.docx", "A 27100-2025")</f>
        <v/>
      </c>
    </row>
    <row r="811" ht="15" customHeight="1">
      <c r="A811" t="inlineStr">
        <is>
          <t>A 47172-2023</t>
        </is>
      </c>
      <c r="B811" s="1" t="n">
        <v>45201</v>
      </c>
      <c r="C811" s="1" t="n">
        <v>46045</v>
      </c>
      <c r="D811" t="inlineStr">
        <is>
          <t>JÄMTLANDS LÄN</t>
        </is>
      </c>
      <c r="E811" t="inlineStr">
        <is>
          <t>BRÄCKE</t>
        </is>
      </c>
      <c r="F811" t="inlineStr">
        <is>
          <t>SCA</t>
        </is>
      </c>
      <c r="G811" t="n">
        <v>3.5</v>
      </c>
      <c r="H811" t="n">
        <v>0</v>
      </c>
      <c r="I811" t="n">
        <v>2</v>
      </c>
      <c r="J811" t="n">
        <v>2</v>
      </c>
      <c r="K811" t="n">
        <v>0</v>
      </c>
      <c r="L811" t="n">
        <v>0</v>
      </c>
      <c r="M811" t="n">
        <v>0</v>
      </c>
      <c r="N811" t="n">
        <v>0</v>
      </c>
      <c r="O811" t="n">
        <v>2</v>
      </c>
      <c r="P811" t="n">
        <v>0</v>
      </c>
      <c r="Q811" t="n">
        <v>4</v>
      </c>
      <c r="R811" s="2" t="inlineStr">
        <is>
          <t>Flattoppad klubbsvamp
Lunglav
Bårdlav
Stuplav</t>
        </is>
      </c>
      <c r="S811">
        <f>HYPERLINK("https://klasma.github.io/Logging_2305/artfynd/A 47172-2023 artfynd.xlsx", "A 47172-2023")</f>
        <v/>
      </c>
      <c r="T811">
        <f>HYPERLINK("https://klasma.github.io/Logging_2305/kartor/A 47172-2023 karta.png", "A 47172-2023")</f>
        <v/>
      </c>
      <c r="V811">
        <f>HYPERLINK("https://klasma.github.io/Logging_2305/klagomål/A 47172-2023 FSC-klagomål.docx", "A 47172-2023")</f>
        <v/>
      </c>
      <c r="W811">
        <f>HYPERLINK("https://klasma.github.io/Logging_2305/klagomålsmail/A 47172-2023 FSC-klagomål mail.docx", "A 47172-2023")</f>
        <v/>
      </c>
      <c r="X811">
        <f>HYPERLINK("https://klasma.github.io/Logging_2305/tillsyn/A 47172-2023 tillsynsbegäran.docx", "A 47172-2023")</f>
        <v/>
      </c>
      <c r="Y811">
        <f>HYPERLINK("https://klasma.github.io/Logging_2305/tillsynsmail/A 47172-2023 tillsynsbegäran mail.docx", "A 47172-2023")</f>
        <v/>
      </c>
    </row>
    <row r="812" ht="15" customHeight="1">
      <c r="A812" t="inlineStr">
        <is>
          <t>A 15263-2025</t>
        </is>
      </c>
      <c r="B812" s="1" t="n">
        <v>45744.65704861111</v>
      </c>
      <c r="C812" s="1" t="n">
        <v>46045</v>
      </c>
      <c r="D812" t="inlineStr">
        <is>
          <t>JÄMTLANDS LÄN</t>
        </is>
      </c>
      <c r="E812" t="inlineStr">
        <is>
          <t>BRÄCKE</t>
        </is>
      </c>
      <c r="F812" t="inlineStr">
        <is>
          <t>SCA</t>
        </is>
      </c>
      <c r="G812" t="n">
        <v>2</v>
      </c>
      <c r="H812" t="n">
        <v>0</v>
      </c>
      <c r="I812" t="n">
        <v>1</v>
      </c>
      <c r="J812" t="n">
        <v>3</v>
      </c>
      <c r="K812" t="n">
        <v>0</v>
      </c>
      <c r="L812" t="n">
        <v>0</v>
      </c>
      <c r="M812" t="n">
        <v>0</v>
      </c>
      <c r="N812" t="n">
        <v>0</v>
      </c>
      <c r="O812" t="n">
        <v>3</v>
      </c>
      <c r="P812" t="n">
        <v>0</v>
      </c>
      <c r="Q812" t="n">
        <v>4</v>
      </c>
      <c r="R812" s="2" t="inlineStr">
        <is>
          <t>Garnlav
Lunglav
Skrovellav
Stuplav</t>
        </is>
      </c>
      <c r="S812">
        <f>HYPERLINK("https://klasma.github.io/Logging_2305/artfynd/A 15263-2025 artfynd.xlsx", "A 15263-2025")</f>
        <v/>
      </c>
      <c r="T812">
        <f>HYPERLINK("https://klasma.github.io/Logging_2305/kartor/A 15263-2025 karta.png", "A 15263-2025")</f>
        <v/>
      </c>
      <c r="V812">
        <f>HYPERLINK("https://klasma.github.io/Logging_2305/klagomål/A 15263-2025 FSC-klagomål.docx", "A 15263-2025")</f>
        <v/>
      </c>
      <c r="W812">
        <f>HYPERLINK("https://klasma.github.io/Logging_2305/klagomålsmail/A 15263-2025 FSC-klagomål mail.docx", "A 15263-2025")</f>
        <v/>
      </c>
      <c r="X812">
        <f>HYPERLINK("https://klasma.github.io/Logging_2305/tillsyn/A 15263-2025 tillsynsbegäran.docx", "A 15263-2025")</f>
        <v/>
      </c>
      <c r="Y812">
        <f>HYPERLINK("https://klasma.github.io/Logging_2305/tillsynsmail/A 15263-2025 tillsynsbegäran mail.docx", "A 15263-2025")</f>
        <v/>
      </c>
    </row>
    <row r="813" ht="15" customHeight="1">
      <c r="A813" t="inlineStr">
        <is>
          <t>A 32067-2024</t>
        </is>
      </c>
      <c r="B813" s="1" t="n">
        <v>45510</v>
      </c>
      <c r="C813" s="1" t="n">
        <v>46045</v>
      </c>
      <c r="D813" t="inlineStr">
        <is>
          <t>JÄMTLANDS LÄN</t>
        </is>
      </c>
      <c r="E813" t="inlineStr">
        <is>
          <t>RAGUNDA</t>
        </is>
      </c>
      <c r="F813" t="inlineStr">
        <is>
          <t>SCA</t>
        </is>
      </c>
      <c r="G813" t="n">
        <v>4.1</v>
      </c>
      <c r="H813" t="n">
        <v>0</v>
      </c>
      <c r="I813" t="n">
        <v>2</v>
      </c>
      <c r="J813" t="n">
        <v>2</v>
      </c>
      <c r="K813" t="n">
        <v>0</v>
      </c>
      <c r="L813" t="n">
        <v>0</v>
      </c>
      <c r="M813" t="n">
        <v>0</v>
      </c>
      <c r="N813" t="n">
        <v>0</v>
      </c>
      <c r="O813" t="n">
        <v>2</v>
      </c>
      <c r="P813" t="n">
        <v>0</v>
      </c>
      <c r="Q813" t="n">
        <v>4</v>
      </c>
      <c r="R813" s="2" t="inlineStr">
        <is>
          <t>Vedflikmossa
Vedtrappmossa
Stor aspticka
Vedticka</t>
        </is>
      </c>
      <c r="S813">
        <f>HYPERLINK("https://klasma.github.io/Logging_2303/artfynd/A 32067-2024 artfynd.xlsx", "A 32067-2024")</f>
        <v/>
      </c>
      <c r="T813">
        <f>HYPERLINK("https://klasma.github.io/Logging_2303/kartor/A 32067-2024 karta.png", "A 32067-2024")</f>
        <v/>
      </c>
      <c r="U813">
        <f>HYPERLINK("https://klasma.github.io/Logging_2303/knärot/A 32067-2024 karta knärot.png", "A 32067-2024")</f>
        <v/>
      </c>
      <c r="V813">
        <f>HYPERLINK("https://klasma.github.io/Logging_2303/klagomål/A 32067-2024 FSC-klagomål.docx", "A 32067-2024")</f>
        <v/>
      </c>
      <c r="W813">
        <f>HYPERLINK("https://klasma.github.io/Logging_2303/klagomålsmail/A 32067-2024 FSC-klagomål mail.docx", "A 32067-2024")</f>
        <v/>
      </c>
      <c r="X813">
        <f>HYPERLINK("https://klasma.github.io/Logging_2303/tillsyn/A 32067-2024 tillsynsbegäran.docx", "A 32067-2024")</f>
        <v/>
      </c>
      <c r="Y813">
        <f>HYPERLINK("https://klasma.github.io/Logging_2303/tillsynsmail/A 32067-2024 tillsynsbegäran mail.docx", "A 32067-2024")</f>
        <v/>
      </c>
    </row>
    <row r="814" ht="15" customHeight="1">
      <c r="A814" t="inlineStr">
        <is>
          <t>A 73935-2021</t>
        </is>
      </c>
      <c r="B814" s="1" t="n">
        <v>44553</v>
      </c>
      <c r="C814" s="1" t="n">
        <v>46045</v>
      </c>
      <c r="D814" t="inlineStr">
        <is>
          <t>JÄMTLANDS LÄN</t>
        </is>
      </c>
      <c r="E814" t="inlineStr">
        <is>
          <t>KROKOM</t>
        </is>
      </c>
      <c r="G814" t="n">
        <v>391.3</v>
      </c>
      <c r="H814" t="n">
        <v>3</v>
      </c>
      <c r="I814" t="n">
        <v>0</v>
      </c>
      <c r="J814" t="n">
        <v>2</v>
      </c>
      <c r="K814" t="n">
        <v>0</v>
      </c>
      <c r="L814" t="n">
        <v>0</v>
      </c>
      <c r="M814" t="n">
        <v>0</v>
      </c>
      <c r="N814" t="n">
        <v>0</v>
      </c>
      <c r="O814" t="n">
        <v>2</v>
      </c>
      <c r="P814" t="n">
        <v>0</v>
      </c>
      <c r="Q814" t="n">
        <v>4</v>
      </c>
      <c r="R814" s="2" t="inlineStr">
        <is>
          <t>Doftskinn
Tretåig hackspett
Nattviol
Revlummer</t>
        </is>
      </c>
      <c r="S814">
        <f>HYPERLINK("https://klasma.github.io/Logging_2309/artfynd/A 73935-2021 artfynd.xlsx", "A 73935-2021")</f>
        <v/>
      </c>
      <c r="T814">
        <f>HYPERLINK("https://klasma.github.io/Logging_2309/kartor/A 73935-2021 karta.png", "A 73935-2021")</f>
        <v/>
      </c>
      <c r="V814">
        <f>HYPERLINK("https://klasma.github.io/Logging_2309/klagomål/A 73935-2021 FSC-klagomål.docx", "A 73935-2021")</f>
        <v/>
      </c>
      <c r="W814">
        <f>HYPERLINK("https://klasma.github.io/Logging_2309/klagomålsmail/A 73935-2021 FSC-klagomål mail.docx", "A 73935-2021")</f>
        <v/>
      </c>
      <c r="X814">
        <f>HYPERLINK("https://klasma.github.io/Logging_2309/tillsyn/A 73935-2021 tillsynsbegäran.docx", "A 73935-2021")</f>
        <v/>
      </c>
      <c r="Y814">
        <f>HYPERLINK("https://klasma.github.io/Logging_2309/tillsynsmail/A 73935-2021 tillsynsbegäran mail.docx", "A 73935-2021")</f>
        <v/>
      </c>
      <c r="Z814">
        <f>HYPERLINK("https://klasma.github.io/Logging_2309/fåglar/A 73935-2021 prioriterade fågelarter.docx", "A 73935-2021")</f>
        <v/>
      </c>
    </row>
    <row r="815" ht="15" customHeight="1">
      <c r="A815" t="inlineStr">
        <is>
          <t>A 7698-2024</t>
        </is>
      </c>
      <c r="B815" s="1" t="n">
        <v>45349</v>
      </c>
      <c r="C815" s="1" t="n">
        <v>46045</v>
      </c>
      <c r="D815" t="inlineStr">
        <is>
          <t>JÄMTLANDS LÄN</t>
        </is>
      </c>
      <c r="E815" t="inlineStr">
        <is>
          <t>ÖSTERSUND</t>
        </is>
      </c>
      <c r="F815" t="inlineStr">
        <is>
          <t>Övriga Aktiebolag</t>
        </is>
      </c>
      <c r="G815" t="n">
        <v>4.5</v>
      </c>
      <c r="H815" t="n">
        <v>2</v>
      </c>
      <c r="I815" t="n">
        <v>1</v>
      </c>
      <c r="J815" t="n">
        <v>2</v>
      </c>
      <c r="K815" t="n">
        <v>0</v>
      </c>
      <c r="L815" t="n">
        <v>0</v>
      </c>
      <c r="M815" t="n">
        <v>0</v>
      </c>
      <c r="N815" t="n">
        <v>0</v>
      </c>
      <c r="O815" t="n">
        <v>2</v>
      </c>
      <c r="P815" t="n">
        <v>0</v>
      </c>
      <c r="Q815" t="n">
        <v>4</v>
      </c>
      <c r="R815" s="2" t="inlineStr">
        <is>
          <t>Brunklöver
Månlåsbräken
Tvåblad
Brudsporre</t>
        </is>
      </c>
      <c r="S815">
        <f>HYPERLINK("https://klasma.github.io/Logging_2380/artfynd/A 7698-2024 artfynd.xlsx", "A 7698-2024")</f>
        <v/>
      </c>
      <c r="T815">
        <f>HYPERLINK("https://klasma.github.io/Logging_2380/kartor/A 7698-2024 karta.png", "A 7698-2024")</f>
        <v/>
      </c>
      <c r="V815">
        <f>HYPERLINK("https://klasma.github.io/Logging_2380/klagomål/A 7698-2024 FSC-klagomål.docx", "A 7698-2024")</f>
        <v/>
      </c>
      <c r="W815">
        <f>HYPERLINK("https://klasma.github.io/Logging_2380/klagomålsmail/A 7698-2024 FSC-klagomål mail.docx", "A 7698-2024")</f>
        <v/>
      </c>
      <c r="X815">
        <f>HYPERLINK("https://klasma.github.io/Logging_2380/tillsyn/A 7698-2024 tillsynsbegäran.docx", "A 7698-2024")</f>
        <v/>
      </c>
      <c r="Y815">
        <f>HYPERLINK("https://klasma.github.io/Logging_2380/tillsynsmail/A 7698-2024 tillsynsbegäran mail.docx", "A 7698-2024")</f>
        <v/>
      </c>
    </row>
    <row r="816" ht="15" customHeight="1">
      <c r="A816" t="inlineStr">
        <is>
          <t>A 19401-2025</t>
        </is>
      </c>
      <c r="B816" s="1" t="n">
        <v>45769.67767361111</v>
      </c>
      <c r="C816" s="1" t="n">
        <v>46045</v>
      </c>
      <c r="D816" t="inlineStr">
        <is>
          <t>JÄMTLANDS LÄN</t>
        </is>
      </c>
      <c r="E816" t="inlineStr">
        <is>
          <t>RAGUNDA</t>
        </is>
      </c>
      <c r="F816" t="inlineStr">
        <is>
          <t>SCA</t>
        </is>
      </c>
      <c r="G816" t="n">
        <v>4.3</v>
      </c>
      <c r="H816" t="n">
        <v>1</v>
      </c>
      <c r="I816" t="n">
        <v>0</v>
      </c>
      <c r="J816" t="n">
        <v>2</v>
      </c>
      <c r="K816" t="n">
        <v>2</v>
      </c>
      <c r="L816" t="n">
        <v>0</v>
      </c>
      <c r="M816" t="n">
        <v>0</v>
      </c>
      <c r="N816" t="n">
        <v>0</v>
      </c>
      <c r="O816" t="n">
        <v>4</v>
      </c>
      <c r="P816" t="n">
        <v>2</v>
      </c>
      <c r="Q816" t="n">
        <v>4</v>
      </c>
      <c r="R816" s="2" t="inlineStr">
        <is>
          <t>Knärot
Rynkskinn
Rosenticka
Vitgrynig nållav</t>
        </is>
      </c>
      <c r="S816">
        <f>HYPERLINK("https://klasma.github.io/Logging_2303/artfynd/A 19401-2025 artfynd.xlsx", "A 19401-2025")</f>
        <v/>
      </c>
      <c r="T816">
        <f>HYPERLINK("https://klasma.github.io/Logging_2303/kartor/A 19401-2025 karta.png", "A 19401-2025")</f>
        <v/>
      </c>
      <c r="U816">
        <f>HYPERLINK("https://klasma.github.io/Logging_2303/knärot/A 19401-2025 karta knärot.png", "A 19401-2025")</f>
        <v/>
      </c>
      <c r="V816">
        <f>HYPERLINK("https://klasma.github.io/Logging_2303/klagomål/A 19401-2025 FSC-klagomål.docx", "A 19401-2025")</f>
        <v/>
      </c>
      <c r="W816">
        <f>HYPERLINK("https://klasma.github.io/Logging_2303/klagomålsmail/A 19401-2025 FSC-klagomål mail.docx", "A 19401-2025")</f>
        <v/>
      </c>
      <c r="X816">
        <f>HYPERLINK("https://klasma.github.io/Logging_2303/tillsyn/A 19401-2025 tillsynsbegäran.docx", "A 19401-2025")</f>
        <v/>
      </c>
      <c r="Y816">
        <f>HYPERLINK("https://klasma.github.io/Logging_2303/tillsynsmail/A 19401-2025 tillsynsbegäran mail.docx", "A 19401-2025")</f>
        <v/>
      </c>
    </row>
    <row r="817" ht="15" customHeight="1">
      <c r="A817" t="inlineStr">
        <is>
          <t>A 14978-2025</t>
        </is>
      </c>
      <c r="B817" s="1" t="n">
        <v>45743.59503472222</v>
      </c>
      <c r="C817" s="1" t="n">
        <v>46045</v>
      </c>
      <c r="D817" t="inlineStr">
        <is>
          <t>JÄMTLANDS LÄN</t>
        </is>
      </c>
      <c r="E817" t="inlineStr">
        <is>
          <t>BRÄCKE</t>
        </is>
      </c>
      <c r="F817" t="inlineStr">
        <is>
          <t>SCA</t>
        </is>
      </c>
      <c r="G817" t="n">
        <v>4.2</v>
      </c>
      <c r="H817" t="n">
        <v>1</v>
      </c>
      <c r="I817" t="n">
        <v>0</v>
      </c>
      <c r="J817" t="n">
        <v>4</v>
      </c>
      <c r="K817" t="n">
        <v>0</v>
      </c>
      <c r="L817" t="n">
        <v>0</v>
      </c>
      <c r="M817" t="n">
        <v>0</v>
      </c>
      <c r="N817" t="n">
        <v>0</v>
      </c>
      <c r="O817" t="n">
        <v>4</v>
      </c>
      <c r="P817" t="n">
        <v>0</v>
      </c>
      <c r="Q817" t="n">
        <v>4</v>
      </c>
      <c r="R817" s="2" t="inlineStr">
        <is>
          <t>Granticka
Lunglav
Tretåig hackspett
Vitgrynig nållav</t>
        </is>
      </c>
      <c r="S817">
        <f>HYPERLINK("https://klasma.github.io/Logging_2305/artfynd/A 14978-2025 artfynd.xlsx", "A 14978-2025")</f>
        <v/>
      </c>
      <c r="T817">
        <f>HYPERLINK("https://klasma.github.io/Logging_2305/kartor/A 14978-2025 karta.png", "A 14978-2025")</f>
        <v/>
      </c>
      <c r="V817">
        <f>HYPERLINK("https://klasma.github.io/Logging_2305/klagomål/A 14978-2025 FSC-klagomål.docx", "A 14978-2025")</f>
        <v/>
      </c>
      <c r="W817">
        <f>HYPERLINK("https://klasma.github.io/Logging_2305/klagomålsmail/A 14978-2025 FSC-klagomål mail.docx", "A 14978-2025")</f>
        <v/>
      </c>
      <c r="X817">
        <f>HYPERLINK("https://klasma.github.io/Logging_2305/tillsyn/A 14978-2025 tillsynsbegäran.docx", "A 14978-2025")</f>
        <v/>
      </c>
      <c r="Y817">
        <f>HYPERLINK("https://klasma.github.io/Logging_2305/tillsynsmail/A 14978-2025 tillsynsbegäran mail.docx", "A 14978-2025")</f>
        <v/>
      </c>
      <c r="Z817">
        <f>HYPERLINK("https://klasma.github.io/Logging_2305/fåglar/A 14978-2025 prioriterade fågelarter.docx", "A 14978-2025")</f>
        <v/>
      </c>
    </row>
    <row r="818" ht="15" customHeight="1">
      <c r="A818" t="inlineStr">
        <is>
          <t>A 15836-2024</t>
        </is>
      </c>
      <c r="B818" s="1" t="n">
        <v>45404</v>
      </c>
      <c r="C818" s="1" t="n">
        <v>46045</v>
      </c>
      <c r="D818" t="inlineStr">
        <is>
          <t>JÄMTLANDS LÄN</t>
        </is>
      </c>
      <c r="E818" t="inlineStr">
        <is>
          <t>RAGUNDA</t>
        </is>
      </c>
      <c r="F818" t="inlineStr">
        <is>
          <t>Kommuner</t>
        </is>
      </c>
      <c r="G818" t="n">
        <v>3.1</v>
      </c>
      <c r="H818" t="n">
        <v>0</v>
      </c>
      <c r="I818" t="n">
        <v>2</v>
      </c>
      <c r="J818" t="n">
        <v>1</v>
      </c>
      <c r="K818" t="n">
        <v>0</v>
      </c>
      <c r="L818" t="n">
        <v>1</v>
      </c>
      <c r="M818" t="n">
        <v>0</v>
      </c>
      <c r="N818" t="n">
        <v>0</v>
      </c>
      <c r="O818" t="n">
        <v>2</v>
      </c>
      <c r="P818" t="n">
        <v>1</v>
      </c>
      <c r="Q818" t="n">
        <v>4</v>
      </c>
      <c r="R818" s="2" t="inlineStr">
        <is>
          <t>Trolldruvemätare
Lunglav
Stor aspticka
Svart trolldruva</t>
        </is>
      </c>
      <c r="S818">
        <f>HYPERLINK("https://klasma.github.io/Logging_2303/artfynd/A 15836-2024 artfynd.xlsx", "A 15836-2024")</f>
        <v/>
      </c>
      <c r="T818">
        <f>HYPERLINK("https://klasma.github.io/Logging_2303/kartor/A 15836-2024 karta.png", "A 15836-2024")</f>
        <v/>
      </c>
      <c r="V818">
        <f>HYPERLINK("https://klasma.github.io/Logging_2303/klagomål/A 15836-2024 FSC-klagomål.docx", "A 15836-2024")</f>
        <v/>
      </c>
      <c r="W818">
        <f>HYPERLINK("https://klasma.github.io/Logging_2303/klagomålsmail/A 15836-2024 FSC-klagomål mail.docx", "A 15836-2024")</f>
        <v/>
      </c>
      <c r="X818">
        <f>HYPERLINK("https://klasma.github.io/Logging_2303/tillsyn/A 15836-2024 tillsynsbegäran.docx", "A 15836-2024")</f>
        <v/>
      </c>
      <c r="Y818">
        <f>HYPERLINK("https://klasma.github.io/Logging_2303/tillsynsmail/A 15836-2024 tillsynsbegäran mail.docx", "A 15836-2024")</f>
        <v/>
      </c>
    </row>
    <row r="819" ht="15" customHeight="1">
      <c r="A819" t="inlineStr">
        <is>
          <t>A 29487-2024</t>
        </is>
      </c>
      <c r="B819" s="1" t="n">
        <v>45484</v>
      </c>
      <c r="C819" s="1" t="n">
        <v>46045</v>
      </c>
      <c r="D819" t="inlineStr">
        <is>
          <t>JÄMTLANDS LÄN</t>
        </is>
      </c>
      <c r="E819" t="inlineStr">
        <is>
          <t>STRÖMSUND</t>
        </is>
      </c>
      <c r="F819" t="inlineStr">
        <is>
          <t>Holmen skog AB</t>
        </is>
      </c>
      <c r="G819" t="n">
        <v>1.1</v>
      </c>
      <c r="H819" t="n">
        <v>0</v>
      </c>
      <c r="I819" t="n">
        <v>0</v>
      </c>
      <c r="J819" t="n">
        <v>4</v>
      </c>
      <c r="K819" t="n">
        <v>0</v>
      </c>
      <c r="L819" t="n">
        <v>0</v>
      </c>
      <c r="M819" t="n">
        <v>0</v>
      </c>
      <c r="N819" t="n">
        <v>0</v>
      </c>
      <c r="O819" t="n">
        <v>4</v>
      </c>
      <c r="P819" t="n">
        <v>0</v>
      </c>
      <c r="Q819" t="n">
        <v>4</v>
      </c>
      <c r="R819" s="2" t="inlineStr">
        <is>
          <t>Garnlav
Lunglav
Skrovellav
Vitgrynig nållav</t>
        </is>
      </c>
      <c r="S819">
        <f>HYPERLINK("https://klasma.github.io/Logging_2313/artfynd/A 29487-2024 artfynd.xlsx", "A 29487-2024")</f>
        <v/>
      </c>
      <c r="T819">
        <f>HYPERLINK("https://klasma.github.io/Logging_2313/kartor/A 29487-2024 karta.png", "A 29487-2024")</f>
        <v/>
      </c>
      <c r="V819">
        <f>HYPERLINK("https://klasma.github.io/Logging_2313/klagomål/A 29487-2024 FSC-klagomål.docx", "A 29487-2024")</f>
        <v/>
      </c>
      <c r="W819">
        <f>HYPERLINK("https://klasma.github.io/Logging_2313/klagomålsmail/A 29487-2024 FSC-klagomål mail.docx", "A 29487-2024")</f>
        <v/>
      </c>
      <c r="X819">
        <f>HYPERLINK("https://klasma.github.io/Logging_2313/tillsyn/A 29487-2024 tillsynsbegäran.docx", "A 29487-2024")</f>
        <v/>
      </c>
      <c r="Y819">
        <f>HYPERLINK("https://klasma.github.io/Logging_2313/tillsynsmail/A 29487-2024 tillsynsbegäran mail.docx", "A 29487-2024")</f>
        <v/>
      </c>
    </row>
    <row r="820" ht="15" customHeight="1">
      <c r="A820" t="inlineStr">
        <is>
          <t>A 46795-2025</t>
        </is>
      </c>
      <c r="B820" s="1" t="n">
        <v>45926.65668981482</v>
      </c>
      <c r="C820" s="1" t="n">
        <v>46045</v>
      </c>
      <c r="D820" t="inlineStr">
        <is>
          <t>JÄMTLANDS LÄN</t>
        </is>
      </c>
      <c r="E820" t="inlineStr">
        <is>
          <t>BERG</t>
        </is>
      </c>
      <c r="F820" t="inlineStr">
        <is>
          <t>SCA</t>
        </is>
      </c>
      <c r="G820" t="n">
        <v>15.1</v>
      </c>
      <c r="H820" t="n">
        <v>0</v>
      </c>
      <c r="I820" t="n">
        <v>0</v>
      </c>
      <c r="J820" t="n">
        <v>4</v>
      </c>
      <c r="K820" t="n">
        <v>0</v>
      </c>
      <c r="L820" t="n">
        <v>0</v>
      </c>
      <c r="M820" t="n">
        <v>0</v>
      </c>
      <c r="N820" t="n">
        <v>0</v>
      </c>
      <c r="O820" t="n">
        <v>4</v>
      </c>
      <c r="P820" t="n">
        <v>0</v>
      </c>
      <c r="Q820" t="n">
        <v>4</v>
      </c>
      <c r="R820" s="2" t="inlineStr">
        <is>
          <t>Gammelgransskål
Lunglav
Skrovellav
Ullticka</t>
        </is>
      </c>
      <c r="S820">
        <f>HYPERLINK("https://klasma.github.io/Logging_2326/artfynd/A 46795-2025 artfynd.xlsx", "A 46795-2025")</f>
        <v/>
      </c>
      <c r="T820">
        <f>HYPERLINK("https://klasma.github.io/Logging_2326/kartor/A 46795-2025 karta.png", "A 46795-2025")</f>
        <v/>
      </c>
      <c r="V820">
        <f>HYPERLINK("https://klasma.github.io/Logging_2326/klagomål/A 46795-2025 FSC-klagomål.docx", "A 46795-2025")</f>
        <v/>
      </c>
      <c r="W820">
        <f>HYPERLINK("https://klasma.github.io/Logging_2326/klagomålsmail/A 46795-2025 FSC-klagomål mail.docx", "A 46795-2025")</f>
        <v/>
      </c>
      <c r="X820">
        <f>HYPERLINK("https://klasma.github.io/Logging_2326/tillsyn/A 46795-2025 tillsynsbegäran.docx", "A 46795-2025")</f>
        <v/>
      </c>
      <c r="Y820">
        <f>HYPERLINK("https://klasma.github.io/Logging_2326/tillsynsmail/A 46795-2025 tillsynsbegäran mail.docx", "A 46795-2025")</f>
        <v/>
      </c>
    </row>
    <row r="821" ht="15" customHeight="1">
      <c r="A821" t="inlineStr">
        <is>
          <t>A 21372-2025</t>
        </is>
      </c>
      <c r="B821" s="1" t="n">
        <v>45782.44871527778</v>
      </c>
      <c r="C821" s="1" t="n">
        <v>46045</v>
      </c>
      <c r="D821" t="inlineStr">
        <is>
          <t>JÄMTLANDS LÄN</t>
        </is>
      </c>
      <c r="E821" t="inlineStr">
        <is>
          <t>RAGUNDA</t>
        </is>
      </c>
      <c r="F821" t="inlineStr">
        <is>
          <t>SCA</t>
        </is>
      </c>
      <c r="G821" t="n">
        <v>2.7</v>
      </c>
      <c r="H821" t="n">
        <v>1</v>
      </c>
      <c r="I821" t="n">
        <v>1</v>
      </c>
      <c r="J821" t="n">
        <v>2</v>
      </c>
      <c r="K821" t="n">
        <v>0</v>
      </c>
      <c r="L821" t="n">
        <v>0</v>
      </c>
      <c r="M821" t="n">
        <v>0</v>
      </c>
      <c r="N821" t="n">
        <v>0</v>
      </c>
      <c r="O821" t="n">
        <v>2</v>
      </c>
      <c r="P821" t="n">
        <v>0</v>
      </c>
      <c r="Q821" t="n">
        <v>4</v>
      </c>
      <c r="R821" s="2" t="inlineStr">
        <is>
          <t>Garnlav
Lunglav
Stuplav
Tjäder</t>
        </is>
      </c>
      <c r="S821">
        <f>HYPERLINK("https://klasma.github.io/Logging_2303/artfynd/A 21372-2025 artfynd.xlsx", "A 21372-2025")</f>
        <v/>
      </c>
      <c r="T821">
        <f>HYPERLINK("https://klasma.github.io/Logging_2303/kartor/A 21372-2025 karta.png", "A 21372-2025")</f>
        <v/>
      </c>
      <c r="V821">
        <f>HYPERLINK("https://klasma.github.io/Logging_2303/klagomål/A 21372-2025 FSC-klagomål.docx", "A 21372-2025")</f>
        <v/>
      </c>
      <c r="W821">
        <f>HYPERLINK("https://klasma.github.io/Logging_2303/klagomålsmail/A 21372-2025 FSC-klagomål mail.docx", "A 21372-2025")</f>
        <v/>
      </c>
      <c r="X821">
        <f>HYPERLINK("https://klasma.github.io/Logging_2303/tillsyn/A 21372-2025 tillsynsbegäran.docx", "A 21372-2025")</f>
        <v/>
      </c>
      <c r="Y821">
        <f>HYPERLINK("https://klasma.github.io/Logging_2303/tillsynsmail/A 21372-2025 tillsynsbegäran mail.docx", "A 21372-2025")</f>
        <v/>
      </c>
      <c r="Z821">
        <f>HYPERLINK("https://klasma.github.io/Logging_2303/fåglar/A 21372-2025 prioriterade fågelarter.docx", "A 21372-2025")</f>
        <v/>
      </c>
    </row>
    <row r="822" ht="15" customHeight="1">
      <c r="A822" t="inlineStr">
        <is>
          <t>A 46874-2025</t>
        </is>
      </c>
      <c r="B822" s="1" t="n">
        <v>45929.34440972222</v>
      </c>
      <c r="C822" s="1" t="n">
        <v>46045</v>
      </c>
      <c r="D822" t="inlineStr">
        <is>
          <t>JÄMTLANDS LÄN</t>
        </is>
      </c>
      <c r="E822" t="inlineStr">
        <is>
          <t>STRÖMSUND</t>
        </is>
      </c>
      <c r="F822" t="inlineStr">
        <is>
          <t>SCA</t>
        </is>
      </c>
      <c r="G822" t="n">
        <v>12.6</v>
      </c>
      <c r="H822" t="n">
        <v>1</v>
      </c>
      <c r="I822" t="n">
        <v>0</v>
      </c>
      <c r="J822" t="n">
        <v>3</v>
      </c>
      <c r="K822" t="n">
        <v>1</v>
      </c>
      <c r="L822" t="n">
        <v>0</v>
      </c>
      <c r="M822" t="n">
        <v>0</v>
      </c>
      <c r="N822" t="n">
        <v>0</v>
      </c>
      <c r="O822" t="n">
        <v>4</v>
      </c>
      <c r="P822" t="n">
        <v>1</v>
      </c>
      <c r="Q822" t="n">
        <v>4</v>
      </c>
      <c r="R822" s="2" t="inlineStr">
        <is>
          <t>Knärot
Garnlav
Tallticka
Vitgrynig nållav</t>
        </is>
      </c>
      <c r="S822">
        <f>HYPERLINK("https://klasma.github.io/Logging_2313/artfynd/A 46874-2025 artfynd.xlsx", "A 46874-2025")</f>
        <v/>
      </c>
      <c r="T822">
        <f>HYPERLINK("https://klasma.github.io/Logging_2313/kartor/A 46874-2025 karta.png", "A 46874-2025")</f>
        <v/>
      </c>
      <c r="U822">
        <f>HYPERLINK("https://klasma.github.io/Logging_2313/knärot/A 46874-2025 karta knärot.png", "A 46874-2025")</f>
        <v/>
      </c>
      <c r="V822">
        <f>HYPERLINK("https://klasma.github.io/Logging_2313/klagomål/A 46874-2025 FSC-klagomål.docx", "A 46874-2025")</f>
        <v/>
      </c>
      <c r="W822">
        <f>HYPERLINK("https://klasma.github.io/Logging_2313/klagomålsmail/A 46874-2025 FSC-klagomål mail.docx", "A 46874-2025")</f>
        <v/>
      </c>
      <c r="X822">
        <f>HYPERLINK("https://klasma.github.io/Logging_2313/tillsyn/A 46874-2025 tillsynsbegäran.docx", "A 46874-2025")</f>
        <v/>
      </c>
      <c r="Y822">
        <f>HYPERLINK("https://klasma.github.io/Logging_2313/tillsynsmail/A 46874-2025 tillsynsbegäran mail.docx", "A 46874-2025")</f>
        <v/>
      </c>
    </row>
    <row r="823" ht="15" customHeight="1">
      <c r="A823" t="inlineStr">
        <is>
          <t>A 21412-2025</t>
        </is>
      </c>
      <c r="B823" s="1" t="n">
        <v>45782.49100694444</v>
      </c>
      <c r="C823" s="1" t="n">
        <v>46045</v>
      </c>
      <c r="D823" t="inlineStr">
        <is>
          <t>JÄMTLANDS LÄN</t>
        </is>
      </c>
      <c r="E823" t="inlineStr">
        <is>
          <t>BRÄCKE</t>
        </is>
      </c>
      <c r="F823" t="inlineStr">
        <is>
          <t>SCA</t>
        </is>
      </c>
      <c r="G823" t="n">
        <v>1.7</v>
      </c>
      <c r="H823" t="n">
        <v>1</v>
      </c>
      <c r="I823" t="n">
        <v>2</v>
      </c>
      <c r="J823" t="n">
        <v>1</v>
      </c>
      <c r="K823" t="n">
        <v>0</v>
      </c>
      <c r="L823" t="n">
        <v>0</v>
      </c>
      <c r="M823" t="n">
        <v>0</v>
      </c>
      <c r="N823" t="n">
        <v>0</v>
      </c>
      <c r="O823" t="n">
        <v>1</v>
      </c>
      <c r="P823" t="n">
        <v>0</v>
      </c>
      <c r="Q823" t="n">
        <v>4</v>
      </c>
      <c r="R823" s="2" t="inlineStr">
        <is>
          <t>Lunglav
Kransrams
Svart trolldruva
Fläcknycklar</t>
        </is>
      </c>
      <c r="S823">
        <f>HYPERLINK("https://klasma.github.io/Logging_2305/artfynd/A 21412-2025 artfynd.xlsx", "A 21412-2025")</f>
        <v/>
      </c>
      <c r="T823">
        <f>HYPERLINK("https://klasma.github.io/Logging_2305/kartor/A 21412-2025 karta.png", "A 21412-2025")</f>
        <v/>
      </c>
      <c r="V823">
        <f>HYPERLINK("https://klasma.github.io/Logging_2305/klagomål/A 21412-2025 FSC-klagomål.docx", "A 21412-2025")</f>
        <v/>
      </c>
      <c r="W823">
        <f>HYPERLINK("https://klasma.github.io/Logging_2305/klagomålsmail/A 21412-2025 FSC-klagomål mail.docx", "A 21412-2025")</f>
        <v/>
      </c>
      <c r="X823">
        <f>HYPERLINK("https://klasma.github.io/Logging_2305/tillsyn/A 21412-2025 tillsynsbegäran.docx", "A 21412-2025")</f>
        <v/>
      </c>
      <c r="Y823">
        <f>HYPERLINK("https://klasma.github.io/Logging_2305/tillsynsmail/A 21412-2025 tillsynsbegäran mail.docx", "A 21412-2025")</f>
        <v/>
      </c>
    </row>
    <row r="824" ht="15" customHeight="1">
      <c r="A824" t="inlineStr">
        <is>
          <t>A 21441-2025</t>
        </is>
      </c>
      <c r="B824" s="1" t="n">
        <v>45782.53157407408</v>
      </c>
      <c r="C824" s="1" t="n">
        <v>46045</v>
      </c>
      <c r="D824" t="inlineStr">
        <is>
          <t>JÄMTLANDS LÄN</t>
        </is>
      </c>
      <c r="E824" t="inlineStr">
        <is>
          <t>BRÄCKE</t>
        </is>
      </c>
      <c r="F824" t="inlineStr">
        <is>
          <t>SCA</t>
        </is>
      </c>
      <c r="G824" t="n">
        <v>5.5</v>
      </c>
      <c r="H824" t="n">
        <v>2</v>
      </c>
      <c r="I824" t="n">
        <v>1</v>
      </c>
      <c r="J824" t="n">
        <v>3</v>
      </c>
      <c r="K824" t="n">
        <v>0</v>
      </c>
      <c r="L824" t="n">
        <v>0</v>
      </c>
      <c r="M824" t="n">
        <v>0</v>
      </c>
      <c r="N824" t="n">
        <v>0</v>
      </c>
      <c r="O824" t="n">
        <v>3</v>
      </c>
      <c r="P824" t="n">
        <v>0</v>
      </c>
      <c r="Q824" t="n">
        <v>4</v>
      </c>
      <c r="R824" s="2" t="inlineStr">
        <is>
          <t>Garnlav
Lunglav
Tretåig hackspett
Spindelblomster</t>
        </is>
      </c>
      <c r="S824">
        <f>HYPERLINK("https://klasma.github.io/Logging_2305/artfynd/A 21441-2025 artfynd.xlsx", "A 21441-2025")</f>
        <v/>
      </c>
      <c r="T824">
        <f>HYPERLINK("https://klasma.github.io/Logging_2305/kartor/A 21441-2025 karta.png", "A 21441-2025")</f>
        <v/>
      </c>
      <c r="V824">
        <f>HYPERLINK("https://klasma.github.io/Logging_2305/klagomål/A 21441-2025 FSC-klagomål.docx", "A 21441-2025")</f>
        <v/>
      </c>
      <c r="W824">
        <f>HYPERLINK("https://klasma.github.io/Logging_2305/klagomålsmail/A 21441-2025 FSC-klagomål mail.docx", "A 21441-2025")</f>
        <v/>
      </c>
      <c r="X824">
        <f>HYPERLINK("https://klasma.github.io/Logging_2305/tillsyn/A 21441-2025 tillsynsbegäran.docx", "A 21441-2025")</f>
        <v/>
      </c>
      <c r="Y824">
        <f>HYPERLINK("https://klasma.github.io/Logging_2305/tillsynsmail/A 21441-2025 tillsynsbegäran mail.docx", "A 21441-2025")</f>
        <v/>
      </c>
      <c r="Z824">
        <f>HYPERLINK("https://klasma.github.io/Logging_2305/fåglar/A 21441-2025 prioriterade fågelarter.docx", "A 21441-2025")</f>
        <v/>
      </c>
    </row>
    <row r="825" ht="15" customHeight="1">
      <c r="A825" t="inlineStr">
        <is>
          <t>A 41493-2025</t>
        </is>
      </c>
      <c r="B825" s="1" t="n">
        <v>45901.49171296296</v>
      </c>
      <c r="C825" s="1" t="n">
        <v>46045</v>
      </c>
      <c r="D825" t="inlineStr">
        <is>
          <t>JÄMTLANDS LÄN</t>
        </is>
      </c>
      <c r="E825" t="inlineStr">
        <is>
          <t>ÖSTERSUND</t>
        </is>
      </c>
      <c r="F825" t="inlineStr">
        <is>
          <t>Övriga Aktiebolag</t>
        </is>
      </c>
      <c r="G825" t="n">
        <v>0.8</v>
      </c>
      <c r="H825" t="n">
        <v>1</v>
      </c>
      <c r="I825" t="n">
        <v>1</v>
      </c>
      <c r="J825" t="n">
        <v>2</v>
      </c>
      <c r="K825" t="n">
        <v>0</v>
      </c>
      <c r="L825" t="n">
        <v>0</v>
      </c>
      <c r="M825" t="n">
        <v>0</v>
      </c>
      <c r="N825" t="n">
        <v>0</v>
      </c>
      <c r="O825" t="n">
        <v>2</v>
      </c>
      <c r="P825" t="n">
        <v>0</v>
      </c>
      <c r="Q825" t="n">
        <v>4</v>
      </c>
      <c r="R825" s="2" t="inlineStr">
        <is>
          <t>Granticka
Harticka
Trådticka
Revlummer</t>
        </is>
      </c>
      <c r="S825">
        <f>HYPERLINK("https://klasma.github.io/Logging_2380/artfynd/A 41493-2025 artfynd.xlsx", "A 41493-2025")</f>
        <v/>
      </c>
      <c r="T825">
        <f>HYPERLINK("https://klasma.github.io/Logging_2380/kartor/A 41493-2025 karta.png", "A 41493-2025")</f>
        <v/>
      </c>
      <c r="V825">
        <f>HYPERLINK("https://klasma.github.io/Logging_2380/klagomål/A 41493-2025 FSC-klagomål.docx", "A 41493-2025")</f>
        <v/>
      </c>
      <c r="W825">
        <f>HYPERLINK("https://klasma.github.io/Logging_2380/klagomålsmail/A 41493-2025 FSC-klagomål mail.docx", "A 41493-2025")</f>
        <v/>
      </c>
      <c r="X825">
        <f>HYPERLINK("https://klasma.github.io/Logging_2380/tillsyn/A 41493-2025 tillsynsbegäran.docx", "A 41493-2025")</f>
        <v/>
      </c>
      <c r="Y825">
        <f>HYPERLINK("https://klasma.github.io/Logging_2380/tillsynsmail/A 41493-2025 tillsynsbegäran mail.docx", "A 41493-2025")</f>
        <v/>
      </c>
    </row>
    <row r="826" ht="15" customHeight="1">
      <c r="A826" t="inlineStr">
        <is>
          <t>A 31127-2025</t>
        </is>
      </c>
      <c r="B826" s="1" t="n">
        <v>45831</v>
      </c>
      <c r="C826" s="1" t="n">
        <v>46045</v>
      </c>
      <c r="D826" t="inlineStr">
        <is>
          <t>JÄMTLANDS LÄN</t>
        </is>
      </c>
      <c r="E826" t="inlineStr">
        <is>
          <t>ÖSTERSUND</t>
        </is>
      </c>
      <c r="G826" t="n">
        <v>4.3</v>
      </c>
      <c r="H826" t="n">
        <v>2</v>
      </c>
      <c r="I826" t="n">
        <v>1</v>
      </c>
      <c r="J826" t="n">
        <v>2</v>
      </c>
      <c r="K826" t="n">
        <v>0</v>
      </c>
      <c r="L826" t="n">
        <v>0</v>
      </c>
      <c r="M826" t="n">
        <v>0</v>
      </c>
      <c r="N826" t="n">
        <v>0</v>
      </c>
      <c r="O826" t="n">
        <v>2</v>
      </c>
      <c r="P826" t="n">
        <v>0</v>
      </c>
      <c r="Q826" t="n">
        <v>4</v>
      </c>
      <c r="R826" s="2" t="inlineStr">
        <is>
          <t>Granticka
Talltita
Kransrams
Revlummer</t>
        </is>
      </c>
      <c r="S826">
        <f>HYPERLINK("https://klasma.github.io/Logging_2380/artfynd/A 31127-2025 artfynd.xlsx", "A 31127-2025")</f>
        <v/>
      </c>
      <c r="T826">
        <f>HYPERLINK("https://klasma.github.io/Logging_2380/kartor/A 31127-2025 karta.png", "A 31127-2025")</f>
        <v/>
      </c>
      <c r="V826">
        <f>HYPERLINK("https://klasma.github.io/Logging_2380/klagomål/A 31127-2025 FSC-klagomål.docx", "A 31127-2025")</f>
        <v/>
      </c>
      <c r="W826">
        <f>HYPERLINK("https://klasma.github.io/Logging_2380/klagomålsmail/A 31127-2025 FSC-klagomål mail.docx", "A 31127-2025")</f>
        <v/>
      </c>
      <c r="X826">
        <f>HYPERLINK("https://klasma.github.io/Logging_2380/tillsyn/A 31127-2025 tillsynsbegäran.docx", "A 31127-2025")</f>
        <v/>
      </c>
      <c r="Y826">
        <f>HYPERLINK("https://klasma.github.io/Logging_2380/tillsynsmail/A 31127-2025 tillsynsbegäran mail.docx", "A 31127-2025")</f>
        <v/>
      </c>
      <c r="Z826">
        <f>HYPERLINK("https://klasma.github.io/Logging_2380/fåglar/A 31127-2025 prioriterade fågelarter.docx", "A 31127-2025")</f>
        <v/>
      </c>
    </row>
    <row r="827" ht="15" customHeight="1">
      <c r="A827" t="inlineStr">
        <is>
          <t>A 12640-2024</t>
        </is>
      </c>
      <c r="B827" s="1" t="n">
        <v>45384</v>
      </c>
      <c r="C827" s="1" t="n">
        <v>46045</v>
      </c>
      <c r="D827" t="inlineStr">
        <is>
          <t>JÄMTLANDS LÄN</t>
        </is>
      </c>
      <c r="E827" t="inlineStr">
        <is>
          <t>RAGUNDA</t>
        </is>
      </c>
      <c r="G827" t="n">
        <v>3.3</v>
      </c>
      <c r="H827" t="n">
        <v>0</v>
      </c>
      <c r="I827" t="n">
        <v>2</v>
      </c>
      <c r="J827" t="n">
        <v>1</v>
      </c>
      <c r="K827" t="n">
        <v>1</v>
      </c>
      <c r="L827" t="n">
        <v>0</v>
      </c>
      <c r="M827" t="n">
        <v>0</v>
      </c>
      <c r="N827" t="n">
        <v>0</v>
      </c>
      <c r="O827" t="n">
        <v>2</v>
      </c>
      <c r="P827" t="n">
        <v>1</v>
      </c>
      <c r="Q827" t="n">
        <v>4</v>
      </c>
      <c r="R827" s="2" t="inlineStr">
        <is>
          <t>Spadskinn
Vedskivlav
Dropptaggsvamp
Skarp dropptaggsvamp</t>
        </is>
      </c>
      <c r="S827">
        <f>HYPERLINK("https://klasma.github.io/Logging_2303/artfynd/A 12640-2024 artfynd.xlsx", "A 12640-2024")</f>
        <v/>
      </c>
      <c r="T827">
        <f>HYPERLINK("https://klasma.github.io/Logging_2303/kartor/A 12640-2024 karta.png", "A 12640-2024")</f>
        <v/>
      </c>
      <c r="V827">
        <f>HYPERLINK("https://klasma.github.io/Logging_2303/klagomål/A 12640-2024 FSC-klagomål.docx", "A 12640-2024")</f>
        <v/>
      </c>
      <c r="W827">
        <f>HYPERLINK("https://klasma.github.io/Logging_2303/klagomålsmail/A 12640-2024 FSC-klagomål mail.docx", "A 12640-2024")</f>
        <v/>
      </c>
      <c r="X827">
        <f>HYPERLINK("https://klasma.github.io/Logging_2303/tillsyn/A 12640-2024 tillsynsbegäran.docx", "A 12640-2024")</f>
        <v/>
      </c>
      <c r="Y827">
        <f>HYPERLINK("https://klasma.github.io/Logging_2303/tillsynsmail/A 12640-2024 tillsynsbegäran mail.docx", "A 12640-2024")</f>
        <v/>
      </c>
    </row>
    <row r="828" ht="15" customHeight="1">
      <c r="A828" t="inlineStr">
        <is>
          <t>A 12268-2024</t>
        </is>
      </c>
      <c r="B828" s="1" t="n">
        <v>45378</v>
      </c>
      <c r="C828" s="1" t="n">
        <v>46045</v>
      </c>
      <c r="D828" t="inlineStr">
        <is>
          <t>JÄMTLANDS LÄN</t>
        </is>
      </c>
      <c r="E828" t="inlineStr">
        <is>
          <t>RAGUNDA</t>
        </is>
      </c>
      <c r="F828" t="inlineStr">
        <is>
          <t>Kommuner</t>
        </is>
      </c>
      <c r="G828" t="n">
        <v>15.7</v>
      </c>
      <c r="H828" t="n">
        <v>0</v>
      </c>
      <c r="I828" t="n">
        <v>0</v>
      </c>
      <c r="J828" t="n">
        <v>4</v>
      </c>
      <c r="K828" t="n">
        <v>0</v>
      </c>
      <c r="L828" t="n">
        <v>0</v>
      </c>
      <c r="M828" t="n">
        <v>0</v>
      </c>
      <c r="N828" t="n">
        <v>0</v>
      </c>
      <c r="O828" t="n">
        <v>4</v>
      </c>
      <c r="P828" t="n">
        <v>0</v>
      </c>
      <c r="Q828" t="n">
        <v>4</v>
      </c>
      <c r="R828" s="2" t="inlineStr">
        <is>
          <t>Granticka
Mörk kolflarnlav
Vedskivlav
Vitgrynig nållav</t>
        </is>
      </c>
      <c r="S828">
        <f>HYPERLINK("https://klasma.github.io/Logging_2303/artfynd/A 12268-2024 artfynd.xlsx", "A 12268-2024")</f>
        <v/>
      </c>
      <c r="T828">
        <f>HYPERLINK("https://klasma.github.io/Logging_2303/kartor/A 12268-2024 karta.png", "A 12268-2024")</f>
        <v/>
      </c>
      <c r="V828">
        <f>HYPERLINK("https://klasma.github.io/Logging_2303/klagomål/A 12268-2024 FSC-klagomål.docx", "A 12268-2024")</f>
        <v/>
      </c>
      <c r="W828">
        <f>HYPERLINK("https://klasma.github.io/Logging_2303/klagomålsmail/A 12268-2024 FSC-klagomål mail.docx", "A 12268-2024")</f>
        <v/>
      </c>
      <c r="X828">
        <f>HYPERLINK("https://klasma.github.io/Logging_2303/tillsyn/A 12268-2024 tillsynsbegäran.docx", "A 12268-2024")</f>
        <v/>
      </c>
      <c r="Y828">
        <f>HYPERLINK("https://klasma.github.io/Logging_2303/tillsynsmail/A 12268-2024 tillsynsbegäran mail.docx", "A 12268-2024")</f>
        <v/>
      </c>
    </row>
    <row r="829" ht="15" customHeight="1">
      <c r="A829" t="inlineStr">
        <is>
          <t>A 49192-2025</t>
        </is>
      </c>
      <c r="B829" s="1" t="n">
        <v>45938.40790509259</v>
      </c>
      <c r="C829" s="1" t="n">
        <v>46045</v>
      </c>
      <c r="D829" t="inlineStr">
        <is>
          <t>JÄMTLANDS LÄN</t>
        </is>
      </c>
      <c r="E829" t="inlineStr">
        <is>
          <t>ÖSTERSUND</t>
        </is>
      </c>
      <c r="F829" t="inlineStr">
        <is>
          <t>SCA</t>
        </is>
      </c>
      <c r="G829" t="n">
        <v>2.6</v>
      </c>
      <c r="H829" t="n">
        <v>2</v>
      </c>
      <c r="I829" t="n">
        <v>2</v>
      </c>
      <c r="J829" t="n">
        <v>1</v>
      </c>
      <c r="K829" t="n">
        <v>0</v>
      </c>
      <c r="L829" t="n">
        <v>0</v>
      </c>
      <c r="M829" t="n">
        <v>0</v>
      </c>
      <c r="N829" t="n">
        <v>0</v>
      </c>
      <c r="O829" t="n">
        <v>1</v>
      </c>
      <c r="P829" t="n">
        <v>0</v>
      </c>
      <c r="Q829" t="n">
        <v>4</v>
      </c>
      <c r="R829" s="2" t="inlineStr">
        <is>
          <t>Kolflarnlav
Guckusko
Tibast
Blåsippa</t>
        </is>
      </c>
      <c r="S829">
        <f>HYPERLINK("https://klasma.github.io/Logging_2380/artfynd/A 49192-2025 artfynd.xlsx", "A 49192-2025")</f>
        <v/>
      </c>
      <c r="T829">
        <f>HYPERLINK("https://klasma.github.io/Logging_2380/kartor/A 49192-2025 karta.png", "A 49192-2025")</f>
        <v/>
      </c>
      <c r="V829">
        <f>HYPERLINK("https://klasma.github.io/Logging_2380/klagomål/A 49192-2025 FSC-klagomål.docx", "A 49192-2025")</f>
        <v/>
      </c>
      <c r="W829">
        <f>HYPERLINK("https://klasma.github.io/Logging_2380/klagomålsmail/A 49192-2025 FSC-klagomål mail.docx", "A 49192-2025")</f>
        <v/>
      </c>
      <c r="X829">
        <f>HYPERLINK("https://klasma.github.io/Logging_2380/tillsyn/A 49192-2025 tillsynsbegäran.docx", "A 49192-2025")</f>
        <v/>
      </c>
      <c r="Y829">
        <f>HYPERLINK("https://klasma.github.io/Logging_2380/tillsynsmail/A 49192-2025 tillsynsbegäran mail.docx", "A 49192-2025")</f>
        <v/>
      </c>
    </row>
    <row r="830" ht="15" customHeight="1">
      <c r="A830" t="inlineStr">
        <is>
          <t>A 55344-2023</t>
        </is>
      </c>
      <c r="B830" s="1" t="n">
        <v>45237</v>
      </c>
      <c r="C830" s="1" t="n">
        <v>46045</v>
      </c>
      <c r="D830" t="inlineStr">
        <is>
          <t>JÄMTLANDS LÄN</t>
        </is>
      </c>
      <c r="E830" t="inlineStr">
        <is>
          <t>ÖSTERSUND</t>
        </is>
      </c>
      <c r="F830" t="inlineStr">
        <is>
          <t>SCA</t>
        </is>
      </c>
      <c r="G830" t="n">
        <v>1.5</v>
      </c>
      <c r="H830" t="n">
        <v>1</v>
      </c>
      <c r="I830" t="n">
        <v>1</v>
      </c>
      <c r="J830" t="n">
        <v>2</v>
      </c>
      <c r="K830" t="n">
        <v>1</v>
      </c>
      <c r="L830" t="n">
        <v>0</v>
      </c>
      <c r="M830" t="n">
        <v>0</v>
      </c>
      <c r="N830" t="n">
        <v>0</v>
      </c>
      <c r="O830" t="n">
        <v>3</v>
      </c>
      <c r="P830" t="n">
        <v>1</v>
      </c>
      <c r="Q830" t="n">
        <v>4</v>
      </c>
      <c r="R830" s="2" t="inlineStr">
        <is>
          <t>Lappuggla
Garnlav
Lunglav
Stuplav</t>
        </is>
      </c>
      <c r="S830">
        <f>HYPERLINK("https://klasma.github.io/Logging_2380/artfynd/A 55344-2023 artfynd.xlsx", "A 55344-2023")</f>
        <v/>
      </c>
      <c r="T830">
        <f>HYPERLINK("https://klasma.github.io/Logging_2380/kartor/A 55344-2023 karta.png", "A 55344-2023")</f>
        <v/>
      </c>
      <c r="V830">
        <f>HYPERLINK("https://klasma.github.io/Logging_2380/klagomål/A 55344-2023 FSC-klagomål.docx", "A 55344-2023")</f>
        <v/>
      </c>
      <c r="W830">
        <f>HYPERLINK("https://klasma.github.io/Logging_2380/klagomålsmail/A 55344-2023 FSC-klagomål mail.docx", "A 55344-2023")</f>
        <v/>
      </c>
      <c r="X830">
        <f>HYPERLINK("https://klasma.github.io/Logging_2380/tillsyn/A 55344-2023 tillsynsbegäran.docx", "A 55344-2023")</f>
        <v/>
      </c>
      <c r="Y830">
        <f>HYPERLINK("https://klasma.github.io/Logging_2380/tillsynsmail/A 55344-2023 tillsynsbegäran mail.docx", "A 55344-2023")</f>
        <v/>
      </c>
      <c r="Z830">
        <f>HYPERLINK("https://klasma.github.io/Logging_2380/fåglar/A 55344-2023 prioriterade fågelarter.docx", "A 55344-2023")</f>
        <v/>
      </c>
    </row>
    <row r="831" ht="15" customHeight="1">
      <c r="A831" t="inlineStr">
        <is>
          <t>A 20496-2025</t>
        </is>
      </c>
      <c r="B831" s="1" t="n">
        <v>45775.57347222222</v>
      </c>
      <c r="C831" s="1" t="n">
        <v>46045</v>
      </c>
      <c r="D831" t="inlineStr">
        <is>
          <t>JÄMTLANDS LÄN</t>
        </is>
      </c>
      <c r="E831" t="inlineStr">
        <is>
          <t>BRÄCKE</t>
        </is>
      </c>
      <c r="F831" t="inlineStr">
        <is>
          <t>SCA</t>
        </is>
      </c>
      <c r="G831" t="n">
        <v>2.2</v>
      </c>
      <c r="H831" t="n">
        <v>0</v>
      </c>
      <c r="I831" t="n">
        <v>1</v>
      </c>
      <c r="J831" t="n">
        <v>2</v>
      </c>
      <c r="K831" t="n">
        <v>1</v>
      </c>
      <c r="L831" t="n">
        <v>0</v>
      </c>
      <c r="M831" t="n">
        <v>0</v>
      </c>
      <c r="N831" t="n">
        <v>0</v>
      </c>
      <c r="O831" t="n">
        <v>3</v>
      </c>
      <c r="P831" t="n">
        <v>1</v>
      </c>
      <c r="Q831" t="n">
        <v>4</v>
      </c>
      <c r="R831" s="2" t="inlineStr">
        <is>
          <t>Gräddporing
Dvärgbägarlav
Kolflarnlav
Korallblylav</t>
        </is>
      </c>
      <c r="S831">
        <f>HYPERLINK("https://klasma.github.io/Logging_2305/artfynd/A 20496-2025 artfynd.xlsx", "A 20496-2025")</f>
        <v/>
      </c>
      <c r="T831">
        <f>HYPERLINK("https://klasma.github.io/Logging_2305/kartor/A 20496-2025 karta.png", "A 20496-2025")</f>
        <v/>
      </c>
      <c r="V831">
        <f>HYPERLINK("https://klasma.github.io/Logging_2305/klagomål/A 20496-2025 FSC-klagomål.docx", "A 20496-2025")</f>
        <v/>
      </c>
      <c r="W831">
        <f>HYPERLINK("https://klasma.github.io/Logging_2305/klagomålsmail/A 20496-2025 FSC-klagomål mail.docx", "A 20496-2025")</f>
        <v/>
      </c>
      <c r="X831">
        <f>HYPERLINK("https://klasma.github.io/Logging_2305/tillsyn/A 20496-2025 tillsynsbegäran.docx", "A 20496-2025")</f>
        <v/>
      </c>
      <c r="Y831">
        <f>HYPERLINK("https://klasma.github.io/Logging_2305/tillsynsmail/A 20496-2025 tillsynsbegäran mail.docx", "A 20496-2025")</f>
        <v/>
      </c>
    </row>
    <row r="832" ht="15" customHeight="1">
      <c r="A832" t="inlineStr">
        <is>
          <t>A 45424-2024</t>
        </is>
      </c>
      <c r="B832" s="1" t="n">
        <v>45576.60398148148</v>
      </c>
      <c r="C832" s="1" t="n">
        <v>46045</v>
      </c>
      <c r="D832" t="inlineStr">
        <is>
          <t>JÄMTLANDS LÄN</t>
        </is>
      </c>
      <c r="E832" t="inlineStr">
        <is>
          <t>BERG</t>
        </is>
      </c>
      <c r="G832" t="n">
        <v>11.8</v>
      </c>
      <c r="H832" t="n">
        <v>2</v>
      </c>
      <c r="I832" t="n">
        <v>1</v>
      </c>
      <c r="J832" t="n">
        <v>3</v>
      </c>
      <c r="K832" t="n">
        <v>0</v>
      </c>
      <c r="L832" t="n">
        <v>0</v>
      </c>
      <c r="M832" t="n">
        <v>0</v>
      </c>
      <c r="N832" t="n">
        <v>0</v>
      </c>
      <c r="O832" t="n">
        <v>3</v>
      </c>
      <c r="P832" t="n">
        <v>0</v>
      </c>
      <c r="Q832" t="n">
        <v>4</v>
      </c>
      <c r="R832" s="2" t="inlineStr">
        <is>
          <t>Garnlav
Lunglav
Spillkråka
Plattlummer</t>
        </is>
      </c>
      <c r="S832">
        <f>HYPERLINK("https://klasma.github.io/Logging_2326/artfynd/A 45424-2024 artfynd.xlsx", "A 45424-2024")</f>
        <v/>
      </c>
      <c r="T832">
        <f>HYPERLINK("https://klasma.github.io/Logging_2326/kartor/A 45424-2024 karta.png", "A 45424-2024")</f>
        <v/>
      </c>
      <c r="U832">
        <f>HYPERLINK("https://klasma.github.io/Logging_2326/knärot/A 45424-2024 karta knärot.png", "A 45424-2024")</f>
        <v/>
      </c>
      <c r="V832">
        <f>HYPERLINK("https://klasma.github.io/Logging_2326/klagomål/A 45424-2024 FSC-klagomål.docx", "A 45424-2024")</f>
        <v/>
      </c>
      <c r="W832">
        <f>HYPERLINK("https://klasma.github.io/Logging_2326/klagomålsmail/A 45424-2024 FSC-klagomål mail.docx", "A 45424-2024")</f>
        <v/>
      </c>
      <c r="X832">
        <f>HYPERLINK("https://klasma.github.io/Logging_2326/tillsyn/A 45424-2024 tillsynsbegäran.docx", "A 45424-2024")</f>
        <v/>
      </c>
      <c r="Y832">
        <f>HYPERLINK("https://klasma.github.io/Logging_2326/tillsynsmail/A 45424-2024 tillsynsbegäran mail.docx", "A 45424-2024")</f>
        <v/>
      </c>
      <c r="Z832">
        <f>HYPERLINK("https://klasma.github.io/Logging_2326/fåglar/A 45424-2024 prioriterade fågelarter.docx", "A 45424-2024")</f>
        <v/>
      </c>
    </row>
    <row r="833" ht="15" customHeight="1">
      <c r="A833" t="inlineStr">
        <is>
          <t>A 13487-2024</t>
        </is>
      </c>
      <c r="B833" s="1" t="n">
        <v>45387</v>
      </c>
      <c r="C833" s="1" t="n">
        <v>46045</v>
      </c>
      <c r="D833" t="inlineStr">
        <is>
          <t>JÄMTLANDS LÄN</t>
        </is>
      </c>
      <c r="E833" t="inlineStr">
        <is>
          <t>BERG</t>
        </is>
      </c>
      <c r="G833" t="n">
        <v>13.1</v>
      </c>
      <c r="H833" t="n">
        <v>2</v>
      </c>
      <c r="I833" t="n">
        <v>0</v>
      </c>
      <c r="J833" t="n">
        <v>3</v>
      </c>
      <c r="K833" t="n">
        <v>1</v>
      </c>
      <c r="L833" t="n">
        <v>0</v>
      </c>
      <c r="M833" t="n">
        <v>0</v>
      </c>
      <c r="N833" t="n">
        <v>0</v>
      </c>
      <c r="O833" t="n">
        <v>4</v>
      </c>
      <c r="P833" t="n">
        <v>1</v>
      </c>
      <c r="Q833" t="n">
        <v>4</v>
      </c>
      <c r="R833" s="2" t="inlineStr">
        <is>
          <t>Doftticka
Garnlav
Lunglav
Tretåig hackspett</t>
        </is>
      </c>
      <c r="S833">
        <f>HYPERLINK("https://klasma.github.io/Logging_2326/artfynd/A 13487-2024 artfynd.xlsx", "A 13487-2024")</f>
        <v/>
      </c>
      <c r="T833">
        <f>HYPERLINK("https://klasma.github.io/Logging_2326/kartor/A 13487-2024 karta.png", "A 13487-2024")</f>
        <v/>
      </c>
      <c r="V833">
        <f>HYPERLINK("https://klasma.github.io/Logging_2326/klagomål/A 13487-2024 FSC-klagomål.docx", "A 13487-2024")</f>
        <v/>
      </c>
      <c r="W833">
        <f>HYPERLINK("https://klasma.github.io/Logging_2326/klagomålsmail/A 13487-2024 FSC-klagomål mail.docx", "A 13487-2024")</f>
        <v/>
      </c>
      <c r="X833">
        <f>HYPERLINK("https://klasma.github.io/Logging_2326/tillsyn/A 13487-2024 tillsynsbegäran.docx", "A 13487-2024")</f>
        <v/>
      </c>
      <c r="Y833">
        <f>HYPERLINK("https://klasma.github.io/Logging_2326/tillsynsmail/A 13487-2024 tillsynsbegäran mail.docx", "A 13487-2024")</f>
        <v/>
      </c>
      <c r="Z833">
        <f>HYPERLINK("https://klasma.github.io/Logging_2326/fåglar/A 13487-2024 prioriterade fågelarter.docx", "A 13487-2024")</f>
        <v/>
      </c>
    </row>
    <row r="834" ht="15" customHeight="1">
      <c r="A834" t="inlineStr">
        <is>
          <t>A 56183-2022</t>
        </is>
      </c>
      <c r="B834" s="1" t="n">
        <v>44889</v>
      </c>
      <c r="C834" s="1" t="n">
        <v>46045</v>
      </c>
      <c r="D834" t="inlineStr">
        <is>
          <t>JÄMTLANDS LÄN</t>
        </is>
      </c>
      <c r="E834" t="inlineStr">
        <is>
          <t>ÅRE</t>
        </is>
      </c>
      <c r="G834" t="n">
        <v>29.8</v>
      </c>
      <c r="H834" t="n">
        <v>1</v>
      </c>
      <c r="I834" t="n">
        <v>0</v>
      </c>
      <c r="J834" t="n">
        <v>4</v>
      </c>
      <c r="K834" t="n">
        <v>0</v>
      </c>
      <c r="L834" t="n">
        <v>0</v>
      </c>
      <c r="M834" t="n">
        <v>0</v>
      </c>
      <c r="N834" t="n">
        <v>0</v>
      </c>
      <c r="O834" t="n">
        <v>4</v>
      </c>
      <c r="P834" t="n">
        <v>0</v>
      </c>
      <c r="Q834" t="n">
        <v>4</v>
      </c>
      <c r="R834" s="2" t="inlineStr">
        <is>
          <t>Gammelgransskål
Granticka
Skrovellav
Tretåig hackspett</t>
        </is>
      </c>
      <c r="S834">
        <f>HYPERLINK("https://klasma.github.io/Logging_2321/artfynd/A 56183-2022 artfynd.xlsx", "A 56183-2022")</f>
        <v/>
      </c>
      <c r="T834">
        <f>HYPERLINK("https://klasma.github.io/Logging_2321/kartor/A 56183-2022 karta.png", "A 56183-2022")</f>
        <v/>
      </c>
      <c r="V834">
        <f>HYPERLINK("https://klasma.github.io/Logging_2321/klagomål/A 56183-2022 FSC-klagomål.docx", "A 56183-2022")</f>
        <v/>
      </c>
      <c r="W834">
        <f>HYPERLINK("https://klasma.github.io/Logging_2321/klagomålsmail/A 56183-2022 FSC-klagomål mail.docx", "A 56183-2022")</f>
        <v/>
      </c>
      <c r="X834">
        <f>HYPERLINK("https://klasma.github.io/Logging_2321/tillsyn/A 56183-2022 tillsynsbegäran.docx", "A 56183-2022")</f>
        <v/>
      </c>
      <c r="Y834">
        <f>HYPERLINK("https://klasma.github.io/Logging_2321/tillsynsmail/A 56183-2022 tillsynsbegäran mail.docx", "A 56183-2022")</f>
        <v/>
      </c>
      <c r="Z834">
        <f>HYPERLINK("https://klasma.github.io/Logging_2321/fåglar/A 56183-2022 prioriterade fågelarter.docx", "A 56183-2022")</f>
        <v/>
      </c>
    </row>
    <row r="835" ht="15" customHeight="1">
      <c r="A835" t="inlineStr">
        <is>
          <t>A 51873-2023</t>
        </is>
      </c>
      <c r="B835" s="1" t="n">
        <v>45215</v>
      </c>
      <c r="C835" s="1" t="n">
        <v>46045</v>
      </c>
      <c r="D835" t="inlineStr">
        <is>
          <t>JÄMTLANDS LÄN</t>
        </is>
      </c>
      <c r="E835" t="inlineStr">
        <is>
          <t>STRÖMSUND</t>
        </is>
      </c>
      <c r="G835" t="n">
        <v>11.2</v>
      </c>
      <c r="H835" t="n">
        <v>2</v>
      </c>
      <c r="I835" t="n">
        <v>0</v>
      </c>
      <c r="J835" t="n">
        <v>4</v>
      </c>
      <c r="K835" t="n">
        <v>0</v>
      </c>
      <c r="L835" t="n">
        <v>0</v>
      </c>
      <c r="M835" t="n">
        <v>0</v>
      </c>
      <c r="N835" t="n">
        <v>0</v>
      </c>
      <c r="O835" t="n">
        <v>4</v>
      </c>
      <c r="P835" t="n">
        <v>0</v>
      </c>
      <c r="Q835" t="n">
        <v>4</v>
      </c>
      <c r="R835" s="2" t="inlineStr">
        <is>
          <t>Garnlav
Lunglav
Talltita
Tretåig hackspett</t>
        </is>
      </c>
      <c r="S835">
        <f>HYPERLINK("https://klasma.github.io/Logging_2313/artfynd/A 51873-2023 artfynd.xlsx", "A 51873-2023")</f>
        <v/>
      </c>
      <c r="T835">
        <f>HYPERLINK("https://klasma.github.io/Logging_2313/kartor/A 51873-2023 karta.png", "A 51873-2023")</f>
        <v/>
      </c>
      <c r="V835">
        <f>HYPERLINK("https://klasma.github.io/Logging_2313/klagomål/A 51873-2023 FSC-klagomål.docx", "A 51873-2023")</f>
        <v/>
      </c>
      <c r="W835">
        <f>HYPERLINK("https://klasma.github.io/Logging_2313/klagomålsmail/A 51873-2023 FSC-klagomål mail.docx", "A 51873-2023")</f>
        <v/>
      </c>
      <c r="X835">
        <f>HYPERLINK("https://klasma.github.io/Logging_2313/tillsyn/A 51873-2023 tillsynsbegäran.docx", "A 51873-2023")</f>
        <v/>
      </c>
      <c r="Y835">
        <f>HYPERLINK("https://klasma.github.io/Logging_2313/tillsynsmail/A 51873-2023 tillsynsbegäran mail.docx", "A 51873-2023")</f>
        <v/>
      </c>
      <c r="Z835">
        <f>HYPERLINK("https://klasma.github.io/Logging_2313/fåglar/A 51873-2023 prioriterade fågelarter.docx", "A 51873-2023")</f>
        <v/>
      </c>
    </row>
    <row r="836" ht="15" customHeight="1">
      <c r="A836" t="inlineStr">
        <is>
          <t>A 52017-2025</t>
        </is>
      </c>
      <c r="B836" s="1" t="n">
        <v>45952.59800925926</v>
      </c>
      <c r="C836" s="1" t="n">
        <v>46045</v>
      </c>
      <c r="D836" t="inlineStr">
        <is>
          <t>JÄMTLANDS LÄN</t>
        </is>
      </c>
      <c r="E836" t="inlineStr">
        <is>
          <t>HÄRJEDALEN</t>
        </is>
      </c>
      <c r="F836" t="inlineStr">
        <is>
          <t>Holmen skog AB</t>
        </is>
      </c>
      <c r="G836" t="n">
        <v>2.8</v>
      </c>
      <c r="H836" t="n">
        <v>2</v>
      </c>
      <c r="I836" t="n">
        <v>0</v>
      </c>
      <c r="J836" t="n">
        <v>4</v>
      </c>
      <c r="K836" t="n">
        <v>0</v>
      </c>
      <c r="L836" t="n">
        <v>0</v>
      </c>
      <c r="M836" t="n">
        <v>0</v>
      </c>
      <c r="N836" t="n">
        <v>0</v>
      </c>
      <c r="O836" t="n">
        <v>4</v>
      </c>
      <c r="P836" t="n">
        <v>0</v>
      </c>
      <c r="Q836" t="n">
        <v>4</v>
      </c>
      <c r="R836" s="2" t="inlineStr">
        <is>
          <t>Lunglav
Mörk kolflarnlav
Talltita
Tretåig hackspett</t>
        </is>
      </c>
      <c r="S836">
        <f>HYPERLINK("https://klasma.github.io/Logging_2361/artfynd/A 52017-2025 artfynd.xlsx", "A 52017-2025")</f>
        <v/>
      </c>
      <c r="T836">
        <f>HYPERLINK("https://klasma.github.io/Logging_2361/kartor/A 52017-2025 karta.png", "A 52017-2025")</f>
        <v/>
      </c>
      <c r="V836">
        <f>HYPERLINK("https://klasma.github.io/Logging_2361/klagomål/A 52017-2025 FSC-klagomål.docx", "A 52017-2025")</f>
        <v/>
      </c>
      <c r="W836">
        <f>HYPERLINK("https://klasma.github.io/Logging_2361/klagomålsmail/A 52017-2025 FSC-klagomål mail.docx", "A 52017-2025")</f>
        <v/>
      </c>
      <c r="X836">
        <f>HYPERLINK("https://klasma.github.io/Logging_2361/tillsyn/A 52017-2025 tillsynsbegäran.docx", "A 52017-2025")</f>
        <v/>
      </c>
      <c r="Y836">
        <f>HYPERLINK("https://klasma.github.io/Logging_2361/tillsynsmail/A 52017-2025 tillsynsbegäran mail.docx", "A 52017-2025")</f>
        <v/>
      </c>
      <c r="Z836">
        <f>HYPERLINK("https://klasma.github.io/Logging_2361/fåglar/A 52017-2025 prioriterade fågelarter.docx", "A 52017-2025")</f>
        <v/>
      </c>
    </row>
    <row r="837" ht="15" customHeight="1">
      <c r="A837" t="inlineStr">
        <is>
          <t>A 52168-2025</t>
        </is>
      </c>
      <c r="B837" s="1" t="n">
        <v>45953.365625</v>
      </c>
      <c r="C837" s="1" t="n">
        <v>46045</v>
      </c>
      <c r="D837" t="inlineStr">
        <is>
          <t>JÄMTLANDS LÄN</t>
        </is>
      </c>
      <c r="E837" t="inlineStr">
        <is>
          <t>RAGUNDA</t>
        </is>
      </c>
      <c r="F837" t="inlineStr">
        <is>
          <t>SCA</t>
        </is>
      </c>
      <c r="G837" t="n">
        <v>19.5</v>
      </c>
      <c r="H837" t="n">
        <v>0</v>
      </c>
      <c r="I837" t="n">
        <v>1</v>
      </c>
      <c r="J837" t="n">
        <v>3</v>
      </c>
      <c r="K837" t="n">
        <v>0</v>
      </c>
      <c r="L837" t="n">
        <v>0</v>
      </c>
      <c r="M837" t="n">
        <v>0</v>
      </c>
      <c r="N837" t="n">
        <v>0</v>
      </c>
      <c r="O837" t="n">
        <v>3</v>
      </c>
      <c r="P837" t="n">
        <v>0</v>
      </c>
      <c r="Q837" t="n">
        <v>4</v>
      </c>
      <c r="R837" s="2" t="inlineStr">
        <is>
          <t>Garnlav
Granticka
Vitgrynig nållav
Källmossa</t>
        </is>
      </c>
      <c r="S837">
        <f>HYPERLINK("https://klasma.github.io/Logging_2303/artfynd/A 52168-2025 artfynd.xlsx", "A 52168-2025")</f>
        <v/>
      </c>
      <c r="T837">
        <f>HYPERLINK("https://klasma.github.io/Logging_2303/kartor/A 52168-2025 karta.png", "A 52168-2025")</f>
        <v/>
      </c>
      <c r="V837">
        <f>HYPERLINK("https://klasma.github.io/Logging_2303/klagomål/A 52168-2025 FSC-klagomål.docx", "A 52168-2025")</f>
        <v/>
      </c>
      <c r="W837">
        <f>HYPERLINK("https://klasma.github.io/Logging_2303/klagomålsmail/A 52168-2025 FSC-klagomål mail.docx", "A 52168-2025")</f>
        <v/>
      </c>
      <c r="X837">
        <f>HYPERLINK("https://klasma.github.io/Logging_2303/tillsyn/A 52168-2025 tillsynsbegäran.docx", "A 52168-2025")</f>
        <v/>
      </c>
      <c r="Y837">
        <f>HYPERLINK("https://klasma.github.io/Logging_2303/tillsynsmail/A 52168-2025 tillsynsbegäran mail.docx", "A 52168-2025")</f>
        <v/>
      </c>
    </row>
    <row r="838" ht="15" customHeight="1">
      <c r="A838" t="inlineStr">
        <is>
          <t>A 10543-2022</t>
        </is>
      </c>
      <c r="B838" s="1" t="n">
        <v>44623</v>
      </c>
      <c r="C838" s="1" t="n">
        <v>46045</v>
      </c>
      <c r="D838" t="inlineStr">
        <is>
          <t>JÄMTLANDS LÄN</t>
        </is>
      </c>
      <c r="E838" t="inlineStr">
        <is>
          <t>BRÄCKE</t>
        </is>
      </c>
      <c r="G838" t="n">
        <v>9.199999999999999</v>
      </c>
      <c r="H838" t="n">
        <v>4</v>
      </c>
      <c r="I838" t="n">
        <v>0</v>
      </c>
      <c r="J838" t="n">
        <v>2</v>
      </c>
      <c r="K838" t="n">
        <v>1</v>
      </c>
      <c r="L838" t="n">
        <v>0</v>
      </c>
      <c r="M838" t="n">
        <v>0</v>
      </c>
      <c r="N838" t="n">
        <v>0</v>
      </c>
      <c r="O838" t="n">
        <v>3</v>
      </c>
      <c r="P838" t="n">
        <v>1</v>
      </c>
      <c r="Q838" t="n">
        <v>4</v>
      </c>
      <c r="R838" s="2" t="inlineStr">
        <is>
          <t>Knärot
Järpe
Tretåig hackspett
Nattviol</t>
        </is>
      </c>
      <c r="S838">
        <f>HYPERLINK("https://klasma.github.io/Logging_2305/artfynd/A 10543-2022 artfynd.xlsx", "A 10543-2022")</f>
        <v/>
      </c>
      <c r="T838">
        <f>HYPERLINK("https://klasma.github.io/Logging_2305/kartor/A 10543-2022 karta.png", "A 10543-2022")</f>
        <v/>
      </c>
      <c r="U838">
        <f>HYPERLINK("https://klasma.github.io/Logging_2305/knärot/A 10543-2022 karta knärot.png", "A 10543-2022")</f>
        <v/>
      </c>
      <c r="V838">
        <f>HYPERLINK("https://klasma.github.io/Logging_2305/klagomål/A 10543-2022 FSC-klagomål.docx", "A 10543-2022")</f>
        <v/>
      </c>
      <c r="W838">
        <f>HYPERLINK("https://klasma.github.io/Logging_2305/klagomålsmail/A 10543-2022 FSC-klagomål mail.docx", "A 10543-2022")</f>
        <v/>
      </c>
      <c r="X838">
        <f>HYPERLINK("https://klasma.github.io/Logging_2305/tillsyn/A 10543-2022 tillsynsbegäran.docx", "A 10543-2022")</f>
        <v/>
      </c>
      <c r="Y838">
        <f>HYPERLINK("https://klasma.github.io/Logging_2305/tillsynsmail/A 10543-2022 tillsynsbegäran mail.docx", "A 10543-2022")</f>
        <v/>
      </c>
      <c r="Z838">
        <f>HYPERLINK("https://klasma.github.io/Logging_2305/fåglar/A 10543-2022 prioriterade fågelarter.docx", "A 10543-2022")</f>
        <v/>
      </c>
    </row>
    <row r="839" ht="15" customHeight="1">
      <c r="A839" t="inlineStr">
        <is>
          <t>A 25871-2025</t>
        </is>
      </c>
      <c r="B839" s="1" t="n">
        <v>45804.4903125</v>
      </c>
      <c r="C839" s="1" t="n">
        <v>46045</v>
      </c>
      <c r="D839" t="inlineStr">
        <is>
          <t>JÄMTLANDS LÄN</t>
        </is>
      </c>
      <c r="E839" t="inlineStr">
        <is>
          <t>BERG</t>
        </is>
      </c>
      <c r="F839" t="inlineStr">
        <is>
          <t>SCA</t>
        </is>
      </c>
      <c r="G839" t="n">
        <v>15.9</v>
      </c>
      <c r="H839" t="n">
        <v>0</v>
      </c>
      <c r="I839" t="n">
        <v>1</v>
      </c>
      <c r="J839" t="n">
        <v>3</v>
      </c>
      <c r="K839" t="n">
        <v>0</v>
      </c>
      <c r="L839" t="n">
        <v>0</v>
      </c>
      <c r="M839" t="n">
        <v>0</v>
      </c>
      <c r="N839" t="n">
        <v>0</v>
      </c>
      <c r="O839" t="n">
        <v>3</v>
      </c>
      <c r="P839" t="n">
        <v>0</v>
      </c>
      <c r="Q839" t="n">
        <v>4</v>
      </c>
      <c r="R839" s="2" t="inlineStr">
        <is>
          <t>Kolflarnlav
Mörk kolflarnlav
Vedflamlav
Skarp dropptaggsvamp</t>
        </is>
      </c>
      <c r="S839">
        <f>HYPERLINK("https://klasma.github.io/Logging_2326/artfynd/A 25871-2025 artfynd.xlsx", "A 25871-2025")</f>
        <v/>
      </c>
      <c r="T839">
        <f>HYPERLINK("https://klasma.github.io/Logging_2326/kartor/A 25871-2025 karta.png", "A 25871-2025")</f>
        <v/>
      </c>
      <c r="V839">
        <f>HYPERLINK("https://klasma.github.io/Logging_2326/klagomål/A 25871-2025 FSC-klagomål.docx", "A 25871-2025")</f>
        <v/>
      </c>
      <c r="W839">
        <f>HYPERLINK("https://klasma.github.io/Logging_2326/klagomålsmail/A 25871-2025 FSC-klagomål mail.docx", "A 25871-2025")</f>
        <v/>
      </c>
      <c r="X839">
        <f>HYPERLINK("https://klasma.github.io/Logging_2326/tillsyn/A 25871-2025 tillsynsbegäran.docx", "A 25871-2025")</f>
        <v/>
      </c>
      <c r="Y839">
        <f>HYPERLINK("https://klasma.github.io/Logging_2326/tillsynsmail/A 25871-2025 tillsynsbegäran mail.docx", "A 25871-2025")</f>
        <v/>
      </c>
    </row>
    <row r="840" ht="15" customHeight="1">
      <c r="A840" t="inlineStr">
        <is>
          <t>A 53363-2022</t>
        </is>
      </c>
      <c r="B840" s="1" t="n">
        <v>44879</v>
      </c>
      <c r="C840" s="1" t="n">
        <v>46045</v>
      </c>
      <c r="D840" t="inlineStr">
        <is>
          <t>JÄMTLANDS LÄN</t>
        </is>
      </c>
      <c r="E840" t="inlineStr">
        <is>
          <t>KROKOM</t>
        </is>
      </c>
      <c r="F840" t="inlineStr">
        <is>
          <t>Kyrkan</t>
        </is>
      </c>
      <c r="G840" t="n">
        <v>13.3</v>
      </c>
      <c r="H840" t="n">
        <v>1</v>
      </c>
      <c r="I840" t="n">
        <v>0</v>
      </c>
      <c r="J840" t="n">
        <v>4</v>
      </c>
      <c r="K840" t="n">
        <v>0</v>
      </c>
      <c r="L840" t="n">
        <v>0</v>
      </c>
      <c r="M840" t="n">
        <v>0</v>
      </c>
      <c r="N840" t="n">
        <v>0</v>
      </c>
      <c r="O840" t="n">
        <v>4</v>
      </c>
      <c r="P840" t="n">
        <v>0</v>
      </c>
      <c r="Q840" t="n">
        <v>4</v>
      </c>
      <c r="R840" s="2" t="inlineStr">
        <is>
          <t>Garnlav
Lunglav
Skrovellav
Tretåig hackspett</t>
        </is>
      </c>
      <c r="S840">
        <f>HYPERLINK("https://klasma.github.io/Logging_2309/artfynd/A 53363-2022 artfynd.xlsx", "A 53363-2022")</f>
        <v/>
      </c>
      <c r="T840">
        <f>HYPERLINK("https://klasma.github.io/Logging_2309/kartor/A 53363-2022 karta.png", "A 53363-2022")</f>
        <v/>
      </c>
      <c r="V840">
        <f>HYPERLINK("https://klasma.github.io/Logging_2309/klagomål/A 53363-2022 FSC-klagomål.docx", "A 53363-2022")</f>
        <v/>
      </c>
      <c r="W840">
        <f>HYPERLINK("https://klasma.github.io/Logging_2309/klagomålsmail/A 53363-2022 FSC-klagomål mail.docx", "A 53363-2022")</f>
        <v/>
      </c>
      <c r="X840">
        <f>HYPERLINK("https://klasma.github.io/Logging_2309/tillsyn/A 53363-2022 tillsynsbegäran.docx", "A 53363-2022")</f>
        <v/>
      </c>
      <c r="Y840">
        <f>HYPERLINK("https://klasma.github.io/Logging_2309/tillsynsmail/A 53363-2022 tillsynsbegäran mail.docx", "A 53363-2022")</f>
        <v/>
      </c>
      <c r="Z840">
        <f>HYPERLINK("https://klasma.github.io/Logging_2309/fåglar/A 53363-2022 prioriterade fågelarter.docx", "A 53363-2022")</f>
        <v/>
      </c>
    </row>
    <row r="841" ht="15" customHeight="1">
      <c r="A841" t="inlineStr">
        <is>
          <t>A 53305-2025</t>
        </is>
      </c>
      <c r="B841" s="1" t="n">
        <v>45959.334375</v>
      </c>
      <c r="C841" s="1" t="n">
        <v>46045</v>
      </c>
      <c r="D841" t="inlineStr">
        <is>
          <t>JÄMTLANDS LÄN</t>
        </is>
      </c>
      <c r="E841" t="inlineStr">
        <is>
          <t>BERG</t>
        </is>
      </c>
      <c r="G841" t="n">
        <v>3.3</v>
      </c>
      <c r="H841" t="n">
        <v>2</v>
      </c>
      <c r="I841" t="n">
        <v>0</v>
      </c>
      <c r="J841" t="n">
        <v>4</v>
      </c>
      <c r="K841" t="n">
        <v>0</v>
      </c>
      <c r="L841" t="n">
        <v>0</v>
      </c>
      <c r="M841" t="n">
        <v>0</v>
      </c>
      <c r="N841" t="n">
        <v>0</v>
      </c>
      <c r="O841" t="n">
        <v>4</v>
      </c>
      <c r="P841" t="n">
        <v>0</v>
      </c>
      <c r="Q841" t="n">
        <v>4</v>
      </c>
      <c r="R841" s="2" t="inlineStr">
        <is>
          <t>Granticka
Harticka
Spillkråka
Tretåig hackspett</t>
        </is>
      </c>
      <c r="S841">
        <f>HYPERLINK("https://klasma.github.io/Logging_2326/artfynd/A 53305-2025 artfynd.xlsx", "A 53305-2025")</f>
        <v/>
      </c>
      <c r="T841">
        <f>HYPERLINK("https://klasma.github.io/Logging_2326/kartor/A 53305-2025 karta.png", "A 53305-2025")</f>
        <v/>
      </c>
      <c r="V841">
        <f>HYPERLINK("https://klasma.github.io/Logging_2326/klagomål/A 53305-2025 FSC-klagomål.docx", "A 53305-2025")</f>
        <v/>
      </c>
      <c r="W841">
        <f>HYPERLINK("https://klasma.github.io/Logging_2326/klagomålsmail/A 53305-2025 FSC-klagomål mail.docx", "A 53305-2025")</f>
        <v/>
      </c>
      <c r="X841">
        <f>HYPERLINK("https://klasma.github.io/Logging_2326/tillsyn/A 53305-2025 tillsynsbegäran.docx", "A 53305-2025")</f>
        <v/>
      </c>
      <c r="Y841">
        <f>HYPERLINK("https://klasma.github.io/Logging_2326/tillsynsmail/A 53305-2025 tillsynsbegäran mail.docx", "A 53305-2025")</f>
        <v/>
      </c>
      <c r="Z841">
        <f>HYPERLINK("https://klasma.github.io/Logging_2326/fåglar/A 53305-2025 prioriterade fågelarter.docx", "A 53305-2025")</f>
        <v/>
      </c>
    </row>
    <row r="842" ht="15" customHeight="1">
      <c r="A842" t="inlineStr">
        <is>
          <t>A 13383-2025</t>
        </is>
      </c>
      <c r="B842" s="1" t="n">
        <v>45735</v>
      </c>
      <c r="C842" s="1" t="n">
        <v>46045</v>
      </c>
      <c r="D842" t="inlineStr">
        <is>
          <t>JÄMTLANDS LÄN</t>
        </is>
      </c>
      <c r="E842" t="inlineStr">
        <is>
          <t>KROKOM</t>
        </is>
      </c>
      <c r="G842" t="n">
        <v>9.699999999999999</v>
      </c>
      <c r="H842" t="n">
        <v>0</v>
      </c>
      <c r="I842" t="n">
        <v>0</v>
      </c>
      <c r="J842" t="n">
        <v>4</v>
      </c>
      <c r="K842" t="n">
        <v>0</v>
      </c>
      <c r="L842" t="n">
        <v>0</v>
      </c>
      <c r="M842" t="n">
        <v>0</v>
      </c>
      <c r="N842" t="n">
        <v>0</v>
      </c>
      <c r="O842" t="n">
        <v>4</v>
      </c>
      <c r="P842" t="n">
        <v>0</v>
      </c>
      <c r="Q842" t="n">
        <v>4</v>
      </c>
      <c r="R842" s="2" t="inlineStr">
        <is>
          <t>Doftskinn
Granticka
Lunglav
Ullticka</t>
        </is>
      </c>
      <c r="S842">
        <f>HYPERLINK("https://klasma.github.io/Logging_2309/artfynd/A 13383-2025 artfynd.xlsx", "A 13383-2025")</f>
        <v/>
      </c>
      <c r="T842">
        <f>HYPERLINK("https://klasma.github.io/Logging_2309/kartor/A 13383-2025 karta.png", "A 13383-2025")</f>
        <v/>
      </c>
      <c r="V842">
        <f>HYPERLINK("https://klasma.github.io/Logging_2309/klagomål/A 13383-2025 FSC-klagomål.docx", "A 13383-2025")</f>
        <v/>
      </c>
      <c r="W842">
        <f>HYPERLINK("https://klasma.github.io/Logging_2309/klagomålsmail/A 13383-2025 FSC-klagomål mail.docx", "A 13383-2025")</f>
        <v/>
      </c>
      <c r="X842">
        <f>HYPERLINK("https://klasma.github.io/Logging_2309/tillsyn/A 13383-2025 tillsynsbegäran.docx", "A 13383-2025")</f>
        <v/>
      </c>
      <c r="Y842">
        <f>HYPERLINK("https://klasma.github.io/Logging_2309/tillsynsmail/A 13383-2025 tillsynsbegäran mail.docx", "A 13383-2025")</f>
        <v/>
      </c>
    </row>
    <row r="843" ht="15" customHeight="1">
      <c r="A843" t="inlineStr">
        <is>
          <t>A 26082-2025</t>
        </is>
      </c>
      <c r="B843" s="1" t="n">
        <v>45805.34415509259</v>
      </c>
      <c r="C843" s="1" t="n">
        <v>46045</v>
      </c>
      <c r="D843" t="inlineStr">
        <is>
          <t>JÄMTLANDS LÄN</t>
        </is>
      </c>
      <c r="E843" t="inlineStr">
        <is>
          <t>RAGUNDA</t>
        </is>
      </c>
      <c r="F843" t="inlineStr">
        <is>
          <t>SCA</t>
        </is>
      </c>
      <c r="G843" t="n">
        <v>5</v>
      </c>
      <c r="H843" t="n">
        <v>1</v>
      </c>
      <c r="I843" t="n">
        <v>0</v>
      </c>
      <c r="J843" t="n">
        <v>3</v>
      </c>
      <c r="K843" t="n">
        <v>1</v>
      </c>
      <c r="L843" t="n">
        <v>0</v>
      </c>
      <c r="M843" t="n">
        <v>0</v>
      </c>
      <c r="N843" t="n">
        <v>0</v>
      </c>
      <c r="O843" t="n">
        <v>4</v>
      </c>
      <c r="P843" t="n">
        <v>1</v>
      </c>
      <c r="Q843" t="n">
        <v>4</v>
      </c>
      <c r="R843" s="2" t="inlineStr">
        <is>
          <t>Knärot
Gammelgransskål
Lunglav
Vitgrynig nållav</t>
        </is>
      </c>
      <c r="S843">
        <f>HYPERLINK("https://klasma.github.io/Logging_2303/artfynd/A 26082-2025 artfynd.xlsx", "A 26082-2025")</f>
        <v/>
      </c>
      <c r="T843">
        <f>HYPERLINK("https://klasma.github.io/Logging_2303/kartor/A 26082-2025 karta.png", "A 26082-2025")</f>
        <v/>
      </c>
      <c r="U843">
        <f>HYPERLINK("https://klasma.github.io/Logging_2303/knärot/A 26082-2025 karta knärot.png", "A 26082-2025")</f>
        <v/>
      </c>
      <c r="V843">
        <f>HYPERLINK("https://klasma.github.io/Logging_2303/klagomål/A 26082-2025 FSC-klagomål.docx", "A 26082-2025")</f>
        <v/>
      </c>
      <c r="W843">
        <f>HYPERLINK("https://klasma.github.io/Logging_2303/klagomålsmail/A 26082-2025 FSC-klagomål mail.docx", "A 26082-2025")</f>
        <v/>
      </c>
      <c r="X843">
        <f>HYPERLINK("https://klasma.github.io/Logging_2303/tillsyn/A 26082-2025 tillsynsbegäran.docx", "A 26082-2025")</f>
        <v/>
      </c>
      <c r="Y843">
        <f>HYPERLINK("https://klasma.github.io/Logging_2303/tillsynsmail/A 26082-2025 tillsynsbegäran mail.docx", "A 26082-2025")</f>
        <v/>
      </c>
    </row>
    <row r="844" ht="15" customHeight="1">
      <c r="A844" t="inlineStr">
        <is>
          <t>A 59823-2022</t>
        </is>
      </c>
      <c r="B844" s="1" t="n">
        <v>44900</v>
      </c>
      <c r="C844" s="1" t="n">
        <v>46045</v>
      </c>
      <c r="D844" t="inlineStr">
        <is>
          <t>JÄMTLANDS LÄN</t>
        </is>
      </c>
      <c r="E844" t="inlineStr">
        <is>
          <t>BERG</t>
        </is>
      </c>
      <c r="G844" t="n">
        <v>14.8</v>
      </c>
      <c r="H844" t="n">
        <v>2</v>
      </c>
      <c r="I844" t="n">
        <v>0</v>
      </c>
      <c r="J844" t="n">
        <v>2</v>
      </c>
      <c r="K844" t="n">
        <v>0</v>
      </c>
      <c r="L844" t="n">
        <v>0</v>
      </c>
      <c r="M844" t="n">
        <v>0</v>
      </c>
      <c r="N844" t="n">
        <v>0</v>
      </c>
      <c r="O844" t="n">
        <v>2</v>
      </c>
      <c r="P844" t="n">
        <v>0</v>
      </c>
      <c r="Q844" t="n">
        <v>4</v>
      </c>
      <c r="R844" s="2" t="inlineStr">
        <is>
          <t>Garnlav
Granticka
Orre
Fläcknycklar</t>
        </is>
      </c>
      <c r="S844">
        <f>HYPERLINK("https://klasma.github.io/Logging_2326/artfynd/A 59823-2022 artfynd.xlsx", "A 59823-2022")</f>
        <v/>
      </c>
      <c r="T844">
        <f>HYPERLINK("https://klasma.github.io/Logging_2326/kartor/A 59823-2022 karta.png", "A 59823-2022")</f>
        <v/>
      </c>
      <c r="V844">
        <f>HYPERLINK("https://klasma.github.io/Logging_2326/klagomål/A 59823-2022 FSC-klagomål.docx", "A 59823-2022")</f>
        <v/>
      </c>
      <c r="W844">
        <f>HYPERLINK("https://klasma.github.io/Logging_2326/klagomålsmail/A 59823-2022 FSC-klagomål mail.docx", "A 59823-2022")</f>
        <v/>
      </c>
      <c r="X844">
        <f>HYPERLINK("https://klasma.github.io/Logging_2326/tillsyn/A 59823-2022 tillsynsbegäran.docx", "A 59823-2022")</f>
        <v/>
      </c>
      <c r="Y844">
        <f>HYPERLINK("https://klasma.github.io/Logging_2326/tillsynsmail/A 59823-2022 tillsynsbegäran mail.docx", "A 59823-2022")</f>
        <v/>
      </c>
      <c r="Z844">
        <f>HYPERLINK("https://klasma.github.io/Logging_2326/fåglar/A 59823-2022 prioriterade fågelarter.docx", "A 59823-2022")</f>
        <v/>
      </c>
    </row>
    <row r="845" ht="15" customHeight="1">
      <c r="A845" t="inlineStr">
        <is>
          <t>A 38588-2021</t>
        </is>
      </c>
      <c r="B845" s="1" t="n">
        <v>44407</v>
      </c>
      <c r="C845" s="1" t="n">
        <v>46045</v>
      </c>
      <c r="D845" t="inlineStr">
        <is>
          <t>JÄMTLANDS LÄN</t>
        </is>
      </c>
      <c r="E845" t="inlineStr">
        <is>
          <t>STRÖMSUND</t>
        </is>
      </c>
      <c r="F845" t="inlineStr">
        <is>
          <t>SCA</t>
        </is>
      </c>
      <c r="G845" t="n">
        <v>7.4</v>
      </c>
      <c r="H845" t="n">
        <v>0</v>
      </c>
      <c r="I845" t="n">
        <v>0</v>
      </c>
      <c r="J845" t="n">
        <v>4</v>
      </c>
      <c r="K845" t="n">
        <v>0</v>
      </c>
      <c r="L845" t="n">
        <v>0</v>
      </c>
      <c r="M845" t="n">
        <v>0</v>
      </c>
      <c r="N845" t="n">
        <v>0</v>
      </c>
      <c r="O845" t="n">
        <v>4</v>
      </c>
      <c r="P845" t="n">
        <v>0</v>
      </c>
      <c r="Q845" t="n">
        <v>4</v>
      </c>
      <c r="R845" s="2" t="inlineStr">
        <is>
          <t>Gammelgransskål
Garnlav
Harticka
Vitgrynig nållav</t>
        </is>
      </c>
      <c r="S845">
        <f>HYPERLINK("https://klasma.github.io/Logging_2313/artfynd/A 38588-2021 artfynd.xlsx", "A 38588-2021")</f>
        <v/>
      </c>
      <c r="T845">
        <f>HYPERLINK("https://klasma.github.io/Logging_2313/kartor/A 38588-2021 karta.png", "A 38588-2021")</f>
        <v/>
      </c>
      <c r="V845">
        <f>HYPERLINK("https://klasma.github.io/Logging_2313/klagomål/A 38588-2021 FSC-klagomål.docx", "A 38588-2021")</f>
        <v/>
      </c>
      <c r="W845">
        <f>HYPERLINK("https://klasma.github.io/Logging_2313/klagomålsmail/A 38588-2021 FSC-klagomål mail.docx", "A 38588-2021")</f>
        <v/>
      </c>
      <c r="X845">
        <f>HYPERLINK("https://klasma.github.io/Logging_2313/tillsyn/A 38588-2021 tillsynsbegäran.docx", "A 38588-2021")</f>
        <v/>
      </c>
      <c r="Y845">
        <f>HYPERLINK("https://klasma.github.io/Logging_2313/tillsynsmail/A 38588-2021 tillsynsbegäran mail.docx", "A 38588-2021")</f>
        <v/>
      </c>
    </row>
    <row r="846" ht="15" customHeight="1">
      <c r="A846" t="inlineStr">
        <is>
          <t>A 62273-2025</t>
        </is>
      </c>
      <c r="B846" s="1" t="n">
        <v>46006.62581018519</v>
      </c>
      <c r="C846" s="1" t="n">
        <v>46045</v>
      </c>
      <c r="D846" t="inlineStr">
        <is>
          <t>JÄMTLANDS LÄN</t>
        </is>
      </c>
      <c r="E846" t="inlineStr">
        <is>
          <t>ÅRE</t>
        </is>
      </c>
      <c r="G846" t="n">
        <v>11</v>
      </c>
      <c r="H846" t="n">
        <v>1</v>
      </c>
      <c r="I846" t="n">
        <v>0</v>
      </c>
      <c r="J846" t="n">
        <v>4</v>
      </c>
      <c r="K846" t="n">
        <v>0</v>
      </c>
      <c r="L846" t="n">
        <v>0</v>
      </c>
      <c r="M846" t="n">
        <v>0</v>
      </c>
      <c r="N846" t="n">
        <v>0</v>
      </c>
      <c r="O846" t="n">
        <v>4</v>
      </c>
      <c r="P846" t="n">
        <v>0</v>
      </c>
      <c r="Q846" t="n">
        <v>4</v>
      </c>
      <c r="R846" s="2" t="inlineStr">
        <is>
          <t>Garnlav
Granticka
Harticka
Tretåig hackspett</t>
        </is>
      </c>
      <c r="S846">
        <f>HYPERLINK("https://klasma.github.io/Logging_2321/artfynd/A 62273-2025 artfynd.xlsx", "A 62273-2025")</f>
        <v/>
      </c>
      <c r="T846">
        <f>HYPERLINK("https://klasma.github.io/Logging_2321/kartor/A 62273-2025 karta.png", "A 62273-2025")</f>
        <v/>
      </c>
      <c r="V846">
        <f>HYPERLINK("https://klasma.github.io/Logging_2321/klagomål/A 62273-2025 FSC-klagomål.docx", "A 62273-2025")</f>
        <v/>
      </c>
      <c r="W846">
        <f>HYPERLINK("https://klasma.github.io/Logging_2321/klagomålsmail/A 62273-2025 FSC-klagomål mail.docx", "A 62273-2025")</f>
        <v/>
      </c>
      <c r="X846">
        <f>HYPERLINK("https://klasma.github.io/Logging_2321/tillsyn/A 62273-2025 tillsynsbegäran.docx", "A 62273-2025")</f>
        <v/>
      </c>
      <c r="Y846">
        <f>HYPERLINK("https://klasma.github.io/Logging_2321/tillsynsmail/A 62273-2025 tillsynsbegäran mail.docx", "A 62273-2025")</f>
        <v/>
      </c>
      <c r="Z846">
        <f>HYPERLINK("https://klasma.github.io/Logging_2321/fåglar/A 62273-2025 prioriterade fågelarter.docx", "A 62273-2025")</f>
        <v/>
      </c>
    </row>
    <row r="847" ht="15" customHeight="1">
      <c r="A847" t="inlineStr">
        <is>
          <t>A 54345-2025</t>
        </is>
      </c>
      <c r="B847" s="1" t="n">
        <v>45965.36506944444</v>
      </c>
      <c r="C847" s="1" t="n">
        <v>46045</v>
      </c>
      <c r="D847" t="inlineStr">
        <is>
          <t>JÄMTLANDS LÄN</t>
        </is>
      </c>
      <c r="E847" t="inlineStr">
        <is>
          <t>STRÖMSUND</t>
        </is>
      </c>
      <c r="F847" t="inlineStr">
        <is>
          <t>SCA</t>
        </is>
      </c>
      <c r="G847" t="n">
        <v>5.6</v>
      </c>
      <c r="H847" t="n">
        <v>0</v>
      </c>
      <c r="I847" t="n">
        <v>2</v>
      </c>
      <c r="J847" t="n">
        <v>2</v>
      </c>
      <c r="K847" t="n">
        <v>0</v>
      </c>
      <c r="L847" t="n">
        <v>0</v>
      </c>
      <c r="M847" t="n">
        <v>0</v>
      </c>
      <c r="N847" t="n">
        <v>0</v>
      </c>
      <c r="O847" t="n">
        <v>2</v>
      </c>
      <c r="P847" t="n">
        <v>0</v>
      </c>
      <c r="Q847" t="n">
        <v>4</v>
      </c>
      <c r="R847" s="2" t="inlineStr">
        <is>
          <t>Garnlav
Skrovellav
Bårdlav
Stuplav</t>
        </is>
      </c>
      <c r="S847">
        <f>HYPERLINK("https://klasma.github.io/Logging_2313/artfynd/A 54345-2025 artfynd.xlsx", "A 54345-2025")</f>
        <v/>
      </c>
      <c r="T847">
        <f>HYPERLINK("https://klasma.github.io/Logging_2313/kartor/A 54345-2025 karta.png", "A 54345-2025")</f>
        <v/>
      </c>
      <c r="V847">
        <f>HYPERLINK("https://klasma.github.io/Logging_2313/klagomål/A 54345-2025 FSC-klagomål.docx", "A 54345-2025")</f>
        <v/>
      </c>
      <c r="W847">
        <f>HYPERLINK("https://klasma.github.io/Logging_2313/klagomålsmail/A 54345-2025 FSC-klagomål mail.docx", "A 54345-2025")</f>
        <v/>
      </c>
      <c r="X847">
        <f>HYPERLINK("https://klasma.github.io/Logging_2313/tillsyn/A 54345-2025 tillsynsbegäran.docx", "A 54345-2025")</f>
        <v/>
      </c>
      <c r="Y847">
        <f>HYPERLINK("https://klasma.github.io/Logging_2313/tillsynsmail/A 54345-2025 tillsynsbegäran mail.docx", "A 54345-2025")</f>
        <v/>
      </c>
    </row>
    <row r="848" ht="15" customHeight="1">
      <c r="A848" t="inlineStr">
        <is>
          <t>A 58205-2024</t>
        </is>
      </c>
      <c r="B848" s="1" t="n">
        <v>45632</v>
      </c>
      <c r="C848" s="1" t="n">
        <v>46045</v>
      </c>
      <c r="D848" t="inlineStr">
        <is>
          <t>JÄMTLANDS LÄN</t>
        </is>
      </c>
      <c r="E848" t="inlineStr">
        <is>
          <t>KROKOM</t>
        </is>
      </c>
      <c r="G848" t="n">
        <v>14</v>
      </c>
      <c r="H848" t="n">
        <v>0</v>
      </c>
      <c r="I848" t="n">
        <v>1</v>
      </c>
      <c r="J848" t="n">
        <v>3</v>
      </c>
      <c r="K848" t="n">
        <v>0</v>
      </c>
      <c r="L848" t="n">
        <v>0</v>
      </c>
      <c r="M848" t="n">
        <v>0</v>
      </c>
      <c r="N848" t="n">
        <v>0</v>
      </c>
      <c r="O848" t="n">
        <v>3</v>
      </c>
      <c r="P848" t="n">
        <v>0</v>
      </c>
      <c r="Q848" t="n">
        <v>4</v>
      </c>
      <c r="R848" s="2" t="inlineStr">
        <is>
          <t>Lunglav
Skrovellav
Ullticka
Vedticka</t>
        </is>
      </c>
      <c r="S848">
        <f>HYPERLINK("https://klasma.github.io/Logging_2309/artfynd/A 58205-2024 artfynd.xlsx", "A 58205-2024")</f>
        <v/>
      </c>
      <c r="T848">
        <f>HYPERLINK("https://klasma.github.io/Logging_2309/kartor/A 58205-2024 karta.png", "A 58205-2024")</f>
        <v/>
      </c>
      <c r="V848">
        <f>HYPERLINK("https://klasma.github.io/Logging_2309/klagomål/A 58205-2024 FSC-klagomål.docx", "A 58205-2024")</f>
        <v/>
      </c>
      <c r="W848">
        <f>HYPERLINK("https://klasma.github.io/Logging_2309/klagomålsmail/A 58205-2024 FSC-klagomål mail.docx", "A 58205-2024")</f>
        <v/>
      </c>
      <c r="X848">
        <f>HYPERLINK("https://klasma.github.io/Logging_2309/tillsyn/A 58205-2024 tillsynsbegäran.docx", "A 58205-2024")</f>
        <v/>
      </c>
      <c r="Y848">
        <f>HYPERLINK("https://klasma.github.io/Logging_2309/tillsynsmail/A 58205-2024 tillsynsbegäran mail.docx", "A 58205-2024")</f>
        <v/>
      </c>
    </row>
    <row r="849" ht="15" customHeight="1">
      <c r="A849" t="inlineStr">
        <is>
          <t>A 27624-2025</t>
        </is>
      </c>
      <c r="B849" s="1" t="n">
        <v>45813.55288194444</v>
      </c>
      <c r="C849" s="1" t="n">
        <v>46045</v>
      </c>
      <c r="D849" t="inlineStr">
        <is>
          <t>JÄMTLANDS LÄN</t>
        </is>
      </c>
      <c r="E849" t="inlineStr">
        <is>
          <t>STRÖMSUND</t>
        </is>
      </c>
      <c r="F849" t="inlineStr">
        <is>
          <t>SCA</t>
        </is>
      </c>
      <c r="G849" t="n">
        <v>5.1</v>
      </c>
      <c r="H849" t="n">
        <v>1</v>
      </c>
      <c r="I849" t="n">
        <v>0</v>
      </c>
      <c r="J849" t="n">
        <v>3</v>
      </c>
      <c r="K849" t="n">
        <v>0</v>
      </c>
      <c r="L849" t="n">
        <v>0</v>
      </c>
      <c r="M849" t="n">
        <v>0</v>
      </c>
      <c r="N849" t="n">
        <v>0</v>
      </c>
      <c r="O849" t="n">
        <v>3</v>
      </c>
      <c r="P849" t="n">
        <v>0</v>
      </c>
      <c r="Q849" t="n">
        <v>4</v>
      </c>
      <c r="R849" s="2" t="inlineStr">
        <is>
          <t>Puderspindling
Rosenticka
Äggvaxskivling
Blåsippa</t>
        </is>
      </c>
      <c r="S849">
        <f>HYPERLINK("https://klasma.github.io/Logging_2313/artfynd/A 27624-2025 artfynd.xlsx", "A 27624-2025")</f>
        <v/>
      </c>
      <c r="T849">
        <f>HYPERLINK("https://klasma.github.io/Logging_2313/kartor/A 27624-2025 karta.png", "A 27624-2025")</f>
        <v/>
      </c>
      <c r="V849">
        <f>HYPERLINK("https://klasma.github.io/Logging_2313/klagomål/A 27624-2025 FSC-klagomål.docx", "A 27624-2025")</f>
        <v/>
      </c>
      <c r="W849">
        <f>HYPERLINK("https://klasma.github.io/Logging_2313/klagomålsmail/A 27624-2025 FSC-klagomål mail.docx", "A 27624-2025")</f>
        <v/>
      </c>
      <c r="X849">
        <f>HYPERLINK("https://klasma.github.io/Logging_2313/tillsyn/A 27624-2025 tillsynsbegäran.docx", "A 27624-2025")</f>
        <v/>
      </c>
      <c r="Y849">
        <f>HYPERLINK("https://klasma.github.io/Logging_2313/tillsynsmail/A 27624-2025 tillsynsbegäran mail.docx", "A 27624-2025")</f>
        <v/>
      </c>
    </row>
    <row r="850" ht="15" customHeight="1">
      <c r="A850" t="inlineStr">
        <is>
          <t>A 27574-2025</t>
        </is>
      </c>
      <c r="B850" s="1" t="n">
        <v>45813.49072916667</v>
      </c>
      <c r="C850" s="1" t="n">
        <v>46045</v>
      </c>
      <c r="D850" t="inlineStr">
        <is>
          <t>JÄMTLANDS LÄN</t>
        </is>
      </c>
      <c r="E850" t="inlineStr">
        <is>
          <t>BERG</t>
        </is>
      </c>
      <c r="F850" t="inlineStr">
        <is>
          <t>SCA</t>
        </is>
      </c>
      <c r="G850" t="n">
        <v>23.6</v>
      </c>
      <c r="H850" t="n">
        <v>0</v>
      </c>
      <c r="I850" t="n">
        <v>1</v>
      </c>
      <c r="J850" t="n">
        <v>2</v>
      </c>
      <c r="K850" t="n">
        <v>1</v>
      </c>
      <c r="L850" t="n">
        <v>0</v>
      </c>
      <c r="M850" t="n">
        <v>0</v>
      </c>
      <c r="N850" t="n">
        <v>0</v>
      </c>
      <c r="O850" t="n">
        <v>3</v>
      </c>
      <c r="P850" t="n">
        <v>1</v>
      </c>
      <c r="Q850" t="n">
        <v>4</v>
      </c>
      <c r="R850" s="2" t="inlineStr">
        <is>
          <t>Fläckporing
Dvärgbägarlav
Vedskivlav
Kambräken</t>
        </is>
      </c>
      <c r="S850">
        <f>HYPERLINK("https://klasma.github.io/Logging_2326/artfynd/A 27574-2025 artfynd.xlsx", "A 27574-2025")</f>
        <v/>
      </c>
      <c r="T850">
        <f>HYPERLINK("https://klasma.github.io/Logging_2326/kartor/A 27574-2025 karta.png", "A 27574-2025")</f>
        <v/>
      </c>
      <c r="V850">
        <f>HYPERLINK("https://klasma.github.io/Logging_2326/klagomål/A 27574-2025 FSC-klagomål.docx", "A 27574-2025")</f>
        <v/>
      </c>
      <c r="W850">
        <f>HYPERLINK("https://klasma.github.io/Logging_2326/klagomålsmail/A 27574-2025 FSC-klagomål mail.docx", "A 27574-2025")</f>
        <v/>
      </c>
      <c r="X850">
        <f>HYPERLINK("https://klasma.github.io/Logging_2326/tillsyn/A 27574-2025 tillsynsbegäran.docx", "A 27574-2025")</f>
        <v/>
      </c>
      <c r="Y850">
        <f>HYPERLINK("https://klasma.github.io/Logging_2326/tillsynsmail/A 27574-2025 tillsynsbegäran mail.docx", "A 27574-2025")</f>
        <v/>
      </c>
    </row>
    <row r="851" ht="15" customHeight="1">
      <c r="A851" t="inlineStr">
        <is>
          <t>A 35023-2024</t>
        </is>
      </c>
      <c r="B851" s="1" t="n">
        <v>45527</v>
      </c>
      <c r="C851" s="1" t="n">
        <v>46045</v>
      </c>
      <c r="D851" t="inlineStr">
        <is>
          <t>JÄMTLANDS LÄN</t>
        </is>
      </c>
      <c r="E851" t="inlineStr">
        <is>
          <t>KROKOM</t>
        </is>
      </c>
      <c r="F851" t="inlineStr">
        <is>
          <t>Övriga Aktiebolag</t>
        </is>
      </c>
      <c r="G851" t="n">
        <v>14</v>
      </c>
      <c r="H851" t="n">
        <v>1</v>
      </c>
      <c r="I851" t="n">
        <v>0</v>
      </c>
      <c r="J851" t="n">
        <v>4</v>
      </c>
      <c r="K851" t="n">
        <v>0</v>
      </c>
      <c r="L851" t="n">
        <v>0</v>
      </c>
      <c r="M851" t="n">
        <v>0</v>
      </c>
      <c r="N851" t="n">
        <v>0</v>
      </c>
      <c r="O851" t="n">
        <v>4</v>
      </c>
      <c r="P851" t="n">
        <v>0</v>
      </c>
      <c r="Q851" t="n">
        <v>4</v>
      </c>
      <c r="R851" s="2" t="inlineStr">
        <is>
          <t>Garnlav
Granticka
Harticka
Tretåig hackspett</t>
        </is>
      </c>
      <c r="S851">
        <f>HYPERLINK("https://klasma.github.io/Logging_2309/artfynd/A 35023-2024 artfynd.xlsx", "A 35023-2024")</f>
        <v/>
      </c>
      <c r="T851">
        <f>HYPERLINK("https://klasma.github.io/Logging_2309/kartor/A 35023-2024 karta.png", "A 35023-2024")</f>
        <v/>
      </c>
      <c r="V851">
        <f>HYPERLINK("https://klasma.github.io/Logging_2309/klagomål/A 35023-2024 FSC-klagomål.docx", "A 35023-2024")</f>
        <v/>
      </c>
      <c r="W851">
        <f>HYPERLINK("https://klasma.github.io/Logging_2309/klagomålsmail/A 35023-2024 FSC-klagomål mail.docx", "A 35023-2024")</f>
        <v/>
      </c>
      <c r="X851">
        <f>HYPERLINK("https://klasma.github.io/Logging_2309/tillsyn/A 35023-2024 tillsynsbegäran.docx", "A 35023-2024")</f>
        <v/>
      </c>
      <c r="Y851">
        <f>HYPERLINK("https://klasma.github.io/Logging_2309/tillsynsmail/A 35023-2024 tillsynsbegäran mail.docx", "A 35023-2024")</f>
        <v/>
      </c>
      <c r="Z851">
        <f>HYPERLINK("https://klasma.github.io/Logging_2309/fåglar/A 35023-2024 prioriterade fågelarter.docx", "A 35023-2024")</f>
        <v/>
      </c>
    </row>
    <row r="852" ht="15" customHeight="1">
      <c r="A852" t="inlineStr">
        <is>
          <t>A 39687-2024</t>
        </is>
      </c>
      <c r="B852" s="1" t="n">
        <v>45552</v>
      </c>
      <c r="C852" s="1" t="n">
        <v>46045</v>
      </c>
      <c r="D852" t="inlineStr">
        <is>
          <t>JÄMTLANDS LÄN</t>
        </is>
      </c>
      <c r="E852" t="inlineStr">
        <is>
          <t>HÄRJEDALEN</t>
        </is>
      </c>
      <c r="G852" t="n">
        <v>2.4</v>
      </c>
      <c r="H852" t="n">
        <v>0</v>
      </c>
      <c r="I852" t="n">
        <v>1</v>
      </c>
      <c r="J852" t="n">
        <v>3</v>
      </c>
      <c r="K852" t="n">
        <v>0</v>
      </c>
      <c r="L852" t="n">
        <v>0</v>
      </c>
      <c r="M852" t="n">
        <v>0</v>
      </c>
      <c r="N852" t="n">
        <v>0</v>
      </c>
      <c r="O852" t="n">
        <v>3</v>
      </c>
      <c r="P852" t="n">
        <v>0</v>
      </c>
      <c r="Q852" t="n">
        <v>4</v>
      </c>
      <c r="R852" s="2" t="inlineStr">
        <is>
          <t>Dvärgbägarlav
Mörk kolflarnlav
Vedskivlav
Skarp dropptaggsvamp</t>
        </is>
      </c>
      <c r="S852">
        <f>HYPERLINK("https://klasma.github.io/Logging_2361/artfynd/A 39687-2024 artfynd.xlsx", "A 39687-2024")</f>
        <v/>
      </c>
      <c r="T852">
        <f>HYPERLINK("https://klasma.github.io/Logging_2361/kartor/A 39687-2024 karta.png", "A 39687-2024")</f>
        <v/>
      </c>
      <c r="V852">
        <f>HYPERLINK("https://klasma.github.io/Logging_2361/klagomål/A 39687-2024 FSC-klagomål.docx", "A 39687-2024")</f>
        <v/>
      </c>
      <c r="W852">
        <f>HYPERLINK("https://klasma.github.io/Logging_2361/klagomålsmail/A 39687-2024 FSC-klagomål mail.docx", "A 39687-2024")</f>
        <v/>
      </c>
      <c r="X852">
        <f>HYPERLINK("https://klasma.github.io/Logging_2361/tillsyn/A 39687-2024 tillsynsbegäran.docx", "A 39687-2024")</f>
        <v/>
      </c>
      <c r="Y852">
        <f>HYPERLINK("https://klasma.github.io/Logging_2361/tillsynsmail/A 39687-2024 tillsynsbegäran mail.docx", "A 39687-2024")</f>
        <v/>
      </c>
    </row>
    <row r="853" ht="15" customHeight="1">
      <c r="A853" t="inlineStr">
        <is>
          <t>A 25369-2024</t>
        </is>
      </c>
      <c r="B853" s="1" t="n">
        <v>45462.95982638889</v>
      </c>
      <c r="C853" s="1" t="n">
        <v>46045</v>
      </c>
      <c r="D853" t="inlineStr">
        <is>
          <t>JÄMTLANDS LÄN</t>
        </is>
      </c>
      <c r="E853" t="inlineStr">
        <is>
          <t>ÖSTERSUND</t>
        </is>
      </c>
      <c r="G853" t="n">
        <v>14.7</v>
      </c>
      <c r="H853" t="n">
        <v>1</v>
      </c>
      <c r="I853" t="n">
        <v>2</v>
      </c>
      <c r="J853" t="n">
        <v>1</v>
      </c>
      <c r="K853" t="n">
        <v>0</v>
      </c>
      <c r="L853" t="n">
        <v>0</v>
      </c>
      <c r="M853" t="n">
        <v>0</v>
      </c>
      <c r="N853" t="n">
        <v>0</v>
      </c>
      <c r="O853" t="n">
        <v>1</v>
      </c>
      <c r="P853" t="n">
        <v>0</v>
      </c>
      <c r="Q853" t="n">
        <v>4</v>
      </c>
      <c r="R853" s="2" t="inlineStr">
        <is>
          <t>Ullticka
Kransrams
Underviol
Blåsippa</t>
        </is>
      </c>
      <c r="S853">
        <f>HYPERLINK("https://klasma.github.io/Logging_2380/artfynd/A 25369-2024 artfynd.xlsx", "A 25369-2024")</f>
        <v/>
      </c>
      <c r="T853">
        <f>HYPERLINK("https://klasma.github.io/Logging_2380/kartor/A 25369-2024 karta.png", "A 25369-2024")</f>
        <v/>
      </c>
      <c r="V853">
        <f>HYPERLINK("https://klasma.github.io/Logging_2380/klagomål/A 25369-2024 FSC-klagomål.docx", "A 25369-2024")</f>
        <v/>
      </c>
      <c r="W853">
        <f>HYPERLINK("https://klasma.github.io/Logging_2380/klagomålsmail/A 25369-2024 FSC-klagomål mail.docx", "A 25369-2024")</f>
        <v/>
      </c>
      <c r="X853">
        <f>HYPERLINK("https://klasma.github.io/Logging_2380/tillsyn/A 25369-2024 tillsynsbegäran.docx", "A 25369-2024")</f>
        <v/>
      </c>
      <c r="Y853">
        <f>HYPERLINK("https://klasma.github.io/Logging_2380/tillsynsmail/A 25369-2024 tillsynsbegäran mail.docx", "A 25369-2024")</f>
        <v/>
      </c>
    </row>
    <row r="854" ht="15" customHeight="1">
      <c r="A854" t="inlineStr">
        <is>
          <t>A 55258-2025</t>
        </is>
      </c>
      <c r="B854" s="1" t="n">
        <v>45968.6444212963</v>
      </c>
      <c r="C854" s="1" t="n">
        <v>46045</v>
      </c>
      <c r="D854" t="inlineStr">
        <is>
          <t>JÄMTLANDS LÄN</t>
        </is>
      </c>
      <c r="E854" t="inlineStr">
        <is>
          <t>ÖSTERSUND</t>
        </is>
      </c>
      <c r="G854" t="n">
        <v>4.2</v>
      </c>
      <c r="H854" t="n">
        <v>2</v>
      </c>
      <c r="I854" t="n">
        <v>1</v>
      </c>
      <c r="J854" t="n">
        <v>2</v>
      </c>
      <c r="K854" t="n">
        <v>0</v>
      </c>
      <c r="L854" t="n">
        <v>0</v>
      </c>
      <c r="M854" t="n">
        <v>0</v>
      </c>
      <c r="N854" t="n">
        <v>0</v>
      </c>
      <c r="O854" t="n">
        <v>2</v>
      </c>
      <c r="P854" t="n">
        <v>0</v>
      </c>
      <c r="Q854" t="n">
        <v>4</v>
      </c>
      <c r="R854" s="2" t="inlineStr">
        <is>
          <t>Granticka
Talltita
Kransrams
Revlummer</t>
        </is>
      </c>
      <c r="S854">
        <f>HYPERLINK("https://klasma.github.io/Logging_2380/artfynd/A 55258-2025 artfynd.xlsx", "A 55258-2025")</f>
        <v/>
      </c>
      <c r="T854">
        <f>HYPERLINK("https://klasma.github.io/Logging_2380/kartor/A 55258-2025 karta.png", "A 55258-2025")</f>
        <v/>
      </c>
      <c r="V854">
        <f>HYPERLINK("https://klasma.github.io/Logging_2380/klagomål/A 55258-2025 FSC-klagomål.docx", "A 55258-2025")</f>
        <v/>
      </c>
      <c r="W854">
        <f>HYPERLINK("https://klasma.github.io/Logging_2380/klagomålsmail/A 55258-2025 FSC-klagomål mail.docx", "A 55258-2025")</f>
        <v/>
      </c>
      <c r="X854">
        <f>HYPERLINK("https://klasma.github.io/Logging_2380/tillsyn/A 55258-2025 tillsynsbegäran.docx", "A 55258-2025")</f>
        <v/>
      </c>
      <c r="Y854">
        <f>HYPERLINK("https://klasma.github.io/Logging_2380/tillsynsmail/A 55258-2025 tillsynsbegäran mail.docx", "A 55258-2025")</f>
        <v/>
      </c>
      <c r="Z854">
        <f>HYPERLINK("https://klasma.github.io/Logging_2380/fåglar/A 55258-2025 prioriterade fågelarter.docx", "A 55258-2025")</f>
        <v/>
      </c>
    </row>
    <row r="855" ht="15" customHeight="1">
      <c r="A855" t="inlineStr">
        <is>
          <t>A 4757-2023</t>
        </is>
      </c>
      <c r="B855" s="1" t="n">
        <v>44957</v>
      </c>
      <c r="C855" s="1" t="n">
        <v>46045</v>
      </c>
      <c r="D855" t="inlineStr">
        <is>
          <t>JÄMTLANDS LÄN</t>
        </is>
      </c>
      <c r="E855" t="inlineStr">
        <is>
          <t>HÄRJEDALEN</t>
        </is>
      </c>
      <c r="G855" t="n">
        <v>21.3</v>
      </c>
      <c r="H855" t="n">
        <v>1</v>
      </c>
      <c r="I855" t="n">
        <v>0</v>
      </c>
      <c r="J855" t="n">
        <v>3</v>
      </c>
      <c r="K855" t="n">
        <v>1</v>
      </c>
      <c r="L855" t="n">
        <v>0</v>
      </c>
      <c r="M855" t="n">
        <v>0</v>
      </c>
      <c r="N855" t="n">
        <v>0</v>
      </c>
      <c r="O855" t="n">
        <v>4</v>
      </c>
      <c r="P855" t="n">
        <v>1</v>
      </c>
      <c r="Q855" t="n">
        <v>4</v>
      </c>
      <c r="R855" s="2" t="inlineStr">
        <is>
          <t>Sprickporing
Garnlav
Granticka
Tretåig hackspett</t>
        </is>
      </c>
      <c r="S855">
        <f>HYPERLINK("https://klasma.github.io/Logging_2361/artfynd/A 4757-2023 artfynd.xlsx", "A 4757-2023")</f>
        <v/>
      </c>
      <c r="T855">
        <f>HYPERLINK("https://klasma.github.io/Logging_2361/kartor/A 4757-2023 karta.png", "A 4757-2023")</f>
        <v/>
      </c>
      <c r="V855">
        <f>HYPERLINK("https://klasma.github.io/Logging_2361/klagomål/A 4757-2023 FSC-klagomål.docx", "A 4757-2023")</f>
        <v/>
      </c>
      <c r="W855">
        <f>HYPERLINK("https://klasma.github.io/Logging_2361/klagomålsmail/A 4757-2023 FSC-klagomål mail.docx", "A 4757-2023")</f>
        <v/>
      </c>
      <c r="X855">
        <f>HYPERLINK("https://klasma.github.io/Logging_2361/tillsyn/A 4757-2023 tillsynsbegäran.docx", "A 4757-2023")</f>
        <v/>
      </c>
      <c r="Y855">
        <f>HYPERLINK("https://klasma.github.io/Logging_2361/tillsynsmail/A 4757-2023 tillsynsbegäran mail.docx", "A 4757-2023")</f>
        <v/>
      </c>
      <c r="Z855">
        <f>HYPERLINK("https://klasma.github.io/Logging_2361/fåglar/A 4757-2023 prioriterade fågelarter.docx", "A 4757-2023")</f>
        <v/>
      </c>
    </row>
    <row r="856" ht="15" customHeight="1">
      <c r="A856" t="inlineStr">
        <is>
          <t>A 63441-2025</t>
        </is>
      </c>
      <c r="B856" s="1" t="n">
        <v>46013.38591435185</v>
      </c>
      <c r="C856" s="1" t="n">
        <v>46045</v>
      </c>
      <c r="D856" t="inlineStr">
        <is>
          <t>JÄMTLANDS LÄN</t>
        </is>
      </c>
      <c r="E856" t="inlineStr">
        <is>
          <t>KROKOM</t>
        </is>
      </c>
      <c r="G856" t="n">
        <v>7.5</v>
      </c>
      <c r="H856" t="n">
        <v>0</v>
      </c>
      <c r="I856" t="n">
        <v>1</v>
      </c>
      <c r="J856" t="n">
        <v>3</v>
      </c>
      <c r="K856" t="n">
        <v>0</v>
      </c>
      <c r="L856" t="n">
        <v>0</v>
      </c>
      <c r="M856" t="n">
        <v>0</v>
      </c>
      <c r="N856" t="n">
        <v>0</v>
      </c>
      <c r="O856" t="n">
        <v>3</v>
      </c>
      <c r="P856" t="n">
        <v>0</v>
      </c>
      <c r="Q856" t="n">
        <v>4</v>
      </c>
      <c r="R856" s="2" t="inlineStr">
        <is>
          <t>Lunglav
Mjölig dropplav
Skrovellav
Kattfotslav</t>
        </is>
      </c>
      <c r="S856">
        <f>HYPERLINK("https://klasma.github.io/Logging_2309/artfynd/A 63441-2025 artfynd.xlsx", "A 63441-2025")</f>
        <v/>
      </c>
      <c r="T856">
        <f>HYPERLINK("https://klasma.github.io/Logging_2309/kartor/A 63441-2025 karta.png", "A 63441-2025")</f>
        <v/>
      </c>
      <c r="V856">
        <f>HYPERLINK("https://klasma.github.io/Logging_2309/klagomål/A 63441-2025 FSC-klagomål.docx", "A 63441-2025")</f>
        <v/>
      </c>
      <c r="W856">
        <f>HYPERLINK("https://klasma.github.io/Logging_2309/klagomålsmail/A 63441-2025 FSC-klagomål mail.docx", "A 63441-2025")</f>
        <v/>
      </c>
      <c r="X856">
        <f>HYPERLINK("https://klasma.github.io/Logging_2309/tillsyn/A 63441-2025 tillsynsbegäran.docx", "A 63441-2025")</f>
        <v/>
      </c>
      <c r="Y856">
        <f>HYPERLINK("https://klasma.github.io/Logging_2309/tillsynsmail/A 63441-2025 tillsynsbegäran mail.docx", "A 63441-2025")</f>
        <v/>
      </c>
    </row>
    <row r="857" ht="15" customHeight="1">
      <c r="A857" t="inlineStr">
        <is>
          <t>A 60670-2022</t>
        </is>
      </c>
      <c r="B857" s="1" t="n">
        <v>44911</v>
      </c>
      <c r="C857" s="1" t="n">
        <v>46045</v>
      </c>
      <c r="D857" t="inlineStr">
        <is>
          <t>JÄMTLANDS LÄN</t>
        </is>
      </c>
      <c r="E857" t="inlineStr">
        <is>
          <t>RAGUNDA</t>
        </is>
      </c>
      <c r="F857" t="inlineStr">
        <is>
          <t>SCA</t>
        </is>
      </c>
      <c r="G857" t="n">
        <v>5.1</v>
      </c>
      <c r="H857" t="n">
        <v>0</v>
      </c>
      <c r="I857" t="n">
        <v>0</v>
      </c>
      <c r="J857" t="n">
        <v>4</v>
      </c>
      <c r="K857" t="n">
        <v>0</v>
      </c>
      <c r="L857" t="n">
        <v>0</v>
      </c>
      <c r="M857" t="n">
        <v>0</v>
      </c>
      <c r="N857" t="n">
        <v>0</v>
      </c>
      <c r="O857" t="n">
        <v>4</v>
      </c>
      <c r="P857" t="n">
        <v>0</v>
      </c>
      <c r="Q857" t="n">
        <v>4</v>
      </c>
      <c r="R857" s="2" t="inlineStr">
        <is>
          <t>Doftskinn
Gammelgransskål
Lunglav
Ullticka</t>
        </is>
      </c>
      <c r="S857">
        <f>HYPERLINK("https://klasma.github.io/Logging_2303/artfynd/A 60670-2022 artfynd.xlsx", "A 60670-2022")</f>
        <v/>
      </c>
      <c r="T857">
        <f>HYPERLINK("https://klasma.github.io/Logging_2303/kartor/A 60670-2022 karta.png", "A 60670-2022")</f>
        <v/>
      </c>
      <c r="V857">
        <f>HYPERLINK("https://klasma.github.io/Logging_2303/klagomål/A 60670-2022 FSC-klagomål.docx", "A 60670-2022")</f>
        <v/>
      </c>
      <c r="W857">
        <f>HYPERLINK("https://klasma.github.io/Logging_2303/klagomålsmail/A 60670-2022 FSC-klagomål mail.docx", "A 60670-2022")</f>
        <v/>
      </c>
      <c r="X857">
        <f>HYPERLINK("https://klasma.github.io/Logging_2303/tillsyn/A 60670-2022 tillsynsbegäran.docx", "A 60670-2022")</f>
        <v/>
      </c>
      <c r="Y857">
        <f>HYPERLINK("https://klasma.github.io/Logging_2303/tillsynsmail/A 60670-2022 tillsynsbegäran mail.docx", "A 60670-2022")</f>
        <v/>
      </c>
    </row>
    <row r="858" ht="15" customHeight="1">
      <c r="A858" t="inlineStr">
        <is>
          <t>A 36910-2024</t>
        </is>
      </c>
      <c r="B858" s="1" t="n">
        <v>45538.63592592593</v>
      </c>
      <c r="C858" s="1" t="n">
        <v>46045</v>
      </c>
      <c r="D858" t="inlineStr">
        <is>
          <t>JÄMTLANDS LÄN</t>
        </is>
      </c>
      <c r="E858" t="inlineStr">
        <is>
          <t>STRÖMSUND</t>
        </is>
      </c>
      <c r="F858" t="inlineStr">
        <is>
          <t>SCA</t>
        </is>
      </c>
      <c r="G858" t="n">
        <v>4.8</v>
      </c>
      <c r="H858" t="n">
        <v>0</v>
      </c>
      <c r="I858" t="n">
        <v>2</v>
      </c>
      <c r="J858" t="n">
        <v>2</v>
      </c>
      <c r="K858" t="n">
        <v>0</v>
      </c>
      <c r="L858" t="n">
        <v>0</v>
      </c>
      <c r="M858" t="n">
        <v>0</v>
      </c>
      <c r="N858" t="n">
        <v>0</v>
      </c>
      <c r="O858" t="n">
        <v>2</v>
      </c>
      <c r="P858" t="n">
        <v>0</v>
      </c>
      <c r="Q858" t="n">
        <v>4</v>
      </c>
      <c r="R858" s="2" t="inlineStr">
        <is>
          <t>Blå taggsvamp
Skrovlig taggsvamp
Dropptaggsvamp
Skarp dropptaggsvamp</t>
        </is>
      </c>
      <c r="S858">
        <f>HYPERLINK("https://klasma.github.io/Logging_2313/artfynd/A 36910-2024 artfynd.xlsx", "A 36910-2024")</f>
        <v/>
      </c>
      <c r="T858">
        <f>HYPERLINK("https://klasma.github.io/Logging_2313/kartor/A 36910-2024 karta.png", "A 36910-2024")</f>
        <v/>
      </c>
      <c r="V858">
        <f>HYPERLINK("https://klasma.github.io/Logging_2313/klagomål/A 36910-2024 FSC-klagomål.docx", "A 36910-2024")</f>
        <v/>
      </c>
      <c r="W858">
        <f>HYPERLINK("https://klasma.github.io/Logging_2313/klagomålsmail/A 36910-2024 FSC-klagomål mail.docx", "A 36910-2024")</f>
        <v/>
      </c>
      <c r="X858">
        <f>HYPERLINK("https://klasma.github.io/Logging_2313/tillsyn/A 36910-2024 tillsynsbegäran.docx", "A 36910-2024")</f>
        <v/>
      </c>
      <c r="Y858">
        <f>HYPERLINK("https://klasma.github.io/Logging_2313/tillsynsmail/A 36910-2024 tillsynsbegäran mail.docx", "A 36910-2024")</f>
        <v/>
      </c>
    </row>
    <row r="859" ht="15" customHeight="1">
      <c r="A859" t="inlineStr">
        <is>
          <t>A 57711-2025</t>
        </is>
      </c>
      <c r="B859" s="1" t="n">
        <v>45981.47217592593</v>
      </c>
      <c r="C859" s="1" t="n">
        <v>46045</v>
      </c>
      <c r="D859" t="inlineStr">
        <is>
          <t>JÄMTLANDS LÄN</t>
        </is>
      </c>
      <c r="E859" t="inlineStr">
        <is>
          <t>ÖSTERSUND</t>
        </is>
      </c>
      <c r="F859" t="inlineStr">
        <is>
          <t>Övriga Aktiebolag</t>
        </is>
      </c>
      <c r="G859" t="n">
        <v>2.6</v>
      </c>
      <c r="H859" t="n">
        <v>0</v>
      </c>
      <c r="I859" t="n">
        <v>4</v>
      </c>
      <c r="J859" t="n">
        <v>0</v>
      </c>
      <c r="K859" t="n">
        <v>0</v>
      </c>
      <c r="L859" t="n">
        <v>0</v>
      </c>
      <c r="M859" t="n">
        <v>0</v>
      </c>
      <c r="N859" t="n">
        <v>0</v>
      </c>
      <c r="O859" t="n">
        <v>0</v>
      </c>
      <c r="P859" t="n">
        <v>0</v>
      </c>
      <c r="Q859" t="n">
        <v>4</v>
      </c>
      <c r="R859" s="2" t="inlineStr">
        <is>
          <t>Diskvaxskivling
Fjällig taggsvamp s.str.
Kransrams
Kryddspindling</t>
        </is>
      </c>
      <c r="S859">
        <f>HYPERLINK("https://klasma.github.io/Logging_2380/artfynd/A 57711-2025 artfynd.xlsx", "A 57711-2025")</f>
        <v/>
      </c>
      <c r="T859">
        <f>HYPERLINK("https://klasma.github.io/Logging_2380/kartor/A 57711-2025 karta.png", "A 57711-2025")</f>
        <v/>
      </c>
      <c r="V859">
        <f>HYPERLINK("https://klasma.github.io/Logging_2380/klagomål/A 57711-2025 FSC-klagomål.docx", "A 57711-2025")</f>
        <v/>
      </c>
      <c r="W859">
        <f>HYPERLINK("https://klasma.github.io/Logging_2380/klagomålsmail/A 57711-2025 FSC-klagomål mail.docx", "A 57711-2025")</f>
        <v/>
      </c>
      <c r="X859">
        <f>HYPERLINK("https://klasma.github.io/Logging_2380/tillsyn/A 57711-2025 tillsynsbegäran.docx", "A 57711-2025")</f>
        <v/>
      </c>
      <c r="Y859">
        <f>HYPERLINK("https://klasma.github.io/Logging_2380/tillsynsmail/A 57711-2025 tillsynsbegäran mail.docx", "A 57711-2025")</f>
        <v/>
      </c>
    </row>
    <row r="860" ht="15" customHeight="1">
      <c r="A860" t="inlineStr">
        <is>
          <t>A 31715-2025</t>
        </is>
      </c>
      <c r="B860" s="1" t="n">
        <v>45834.45671296296</v>
      </c>
      <c r="C860" s="1" t="n">
        <v>46045</v>
      </c>
      <c r="D860" t="inlineStr">
        <is>
          <t>JÄMTLANDS LÄN</t>
        </is>
      </c>
      <c r="E860" t="inlineStr">
        <is>
          <t>BERG</t>
        </is>
      </c>
      <c r="G860" t="n">
        <v>1.6</v>
      </c>
      <c r="H860" t="n">
        <v>1</v>
      </c>
      <c r="I860" t="n">
        <v>1</v>
      </c>
      <c r="J860" t="n">
        <v>2</v>
      </c>
      <c r="K860" t="n">
        <v>1</v>
      </c>
      <c r="L860" t="n">
        <v>0</v>
      </c>
      <c r="M860" t="n">
        <v>0</v>
      </c>
      <c r="N860" t="n">
        <v>0</v>
      </c>
      <c r="O860" t="n">
        <v>3</v>
      </c>
      <c r="P860" t="n">
        <v>1</v>
      </c>
      <c r="Q860" t="n">
        <v>4</v>
      </c>
      <c r="R860" s="2" t="inlineStr">
        <is>
          <t>Knärot
Gammelgransskål
Garnlav
Norrlandslav</t>
        </is>
      </c>
      <c r="S860">
        <f>HYPERLINK("https://klasma.github.io/Logging_2326/artfynd/A 31715-2025 artfynd.xlsx", "A 31715-2025")</f>
        <v/>
      </c>
      <c r="T860">
        <f>HYPERLINK("https://klasma.github.io/Logging_2326/kartor/A 31715-2025 karta.png", "A 31715-2025")</f>
        <v/>
      </c>
      <c r="U860">
        <f>HYPERLINK("https://klasma.github.io/Logging_2326/knärot/A 31715-2025 karta knärot.png", "A 31715-2025")</f>
        <v/>
      </c>
      <c r="V860">
        <f>HYPERLINK("https://klasma.github.io/Logging_2326/klagomål/A 31715-2025 FSC-klagomål.docx", "A 31715-2025")</f>
        <v/>
      </c>
      <c r="W860">
        <f>HYPERLINK("https://klasma.github.io/Logging_2326/klagomålsmail/A 31715-2025 FSC-klagomål mail.docx", "A 31715-2025")</f>
        <v/>
      </c>
      <c r="X860">
        <f>HYPERLINK("https://klasma.github.io/Logging_2326/tillsyn/A 31715-2025 tillsynsbegäran.docx", "A 31715-2025")</f>
        <v/>
      </c>
      <c r="Y860">
        <f>HYPERLINK("https://klasma.github.io/Logging_2326/tillsynsmail/A 31715-2025 tillsynsbegäran mail.docx", "A 31715-2025")</f>
        <v/>
      </c>
    </row>
    <row r="861" ht="15" customHeight="1">
      <c r="A861" t="inlineStr">
        <is>
          <t>A 58717-2025</t>
        </is>
      </c>
      <c r="B861" s="1" t="n">
        <v>45986.61508101852</v>
      </c>
      <c r="C861" s="1" t="n">
        <v>46045</v>
      </c>
      <c r="D861" t="inlineStr">
        <is>
          <t>JÄMTLANDS LÄN</t>
        </is>
      </c>
      <c r="E861" t="inlineStr">
        <is>
          <t>STRÖMSUND</t>
        </is>
      </c>
      <c r="F861" t="inlineStr">
        <is>
          <t>SCA</t>
        </is>
      </c>
      <c r="G861" t="n">
        <v>17.4</v>
      </c>
      <c r="H861" t="n">
        <v>0</v>
      </c>
      <c r="I861" t="n">
        <v>0</v>
      </c>
      <c r="J861" t="n">
        <v>4</v>
      </c>
      <c r="K861" t="n">
        <v>0</v>
      </c>
      <c r="L861" t="n">
        <v>0</v>
      </c>
      <c r="M861" t="n">
        <v>0</v>
      </c>
      <c r="N861" t="n">
        <v>0</v>
      </c>
      <c r="O861" t="n">
        <v>4</v>
      </c>
      <c r="P861" t="n">
        <v>0</v>
      </c>
      <c r="Q861" t="n">
        <v>4</v>
      </c>
      <c r="R861" s="2" t="inlineStr">
        <is>
          <t>Doftskinn
Gammelgransskål
Harticka
Skrovellav</t>
        </is>
      </c>
      <c r="S861">
        <f>HYPERLINK("https://klasma.github.io/Logging_2313/artfynd/A 58717-2025 artfynd.xlsx", "A 58717-2025")</f>
        <v/>
      </c>
      <c r="T861">
        <f>HYPERLINK("https://klasma.github.io/Logging_2313/kartor/A 58717-2025 karta.png", "A 58717-2025")</f>
        <v/>
      </c>
      <c r="V861">
        <f>HYPERLINK("https://klasma.github.io/Logging_2313/klagomål/A 58717-2025 FSC-klagomål.docx", "A 58717-2025")</f>
        <v/>
      </c>
      <c r="W861">
        <f>HYPERLINK("https://klasma.github.io/Logging_2313/klagomålsmail/A 58717-2025 FSC-klagomål mail.docx", "A 58717-2025")</f>
        <v/>
      </c>
      <c r="X861">
        <f>HYPERLINK("https://klasma.github.io/Logging_2313/tillsyn/A 58717-2025 tillsynsbegäran.docx", "A 58717-2025")</f>
        <v/>
      </c>
      <c r="Y861">
        <f>HYPERLINK("https://klasma.github.io/Logging_2313/tillsynsmail/A 58717-2025 tillsynsbegäran mail.docx", "A 58717-2025")</f>
        <v/>
      </c>
    </row>
    <row r="862" ht="15" customHeight="1">
      <c r="A862" t="inlineStr">
        <is>
          <t>A 31742-2025</t>
        </is>
      </c>
      <c r="B862" s="1" t="n">
        <v>45834.47548611111</v>
      </c>
      <c r="C862" s="1" t="n">
        <v>46045</v>
      </c>
      <c r="D862" t="inlineStr">
        <is>
          <t>JÄMTLANDS LÄN</t>
        </is>
      </c>
      <c r="E862" t="inlineStr">
        <is>
          <t>BERG</t>
        </is>
      </c>
      <c r="G862" t="n">
        <v>10.7</v>
      </c>
      <c r="H862" t="n">
        <v>0</v>
      </c>
      <c r="I862" t="n">
        <v>0</v>
      </c>
      <c r="J862" t="n">
        <v>4</v>
      </c>
      <c r="K862" t="n">
        <v>0</v>
      </c>
      <c r="L862" t="n">
        <v>0</v>
      </c>
      <c r="M862" t="n">
        <v>0</v>
      </c>
      <c r="N862" t="n">
        <v>0</v>
      </c>
      <c r="O862" t="n">
        <v>4</v>
      </c>
      <c r="P862" t="n">
        <v>0</v>
      </c>
      <c r="Q862" t="n">
        <v>4</v>
      </c>
      <c r="R862" s="2" t="inlineStr">
        <is>
          <t>Blågrå svartspik
Dvärgbägarlav
Kolflarnlav
Mörk kolflarnlav</t>
        </is>
      </c>
      <c r="S862">
        <f>HYPERLINK("https://klasma.github.io/Logging_2326/artfynd/A 31742-2025 artfynd.xlsx", "A 31742-2025")</f>
        <v/>
      </c>
      <c r="T862">
        <f>HYPERLINK("https://klasma.github.io/Logging_2326/kartor/A 31742-2025 karta.png", "A 31742-2025")</f>
        <v/>
      </c>
      <c r="V862">
        <f>HYPERLINK("https://klasma.github.io/Logging_2326/klagomål/A 31742-2025 FSC-klagomål.docx", "A 31742-2025")</f>
        <v/>
      </c>
      <c r="W862">
        <f>HYPERLINK("https://klasma.github.io/Logging_2326/klagomålsmail/A 31742-2025 FSC-klagomål mail.docx", "A 31742-2025")</f>
        <v/>
      </c>
      <c r="X862">
        <f>HYPERLINK("https://klasma.github.io/Logging_2326/tillsyn/A 31742-2025 tillsynsbegäran.docx", "A 31742-2025")</f>
        <v/>
      </c>
      <c r="Y862">
        <f>HYPERLINK("https://klasma.github.io/Logging_2326/tillsynsmail/A 31742-2025 tillsynsbegäran mail.docx", "A 31742-2025")</f>
        <v/>
      </c>
    </row>
    <row r="863" ht="15" customHeight="1">
      <c r="A863" t="inlineStr">
        <is>
          <t>A 58238-2025</t>
        </is>
      </c>
      <c r="B863" s="1" t="n">
        <v>45985.38775462963</v>
      </c>
      <c r="C863" s="1" t="n">
        <v>46045</v>
      </c>
      <c r="D863" t="inlineStr">
        <is>
          <t>JÄMTLANDS LÄN</t>
        </is>
      </c>
      <c r="E863" t="inlineStr">
        <is>
          <t>BERG</t>
        </is>
      </c>
      <c r="F863" t="inlineStr">
        <is>
          <t>SCA</t>
        </is>
      </c>
      <c r="G863" t="n">
        <v>7.6</v>
      </c>
      <c r="H863" t="n">
        <v>2</v>
      </c>
      <c r="I863" t="n">
        <v>0</v>
      </c>
      <c r="J863" t="n">
        <v>4</v>
      </c>
      <c r="K863" t="n">
        <v>0</v>
      </c>
      <c r="L863" t="n">
        <v>0</v>
      </c>
      <c r="M863" t="n">
        <v>0</v>
      </c>
      <c r="N863" t="n">
        <v>0</v>
      </c>
      <c r="O863" t="n">
        <v>4</v>
      </c>
      <c r="P863" t="n">
        <v>0</v>
      </c>
      <c r="Q863" t="n">
        <v>4</v>
      </c>
      <c r="R863" s="2" t="inlineStr">
        <is>
          <t>Granticka
Spillkråka
Tretåig hackspett
Ullticka</t>
        </is>
      </c>
      <c r="S863">
        <f>HYPERLINK("https://klasma.github.io/Logging_2326/artfynd/A 58238-2025 artfynd.xlsx", "A 58238-2025")</f>
        <v/>
      </c>
      <c r="T863">
        <f>HYPERLINK("https://klasma.github.io/Logging_2326/kartor/A 58238-2025 karta.png", "A 58238-2025")</f>
        <v/>
      </c>
      <c r="V863">
        <f>HYPERLINK("https://klasma.github.io/Logging_2326/klagomål/A 58238-2025 FSC-klagomål.docx", "A 58238-2025")</f>
        <v/>
      </c>
      <c r="W863">
        <f>HYPERLINK("https://klasma.github.io/Logging_2326/klagomålsmail/A 58238-2025 FSC-klagomål mail.docx", "A 58238-2025")</f>
        <v/>
      </c>
      <c r="X863">
        <f>HYPERLINK("https://klasma.github.io/Logging_2326/tillsyn/A 58238-2025 tillsynsbegäran.docx", "A 58238-2025")</f>
        <v/>
      </c>
      <c r="Y863">
        <f>HYPERLINK("https://klasma.github.io/Logging_2326/tillsynsmail/A 58238-2025 tillsynsbegäran mail.docx", "A 58238-2025")</f>
        <v/>
      </c>
      <c r="Z863">
        <f>HYPERLINK("https://klasma.github.io/Logging_2326/fåglar/A 58238-2025 prioriterade fågelarter.docx", "A 58238-2025")</f>
        <v/>
      </c>
    </row>
    <row r="864" ht="15" customHeight="1">
      <c r="A864" t="inlineStr">
        <is>
          <t>A 32676-2025</t>
        </is>
      </c>
      <c r="B864" s="1" t="n">
        <v>45838.73927083334</v>
      </c>
      <c r="C864" s="1" t="n">
        <v>46045</v>
      </c>
      <c r="D864" t="inlineStr">
        <is>
          <t>JÄMTLANDS LÄN</t>
        </is>
      </c>
      <c r="E864" t="inlineStr">
        <is>
          <t>HÄRJEDALEN</t>
        </is>
      </c>
      <c r="F864" t="inlineStr">
        <is>
          <t>Sveaskog</t>
        </is>
      </c>
      <c r="G864" t="n">
        <v>51</v>
      </c>
      <c r="H864" t="n">
        <v>1</v>
      </c>
      <c r="I864" t="n">
        <v>0</v>
      </c>
      <c r="J864" t="n">
        <v>2</v>
      </c>
      <c r="K864" t="n">
        <v>0</v>
      </c>
      <c r="L864" t="n">
        <v>1</v>
      </c>
      <c r="M864" t="n">
        <v>0</v>
      </c>
      <c r="N864" t="n">
        <v>0</v>
      </c>
      <c r="O864" t="n">
        <v>3</v>
      </c>
      <c r="P864" t="n">
        <v>1</v>
      </c>
      <c r="Q864" t="n">
        <v>4</v>
      </c>
      <c r="R864" s="2" t="inlineStr">
        <is>
          <t>Broktagel
Knottrig blåslav
Lunglav
Fläcknycklar</t>
        </is>
      </c>
      <c r="S864">
        <f>HYPERLINK("https://klasma.github.io/Logging_2361/artfynd/A 32676-2025 artfynd.xlsx", "A 32676-2025")</f>
        <v/>
      </c>
      <c r="T864">
        <f>HYPERLINK("https://klasma.github.io/Logging_2361/kartor/A 32676-2025 karta.png", "A 32676-2025")</f>
        <v/>
      </c>
      <c r="V864">
        <f>HYPERLINK("https://klasma.github.io/Logging_2361/klagomål/A 32676-2025 FSC-klagomål.docx", "A 32676-2025")</f>
        <v/>
      </c>
      <c r="W864">
        <f>HYPERLINK("https://klasma.github.io/Logging_2361/klagomålsmail/A 32676-2025 FSC-klagomål mail.docx", "A 32676-2025")</f>
        <v/>
      </c>
      <c r="X864">
        <f>HYPERLINK("https://klasma.github.io/Logging_2361/tillsyn/A 32676-2025 tillsynsbegäran.docx", "A 32676-2025")</f>
        <v/>
      </c>
      <c r="Y864">
        <f>HYPERLINK("https://klasma.github.io/Logging_2361/tillsynsmail/A 32676-2025 tillsynsbegäran mail.docx", "A 32676-2025")</f>
        <v/>
      </c>
    </row>
    <row r="865" ht="15" customHeight="1">
      <c r="A865" t="inlineStr">
        <is>
          <t>A 59163-2025</t>
        </is>
      </c>
      <c r="B865" s="1" t="n">
        <v>45988.55412037037</v>
      </c>
      <c r="C865" s="1" t="n">
        <v>46045</v>
      </c>
      <c r="D865" t="inlineStr">
        <is>
          <t>JÄMTLANDS LÄN</t>
        </is>
      </c>
      <c r="E865" t="inlineStr">
        <is>
          <t>ÅRE</t>
        </is>
      </c>
      <c r="F865" t="inlineStr">
        <is>
          <t>Övriga Aktiebolag</t>
        </is>
      </c>
      <c r="G865" t="n">
        <v>8.5</v>
      </c>
      <c r="H865" t="n">
        <v>0</v>
      </c>
      <c r="I865" t="n">
        <v>1</v>
      </c>
      <c r="J865" t="n">
        <v>3</v>
      </c>
      <c r="K865" t="n">
        <v>0</v>
      </c>
      <c r="L865" t="n">
        <v>0</v>
      </c>
      <c r="M865" t="n">
        <v>0</v>
      </c>
      <c r="N865" t="n">
        <v>0</v>
      </c>
      <c r="O865" t="n">
        <v>3</v>
      </c>
      <c r="P865" t="n">
        <v>0</v>
      </c>
      <c r="Q865" t="n">
        <v>4</v>
      </c>
      <c r="R865" s="2" t="inlineStr">
        <is>
          <t>Garnlav
Granticka
Skrovellav
Stuplav</t>
        </is>
      </c>
      <c r="S865">
        <f>HYPERLINK("https://klasma.github.io/Logging_2321/artfynd/A 59163-2025 artfynd.xlsx", "A 59163-2025")</f>
        <v/>
      </c>
      <c r="T865">
        <f>HYPERLINK("https://klasma.github.io/Logging_2321/kartor/A 59163-2025 karta.png", "A 59163-2025")</f>
        <v/>
      </c>
      <c r="V865">
        <f>HYPERLINK("https://klasma.github.io/Logging_2321/klagomål/A 59163-2025 FSC-klagomål.docx", "A 59163-2025")</f>
        <v/>
      </c>
      <c r="W865">
        <f>HYPERLINK("https://klasma.github.io/Logging_2321/klagomålsmail/A 59163-2025 FSC-klagomål mail.docx", "A 59163-2025")</f>
        <v/>
      </c>
      <c r="X865">
        <f>HYPERLINK("https://klasma.github.io/Logging_2321/tillsyn/A 59163-2025 tillsynsbegäran.docx", "A 59163-2025")</f>
        <v/>
      </c>
      <c r="Y865">
        <f>HYPERLINK("https://klasma.github.io/Logging_2321/tillsynsmail/A 59163-2025 tillsynsbegäran mail.docx", "A 59163-2025")</f>
        <v/>
      </c>
    </row>
    <row r="866" ht="15" customHeight="1">
      <c r="A866" t="inlineStr">
        <is>
          <t>A 56312-2024</t>
        </is>
      </c>
      <c r="B866" s="1" t="n">
        <v>45624</v>
      </c>
      <c r="C866" s="1" t="n">
        <v>46045</v>
      </c>
      <c r="D866" t="inlineStr">
        <is>
          <t>JÄMTLANDS LÄN</t>
        </is>
      </c>
      <c r="E866" t="inlineStr">
        <is>
          <t>KROKOM</t>
        </is>
      </c>
      <c r="G866" t="n">
        <v>7.2</v>
      </c>
      <c r="H866" t="n">
        <v>2</v>
      </c>
      <c r="I866" t="n">
        <v>0</v>
      </c>
      <c r="J866" t="n">
        <v>4</v>
      </c>
      <c r="K866" t="n">
        <v>0</v>
      </c>
      <c r="L866" t="n">
        <v>0</v>
      </c>
      <c r="M866" t="n">
        <v>0</v>
      </c>
      <c r="N866" t="n">
        <v>0</v>
      </c>
      <c r="O866" t="n">
        <v>4</v>
      </c>
      <c r="P866" t="n">
        <v>0</v>
      </c>
      <c r="Q866" t="n">
        <v>4</v>
      </c>
      <c r="R866" s="2" t="inlineStr">
        <is>
          <t>Granticka
Spillkråka
Tretåig hackspett
Ullticka</t>
        </is>
      </c>
      <c r="S866">
        <f>HYPERLINK("https://klasma.github.io/Logging_2309/artfynd/A 56312-2024 artfynd.xlsx", "A 56312-2024")</f>
        <v/>
      </c>
      <c r="T866">
        <f>HYPERLINK("https://klasma.github.io/Logging_2309/kartor/A 56312-2024 karta.png", "A 56312-2024")</f>
        <v/>
      </c>
      <c r="V866">
        <f>HYPERLINK("https://klasma.github.io/Logging_2309/klagomål/A 56312-2024 FSC-klagomål.docx", "A 56312-2024")</f>
        <v/>
      </c>
      <c r="W866">
        <f>HYPERLINK("https://klasma.github.io/Logging_2309/klagomålsmail/A 56312-2024 FSC-klagomål mail.docx", "A 56312-2024")</f>
        <v/>
      </c>
      <c r="X866">
        <f>HYPERLINK("https://klasma.github.io/Logging_2309/tillsyn/A 56312-2024 tillsynsbegäran.docx", "A 56312-2024")</f>
        <v/>
      </c>
      <c r="Y866">
        <f>HYPERLINK("https://klasma.github.io/Logging_2309/tillsynsmail/A 56312-2024 tillsynsbegäran mail.docx", "A 56312-2024")</f>
        <v/>
      </c>
      <c r="Z866">
        <f>HYPERLINK("https://klasma.github.io/Logging_2309/fåglar/A 56312-2024 prioriterade fågelarter.docx", "A 56312-2024")</f>
        <v/>
      </c>
    </row>
    <row r="867" ht="15" customHeight="1">
      <c r="A867" t="inlineStr">
        <is>
          <t>A 49178-2024</t>
        </is>
      </c>
      <c r="B867" s="1" t="n">
        <v>45595</v>
      </c>
      <c r="C867" s="1" t="n">
        <v>46045</v>
      </c>
      <c r="D867" t="inlineStr">
        <is>
          <t>JÄMTLANDS LÄN</t>
        </is>
      </c>
      <c r="E867" t="inlineStr">
        <is>
          <t>KROKOM</t>
        </is>
      </c>
      <c r="G867" t="n">
        <v>96.8</v>
      </c>
      <c r="H867" t="n">
        <v>0</v>
      </c>
      <c r="I867" t="n">
        <v>0</v>
      </c>
      <c r="J867" t="n">
        <v>4</v>
      </c>
      <c r="K867" t="n">
        <v>0</v>
      </c>
      <c r="L867" t="n">
        <v>0</v>
      </c>
      <c r="M867" t="n">
        <v>0</v>
      </c>
      <c r="N867" t="n">
        <v>0</v>
      </c>
      <c r="O867" t="n">
        <v>4</v>
      </c>
      <c r="P867" t="n">
        <v>0</v>
      </c>
      <c r="Q867" t="n">
        <v>4</v>
      </c>
      <c r="R867" s="2" t="inlineStr">
        <is>
          <t>Gammelgransskål
Gränsticka
Rosenticka
Skrovellav</t>
        </is>
      </c>
      <c r="S867">
        <f>HYPERLINK("https://klasma.github.io/Logging_2309/artfynd/A 49178-2024 artfynd.xlsx", "A 49178-2024")</f>
        <v/>
      </c>
      <c r="T867">
        <f>HYPERLINK("https://klasma.github.io/Logging_2309/kartor/A 49178-2024 karta.png", "A 49178-2024")</f>
        <v/>
      </c>
      <c r="V867">
        <f>HYPERLINK("https://klasma.github.io/Logging_2309/klagomål/A 49178-2024 FSC-klagomål.docx", "A 49178-2024")</f>
        <v/>
      </c>
      <c r="W867">
        <f>HYPERLINK("https://klasma.github.io/Logging_2309/klagomålsmail/A 49178-2024 FSC-klagomål mail.docx", "A 49178-2024")</f>
        <v/>
      </c>
      <c r="X867">
        <f>HYPERLINK("https://klasma.github.io/Logging_2309/tillsyn/A 49178-2024 tillsynsbegäran.docx", "A 49178-2024")</f>
        <v/>
      </c>
      <c r="Y867">
        <f>HYPERLINK("https://klasma.github.io/Logging_2309/tillsynsmail/A 49178-2024 tillsynsbegäran mail.docx", "A 49178-2024")</f>
        <v/>
      </c>
    </row>
    <row r="868" ht="15" customHeight="1">
      <c r="A868" t="inlineStr">
        <is>
          <t>A 34529-2025</t>
        </is>
      </c>
      <c r="B868" s="1" t="n">
        <v>45847.48991898148</v>
      </c>
      <c r="C868" s="1" t="n">
        <v>46045</v>
      </c>
      <c r="D868" t="inlineStr">
        <is>
          <t>JÄMTLANDS LÄN</t>
        </is>
      </c>
      <c r="E868" t="inlineStr">
        <is>
          <t>BRÄCKE</t>
        </is>
      </c>
      <c r="F868" t="inlineStr">
        <is>
          <t>SCA</t>
        </is>
      </c>
      <c r="G868" t="n">
        <v>2.4</v>
      </c>
      <c r="H868" t="n">
        <v>1</v>
      </c>
      <c r="I868" t="n">
        <v>1</v>
      </c>
      <c r="J868" t="n">
        <v>2</v>
      </c>
      <c r="K868" t="n">
        <v>1</v>
      </c>
      <c r="L868" t="n">
        <v>0</v>
      </c>
      <c r="M868" t="n">
        <v>0</v>
      </c>
      <c r="N868" t="n">
        <v>0</v>
      </c>
      <c r="O868" t="n">
        <v>3</v>
      </c>
      <c r="P868" t="n">
        <v>1</v>
      </c>
      <c r="Q868" t="n">
        <v>4</v>
      </c>
      <c r="R868" s="2" t="inlineStr">
        <is>
          <t>Knärot
Orange taggsvamp
Tallriska
Dropptaggsvamp</t>
        </is>
      </c>
      <c r="S868">
        <f>HYPERLINK("https://klasma.github.io/Logging_2305/artfynd/A 34529-2025 artfynd.xlsx", "A 34529-2025")</f>
        <v/>
      </c>
      <c r="T868">
        <f>HYPERLINK("https://klasma.github.io/Logging_2305/kartor/A 34529-2025 karta.png", "A 34529-2025")</f>
        <v/>
      </c>
      <c r="U868">
        <f>HYPERLINK("https://klasma.github.io/Logging_2305/knärot/A 34529-2025 karta knärot.png", "A 34529-2025")</f>
        <v/>
      </c>
      <c r="V868">
        <f>HYPERLINK("https://klasma.github.io/Logging_2305/klagomål/A 34529-2025 FSC-klagomål.docx", "A 34529-2025")</f>
        <v/>
      </c>
      <c r="W868">
        <f>HYPERLINK("https://klasma.github.io/Logging_2305/klagomålsmail/A 34529-2025 FSC-klagomål mail.docx", "A 34529-2025")</f>
        <v/>
      </c>
      <c r="X868">
        <f>HYPERLINK("https://klasma.github.io/Logging_2305/tillsyn/A 34529-2025 tillsynsbegäran.docx", "A 34529-2025")</f>
        <v/>
      </c>
      <c r="Y868">
        <f>HYPERLINK("https://klasma.github.io/Logging_2305/tillsynsmail/A 34529-2025 tillsynsbegäran mail.docx", "A 34529-2025")</f>
        <v/>
      </c>
    </row>
    <row r="869" ht="15" customHeight="1">
      <c r="A869" t="inlineStr">
        <is>
          <t>A 2338-2026</t>
        </is>
      </c>
      <c r="B869" s="1" t="n">
        <v>46036.61542824074</v>
      </c>
      <c r="C869" s="1" t="n">
        <v>46045</v>
      </c>
      <c r="D869" t="inlineStr">
        <is>
          <t>JÄMTLANDS LÄN</t>
        </is>
      </c>
      <c r="E869" t="inlineStr">
        <is>
          <t>BRÄCKE</t>
        </is>
      </c>
      <c r="F869" t="inlineStr">
        <is>
          <t>SCA</t>
        </is>
      </c>
      <c r="G869" t="n">
        <v>11.8</v>
      </c>
      <c r="H869" t="n">
        <v>4</v>
      </c>
      <c r="I869" t="n">
        <v>0</v>
      </c>
      <c r="J869" t="n">
        <v>3</v>
      </c>
      <c r="K869" t="n">
        <v>0</v>
      </c>
      <c r="L869" t="n">
        <v>0</v>
      </c>
      <c r="M869" t="n">
        <v>0</v>
      </c>
      <c r="N869" t="n">
        <v>0</v>
      </c>
      <c r="O869" t="n">
        <v>3</v>
      </c>
      <c r="P869" t="n">
        <v>0</v>
      </c>
      <c r="Q869" t="n">
        <v>4</v>
      </c>
      <c r="R869" s="2" t="inlineStr">
        <is>
          <t>Spillkråka
Talltita
Tretåig hackspett
Lavskrika</t>
        </is>
      </c>
      <c r="S869">
        <f>HYPERLINK("https://klasma.github.io/Logging_2305/artfynd/A 2338-2026 artfynd.xlsx", "A 2338-2026")</f>
        <v/>
      </c>
      <c r="T869">
        <f>HYPERLINK("https://klasma.github.io/Logging_2305/kartor/A 2338-2026 karta.png", "A 2338-2026")</f>
        <v/>
      </c>
      <c r="V869">
        <f>HYPERLINK("https://klasma.github.io/Logging_2305/klagomål/A 2338-2026 FSC-klagomål.docx", "A 2338-2026")</f>
        <v/>
      </c>
      <c r="W869">
        <f>HYPERLINK("https://klasma.github.io/Logging_2305/klagomålsmail/A 2338-2026 FSC-klagomål mail.docx", "A 2338-2026")</f>
        <v/>
      </c>
      <c r="X869">
        <f>HYPERLINK("https://klasma.github.io/Logging_2305/tillsyn/A 2338-2026 tillsynsbegäran.docx", "A 2338-2026")</f>
        <v/>
      </c>
      <c r="Y869">
        <f>HYPERLINK("https://klasma.github.io/Logging_2305/tillsynsmail/A 2338-2026 tillsynsbegäran mail.docx", "A 2338-2026")</f>
        <v/>
      </c>
      <c r="Z869">
        <f>HYPERLINK("https://klasma.github.io/Logging_2305/fåglar/A 2338-2026 prioriterade fågelarter.docx", "A 2338-2026")</f>
        <v/>
      </c>
    </row>
    <row r="870" ht="15" customHeight="1">
      <c r="A870" t="inlineStr">
        <is>
          <t>A 34855-2025</t>
        </is>
      </c>
      <c r="B870" s="1" t="n">
        <v>45849.42818287037</v>
      </c>
      <c r="C870" s="1" t="n">
        <v>46045</v>
      </c>
      <c r="D870" t="inlineStr">
        <is>
          <t>JÄMTLANDS LÄN</t>
        </is>
      </c>
      <c r="E870" t="inlineStr">
        <is>
          <t>KROKOM</t>
        </is>
      </c>
      <c r="F870" t="inlineStr">
        <is>
          <t>SCA</t>
        </is>
      </c>
      <c r="G870" t="n">
        <v>5.7</v>
      </c>
      <c r="H870" t="n">
        <v>0</v>
      </c>
      <c r="I870" t="n">
        <v>0</v>
      </c>
      <c r="J870" t="n">
        <v>4</v>
      </c>
      <c r="K870" t="n">
        <v>0</v>
      </c>
      <c r="L870" t="n">
        <v>0</v>
      </c>
      <c r="M870" t="n">
        <v>0</v>
      </c>
      <c r="N870" t="n">
        <v>0</v>
      </c>
      <c r="O870" t="n">
        <v>4</v>
      </c>
      <c r="P870" t="n">
        <v>0</v>
      </c>
      <c r="Q870" t="n">
        <v>4</v>
      </c>
      <c r="R870" s="2" t="inlineStr">
        <is>
          <t>Kolflarnlav
Skrovellav
Vedflamlav
Vedskivlav</t>
        </is>
      </c>
      <c r="S870">
        <f>HYPERLINK("https://klasma.github.io/Logging_2309/artfynd/A 34855-2025 artfynd.xlsx", "A 34855-2025")</f>
        <v/>
      </c>
      <c r="T870">
        <f>HYPERLINK("https://klasma.github.io/Logging_2309/kartor/A 34855-2025 karta.png", "A 34855-2025")</f>
        <v/>
      </c>
      <c r="V870">
        <f>HYPERLINK("https://klasma.github.io/Logging_2309/klagomål/A 34855-2025 FSC-klagomål.docx", "A 34855-2025")</f>
        <v/>
      </c>
      <c r="W870">
        <f>HYPERLINK("https://klasma.github.io/Logging_2309/klagomålsmail/A 34855-2025 FSC-klagomål mail.docx", "A 34855-2025")</f>
        <v/>
      </c>
      <c r="X870">
        <f>HYPERLINK("https://klasma.github.io/Logging_2309/tillsyn/A 34855-2025 tillsynsbegäran.docx", "A 34855-2025")</f>
        <v/>
      </c>
      <c r="Y870">
        <f>HYPERLINK("https://klasma.github.io/Logging_2309/tillsynsmail/A 34855-2025 tillsynsbegäran mail.docx", "A 34855-2025")</f>
        <v/>
      </c>
    </row>
    <row r="871" ht="15" customHeight="1">
      <c r="A871" t="inlineStr">
        <is>
          <t>A 2759-2025</t>
        </is>
      </c>
      <c r="B871" s="1" t="n">
        <v>45674</v>
      </c>
      <c r="C871" s="1" t="n">
        <v>46045</v>
      </c>
      <c r="D871" t="inlineStr">
        <is>
          <t>JÄMTLANDS LÄN</t>
        </is>
      </c>
      <c r="E871" t="inlineStr">
        <is>
          <t>STRÖMSUND</t>
        </is>
      </c>
      <c r="G871" t="n">
        <v>2.5</v>
      </c>
      <c r="H871" t="n">
        <v>1</v>
      </c>
      <c r="I871" t="n">
        <v>1</v>
      </c>
      <c r="J871" t="n">
        <v>3</v>
      </c>
      <c r="K871" t="n">
        <v>0</v>
      </c>
      <c r="L871" t="n">
        <v>0</v>
      </c>
      <c r="M871" t="n">
        <v>0</v>
      </c>
      <c r="N871" t="n">
        <v>0</v>
      </c>
      <c r="O871" t="n">
        <v>3</v>
      </c>
      <c r="P871" t="n">
        <v>0</v>
      </c>
      <c r="Q871" t="n">
        <v>4</v>
      </c>
      <c r="R871" s="2" t="inlineStr">
        <is>
          <t>Garnlav
Granticka
Tretåig hackspett
Finbräken</t>
        </is>
      </c>
      <c r="S871">
        <f>HYPERLINK("https://klasma.github.io/Logging_2313/artfynd/A 2759-2025 artfynd.xlsx", "A 2759-2025")</f>
        <v/>
      </c>
      <c r="T871">
        <f>HYPERLINK("https://klasma.github.io/Logging_2313/kartor/A 2759-2025 karta.png", "A 2759-2025")</f>
        <v/>
      </c>
      <c r="V871">
        <f>HYPERLINK("https://klasma.github.io/Logging_2313/klagomål/A 2759-2025 FSC-klagomål.docx", "A 2759-2025")</f>
        <v/>
      </c>
      <c r="W871">
        <f>HYPERLINK("https://klasma.github.io/Logging_2313/klagomålsmail/A 2759-2025 FSC-klagomål mail.docx", "A 2759-2025")</f>
        <v/>
      </c>
      <c r="X871">
        <f>HYPERLINK("https://klasma.github.io/Logging_2313/tillsyn/A 2759-2025 tillsynsbegäran.docx", "A 2759-2025")</f>
        <v/>
      </c>
      <c r="Y871">
        <f>HYPERLINK("https://klasma.github.io/Logging_2313/tillsynsmail/A 2759-2025 tillsynsbegäran mail.docx", "A 2759-2025")</f>
        <v/>
      </c>
      <c r="Z871">
        <f>HYPERLINK("https://klasma.github.io/Logging_2313/fåglar/A 2759-2025 prioriterade fågelarter.docx", "A 2759-2025")</f>
        <v/>
      </c>
    </row>
    <row r="872" ht="15" customHeight="1">
      <c r="A872" t="inlineStr">
        <is>
          <t>A 57276-2025</t>
        </is>
      </c>
      <c r="B872" s="1" t="n">
        <v>45979.68783564815</v>
      </c>
      <c r="C872" s="1" t="n">
        <v>46045</v>
      </c>
      <c r="D872" t="inlineStr">
        <is>
          <t>JÄMTLANDS LÄN</t>
        </is>
      </c>
      <c r="E872" t="inlineStr">
        <is>
          <t>BERG</t>
        </is>
      </c>
      <c r="G872" t="n">
        <v>4.8</v>
      </c>
      <c r="H872" t="n">
        <v>0</v>
      </c>
      <c r="I872" t="n">
        <v>1</v>
      </c>
      <c r="J872" t="n">
        <v>3</v>
      </c>
      <c r="K872" t="n">
        <v>0</v>
      </c>
      <c r="L872" t="n">
        <v>0</v>
      </c>
      <c r="M872" t="n">
        <v>0</v>
      </c>
      <c r="N872" t="n">
        <v>0</v>
      </c>
      <c r="O872" t="n">
        <v>3</v>
      </c>
      <c r="P872" t="n">
        <v>0</v>
      </c>
      <c r="Q872" t="n">
        <v>4</v>
      </c>
      <c r="R872" s="2" t="inlineStr">
        <is>
          <t>Garnlav
Lunglav
Vitgrynig nållav
Trådticka</t>
        </is>
      </c>
      <c r="S872">
        <f>HYPERLINK("https://klasma.github.io/Logging_2326/artfynd/A 57276-2025 artfynd.xlsx", "A 57276-2025")</f>
        <v/>
      </c>
      <c r="T872">
        <f>HYPERLINK("https://klasma.github.io/Logging_2326/kartor/A 57276-2025 karta.png", "A 57276-2025")</f>
        <v/>
      </c>
      <c r="V872">
        <f>HYPERLINK("https://klasma.github.io/Logging_2326/klagomål/A 57276-2025 FSC-klagomål.docx", "A 57276-2025")</f>
        <v/>
      </c>
      <c r="W872">
        <f>HYPERLINK("https://klasma.github.io/Logging_2326/klagomålsmail/A 57276-2025 FSC-klagomål mail.docx", "A 57276-2025")</f>
        <v/>
      </c>
      <c r="X872">
        <f>HYPERLINK("https://klasma.github.io/Logging_2326/tillsyn/A 57276-2025 tillsynsbegäran.docx", "A 57276-2025")</f>
        <v/>
      </c>
      <c r="Y872">
        <f>HYPERLINK("https://klasma.github.io/Logging_2326/tillsynsmail/A 57276-2025 tillsynsbegäran mail.docx", "A 57276-2025")</f>
        <v/>
      </c>
    </row>
    <row r="873" ht="15" customHeight="1">
      <c r="A873" t="inlineStr">
        <is>
          <t>A 30465-2024</t>
        </is>
      </c>
      <c r="B873" s="1" t="n">
        <v>45491</v>
      </c>
      <c r="C873" s="1" t="n">
        <v>46045</v>
      </c>
      <c r="D873" t="inlineStr">
        <is>
          <t>JÄMTLANDS LÄN</t>
        </is>
      </c>
      <c r="E873" t="inlineStr">
        <is>
          <t>RAGUNDA</t>
        </is>
      </c>
      <c r="F873" t="inlineStr">
        <is>
          <t>SCA</t>
        </is>
      </c>
      <c r="G873" t="n">
        <v>3.7</v>
      </c>
      <c r="H873" t="n">
        <v>1</v>
      </c>
      <c r="I873" t="n">
        <v>0</v>
      </c>
      <c r="J873" t="n">
        <v>4</v>
      </c>
      <c r="K873" t="n">
        <v>0</v>
      </c>
      <c r="L873" t="n">
        <v>0</v>
      </c>
      <c r="M873" t="n">
        <v>0</v>
      </c>
      <c r="N873" t="n">
        <v>0</v>
      </c>
      <c r="O873" t="n">
        <v>4</v>
      </c>
      <c r="P873" t="n">
        <v>0</v>
      </c>
      <c r="Q873" t="n">
        <v>4</v>
      </c>
      <c r="R873" s="2" t="inlineStr">
        <is>
          <t>Granticka
Tretåig hackspett
Ullticka
Violmussling</t>
        </is>
      </c>
      <c r="S873">
        <f>HYPERLINK("https://klasma.github.io/Logging_2303/artfynd/A 30465-2024 artfynd.xlsx", "A 30465-2024")</f>
        <v/>
      </c>
      <c r="T873">
        <f>HYPERLINK("https://klasma.github.io/Logging_2303/kartor/A 30465-2024 karta.png", "A 30465-2024")</f>
        <v/>
      </c>
      <c r="V873">
        <f>HYPERLINK("https://klasma.github.io/Logging_2303/klagomål/A 30465-2024 FSC-klagomål.docx", "A 30465-2024")</f>
        <v/>
      </c>
      <c r="W873">
        <f>HYPERLINK("https://klasma.github.io/Logging_2303/klagomålsmail/A 30465-2024 FSC-klagomål mail.docx", "A 30465-2024")</f>
        <v/>
      </c>
      <c r="X873">
        <f>HYPERLINK("https://klasma.github.io/Logging_2303/tillsyn/A 30465-2024 tillsynsbegäran.docx", "A 30465-2024")</f>
        <v/>
      </c>
      <c r="Y873">
        <f>HYPERLINK("https://klasma.github.io/Logging_2303/tillsynsmail/A 30465-2024 tillsynsbegäran mail.docx", "A 30465-2024")</f>
        <v/>
      </c>
      <c r="Z873">
        <f>HYPERLINK("https://klasma.github.io/Logging_2303/fåglar/A 30465-2024 prioriterade fågelarter.docx", "A 30465-2024")</f>
        <v/>
      </c>
    </row>
    <row r="874" ht="15" customHeight="1">
      <c r="A874" t="inlineStr">
        <is>
          <t>A 50342-2025</t>
        </is>
      </c>
      <c r="B874" s="1" t="n">
        <v>45944.53186342592</v>
      </c>
      <c r="C874" s="1" t="n">
        <v>46045</v>
      </c>
      <c r="D874" t="inlineStr">
        <is>
          <t>JÄMTLANDS LÄN</t>
        </is>
      </c>
      <c r="E874" t="inlineStr">
        <is>
          <t>RAGUNDA</t>
        </is>
      </c>
      <c r="F874" t="inlineStr">
        <is>
          <t>SCA</t>
        </is>
      </c>
      <c r="G874" t="n">
        <v>20.7</v>
      </c>
      <c r="H874" t="n">
        <v>1</v>
      </c>
      <c r="I874" t="n">
        <v>1</v>
      </c>
      <c r="J874" t="n">
        <v>3</v>
      </c>
      <c r="K874" t="n">
        <v>0</v>
      </c>
      <c r="L874" t="n">
        <v>0</v>
      </c>
      <c r="M874" t="n">
        <v>0</v>
      </c>
      <c r="N874" t="n">
        <v>0</v>
      </c>
      <c r="O874" t="n">
        <v>3</v>
      </c>
      <c r="P874" t="n">
        <v>0</v>
      </c>
      <c r="Q874" t="n">
        <v>4</v>
      </c>
      <c r="R874" s="2" t="inlineStr">
        <is>
          <t>Garnlav
Granticka
Tretåig hackspett
Trådticka</t>
        </is>
      </c>
      <c r="S874">
        <f>HYPERLINK("https://klasma.github.io/Logging_2303/artfynd/A 50342-2025 artfynd.xlsx", "A 50342-2025")</f>
        <v/>
      </c>
      <c r="T874">
        <f>HYPERLINK("https://klasma.github.io/Logging_2303/kartor/A 50342-2025 karta.png", "A 50342-2025")</f>
        <v/>
      </c>
      <c r="V874">
        <f>HYPERLINK("https://klasma.github.io/Logging_2303/klagomål/A 50342-2025 FSC-klagomål.docx", "A 50342-2025")</f>
        <v/>
      </c>
      <c r="W874">
        <f>HYPERLINK("https://klasma.github.io/Logging_2303/klagomålsmail/A 50342-2025 FSC-klagomål mail.docx", "A 50342-2025")</f>
        <v/>
      </c>
      <c r="X874">
        <f>HYPERLINK("https://klasma.github.io/Logging_2303/tillsyn/A 50342-2025 tillsynsbegäran.docx", "A 50342-2025")</f>
        <v/>
      </c>
      <c r="Y874">
        <f>HYPERLINK("https://klasma.github.io/Logging_2303/tillsynsmail/A 50342-2025 tillsynsbegäran mail.docx", "A 50342-2025")</f>
        <v/>
      </c>
      <c r="Z874">
        <f>HYPERLINK("https://klasma.github.io/Logging_2303/fåglar/A 50342-2025 prioriterade fågelarter.docx", "A 50342-2025")</f>
        <v/>
      </c>
    </row>
    <row r="875" ht="15" customHeight="1">
      <c r="A875" t="inlineStr">
        <is>
          <t>A 2962-2023</t>
        </is>
      </c>
      <c r="B875" s="1" t="n">
        <v>44945</v>
      </c>
      <c r="C875" s="1" t="n">
        <v>46045</v>
      </c>
      <c r="D875" t="inlineStr">
        <is>
          <t>JÄMTLANDS LÄN</t>
        </is>
      </c>
      <c r="E875" t="inlineStr">
        <is>
          <t>ÖSTERSUND</t>
        </is>
      </c>
      <c r="F875" t="inlineStr">
        <is>
          <t>Övriga Aktiebolag</t>
        </is>
      </c>
      <c r="G875" t="n">
        <v>14.4</v>
      </c>
      <c r="H875" t="n">
        <v>2</v>
      </c>
      <c r="I875" t="n">
        <v>0</v>
      </c>
      <c r="J875" t="n">
        <v>3</v>
      </c>
      <c r="K875" t="n">
        <v>0</v>
      </c>
      <c r="L875" t="n">
        <v>0</v>
      </c>
      <c r="M875" t="n">
        <v>0</v>
      </c>
      <c r="N875" t="n">
        <v>0</v>
      </c>
      <c r="O875" t="n">
        <v>3</v>
      </c>
      <c r="P875" t="n">
        <v>0</v>
      </c>
      <c r="Q875" t="n">
        <v>4</v>
      </c>
      <c r="R875" s="2" t="inlineStr">
        <is>
          <t>Garnlav
Lunglav
Tretåig hackspett
Revlummer</t>
        </is>
      </c>
      <c r="S875">
        <f>HYPERLINK("https://klasma.github.io/Logging_2380/artfynd/A 2962-2023 artfynd.xlsx", "A 2962-2023")</f>
        <v/>
      </c>
      <c r="T875">
        <f>HYPERLINK("https://klasma.github.io/Logging_2380/kartor/A 2962-2023 karta.png", "A 2962-2023")</f>
        <v/>
      </c>
      <c r="V875">
        <f>HYPERLINK("https://klasma.github.io/Logging_2380/klagomål/A 2962-2023 FSC-klagomål.docx", "A 2962-2023")</f>
        <v/>
      </c>
      <c r="W875">
        <f>HYPERLINK("https://klasma.github.io/Logging_2380/klagomålsmail/A 2962-2023 FSC-klagomål mail.docx", "A 2962-2023")</f>
        <v/>
      </c>
      <c r="X875">
        <f>HYPERLINK("https://klasma.github.io/Logging_2380/tillsyn/A 2962-2023 tillsynsbegäran.docx", "A 2962-2023")</f>
        <v/>
      </c>
      <c r="Y875">
        <f>HYPERLINK("https://klasma.github.io/Logging_2380/tillsynsmail/A 2962-2023 tillsynsbegäran mail.docx", "A 2962-2023")</f>
        <v/>
      </c>
      <c r="Z875">
        <f>HYPERLINK("https://klasma.github.io/Logging_2380/fåglar/A 2962-2023 prioriterade fågelarter.docx", "A 2962-2023")</f>
        <v/>
      </c>
    </row>
    <row r="876" ht="15" customHeight="1">
      <c r="A876" t="inlineStr">
        <is>
          <t>A 13999-2024</t>
        </is>
      </c>
      <c r="B876" s="1" t="n">
        <v>45392</v>
      </c>
      <c r="C876" s="1" t="n">
        <v>46045</v>
      </c>
      <c r="D876" t="inlineStr">
        <is>
          <t>JÄMTLANDS LÄN</t>
        </is>
      </c>
      <c r="E876" t="inlineStr">
        <is>
          <t>STRÖMSUND</t>
        </is>
      </c>
      <c r="F876" t="inlineStr">
        <is>
          <t>Holmen skog AB</t>
        </is>
      </c>
      <c r="G876" t="n">
        <v>19.1</v>
      </c>
      <c r="H876" t="n">
        <v>0</v>
      </c>
      <c r="I876" t="n">
        <v>1</v>
      </c>
      <c r="J876" t="n">
        <v>3</v>
      </c>
      <c r="K876" t="n">
        <v>0</v>
      </c>
      <c r="L876" t="n">
        <v>0</v>
      </c>
      <c r="M876" t="n">
        <v>0</v>
      </c>
      <c r="N876" t="n">
        <v>0</v>
      </c>
      <c r="O876" t="n">
        <v>3</v>
      </c>
      <c r="P876" t="n">
        <v>0</v>
      </c>
      <c r="Q876" t="n">
        <v>4</v>
      </c>
      <c r="R876" s="2" t="inlineStr">
        <is>
          <t>Lunglav
Skrovellav
Talltaggsvamp
Skinnlav</t>
        </is>
      </c>
      <c r="S876">
        <f>HYPERLINK("https://klasma.github.io/Logging_2313/artfynd/A 13999-2024 artfynd.xlsx", "A 13999-2024")</f>
        <v/>
      </c>
      <c r="T876">
        <f>HYPERLINK("https://klasma.github.io/Logging_2313/kartor/A 13999-2024 karta.png", "A 13999-2024")</f>
        <v/>
      </c>
      <c r="V876">
        <f>HYPERLINK("https://klasma.github.io/Logging_2313/klagomål/A 13999-2024 FSC-klagomål.docx", "A 13999-2024")</f>
        <v/>
      </c>
      <c r="W876">
        <f>HYPERLINK("https://klasma.github.io/Logging_2313/klagomålsmail/A 13999-2024 FSC-klagomål mail.docx", "A 13999-2024")</f>
        <v/>
      </c>
      <c r="X876">
        <f>HYPERLINK("https://klasma.github.io/Logging_2313/tillsyn/A 13999-2024 tillsynsbegäran.docx", "A 13999-2024")</f>
        <v/>
      </c>
      <c r="Y876">
        <f>HYPERLINK("https://klasma.github.io/Logging_2313/tillsynsmail/A 13999-2024 tillsynsbegäran mail.docx", "A 13999-2024")</f>
        <v/>
      </c>
    </row>
    <row r="877" ht="15" customHeight="1">
      <c r="A877" t="inlineStr">
        <is>
          <t>A 5795-2025</t>
        </is>
      </c>
      <c r="B877" s="1" t="n">
        <v>45694</v>
      </c>
      <c r="C877" s="1" t="n">
        <v>46045</v>
      </c>
      <c r="D877" t="inlineStr">
        <is>
          <t>JÄMTLANDS LÄN</t>
        </is>
      </c>
      <c r="E877" t="inlineStr">
        <is>
          <t>HÄRJEDALEN</t>
        </is>
      </c>
      <c r="G877" t="n">
        <v>8.4</v>
      </c>
      <c r="H877" t="n">
        <v>0</v>
      </c>
      <c r="I877" t="n">
        <v>1</v>
      </c>
      <c r="J877" t="n">
        <v>3</v>
      </c>
      <c r="K877" t="n">
        <v>0</v>
      </c>
      <c r="L877" t="n">
        <v>0</v>
      </c>
      <c r="M877" t="n">
        <v>0</v>
      </c>
      <c r="N877" t="n">
        <v>0</v>
      </c>
      <c r="O877" t="n">
        <v>3</v>
      </c>
      <c r="P877" t="n">
        <v>0</v>
      </c>
      <c r="Q877" t="n">
        <v>4</v>
      </c>
      <c r="R877" s="2" t="inlineStr">
        <is>
          <t>Garnlav
Granticka
Ullticka
Vedticka</t>
        </is>
      </c>
      <c r="S877">
        <f>HYPERLINK("https://klasma.github.io/Logging_2361/artfynd/A 5795-2025 artfynd.xlsx", "A 5795-2025")</f>
        <v/>
      </c>
      <c r="T877">
        <f>HYPERLINK("https://klasma.github.io/Logging_2361/kartor/A 5795-2025 karta.png", "A 5795-2025")</f>
        <v/>
      </c>
      <c r="V877">
        <f>HYPERLINK("https://klasma.github.io/Logging_2361/klagomål/A 5795-2025 FSC-klagomål.docx", "A 5795-2025")</f>
        <v/>
      </c>
      <c r="W877">
        <f>HYPERLINK("https://klasma.github.io/Logging_2361/klagomålsmail/A 5795-2025 FSC-klagomål mail.docx", "A 5795-2025")</f>
        <v/>
      </c>
      <c r="X877">
        <f>HYPERLINK("https://klasma.github.io/Logging_2361/tillsyn/A 5795-2025 tillsynsbegäran.docx", "A 5795-2025")</f>
        <v/>
      </c>
      <c r="Y877">
        <f>HYPERLINK("https://klasma.github.io/Logging_2361/tillsynsmail/A 5795-2025 tillsynsbegäran mail.docx", "A 5795-2025")</f>
        <v/>
      </c>
    </row>
    <row r="878" ht="15" customHeight="1">
      <c r="A878" t="inlineStr">
        <is>
          <t>A 31584-2024</t>
        </is>
      </c>
      <c r="B878" s="1" t="n">
        <v>45506.35658564815</v>
      </c>
      <c r="C878" s="1" t="n">
        <v>46045</v>
      </c>
      <c r="D878" t="inlineStr">
        <is>
          <t>JÄMTLANDS LÄN</t>
        </is>
      </c>
      <c r="E878" t="inlineStr">
        <is>
          <t>HÄRJEDALEN</t>
        </is>
      </c>
      <c r="G878" t="n">
        <v>9.699999999999999</v>
      </c>
      <c r="H878" t="n">
        <v>1</v>
      </c>
      <c r="I878" t="n">
        <v>0</v>
      </c>
      <c r="J878" t="n">
        <v>3</v>
      </c>
      <c r="K878" t="n">
        <v>1</v>
      </c>
      <c r="L878" t="n">
        <v>0</v>
      </c>
      <c r="M878" t="n">
        <v>0</v>
      </c>
      <c r="N878" t="n">
        <v>0</v>
      </c>
      <c r="O878" t="n">
        <v>4</v>
      </c>
      <c r="P878" t="n">
        <v>1</v>
      </c>
      <c r="Q878" t="n">
        <v>4</v>
      </c>
      <c r="R878" s="2" t="inlineStr">
        <is>
          <t>Knärot
Dvärgbägarlav
Garnlav
Mörk kolflarnlav</t>
        </is>
      </c>
      <c r="S878">
        <f>HYPERLINK("https://klasma.github.io/Logging_2361/artfynd/A 31584-2024 artfynd.xlsx", "A 31584-2024")</f>
        <v/>
      </c>
      <c r="T878">
        <f>HYPERLINK("https://klasma.github.io/Logging_2361/kartor/A 31584-2024 karta.png", "A 31584-2024")</f>
        <v/>
      </c>
      <c r="U878">
        <f>HYPERLINK("https://klasma.github.io/Logging_2361/knärot/A 31584-2024 karta knärot.png", "A 31584-2024")</f>
        <v/>
      </c>
      <c r="V878">
        <f>HYPERLINK("https://klasma.github.io/Logging_2361/klagomål/A 31584-2024 FSC-klagomål.docx", "A 31584-2024")</f>
        <v/>
      </c>
      <c r="W878">
        <f>HYPERLINK("https://klasma.github.io/Logging_2361/klagomålsmail/A 31584-2024 FSC-klagomål mail.docx", "A 31584-2024")</f>
        <v/>
      </c>
      <c r="X878">
        <f>HYPERLINK("https://klasma.github.io/Logging_2361/tillsyn/A 31584-2024 tillsynsbegäran.docx", "A 31584-2024")</f>
        <v/>
      </c>
      <c r="Y878">
        <f>HYPERLINK("https://klasma.github.io/Logging_2361/tillsynsmail/A 31584-2024 tillsynsbegäran mail.docx", "A 31584-2024")</f>
        <v/>
      </c>
    </row>
    <row r="879" ht="15" customHeight="1">
      <c r="A879" t="inlineStr">
        <is>
          <t>A 36538-2024</t>
        </is>
      </c>
      <c r="B879" s="1" t="n">
        <v>45537.45818287037</v>
      </c>
      <c r="C879" s="1" t="n">
        <v>46045</v>
      </c>
      <c r="D879" t="inlineStr">
        <is>
          <t>JÄMTLANDS LÄN</t>
        </is>
      </c>
      <c r="E879" t="inlineStr">
        <is>
          <t>HÄRJEDALEN</t>
        </is>
      </c>
      <c r="F879" t="inlineStr">
        <is>
          <t>Holmen skog AB</t>
        </is>
      </c>
      <c r="G879" t="n">
        <v>7.4</v>
      </c>
      <c r="H879" t="n">
        <v>2</v>
      </c>
      <c r="I879" t="n">
        <v>0</v>
      </c>
      <c r="J879" t="n">
        <v>2</v>
      </c>
      <c r="K879" t="n">
        <v>1</v>
      </c>
      <c r="L879" t="n">
        <v>0</v>
      </c>
      <c r="M879" t="n">
        <v>0</v>
      </c>
      <c r="N879" t="n">
        <v>0</v>
      </c>
      <c r="O879" t="n">
        <v>3</v>
      </c>
      <c r="P879" t="n">
        <v>1</v>
      </c>
      <c r="Q879" t="n">
        <v>4</v>
      </c>
      <c r="R879" s="2" t="inlineStr">
        <is>
          <t>Knärot
Knottrig blåslav
Violettgrå tagellav
Fläcknycklar</t>
        </is>
      </c>
      <c r="S879">
        <f>HYPERLINK("https://klasma.github.io/Logging_2361/artfynd/A 36538-2024 artfynd.xlsx", "A 36538-2024")</f>
        <v/>
      </c>
      <c r="T879">
        <f>HYPERLINK("https://klasma.github.io/Logging_2361/kartor/A 36538-2024 karta.png", "A 36538-2024")</f>
        <v/>
      </c>
      <c r="U879">
        <f>HYPERLINK("https://klasma.github.io/Logging_2361/knärot/A 36538-2024 karta knärot.png", "A 36538-2024")</f>
        <v/>
      </c>
      <c r="V879">
        <f>HYPERLINK("https://klasma.github.io/Logging_2361/klagomål/A 36538-2024 FSC-klagomål.docx", "A 36538-2024")</f>
        <v/>
      </c>
      <c r="W879">
        <f>HYPERLINK("https://klasma.github.io/Logging_2361/klagomålsmail/A 36538-2024 FSC-klagomål mail.docx", "A 36538-2024")</f>
        <v/>
      </c>
      <c r="X879">
        <f>HYPERLINK("https://klasma.github.io/Logging_2361/tillsyn/A 36538-2024 tillsynsbegäran.docx", "A 36538-2024")</f>
        <v/>
      </c>
      <c r="Y879">
        <f>HYPERLINK("https://klasma.github.io/Logging_2361/tillsynsmail/A 36538-2024 tillsynsbegäran mail.docx", "A 36538-2024")</f>
        <v/>
      </c>
    </row>
    <row r="880" ht="15" customHeight="1">
      <c r="A880" t="inlineStr">
        <is>
          <t>A 30881-2025</t>
        </is>
      </c>
      <c r="B880" s="1" t="n">
        <v>45832.34538194445</v>
      </c>
      <c r="C880" s="1" t="n">
        <v>46045</v>
      </c>
      <c r="D880" t="inlineStr">
        <is>
          <t>JÄMTLANDS LÄN</t>
        </is>
      </c>
      <c r="E880" t="inlineStr">
        <is>
          <t>BRÄCKE</t>
        </is>
      </c>
      <c r="F880" t="inlineStr">
        <is>
          <t>SCA</t>
        </is>
      </c>
      <c r="G880" t="n">
        <v>3.3</v>
      </c>
      <c r="H880" t="n">
        <v>2</v>
      </c>
      <c r="I880" t="n">
        <v>0</v>
      </c>
      <c r="J880" t="n">
        <v>2</v>
      </c>
      <c r="K880" t="n">
        <v>2</v>
      </c>
      <c r="L880" t="n">
        <v>0</v>
      </c>
      <c r="M880" t="n">
        <v>0</v>
      </c>
      <c r="N880" t="n">
        <v>0</v>
      </c>
      <c r="O880" t="n">
        <v>4</v>
      </c>
      <c r="P880" t="n">
        <v>2</v>
      </c>
      <c r="Q880" t="n">
        <v>4</v>
      </c>
      <c r="R880" s="2" t="inlineStr">
        <is>
          <t>Knärot
Lappticka
Rosenticka
Talltita</t>
        </is>
      </c>
      <c r="S880">
        <f>HYPERLINK("https://klasma.github.io/Logging_2305/artfynd/A 30881-2025 artfynd.xlsx", "A 30881-2025")</f>
        <v/>
      </c>
      <c r="T880">
        <f>HYPERLINK("https://klasma.github.io/Logging_2305/kartor/A 30881-2025 karta.png", "A 30881-2025")</f>
        <v/>
      </c>
      <c r="U880">
        <f>HYPERLINK("https://klasma.github.io/Logging_2305/knärot/A 30881-2025 karta knärot.png", "A 30881-2025")</f>
        <v/>
      </c>
      <c r="V880">
        <f>HYPERLINK("https://klasma.github.io/Logging_2305/klagomål/A 30881-2025 FSC-klagomål.docx", "A 30881-2025")</f>
        <v/>
      </c>
      <c r="W880">
        <f>HYPERLINK("https://klasma.github.io/Logging_2305/klagomålsmail/A 30881-2025 FSC-klagomål mail.docx", "A 30881-2025")</f>
        <v/>
      </c>
      <c r="X880">
        <f>HYPERLINK("https://klasma.github.io/Logging_2305/tillsyn/A 30881-2025 tillsynsbegäran.docx", "A 30881-2025")</f>
        <v/>
      </c>
      <c r="Y880">
        <f>HYPERLINK("https://klasma.github.io/Logging_2305/tillsynsmail/A 30881-2025 tillsynsbegäran mail.docx", "A 30881-2025")</f>
        <v/>
      </c>
      <c r="Z880">
        <f>HYPERLINK("https://klasma.github.io/Logging_2305/fåglar/A 30881-2025 prioriterade fågelarter.docx", "A 30881-2025")</f>
        <v/>
      </c>
    </row>
    <row r="881" ht="15" customHeight="1">
      <c r="A881" t="inlineStr">
        <is>
          <t>A 8587-2023</t>
        </is>
      </c>
      <c r="B881" s="1" t="n">
        <v>44977</v>
      </c>
      <c r="C881" s="1" t="n">
        <v>46045</v>
      </c>
      <c r="D881" t="inlineStr">
        <is>
          <t>JÄMTLANDS LÄN</t>
        </is>
      </c>
      <c r="E881" t="inlineStr">
        <is>
          <t>HÄRJEDALEN</t>
        </is>
      </c>
      <c r="F881" t="inlineStr">
        <is>
          <t>Holmen skog AB</t>
        </is>
      </c>
      <c r="G881" t="n">
        <v>7.4</v>
      </c>
      <c r="H881" t="n">
        <v>2</v>
      </c>
      <c r="I881" t="n">
        <v>0</v>
      </c>
      <c r="J881" t="n">
        <v>2</v>
      </c>
      <c r="K881" t="n">
        <v>1</v>
      </c>
      <c r="L881" t="n">
        <v>0</v>
      </c>
      <c r="M881" t="n">
        <v>0</v>
      </c>
      <c r="N881" t="n">
        <v>0</v>
      </c>
      <c r="O881" t="n">
        <v>3</v>
      </c>
      <c r="P881" t="n">
        <v>1</v>
      </c>
      <c r="Q881" t="n">
        <v>4</v>
      </c>
      <c r="R881" s="2" t="inlineStr">
        <is>
          <t>Knärot
Knottrig blåslav
Violettgrå tagellav
Fläcknycklar</t>
        </is>
      </c>
      <c r="S881">
        <f>HYPERLINK("https://klasma.github.io/Logging_2361/artfynd/A 8587-2023 artfynd.xlsx", "A 8587-2023")</f>
        <v/>
      </c>
      <c r="T881">
        <f>HYPERLINK("https://klasma.github.io/Logging_2361/kartor/A 8587-2023 karta.png", "A 8587-2023")</f>
        <v/>
      </c>
      <c r="U881">
        <f>HYPERLINK("https://klasma.github.io/Logging_2361/knärot/A 8587-2023 karta knärot.png", "A 8587-2023")</f>
        <v/>
      </c>
      <c r="V881">
        <f>HYPERLINK("https://klasma.github.io/Logging_2361/klagomål/A 8587-2023 FSC-klagomål.docx", "A 8587-2023")</f>
        <v/>
      </c>
      <c r="W881">
        <f>HYPERLINK("https://klasma.github.io/Logging_2361/klagomålsmail/A 8587-2023 FSC-klagomål mail.docx", "A 8587-2023")</f>
        <v/>
      </c>
      <c r="X881">
        <f>HYPERLINK("https://klasma.github.io/Logging_2361/tillsyn/A 8587-2023 tillsynsbegäran.docx", "A 8587-2023")</f>
        <v/>
      </c>
      <c r="Y881">
        <f>HYPERLINK("https://klasma.github.io/Logging_2361/tillsynsmail/A 8587-2023 tillsynsbegäran mail.docx", "A 8587-2023")</f>
        <v/>
      </c>
    </row>
    <row r="882" ht="15" customHeight="1">
      <c r="A882" t="inlineStr">
        <is>
          <t>A 33887-2025</t>
        </is>
      </c>
      <c r="B882" s="1" t="n">
        <v>45842</v>
      </c>
      <c r="C882" s="1" t="n">
        <v>46045</v>
      </c>
      <c r="D882" t="inlineStr">
        <is>
          <t>JÄMTLANDS LÄN</t>
        </is>
      </c>
      <c r="E882" t="inlineStr">
        <is>
          <t>STRÖMSUND</t>
        </is>
      </c>
      <c r="F882" t="inlineStr">
        <is>
          <t>SCA</t>
        </is>
      </c>
      <c r="G882" t="n">
        <v>7.3</v>
      </c>
      <c r="H882" t="n">
        <v>3</v>
      </c>
      <c r="I882" t="n">
        <v>0</v>
      </c>
      <c r="J882" t="n">
        <v>3</v>
      </c>
      <c r="K882" t="n">
        <v>0</v>
      </c>
      <c r="L882" t="n">
        <v>0</v>
      </c>
      <c r="M882" t="n">
        <v>0</v>
      </c>
      <c r="N882" t="n">
        <v>0</v>
      </c>
      <c r="O882" t="n">
        <v>3</v>
      </c>
      <c r="P882" t="n">
        <v>0</v>
      </c>
      <c r="Q882" t="n">
        <v>4</v>
      </c>
      <c r="R882" s="2" t="inlineStr">
        <is>
          <t>Lunglav
Spillkråka
Tretåig hackspett
Lavskrika</t>
        </is>
      </c>
      <c r="S882">
        <f>HYPERLINK("https://klasma.github.io/Logging_2313/artfynd/A 33887-2025 artfynd.xlsx", "A 33887-2025")</f>
        <v/>
      </c>
      <c r="T882">
        <f>HYPERLINK("https://klasma.github.io/Logging_2313/kartor/A 33887-2025 karta.png", "A 33887-2025")</f>
        <v/>
      </c>
      <c r="V882">
        <f>HYPERLINK("https://klasma.github.io/Logging_2313/klagomål/A 33887-2025 FSC-klagomål.docx", "A 33887-2025")</f>
        <v/>
      </c>
      <c r="W882">
        <f>HYPERLINK("https://klasma.github.io/Logging_2313/klagomålsmail/A 33887-2025 FSC-klagomål mail.docx", "A 33887-2025")</f>
        <v/>
      </c>
      <c r="X882">
        <f>HYPERLINK("https://klasma.github.io/Logging_2313/tillsyn/A 33887-2025 tillsynsbegäran.docx", "A 33887-2025")</f>
        <v/>
      </c>
      <c r="Y882">
        <f>HYPERLINK("https://klasma.github.io/Logging_2313/tillsynsmail/A 33887-2025 tillsynsbegäran mail.docx", "A 33887-2025")</f>
        <v/>
      </c>
      <c r="Z882">
        <f>HYPERLINK("https://klasma.github.io/Logging_2313/fåglar/A 33887-2025 prioriterade fågelarter.docx", "A 33887-2025")</f>
        <v/>
      </c>
    </row>
    <row r="883" ht="15" customHeight="1">
      <c r="A883" t="inlineStr">
        <is>
          <t>A 38156-2024</t>
        </is>
      </c>
      <c r="B883" s="1" t="n">
        <v>45545</v>
      </c>
      <c r="C883" s="1" t="n">
        <v>46045</v>
      </c>
      <c r="D883" t="inlineStr">
        <is>
          <t>JÄMTLANDS LÄN</t>
        </is>
      </c>
      <c r="E883" t="inlineStr">
        <is>
          <t>BERG</t>
        </is>
      </c>
      <c r="G883" t="n">
        <v>0.4</v>
      </c>
      <c r="H883" t="n">
        <v>1</v>
      </c>
      <c r="I883" t="n">
        <v>1</v>
      </c>
      <c r="J883" t="n">
        <v>2</v>
      </c>
      <c r="K883" t="n">
        <v>1</v>
      </c>
      <c r="L883" t="n">
        <v>0</v>
      </c>
      <c r="M883" t="n">
        <v>0</v>
      </c>
      <c r="N883" t="n">
        <v>0</v>
      </c>
      <c r="O883" t="n">
        <v>3</v>
      </c>
      <c r="P883" t="n">
        <v>1</v>
      </c>
      <c r="Q883" t="n">
        <v>4</v>
      </c>
      <c r="R883" s="2" t="inlineStr">
        <is>
          <t>Knärot
Garnlav
Tallticka
Vedticka</t>
        </is>
      </c>
      <c r="S883">
        <f>HYPERLINK("https://klasma.github.io/Logging_2326/artfynd/A 38156-2024 artfynd.xlsx", "A 38156-2024")</f>
        <v/>
      </c>
      <c r="T883">
        <f>HYPERLINK("https://klasma.github.io/Logging_2326/kartor/A 38156-2024 karta.png", "A 38156-2024")</f>
        <v/>
      </c>
      <c r="U883">
        <f>HYPERLINK("https://klasma.github.io/Logging_2326/knärot/A 38156-2024 karta knärot.png", "A 38156-2024")</f>
        <v/>
      </c>
      <c r="V883">
        <f>HYPERLINK("https://klasma.github.io/Logging_2326/klagomål/A 38156-2024 FSC-klagomål.docx", "A 38156-2024")</f>
        <v/>
      </c>
      <c r="W883">
        <f>HYPERLINK("https://klasma.github.io/Logging_2326/klagomålsmail/A 38156-2024 FSC-klagomål mail.docx", "A 38156-2024")</f>
        <v/>
      </c>
      <c r="X883">
        <f>HYPERLINK("https://klasma.github.io/Logging_2326/tillsyn/A 38156-2024 tillsynsbegäran.docx", "A 38156-2024")</f>
        <v/>
      </c>
      <c r="Y883">
        <f>HYPERLINK("https://klasma.github.io/Logging_2326/tillsynsmail/A 38156-2024 tillsynsbegäran mail.docx", "A 38156-2024")</f>
        <v/>
      </c>
    </row>
    <row r="884" ht="15" customHeight="1">
      <c r="A884" t="inlineStr">
        <is>
          <t>A 18940-2025</t>
        </is>
      </c>
      <c r="B884" s="1" t="n">
        <v>45764</v>
      </c>
      <c r="C884" s="1" t="n">
        <v>46045</v>
      </c>
      <c r="D884" t="inlineStr">
        <is>
          <t>JÄMTLANDS LÄN</t>
        </is>
      </c>
      <c r="E884" t="inlineStr">
        <is>
          <t>KROKOM</t>
        </is>
      </c>
      <c r="G884" t="n">
        <v>44.4</v>
      </c>
      <c r="H884" t="n">
        <v>2</v>
      </c>
      <c r="I884" t="n">
        <v>1</v>
      </c>
      <c r="J884" t="n">
        <v>3</v>
      </c>
      <c r="K884" t="n">
        <v>0</v>
      </c>
      <c r="L884" t="n">
        <v>0</v>
      </c>
      <c r="M884" t="n">
        <v>0</v>
      </c>
      <c r="N884" t="n">
        <v>0</v>
      </c>
      <c r="O884" t="n">
        <v>3</v>
      </c>
      <c r="P884" t="n">
        <v>0</v>
      </c>
      <c r="Q884" t="n">
        <v>4</v>
      </c>
      <c r="R884" s="2" t="inlineStr">
        <is>
          <t>Granticka
Tretåig hackspett
Ullticka
Spindelblomster</t>
        </is>
      </c>
      <c r="S884">
        <f>HYPERLINK("https://klasma.github.io/Logging_2309/artfynd/A 18940-2025 artfynd.xlsx", "A 18940-2025")</f>
        <v/>
      </c>
      <c r="T884">
        <f>HYPERLINK("https://klasma.github.io/Logging_2309/kartor/A 18940-2025 karta.png", "A 18940-2025")</f>
        <v/>
      </c>
      <c r="V884">
        <f>HYPERLINK("https://klasma.github.io/Logging_2309/klagomål/A 18940-2025 FSC-klagomål.docx", "A 18940-2025")</f>
        <v/>
      </c>
      <c r="W884">
        <f>HYPERLINK("https://klasma.github.io/Logging_2309/klagomålsmail/A 18940-2025 FSC-klagomål mail.docx", "A 18940-2025")</f>
        <v/>
      </c>
      <c r="X884">
        <f>HYPERLINK("https://klasma.github.io/Logging_2309/tillsyn/A 18940-2025 tillsynsbegäran.docx", "A 18940-2025")</f>
        <v/>
      </c>
      <c r="Y884">
        <f>HYPERLINK("https://klasma.github.io/Logging_2309/tillsynsmail/A 18940-2025 tillsynsbegäran mail.docx", "A 18940-2025")</f>
        <v/>
      </c>
      <c r="Z884">
        <f>HYPERLINK("https://klasma.github.io/Logging_2309/fåglar/A 18940-2025 prioriterade fågelarter.docx", "A 18940-2025")</f>
        <v/>
      </c>
    </row>
    <row r="885" ht="15" customHeight="1">
      <c r="A885" t="inlineStr">
        <is>
          <t>A 20035-2024</t>
        </is>
      </c>
      <c r="B885" s="1" t="n">
        <v>45434</v>
      </c>
      <c r="C885" s="1" t="n">
        <v>46045</v>
      </c>
      <c r="D885" t="inlineStr">
        <is>
          <t>JÄMTLANDS LÄN</t>
        </is>
      </c>
      <c r="E885" t="inlineStr">
        <is>
          <t>ÅRE</t>
        </is>
      </c>
      <c r="F885" t="inlineStr">
        <is>
          <t>Övriga Aktiebolag</t>
        </is>
      </c>
      <c r="G885" t="n">
        <v>15.4</v>
      </c>
      <c r="H885" t="n">
        <v>0</v>
      </c>
      <c r="I885" t="n">
        <v>0</v>
      </c>
      <c r="J885" t="n">
        <v>3</v>
      </c>
      <c r="K885" t="n">
        <v>1</v>
      </c>
      <c r="L885" t="n">
        <v>0</v>
      </c>
      <c r="M885" t="n">
        <v>0</v>
      </c>
      <c r="N885" t="n">
        <v>0</v>
      </c>
      <c r="O885" t="n">
        <v>4</v>
      </c>
      <c r="P885" t="n">
        <v>1</v>
      </c>
      <c r="Q885" t="n">
        <v>4</v>
      </c>
      <c r="R885" s="2" t="inlineStr">
        <is>
          <t>Norsk näverlav
Gammelgransskål
Garnlav
Gränsticka</t>
        </is>
      </c>
      <c r="S885">
        <f>HYPERLINK("https://klasma.github.io/Logging_2321/artfynd/A 20035-2024 artfynd.xlsx", "A 20035-2024")</f>
        <v/>
      </c>
      <c r="T885">
        <f>HYPERLINK("https://klasma.github.io/Logging_2321/kartor/A 20035-2024 karta.png", "A 20035-2024")</f>
        <v/>
      </c>
      <c r="V885">
        <f>HYPERLINK("https://klasma.github.io/Logging_2321/klagomål/A 20035-2024 FSC-klagomål.docx", "A 20035-2024")</f>
        <v/>
      </c>
      <c r="W885">
        <f>HYPERLINK("https://klasma.github.io/Logging_2321/klagomålsmail/A 20035-2024 FSC-klagomål mail.docx", "A 20035-2024")</f>
        <v/>
      </c>
      <c r="X885">
        <f>HYPERLINK("https://klasma.github.io/Logging_2321/tillsyn/A 20035-2024 tillsynsbegäran.docx", "A 20035-2024")</f>
        <v/>
      </c>
      <c r="Y885">
        <f>HYPERLINK("https://klasma.github.io/Logging_2321/tillsynsmail/A 20035-2024 tillsynsbegäran mail.docx", "A 20035-2024")</f>
        <v/>
      </c>
    </row>
    <row r="886" ht="15" customHeight="1">
      <c r="A886" t="inlineStr">
        <is>
          <t>A 3809-2026</t>
        </is>
      </c>
      <c r="B886" s="1" t="n">
        <v>46043.58364583334</v>
      </c>
      <c r="C886" s="1" t="n">
        <v>46045</v>
      </c>
      <c r="D886" t="inlineStr">
        <is>
          <t>JÄMTLANDS LÄN</t>
        </is>
      </c>
      <c r="E886" t="inlineStr">
        <is>
          <t>RAGUNDA</t>
        </is>
      </c>
      <c r="G886" t="n">
        <v>28.6</v>
      </c>
      <c r="H886" t="n">
        <v>1</v>
      </c>
      <c r="I886" t="n">
        <v>0</v>
      </c>
      <c r="J886" t="n">
        <v>3</v>
      </c>
      <c r="K886" t="n">
        <v>1</v>
      </c>
      <c r="L886" t="n">
        <v>0</v>
      </c>
      <c r="M886" t="n">
        <v>0</v>
      </c>
      <c r="N886" t="n">
        <v>0</v>
      </c>
      <c r="O886" t="n">
        <v>4</v>
      </c>
      <c r="P886" t="n">
        <v>1</v>
      </c>
      <c r="Q886" t="n">
        <v>4</v>
      </c>
      <c r="R886" s="2" t="inlineStr">
        <is>
          <t>Knärot
Garnlav
Lunglav
Vitgrynig nållav</t>
        </is>
      </c>
      <c r="S886">
        <f>HYPERLINK("https://klasma.github.io/Logging_2303/artfynd/A 3809-2026 artfynd.xlsx", "A 3809-2026")</f>
        <v/>
      </c>
      <c r="T886">
        <f>HYPERLINK("https://klasma.github.io/Logging_2303/kartor/A 3809-2026 karta.png", "A 3809-2026")</f>
        <v/>
      </c>
      <c r="U886">
        <f>HYPERLINK("https://klasma.github.io/Logging_2303/knärot/A 3809-2026 karta knärot.png", "A 3809-2026")</f>
        <v/>
      </c>
      <c r="V886">
        <f>HYPERLINK("https://klasma.github.io/Logging_2303/klagomål/A 3809-2026 FSC-klagomål.docx", "A 3809-2026")</f>
        <v/>
      </c>
      <c r="W886">
        <f>HYPERLINK("https://klasma.github.io/Logging_2303/klagomålsmail/A 3809-2026 FSC-klagomål mail.docx", "A 3809-2026")</f>
        <v/>
      </c>
      <c r="X886">
        <f>HYPERLINK("https://klasma.github.io/Logging_2303/tillsyn/A 3809-2026 tillsynsbegäran.docx", "A 3809-2026")</f>
        <v/>
      </c>
      <c r="Y886">
        <f>HYPERLINK("https://klasma.github.io/Logging_2303/tillsynsmail/A 3809-2026 tillsynsbegäran mail.docx", "A 3809-2026")</f>
        <v/>
      </c>
    </row>
    <row r="887" ht="15" customHeight="1">
      <c r="A887" t="inlineStr">
        <is>
          <t>A 28553-2024</t>
        </is>
      </c>
      <c r="B887" s="1" t="n">
        <v>45478</v>
      </c>
      <c r="C887" s="1" t="n">
        <v>46045</v>
      </c>
      <c r="D887" t="inlineStr">
        <is>
          <t>JÄMTLANDS LÄN</t>
        </is>
      </c>
      <c r="E887" t="inlineStr">
        <is>
          <t>BRÄCKE</t>
        </is>
      </c>
      <c r="G887" t="n">
        <v>14.5</v>
      </c>
      <c r="H887" t="n">
        <v>2</v>
      </c>
      <c r="I887" t="n">
        <v>0</v>
      </c>
      <c r="J887" t="n">
        <v>3</v>
      </c>
      <c r="K887" t="n">
        <v>1</v>
      </c>
      <c r="L887" t="n">
        <v>0</v>
      </c>
      <c r="M887" t="n">
        <v>0</v>
      </c>
      <c r="N887" t="n">
        <v>0</v>
      </c>
      <c r="O887" t="n">
        <v>4</v>
      </c>
      <c r="P887" t="n">
        <v>1</v>
      </c>
      <c r="Q887" t="n">
        <v>4</v>
      </c>
      <c r="R887" s="2" t="inlineStr">
        <is>
          <t>Knärot
Granticka
Lunglav
Tretåig hackspett</t>
        </is>
      </c>
      <c r="S887">
        <f>HYPERLINK("https://klasma.github.io/Logging_2305/artfynd/A 28553-2024 artfynd.xlsx", "A 28553-2024")</f>
        <v/>
      </c>
      <c r="T887">
        <f>HYPERLINK("https://klasma.github.io/Logging_2305/kartor/A 28553-2024 karta.png", "A 28553-2024")</f>
        <v/>
      </c>
      <c r="U887">
        <f>HYPERLINK("https://klasma.github.io/Logging_2305/knärot/A 28553-2024 karta knärot.png", "A 28553-2024")</f>
        <v/>
      </c>
      <c r="V887">
        <f>HYPERLINK("https://klasma.github.io/Logging_2305/klagomål/A 28553-2024 FSC-klagomål.docx", "A 28553-2024")</f>
        <v/>
      </c>
      <c r="W887">
        <f>HYPERLINK("https://klasma.github.io/Logging_2305/klagomålsmail/A 28553-2024 FSC-klagomål mail.docx", "A 28553-2024")</f>
        <v/>
      </c>
      <c r="X887">
        <f>HYPERLINK("https://klasma.github.io/Logging_2305/tillsyn/A 28553-2024 tillsynsbegäran.docx", "A 28553-2024")</f>
        <v/>
      </c>
      <c r="Y887">
        <f>HYPERLINK("https://klasma.github.io/Logging_2305/tillsynsmail/A 28553-2024 tillsynsbegäran mail.docx", "A 28553-2024")</f>
        <v/>
      </c>
      <c r="Z887">
        <f>HYPERLINK("https://klasma.github.io/Logging_2305/fåglar/A 28553-2024 prioriterade fågelarter.docx", "A 28553-2024")</f>
        <v/>
      </c>
    </row>
    <row r="888" ht="15" customHeight="1">
      <c r="A888" t="inlineStr">
        <is>
          <t>A 26299-2025</t>
        </is>
      </c>
      <c r="B888" s="1" t="n">
        <v>45805</v>
      </c>
      <c r="C888" s="1" t="n">
        <v>46045</v>
      </c>
      <c r="D888" t="inlineStr">
        <is>
          <t>JÄMTLANDS LÄN</t>
        </is>
      </c>
      <c r="E888" t="inlineStr">
        <is>
          <t>STRÖMSUND</t>
        </is>
      </c>
      <c r="F888" t="inlineStr">
        <is>
          <t>SCA</t>
        </is>
      </c>
      <c r="G888" t="n">
        <v>9.4</v>
      </c>
      <c r="H888" t="n">
        <v>1</v>
      </c>
      <c r="I888" t="n">
        <v>0</v>
      </c>
      <c r="J888" t="n">
        <v>4</v>
      </c>
      <c r="K888" t="n">
        <v>0</v>
      </c>
      <c r="L888" t="n">
        <v>0</v>
      </c>
      <c r="M888" t="n">
        <v>0</v>
      </c>
      <c r="N888" t="n">
        <v>0</v>
      </c>
      <c r="O888" t="n">
        <v>4</v>
      </c>
      <c r="P888" t="n">
        <v>0</v>
      </c>
      <c r="Q888" t="n">
        <v>4</v>
      </c>
      <c r="R888" s="2" t="inlineStr">
        <is>
          <t>Garnlav
Lunglav
Skrovellav
Tretåig hackspett</t>
        </is>
      </c>
      <c r="S888">
        <f>HYPERLINK("https://klasma.github.io/Logging_2313/artfynd/A 26299-2025 artfynd.xlsx", "A 26299-2025")</f>
        <v/>
      </c>
      <c r="T888">
        <f>HYPERLINK("https://klasma.github.io/Logging_2313/kartor/A 26299-2025 karta.png", "A 26299-2025")</f>
        <v/>
      </c>
      <c r="V888">
        <f>HYPERLINK("https://klasma.github.io/Logging_2313/klagomål/A 26299-2025 FSC-klagomål.docx", "A 26299-2025")</f>
        <v/>
      </c>
      <c r="W888">
        <f>HYPERLINK("https://klasma.github.io/Logging_2313/klagomålsmail/A 26299-2025 FSC-klagomål mail.docx", "A 26299-2025")</f>
        <v/>
      </c>
      <c r="X888">
        <f>HYPERLINK("https://klasma.github.io/Logging_2313/tillsyn/A 26299-2025 tillsynsbegäran.docx", "A 26299-2025")</f>
        <v/>
      </c>
      <c r="Y888">
        <f>HYPERLINK("https://klasma.github.io/Logging_2313/tillsynsmail/A 26299-2025 tillsynsbegäran mail.docx", "A 26299-2025")</f>
        <v/>
      </c>
      <c r="Z888">
        <f>HYPERLINK("https://klasma.github.io/Logging_2313/fåglar/A 26299-2025 prioriterade fågelarter.docx", "A 26299-2025")</f>
        <v/>
      </c>
    </row>
    <row r="889" ht="15" customHeight="1">
      <c r="A889" t="inlineStr">
        <is>
          <t>A 57076-2024</t>
        </is>
      </c>
      <c r="B889" s="1" t="n">
        <v>45629.35486111111</v>
      </c>
      <c r="C889" s="1" t="n">
        <v>46045</v>
      </c>
      <c r="D889" t="inlineStr">
        <is>
          <t>JÄMTLANDS LÄN</t>
        </is>
      </c>
      <c r="E889" t="inlineStr">
        <is>
          <t>BRÄCKE</t>
        </is>
      </c>
      <c r="F889" t="inlineStr">
        <is>
          <t>SCA</t>
        </is>
      </c>
      <c r="G889" t="n">
        <v>1.3</v>
      </c>
      <c r="H889" t="n">
        <v>1</v>
      </c>
      <c r="I889" t="n">
        <v>2</v>
      </c>
      <c r="J889" t="n">
        <v>1</v>
      </c>
      <c r="K889" t="n">
        <v>1</v>
      </c>
      <c r="L889" t="n">
        <v>0</v>
      </c>
      <c r="M889" t="n">
        <v>0</v>
      </c>
      <c r="N889" t="n">
        <v>0</v>
      </c>
      <c r="O889" t="n">
        <v>2</v>
      </c>
      <c r="P889" t="n">
        <v>1</v>
      </c>
      <c r="Q889" t="n">
        <v>4</v>
      </c>
      <c r="R889" s="2" t="inlineStr">
        <is>
          <t>Knärot
Lunglav
Luddlav
Vedticka</t>
        </is>
      </c>
      <c r="S889">
        <f>HYPERLINK("https://klasma.github.io/Logging_2305/artfynd/A 57076-2024 artfynd.xlsx", "A 57076-2024")</f>
        <v/>
      </c>
      <c r="T889">
        <f>HYPERLINK("https://klasma.github.io/Logging_2305/kartor/A 57076-2024 karta.png", "A 57076-2024")</f>
        <v/>
      </c>
      <c r="U889">
        <f>HYPERLINK("https://klasma.github.io/Logging_2305/knärot/A 57076-2024 karta knärot.png", "A 57076-2024")</f>
        <v/>
      </c>
      <c r="V889">
        <f>HYPERLINK("https://klasma.github.io/Logging_2305/klagomål/A 57076-2024 FSC-klagomål.docx", "A 57076-2024")</f>
        <v/>
      </c>
      <c r="W889">
        <f>HYPERLINK("https://klasma.github.io/Logging_2305/klagomålsmail/A 57076-2024 FSC-klagomål mail.docx", "A 57076-2024")</f>
        <v/>
      </c>
      <c r="X889">
        <f>HYPERLINK("https://klasma.github.io/Logging_2305/tillsyn/A 57076-2024 tillsynsbegäran.docx", "A 57076-2024")</f>
        <v/>
      </c>
      <c r="Y889">
        <f>HYPERLINK("https://klasma.github.io/Logging_2305/tillsynsmail/A 57076-2024 tillsynsbegäran mail.docx", "A 57076-2024")</f>
        <v/>
      </c>
    </row>
    <row r="890" ht="15" customHeight="1">
      <c r="A890" t="inlineStr">
        <is>
          <t>A 38335-2023</t>
        </is>
      </c>
      <c r="B890" s="1" t="n">
        <v>45161</v>
      </c>
      <c r="C890" s="1" t="n">
        <v>46045</v>
      </c>
      <c r="D890" t="inlineStr">
        <is>
          <t>JÄMTLANDS LÄN</t>
        </is>
      </c>
      <c r="E890" t="inlineStr">
        <is>
          <t>ÖSTERSUND</t>
        </is>
      </c>
      <c r="G890" t="n">
        <v>15.1</v>
      </c>
      <c r="H890" t="n">
        <v>3</v>
      </c>
      <c r="I890" t="n">
        <v>0</v>
      </c>
      <c r="J890" t="n">
        <v>2</v>
      </c>
      <c r="K890" t="n">
        <v>1</v>
      </c>
      <c r="L890" t="n">
        <v>0</v>
      </c>
      <c r="M890" t="n">
        <v>0</v>
      </c>
      <c r="N890" t="n">
        <v>0</v>
      </c>
      <c r="O890" t="n">
        <v>3</v>
      </c>
      <c r="P890" t="n">
        <v>1</v>
      </c>
      <c r="Q890" t="n">
        <v>4</v>
      </c>
      <c r="R890" s="2" t="inlineStr">
        <is>
          <t>Tallbit
Rosenticka
Tretåig hackspett
Lavskrika</t>
        </is>
      </c>
      <c r="S890">
        <f>HYPERLINK("https://klasma.github.io/Logging_2380/artfynd/A 38335-2023 artfynd.xlsx", "A 38335-2023")</f>
        <v/>
      </c>
      <c r="T890">
        <f>HYPERLINK("https://klasma.github.io/Logging_2380/kartor/A 38335-2023 karta.png", "A 38335-2023")</f>
        <v/>
      </c>
      <c r="V890">
        <f>HYPERLINK("https://klasma.github.io/Logging_2380/klagomål/A 38335-2023 FSC-klagomål.docx", "A 38335-2023")</f>
        <v/>
      </c>
      <c r="W890">
        <f>HYPERLINK("https://klasma.github.io/Logging_2380/klagomålsmail/A 38335-2023 FSC-klagomål mail.docx", "A 38335-2023")</f>
        <v/>
      </c>
      <c r="X890">
        <f>HYPERLINK("https://klasma.github.io/Logging_2380/tillsyn/A 38335-2023 tillsynsbegäran.docx", "A 38335-2023")</f>
        <v/>
      </c>
      <c r="Y890">
        <f>HYPERLINK("https://klasma.github.io/Logging_2380/tillsynsmail/A 38335-2023 tillsynsbegäran mail.docx", "A 38335-2023")</f>
        <v/>
      </c>
      <c r="Z890">
        <f>HYPERLINK("https://klasma.github.io/Logging_2380/fåglar/A 38335-2023 prioriterade fågelarter.docx", "A 38335-2023")</f>
        <v/>
      </c>
    </row>
    <row r="891" ht="15" customHeight="1">
      <c r="A891" t="inlineStr">
        <is>
          <t>A 52644-2024</t>
        </is>
      </c>
      <c r="B891" s="1" t="n">
        <v>45610.34415509259</v>
      </c>
      <c r="C891" s="1" t="n">
        <v>46045</v>
      </c>
      <c r="D891" t="inlineStr">
        <is>
          <t>JÄMTLANDS LÄN</t>
        </is>
      </c>
      <c r="E891" t="inlineStr">
        <is>
          <t>RAGUNDA</t>
        </is>
      </c>
      <c r="F891" t="inlineStr">
        <is>
          <t>SCA</t>
        </is>
      </c>
      <c r="G891" t="n">
        <v>6.6</v>
      </c>
      <c r="H891" t="n">
        <v>2</v>
      </c>
      <c r="I891" t="n">
        <v>1</v>
      </c>
      <c r="J891" t="n">
        <v>2</v>
      </c>
      <c r="K891" t="n">
        <v>1</v>
      </c>
      <c r="L891" t="n">
        <v>0</v>
      </c>
      <c r="M891" t="n">
        <v>0</v>
      </c>
      <c r="N891" t="n">
        <v>0</v>
      </c>
      <c r="O891" t="n">
        <v>3</v>
      </c>
      <c r="P891" t="n">
        <v>1</v>
      </c>
      <c r="Q891" t="n">
        <v>4</v>
      </c>
      <c r="R891" s="2" t="inlineStr">
        <is>
          <t>Doftticka
Gammelgransskål
Lunglav
Guckusko</t>
        </is>
      </c>
      <c r="S891">
        <f>HYPERLINK("https://klasma.github.io/Logging_2303/artfynd/A 52644-2024 artfynd.xlsx", "A 52644-2024")</f>
        <v/>
      </c>
      <c r="T891">
        <f>HYPERLINK("https://klasma.github.io/Logging_2303/kartor/A 52644-2024 karta.png", "A 52644-2024")</f>
        <v/>
      </c>
      <c r="V891">
        <f>HYPERLINK("https://klasma.github.io/Logging_2303/klagomål/A 52644-2024 FSC-klagomål.docx", "A 52644-2024")</f>
        <v/>
      </c>
      <c r="W891">
        <f>HYPERLINK("https://klasma.github.io/Logging_2303/klagomålsmail/A 52644-2024 FSC-klagomål mail.docx", "A 52644-2024")</f>
        <v/>
      </c>
      <c r="X891">
        <f>HYPERLINK("https://klasma.github.io/Logging_2303/tillsyn/A 52644-2024 tillsynsbegäran.docx", "A 52644-2024")</f>
        <v/>
      </c>
      <c r="Y891">
        <f>HYPERLINK("https://klasma.github.io/Logging_2303/tillsynsmail/A 52644-2024 tillsynsbegäran mail.docx", "A 52644-2024")</f>
        <v/>
      </c>
    </row>
    <row r="892" ht="15" customHeight="1">
      <c r="A892" t="inlineStr">
        <is>
          <t>A 40179-2023</t>
        </is>
      </c>
      <c r="B892" s="1" t="n">
        <v>45169</v>
      </c>
      <c r="C892" s="1" t="n">
        <v>46045</v>
      </c>
      <c r="D892" t="inlineStr">
        <is>
          <t>JÄMTLANDS LÄN</t>
        </is>
      </c>
      <c r="E892" t="inlineStr">
        <is>
          <t>KROKOM</t>
        </is>
      </c>
      <c r="F892" t="inlineStr">
        <is>
          <t>Övriga Aktiebolag</t>
        </is>
      </c>
      <c r="G892" t="n">
        <v>2.8</v>
      </c>
      <c r="H892" t="n">
        <v>1</v>
      </c>
      <c r="I892" t="n">
        <v>1</v>
      </c>
      <c r="J892" t="n">
        <v>3</v>
      </c>
      <c r="K892" t="n">
        <v>0</v>
      </c>
      <c r="L892" t="n">
        <v>0</v>
      </c>
      <c r="M892" t="n">
        <v>0</v>
      </c>
      <c r="N892" t="n">
        <v>0</v>
      </c>
      <c r="O892" t="n">
        <v>3</v>
      </c>
      <c r="P892" t="n">
        <v>0</v>
      </c>
      <c r="Q892" t="n">
        <v>4</v>
      </c>
      <c r="R892" s="2" t="inlineStr">
        <is>
          <t>Grantaggsvamp
Orange taggsvamp
Tretåig hackspett
Tallfingersvamp</t>
        </is>
      </c>
      <c r="S892">
        <f>HYPERLINK("https://klasma.github.io/Logging_2309/artfynd/A 40179-2023 artfynd.xlsx", "A 40179-2023")</f>
        <v/>
      </c>
      <c r="T892">
        <f>HYPERLINK("https://klasma.github.io/Logging_2309/kartor/A 40179-2023 karta.png", "A 40179-2023")</f>
        <v/>
      </c>
      <c r="V892">
        <f>HYPERLINK("https://klasma.github.io/Logging_2309/klagomål/A 40179-2023 FSC-klagomål.docx", "A 40179-2023")</f>
        <v/>
      </c>
      <c r="W892">
        <f>HYPERLINK("https://klasma.github.io/Logging_2309/klagomålsmail/A 40179-2023 FSC-klagomål mail.docx", "A 40179-2023")</f>
        <v/>
      </c>
      <c r="X892">
        <f>HYPERLINK("https://klasma.github.io/Logging_2309/tillsyn/A 40179-2023 tillsynsbegäran.docx", "A 40179-2023")</f>
        <v/>
      </c>
      <c r="Y892">
        <f>HYPERLINK("https://klasma.github.io/Logging_2309/tillsynsmail/A 40179-2023 tillsynsbegäran mail.docx", "A 40179-2023")</f>
        <v/>
      </c>
      <c r="Z892">
        <f>HYPERLINK("https://klasma.github.io/Logging_2309/fåglar/A 40179-2023 prioriterade fågelarter.docx", "A 40179-2023")</f>
        <v/>
      </c>
    </row>
    <row r="893" ht="15" customHeight="1">
      <c r="A893" t="inlineStr">
        <is>
          <t>A 48479-2023</t>
        </is>
      </c>
      <c r="B893" s="1" t="n">
        <v>45206</v>
      </c>
      <c r="C893" s="1" t="n">
        <v>46045</v>
      </c>
      <c r="D893" t="inlineStr">
        <is>
          <t>JÄMTLANDS LÄN</t>
        </is>
      </c>
      <c r="E893" t="inlineStr">
        <is>
          <t>BRÄCKE</t>
        </is>
      </c>
      <c r="F893" t="inlineStr">
        <is>
          <t>SCA</t>
        </is>
      </c>
      <c r="G893" t="n">
        <v>8.1</v>
      </c>
      <c r="H893" t="n">
        <v>0</v>
      </c>
      <c r="I893" t="n">
        <v>3</v>
      </c>
      <c r="J893" t="n">
        <v>1</v>
      </c>
      <c r="K893" t="n">
        <v>0</v>
      </c>
      <c r="L893" t="n">
        <v>0</v>
      </c>
      <c r="M893" t="n">
        <v>0</v>
      </c>
      <c r="N893" t="n">
        <v>0</v>
      </c>
      <c r="O893" t="n">
        <v>1</v>
      </c>
      <c r="P893" t="n">
        <v>0</v>
      </c>
      <c r="Q893" t="n">
        <v>4</v>
      </c>
      <c r="R893" s="2" t="inlineStr">
        <is>
          <t>Tallticka
Gytterlav
Korallblylav
Stuplav</t>
        </is>
      </c>
      <c r="S893">
        <f>HYPERLINK("https://klasma.github.io/Logging_2305/artfynd/A 48479-2023 artfynd.xlsx", "A 48479-2023")</f>
        <v/>
      </c>
      <c r="T893">
        <f>HYPERLINK("https://klasma.github.io/Logging_2305/kartor/A 48479-2023 karta.png", "A 48479-2023")</f>
        <v/>
      </c>
      <c r="V893">
        <f>HYPERLINK("https://klasma.github.io/Logging_2305/klagomål/A 48479-2023 FSC-klagomål.docx", "A 48479-2023")</f>
        <v/>
      </c>
      <c r="W893">
        <f>HYPERLINK("https://klasma.github.io/Logging_2305/klagomålsmail/A 48479-2023 FSC-klagomål mail.docx", "A 48479-2023")</f>
        <v/>
      </c>
      <c r="X893">
        <f>HYPERLINK("https://klasma.github.io/Logging_2305/tillsyn/A 48479-2023 tillsynsbegäran.docx", "A 48479-2023")</f>
        <v/>
      </c>
      <c r="Y893">
        <f>HYPERLINK("https://klasma.github.io/Logging_2305/tillsynsmail/A 48479-2023 tillsynsbegäran mail.docx", "A 48479-2023")</f>
        <v/>
      </c>
    </row>
    <row r="894" ht="15" customHeight="1">
      <c r="A894" t="inlineStr">
        <is>
          <t>A 57079-2023</t>
        </is>
      </c>
      <c r="B894" s="1" t="n">
        <v>45244</v>
      </c>
      <c r="C894" s="1" t="n">
        <v>46045</v>
      </c>
      <c r="D894" t="inlineStr">
        <is>
          <t>JÄMTLANDS LÄN</t>
        </is>
      </c>
      <c r="E894" t="inlineStr">
        <is>
          <t>BRÄCKE</t>
        </is>
      </c>
      <c r="F894" t="inlineStr">
        <is>
          <t>SCA</t>
        </is>
      </c>
      <c r="G894" t="n">
        <v>9.9</v>
      </c>
      <c r="H894" t="n">
        <v>0</v>
      </c>
      <c r="I894" t="n">
        <v>2</v>
      </c>
      <c r="J894" t="n">
        <v>2</v>
      </c>
      <c r="K894" t="n">
        <v>0</v>
      </c>
      <c r="L894" t="n">
        <v>0</v>
      </c>
      <c r="M894" t="n">
        <v>0</v>
      </c>
      <c r="N894" t="n">
        <v>0</v>
      </c>
      <c r="O894" t="n">
        <v>2</v>
      </c>
      <c r="P894" t="n">
        <v>0</v>
      </c>
      <c r="Q894" t="n">
        <v>4</v>
      </c>
      <c r="R894" s="2" t="inlineStr">
        <is>
          <t>Garnlav
Lunglav
Korallblylav
Skinnlav</t>
        </is>
      </c>
      <c r="S894">
        <f>HYPERLINK("https://klasma.github.io/Logging_2305/artfynd/A 57079-2023 artfynd.xlsx", "A 57079-2023")</f>
        <v/>
      </c>
      <c r="T894">
        <f>HYPERLINK("https://klasma.github.io/Logging_2305/kartor/A 57079-2023 karta.png", "A 57079-2023")</f>
        <v/>
      </c>
      <c r="V894">
        <f>HYPERLINK("https://klasma.github.io/Logging_2305/klagomål/A 57079-2023 FSC-klagomål.docx", "A 57079-2023")</f>
        <v/>
      </c>
      <c r="W894">
        <f>HYPERLINK("https://klasma.github.io/Logging_2305/klagomålsmail/A 57079-2023 FSC-klagomål mail.docx", "A 57079-2023")</f>
        <v/>
      </c>
      <c r="X894">
        <f>HYPERLINK("https://klasma.github.io/Logging_2305/tillsyn/A 57079-2023 tillsynsbegäran.docx", "A 57079-2023")</f>
        <v/>
      </c>
      <c r="Y894">
        <f>HYPERLINK("https://klasma.github.io/Logging_2305/tillsynsmail/A 57079-2023 tillsynsbegäran mail.docx", "A 57079-2023")</f>
        <v/>
      </c>
    </row>
    <row r="895" ht="15" customHeight="1">
      <c r="A895" t="inlineStr">
        <is>
          <t>A 19277-2021</t>
        </is>
      </c>
      <c r="B895" s="1" t="n">
        <v>44309</v>
      </c>
      <c r="C895" s="1" t="n">
        <v>46045</v>
      </c>
      <c r="D895" t="inlineStr">
        <is>
          <t>JÄMTLANDS LÄN</t>
        </is>
      </c>
      <c r="E895" t="inlineStr">
        <is>
          <t>ÅRE</t>
        </is>
      </c>
      <c r="G895" t="n">
        <v>3.2</v>
      </c>
      <c r="H895" t="n">
        <v>0</v>
      </c>
      <c r="I895" t="n">
        <v>2</v>
      </c>
      <c r="J895" t="n">
        <v>2</v>
      </c>
      <c r="K895" t="n">
        <v>0</v>
      </c>
      <c r="L895" t="n">
        <v>0</v>
      </c>
      <c r="M895" t="n">
        <v>0</v>
      </c>
      <c r="N895" t="n">
        <v>0</v>
      </c>
      <c r="O895" t="n">
        <v>2</v>
      </c>
      <c r="P895" t="n">
        <v>0</v>
      </c>
      <c r="Q895" t="n">
        <v>4</v>
      </c>
      <c r="R895" s="2" t="inlineStr">
        <is>
          <t>Garnlav
Gränsticka
Korallblylav
Stuplav</t>
        </is>
      </c>
      <c r="S895">
        <f>HYPERLINK("https://klasma.github.io/Logging_2321/artfynd/A 19277-2021 artfynd.xlsx", "A 19277-2021")</f>
        <v/>
      </c>
      <c r="T895">
        <f>HYPERLINK("https://klasma.github.io/Logging_2321/kartor/A 19277-2021 karta.png", "A 19277-2021")</f>
        <v/>
      </c>
      <c r="V895">
        <f>HYPERLINK("https://klasma.github.io/Logging_2321/klagomål/A 19277-2021 FSC-klagomål.docx", "A 19277-2021")</f>
        <v/>
      </c>
      <c r="W895">
        <f>HYPERLINK("https://klasma.github.io/Logging_2321/klagomålsmail/A 19277-2021 FSC-klagomål mail.docx", "A 19277-2021")</f>
        <v/>
      </c>
      <c r="X895">
        <f>HYPERLINK("https://klasma.github.io/Logging_2321/tillsyn/A 19277-2021 tillsynsbegäran.docx", "A 19277-2021")</f>
        <v/>
      </c>
      <c r="Y895">
        <f>HYPERLINK("https://klasma.github.io/Logging_2321/tillsynsmail/A 19277-2021 tillsynsbegäran mail.docx", "A 19277-2021")</f>
        <v/>
      </c>
    </row>
    <row r="896" ht="15" customHeight="1">
      <c r="A896" t="inlineStr">
        <is>
          <t>A 61907-2023</t>
        </is>
      </c>
      <c r="B896" s="1" t="n">
        <v>45265</v>
      </c>
      <c r="C896" s="1" t="n">
        <v>46045</v>
      </c>
      <c r="D896" t="inlineStr">
        <is>
          <t>JÄMTLANDS LÄN</t>
        </is>
      </c>
      <c r="E896" t="inlineStr">
        <is>
          <t>STRÖMSUND</t>
        </is>
      </c>
      <c r="G896" t="n">
        <v>49</v>
      </c>
      <c r="H896" t="n">
        <v>2</v>
      </c>
      <c r="I896" t="n">
        <v>0</v>
      </c>
      <c r="J896" t="n">
        <v>0</v>
      </c>
      <c r="K896" t="n">
        <v>2</v>
      </c>
      <c r="L896" t="n">
        <v>0</v>
      </c>
      <c r="M896" t="n">
        <v>0</v>
      </c>
      <c r="N896" t="n">
        <v>0</v>
      </c>
      <c r="O896" t="n">
        <v>2</v>
      </c>
      <c r="P896" t="n">
        <v>2</v>
      </c>
      <c r="Q896" t="n">
        <v>4</v>
      </c>
      <c r="R896" s="2" t="inlineStr">
        <is>
          <t>Borgsjömusseron
Rynkskinn
Lavskrika
Vanlig groda</t>
        </is>
      </c>
      <c r="S896">
        <f>HYPERLINK("https://klasma.github.io/Logging_2313/artfynd/A 61907-2023 artfynd.xlsx", "A 61907-2023")</f>
        <v/>
      </c>
      <c r="T896">
        <f>HYPERLINK("https://klasma.github.io/Logging_2313/kartor/A 61907-2023 karta.png", "A 61907-2023")</f>
        <v/>
      </c>
      <c r="V896">
        <f>HYPERLINK("https://klasma.github.io/Logging_2313/klagomål/A 61907-2023 FSC-klagomål.docx", "A 61907-2023")</f>
        <v/>
      </c>
      <c r="W896">
        <f>HYPERLINK("https://klasma.github.io/Logging_2313/klagomålsmail/A 61907-2023 FSC-klagomål mail.docx", "A 61907-2023")</f>
        <v/>
      </c>
      <c r="X896">
        <f>HYPERLINK("https://klasma.github.io/Logging_2313/tillsyn/A 61907-2023 tillsynsbegäran.docx", "A 61907-2023")</f>
        <v/>
      </c>
      <c r="Y896">
        <f>HYPERLINK("https://klasma.github.io/Logging_2313/tillsynsmail/A 61907-2023 tillsynsbegäran mail.docx", "A 61907-2023")</f>
        <v/>
      </c>
      <c r="Z896">
        <f>HYPERLINK("https://klasma.github.io/Logging_2313/fåglar/A 61907-2023 prioriterade fågelarter.docx", "A 61907-2023")</f>
        <v/>
      </c>
    </row>
    <row r="897" ht="15" customHeight="1">
      <c r="A897" t="inlineStr">
        <is>
          <t>A 29135-2022</t>
        </is>
      </c>
      <c r="B897" s="1" t="n">
        <v>44750</v>
      </c>
      <c r="C897" s="1" t="n">
        <v>46045</v>
      </c>
      <c r="D897" t="inlineStr">
        <is>
          <t>JÄMTLANDS LÄN</t>
        </is>
      </c>
      <c r="E897" t="inlineStr">
        <is>
          <t>ÖSTERSUND</t>
        </is>
      </c>
      <c r="G897" t="n">
        <v>2.3</v>
      </c>
      <c r="H897" t="n">
        <v>3</v>
      </c>
      <c r="I897" t="n">
        <v>2</v>
      </c>
      <c r="J897" t="n">
        <v>0</v>
      </c>
      <c r="K897" t="n">
        <v>0</v>
      </c>
      <c r="L897" t="n">
        <v>0</v>
      </c>
      <c r="M897" t="n">
        <v>0</v>
      </c>
      <c r="N897" t="n">
        <v>0</v>
      </c>
      <c r="O897" t="n">
        <v>0</v>
      </c>
      <c r="P897" t="n">
        <v>0</v>
      </c>
      <c r="Q897" t="n">
        <v>4</v>
      </c>
      <c r="R897" s="2" t="inlineStr">
        <is>
          <t>Finbräken
Grönkulla
Fläcknycklar
Blåsippa</t>
        </is>
      </c>
      <c r="S897">
        <f>HYPERLINK("https://klasma.github.io/Logging_2380/artfynd/A 29135-2022 artfynd.xlsx", "A 29135-2022")</f>
        <v/>
      </c>
      <c r="T897">
        <f>HYPERLINK("https://klasma.github.io/Logging_2380/kartor/A 29135-2022 karta.png", "A 29135-2022")</f>
        <v/>
      </c>
      <c r="V897">
        <f>HYPERLINK("https://klasma.github.io/Logging_2380/klagomål/A 29135-2022 FSC-klagomål.docx", "A 29135-2022")</f>
        <v/>
      </c>
      <c r="W897">
        <f>HYPERLINK("https://klasma.github.io/Logging_2380/klagomålsmail/A 29135-2022 FSC-klagomål mail.docx", "A 29135-2022")</f>
        <v/>
      </c>
      <c r="X897">
        <f>HYPERLINK("https://klasma.github.io/Logging_2380/tillsyn/A 29135-2022 tillsynsbegäran.docx", "A 29135-2022")</f>
        <v/>
      </c>
      <c r="Y897">
        <f>HYPERLINK("https://klasma.github.io/Logging_2380/tillsynsmail/A 29135-2022 tillsynsbegäran mail.docx", "A 29135-2022")</f>
        <v/>
      </c>
    </row>
    <row r="898" ht="15" customHeight="1">
      <c r="A898" t="inlineStr">
        <is>
          <t>A 21091-2022</t>
        </is>
      </c>
      <c r="B898" s="1" t="n">
        <v>44699</v>
      </c>
      <c r="C898" s="1" t="n">
        <v>46045</v>
      </c>
      <c r="D898" t="inlineStr">
        <is>
          <t>JÄMTLANDS LÄN</t>
        </is>
      </c>
      <c r="E898" t="inlineStr">
        <is>
          <t>STRÖMSUND</t>
        </is>
      </c>
      <c r="F898" t="inlineStr">
        <is>
          <t>SCA</t>
        </is>
      </c>
      <c r="G898" t="n">
        <v>26.9</v>
      </c>
      <c r="H898" t="n">
        <v>2</v>
      </c>
      <c r="I898" t="n">
        <v>2</v>
      </c>
      <c r="J898" t="n">
        <v>0</v>
      </c>
      <c r="K898" t="n">
        <v>0</v>
      </c>
      <c r="L898" t="n">
        <v>0</v>
      </c>
      <c r="M898" t="n">
        <v>0</v>
      </c>
      <c r="N898" t="n">
        <v>0</v>
      </c>
      <c r="O898" t="n">
        <v>0</v>
      </c>
      <c r="P898" t="n">
        <v>0</v>
      </c>
      <c r="Q898" t="n">
        <v>4</v>
      </c>
      <c r="R898" s="2" t="inlineStr">
        <is>
          <t>Kransrams
Strutbräken
Skogsrör
Mattlummer</t>
        </is>
      </c>
      <c r="S898">
        <f>HYPERLINK("https://klasma.github.io/Logging_2313/artfynd/A 21091-2022 artfynd.xlsx", "A 21091-2022")</f>
        <v/>
      </c>
      <c r="T898">
        <f>HYPERLINK("https://klasma.github.io/Logging_2313/kartor/A 21091-2022 karta.png", "A 21091-2022")</f>
        <v/>
      </c>
      <c r="V898">
        <f>HYPERLINK("https://klasma.github.io/Logging_2313/klagomål/A 21091-2022 FSC-klagomål.docx", "A 21091-2022")</f>
        <v/>
      </c>
      <c r="W898">
        <f>HYPERLINK("https://klasma.github.io/Logging_2313/klagomålsmail/A 21091-2022 FSC-klagomål mail.docx", "A 21091-2022")</f>
        <v/>
      </c>
      <c r="X898">
        <f>HYPERLINK("https://klasma.github.io/Logging_2313/tillsyn/A 21091-2022 tillsynsbegäran.docx", "A 21091-2022")</f>
        <v/>
      </c>
      <c r="Y898">
        <f>HYPERLINK("https://klasma.github.io/Logging_2313/tillsynsmail/A 21091-2022 tillsynsbegäran mail.docx", "A 21091-2022")</f>
        <v/>
      </c>
    </row>
    <row r="899" ht="15" customHeight="1">
      <c r="A899" t="inlineStr">
        <is>
          <t>A 47499-2023</t>
        </is>
      </c>
      <c r="B899" s="1" t="n">
        <v>45202</v>
      </c>
      <c r="C899" s="1" t="n">
        <v>46045</v>
      </c>
      <c r="D899" t="inlineStr">
        <is>
          <t>JÄMTLANDS LÄN</t>
        </is>
      </c>
      <c r="E899" t="inlineStr">
        <is>
          <t>BRÄCKE</t>
        </is>
      </c>
      <c r="F899" t="inlineStr">
        <is>
          <t>SCA</t>
        </is>
      </c>
      <c r="G899" t="n">
        <v>8.1</v>
      </c>
      <c r="H899" t="n">
        <v>2</v>
      </c>
      <c r="I899" t="n">
        <v>2</v>
      </c>
      <c r="J899" t="n">
        <v>2</v>
      </c>
      <c r="K899" t="n">
        <v>0</v>
      </c>
      <c r="L899" t="n">
        <v>0</v>
      </c>
      <c r="M899" t="n">
        <v>0</v>
      </c>
      <c r="N899" t="n">
        <v>0</v>
      </c>
      <c r="O899" t="n">
        <v>2</v>
      </c>
      <c r="P899" t="n">
        <v>0</v>
      </c>
      <c r="Q899" t="n">
        <v>4</v>
      </c>
      <c r="R899" s="2" t="inlineStr">
        <is>
          <t>Garnlav
Lunglav
Korallrot
Lappranunkel</t>
        </is>
      </c>
      <c r="S899">
        <f>HYPERLINK("https://klasma.github.io/Logging_2305/artfynd/A 47499-2023 artfynd.xlsx", "A 47499-2023")</f>
        <v/>
      </c>
      <c r="T899">
        <f>HYPERLINK("https://klasma.github.io/Logging_2305/kartor/A 47499-2023 karta.png", "A 47499-2023")</f>
        <v/>
      </c>
      <c r="V899">
        <f>HYPERLINK("https://klasma.github.io/Logging_2305/klagomål/A 47499-2023 FSC-klagomål.docx", "A 47499-2023")</f>
        <v/>
      </c>
      <c r="W899">
        <f>HYPERLINK("https://klasma.github.io/Logging_2305/klagomålsmail/A 47499-2023 FSC-klagomål mail.docx", "A 47499-2023")</f>
        <v/>
      </c>
      <c r="X899">
        <f>HYPERLINK("https://klasma.github.io/Logging_2305/tillsyn/A 47499-2023 tillsynsbegäran.docx", "A 47499-2023")</f>
        <v/>
      </c>
      <c r="Y899">
        <f>HYPERLINK("https://klasma.github.io/Logging_2305/tillsynsmail/A 47499-2023 tillsynsbegäran mail.docx", "A 47499-2023")</f>
        <v/>
      </c>
    </row>
    <row r="900" ht="15" customHeight="1">
      <c r="A900" t="inlineStr">
        <is>
          <t>A 17092-2022</t>
        </is>
      </c>
      <c r="B900" s="1" t="n">
        <v>44677</v>
      </c>
      <c r="C900" s="1" t="n">
        <v>46045</v>
      </c>
      <c r="D900" t="inlineStr">
        <is>
          <t>JÄMTLANDS LÄN</t>
        </is>
      </c>
      <c r="E900" t="inlineStr">
        <is>
          <t>RAGUNDA</t>
        </is>
      </c>
      <c r="G900" t="n">
        <v>21.2</v>
      </c>
      <c r="H900" t="n">
        <v>1</v>
      </c>
      <c r="I900" t="n">
        <v>0</v>
      </c>
      <c r="J900" t="n">
        <v>3</v>
      </c>
      <c r="K900" t="n">
        <v>1</v>
      </c>
      <c r="L900" t="n">
        <v>0</v>
      </c>
      <c r="M900" t="n">
        <v>0</v>
      </c>
      <c r="N900" t="n">
        <v>0</v>
      </c>
      <c r="O900" t="n">
        <v>4</v>
      </c>
      <c r="P900" t="n">
        <v>1</v>
      </c>
      <c r="Q900" t="n">
        <v>4</v>
      </c>
      <c r="R900" s="2" t="inlineStr">
        <is>
          <t>Knärot
Garnlav
Lunglav
Ullticka</t>
        </is>
      </c>
      <c r="S900">
        <f>HYPERLINK("https://klasma.github.io/Logging_2303/artfynd/A 17092-2022 artfynd.xlsx", "A 17092-2022")</f>
        <v/>
      </c>
      <c r="T900">
        <f>HYPERLINK("https://klasma.github.io/Logging_2303/kartor/A 17092-2022 karta.png", "A 17092-2022")</f>
        <v/>
      </c>
      <c r="U900">
        <f>HYPERLINK("https://klasma.github.io/Logging_2303/knärot/A 17092-2022 karta knärot.png", "A 17092-2022")</f>
        <v/>
      </c>
      <c r="V900">
        <f>HYPERLINK("https://klasma.github.io/Logging_2303/klagomål/A 17092-2022 FSC-klagomål.docx", "A 17092-2022")</f>
        <v/>
      </c>
      <c r="W900">
        <f>HYPERLINK("https://klasma.github.io/Logging_2303/klagomålsmail/A 17092-2022 FSC-klagomål mail.docx", "A 17092-2022")</f>
        <v/>
      </c>
      <c r="X900">
        <f>HYPERLINK("https://klasma.github.io/Logging_2303/tillsyn/A 17092-2022 tillsynsbegäran.docx", "A 17092-2022")</f>
        <v/>
      </c>
      <c r="Y900">
        <f>HYPERLINK("https://klasma.github.io/Logging_2303/tillsynsmail/A 17092-2022 tillsynsbegäran mail.docx", "A 17092-2022")</f>
        <v/>
      </c>
    </row>
    <row r="901" ht="15" customHeight="1">
      <c r="A901" t="inlineStr">
        <is>
          <t>A 59291-2022</t>
        </is>
      </c>
      <c r="B901" s="1" t="n">
        <v>44904</v>
      </c>
      <c r="C901" s="1" t="n">
        <v>46045</v>
      </c>
      <c r="D901" t="inlineStr">
        <is>
          <t>JÄMTLANDS LÄN</t>
        </is>
      </c>
      <c r="E901" t="inlineStr">
        <is>
          <t>ÖSTERSUND</t>
        </is>
      </c>
      <c r="G901" t="n">
        <v>9.199999999999999</v>
      </c>
      <c r="H901" t="n">
        <v>1</v>
      </c>
      <c r="I901" t="n">
        <v>0</v>
      </c>
      <c r="J901" t="n">
        <v>3</v>
      </c>
      <c r="K901" t="n">
        <v>0</v>
      </c>
      <c r="L901" t="n">
        <v>0</v>
      </c>
      <c r="M901" t="n">
        <v>0</v>
      </c>
      <c r="N901" t="n">
        <v>0</v>
      </c>
      <c r="O901" t="n">
        <v>3</v>
      </c>
      <c r="P901" t="n">
        <v>0</v>
      </c>
      <c r="Q901" t="n">
        <v>4</v>
      </c>
      <c r="R901" s="2" t="inlineStr">
        <is>
          <t>Garnlav
Lunglav
Skrovellav
Revlummer</t>
        </is>
      </c>
      <c r="S901">
        <f>HYPERLINK("https://klasma.github.io/Logging_2380/artfynd/A 59291-2022 artfynd.xlsx", "A 59291-2022")</f>
        <v/>
      </c>
      <c r="T901">
        <f>HYPERLINK("https://klasma.github.io/Logging_2380/kartor/A 59291-2022 karta.png", "A 59291-2022")</f>
        <v/>
      </c>
      <c r="V901">
        <f>HYPERLINK("https://klasma.github.io/Logging_2380/klagomål/A 59291-2022 FSC-klagomål.docx", "A 59291-2022")</f>
        <v/>
      </c>
      <c r="W901">
        <f>HYPERLINK("https://klasma.github.io/Logging_2380/klagomålsmail/A 59291-2022 FSC-klagomål mail.docx", "A 59291-2022")</f>
        <v/>
      </c>
      <c r="X901">
        <f>HYPERLINK("https://klasma.github.io/Logging_2380/tillsyn/A 59291-2022 tillsynsbegäran.docx", "A 59291-2022")</f>
        <v/>
      </c>
      <c r="Y901">
        <f>HYPERLINK("https://klasma.github.io/Logging_2380/tillsynsmail/A 59291-2022 tillsynsbegäran mail.docx", "A 59291-2022")</f>
        <v/>
      </c>
    </row>
    <row r="902" ht="15" customHeight="1">
      <c r="A902" t="inlineStr">
        <is>
          <t>A 25051-2023</t>
        </is>
      </c>
      <c r="B902" s="1" t="n">
        <v>45085.94599537037</v>
      </c>
      <c r="C902" s="1" t="n">
        <v>46045</v>
      </c>
      <c r="D902" t="inlineStr">
        <is>
          <t>JÄMTLANDS LÄN</t>
        </is>
      </c>
      <c r="E902" t="inlineStr">
        <is>
          <t>STRÖMSUND</t>
        </is>
      </c>
      <c r="F902" t="inlineStr">
        <is>
          <t>SCA</t>
        </is>
      </c>
      <c r="G902" t="n">
        <v>0.6</v>
      </c>
      <c r="H902" t="n">
        <v>1</v>
      </c>
      <c r="I902" t="n">
        <v>0</v>
      </c>
      <c r="J902" t="n">
        <v>3</v>
      </c>
      <c r="K902" t="n">
        <v>0</v>
      </c>
      <c r="L902" t="n">
        <v>0</v>
      </c>
      <c r="M902" t="n">
        <v>0</v>
      </c>
      <c r="N902" t="n">
        <v>0</v>
      </c>
      <c r="O902" t="n">
        <v>3</v>
      </c>
      <c r="P902" t="n">
        <v>0</v>
      </c>
      <c r="Q902" t="n">
        <v>4</v>
      </c>
      <c r="R902" s="2" t="inlineStr">
        <is>
          <t>Gammelgransskål
Garnlav
Lunglav
Lavskrika</t>
        </is>
      </c>
      <c r="S902">
        <f>HYPERLINK("https://klasma.github.io/Logging_2313/artfynd/A 25051-2023 artfynd.xlsx", "A 25051-2023")</f>
        <v/>
      </c>
      <c r="T902">
        <f>HYPERLINK("https://klasma.github.io/Logging_2313/kartor/A 25051-2023 karta.png", "A 25051-2023")</f>
        <v/>
      </c>
      <c r="V902">
        <f>HYPERLINK("https://klasma.github.io/Logging_2313/klagomål/A 25051-2023 FSC-klagomål.docx", "A 25051-2023")</f>
        <v/>
      </c>
      <c r="W902">
        <f>HYPERLINK("https://klasma.github.io/Logging_2313/klagomålsmail/A 25051-2023 FSC-klagomål mail.docx", "A 25051-2023")</f>
        <v/>
      </c>
      <c r="X902">
        <f>HYPERLINK("https://klasma.github.io/Logging_2313/tillsyn/A 25051-2023 tillsynsbegäran.docx", "A 25051-2023")</f>
        <v/>
      </c>
      <c r="Y902">
        <f>HYPERLINK("https://klasma.github.io/Logging_2313/tillsynsmail/A 25051-2023 tillsynsbegäran mail.docx", "A 25051-2023")</f>
        <v/>
      </c>
      <c r="Z902">
        <f>HYPERLINK("https://klasma.github.io/Logging_2313/fåglar/A 25051-2023 prioriterade fågelarter.docx", "A 25051-2023")</f>
        <v/>
      </c>
    </row>
    <row r="903" ht="15" customHeight="1">
      <c r="A903" t="inlineStr">
        <is>
          <t>A 6682-2023</t>
        </is>
      </c>
      <c r="B903" s="1" t="n">
        <v>44966</v>
      </c>
      <c r="C903" s="1" t="n">
        <v>46045</v>
      </c>
      <c r="D903" t="inlineStr">
        <is>
          <t>JÄMTLANDS LÄN</t>
        </is>
      </c>
      <c r="E903" t="inlineStr">
        <is>
          <t>KROKOM</t>
        </is>
      </c>
      <c r="G903" t="n">
        <v>22.8</v>
      </c>
      <c r="H903" t="n">
        <v>1</v>
      </c>
      <c r="I903" t="n">
        <v>0</v>
      </c>
      <c r="J903" t="n">
        <v>4</v>
      </c>
      <c r="K903" t="n">
        <v>0</v>
      </c>
      <c r="L903" t="n">
        <v>0</v>
      </c>
      <c r="M903" t="n">
        <v>0</v>
      </c>
      <c r="N903" t="n">
        <v>0</v>
      </c>
      <c r="O903" t="n">
        <v>4</v>
      </c>
      <c r="P903" t="n">
        <v>0</v>
      </c>
      <c r="Q903" t="n">
        <v>4</v>
      </c>
      <c r="R903" s="2" t="inlineStr">
        <is>
          <t>Garnlav
Granticka
Lunglav
Tretåig hackspett</t>
        </is>
      </c>
      <c r="S903">
        <f>HYPERLINK("https://klasma.github.io/Logging_2309/artfynd/A 6682-2023 artfynd.xlsx", "A 6682-2023")</f>
        <v/>
      </c>
      <c r="T903">
        <f>HYPERLINK("https://klasma.github.io/Logging_2309/kartor/A 6682-2023 karta.png", "A 6682-2023")</f>
        <v/>
      </c>
      <c r="V903">
        <f>HYPERLINK("https://klasma.github.io/Logging_2309/klagomål/A 6682-2023 FSC-klagomål.docx", "A 6682-2023")</f>
        <v/>
      </c>
      <c r="W903">
        <f>HYPERLINK("https://klasma.github.io/Logging_2309/klagomålsmail/A 6682-2023 FSC-klagomål mail.docx", "A 6682-2023")</f>
        <v/>
      </c>
      <c r="X903">
        <f>HYPERLINK("https://klasma.github.io/Logging_2309/tillsyn/A 6682-2023 tillsynsbegäran.docx", "A 6682-2023")</f>
        <v/>
      </c>
      <c r="Y903">
        <f>HYPERLINK("https://klasma.github.io/Logging_2309/tillsynsmail/A 6682-2023 tillsynsbegäran mail.docx", "A 6682-2023")</f>
        <v/>
      </c>
      <c r="Z903">
        <f>HYPERLINK("https://klasma.github.io/Logging_2309/fåglar/A 6682-2023 prioriterade fågelarter.docx", "A 6682-2023")</f>
        <v/>
      </c>
    </row>
    <row r="904" ht="15" customHeight="1">
      <c r="A904" t="inlineStr">
        <is>
          <t>A 30483-2024</t>
        </is>
      </c>
      <c r="B904" s="1" t="n">
        <v>45491</v>
      </c>
      <c r="C904" s="1" t="n">
        <v>46045</v>
      </c>
      <c r="D904" t="inlineStr">
        <is>
          <t>JÄMTLANDS LÄN</t>
        </is>
      </c>
      <c r="E904" t="inlineStr">
        <is>
          <t>RAGUNDA</t>
        </is>
      </c>
      <c r="F904" t="inlineStr">
        <is>
          <t>SCA</t>
        </is>
      </c>
      <c r="G904" t="n">
        <v>1.6</v>
      </c>
      <c r="H904" t="n">
        <v>1</v>
      </c>
      <c r="I904" t="n">
        <v>0</v>
      </c>
      <c r="J904" t="n">
        <v>4</v>
      </c>
      <c r="K904" t="n">
        <v>0</v>
      </c>
      <c r="L904" t="n">
        <v>0</v>
      </c>
      <c r="M904" t="n">
        <v>0</v>
      </c>
      <c r="N904" t="n">
        <v>0</v>
      </c>
      <c r="O904" t="n">
        <v>4</v>
      </c>
      <c r="P904" t="n">
        <v>0</v>
      </c>
      <c r="Q904" t="n">
        <v>4</v>
      </c>
      <c r="R904" s="2" t="inlineStr">
        <is>
          <t>Dvärgbägarlav
Järpe
Kolflarnlav
Vedskivlav</t>
        </is>
      </c>
      <c r="S904">
        <f>HYPERLINK("https://klasma.github.io/Logging_2303/artfynd/A 30483-2024 artfynd.xlsx", "A 30483-2024")</f>
        <v/>
      </c>
      <c r="T904">
        <f>HYPERLINK("https://klasma.github.io/Logging_2303/kartor/A 30483-2024 karta.png", "A 30483-2024")</f>
        <v/>
      </c>
      <c r="V904">
        <f>HYPERLINK("https://klasma.github.io/Logging_2303/klagomål/A 30483-2024 FSC-klagomål.docx", "A 30483-2024")</f>
        <v/>
      </c>
      <c r="W904">
        <f>HYPERLINK("https://klasma.github.io/Logging_2303/klagomålsmail/A 30483-2024 FSC-klagomål mail.docx", "A 30483-2024")</f>
        <v/>
      </c>
      <c r="X904">
        <f>HYPERLINK("https://klasma.github.io/Logging_2303/tillsyn/A 30483-2024 tillsynsbegäran.docx", "A 30483-2024")</f>
        <v/>
      </c>
      <c r="Y904">
        <f>HYPERLINK("https://klasma.github.io/Logging_2303/tillsynsmail/A 30483-2024 tillsynsbegäran mail.docx", "A 30483-2024")</f>
        <v/>
      </c>
      <c r="Z904">
        <f>HYPERLINK("https://klasma.github.io/Logging_2303/fåglar/A 30483-2024 prioriterade fågelarter.docx", "A 30483-2024")</f>
        <v/>
      </c>
    </row>
    <row r="905" ht="15" customHeight="1">
      <c r="A905" t="inlineStr">
        <is>
          <t>A 43620-2023</t>
        </is>
      </c>
      <c r="B905" s="1" t="n">
        <v>45184</v>
      </c>
      <c r="C905" s="1" t="n">
        <v>46045</v>
      </c>
      <c r="D905" t="inlineStr">
        <is>
          <t>JÄMTLANDS LÄN</t>
        </is>
      </c>
      <c r="E905" t="inlineStr">
        <is>
          <t>BRÄCKE</t>
        </is>
      </c>
      <c r="G905" t="n">
        <v>17.8</v>
      </c>
      <c r="H905" t="n">
        <v>0</v>
      </c>
      <c r="I905" t="n">
        <v>2</v>
      </c>
      <c r="J905" t="n">
        <v>2</v>
      </c>
      <c r="K905" t="n">
        <v>0</v>
      </c>
      <c r="L905" t="n">
        <v>0</v>
      </c>
      <c r="M905" t="n">
        <v>0</v>
      </c>
      <c r="N905" t="n">
        <v>0</v>
      </c>
      <c r="O905" t="n">
        <v>2</v>
      </c>
      <c r="P905" t="n">
        <v>0</v>
      </c>
      <c r="Q905" t="n">
        <v>4</v>
      </c>
      <c r="R905" s="2" t="inlineStr">
        <is>
          <t>Lunglav
Skrovellav
Bårdlav
Skinnlav</t>
        </is>
      </c>
      <c r="S905">
        <f>HYPERLINK("https://klasma.github.io/Logging_2305/artfynd/A 43620-2023 artfynd.xlsx", "A 43620-2023")</f>
        <v/>
      </c>
      <c r="T905">
        <f>HYPERLINK("https://klasma.github.io/Logging_2305/kartor/A 43620-2023 karta.png", "A 43620-2023")</f>
        <v/>
      </c>
      <c r="V905">
        <f>HYPERLINK("https://klasma.github.io/Logging_2305/klagomål/A 43620-2023 FSC-klagomål.docx", "A 43620-2023")</f>
        <v/>
      </c>
      <c r="W905">
        <f>HYPERLINK("https://klasma.github.io/Logging_2305/klagomålsmail/A 43620-2023 FSC-klagomål mail.docx", "A 43620-2023")</f>
        <v/>
      </c>
      <c r="X905">
        <f>HYPERLINK("https://klasma.github.io/Logging_2305/tillsyn/A 43620-2023 tillsynsbegäran.docx", "A 43620-2023")</f>
        <v/>
      </c>
      <c r="Y905">
        <f>HYPERLINK("https://klasma.github.io/Logging_2305/tillsynsmail/A 43620-2023 tillsynsbegäran mail.docx", "A 43620-2023")</f>
        <v/>
      </c>
    </row>
    <row r="906" ht="15" customHeight="1">
      <c r="A906" t="inlineStr">
        <is>
          <t>A 42105-2024</t>
        </is>
      </c>
      <c r="B906" s="1" t="n">
        <v>45562.3650462963</v>
      </c>
      <c r="C906" s="1" t="n">
        <v>46045</v>
      </c>
      <c r="D906" t="inlineStr">
        <is>
          <t>JÄMTLANDS LÄN</t>
        </is>
      </c>
      <c r="E906" t="inlineStr">
        <is>
          <t>BRÄCKE</t>
        </is>
      </c>
      <c r="F906" t="inlineStr">
        <is>
          <t>SCA</t>
        </is>
      </c>
      <c r="G906" t="n">
        <v>2.2</v>
      </c>
      <c r="H906" t="n">
        <v>0</v>
      </c>
      <c r="I906" t="n">
        <v>0</v>
      </c>
      <c r="J906" t="n">
        <v>4</v>
      </c>
      <c r="K906" t="n">
        <v>0</v>
      </c>
      <c r="L906" t="n">
        <v>0</v>
      </c>
      <c r="M906" t="n">
        <v>0</v>
      </c>
      <c r="N906" t="n">
        <v>0</v>
      </c>
      <c r="O906" t="n">
        <v>4</v>
      </c>
      <c r="P906" t="n">
        <v>0</v>
      </c>
      <c r="Q906" t="n">
        <v>4</v>
      </c>
      <c r="R906" s="2" t="inlineStr">
        <is>
          <t>Gränsticka
Mörk kolflarnlav
Ullticka
Violettgrå tagellav</t>
        </is>
      </c>
      <c r="S906">
        <f>HYPERLINK("https://klasma.github.io/Logging_2305/artfynd/A 42105-2024 artfynd.xlsx", "A 42105-2024")</f>
        <v/>
      </c>
      <c r="T906">
        <f>HYPERLINK("https://klasma.github.io/Logging_2305/kartor/A 42105-2024 karta.png", "A 42105-2024")</f>
        <v/>
      </c>
      <c r="V906">
        <f>HYPERLINK("https://klasma.github.io/Logging_2305/klagomål/A 42105-2024 FSC-klagomål.docx", "A 42105-2024")</f>
        <v/>
      </c>
      <c r="W906">
        <f>HYPERLINK("https://klasma.github.io/Logging_2305/klagomålsmail/A 42105-2024 FSC-klagomål mail.docx", "A 42105-2024")</f>
        <v/>
      </c>
      <c r="X906">
        <f>HYPERLINK("https://klasma.github.io/Logging_2305/tillsyn/A 42105-2024 tillsynsbegäran.docx", "A 42105-2024")</f>
        <v/>
      </c>
      <c r="Y906">
        <f>HYPERLINK("https://klasma.github.io/Logging_2305/tillsynsmail/A 42105-2024 tillsynsbegäran mail.docx", "A 42105-2024")</f>
        <v/>
      </c>
    </row>
    <row r="907" ht="15" customHeight="1">
      <c r="A907" t="inlineStr">
        <is>
          <t>A 14059-2023</t>
        </is>
      </c>
      <c r="B907" s="1" t="n">
        <v>45007</v>
      </c>
      <c r="C907" s="1" t="n">
        <v>46045</v>
      </c>
      <c r="D907" t="inlineStr">
        <is>
          <t>JÄMTLANDS LÄN</t>
        </is>
      </c>
      <c r="E907" t="inlineStr">
        <is>
          <t>HÄRJEDALEN</t>
        </is>
      </c>
      <c r="F907" t="inlineStr">
        <is>
          <t>Bergvik skog väst AB</t>
        </is>
      </c>
      <c r="G907" t="n">
        <v>21.1</v>
      </c>
      <c r="H907" t="n">
        <v>0</v>
      </c>
      <c r="I907" t="n">
        <v>0</v>
      </c>
      <c r="J907" t="n">
        <v>2</v>
      </c>
      <c r="K907" t="n">
        <v>2</v>
      </c>
      <c r="L907" t="n">
        <v>0</v>
      </c>
      <c r="M907" t="n">
        <v>0</v>
      </c>
      <c r="N907" t="n">
        <v>0</v>
      </c>
      <c r="O907" t="n">
        <v>4</v>
      </c>
      <c r="P907" t="n">
        <v>2</v>
      </c>
      <c r="Q907" t="n">
        <v>4</v>
      </c>
      <c r="R907" s="2" t="inlineStr">
        <is>
          <t>Fläckporing
Gräddporing
Nordtagging
Skrovellav</t>
        </is>
      </c>
      <c r="S907">
        <f>HYPERLINK("https://klasma.github.io/Logging_2361/artfynd/A 14059-2023 artfynd.xlsx", "A 14059-2023")</f>
        <v/>
      </c>
      <c r="T907">
        <f>HYPERLINK("https://klasma.github.io/Logging_2361/kartor/A 14059-2023 karta.png", "A 14059-2023")</f>
        <v/>
      </c>
      <c r="V907">
        <f>HYPERLINK("https://klasma.github.io/Logging_2361/klagomål/A 14059-2023 FSC-klagomål.docx", "A 14059-2023")</f>
        <v/>
      </c>
      <c r="W907">
        <f>HYPERLINK("https://klasma.github.io/Logging_2361/klagomålsmail/A 14059-2023 FSC-klagomål mail.docx", "A 14059-2023")</f>
        <v/>
      </c>
      <c r="X907">
        <f>HYPERLINK("https://klasma.github.io/Logging_2361/tillsyn/A 14059-2023 tillsynsbegäran.docx", "A 14059-2023")</f>
        <v/>
      </c>
      <c r="Y907">
        <f>HYPERLINK("https://klasma.github.io/Logging_2361/tillsynsmail/A 14059-2023 tillsynsbegäran mail.docx", "A 14059-2023")</f>
        <v/>
      </c>
    </row>
    <row r="908" ht="15" customHeight="1">
      <c r="A908" t="inlineStr">
        <is>
          <t>A 7891-2022</t>
        </is>
      </c>
      <c r="B908" s="1" t="n">
        <v>44607</v>
      </c>
      <c r="C908" s="1" t="n">
        <v>46045</v>
      </c>
      <c r="D908" t="inlineStr">
        <is>
          <t>JÄMTLANDS LÄN</t>
        </is>
      </c>
      <c r="E908" t="inlineStr">
        <is>
          <t>BERG</t>
        </is>
      </c>
      <c r="G908" t="n">
        <v>2.5</v>
      </c>
      <c r="H908" t="n">
        <v>3</v>
      </c>
      <c r="I908" t="n">
        <v>0</v>
      </c>
      <c r="J908" t="n">
        <v>1</v>
      </c>
      <c r="K908" t="n">
        <v>1</v>
      </c>
      <c r="L908" t="n">
        <v>0</v>
      </c>
      <c r="M908" t="n">
        <v>0</v>
      </c>
      <c r="N908" t="n">
        <v>0</v>
      </c>
      <c r="O908" t="n">
        <v>2</v>
      </c>
      <c r="P908" t="n">
        <v>1</v>
      </c>
      <c r="Q908" t="n">
        <v>4</v>
      </c>
      <c r="R908" s="2" t="inlineStr">
        <is>
          <t>Knärot
Ullticka
Blåsippa
Revlummer</t>
        </is>
      </c>
      <c r="S908">
        <f>HYPERLINK("https://klasma.github.io/Logging_2326/artfynd/A 7891-2022 artfynd.xlsx", "A 7891-2022")</f>
        <v/>
      </c>
      <c r="T908">
        <f>HYPERLINK("https://klasma.github.io/Logging_2326/kartor/A 7891-2022 karta.png", "A 7891-2022")</f>
        <v/>
      </c>
      <c r="U908">
        <f>HYPERLINK("https://klasma.github.io/Logging_2326/knärot/A 7891-2022 karta knärot.png", "A 7891-2022")</f>
        <v/>
      </c>
      <c r="V908">
        <f>HYPERLINK("https://klasma.github.io/Logging_2326/klagomål/A 7891-2022 FSC-klagomål.docx", "A 7891-2022")</f>
        <v/>
      </c>
      <c r="W908">
        <f>HYPERLINK("https://klasma.github.io/Logging_2326/klagomålsmail/A 7891-2022 FSC-klagomål mail.docx", "A 7891-2022")</f>
        <v/>
      </c>
      <c r="X908">
        <f>HYPERLINK("https://klasma.github.io/Logging_2326/tillsyn/A 7891-2022 tillsynsbegäran.docx", "A 7891-2022")</f>
        <v/>
      </c>
      <c r="Y908">
        <f>HYPERLINK("https://klasma.github.io/Logging_2326/tillsynsmail/A 7891-2022 tillsynsbegäran mail.docx", "A 7891-2022")</f>
        <v/>
      </c>
    </row>
    <row r="909" ht="15" customHeight="1">
      <c r="A909" t="inlineStr">
        <is>
          <t>A 54421-2021</t>
        </is>
      </c>
      <c r="B909" s="1" t="n">
        <v>44473.43114583333</v>
      </c>
      <c r="C909" s="1" t="n">
        <v>46045</v>
      </c>
      <c r="D909" t="inlineStr">
        <is>
          <t>JÄMTLANDS LÄN</t>
        </is>
      </c>
      <c r="E909" t="inlineStr">
        <is>
          <t>ÖSTERSUND</t>
        </is>
      </c>
      <c r="F909" t="inlineStr">
        <is>
          <t>Kommuner</t>
        </is>
      </c>
      <c r="G909" t="n">
        <v>4.6</v>
      </c>
      <c r="H909" t="n">
        <v>2</v>
      </c>
      <c r="I909" t="n">
        <v>1</v>
      </c>
      <c r="J909" t="n">
        <v>2</v>
      </c>
      <c r="K909" t="n">
        <v>0</v>
      </c>
      <c r="L909" t="n">
        <v>0</v>
      </c>
      <c r="M909" t="n">
        <v>0</v>
      </c>
      <c r="N909" t="n">
        <v>0</v>
      </c>
      <c r="O909" t="n">
        <v>2</v>
      </c>
      <c r="P909" t="n">
        <v>0</v>
      </c>
      <c r="Q909" t="n">
        <v>3</v>
      </c>
      <c r="R909" s="2" t="inlineStr">
        <is>
          <t>Granticka
Skogsfru
Spindelblomster</t>
        </is>
      </c>
      <c r="S909">
        <f>HYPERLINK("https://klasma.github.io/Logging_2380/artfynd/A 54421-2021 artfynd.xlsx", "A 54421-2021")</f>
        <v/>
      </c>
      <c r="T909">
        <f>HYPERLINK("https://klasma.github.io/Logging_2380/kartor/A 54421-2021 karta.png", "A 54421-2021")</f>
        <v/>
      </c>
      <c r="U909">
        <f>HYPERLINK("https://klasma.github.io/Logging_2380/knärot/A 54421-2021 karta knärot.png", "A 54421-2021")</f>
        <v/>
      </c>
      <c r="V909">
        <f>HYPERLINK("https://klasma.github.io/Logging_2380/klagomål/A 54421-2021 FSC-klagomål.docx", "A 54421-2021")</f>
        <v/>
      </c>
      <c r="W909">
        <f>HYPERLINK("https://klasma.github.io/Logging_2380/klagomålsmail/A 54421-2021 FSC-klagomål mail.docx", "A 54421-2021")</f>
        <v/>
      </c>
      <c r="X909">
        <f>HYPERLINK("https://klasma.github.io/Logging_2380/tillsyn/A 54421-2021 tillsynsbegäran.docx", "A 54421-2021")</f>
        <v/>
      </c>
      <c r="Y909">
        <f>HYPERLINK("https://klasma.github.io/Logging_2380/tillsynsmail/A 54421-2021 tillsynsbegäran mail.docx", "A 54421-2021")</f>
        <v/>
      </c>
    </row>
    <row r="910" ht="15" customHeight="1">
      <c r="A910" t="inlineStr">
        <is>
          <t>A 28492-2022</t>
        </is>
      </c>
      <c r="B910" s="1" t="n">
        <v>44747</v>
      </c>
      <c r="C910" s="1" t="n">
        <v>46045</v>
      </c>
      <c r="D910" t="inlineStr">
        <is>
          <t>JÄMTLANDS LÄN</t>
        </is>
      </c>
      <c r="E910" t="inlineStr">
        <is>
          <t>STRÖMSUND</t>
        </is>
      </c>
      <c r="F910" t="inlineStr">
        <is>
          <t>SCA</t>
        </is>
      </c>
      <c r="G910" t="n">
        <v>2</v>
      </c>
      <c r="H910" t="n">
        <v>0</v>
      </c>
      <c r="I910" t="n">
        <v>1</v>
      </c>
      <c r="J910" t="n">
        <v>2</v>
      </c>
      <c r="K910" t="n">
        <v>0</v>
      </c>
      <c r="L910" t="n">
        <v>0</v>
      </c>
      <c r="M910" t="n">
        <v>0</v>
      </c>
      <c r="N910" t="n">
        <v>0</v>
      </c>
      <c r="O910" t="n">
        <v>2</v>
      </c>
      <c r="P910" t="n">
        <v>0</v>
      </c>
      <c r="Q910" t="n">
        <v>3</v>
      </c>
      <c r="R910" s="2" t="inlineStr">
        <is>
          <t>Lunglav
Skrovellav
Stuplav</t>
        </is>
      </c>
      <c r="S910">
        <f>HYPERLINK("https://klasma.github.io/Logging_2313/artfynd/A 28492-2022 artfynd.xlsx", "A 28492-2022")</f>
        <v/>
      </c>
      <c r="T910">
        <f>HYPERLINK("https://klasma.github.io/Logging_2313/kartor/A 28492-2022 karta.png", "A 28492-2022")</f>
        <v/>
      </c>
      <c r="V910">
        <f>HYPERLINK("https://klasma.github.io/Logging_2313/klagomål/A 28492-2022 FSC-klagomål.docx", "A 28492-2022")</f>
        <v/>
      </c>
      <c r="W910">
        <f>HYPERLINK("https://klasma.github.io/Logging_2313/klagomålsmail/A 28492-2022 FSC-klagomål mail.docx", "A 28492-2022")</f>
        <v/>
      </c>
      <c r="X910">
        <f>HYPERLINK("https://klasma.github.io/Logging_2313/tillsyn/A 28492-2022 tillsynsbegäran.docx", "A 28492-2022")</f>
        <v/>
      </c>
      <c r="Y910">
        <f>HYPERLINK("https://klasma.github.io/Logging_2313/tillsynsmail/A 28492-2022 tillsynsbegäran mail.docx", "A 28492-2022")</f>
        <v/>
      </c>
    </row>
    <row r="911" ht="15" customHeight="1">
      <c r="A911" t="inlineStr">
        <is>
          <t>A 56222-2021</t>
        </is>
      </c>
      <c r="B911" s="1" t="n">
        <v>44477</v>
      </c>
      <c r="C911" s="1" t="n">
        <v>46045</v>
      </c>
      <c r="D911" t="inlineStr">
        <is>
          <t>JÄMTLANDS LÄN</t>
        </is>
      </c>
      <c r="E911" t="inlineStr">
        <is>
          <t>BRÄCKE</t>
        </is>
      </c>
      <c r="F911" t="inlineStr">
        <is>
          <t>SCA</t>
        </is>
      </c>
      <c r="G911" t="n">
        <v>1.8</v>
      </c>
      <c r="H911" t="n">
        <v>0</v>
      </c>
      <c r="I911" t="n">
        <v>0</v>
      </c>
      <c r="J911" t="n">
        <v>3</v>
      </c>
      <c r="K911" t="n">
        <v>0</v>
      </c>
      <c r="L911" t="n">
        <v>0</v>
      </c>
      <c r="M911" t="n">
        <v>0</v>
      </c>
      <c r="N911" t="n">
        <v>0</v>
      </c>
      <c r="O911" t="n">
        <v>3</v>
      </c>
      <c r="P911" t="n">
        <v>0</v>
      </c>
      <c r="Q911" t="n">
        <v>3</v>
      </c>
      <c r="R911" s="2" t="inlineStr">
        <is>
          <t>Gammelgransskål
Granticka
Ullticka</t>
        </is>
      </c>
      <c r="S911">
        <f>HYPERLINK("https://klasma.github.io/Logging_2305/artfynd/A 56222-2021 artfynd.xlsx", "A 56222-2021")</f>
        <v/>
      </c>
      <c r="T911">
        <f>HYPERLINK("https://klasma.github.io/Logging_2305/kartor/A 56222-2021 karta.png", "A 56222-2021")</f>
        <v/>
      </c>
      <c r="V911">
        <f>HYPERLINK("https://klasma.github.io/Logging_2305/klagomål/A 56222-2021 FSC-klagomål.docx", "A 56222-2021")</f>
        <v/>
      </c>
      <c r="W911">
        <f>HYPERLINK("https://klasma.github.io/Logging_2305/klagomålsmail/A 56222-2021 FSC-klagomål mail.docx", "A 56222-2021")</f>
        <v/>
      </c>
      <c r="X911">
        <f>HYPERLINK("https://klasma.github.io/Logging_2305/tillsyn/A 56222-2021 tillsynsbegäran.docx", "A 56222-2021")</f>
        <v/>
      </c>
      <c r="Y911">
        <f>HYPERLINK("https://klasma.github.io/Logging_2305/tillsynsmail/A 56222-2021 tillsynsbegäran mail.docx", "A 56222-2021")</f>
        <v/>
      </c>
    </row>
    <row r="912" ht="15" customHeight="1">
      <c r="A912" t="inlineStr">
        <is>
          <t>A 55244-2021</t>
        </is>
      </c>
      <c r="B912" s="1" t="n">
        <v>44475</v>
      </c>
      <c r="C912" s="1" t="n">
        <v>46045</v>
      </c>
      <c r="D912" t="inlineStr">
        <is>
          <t>JÄMTLANDS LÄN</t>
        </is>
      </c>
      <c r="E912" t="inlineStr">
        <is>
          <t>HÄRJEDALEN</t>
        </is>
      </c>
      <c r="G912" t="n">
        <v>1.6</v>
      </c>
      <c r="H912" t="n">
        <v>1</v>
      </c>
      <c r="I912" t="n">
        <v>0</v>
      </c>
      <c r="J912" t="n">
        <v>3</v>
      </c>
      <c r="K912" t="n">
        <v>0</v>
      </c>
      <c r="L912" t="n">
        <v>0</v>
      </c>
      <c r="M912" t="n">
        <v>0</v>
      </c>
      <c r="N912" t="n">
        <v>0</v>
      </c>
      <c r="O912" t="n">
        <v>3</v>
      </c>
      <c r="P912" t="n">
        <v>0</v>
      </c>
      <c r="Q912" t="n">
        <v>3</v>
      </c>
      <c r="R912" s="2" t="inlineStr">
        <is>
          <t>Tallticka
Varglav
Vedflamlav</t>
        </is>
      </c>
      <c r="S912">
        <f>HYPERLINK("https://klasma.github.io/Logging_2361/artfynd/A 55244-2021 artfynd.xlsx", "A 55244-2021")</f>
        <v/>
      </c>
      <c r="T912">
        <f>HYPERLINK("https://klasma.github.io/Logging_2361/kartor/A 55244-2021 karta.png", "A 55244-2021")</f>
        <v/>
      </c>
      <c r="V912">
        <f>HYPERLINK("https://klasma.github.io/Logging_2361/klagomål/A 55244-2021 FSC-klagomål.docx", "A 55244-2021")</f>
        <v/>
      </c>
      <c r="W912">
        <f>HYPERLINK("https://klasma.github.io/Logging_2361/klagomålsmail/A 55244-2021 FSC-klagomål mail.docx", "A 55244-2021")</f>
        <v/>
      </c>
      <c r="X912">
        <f>HYPERLINK("https://klasma.github.io/Logging_2361/tillsyn/A 55244-2021 tillsynsbegäran.docx", "A 55244-2021")</f>
        <v/>
      </c>
      <c r="Y912">
        <f>HYPERLINK("https://klasma.github.io/Logging_2361/tillsynsmail/A 55244-2021 tillsynsbegäran mail.docx", "A 55244-2021")</f>
        <v/>
      </c>
    </row>
    <row r="913" ht="15" customHeight="1">
      <c r="A913" t="inlineStr">
        <is>
          <t>A 48052-2022</t>
        </is>
      </c>
      <c r="B913" s="1" t="n">
        <v>44855</v>
      </c>
      <c r="C913" s="1" t="n">
        <v>46045</v>
      </c>
      <c r="D913" t="inlineStr">
        <is>
          <t>JÄMTLANDS LÄN</t>
        </is>
      </c>
      <c r="E913" t="inlineStr">
        <is>
          <t>RAGUNDA</t>
        </is>
      </c>
      <c r="F913" t="inlineStr">
        <is>
          <t>SCA</t>
        </is>
      </c>
      <c r="G913" t="n">
        <v>8.6</v>
      </c>
      <c r="H913" t="n">
        <v>0</v>
      </c>
      <c r="I913" t="n">
        <v>1</v>
      </c>
      <c r="J913" t="n">
        <v>2</v>
      </c>
      <c r="K913" t="n">
        <v>0</v>
      </c>
      <c r="L913" t="n">
        <v>0</v>
      </c>
      <c r="M913" t="n">
        <v>0</v>
      </c>
      <c r="N913" t="n">
        <v>0</v>
      </c>
      <c r="O913" t="n">
        <v>2</v>
      </c>
      <c r="P913" t="n">
        <v>0</v>
      </c>
      <c r="Q913" t="n">
        <v>3</v>
      </c>
      <c r="R913" s="2" t="inlineStr">
        <is>
          <t>Lunglav
Ullticka
Stuplav</t>
        </is>
      </c>
      <c r="S913">
        <f>HYPERLINK("https://klasma.github.io/Logging_2303/artfynd/A 48052-2022 artfynd.xlsx", "A 48052-2022")</f>
        <v/>
      </c>
      <c r="T913">
        <f>HYPERLINK("https://klasma.github.io/Logging_2303/kartor/A 48052-2022 karta.png", "A 48052-2022")</f>
        <v/>
      </c>
      <c r="V913">
        <f>HYPERLINK("https://klasma.github.io/Logging_2303/klagomål/A 48052-2022 FSC-klagomål.docx", "A 48052-2022")</f>
        <v/>
      </c>
      <c r="W913">
        <f>HYPERLINK("https://klasma.github.io/Logging_2303/klagomålsmail/A 48052-2022 FSC-klagomål mail.docx", "A 48052-2022")</f>
        <v/>
      </c>
      <c r="X913">
        <f>HYPERLINK("https://klasma.github.io/Logging_2303/tillsyn/A 48052-2022 tillsynsbegäran.docx", "A 48052-2022")</f>
        <v/>
      </c>
      <c r="Y913">
        <f>HYPERLINK("https://klasma.github.io/Logging_2303/tillsynsmail/A 48052-2022 tillsynsbegäran mail.docx", "A 48052-2022")</f>
        <v/>
      </c>
    </row>
    <row r="914" ht="15" customHeight="1">
      <c r="A914" t="inlineStr">
        <is>
          <t>A 16830-2021</t>
        </is>
      </c>
      <c r="B914" s="1" t="n">
        <v>44293</v>
      </c>
      <c r="C914" s="1" t="n">
        <v>46045</v>
      </c>
      <c r="D914" t="inlineStr">
        <is>
          <t>JÄMTLANDS LÄN</t>
        </is>
      </c>
      <c r="E914" t="inlineStr">
        <is>
          <t>BERG</t>
        </is>
      </c>
      <c r="G914" t="n">
        <v>2</v>
      </c>
      <c r="H914" t="n">
        <v>0</v>
      </c>
      <c r="I914" t="n">
        <v>0</v>
      </c>
      <c r="J914" t="n">
        <v>3</v>
      </c>
      <c r="K914" t="n">
        <v>0</v>
      </c>
      <c r="L914" t="n">
        <v>0</v>
      </c>
      <c r="M914" t="n">
        <v>0</v>
      </c>
      <c r="N914" t="n">
        <v>0</v>
      </c>
      <c r="O914" t="n">
        <v>3</v>
      </c>
      <c r="P914" t="n">
        <v>0</v>
      </c>
      <c r="Q914" t="n">
        <v>3</v>
      </c>
      <c r="R914" s="2" t="inlineStr">
        <is>
          <t>Garnlav
Granticka
Vitgrynig nållav</t>
        </is>
      </c>
      <c r="S914">
        <f>HYPERLINK("https://klasma.github.io/Logging_2326/artfynd/A 16830-2021 artfynd.xlsx", "A 16830-2021")</f>
        <v/>
      </c>
      <c r="T914">
        <f>HYPERLINK("https://klasma.github.io/Logging_2326/kartor/A 16830-2021 karta.png", "A 16830-2021")</f>
        <v/>
      </c>
      <c r="V914">
        <f>HYPERLINK("https://klasma.github.io/Logging_2326/klagomål/A 16830-2021 FSC-klagomål.docx", "A 16830-2021")</f>
        <v/>
      </c>
      <c r="W914">
        <f>HYPERLINK("https://klasma.github.io/Logging_2326/klagomålsmail/A 16830-2021 FSC-klagomål mail.docx", "A 16830-2021")</f>
        <v/>
      </c>
      <c r="X914">
        <f>HYPERLINK("https://klasma.github.io/Logging_2326/tillsyn/A 16830-2021 tillsynsbegäran.docx", "A 16830-2021")</f>
        <v/>
      </c>
      <c r="Y914">
        <f>HYPERLINK("https://klasma.github.io/Logging_2326/tillsynsmail/A 16830-2021 tillsynsbegäran mail.docx", "A 16830-2021")</f>
        <v/>
      </c>
    </row>
    <row r="915" ht="15" customHeight="1">
      <c r="A915" t="inlineStr">
        <is>
          <t>A 45717-2021</t>
        </is>
      </c>
      <c r="B915" s="1" t="n">
        <v>44441</v>
      </c>
      <c r="C915" s="1" t="n">
        <v>46045</v>
      </c>
      <c r="D915" t="inlineStr">
        <is>
          <t>JÄMTLANDS LÄN</t>
        </is>
      </c>
      <c r="E915" t="inlineStr">
        <is>
          <t>HÄRJEDALEN</t>
        </is>
      </c>
      <c r="G915" t="n">
        <v>1</v>
      </c>
      <c r="H915" t="n">
        <v>1</v>
      </c>
      <c r="I915" t="n">
        <v>2</v>
      </c>
      <c r="J915" t="n">
        <v>1</v>
      </c>
      <c r="K915" t="n">
        <v>0</v>
      </c>
      <c r="L915" t="n">
        <v>0</v>
      </c>
      <c r="M915" t="n">
        <v>0</v>
      </c>
      <c r="N915" t="n">
        <v>0</v>
      </c>
      <c r="O915" t="n">
        <v>1</v>
      </c>
      <c r="P915" t="n">
        <v>0</v>
      </c>
      <c r="Q915" t="n">
        <v>3</v>
      </c>
      <c r="R915" s="2" t="inlineStr">
        <is>
          <t>Granticka
Spindelblomster
Ögonpyrola</t>
        </is>
      </c>
      <c r="S915">
        <f>HYPERLINK("https://klasma.github.io/Logging_2361/artfynd/A 45717-2021 artfynd.xlsx", "A 45717-2021")</f>
        <v/>
      </c>
      <c r="T915">
        <f>HYPERLINK("https://klasma.github.io/Logging_2361/kartor/A 45717-2021 karta.png", "A 45717-2021")</f>
        <v/>
      </c>
      <c r="V915">
        <f>HYPERLINK("https://klasma.github.io/Logging_2361/klagomål/A 45717-2021 FSC-klagomål.docx", "A 45717-2021")</f>
        <v/>
      </c>
      <c r="W915">
        <f>HYPERLINK("https://klasma.github.io/Logging_2361/klagomålsmail/A 45717-2021 FSC-klagomål mail.docx", "A 45717-2021")</f>
        <v/>
      </c>
      <c r="X915">
        <f>HYPERLINK("https://klasma.github.io/Logging_2361/tillsyn/A 45717-2021 tillsynsbegäran.docx", "A 45717-2021")</f>
        <v/>
      </c>
      <c r="Y915">
        <f>HYPERLINK("https://klasma.github.io/Logging_2361/tillsynsmail/A 45717-2021 tillsynsbegäran mail.docx", "A 45717-2021")</f>
        <v/>
      </c>
    </row>
    <row r="916" ht="15" customHeight="1">
      <c r="A916" t="inlineStr">
        <is>
          <t>A 62661-2021</t>
        </is>
      </c>
      <c r="B916" s="1" t="n">
        <v>44503</v>
      </c>
      <c r="C916" s="1" t="n">
        <v>46045</v>
      </c>
      <c r="D916" t="inlineStr">
        <is>
          <t>JÄMTLANDS LÄN</t>
        </is>
      </c>
      <c r="E916" t="inlineStr">
        <is>
          <t>BERG</t>
        </is>
      </c>
      <c r="F916" t="inlineStr">
        <is>
          <t>SCA</t>
        </is>
      </c>
      <c r="G916" t="n">
        <v>1.7</v>
      </c>
      <c r="H916" t="n">
        <v>0</v>
      </c>
      <c r="I916" t="n">
        <v>0</v>
      </c>
      <c r="J916" t="n">
        <v>3</v>
      </c>
      <c r="K916" t="n">
        <v>0</v>
      </c>
      <c r="L916" t="n">
        <v>0</v>
      </c>
      <c r="M916" t="n">
        <v>0</v>
      </c>
      <c r="N916" t="n">
        <v>0</v>
      </c>
      <c r="O916" t="n">
        <v>3</v>
      </c>
      <c r="P916" t="n">
        <v>0</v>
      </c>
      <c r="Q916" t="n">
        <v>3</v>
      </c>
      <c r="R916" s="2" t="inlineStr">
        <is>
          <t>Garnlav
Rosenticka
Ullticka</t>
        </is>
      </c>
      <c r="S916">
        <f>HYPERLINK("https://klasma.github.io/Logging_2326/artfynd/A 62661-2021 artfynd.xlsx", "A 62661-2021")</f>
        <v/>
      </c>
      <c r="T916">
        <f>HYPERLINK("https://klasma.github.io/Logging_2326/kartor/A 62661-2021 karta.png", "A 62661-2021")</f>
        <v/>
      </c>
      <c r="V916">
        <f>HYPERLINK("https://klasma.github.io/Logging_2326/klagomål/A 62661-2021 FSC-klagomål.docx", "A 62661-2021")</f>
        <v/>
      </c>
      <c r="W916">
        <f>HYPERLINK("https://klasma.github.io/Logging_2326/klagomålsmail/A 62661-2021 FSC-klagomål mail.docx", "A 62661-2021")</f>
        <v/>
      </c>
      <c r="X916">
        <f>HYPERLINK("https://klasma.github.io/Logging_2326/tillsyn/A 62661-2021 tillsynsbegäran.docx", "A 62661-2021")</f>
        <v/>
      </c>
      <c r="Y916">
        <f>HYPERLINK("https://klasma.github.io/Logging_2326/tillsynsmail/A 62661-2021 tillsynsbegäran mail.docx", "A 62661-2021")</f>
        <v/>
      </c>
    </row>
    <row r="917" ht="15" customHeight="1">
      <c r="A917" t="inlineStr">
        <is>
          <t>A 33577-2021</t>
        </is>
      </c>
      <c r="B917" s="1" t="n">
        <v>44377</v>
      </c>
      <c r="C917" s="1" t="n">
        <v>46045</v>
      </c>
      <c r="D917" t="inlineStr">
        <is>
          <t>JÄMTLANDS LÄN</t>
        </is>
      </c>
      <c r="E917" t="inlineStr">
        <is>
          <t>STRÖMSUND</t>
        </is>
      </c>
      <c r="F917" t="inlineStr">
        <is>
          <t>SCA</t>
        </is>
      </c>
      <c r="G917" t="n">
        <v>6.5</v>
      </c>
      <c r="H917" t="n">
        <v>1</v>
      </c>
      <c r="I917" t="n">
        <v>0</v>
      </c>
      <c r="J917" t="n">
        <v>2</v>
      </c>
      <c r="K917" t="n">
        <v>1</v>
      </c>
      <c r="L917" t="n">
        <v>0</v>
      </c>
      <c r="M917" t="n">
        <v>0</v>
      </c>
      <c r="N917" t="n">
        <v>0</v>
      </c>
      <c r="O917" t="n">
        <v>3</v>
      </c>
      <c r="P917" t="n">
        <v>1</v>
      </c>
      <c r="Q917" t="n">
        <v>3</v>
      </c>
      <c r="R917" s="2" t="inlineStr">
        <is>
          <t>Knärot
Gammelgransskål
Lunglav</t>
        </is>
      </c>
      <c r="S917">
        <f>HYPERLINK("https://klasma.github.io/Logging_2313/artfynd/A 33577-2021 artfynd.xlsx", "A 33577-2021")</f>
        <v/>
      </c>
      <c r="T917">
        <f>HYPERLINK("https://klasma.github.io/Logging_2313/kartor/A 33577-2021 karta.png", "A 33577-2021")</f>
        <v/>
      </c>
      <c r="U917">
        <f>HYPERLINK("https://klasma.github.io/Logging_2313/knärot/A 33577-2021 karta knärot.png", "A 33577-2021")</f>
        <v/>
      </c>
      <c r="V917">
        <f>HYPERLINK("https://klasma.github.io/Logging_2313/klagomål/A 33577-2021 FSC-klagomål.docx", "A 33577-2021")</f>
        <v/>
      </c>
      <c r="W917">
        <f>HYPERLINK("https://klasma.github.io/Logging_2313/klagomålsmail/A 33577-2021 FSC-klagomål mail.docx", "A 33577-2021")</f>
        <v/>
      </c>
      <c r="X917">
        <f>HYPERLINK("https://klasma.github.io/Logging_2313/tillsyn/A 33577-2021 tillsynsbegäran.docx", "A 33577-2021")</f>
        <v/>
      </c>
      <c r="Y917">
        <f>HYPERLINK("https://klasma.github.io/Logging_2313/tillsynsmail/A 33577-2021 tillsynsbegäran mail.docx", "A 33577-2021")</f>
        <v/>
      </c>
    </row>
    <row r="918" ht="15" customHeight="1">
      <c r="A918" t="inlineStr">
        <is>
          <t>A 55394-2021</t>
        </is>
      </c>
      <c r="B918" s="1" t="n">
        <v>44475</v>
      </c>
      <c r="C918" s="1" t="n">
        <v>46045</v>
      </c>
      <c r="D918" t="inlineStr">
        <is>
          <t>JÄMTLANDS LÄN</t>
        </is>
      </c>
      <c r="E918" t="inlineStr">
        <is>
          <t>HÄRJEDALEN</t>
        </is>
      </c>
      <c r="G918" t="n">
        <v>2.7</v>
      </c>
      <c r="H918" t="n">
        <v>1</v>
      </c>
      <c r="I918" t="n">
        <v>0</v>
      </c>
      <c r="J918" t="n">
        <v>3</v>
      </c>
      <c r="K918" t="n">
        <v>0</v>
      </c>
      <c r="L918" t="n">
        <v>0</v>
      </c>
      <c r="M918" t="n">
        <v>0</v>
      </c>
      <c r="N918" t="n">
        <v>0</v>
      </c>
      <c r="O918" t="n">
        <v>3</v>
      </c>
      <c r="P918" t="n">
        <v>0</v>
      </c>
      <c r="Q918" t="n">
        <v>3</v>
      </c>
      <c r="R918" s="2" t="inlineStr">
        <is>
          <t>Blanksvart spiklav
Varglav
Vedflamlav</t>
        </is>
      </c>
      <c r="S918">
        <f>HYPERLINK("https://klasma.github.io/Logging_2361/artfynd/A 55394-2021 artfynd.xlsx", "A 55394-2021")</f>
        <v/>
      </c>
      <c r="T918">
        <f>HYPERLINK("https://klasma.github.io/Logging_2361/kartor/A 55394-2021 karta.png", "A 55394-2021")</f>
        <v/>
      </c>
      <c r="V918">
        <f>HYPERLINK("https://klasma.github.io/Logging_2361/klagomål/A 55394-2021 FSC-klagomål.docx", "A 55394-2021")</f>
        <v/>
      </c>
      <c r="W918">
        <f>HYPERLINK("https://klasma.github.io/Logging_2361/klagomålsmail/A 55394-2021 FSC-klagomål mail.docx", "A 55394-2021")</f>
        <v/>
      </c>
      <c r="X918">
        <f>HYPERLINK("https://klasma.github.io/Logging_2361/tillsyn/A 55394-2021 tillsynsbegäran.docx", "A 55394-2021")</f>
        <v/>
      </c>
      <c r="Y918">
        <f>HYPERLINK("https://klasma.github.io/Logging_2361/tillsynsmail/A 55394-2021 tillsynsbegäran mail.docx", "A 55394-2021")</f>
        <v/>
      </c>
    </row>
    <row r="919" ht="15" customHeight="1">
      <c r="A919" t="inlineStr">
        <is>
          <t>A 55233-2021</t>
        </is>
      </c>
      <c r="B919" s="1" t="n">
        <v>44475</v>
      </c>
      <c r="C919" s="1" t="n">
        <v>46045</v>
      </c>
      <c r="D919" t="inlineStr">
        <is>
          <t>JÄMTLANDS LÄN</t>
        </is>
      </c>
      <c r="E919" t="inlineStr">
        <is>
          <t>HÄRJEDALEN</t>
        </is>
      </c>
      <c r="G919" t="n">
        <v>15.3</v>
      </c>
      <c r="H919" t="n">
        <v>1</v>
      </c>
      <c r="I919" t="n">
        <v>0</v>
      </c>
      <c r="J919" t="n">
        <v>3</v>
      </c>
      <c r="K919" t="n">
        <v>0</v>
      </c>
      <c r="L919" t="n">
        <v>0</v>
      </c>
      <c r="M919" t="n">
        <v>0</v>
      </c>
      <c r="N919" t="n">
        <v>0</v>
      </c>
      <c r="O919" t="n">
        <v>3</v>
      </c>
      <c r="P919" t="n">
        <v>0</v>
      </c>
      <c r="Q919" t="n">
        <v>3</v>
      </c>
      <c r="R919" s="2" t="inlineStr">
        <is>
          <t>Reliktbock
Varglav
Vedflamlav</t>
        </is>
      </c>
      <c r="S919">
        <f>HYPERLINK("https://klasma.github.io/Logging_2361/artfynd/A 55233-2021 artfynd.xlsx", "A 55233-2021")</f>
        <v/>
      </c>
      <c r="T919">
        <f>HYPERLINK("https://klasma.github.io/Logging_2361/kartor/A 55233-2021 karta.png", "A 55233-2021")</f>
        <v/>
      </c>
      <c r="V919">
        <f>HYPERLINK("https://klasma.github.io/Logging_2361/klagomål/A 55233-2021 FSC-klagomål.docx", "A 55233-2021")</f>
        <v/>
      </c>
      <c r="W919">
        <f>HYPERLINK("https://klasma.github.io/Logging_2361/klagomålsmail/A 55233-2021 FSC-klagomål mail.docx", "A 55233-2021")</f>
        <v/>
      </c>
      <c r="X919">
        <f>HYPERLINK("https://klasma.github.io/Logging_2361/tillsyn/A 55233-2021 tillsynsbegäran.docx", "A 55233-2021")</f>
        <v/>
      </c>
      <c r="Y919">
        <f>HYPERLINK("https://klasma.github.io/Logging_2361/tillsynsmail/A 55233-2021 tillsynsbegäran mail.docx", "A 55233-2021")</f>
        <v/>
      </c>
    </row>
    <row r="920" ht="15" customHeight="1">
      <c r="A920" t="inlineStr">
        <is>
          <t>A 22464-2022</t>
        </is>
      </c>
      <c r="B920" s="1" t="n">
        <v>44713</v>
      </c>
      <c r="C920" s="1" t="n">
        <v>46045</v>
      </c>
      <c r="D920" t="inlineStr">
        <is>
          <t>JÄMTLANDS LÄN</t>
        </is>
      </c>
      <c r="E920" t="inlineStr">
        <is>
          <t>HÄRJEDALEN</t>
        </is>
      </c>
      <c r="F920" t="inlineStr">
        <is>
          <t>Sveaskog</t>
        </is>
      </c>
      <c r="G920" t="n">
        <v>4.3</v>
      </c>
      <c r="H920" t="n">
        <v>1</v>
      </c>
      <c r="I920" t="n">
        <v>1</v>
      </c>
      <c r="J920" t="n">
        <v>2</v>
      </c>
      <c r="K920" t="n">
        <v>0</v>
      </c>
      <c r="L920" t="n">
        <v>0</v>
      </c>
      <c r="M920" t="n">
        <v>0</v>
      </c>
      <c r="N920" t="n">
        <v>0</v>
      </c>
      <c r="O920" t="n">
        <v>2</v>
      </c>
      <c r="P920" t="n">
        <v>0</v>
      </c>
      <c r="Q920" t="n">
        <v>3</v>
      </c>
      <c r="R920" s="2" t="inlineStr">
        <is>
          <t>Lunglav
Tretåig hackspett
Dropptaggsvamp</t>
        </is>
      </c>
      <c r="S920">
        <f>HYPERLINK("https://klasma.github.io/Logging_2361/artfynd/A 22464-2022 artfynd.xlsx", "A 22464-2022")</f>
        <v/>
      </c>
      <c r="T920">
        <f>HYPERLINK("https://klasma.github.io/Logging_2361/kartor/A 22464-2022 karta.png", "A 22464-2022")</f>
        <v/>
      </c>
      <c r="U920">
        <f>HYPERLINK("https://klasma.github.io/Logging_2361/knärot/A 22464-2022 karta knärot.png", "A 22464-2022")</f>
        <v/>
      </c>
      <c r="V920">
        <f>HYPERLINK("https://klasma.github.io/Logging_2361/klagomål/A 22464-2022 FSC-klagomål.docx", "A 22464-2022")</f>
        <v/>
      </c>
      <c r="W920">
        <f>HYPERLINK("https://klasma.github.io/Logging_2361/klagomålsmail/A 22464-2022 FSC-klagomål mail.docx", "A 22464-2022")</f>
        <v/>
      </c>
      <c r="X920">
        <f>HYPERLINK("https://klasma.github.io/Logging_2361/tillsyn/A 22464-2022 tillsynsbegäran.docx", "A 22464-2022")</f>
        <v/>
      </c>
      <c r="Y920">
        <f>HYPERLINK("https://klasma.github.io/Logging_2361/tillsynsmail/A 22464-2022 tillsynsbegäran mail.docx", "A 22464-2022")</f>
        <v/>
      </c>
      <c r="Z920">
        <f>HYPERLINK("https://klasma.github.io/Logging_2361/fåglar/A 22464-2022 prioriterade fågelarter.docx", "A 22464-2022")</f>
        <v/>
      </c>
    </row>
    <row r="921" ht="15" customHeight="1">
      <c r="A921" t="inlineStr">
        <is>
          <t>A 25021-2022</t>
        </is>
      </c>
      <c r="B921" s="1" t="n">
        <v>44728</v>
      </c>
      <c r="C921" s="1" t="n">
        <v>46045</v>
      </c>
      <c r="D921" t="inlineStr">
        <is>
          <t>JÄMTLANDS LÄN</t>
        </is>
      </c>
      <c r="E921" t="inlineStr">
        <is>
          <t>STRÖMSUND</t>
        </is>
      </c>
      <c r="F921" t="inlineStr">
        <is>
          <t>SCA</t>
        </is>
      </c>
      <c r="G921" t="n">
        <v>2.4</v>
      </c>
      <c r="H921" t="n">
        <v>1</v>
      </c>
      <c r="I921" t="n">
        <v>0</v>
      </c>
      <c r="J921" t="n">
        <v>2</v>
      </c>
      <c r="K921" t="n">
        <v>1</v>
      </c>
      <c r="L921" t="n">
        <v>0</v>
      </c>
      <c r="M921" t="n">
        <v>0</v>
      </c>
      <c r="N921" t="n">
        <v>0</v>
      </c>
      <c r="O921" t="n">
        <v>3</v>
      </c>
      <c r="P921" t="n">
        <v>1</v>
      </c>
      <c r="Q921" t="n">
        <v>3</v>
      </c>
      <c r="R921" s="2" t="inlineStr">
        <is>
          <t>Knärot
Garnlav
Granticka</t>
        </is>
      </c>
      <c r="S921">
        <f>HYPERLINK("https://klasma.github.io/Logging_2313/artfynd/A 25021-2022 artfynd.xlsx", "A 25021-2022")</f>
        <v/>
      </c>
      <c r="T921">
        <f>HYPERLINK("https://klasma.github.io/Logging_2313/kartor/A 25021-2022 karta.png", "A 25021-2022")</f>
        <v/>
      </c>
      <c r="U921">
        <f>HYPERLINK("https://klasma.github.io/Logging_2313/knärot/A 25021-2022 karta knärot.png", "A 25021-2022")</f>
        <v/>
      </c>
      <c r="V921">
        <f>HYPERLINK("https://klasma.github.io/Logging_2313/klagomål/A 25021-2022 FSC-klagomål.docx", "A 25021-2022")</f>
        <v/>
      </c>
      <c r="W921">
        <f>HYPERLINK("https://klasma.github.io/Logging_2313/klagomålsmail/A 25021-2022 FSC-klagomål mail.docx", "A 25021-2022")</f>
        <v/>
      </c>
      <c r="X921">
        <f>HYPERLINK("https://klasma.github.io/Logging_2313/tillsyn/A 25021-2022 tillsynsbegäran.docx", "A 25021-2022")</f>
        <v/>
      </c>
      <c r="Y921">
        <f>HYPERLINK("https://klasma.github.io/Logging_2313/tillsynsmail/A 25021-2022 tillsynsbegäran mail.docx", "A 25021-2022")</f>
        <v/>
      </c>
    </row>
    <row r="922" ht="15" customHeight="1">
      <c r="A922" t="inlineStr">
        <is>
          <t>A 20070-2022</t>
        </is>
      </c>
      <c r="B922" s="1" t="n">
        <v>44697.94195601852</v>
      </c>
      <c r="C922" s="1" t="n">
        <v>46045</v>
      </c>
      <c r="D922" t="inlineStr">
        <is>
          <t>JÄMTLANDS LÄN</t>
        </is>
      </c>
      <c r="E922" t="inlineStr">
        <is>
          <t>BRÄCKE</t>
        </is>
      </c>
      <c r="F922" t="inlineStr">
        <is>
          <t>SCA</t>
        </is>
      </c>
      <c r="G922" t="n">
        <v>4.9</v>
      </c>
      <c r="H922" t="n">
        <v>3</v>
      </c>
      <c r="I922" t="n">
        <v>1</v>
      </c>
      <c r="J922" t="n">
        <v>1</v>
      </c>
      <c r="K922" t="n">
        <v>0</v>
      </c>
      <c r="L922" t="n">
        <v>0</v>
      </c>
      <c r="M922" t="n">
        <v>0</v>
      </c>
      <c r="N922" t="n">
        <v>0</v>
      </c>
      <c r="O922" t="n">
        <v>1</v>
      </c>
      <c r="P922" t="n">
        <v>0</v>
      </c>
      <c r="Q922" t="n">
        <v>3</v>
      </c>
      <c r="R922" s="2" t="inlineStr">
        <is>
          <t>Talltita
Plattlummer
Lavskrika</t>
        </is>
      </c>
      <c r="S922">
        <f>HYPERLINK("https://klasma.github.io/Logging_2305/artfynd/A 20070-2022 artfynd.xlsx", "A 20070-2022")</f>
        <v/>
      </c>
      <c r="T922">
        <f>HYPERLINK("https://klasma.github.io/Logging_2305/kartor/A 20070-2022 karta.png", "A 20070-2022")</f>
        <v/>
      </c>
      <c r="U922">
        <f>HYPERLINK("https://klasma.github.io/Logging_2305/knärot/A 20070-2022 karta knärot.png", "A 20070-2022")</f>
        <v/>
      </c>
      <c r="V922">
        <f>HYPERLINK("https://klasma.github.io/Logging_2305/klagomål/A 20070-2022 FSC-klagomål.docx", "A 20070-2022")</f>
        <v/>
      </c>
      <c r="W922">
        <f>HYPERLINK("https://klasma.github.io/Logging_2305/klagomålsmail/A 20070-2022 FSC-klagomål mail.docx", "A 20070-2022")</f>
        <v/>
      </c>
      <c r="X922">
        <f>HYPERLINK("https://klasma.github.io/Logging_2305/tillsyn/A 20070-2022 tillsynsbegäran.docx", "A 20070-2022")</f>
        <v/>
      </c>
      <c r="Y922">
        <f>HYPERLINK("https://klasma.github.io/Logging_2305/tillsynsmail/A 20070-2022 tillsynsbegäran mail.docx", "A 20070-2022")</f>
        <v/>
      </c>
      <c r="Z922">
        <f>HYPERLINK("https://klasma.github.io/Logging_2305/fåglar/A 20070-2022 prioriterade fågelarter.docx", "A 20070-2022")</f>
        <v/>
      </c>
    </row>
    <row r="923" ht="15" customHeight="1">
      <c r="A923" t="inlineStr">
        <is>
          <t>A 37061-2021</t>
        </is>
      </c>
      <c r="B923" s="1" t="n">
        <v>44393</v>
      </c>
      <c r="C923" s="1" t="n">
        <v>46045</v>
      </c>
      <c r="D923" t="inlineStr">
        <is>
          <t>JÄMTLANDS LÄN</t>
        </is>
      </c>
      <c r="E923" t="inlineStr">
        <is>
          <t>BRÄCKE</t>
        </is>
      </c>
      <c r="F923" t="inlineStr">
        <is>
          <t>SCA</t>
        </is>
      </c>
      <c r="G923" t="n">
        <v>3.4</v>
      </c>
      <c r="H923" t="n">
        <v>1</v>
      </c>
      <c r="I923" t="n">
        <v>1</v>
      </c>
      <c r="J923" t="n">
        <v>1</v>
      </c>
      <c r="K923" t="n">
        <v>1</v>
      </c>
      <c r="L923" t="n">
        <v>0</v>
      </c>
      <c r="M923" t="n">
        <v>0</v>
      </c>
      <c r="N923" t="n">
        <v>0</v>
      </c>
      <c r="O923" t="n">
        <v>2</v>
      </c>
      <c r="P923" t="n">
        <v>1</v>
      </c>
      <c r="Q923" t="n">
        <v>3</v>
      </c>
      <c r="R923" s="2" t="inlineStr">
        <is>
          <t>Knärot
Lunglav
Stuplav</t>
        </is>
      </c>
      <c r="S923">
        <f>HYPERLINK("https://klasma.github.io/Logging_2305/artfynd/A 37061-2021 artfynd.xlsx", "A 37061-2021")</f>
        <v/>
      </c>
      <c r="T923">
        <f>HYPERLINK("https://klasma.github.io/Logging_2305/kartor/A 37061-2021 karta.png", "A 37061-2021")</f>
        <v/>
      </c>
      <c r="U923">
        <f>HYPERLINK("https://klasma.github.io/Logging_2305/knärot/A 37061-2021 karta knärot.png", "A 37061-2021")</f>
        <v/>
      </c>
      <c r="V923">
        <f>HYPERLINK("https://klasma.github.io/Logging_2305/klagomål/A 37061-2021 FSC-klagomål.docx", "A 37061-2021")</f>
        <v/>
      </c>
      <c r="W923">
        <f>HYPERLINK("https://klasma.github.io/Logging_2305/klagomålsmail/A 37061-2021 FSC-klagomål mail.docx", "A 37061-2021")</f>
        <v/>
      </c>
      <c r="X923">
        <f>HYPERLINK("https://klasma.github.io/Logging_2305/tillsyn/A 37061-2021 tillsynsbegäran.docx", "A 37061-2021")</f>
        <v/>
      </c>
      <c r="Y923">
        <f>HYPERLINK("https://klasma.github.io/Logging_2305/tillsynsmail/A 37061-2021 tillsynsbegäran mail.docx", "A 37061-2021")</f>
        <v/>
      </c>
    </row>
    <row r="924" ht="15" customHeight="1">
      <c r="A924" t="inlineStr">
        <is>
          <t>A 50034-2021</t>
        </is>
      </c>
      <c r="B924" s="1" t="n">
        <v>44456</v>
      </c>
      <c r="C924" s="1" t="n">
        <v>46045</v>
      </c>
      <c r="D924" t="inlineStr">
        <is>
          <t>JÄMTLANDS LÄN</t>
        </is>
      </c>
      <c r="E924" t="inlineStr">
        <is>
          <t>STRÖMSUND</t>
        </is>
      </c>
      <c r="F924" t="inlineStr">
        <is>
          <t>Sveaskog</t>
        </is>
      </c>
      <c r="G924" t="n">
        <v>12.9</v>
      </c>
      <c r="H924" t="n">
        <v>0</v>
      </c>
      <c r="I924" t="n">
        <v>0</v>
      </c>
      <c r="J924" t="n">
        <v>3</v>
      </c>
      <c r="K924" t="n">
        <v>0</v>
      </c>
      <c r="L924" t="n">
        <v>0</v>
      </c>
      <c r="M924" t="n">
        <v>0</v>
      </c>
      <c r="N924" t="n">
        <v>0</v>
      </c>
      <c r="O924" t="n">
        <v>3</v>
      </c>
      <c r="P924" t="n">
        <v>0</v>
      </c>
      <c r="Q924" t="n">
        <v>3</v>
      </c>
      <c r="R924" s="2" t="inlineStr">
        <is>
          <t>Doftskinn
Garnlav
Ullticka</t>
        </is>
      </c>
      <c r="S924">
        <f>HYPERLINK("https://klasma.github.io/Logging_2313/artfynd/A 50034-2021 artfynd.xlsx", "A 50034-2021")</f>
        <v/>
      </c>
      <c r="T924">
        <f>HYPERLINK("https://klasma.github.io/Logging_2313/kartor/A 50034-2021 karta.png", "A 50034-2021")</f>
        <v/>
      </c>
      <c r="V924">
        <f>HYPERLINK("https://klasma.github.io/Logging_2313/klagomål/A 50034-2021 FSC-klagomål.docx", "A 50034-2021")</f>
        <v/>
      </c>
      <c r="W924">
        <f>HYPERLINK("https://klasma.github.io/Logging_2313/klagomålsmail/A 50034-2021 FSC-klagomål mail.docx", "A 50034-2021")</f>
        <v/>
      </c>
      <c r="X924">
        <f>HYPERLINK("https://klasma.github.io/Logging_2313/tillsyn/A 50034-2021 tillsynsbegäran.docx", "A 50034-2021")</f>
        <v/>
      </c>
      <c r="Y924">
        <f>HYPERLINK("https://klasma.github.io/Logging_2313/tillsynsmail/A 50034-2021 tillsynsbegäran mail.docx", "A 50034-2021")</f>
        <v/>
      </c>
    </row>
    <row r="925" ht="15" customHeight="1">
      <c r="A925" t="inlineStr">
        <is>
          <t>A 21006-2022</t>
        </is>
      </c>
      <c r="B925" s="1" t="n">
        <v>44701</v>
      </c>
      <c r="C925" s="1" t="n">
        <v>46045</v>
      </c>
      <c r="D925" t="inlineStr">
        <is>
          <t>JÄMTLANDS LÄN</t>
        </is>
      </c>
      <c r="E925" t="inlineStr">
        <is>
          <t>ÅRE</t>
        </is>
      </c>
      <c r="G925" t="n">
        <v>5.5</v>
      </c>
      <c r="H925" t="n">
        <v>1</v>
      </c>
      <c r="I925" t="n">
        <v>0</v>
      </c>
      <c r="J925" t="n">
        <v>3</v>
      </c>
      <c r="K925" t="n">
        <v>0</v>
      </c>
      <c r="L925" t="n">
        <v>0</v>
      </c>
      <c r="M925" t="n">
        <v>0</v>
      </c>
      <c r="N925" t="n">
        <v>0</v>
      </c>
      <c r="O925" t="n">
        <v>3</v>
      </c>
      <c r="P925" t="n">
        <v>0</v>
      </c>
      <c r="Q925" t="n">
        <v>3</v>
      </c>
      <c r="R925" s="2" t="inlineStr">
        <is>
          <t>Gammelgransskål
Granticka
Tretåig hackspett</t>
        </is>
      </c>
      <c r="S925">
        <f>HYPERLINK("https://klasma.github.io/Logging_2321/artfynd/A 21006-2022 artfynd.xlsx", "A 21006-2022")</f>
        <v/>
      </c>
      <c r="T925">
        <f>HYPERLINK("https://klasma.github.io/Logging_2321/kartor/A 21006-2022 karta.png", "A 21006-2022")</f>
        <v/>
      </c>
      <c r="V925">
        <f>HYPERLINK("https://klasma.github.io/Logging_2321/klagomål/A 21006-2022 FSC-klagomål.docx", "A 21006-2022")</f>
        <v/>
      </c>
      <c r="W925">
        <f>HYPERLINK("https://klasma.github.io/Logging_2321/klagomålsmail/A 21006-2022 FSC-klagomål mail.docx", "A 21006-2022")</f>
        <v/>
      </c>
      <c r="X925">
        <f>HYPERLINK("https://klasma.github.io/Logging_2321/tillsyn/A 21006-2022 tillsynsbegäran.docx", "A 21006-2022")</f>
        <v/>
      </c>
      <c r="Y925">
        <f>HYPERLINK("https://klasma.github.io/Logging_2321/tillsynsmail/A 21006-2022 tillsynsbegäran mail.docx", "A 21006-2022")</f>
        <v/>
      </c>
      <c r="Z925">
        <f>HYPERLINK("https://klasma.github.io/Logging_2321/fåglar/A 21006-2022 prioriterade fågelarter.docx", "A 21006-2022")</f>
        <v/>
      </c>
    </row>
    <row r="926" ht="15" customHeight="1">
      <c r="A926" t="inlineStr">
        <is>
          <t>A 31727-2021</t>
        </is>
      </c>
      <c r="B926" s="1" t="n">
        <v>44369.92025462963</v>
      </c>
      <c r="C926" s="1" t="n">
        <v>46045</v>
      </c>
      <c r="D926" t="inlineStr">
        <is>
          <t>JÄMTLANDS LÄN</t>
        </is>
      </c>
      <c r="E926" t="inlineStr">
        <is>
          <t>RAGUNDA</t>
        </is>
      </c>
      <c r="G926" t="n">
        <v>1</v>
      </c>
      <c r="H926" t="n">
        <v>0</v>
      </c>
      <c r="I926" t="n">
        <v>1</v>
      </c>
      <c r="J926" t="n">
        <v>2</v>
      </c>
      <c r="K926" t="n">
        <v>0</v>
      </c>
      <c r="L926" t="n">
        <v>0</v>
      </c>
      <c r="M926" t="n">
        <v>0</v>
      </c>
      <c r="N926" t="n">
        <v>0</v>
      </c>
      <c r="O926" t="n">
        <v>2</v>
      </c>
      <c r="P926" t="n">
        <v>0</v>
      </c>
      <c r="Q926" t="n">
        <v>3</v>
      </c>
      <c r="R926" s="2" t="inlineStr">
        <is>
          <t>Lunglav
Ullticka
Luddlav</t>
        </is>
      </c>
      <c r="S926">
        <f>HYPERLINK("https://klasma.github.io/Logging_2303/artfynd/A 31727-2021 artfynd.xlsx", "A 31727-2021")</f>
        <v/>
      </c>
      <c r="T926">
        <f>HYPERLINK("https://klasma.github.io/Logging_2303/kartor/A 31727-2021 karta.png", "A 31727-2021")</f>
        <v/>
      </c>
      <c r="V926">
        <f>HYPERLINK("https://klasma.github.io/Logging_2303/klagomål/A 31727-2021 FSC-klagomål.docx", "A 31727-2021")</f>
        <v/>
      </c>
      <c r="W926">
        <f>HYPERLINK("https://klasma.github.io/Logging_2303/klagomålsmail/A 31727-2021 FSC-klagomål mail.docx", "A 31727-2021")</f>
        <v/>
      </c>
      <c r="X926">
        <f>HYPERLINK("https://klasma.github.io/Logging_2303/tillsyn/A 31727-2021 tillsynsbegäran.docx", "A 31727-2021")</f>
        <v/>
      </c>
      <c r="Y926">
        <f>HYPERLINK("https://klasma.github.io/Logging_2303/tillsynsmail/A 31727-2021 tillsynsbegäran mail.docx", "A 31727-2021")</f>
        <v/>
      </c>
    </row>
    <row r="927" ht="15" customHeight="1">
      <c r="A927" t="inlineStr">
        <is>
          <t>A 44428-2022</t>
        </is>
      </c>
      <c r="B927" s="1" t="n">
        <v>44839</v>
      </c>
      <c r="C927" s="1" t="n">
        <v>46045</v>
      </c>
      <c r="D927" t="inlineStr">
        <is>
          <t>JÄMTLANDS LÄN</t>
        </is>
      </c>
      <c r="E927" t="inlineStr">
        <is>
          <t>BRÄCKE</t>
        </is>
      </c>
      <c r="F927" t="inlineStr">
        <is>
          <t>SCA</t>
        </is>
      </c>
      <c r="G927" t="n">
        <v>4.3</v>
      </c>
      <c r="H927" t="n">
        <v>0</v>
      </c>
      <c r="I927" t="n">
        <v>2</v>
      </c>
      <c r="J927" t="n">
        <v>1</v>
      </c>
      <c r="K927" t="n">
        <v>0</v>
      </c>
      <c r="L927" t="n">
        <v>0</v>
      </c>
      <c r="M927" t="n">
        <v>0</v>
      </c>
      <c r="N927" t="n">
        <v>0</v>
      </c>
      <c r="O927" t="n">
        <v>1</v>
      </c>
      <c r="P927" t="n">
        <v>0</v>
      </c>
      <c r="Q927" t="n">
        <v>3</v>
      </c>
      <c r="R927" s="2" t="inlineStr">
        <is>
          <t>Motaggsvamp
Dropptaggsvamp
Skinnlav</t>
        </is>
      </c>
      <c r="S927">
        <f>HYPERLINK("https://klasma.github.io/Logging_2305/artfynd/A 44428-2022 artfynd.xlsx", "A 44428-2022")</f>
        <v/>
      </c>
      <c r="T927">
        <f>HYPERLINK("https://klasma.github.io/Logging_2305/kartor/A 44428-2022 karta.png", "A 44428-2022")</f>
        <v/>
      </c>
      <c r="V927">
        <f>HYPERLINK("https://klasma.github.io/Logging_2305/klagomål/A 44428-2022 FSC-klagomål.docx", "A 44428-2022")</f>
        <v/>
      </c>
      <c r="W927">
        <f>HYPERLINK("https://klasma.github.io/Logging_2305/klagomålsmail/A 44428-2022 FSC-klagomål mail.docx", "A 44428-2022")</f>
        <v/>
      </c>
      <c r="X927">
        <f>HYPERLINK("https://klasma.github.io/Logging_2305/tillsyn/A 44428-2022 tillsynsbegäran.docx", "A 44428-2022")</f>
        <v/>
      </c>
      <c r="Y927">
        <f>HYPERLINK("https://klasma.github.io/Logging_2305/tillsynsmail/A 44428-2022 tillsynsbegäran mail.docx", "A 44428-2022")</f>
        <v/>
      </c>
    </row>
    <row r="928" ht="15" customHeight="1">
      <c r="A928" t="inlineStr">
        <is>
          <t>A 10773-2021</t>
        </is>
      </c>
      <c r="B928" s="1" t="n">
        <v>44259</v>
      </c>
      <c r="C928" s="1" t="n">
        <v>46045</v>
      </c>
      <c r="D928" t="inlineStr">
        <is>
          <t>JÄMTLANDS LÄN</t>
        </is>
      </c>
      <c r="E928" t="inlineStr">
        <is>
          <t>ÅRE</t>
        </is>
      </c>
      <c r="G928" t="n">
        <v>22.9</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HYPERLINK("https://klasma.github.io/Logging_2321/artfynd/A 10773-2021 artfynd.xlsx", "A 10773-2021")</f>
        <v/>
      </c>
      <c r="T928">
        <f>HYPERLINK("https://klasma.github.io/Logging_2321/kartor/A 10773-2021 karta.png", "A 10773-2021")</f>
        <v/>
      </c>
      <c r="V928">
        <f>HYPERLINK("https://klasma.github.io/Logging_2321/klagomål/A 10773-2021 FSC-klagomål.docx", "A 10773-2021")</f>
        <v/>
      </c>
      <c r="W928">
        <f>HYPERLINK("https://klasma.github.io/Logging_2321/klagomålsmail/A 10773-2021 FSC-klagomål mail.docx", "A 10773-2021")</f>
        <v/>
      </c>
      <c r="X928">
        <f>HYPERLINK("https://klasma.github.io/Logging_2321/tillsyn/A 10773-2021 tillsynsbegäran.docx", "A 10773-2021")</f>
        <v/>
      </c>
      <c r="Y928">
        <f>HYPERLINK("https://klasma.github.io/Logging_2321/tillsynsmail/A 10773-2021 tillsynsbegäran mail.docx", "A 10773-2021")</f>
        <v/>
      </c>
      <c r="Z928">
        <f>HYPERLINK("https://klasma.github.io/Logging_2321/fåglar/A 10773-2021 prioriterade fågelarter.docx", "A 10773-2021")</f>
        <v/>
      </c>
    </row>
    <row r="929" ht="15" customHeight="1">
      <c r="A929" t="inlineStr">
        <is>
          <t>A 22730-2023</t>
        </is>
      </c>
      <c r="B929" s="1" t="n">
        <v>45071</v>
      </c>
      <c r="C929" s="1" t="n">
        <v>46045</v>
      </c>
      <c r="D929" t="inlineStr">
        <is>
          <t>JÄMTLANDS LÄN</t>
        </is>
      </c>
      <c r="E929" t="inlineStr">
        <is>
          <t>RAGUNDA</t>
        </is>
      </c>
      <c r="G929" t="n">
        <v>3.6</v>
      </c>
      <c r="H929" t="n">
        <v>0</v>
      </c>
      <c r="I929" t="n">
        <v>0</v>
      </c>
      <c r="J929" t="n">
        <v>3</v>
      </c>
      <c r="K929" t="n">
        <v>0</v>
      </c>
      <c r="L929" t="n">
        <v>0</v>
      </c>
      <c r="M929" t="n">
        <v>0</v>
      </c>
      <c r="N929" t="n">
        <v>0</v>
      </c>
      <c r="O929" t="n">
        <v>3</v>
      </c>
      <c r="P929" t="n">
        <v>0</v>
      </c>
      <c r="Q929" t="n">
        <v>3</v>
      </c>
      <c r="R929" s="2" t="inlineStr">
        <is>
          <t>Garnlav
Lunglav
Vitgrynig nållav</t>
        </is>
      </c>
      <c r="S929">
        <f>HYPERLINK("https://klasma.github.io/Logging_2303/artfynd/A 22730-2023 artfynd.xlsx", "A 22730-2023")</f>
        <v/>
      </c>
      <c r="T929">
        <f>HYPERLINK("https://klasma.github.io/Logging_2303/kartor/A 22730-2023 karta.png", "A 22730-2023")</f>
        <v/>
      </c>
      <c r="V929">
        <f>HYPERLINK("https://klasma.github.io/Logging_2303/klagomål/A 22730-2023 FSC-klagomål.docx", "A 22730-2023")</f>
        <v/>
      </c>
      <c r="W929">
        <f>HYPERLINK("https://klasma.github.io/Logging_2303/klagomålsmail/A 22730-2023 FSC-klagomål mail.docx", "A 22730-2023")</f>
        <v/>
      </c>
      <c r="X929">
        <f>HYPERLINK("https://klasma.github.io/Logging_2303/tillsyn/A 22730-2023 tillsynsbegäran.docx", "A 22730-2023")</f>
        <v/>
      </c>
      <c r="Y929">
        <f>HYPERLINK("https://klasma.github.io/Logging_2303/tillsynsmail/A 22730-2023 tillsynsbegäran mail.docx", "A 22730-2023")</f>
        <v/>
      </c>
    </row>
    <row r="930" ht="15" customHeight="1">
      <c r="A930" t="inlineStr">
        <is>
          <t>A 2554-2022</t>
        </is>
      </c>
      <c r="B930" s="1" t="n">
        <v>44579</v>
      </c>
      <c r="C930" s="1" t="n">
        <v>46045</v>
      </c>
      <c r="D930" t="inlineStr">
        <is>
          <t>JÄMTLANDS LÄN</t>
        </is>
      </c>
      <c r="E930" t="inlineStr">
        <is>
          <t>STRÖMSUND</t>
        </is>
      </c>
      <c r="G930" t="n">
        <v>5</v>
      </c>
      <c r="H930" t="n">
        <v>1</v>
      </c>
      <c r="I930" t="n">
        <v>0</v>
      </c>
      <c r="J930" t="n">
        <v>3</v>
      </c>
      <c r="K930" t="n">
        <v>0</v>
      </c>
      <c r="L930" t="n">
        <v>0</v>
      </c>
      <c r="M930" t="n">
        <v>0</v>
      </c>
      <c r="N930" t="n">
        <v>0</v>
      </c>
      <c r="O930" t="n">
        <v>3</v>
      </c>
      <c r="P930" t="n">
        <v>0</v>
      </c>
      <c r="Q930" t="n">
        <v>3</v>
      </c>
      <c r="R930" s="2" t="inlineStr">
        <is>
          <t>Lunglav
Tretåig hackspett
Ullticka</t>
        </is>
      </c>
      <c r="S930">
        <f>HYPERLINK("https://klasma.github.io/Logging_2313/artfynd/A 2554-2022 artfynd.xlsx", "A 2554-2022")</f>
        <v/>
      </c>
      <c r="T930">
        <f>HYPERLINK("https://klasma.github.io/Logging_2313/kartor/A 2554-2022 karta.png", "A 2554-2022")</f>
        <v/>
      </c>
      <c r="V930">
        <f>HYPERLINK("https://klasma.github.io/Logging_2313/klagomål/A 2554-2022 FSC-klagomål.docx", "A 2554-2022")</f>
        <v/>
      </c>
      <c r="W930">
        <f>HYPERLINK("https://klasma.github.io/Logging_2313/klagomålsmail/A 2554-2022 FSC-klagomål mail.docx", "A 2554-2022")</f>
        <v/>
      </c>
      <c r="X930">
        <f>HYPERLINK("https://klasma.github.io/Logging_2313/tillsyn/A 2554-2022 tillsynsbegäran.docx", "A 2554-2022")</f>
        <v/>
      </c>
      <c r="Y930">
        <f>HYPERLINK("https://klasma.github.io/Logging_2313/tillsynsmail/A 2554-2022 tillsynsbegäran mail.docx", "A 2554-2022")</f>
        <v/>
      </c>
      <c r="Z930">
        <f>HYPERLINK("https://klasma.github.io/Logging_2313/fåglar/A 2554-2022 prioriterade fågelarter.docx", "A 2554-2022")</f>
        <v/>
      </c>
    </row>
    <row r="931" ht="15" customHeight="1">
      <c r="A931" t="inlineStr">
        <is>
          <t>A 12737-2025</t>
        </is>
      </c>
      <c r="B931" s="1" t="n">
        <v>45733</v>
      </c>
      <c r="C931" s="1" t="n">
        <v>46045</v>
      </c>
      <c r="D931" t="inlineStr">
        <is>
          <t>JÄMTLANDS LÄN</t>
        </is>
      </c>
      <c r="E931" t="inlineStr">
        <is>
          <t>RAGUNDA</t>
        </is>
      </c>
      <c r="G931" t="n">
        <v>16.1</v>
      </c>
      <c r="H931" t="n">
        <v>2</v>
      </c>
      <c r="I931" t="n">
        <v>2</v>
      </c>
      <c r="J931" t="n">
        <v>0</v>
      </c>
      <c r="K931" t="n">
        <v>1</v>
      </c>
      <c r="L931" t="n">
        <v>0</v>
      </c>
      <c r="M931" t="n">
        <v>0</v>
      </c>
      <c r="N931" t="n">
        <v>0</v>
      </c>
      <c r="O931" t="n">
        <v>1</v>
      </c>
      <c r="P931" t="n">
        <v>1</v>
      </c>
      <c r="Q931" t="n">
        <v>3</v>
      </c>
      <c r="R931" s="2" t="inlineStr">
        <is>
          <t>Knärot
Plattlummer
Skarp dropptaggsvamp</t>
        </is>
      </c>
      <c r="S931">
        <f>HYPERLINK("https://klasma.github.io/Logging_2303/artfynd/A 12737-2025 artfynd.xlsx", "A 12737-2025")</f>
        <v/>
      </c>
      <c r="T931">
        <f>HYPERLINK("https://klasma.github.io/Logging_2303/kartor/A 12737-2025 karta.png", "A 12737-2025")</f>
        <v/>
      </c>
      <c r="U931">
        <f>HYPERLINK("https://klasma.github.io/Logging_2303/knärot/A 12737-2025 karta knärot.png", "A 12737-2025")</f>
        <v/>
      </c>
      <c r="V931">
        <f>HYPERLINK("https://klasma.github.io/Logging_2303/klagomål/A 12737-2025 FSC-klagomål.docx", "A 12737-2025")</f>
        <v/>
      </c>
      <c r="W931">
        <f>HYPERLINK("https://klasma.github.io/Logging_2303/klagomålsmail/A 12737-2025 FSC-klagomål mail.docx", "A 12737-2025")</f>
        <v/>
      </c>
      <c r="X931">
        <f>HYPERLINK("https://klasma.github.io/Logging_2303/tillsyn/A 12737-2025 tillsynsbegäran.docx", "A 12737-2025")</f>
        <v/>
      </c>
      <c r="Y931">
        <f>HYPERLINK("https://klasma.github.io/Logging_2303/tillsynsmail/A 12737-2025 tillsynsbegäran mail.docx", "A 12737-2025")</f>
        <v/>
      </c>
    </row>
    <row r="932" ht="15" customHeight="1">
      <c r="A932" t="inlineStr">
        <is>
          <t>A 14533-2025</t>
        </is>
      </c>
      <c r="B932" s="1" t="n">
        <v>45741.65703703704</v>
      </c>
      <c r="C932" s="1" t="n">
        <v>46045</v>
      </c>
      <c r="D932" t="inlineStr">
        <is>
          <t>JÄMTLANDS LÄN</t>
        </is>
      </c>
      <c r="E932" t="inlineStr">
        <is>
          <t>STRÖMSUND</t>
        </is>
      </c>
      <c r="F932" t="inlineStr">
        <is>
          <t>SCA</t>
        </is>
      </c>
      <c r="G932" t="n">
        <v>4.1</v>
      </c>
      <c r="H932" t="n">
        <v>0</v>
      </c>
      <c r="I932" t="n">
        <v>0</v>
      </c>
      <c r="J932" t="n">
        <v>3</v>
      </c>
      <c r="K932" t="n">
        <v>0</v>
      </c>
      <c r="L932" t="n">
        <v>0</v>
      </c>
      <c r="M932" t="n">
        <v>0</v>
      </c>
      <c r="N932" t="n">
        <v>0</v>
      </c>
      <c r="O932" t="n">
        <v>3</v>
      </c>
      <c r="P932" t="n">
        <v>0</v>
      </c>
      <c r="Q932" t="n">
        <v>3</v>
      </c>
      <c r="R932" s="2" t="inlineStr">
        <is>
          <t>Granticka
Lunglav
Vitgrynig nållav</t>
        </is>
      </c>
      <c r="S932">
        <f>HYPERLINK("https://klasma.github.io/Logging_2313/artfynd/A 14533-2025 artfynd.xlsx", "A 14533-2025")</f>
        <v/>
      </c>
      <c r="T932">
        <f>HYPERLINK("https://klasma.github.io/Logging_2313/kartor/A 14533-2025 karta.png", "A 14533-2025")</f>
        <v/>
      </c>
      <c r="V932">
        <f>HYPERLINK("https://klasma.github.io/Logging_2313/klagomål/A 14533-2025 FSC-klagomål.docx", "A 14533-2025")</f>
        <v/>
      </c>
      <c r="W932">
        <f>HYPERLINK("https://klasma.github.io/Logging_2313/klagomålsmail/A 14533-2025 FSC-klagomål mail.docx", "A 14533-2025")</f>
        <v/>
      </c>
      <c r="X932">
        <f>HYPERLINK("https://klasma.github.io/Logging_2313/tillsyn/A 14533-2025 tillsynsbegäran.docx", "A 14533-2025")</f>
        <v/>
      </c>
      <c r="Y932">
        <f>HYPERLINK("https://klasma.github.io/Logging_2313/tillsynsmail/A 14533-2025 tillsynsbegäran mail.docx", "A 14533-2025")</f>
        <v/>
      </c>
    </row>
    <row r="933" ht="15" customHeight="1">
      <c r="A933" t="inlineStr">
        <is>
          <t>A 23729-2023</t>
        </is>
      </c>
      <c r="B933" s="1" t="n">
        <v>45072</v>
      </c>
      <c r="C933" s="1" t="n">
        <v>46045</v>
      </c>
      <c r="D933" t="inlineStr">
        <is>
          <t>JÄMTLANDS LÄN</t>
        </is>
      </c>
      <c r="E933" t="inlineStr">
        <is>
          <t>ÅRE</t>
        </is>
      </c>
      <c r="G933" t="n">
        <v>4.3</v>
      </c>
      <c r="H933" t="n">
        <v>1</v>
      </c>
      <c r="I933" t="n">
        <v>0</v>
      </c>
      <c r="J933" t="n">
        <v>3</v>
      </c>
      <c r="K933" t="n">
        <v>0</v>
      </c>
      <c r="L933" t="n">
        <v>0</v>
      </c>
      <c r="M933" t="n">
        <v>0</v>
      </c>
      <c r="N933" t="n">
        <v>0</v>
      </c>
      <c r="O933" t="n">
        <v>3</v>
      </c>
      <c r="P933" t="n">
        <v>0</v>
      </c>
      <c r="Q933" t="n">
        <v>3</v>
      </c>
      <c r="R933" s="2" t="inlineStr">
        <is>
          <t>Granticka
Lunglav
Tretåig hackspett</t>
        </is>
      </c>
      <c r="S933">
        <f>HYPERLINK("https://klasma.github.io/Logging_2321/artfynd/A 23729-2023 artfynd.xlsx", "A 23729-2023")</f>
        <v/>
      </c>
      <c r="T933">
        <f>HYPERLINK("https://klasma.github.io/Logging_2321/kartor/A 23729-2023 karta.png", "A 23729-2023")</f>
        <v/>
      </c>
      <c r="V933">
        <f>HYPERLINK("https://klasma.github.io/Logging_2321/klagomål/A 23729-2023 FSC-klagomål.docx", "A 23729-2023")</f>
        <v/>
      </c>
      <c r="W933">
        <f>HYPERLINK("https://klasma.github.io/Logging_2321/klagomålsmail/A 23729-2023 FSC-klagomål mail.docx", "A 23729-2023")</f>
        <v/>
      </c>
      <c r="X933">
        <f>HYPERLINK("https://klasma.github.io/Logging_2321/tillsyn/A 23729-2023 tillsynsbegäran.docx", "A 23729-2023")</f>
        <v/>
      </c>
      <c r="Y933">
        <f>HYPERLINK("https://klasma.github.io/Logging_2321/tillsynsmail/A 23729-2023 tillsynsbegäran mail.docx", "A 23729-2023")</f>
        <v/>
      </c>
      <c r="Z933">
        <f>HYPERLINK("https://klasma.github.io/Logging_2321/fåglar/A 23729-2023 prioriterade fågelarter.docx", "A 23729-2023")</f>
        <v/>
      </c>
    </row>
    <row r="934" ht="15" customHeight="1">
      <c r="A934" t="inlineStr">
        <is>
          <t>A 14218-2021</t>
        </is>
      </c>
      <c r="B934" s="1" t="n">
        <v>44277</v>
      </c>
      <c r="C934" s="1" t="n">
        <v>46045</v>
      </c>
      <c r="D934" t="inlineStr">
        <is>
          <t>JÄMTLANDS LÄN</t>
        </is>
      </c>
      <c r="E934" t="inlineStr">
        <is>
          <t>BERG</t>
        </is>
      </c>
      <c r="G934" t="n">
        <v>19.9</v>
      </c>
      <c r="H934" t="n">
        <v>1</v>
      </c>
      <c r="I934" t="n">
        <v>0</v>
      </c>
      <c r="J934" t="n">
        <v>2</v>
      </c>
      <c r="K934" t="n">
        <v>1</v>
      </c>
      <c r="L934" t="n">
        <v>0</v>
      </c>
      <c r="M934" t="n">
        <v>0</v>
      </c>
      <c r="N934" t="n">
        <v>0</v>
      </c>
      <c r="O934" t="n">
        <v>3</v>
      </c>
      <c r="P934" t="n">
        <v>1</v>
      </c>
      <c r="Q934" t="n">
        <v>3</v>
      </c>
      <c r="R934" s="2" t="inlineStr">
        <is>
          <t>Sprickporing
Tretåig hackspett
Ullticka</t>
        </is>
      </c>
      <c r="S934">
        <f>HYPERLINK("https://klasma.github.io/Logging_2326/artfynd/A 14218-2021 artfynd.xlsx", "A 14218-2021")</f>
        <v/>
      </c>
      <c r="T934">
        <f>HYPERLINK("https://klasma.github.io/Logging_2326/kartor/A 14218-2021 karta.png", "A 14218-2021")</f>
        <v/>
      </c>
      <c r="V934">
        <f>HYPERLINK("https://klasma.github.io/Logging_2326/klagomål/A 14218-2021 FSC-klagomål.docx", "A 14218-2021")</f>
        <v/>
      </c>
      <c r="W934">
        <f>HYPERLINK("https://klasma.github.io/Logging_2326/klagomålsmail/A 14218-2021 FSC-klagomål mail.docx", "A 14218-2021")</f>
        <v/>
      </c>
      <c r="X934">
        <f>HYPERLINK("https://klasma.github.io/Logging_2326/tillsyn/A 14218-2021 tillsynsbegäran.docx", "A 14218-2021")</f>
        <v/>
      </c>
      <c r="Y934">
        <f>HYPERLINK("https://klasma.github.io/Logging_2326/tillsynsmail/A 14218-2021 tillsynsbegäran mail.docx", "A 14218-2021")</f>
        <v/>
      </c>
      <c r="Z934">
        <f>HYPERLINK("https://klasma.github.io/Logging_2326/fåglar/A 14218-2021 prioriterade fågelarter.docx", "A 14218-2021")</f>
        <v/>
      </c>
    </row>
    <row r="935" ht="15" customHeight="1">
      <c r="A935" t="inlineStr">
        <is>
          <t>A 35925-2024</t>
        </is>
      </c>
      <c r="B935" s="1" t="n">
        <v>45533.43868055556</v>
      </c>
      <c r="C935" s="1" t="n">
        <v>46045</v>
      </c>
      <c r="D935" t="inlineStr">
        <is>
          <t>JÄMTLANDS LÄN</t>
        </is>
      </c>
      <c r="E935" t="inlineStr">
        <is>
          <t>BERG</t>
        </is>
      </c>
      <c r="G935" t="n">
        <v>21.3</v>
      </c>
      <c r="H935" t="n">
        <v>0</v>
      </c>
      <c r="I935" t="n">
        <v>1</v>
      </c>
      <c r="J935" t="n">
        <v>2</v>
      </c>
      <c r="K935" t="n">
        <v>0</v>
      </c>
      <c r="L935" t="n">
        <v>0</v>
      </c>
      <c r="M935" t="n">
        <v>0</v>
      </c>
      <c r="N935" t="n">
        <v>0</v>
      </c>
      <c r="O935" t="n">
        <v>2</v>
      </c>
      <c r="P935" t="n">
        <v>0</v>
      </c>
      <c r="Q935" t="n">
        <v>3</v>
      </c>
      <c r="R935" s="2" t="inlineStr">
        <is>
          <t>Lunglav
Parknål
Bårdlav</t>
        </is>
      </c>
      <c r="S935">
        <f>HYPERLINK("https://klasma.github.io/Logging_2326/artfynd/A 35925-2024 artfynd.xlsx", "A 35925-2024")</f>
        <v/>
      </c>
      <c r="T935">
        <f>HYPERLINK("https://klasma.github.io/Logging_2326/kartor/A 35925-2024 karta.png", "A 35925-2024")</f>
        <v/>
      </c>
      <c r="V935">
        <f>HYPERLINK("https://klasma.github.io/Logging_2326/klagomål/A 35925-2024 FSC-klagomål.docx", "A 35925-2024")</f>
        <v/>
      </c>
      <c r="W935">
        <f>HYPERLINK("https://klasma.github.io/Logging_2326/klagomålsmail/A 35925-2024 FSC-klagomål mail.docx", "A 35925-2024")</f>
        <v/>
      </c>
      <c r="X935">
        <f>HYPERLINK("https://klasma.github.io/Logging_2326/tillsyn/A 35925-2024 tillsynsbegäran.docx", "A 35925-2024")</f>
        <v/>
      </c>
      <c r="Y935">
        <f>HYPERLINK("https://klasma.github.io/Logging_2326/tillsynsmail/A 35925-2024 tillsynsbegäran mail.docx", "A 35925-2024")</f>
        <v/>
      </c>
    </row>
    <row r="936" ht="15" customHeight="1">
      <c r="A936" t="inlineStr">
        <is>
          <t>A 54494-2023</t>
        </is>
      </c>
      <c r="B936" s="1" t="n">
        <v>45233</v>
      </c>
      <c r="C936" s="1" t="n">
        <v>46045</v>
      </c>
      <c r="D936" t="inlineStr">
        <is>
          <t>JÄMTLANDS LÄN</t>
        </is>
      </c>
      <c r="E936" t="inlineStr">
        <is>
          <t>KROKOM</t>
        </is>
      </c>
      <c r="G936" t="n">
        <v>6.2</v>
      </c>
      <c r="H936" t="n">
        <v>1</v>
      </c>
      <c r="I936" t="n">
        <v>2</v>
      </c>
      <c r="J936" t="n">
        <v>0</v>
      </c>
      <c r="K936" t="n">
        <v>0</v>
      </c>
      <c r="L936" t="n">
        <v>0</v>
      </c>
      <c r="M936" t="n">
        <v>0</v>
      </c>
      <c r="N936" t="n">
        <v>0</v>
      </c>
      <c r="O936" t="n">
        <v>0</v>
      </c>
      <c r="P936" t="n">
        <v>0</v>
      </c>
      <c r="Q936" t="n">
        <v>3</v>
      </c>
      <c r="R936" s="2" t="inlineStr">
        <is>
          <t>Finbräken
Tibast
Blåsippa</t>
        </is>
      </c>
      <c r="S936">
        <f>HYPERLINK("https://klasma.github.io/Logging_2309/artfynd/A 54494-2023 artfynd.xlsx", "A 54494-2023")</f>
        <v/>
      </c>
      <c r="T936">
        <f>HYPERLINK("https://klasma.github.io/Logging_2309/kartor/A 54494-2023 karta.png", "A 54494-2023")</f>
        <v/>
      </c>
      <c r="V936">
        <f>HYPERLINK("https://klasma.github.io/Logging_2309/klagomål/A 54494-2023 FSC-klagomål.docx", "A 54494-2023")</f>
        <v/>
      </c>
      <c r="W936">
        <f>HYPERLINK("https://klasma.github.io/Logging_2309/klagomålsmail/A 54494-2023 FSC-klagomål mail.docx", "A 54494-2023")</f>
        <v/>
      </c>
      <c r="X936">
        <f>HYPERLINK("https://klasma.github.io/Logging_2309/tillsyn/A 54494-2023 tillsynsbegäran.docx", "A 54494-2023")</f>
        <v/>
      </c>
      <c r="Y936">
        <f>HYPERLINK("https://klasma.github.io/Logging_2309/tillsynsmail/A 54494-2023 tillsynsbegäran mail.docx", "A 54494-2023")</f>
        <v/>
      </c>
    </row>
    <row r="937" ht="15" customHeight="1">
      <c r="A937" t="inlineStr">
        <is>
          <t>A 9922-2024</t>
        </is>
      </c>
      <c r="B937" s="1" t="n">
        <v>45363</v>
      </c>
      <c r="C937" s="1" t="n">
        <v>46045</v>
      </c>
      <c r="D937" t="inlineStr">
        <is>
          <t>JÄMTLANDS LÄN</t>
        </is>
      </c>
      <c r="E937" t="inlineStr">
        <is>
          <t>STRÖMSUND</t>
        </is>
      </c>
      <c r="F937" t="inlineStr">
        <is>
          <t>Holmen skog AB</t>
        </is>
      </c>
      <c r="G937" t="n">
        <v>10.8</v>
      </c>
      <c r="H937" t="n">
        <v>0</v>
      </c>
      <c r="I937" t="n">
        <v>1</v>
      </c>
      <c r="J937" t="n">
        <v>2</v>
      </c>
      <c r="K937" t="n">
        <v>0</v>
      </c>
      <c r="L937" t="n">
        <v>0</v>
      </c>
      <c r="M937" t="n">
        <v>0</v>
      </c>
      <c r="N937" t="n">
        <v>0</v>
      </c>
      <c r="O937" t="n">
        <v>2</v>
      </c>
      <c r="P937" t="n">
        <v>0</v>
      </c>
      <c r="Q937" t="n">
        <v>3</v>
      </c>
      <c r="R937" s="2" t="inlineStr">
        <is>
          <t>Kolflarnlav
Vaddporing
Dropptaggsvamp</t>
        </is>
      </c>
      <c r="S937">
        <f>HYPERLINK("https://klasma.github.io/Logging_2313/artfynd/A 9922-2024 artfynd.xlsx", "A 9922-2024")</f>
        <v/>
      </c>
      <c r="T937">
        <f>HYPERLINK("https://klasma.github.io/Logging_2313/kartor/A 9922-2024 karta.png", "A 9922-2024")</f>
        <v/>
      </c>
      <c r="V937">
        <f>HYPERLINK("https://klasma.github.io/Logging_2313/klagomål/A 9922-2024 FSC-klagomål.docx", "A 9922-2024")</f>
        <v/>
      </c>
      <c r="W937">
        <f>HYPERLINK("https://klasma.github.io/Logging_2313/klagomålsmail/A 9922-2024 FSC-klagomål mail.docx", "A 9922-2024")</f>
        <v/>
      </c>
      <c r="X937">
        <f>HYPERLINK("https://klasma.github.io/Logging_2313/tillsyn/A 9922-2024 tillsynsbegäran.docx", "A 9922-2024")</f>
        <v/>
      </c>
      <c r="Y937">
        <f>HYPERLINK("https://klasma.github.io/Logging_2313/tillsynsmail/A 9922-2024 tillsynsbegäran mail.docx", "A 9922-2024")</f>
        <v/>
      </c>
    </row>
    <row r="938" ht="15" customHeight="1">
      <c r="A938" t="inlineStr">
        <is>
          <t>A 12019-2022</t>
        </is>
      </c>
      <c r="B938" s="1" t="n">
        <v>44635</v>
      </c>
      <c r="C938" s="1" t="n">
        <v>46045</v>
      </c>
      <c r="D938" t="inlineStr">
        <is>
          <t>JÄMTLANDS LÄN</t>
        </is>
      </c>
      <c r="E938" t="inlineStr">
        <is>
          <t>STRÖMSUND</t>
        </is>
      </c>
      <c r="F938" t="inlineStr">
        <is>
          <t>SCA</t>
        </is>
      </c>
      <c r="G938" t="n">
        <v>3.1</v>
      </c>
      <c r="H938" t="n">
        <v>1</v>
      </c>
      <c r="I938" t="n">
        <v>1</v>
      </c>
      <c r="J938" t="n">
        <v>1</v>
      </c>
      <c r="K938" t="n">
        <v>0</v>
      </c>
      <c r="L938" t="n">
        <v>0</v>
      </c>
      <c r="M938" t="n">
        <v>0</v>
      </c>
      <c r="N938" t="n">
        <v>0</v>
      </c>
      <c r="O938" t="n">
        <v>1</v>
      </c>
      <c r="P938" t="n">
        <v>0</v>
      </c>
      <c r="Q938" t="n">
        <v>3</v>
      </c>
      <c r="R938" s="2" t="inlineStr">
        <is>
          <t>Harticka
Kransrams
Fläcknycklar</t>
        </is>
      </c>
      <c r="S938">
        <f>HYPERLINK("https://klasma.github.io/Logging_2313/artfynd/A 12019-2022 artfynd.xlsx", "A 12019-2022")</f>
        <v/>
      </c>
      <c r="T938">
        <f>HYPERLINK("https://klasma.github.io/Logging_2313/kartor/A 12019-2022 karta.png", "A 12019-2022")</f>
        <v/>
      </c>
      <c r="V938">
        <f>HYPERLINK("https://klasma.github.io/Logging_2313/klagomål/A 12019-2022 FSC-klagomål.docx", "A 12019-2022")</f>
        <v/>
      </c>
      <c r="W938">
        <f>HYPERLINK("https://klasma.github.io/Logging_2313/klagomålsmail/A 12019-2022 FSC-klagomål mail.docx", "A 12019-2022")</f>
        <v/>
      </c>
      <c r="X938">
        <f>HYPERLINK("https://klasma.github.io/Logging_2313/tillsyn/A 12019-2022 tillsynsbegäran.docx", "A 12019-2022")</f>
        <v/>
      </c>
      <c r="Y938">
        <f>HYPERLINK("https://klasma.github.io/Logging_2313/tillsynsmail/A 12019-2022 tillsynsbegäran mail.docx", "A 12019-2022")</f>
        <v/>
      </c>
    </row>
    <row r="939" ht="15" customHeight="1">
      <c r="A939" t="inlineStr">
        <is>
          <t>A 14814-2024</t>
        </is>
      </c>
      <c r="B939" s="1" t="n">
        <v>45397.95748842593</v>
      </c>
      <c r="C939" s="1" t="n">
        <v>46045</v>
      </c>
      <c r="D939" t="inlineStr">
        <is>
          <t>JÄMTLANDS LÄN</t>
        </is>
      </c>
      <c r="E939" t="inlineStr">
        <is>
          <t>RAGUNDA</t>
        </is>
      </c>
      <c r="F939" t="inlineStr">
        <is>
          <t>SCA</t>
        </is>
      </c>
      <c r="G939" t="n">
        <v>10.5</v>
      </c>
      <c r="H939" t="n">
        <v>0</v>
      </c>
      <c r="I939" t="n">
        <v>2</v>
      </c>
      <c r="J939" t="n">
        <v>1</v>
      </c>
      <c r="K939" t="n">
        <v>0</v>
      </c>
      <c r="L939" t="n">
        <v>0</v>
      </c>
      <c r="M939" t="n">
        <v>0</v>
      </c>
      <c r="N939" t="n">
        <v>0</v>
      </c>
      <c r="O939" t="n">
        <v>1</v>
      </c>
      <c r="P939" t="n">
        <v>0</v>
      </c>
      <c r="Q939" t="n">
        <v>3</v>
      </c>
      <c r="R939" s="2" t="inlineStr">
        <is>
          <t>Rosenticka
Svart trolldruva
Tibast</t>
        </is>
      </c>
      <c r="S939">
        <f>HYPERLINK("https://klasma.github.io/Logging_2303/artfynd/A 14814-2024 artfynd.xlsx", "A 14814-2024")</f>
        <v/>
      </c>
      <c r="T939">
        <f>HYPERLINK("https://klasma.github.io/Logging_2303/kartor/A 14814-2024 karta.png", "A 14814-2024")</f>
        <v/>
      </c>
      <c r="V939">
        <f>HYPERLINK("https://klasma.github.io/Logging_2303/klagomål/A 14814-2024 FSC-klagomål.docx", "A 14814-2024")</f>
        <v/>
      </c>
      <c r="W939">
        <f>HYPERLINK("https://klasma.github.io/Logging_2303/klagomålsmail/A 14814-2024 FSC-klagomål mail.docx", "A 14814-2024")</f>
        <v/>
      </c>
      <c r="X939">
        <f>HYPERLINK("https://klasma.github.io/Logging_2303/tillsyn/A 14814-2024 tillsynsbegäran.docx", "A 14814-2024")</f>
        <v/>
      </c>
      <c r="Y939">
        <f>HYPERLINK("https://klasma.github.io/Logging_2303/tillsynsmail/A 14814-2024 tillsynsbegäran mail.docx", "A 14814-2024")</f>
        <v/>
      </c>
    </row>
    <row r="940" ht="15" customHeight="1">
      <c r="A940" t="inlineStr">
        <is>
          <t>A 23638-2023</t>
        </is>
      </c>
      <c r="B940" s="1" t="n">
        <v>45072</v>
      </c>
      <c r="C940" s="1" t="n">
        <v>46045</v>
      </c>
      <c r="D940" t="inlineStr">
        <is>
          <t>JÄMTLANDS LÄN</t>
        </is>
      </c>
      <c r="E940" t="inlineStr">
        <is>
          <t>ÅRE</t>
        </is>
      </c>
      <c r="G940" t="n">
        <v>11.2</v>
      </c>
      <c r="H940" t="n">
        <v>1</v>
      </c>
      <c r="I940" t="n">
        <v>0</v>
      </c>
      <c r="J940" t="n">
        <v>3</v>
      </c>
      <c r="K940" t="n">
        <v>0</v>
      </c>
      <c r="L940" t="n">
        <v>0</v>
      </c>
      <c r="M940" t="n">
        <v>0</v>
      </c>
      <c r="N940" t="n">
        <v>0</v>
      </c>
      <c r="O940" t="n">
        <v>3</v>
      </c>
      <c r="P940" t="n">
        <v>0</v>
      </c>
      <c r="Q940" t="n">
        <v>3</v>
      </c>
      <c r="R940" s="2" t="inlineStr">
        <is>
          <t>Garnlav
Granticka
Tretåig hackspett</t>
        </is>
      </c>
      <c r="S940">
        <f>HYPERLINK("https://klasma.github.io/Logging_2321/artfynd/A 23638-2023 artfynd.xlsx", "A 23638-2023")</f>
        <v/>
      </c>
      <c r="T940">
        <f>HYPERLINK("https://klasma.github.io/Logging_2321/kartor/A 23638-2023 karta.png", "A 23638-2023")</f>
        <v/>
      </c>
      <c r="V940">
        <f>HYPERLINK("https://klasma.github.io/Logging_2321/klagomål/A 23638-2023 FSC-klagomål.docx", "A 23638-2023")</f>
        <v/>
      </c>
      <c r="W940">
        <f>HYPERLINK("https://klasma.github.io/Logging_2321/klagomålsmail/A 23638-2023 FSC-klagomål mail.docx", "A 23638-2023")</f>
        <v/>
      </c>
      <c r="X940">
        <f>HYPERLINK("https://klasma.github.io/Logging_2321/tillsyn/A 23638-2023 tillsynsbegäran.docx", "A 23638-2023")</f>
        <v/>
      </c>
      <c r="Y940">
        <f>HYPERLINK("https://klasma.github.io/Logging_2321/tillsynsmail/A 23638-2023 tillsynsbegäran mail.docx", "A 23638-2023")</f>
        <v/>
      </c>
      <c r="Z940">
        <f>HYPERLINK("https://klasma.github.io/Logging_2321/fåglar/A 23638-2023 prioriterade fågelarter.docx", "A 23638-2023")</f>
        <v/>
      </c>
    </row>
    <row r="941" ht="15" customHeight="1">
      <c r="A941" t="inlineStr">
        <is>
          <t>A 43161-2022</t>
        </is>
      </c>
      <c r="B941" s="1" t="n">
        <v>44833</v>
      </c>
      <c r="C941" s="1" t="n">
        <v>46045</v>
      </c>
      <c r="D941" t="inlineStr">
        <is>
          <t>JÄMTLANDS LÄN</t>
        </is>
      </c>
      <c r="E941" t="inlineStr">
        <is>
          <t>STRÖMSUND</t>
        </is>
      </c>
      <c r="F941" t="inlineStr">
        <is>
          <t>SCA</t>
        </is>
      </c>
      <c r="G941" t="n">
        <v>5.5</v>
      </c>
      <c r="H941" t="n">
        <v>0</v>
      </c>
      <c r="I941" t="n">
        <v>1</v>
      </c>
      <c r="J941" t="n">
        <v>2</v>
      </c>
      <c r="K941" t="n">
        <v>0</v>
      </c>
      <c r="L941" t="n">
        <v>0</v>
      </c>
      <c r="M941" t="n">
        <v>0</v>
      </c>
      <c r="N941" t="n">
        <v>0</v>
      </c>
      <c r="O941" t="n">
        <v>2</v>
      </c>
      <c r="P941" t="n">
        <v>0</v>
      </c>
      <c r="Q941" t="n">
        <v>3</v>
      </c>
      <c r="R941" s="2" t="inlineStr">
        <is>
          <t>Harticka
Lunglav
Kransrams</t>
        </is>
      </c>
      <c r="S941">
        <f>HYPERLINK("https://klasma.github.io/Logging_2313/artfynd/A 43161-2022 artfynd.xlsx", "A 43161-2022")</f>
        <v/>
      </c>
      <c r="T941">
        <f>HYPERLINK("https://klasma.github.io/Logging_2313/kartor/A 43161-2022 karta.png", "A 43161-2022")</f>
        <v/>
      </c>
      <c r="V941">
        <f>HYPERLINK("https://klasma.github.io/Logging_2313/klagomål/A 43161-2022 FSC-klagomål.docx", "A 43161-2022")</f>
        <v/>
      </c>
      <c r="W941">
        <f>HYPERLINK("https://klasma.github.io/Logging_2313/klagomålsmail/A 43161-2022 FSC-klagomål mail.docx", "A 43161-2022")</f>
        <v/>
      </c>
      <c r="X941">
        <f>HYPERLINK("https://klasma.github.io/Logging_2313/tillsyn/A 43161-2022 tillsynsbegäran.docx", "A 43161-2022")</f>
        <v/>
      </c>
      <c r="Y941">
        <f>HYPERLINK("https://klasma.github.io/Logging_2313/tillsynsmail/A 43161-2022 tillsynsbegäran mail.docx", "A 43161-2022")</f>
        <v/>
      </c>
    </row>
    <row r="942" ht="15" customHeight="1">
      <c r="A942" t="inlineStr">
        <is>
          <t>A 51663-2022</t>
        </is>
      </c>
      <c r="B942" s="1" t="n">
        <v>44867</v>
      </c>
      <c r="C942" s="1" t="n">
        <v>46045</v>
      </c>
      <c r="D942" t="inlineStr">
        <is>
          <t>JÄMTLANDS LÄN</t>
        </is>
      </c>
      <c r="E942" t="inlineStr">
        <is>
          <t>KROKOM</t>
        </is>
      </c>
      <c r="G942" t="n">
        <v>28.5</v>
      </c>
      <c r="H942" t="n">
        <v>1</v>
      </c>
      <c r="I942" t="n">
        <v>0</v>
      </c>
      <c r="J942" t="n">
        <v>3</v>
      </c>
      <c r="K942" t="n">
        <v>0</v>
      </c>
      <c r="L942" t="n">
        <v>0</v>
      </c>
      <c r="M942" t="n">
        <v>0</v>
      </c>
      <c r="N942" t="n">
        <v>0</v>
      </c>
      <c r="O942" t="n">
        <v>3</v>
      </c>
      <c r="P942" t="n">
        <v>0</v>
      </c>
      <c r="Q942" t="n">
        <v>3</v>
      </c>
      <c r="R942" s="2" t="inlineStr">
        <is>
          <t>Garnlav
Granticka
Tretåig hackspett</t>
        </is>
      </c>
      <c r="S942">
        <f>HYPERLINK("https://klasma.github.io/Logging_2309/artfynd/A 51663-2022 artfynd.xlsx", "A 51663-2022")</f>
        <v/>
      </c>
      <c r="T942">
        <f>HYPERLINK("https://klasma.github.io/Logging_2309/kartor/A 51663-2022 karta.png", "A 51663-2022")</f>
        <v/>
      </c>
      <c r="V942">
        <f>HYPERLINK("https://klasma.github.io/Logging_2309/klagomål/A 51663-2022 FSC-klagomål.docx", "A 51663-2022")</f>
        <v/>
      </c>
      <c r="W942">
        <f>HYPERLINK("https://klasma.github.io/Logging_2309/klagomålsmail/A 51663-2022 FSC-klagomål mail.docx", "A 51663-2022")</f>
        <v/>
      </c>
      <c r="X942">
        <f>HYPERLINK("https://klasma.github.io/Logging_2309/tillsyn/A 51663-2022 tillsynsbegäran.docx", "A 51663-2022")</f>
        <v/>
      </c>
      <c r="Y942">
        <f>HYPERLINK("https://klasma.github.io/Logging_2309/tillsynsmail/A 51663-2022 tillsynsbegäran mail.docx", "A 51663-2022")</f>
        <v/>
      </c>
      <c r="Z942">
        <f>HYPERLINK("https://klasma.github.io/Logging_2309/fåglar/A 51663-2022 prioriterade fågelarter.docx", "A 51663-2022")</f>
        <v/>
      </c>
    </row>
    <row r="943" ht="15" customHeight="1">
      <c r="A943" t="inlineStr">
        <is>
          <t>A 60565-2022</t>
        </is>
      </c>
      <c r="B943" s="1" t="n">
        <v>44904</v>
      </c>
      <c r="C943" s="1" t="n">
        <v>46045</v>
      </c>
      <c r="D943" t="inlineStr">
        <is>
          <t>JÄMTLANDS LÄN</t>
        </is>
      </c>
      <c r="E943" t="inlineStr">
        <is>
          <t>ÖSTERSUND</t>
        </is>
      </c>
      <c r="G943" t="n">
        <v>2.5</v>
      </c>
      <c r="H943" t="n">
        <v>2</v>
      </c>
      <c r="I943" t="n">
        <v>0</v>
      </c>
      <c r="J943" t="n">
        <v>2</v>
      </c>
      <c r="K943" t="n">
        <v>0</v>
      </c>
      <c r="L943" t="n">
        <v>0</v>
      </c>
      <c r="M943" t="n">
        <v>0</v>
      </c>
      <c r="N943" t="n">
        <v>0</v>
      </c>
      <c r="O943" t="n">
        <v>2</v>
      </c>
      <c r="P943" t="n">
        <v>0</v>
      </c>
      <c r="Q943" t="n">
        <v>3</v>
      </c>
      <c r="R943" s="2" t="inlineStr">
        <is>
          <t>Garnlav
Talltita
Revlummer</t>
        </is>
      </c>
      <c r="S943">
        <f>HYPERLINK("https://klasma.github.io/Logging_2380/artfynd/A 60565-2022 artfynd.xlsx", "A 60565-2022")</f>
        <v/>
      </c>
      <c r="T943">
        <f>HYPERLINK("https://klasma.github.io/Logging_2380/kartor/A 60565-2022 karta.png", "A 60565-2022")</f>
        <v/>
      </c>
      <c r="V943">
        <f>HYPERLINK("https://klasma.github.io/Logging_2380/klagomål/A 60565-2022 FSC-klagomål.docx", "A 60565-2022")</f>
        <v/>
      </c>
      <c r="W943">
        <f>HYPERLINK("https://klasma.github.io/Logging_2380/klagomålsmail/A 60565-2022 FSC-klagomål mail.docx", "A 60565-2022")</f>
        <v/>
      </c>
      <c r="X943">
        <f>HYPERLINK("https://klasma.github.io/Logging_2380/tillsyn/A 60565-2022 tillsynsbegäran.docx", "A 60565-2022")</f>
        <v/>
      </c>
      <c r="Y943">
        <f>HYPERLINK("https://klasma.github.io/Logging_2380/tillsynsmail/A 60565-2022 tillsynsbegäran mail.docx", "A 60565-2022")</f>
        <v/>
      </c>
      <c r="Z943">
        <f>HYPERLINK("https://klasma.github.io/Logging_2380/fåglar/A 60565-2022 prioriterade fågelarter.docx", "A 60565-2022")</f>
        <v/>
      </c>
    </row>
    <row r="944" ht="15" customHeight="1">
      <c r="A944" t="inlineStr">
        <is>
          <t>A 48054-2022</t>
        </is>
      </c>
      <c r="B944" s="1" t="n">
        <v>44855</v>
      </c>
      <c r="C944" s="1" t="n">
        <v>46045</v>
      </c>
      <c r="D944" t="inlineStr">
        <is>
          <t>JÄMTLANDS LÄN</t>
        </is>
      </c>
      <c r="E944" t="inlineStr">
        <is>
          <t>RAGUNDA</t>
        </is>
      </c>
      <c r="F944" t="inlineStr">
        <is>
          <t>SCA</t>
        </is>
      </c>
      <c r="G944" t="n">
        <v>1.5</v>
      </c>
      <c r="H944" t="n">
        <v>2</v>
      </c>
      <c r="I944" t="n">
        <v>0</v>
      </c>
      <c r="J944" t="n">
        <v>1</v>
      </c>
      <c r="K944" t="n">
        <v>1</v>
      </c>
      <c r="L944" t="n">
        <v>0</v>
      </c>
      <c r="M944" t="n">
        <v>0</v>
      </c>
      <c r="N944" t="n">
        <v>0</v>
      </c>
      <c r="O944" t="n">
        <v>2</v>
      </c>
      <c r="P944" t="n">
        <v>1</v>
      </c>
      <c r="Q944" t="n">
        <v>3</v>
      </c>
      <c r="R944" s="2" t="inlineStr">
        <is>
          <t>Knärot
Lunglav
Blåsippa</t>
        </is>
      </c>
      <c r="S944">
        <f>HYPERLINK("https://klasma.github.io/Logging_2303/artfynd/A 48054-2022 artfynd.xlsx", "A 48054-2022")</f>
        <v/>
      </c>
      <c r="T944">
        <f>HYPERLINK("https://klasma.github.io/Logging_2303/kartor/A 48054-2022 karta.png", "A 48054-2022")</f>
        <v/>
      </c>
      <c r="U944">
        <f>HYPERLINK("https://klasma.github.io/Logging_2303/knärot/A 48054-2022 karta knärot.png", "A 48054-2022")</f>
        <v/>
      </c>
      <c r="V944">
        <f>HYPERLINK("https://klasma.github.io/Logging_2303/klagomål/A 48054-2022 FSC-klagomål.docx", "A 48054-2022")</f>
        <v/>
      </c>
      <c r="W944">
        <f>HYPERLINK("https://klasma.github.io/Logging_2303/klagomålsmail/A 48054-2022 FSC-klagomål mail.docx", "A 48054-2022")</f>
        <v/>
      </c>
      <c r="X944">
        <f>HYPERLINK("https://klasma.github.io/Logging_2303/tillsyn/A 48054-2022 tillsynsbegäran.docx", "A 48054-2022")</f>
        <v/>
      </c>
      <c r="Y944">
        <f>HYPERLINK("https://klasma.github.io/Logging_2303/tillsynsmail/A 48054-2022 tillsynsbegäran mail.docx", "A 48054-2022")</f>
        <v/>
      </c>
    </row>
    <row r="945" ht="15" customHeight="1">
      <c r="A945" t="inlineStr">
        <is>
          <t>A 61790-2023</t>
        </is>
      </c>
      <c r="B945" s="1" t="n">
        <v>45265</v>
      </c>
      <c r="C945" s="1" t="n">
        <v>46045</v>
      </c>
      <c r="D945" t="inlineStr">
        <is>
          <t>JÄMTLANDS LÄN</t>
        </is>
      </c>
      <c r="E945" t="inlineStr">
        <is>
          <t>RAGUNDA</t>
        </is>
      </c>
      <c r="F945" t="inlineStr">
        <is>
          <t>SCA</t>
        </is>
      </c>
      <c r="G945" t="n">
        <v>6.1</v>
      </c>
      <c r="H945" t="n">
        <v>0</v>
      </c>
      <c r="I945" t="n">
        <v>0</v>
      </c>
      <c r="J945" t="n">
        <v>3</v>
      </c>
      <c r="K945" t="n">
        <v>0</v>
      </c>
      <c r="L945" t="n">
        <v>0</v>
      </c>
      <c r="M945" t="n">
        <v>0</v>
      </c>
      <c r="N945" t="n">
        <v>0</v>
      </c>
      <c r="O945" t="n">
        <v>3</v>
      </c>
      <c r="P945" t="n">
        <v>0</v>
      </c>
      <c r="Q945" t="n">
        <v>3</v>
      </c>
      <c r="R945" s="2" t="inlineStr">
        <is>
          <t>Gammelgransskål
Lunglav
Skrovellav</t>
        </is>
      </c>
      <c r="S945">
        <f>HYPERLINK("https://klasma.github.io/Logging_2303/artfynd/A 61790-2023 artfynd.xlsx", "A 61790-2023")</f>
        <v/>
      </c>
      <c r="T945">
        <f>HYPERLINK("https://klasma.github.io/Logging_2303/kartor/A 61790-2023 karta.png", "A 61790-2023")</f>
        <v/>
      </c>
      <c r="V945">
        <f>HYPERLINK("https://klasma.github.io/Logging_2303/klagomål/A 61790-2023 FSC-klagomål.docx", "A 61790-2023")</f>
        <v/>
      </c>
      <c r="W945">
        <f>HYPERLINK("https://klasma.github.io/Logging_2303/klagomålsmail/A 61790-2023 FSC-klagomål mail.docx", "A 61790-2023")</f>
        <v/>
      </c>
      <c r="X945">
        <f>HYPERLINK("https://klasma.github.io/Logging_2303/tillsyn/A 61790-2023 tillsynsbegäran.docx", "A 61790-2023")</f>
        <v/>
      </c>
      <c r="Y945">
        <f>HYPERLINK("https://klasma.github.io/Logging_2303/tillsynsmail/A 61790-2023 tillsynsbegäran mail.docx", "A 61790-2023")</f>
        <v/>
      </c>
    </row>
    <row r="946" ht="15" customHeight="1">
      <c r="A946" t="inlineStr">
        <is>
          <t>A 68433-2021</t>
        </is>
      </c>
      <c r="B946" s="1" t="n">
        <v>44529</v>
      </c>
      <c r="C946" s="1" t="n">
        <v>46045</v>
      </c>
      <c r="D946" t="inlineStr">
        <is>
          <t>JÄMTLANDS LÄN</t>
        </is>
      </c>
      <c r="E946" t="inlineStr">
        <is>
          <t>BERG</t>
        </is>
      </c>
      <c r="G946" t="n">
        <v>17.9</v>
      </c>
      <c r="H946" t="n">
        <v>0</v>
      </c>
      <c r="I946" t="n">
        <v>0</v>
      </c>
      <c r="J946" t="n">
        <v>3</v>
      </c>
      <c r="K946" t="n">
        <v>0</v>
      </c>
      <c r="L946" t="n">
        <v>0</v>
      </c>
      <c r="M946" t="n">
        <v>0</v>
      </c>
      <c r="N946" t="n">
        <v>0</v>
      </c>
      <c r="O946" t="n">
        <v>3</v>
      </c>
      <c r="P946" t="n">
        <v>0</v>
      </c>
      <c r="Q946" t="n">
        <v>3</v>
      </c>
      <c r="R946" s="2" t="inlineStr">
        <is>
          <t>Doftskinn
Vaddporing
Vedskivlav</t>
        </is>
      </c>
      <c r="S946">
        <f>HYPERLINK("https://klasma.github.io/Logging_2326/artfynd/A 68433-2021 artfynd.xlsx", "A 68433-2021")</f>
        <v/>
      </c>
      <c r="T946">
        <f>HYPERLINK("https://klasma.github.io/Logging_2326/kartor/A 68433-2021 karta.png", "A 68433-2021")</f>
        <v/>
      </c>
      <c r="V946">
        <f>HYPERLINK("https://klasma.github.io/Logging_2326/klagomål/A 68433-2021 FSC-klagomål.docx", "A 68433-2021")</f>
        <v/>
      </c>
      <c r="W946">
        <f>HYPERLINK("https://klasma.github.io/Logging_2326/klagomålsmail/A 68433-2021 FSC-klagomål mail.docx", "A 68433-2021")</f>
        <v/>
      </c>
      <c r="X946">
        <f>HYPERLINK("https://klasma.github.io/Logging_2326/tillsyn/A 68433-2021 tillsynsbegäran.docx", "A 68433-2021")</f>
        <v/>
      </c>
      <c r="Y946">
        <f>HYPERLINK("https://klasma.github.io/Logging_2326/tillsynsmail/A 68433-2021 tillsynsbegäran mail.docx", "A 68433-2021")</f>
        <v/>
      </c>
    </row>
    <row r="947" ht="15" customHeight="1">
      <c r="A947" t="inlineStr">
        <is>
          <t>A 38966-2025</t>
        </is>
      </c>
      <c r="B947" s="1" t="n">
        <v>45887.6989699074</v>
      </c>
      <c r="C947" s="1" t="n">
        <v>46045</v>
      </c>
      <c r="D947" t="inlineStr">
        <is>
          <t>JÄMTLANDS LÄN</t>
        </is>
      </c>
      <c r="E947" t="inlineStr">
        <is>
          <t>KROKOM</t>
        </is>
      </c>
      <c r="G947" t="n">
        <v>8.199999999999999</v>
      </c>
      <c r="H947" t="n">
        <v>0</v>
      </c>
      <c r="I947" t="n">
        <v>3</v>
      </c>
      <c r="J947" t="n">
        <v>0</v>
      </c>
      <c r="K947" t="n">
        <v>0</v>
      </c>
      <c r="L947" t="n">
        <v>0</v>
      </c>
      <c r="M947" t="n">
        <v>0</v>
      </c>
      <c r="N947" t="n">
        <v>0</v>
      </c>
      <c r="O947" t="n">
        <v>0</v>
      </c>
      <c r="P947" t="n">
        <v>0</v>
      </c>
      <c r="Q947" t="n">
        <v>3</v>
      </c>
      <c r="R947" s="2" t="inlineStr">
        <is>
          <t>Luddlav
Skinnlav
Stuplav</t>
        </is>
      </c>
      <c r="S947">
        <f>HYPERLINK("https://klasma.github.io/Logging_2309/artfynd/A 38966-2025 artfynd.xlsx", "A 38966-2025")</f>
        <v/>
      </c>
      <c r="T947">
        <f>HYPERLINK("https://klasma.github.io/Logging_2309/kartor/A 38966-2025 karta.png", "A 38966-2025")</f>
        <v/>
      </c>
      <c r="V947">
        <f>HYPERLINK("https://klasma.github.io/Logging_2309/klagomål/A 38966-2025 FSC-klagomål.docx", "A 38966-2025")</f>
        <v/>
      </c>
      <c r="W947">
        <f>HYPERLINK("https://klasma.github.io/Logging_2309/klagomålsmail/A 38966-2025 FSC-klagomål mail.docx", "A 38966-2025")</f>
        <v/>
      </c>
      <c r="X947">
        <f>HYPERLINK("https://klasma.github.io/Logging_2309/tillsyn/A 38966-2025 tillsynsbegäran.docx", "A 38966-2025")</f>
        <v/>
      </c>
      <c r="Y947">
        <f>HYPERLINK("https://klasma.github.io/Logging_2309/tillsynsmail/A 38966-2025 tillsynsbegäran mail.docx", "A 38966-2025")</f>
        <v/>
      </c>
    </row>
    <row r="948" ht="15" customHeight="1">
      <c r="A948" t="inlineStr">
        <is>
          <t>A 58082-2022</t>
        </is>
      </c>
      <c r="B948" s="1" t="n">
        <v>44900</v>
      </c>
      <c r="C948" s="1" t="n">
        <v>46045</v>
      </c>
      <c r="D948" t="inlineStr">
        <is>
          <t>JÄMTLANDS LÄN</t>
        </is>
      </c>
      <c r="E948" t="inlineStr">
        <is>
          <t>ÅRE</t>
        </is>
      </c>
      <c r="G948" t="n">
        <v>28.2</v>
      </c>
      <c r="H948" t="n">
        <v>2</v>
      </c>
      <c r="I948" t="n">
        <v>1</v>
      </c>
      <c r="J948" t="n">
        <v>2</v>
      </c>
      <c r="K948" t="n">
        <v>0</v>
      </c>
      <c r="L948" t="n">
        <v>0</v>
      </c>
      <c r="M948" t="n">
        <v>0</v>
      </c>
      <c r="N948" t="n">
        <v>0</v>
      </c>
      <c r="O948" t="n">
        <v>2</v>
      </c>
      <c r="P948" t="n">
        <v>0</v>
      </c>
      <c r="Q948" t="n">
        <v>3</v>
      </c>
      <c r="R948" s="2" t="inlineStr">
        <is>
          <t>Spillkråka
Tretåig hackspett
Kambräken</t>
        </is>
      </c>
      <c r="S948">
        <f>HYPERLINK("https://klasma.github.io/Logging_2321/artfynd/A 58082-2022 artfynd.xlsx", "A 58082-2022")</f>
        <v/>
      </c>
      <c r="T948">
        <f>HYPERLINK("https://klasma.github.io/Logging_2321/kartor/A 58082-2022 karta.png", "A 58082-2022")</f>
        <v/>
      </c>
      <c r="V948">
        <f>HYPERLINK("https://klasma.github.io/Logging_2321/klagomål/A 58082-2022 FSC-klagomål.docx", "A 58082-2022")</f>
        <v/>
      </c>
      <c r="W948">
        <f>HYPERLINK("https://klasma.github.io/Logging_2321/klagomålsmail/A 58082-2022 FSC-klagomål mail.docx", "A 58082-2022")</f>
        <v/>
      </c>
      <c r="X948">
        <f>HYPERLINK("https://klasma.github.io/Logging_2321/tillsyn/A 58082-2022 tillsynsbegäran.docx", "A 58082-2022")</f>
        <v/>
      </c>
      <c r="Y948">
        <f>HYPERLINK("https://klasma.github.io/Logging_2321/tillsynsmail/A 58082-2022 tillsynsbegäran mail.docx", "A 58082-2022")</f>
        <v/>
      </c>
      <c r="Z948">
        <f>HYPERLINK("https://klasma.github.io/Logging_2321/fåglar/A 58082-2022 prioriterade fågelarter.docx", "A 58082-2022")</f>
        <v/>
      </c>
    </row>
    <row r="949" ht="15" customHeight="1">
      <c r="A949" t="inlineStr">
        <is>
          <t>A 26225-2024</t>
        </is>
      </c>
      <c r="B949" s="1" t="n">
        <v>45468</v>
      </c>
      <c r="C949" s="1" t="n">
        <v>46045</v>
      </c>
      <c r="D949" t="inlineStr">
        <is>
          <t>JÄMTLANDS LÄN</t>
        </is>
      </c>
      <c r="E949" t="inlineStr">
        <is>
          <t>HÄRJEDALEN</t>
        </is>
      </c>
      <c r="G949" t="n">
        <v>21.2</v>
      </c>
      <c r="H949" t="n">
        <v>1</v>
      </c>
      <c r="I949" t="n">
        <v>3</v>
      </c>
      <c r="J949" t="n">
        <v>0</v>
      </c>
      <c r="K949" t="n">
        <v>0</v>
      </c>
      <c r="L949" t="n">
        <v>0</v>
      </c>
      <c r="M949" t="n">
        <v>0</v>
      </c>
      <c r="N949" t="n">
        <v>0</v>
      </c>
      <c r="O949" t="n">
        <v>0</v>
      </c>
      <c r="P949" t="n">
        <v>0</v>
      </c>
      <c r="Q949" t="n">
        <v>3</v>
      </c>
      <c r="R949" s="2" t="inlineStr">
        <is>
          <t>Gräsull
Tibast
Tvåblad</t>
        </is>
      </c>
      <c r="S949">
        <f>HYPERLINK("https://klasma.github.io/Logging_2361/artfynd/A 26225-2024 artfynd.xlsx", "A 26225-2024")</f>
        <v/>
      </c>
      <c r="T949">
        <f>HYPERLINK("https://klasma.github.io/Logging_2361/kartor/A 26225-2024 karta.png", "A 26225-2024")</f>
        <v/>
      </c>
      <c r="V949">
        <f>HYPERLINK("https://klasma.github.io/Logging_2361/klagomål/A 26225-2024 FSC-klagomål.docx", "A 26225-2024")</f>
        <v/>
      </c>
      <c r="W949">
        <f>HYPERLINK("https://klasma.github.io/Logging_2361/klagomålsmail/A 26225-2024 FSC-klagomål mail.docx", "A 26225-2024")</f>
        <v/>
      </c>
      <c r="X949">
        <f>HYPERLINK("https://klasma.github.io/Logging_2361/tillsyn/A 26225-2024 tillsynsbegäran.docx", "A 26225-2024")</f>
        <v/>
      </c>
      <c r="Y949">
        <f>HYPERLINK("https://klasma.github.io/Logging_2361/tillsynsmail/A 26225-2024 tillsynsbegäran mail.docx", "A 26225-2024")</f>
        <v/>
      </c>
    </row>
    <row r="950" ht="15" customHeight="1">
      <c r="A950" t="inlineStr">
        <is>
          <t>A 25717-2024</t>
        </is>
      </c>
      <c r="B950" s="1" t="n">
        <v>45463.94459490741</v>
      </c>
      <c r="C950" s="1" t="n">
        <v>46045</v>
      </c>
      <c r="D950" t="inlineStr">
        <is>
          <t>JÄMTLANDS LÄN</t>
        </is>
      </c>
      <c r="E950" t="inlineStr">
        <is>
          <t>BRÄCKE</t>
        </is>
      </c>
      <c r="G950" t="n">
        <v>2.9</v>
      </c>
      <c r="H950" t="n">
        <v>1</v>
      </c>
      <c r="I950" t="n">
        <v>1</v>
      </c>
      <c r="J950" t="n">
        <v>1</v>
      </c>
      <c r="K950" t="n">
        <v>1</v>
      </c>
      <c r="L950" t="n">
        <v>0</v>
      </c>
      <c r="M950" t="n">
        <v>0</v>
      </c>
      <c r="N950" t="n">
        <v>0</v>
      </c>
      <c r="O950" t="n">
        <v>2</v>
      </c>
      <c r="P950" t="n">
        <v>1</v>
      </c>
      <c r="Q950" t="n">
        <v>3</v>
      </c>
      <c r="R950" s="2" t="inlineStr">
        <is>
          <t>Knärot
Lunglav
Skinnlav</t>
        </is>
      </c>
      <c r="S950">
        <f>HYPERLINK("https://klasma.github.io/Logging_2305/artfynd/A 25717-2024 artfynd.xlsx", "A 25717-2024")</f>
        <v/>
      </c>
      <c r="T950">
        <f>HYPERLINK("https://klasma.github.io/Logging_2305/kartor/A 25717-2024 karta.png", "A 25717-2024")</f>
        <v/>
      </c>
      <c r="U950">
        <f>HYPERLINK("https://klasma.github.io/Logging_2305/knärot/A 25717-2024 karta knärot.png", "A 25717-2024")</f>
        <v/>
      </c>
      <c r="V950">
        <f>HYPERLINK("https://klasma.github.io/Logging_2305/klagomål/A 25717-2024 FSC-klagomål.docx", "A 25717-2024")</f>
        <v/>
      </c>
      <c r="W950">
        <f>HYPERLINK("https://klasma.github.io/Logging_2305/klagomålsmail/A 25717-2024 FSC-klagomål mail.docx", "A 25717-2024")</f>
        <v/>
      </c>
      <c r="X950">
        <f>HYPERLINK("https://klasma.github.io/Logging_2305/tillsyn/A 25717-2024 tillsynsbegäran.docx", "A 25717-2024")</f>
        <v/>
      </c>
      <c r="Y950">
        <f>HYPERLINK("https://klasma.github.io/Logging_2305/tillsynsmail/A 25717-2024 tillsynsbegäran mail.docx", "A 25717-2024")</f>
        <v/>
      </c>
    </row>
    <row r="951" ht="15" customHeight="1">
      <c r="A951" t="inlineStr">
        <is>
          <t>A 58737-2022</t>
        </is>
      </c>
      <c r="B951" s="1" t="n">
        <v>44902</v>
      </c>
      <c r="C951" s="1" t="n">
        <v>46045</v>
      </c>
      <c r="D951" t="inlineStr">
        <is>
          <t>JÄMTLANDS LÄN</t>
        </is>
      </c>
      <c r="E951" t="inlineStr">
        <is>
          <t>RAGUNDA</t>
        </is>
      </c>
      <c r="F951" t="inlineStr">
        <is>
          <t>SCA</t>
        </is>
      </c>
      <c r="G951" t="n">
        <v>2.7</v>
      </c>
      <c r="H951" t="n">
        <v>0</v>
      </c>
      <c r="I951" t="n">
        <v>2</v>
      </c>
      <c r="J951" t="n">
        <v>1</v>
      </c>
      <c r="K951" t="n">
        <v>0</v>
      </c>
      <c r="L951" t="n">
        <v>0</v>
      </c>
      <c r="M951" t="n">
        <v>0</v>
      </c>
      <c r="N951" t="n">
        <v>0</v>
      </c>
      <c r="O951" t="n">
        <v>1</v>
      </c>
      <c r="P951" t="n">
        <v>0</v>
      </c>
      <c r="Q951" t="n">
        <v>3</v>
      </c>
      <c r="R951" s="2" t="inlineStr">
        <is>
          <t>Garnlav
Källmossor
Stuplav</t>
        </is>
      </c>
      <c r="S951">
        <f>HYPERLINK("https://klasma.github.io/Logging_2303/artfynd/A 58737-2022 artfynd.xlsx", "A 58737-2022")</f>
        <v/>
      </c>
      <c r="T951">
        <f>HYPERLINK("https://klasma.github.io/Logging_2303/kartor/A 58737-2022 karta.png", "A 58737-2022")</f>
        <v/>
      </c>
      <c r="V951">
        <f>HYPERLINK("https://klasma.github.io/Logging_2303/klagomål/A 58737-2022 FSC-klagomål.docx", "A 58737-2022")</f>
        <v/>
      </c>
      <c r="W951">
        <f>HYPERLINK("https://klasma.github.io/Logging_2303/klagomålsmail/A 58737-2022 FSC-klagomål mail.docx", "A 58737-2022")</f>
        <v/>
      </c>
      <c r="X951">
        <f>HYPERLINK("https://klasma.github.io/Logging_2303/tillsyn/A 58737-2022 tillsynsbegäran.docx", "A 58737-2022")</f>
        <v/>
      </c>
      <c r="Y951">
        <f>HYPERLINK("https://klasma.github.io/Logging_2303/tillsynsmail/A 58737-2022 tillsynsbegäran mail.docx", "A 58737-2022")</f>
        <v/>
      </c>
    </row>
    <row r="952" ht="15" customHeight="1">
      <c r="A952" t="inlineStr">
        <is>
          <t>A 33432-2023</t>
        </is>
      </c>
      <c r="B952" s="1" t="n">
        <v>45128</v>
      </c>
      <c r="C952" s="1" t="n">
        <v>46045</v>
      </c>
      <c r="D952" t="inlineStr">
        <is>
          <t>JÄMTLANDS LÄN</t>
        </is>
      </c>
      <c r="E952" t="inlineStr">
        <is>
          <t>RAGUNDA</t>
        </is>
      </c>
      <c r="F952" t="inlineStr">
        <is>
          <t>SCA</t>
        </is>
      </c>
      <c r="G952" t="n">
        <v>10</v>
      </c>
      <c r="H952" t="n">
        <v>1</v>
      </c>
      <c r="I952" t="n">
        <v>0</v>
      </c>
      <c r="J952" t="n">
        <v>3</v>
      </c>
      <c r="K952" t="n">
        <v>0</v>
      </c>
      <c r="L952" t="n">
        <v>0</v>
      </c>
      <c r="M952" t="n">
        <v>0</v>
      </c>
      <c r="N952" t="n">
        <v>0</v>
      </c>
      <c r="O952" t="n">
        <v>3</v>
      </c>
      <c r="P952" t="n">
        <v>0</v>
      </c>
      <c r="Q952" t="n">
        <v>3</v>
      </c>
      <c r="R952" s="2" t="inlineStr">
        <is>
          <t>Garnlav
Lunglav
Tretåig hackspett</t>
        </is>
      </c>
      <c r="S952">
        <f>HYPERLINK("https://klasma.github.io/Logging_2303/artfynd/A 33432-2023 artfynd.xlsx", "A 33432-2023")</f>
        <v/>
      </c>
      <c r="T952">
        <f>HYPERLINK("https://klasma.github.io/Logging_2303/kartor/A 33432-2023 karta.png", "A 33432-2023")</f>
        <v/>
      </c>
      <c r="V952">
        <f>HYPERLINK("https://klasma.github.io/Logging_2303/klagomål/A 33432-2023 FSC-klagomål.docx", "A 33432-2023")</f>
        <v/>
      </c>
      <c r="W952">
        <f>HYPERLINK("https://klasma.github.io/Logging_2303/klagomålsmail/A 33432-2023 FSC-klagomål mail.docx", "A 33432-2023")</f>
        <v/>
      </c>
      <c r="X952">
        <f>HYPERLINK("https://klasma.github.io/Logging_2303/tillsyn/A 33432-2023 tillsynsbegäran.docx", "A 33432-2023")</f>
        <v/>
      </c>
      <c r="Y952">
        <f>HYPERLINK("https://klasma.github.io/Logging_2303/tillsynsmail/A 33432-2023 tillsynsbegäran mail.docx", "A 33432-2023")</f>
        <v/>
      </c>
      <c r="Z952">
        <f>HYPERLINK("https://klasma.github.io/Logging_2303/fåglar/A 33432-2023 prioriterade fågelarter.docx", "A 33432-2023")</f>
        <v/>
      </c>
    </row>
    <row r="953" ht="15" customHeight="1">
      <c r="A953" t="inlineStr">
        <is>
          <t>A 60565-2022</t>
        </is>
      </c>
      <c r="B953" s="1" t="n">
        <v>44904</v>
      </c>
      <c r="C953" s="1" t="n">
        <v>46045</v>
      </c>
      <c r="D953" t="inlineStr">
        <is>
          <t>JÄMTLANDS LÄN</t>
        </is>
      </c>
      <c r="E953" t="inlineStr">
        <is>
          <t>ÖSTERSUND</t>
        </is>
      </c>
      <c r="G953" t="n">
        <v>2.5</v>
      </c>
      <c r="H953" t="n">
        <v>2</v>
      </c>
      <c r="I953" t="n">
        <v>0</v>
      </c>
      <c r="J953" t="n">
        <v>2</v>
      </c>
      <c r="K953" t="n">
        <v>0</v>
      </c>
      <c r="L953" t="n">
        <v>0</v>
      </c>
      <c r="M953" t="n">
        <v>0</v>
      </c>
      <c r="N953" t="n">
        <v>0</v>
      </c>
      <c r="O953" t="n">
        <v>2</v>
      </c>
      <c r="P953" t="n">
        <v>0</v>
      </c>
      <c r="Q953" t="n">
        <v>3</v>
      </c>
      <c r="R953" s="2" t="inlineStr">
        <is>
          <t>Garnlav
Talltita
Revlummer</t>
        </is>
      </c>
      <c r="S953">
        <f>HYPERLINK("https://klasma.github.io/Logging_2380/artfynd/A 60565-2022 artfynd.xlsx", "A 60565-2022")</f>
        <v/>
      </c>
      <c r="T953">
        <f>HYPERLINK("https://klasma.github.io/Logging_2380/kartor/A 60565-2022 karta.png", "A 60565-2022")</f>
        <v/>
      </c>
      <c r="V953">
        <f>HYPERLINK("https://klasma.github.io/Logging_2380/klagomål/A 60565-2022 FSC-klagomål.docx", "A 60565-2022")</f>
        <v/>
      </c>
      <c r="W953">
        <f>HYPERLINK("https://klasma.github.io/Logging_2380/klagomålsmail/A 60565-2022 FSC-klagomål mail.docx", "A 60565-2022")</f>
        <v/>
      </c>
      <c r="X953">
        <f>HYPERLINK("https://klasma.github.io/Logging_2380/tillsyn/A 60565-2022 tillsynsbegäran.docx", "A 60565-2022")</f>
        <v/>
      </c>
      <c r="Y953">
        <f>HYPERLINK("https://klasma.github.io/Logging_2380/tillsynsmail/A 60565-2022 tillsynsbegäran mail.docx", "A 60565-2022")</f>
        <v/>
      </c>
      <c r="Z953">
        <f>HYPERLINK("https://klasma.github.io/Logging_2380/fåglar/A 60565-2022 prioriterade fågelarter.docx", "A 60565-2022")</f>
        <v/>
      </c>
    </row>
    <row r="954" ht="15" customHeight="1">
      <c r="A954" t="inlineStr">
        <is>
          <t>A 54802-2021</t>
        </is>
      </c>
      <c r="B954" s="1" t="n">
        <v>44473</v>
      </c>
      <c r="C954" s="1" t="n">
        <v>46045</v>
      </c>
      <c r="D954" t="inlineStr">
        <is>
          <t>JÄMTLANDS LÄN</t>
        </is>
      </c>
      <c r="E954" t="inlineStr">
        <is>
          <t>BERG</t>
        </is>
      </c>
      <c r="F954" t="inlineStr">
        <is>
          <t>SCA</t>
        </is>
      </c>
      <c r="G954" t="n">
        <v>2.8</v>
      </c>
      <c r="H954" t="n">
        <v>1</v>
      </c>
      <c r="I954" t="n">
        <v>0</v>
      </c>
      <c r="J954" t="n">
        <v>3</v>
      </c>
      <c r="K954" t="n">
        <v>0</v>
      </c>
      <c r="L954" t="n">
        <v>0</v>
      </c>
      <c r="M954" t="n">
        <v>0</v>
      </c>
      <c r="N954" t="n">
        <v>0</v>
      </c>
      <c r="O954" t="n">
        <v>3</v>
      </c>
      <c r="P954" t="n">
        <v>0</v>
      </c>
      <c r="Q954" t="n">
        <v>3</v>
      </c>
      <c r="R954" s="2" t="inlineStr">
        <is>
          <t>Garnlav
Granticka
Tretåig hackspett</t>
        </is>
      </c>
      <c r="S954">
        <f>HYPERLINK("https://klasma.github.io/Logging_2326/artfynd/A 54802-2021 artfynd.xlsx", "A 54802-2021")</f>
        <v/>
      </c>
      <c r="T954">
        <f>HYPERLINK("https://klasma.github.io/Logging_2326/kartor/A 54802-2021 karta.png", "A 54802-2021")</f>
        <v/>
      </c>
      <c r="V954">
        <f>HYPERLINK("https://klasma.github.io/Logging_2326/klagomål/A 54802-2021 FSC-klagomål.docx", "A 54802-2021")</f>
        <v/>
      </c>
      <c r="W954">
        <f>HYPERLINK("https://klasma.github.io/Logging_2326/klagomålsmail/A 54802-2021 FSC-klagomål mail.docx", "A 54802-2021")</f>
        <v/>
      </c>
      <c r="X954">
        <f>HYPERLINK("https://klasma.github.io/Logging_2326/tillsyn/A 54802-2021 tillsynsbegäran.docx", "A 54802-2021")</f>
        <v/>
      </c>
      <c r="Y954">
        <f>HYPERLINK("https://klasma.github.io/Logging_2326/tillsynsmail/A 54802-2021 tillsynsbegäran mail.docx", "A 54802-2021")</f>
        <v/>
      </c>
      <c r="Z954">
        <f>HYPERLINK("https://klasma.github.io/Logging_2326/fåglar/A 54802-2021 prioriterade fågelarter.docx", "A 54802-2021")</f>
        <v/>
      </c>
    </row>
    <row r="955" ht="15" customHeight="1">
      <c r="A955" t="inlineStr">
        <is>
          <t>A 46341-2022</t>
        </is>
      </c>
      <c r="B955" s="1" t="n">
        <v>44847</v>
      </c>
      <c r="C955" s="1" t="n">
        <v>46045</v>
      </c>
      <c r="D955" t="inlineStr">
        <is>
          <t>JÄMTLANDS LÄN</t>
        </is>
      </c>
      <c r="E955" t="inlineStr">
        <is>
          <t>STRÖMSUND</t>
        </is>
      </c>
      <c r="F955" t="inlineStr">
        <is>
          <t>SCA</t>
        </is>
      </c>
      <c r="G955" t="n">
        <v>3.2</v>
      </c>
      <c r="H955" t="n">
        <v>1</v>
      </c>
      <c r="I955" t="n">
        <v>0</v>
      </c>
      <c r="J955" t="n">
        <v>1</v>
      </c>
      <c r="K955" t="n">
        <v>2</v>
      </c>
      <c r="L955" t="n">
        <v>0</v>
      </c>
      <c r="M955" t="n">
        <v>0</v>
      </c>
      <c r="N955" t="n">
        <v>0</v>
      </c>
      <c r="O955" t="n">
        <v>3</v>
      </c>
      <c r="P955" t="n">
        <v>2</v>
      </c>
      <c r="Q955" t="n">
        <v>3</v>
      </c>
      <c r="R955" s="2" t="inlineStr">
        <is>
          <t>Goliatmusseron
Knärot
Rosenticka</t>
        </is>
      </c>
      <c r="S955">
        <f>HYPERLINK("https://klasma.github.io/Logging_2313/artfynd/A 46341-2022 artfynd.xlsx", "A 46341-2022")</f>
        <v/>
      </c>
      <c r="T955">
        <f>HYPERLINK("https://klasma.github.io/Logging_2313/kartor/A 46341-2022 karta.png", "A 46341-2022")</f>
        <v/>
      </c>
      <c r="U955">
        <f>HYPERLINK("https://klasma.github.io/Logging_2313/knärot/A 46341-2022 karta knärot.png", "A 46341-2022")</f>
        <v/>
      </c>
      <c r="V955">
        <f>HYPERLINK("https://klasma.github.io/Logging_2313/klagomål/A 46341-2022 FSC-klagomål.docx", "A 46341-2022")</f>
        <v/>
      </c>
      <c r="W955">
        <f>HYPERLINK("https://klasma.github.io/Logging_2313/klagomålsmail/A 46341-2022 FSC-klagomål mail.docx", "A 46341-2022")</f>
        <v/>
      </c>
      <c r="X955">
        <f>HYPERLINK("https://klasma.github.io/Logging_2313/tillsyn/A 46341-2022 tillsynsbegäran.docx", "A 46341-2022")</f>
        <v/>
      </c>
      <c r="Y955">
        <f>HYPERLINK("https://klasma.github.io/Logging_2313/tillsynsmail/A 46341-2022 tillsynsbegäran mail.docx", "A 46341-2022")</f>
        <v/>
      </c>
    </row>
    <row r="956" ht="15" customHeight="1">
      <c r="A956" t="inlineStr">
        <is>
          <t>A 36260-2023</t>
        </is>
      </c>
      <c r="B956" s="1" t="n">
        <v>45151</v>
      </c>
      <c r="C956" s="1" t="n">
        <v>46045</v>
      </c>
      <c r="D956" t="inlineStr">
        <is>
          <t>JÄMTLANDS LÄN</t>
        </is>
      </c>
      <c r="E956" t="inlineStr">
        <is>
          <t>ÅRE</t>
        </is>
      </c>
      <c r="G956" t="n">
        <v>2.6</v>
      </c>
      <c r="H956" t="n">
        <v>0</v>
      </c>
      <c r="I956" t="n">
        <v>3</v>
      </c>
      <c r="J956" t="n">
        <v>0</v>
      </c>
      <c r="K956" t="n">
        <v>0</v>
      </c>
      <c r="L956" t="n">
        <v>0</v>
      </c>
      <c r="M956" t="n">
        <v>0</v>
      </c>
      <c r="N956" t="n">
        <v>0</v>
      </c>
      <c r="O956" t="n">
        <v>0</v>
      </c>
      <c r="P956" t="n">
        <v>0</v>
      </c>
      <c r="Q956" t="n">
        <v>3</v>
      </c>
      <c r="R956" s="2" t="inlineStr">
        <is>
          <t>Svavelriska
Underviol
Vedticka</t>
        </is>
      </c>
      <c r="S956">
        <f>HYPERLINK("https://klasma.github.io/Logging_2321/artfynd/A 36260-2023 artfynd.xlsx", "A 36260-2023")</f>
        <v/>
      </c>
      <c r="T956">
        <f>HYPERLINK("https://klasma.github.io/Logging_2321/kartor/A 36260-2023 karta.png", "A 36260-2023")</f>
        <v/>
      </c>
      <c r="V956">
        <f>HYPERLINK("https://klasma.github.io/Logging_2321/klagomål/A 36260-2023 FSC-klagomål.docx", "A 36260-2023")</f>
        <v/>
      </c>
      <c r="W956">
        <f>HYPERLINK("https://klasma.github.io/Logging_2321/klagomålsmail/A 36260-2023 FSC-klagomål mail.docx", "A 36260-2023")</f>
        <v/>
      </c>
      <c r="X956">
        <f>HYPERLINK("https://klasma.github.io/Logging_2321/tillsyn/A 36260-2023 tillsynsbegäran.docx", "A 36260-2023")</f>
        <v/>
      </c>
      <c r="Y956">
        <f>HYPERLINK("https://klasma.github.io/Logging_2321/tillsynsmail/A 36260-2023 tillsynsbegäran mail.docx", "A 36260-2023")</f>
        <v/>
      </c>
    </row>
    <row r="957" ht="15" customHeight="1">
      <c r="A957" t="inlineStr">
        <is>
          <t>A 57105-2024</t>
        </is>
      </c>
      <c r="B957" s="1" t="n">
        <v>45629.35895833333</v>
      </c>
      <c r="C957" s="1" t="n">
        <v>46045</v>
      </c>
      <c r="D957" t="inlineStr">
        <is>
          <t>JÄMTLANDS LÄN</t>
        </is>
      </c>
      <c r="E957" t="inlineStr">
        <is>
          <t>BRÄCKE</t>
        </is>
      </c>
      <c r="G957" t="n">
        <v>1.7</v>
      </c>
      <c r="H957" t="n">
        <v>0</v>
      </c>
      <c r="I957" t="n">
        <v>0</v>
      </c>
      <c r="J957" t="n">
        <v>3</v>
      </c>
      <c r="K957" t="n">
        <v>0</v>
      </c>
      <c r="L957" t="n">
        <v>0</v>
      </c>
      <c r="M957" t="n">
        <v>0</v>
      </c>
      <c r="N957" t="n">
        <v>0</v>
      </c>
      <c r="O957" t="n">
        <v>3</v>
      </c>
      <c r="P957" t="n">
        <v>0</v>
      </c>
      <c r="Q957" t="n">
        <v>3</v>
      </c>
      <c r="R957" s="2" t="inlineStr">
        <is>
          <t>Garnlav
Lunglav
Ullticka</t>
        </is>
      </c>
      <c r="S957">
        <f>HYPERLINK("https://klasma.github.io/Logging_2305/artfynd/A 57105-2024 artfynd.xlsx", "A 57105-2024")</f>
        <v/>
      </c>
      <c r="T957">
        <f>HYPERLINK("https://klasma.github.io/Logging_2305/kartor/A 57105-2024 karta.png", "A 57105-2024")</f>
        <v/>
      </c>
      <c r="V957">
        <f>HYPERLINK("https://klasma.github.io/Logging_2305/klagomål/A 57105-2024 FSC-klagomål.docx", "A 57105-2024")</f>
        <v/>
      </c>
      <c r="W957">
        <f>HYPERLINK("https://klasma.github.io/Logging_2305/klagomålsmail/A 57105-2024 FSC-klagomål mail.docx", "A 57105-2024")</f>
        <v/>
      </c>
      <c r="X957">
        <f>HYPERLINK("https://klasma.github.io/Logging_2305/tillsyn/A 57105-2024 tillsynsbegäran.docx", "A 57105-2024")</f>
        <v/>
      </c>
      <c r="Y957">
        <f>HYPERLINK("https://klasma.github.io/Logging_2305/tillsynsmail/A 57105-2024 tillsynsbegäran mail.docx", "A 57105-2024")</f>
        <v/>
      </c>
    </row>
    <row r="958" ht="15" customHeight="1">
      <c r="A958" t="inlineStr">
        <is>
          <t>A 29689-2024</t>
        </is>
      </c>
      <c r="B958" s="1" t="n">
        <v>45484.94427083333</v>
      </c>
      <c r="C958" s="1" t="n">
        <v>46045</v>
      </c>
      <c r="D958" t="inlineStr">
        <is>
          <t>JÄMTLANDS LÄN</t>
        </is>
      </c>
      <c r="E958" t="inlineStr">
        <is>
          <t>BRÄCKE</t>
        </is>
      </c>
      <c r="F958" t="inlineStr">
        <is>
          <t>SCA</t>
        </is>
      </c>
      <c r="G958" t="n">
        <v>6.3</v>
      </c>
      <c r="H958" t="n">
        <v>0</v>
      </c>
      <c r="I958" t="n">
        <v>1</v>
      </c>
      <c r="J958" t="n">
        <v>2</v>
      </c>
      <c r="K958" t="n">
        <v>0</v>
      </c>
      <c r="L958" t="n">
        <v>0</v>
      </c>
      <c r="M958" t="n">
        <v>0</v>
      </c>
      <c r="N958" t="n">
        <v>0</v>
      </c>
      <c r="O958" t="n">
        <v>2</v>
      </c>
      <c r="P958" t="n">
        <v>0</v>
      </c>
      <c r="Q958" t="n">
        <v>3</v>
      </c>
      <c r="R958" s="2" t="inlineStr">
        <is>
          <t>Garnlav
Granticka
Vedticka</t>
        </is>
      </c>
      <c r="S958">
        <f>HYPERLINK("https://klasma.github.io/Logging_2305/artfynd/A 29689-2024 artfynd.xlsx", "A 29689-2024")</f>
        <v/>
      </c>
      <c r="T958">
        <f>HYPERLINK("https://klasma.github.io/Logging_2305/kartor/A 29689-2024 karta.png", "A 29689-2024")</f>
        <v/>
      </c>
      <c r="V958">
        <f>HYPERLINK("https://klasma.github.io/Logging_2305/klagomål/A 29689-2024 FSC-klagomål.docx", "A 29689-2024")</f>
        <v/>
      </c>
      <c r="W958">
        <f>HYPERLINK("https://klasma.github.io/Logging_2305/klagomålsmail/A 29689-2024 FSC-klagomål mail.docx", "A 29689-2024")</f>
        <v/>
      </c>
      <c r="X958">
        <f>HYPERLINK("https://klasma.github.io/Logging_2305/tillsyn/A 29689-2024 tillsynsbegäran.docx", "A 29689-2024")</f>
        <v/>
      </c>
      <c r="Y958">
        <f>HYPERLINK("https://klasma.github.io/Logging_2305/tillsynsmail/A 29689-2024 tillsynsbegäran mail.docx", "A 29689-2024")</f>
        <v/>
      </c>
    </row>
    <row r="959" ht="15" customHeight="1">
      <c r="A959" t="inlineStr">
        <is>
          <t>A 32651-2024</t>
        </is>
      </c>
      <c r="B959" s="1" t="n">
        <v>45513.9640625</v>
      </c>
      <c r="C959" s="1" t="n">
        <v>46045</v>
      </c>
      <c r="D959" t="inlineStr">
        <is>
          <t>JÄMTLANDS LÄN</t>
        </is>
      </c>
      <c r="E959" t="inlineStr">
        <is>
          <t>STRÖMSUND</t>
        </is>
      </c>
      <c r="F959" t="inlineStr">
        <is>
          <t>SCA</t>
        </is>
      </c>
      <c r="G959" t="n">
        <v>2.8</v>
      </c>
      <c r="H959" t="n">
        <v>0</v>
      </c>
      <c r="I959" t="n">
        <v>2</v>
      </c>
      <c r="J959" t="n">
        <v>1</v>
      </c>
      <c r="K959" t="n">
        <v>0</v>
      </c>
      <c r="L959" t="n">
        <v>0</v>
      </c>
      <c r="M959" t="n">
        <v>0</v>
      </c>
      <c r="N959" t="n">
        <v>0</v>
      </c>
      <c r="O959" t="n">
        <v>1</v>
      </c>
      <c r="P959" t="n">
        <v>0</v>
      </c>
      <c r="Q959" t="n">
        <v>3</v>
      </c>
      <c r="R959" s="2" t="inlineStr">
        <is>
          <t>Lunglav
Luddlav
Stuplav</t>
        </is>
      </c>
      <c r="S959">
        <f>HYPERLINK("https://klasma.github.io/Logging_2313/artfynd/A 32651-2024 artfynd.xlsx", "A 32651-2024")</f>
        <v/>
      </c>
      <c r="T959">
        <f>HYPERLINK("https://klasma.github.io/Logging_2313/kartor/A 32651-2024 karta.png", "A 32651-2024")</f>
        <v/>
      </c>
      <c r="V959">
        <f>HYPERLINK("https://klasma.github.io/Logging_2313/klagomål/A 32651-2024 FSC-klagomål.docx", "A 32651-2024")</f>
        <v/>
      </c>
      <c r="W959">
        <f>HYPERLINK("https://klasma.github.io/Logging_2313/klagomålsmail/A 32651-2024 FSC-klagomål mail.docx", "A 32651-2024")</f>
        <v/>
      </c>
      <c r="X959">
        <f>HYPERLINK("https://klasma.github.io/Logging_2313/tillsyn/A 32651-2024 tillsynsbegäran.docx", "A 32651-2024")</f>
        <v/>
      </c>
      <c r="Y959">
        <f>HYPERLINK("https://klasma.github.io/Logging_2313/tillsynsmail/A 32651-2024 tillsynsbegäran mail.docx", "A 32651-2024")</f>
        <v/>
      </c>
    </row>
    <row r="960" ht="15" customHeight="1">
      <c r="A960" t="inlineStr">
        <is>
          <t>A 40879-2025</t>
        </is>
      </c>
      <c r="B960" s="1" t="n">
        <v>45897.58763888889</v>
      </c>
      <c r="C960" s="1" t="n">
        <v>46045</v>
      </c>
      <c r="D960" t="inlineStr">
        <is>
          <t>JÄMTLANDS LÄN</t>
        </is>
      </c>
      <c r="E960" t="inlineStr">
        <is>
          <t>STRÖMSUND</t>
        </is>
      </c>
      <c r="F960" t="inlineStr">
        <is>
          <t>Holmen skog AB</t>
        </is>
      </c>
      <c r="G960" t="n">
        <v>1.8</v>
      </c>
      <c r="H960" t="n">
        <v>2</v>
      </c>
      <c r="I960" t="n">
        <v>0</v>
      </c>
      <c r="J960" t="n">
        <v>1</v>
      </c>
      <c r="K960" t="n">
        <v>0</v>
      </c>
      <c r="L960" t="n">
        <v>0</v>
      </c>
      <c r="M960" t="n">
        <v>0</v>
      </c>
      <c r="N960" t="n">
        <v>0</v>
      </c>
      <c r="O960" t="n">
        <v>1</v>
      </c>
      <c r="P960" t="n">
        <v>0</v>
      </c>
      <c r="Q960" t="n">
        <v>3</v>
      </c>
      <c r="R960" s="2" t="inlineStr">
        <is>
          <t>Brunklöver
Brudsporre
Fläcknycklar</t>
        </is>
      </c>
      <c r="S960">
        <f>HYPERLINK("https://klasma.github.io/Logging_2313/artfynd/A 40879-2025 artfynd.xlsx", "A 40879-2025")</f>
        <v/>
      </c>
      <c r="T960">
        <f>HYPERLINK("https://klasma.github.io/Logging_2313/kartor/A 40879-2025 karta.png", "A 40879-2025")</f>
        <v/>
      </c>
      <c r="V960">
        <f>HYPERLINK("https://klasma.github.io/Logging_2313/klagomål/A 40879-2025 FSC-klagomål.docx", "A 40879-2025")</f>
        <v/>
      </c>
      <c r="W960">
        <f>HYPERLINK("https://klasma.github.io/Logging_2313/klagomålsmail/A 40879-2025 FSC-klagomål mail.docx", "A 40879-2025")</f>
        <v/>
      </c>
      <c r="X960">
        <f>HYPERLINK("https://klasma.github.io/Logging_2313/tillsyn/A 40879-2025 tillsynsbegäran.docx", "A 40879-2025")</f>
        <v/>
      </c>
      <c r="Y960">
        <f>HYPERLINK("https://klasma.github.io/Logging_2313/tillsynsmail/A 40879-2025 tillsynsbegäran mail.docx", "A 40879-2025")</f>
        <v/>
      </c>
    </row>
    <row r="961" ht="15" customHeight="1">
      <c r="A961" t="inlineStr">
        <is>
          <t>A 29455-2024</t>
        </is>
      </c>
      <c r="B961" s="1" t="n">
        <v>45483</v>
      </c>
      <c r="C961" s="1" t="n">
        <v>46045</v>
      </c>
      <c r="D961" t="inlineStr">
        <is>
          <t>JÄMTLANDS LÄN</t>
        </is>
      </c>
      <c r="E961" t="inlineStr">
        <is>
          <t>BRÄCKE</t>
        </is>
      </c>
      <c r="F961" t="inlineStr">
        <is>
          <t>SCA</t>
        </is>
      </c>
      <c r="G961" t="n">
        <v>6</v>
      </c>
      <c r="H961" t="n">
        <v>0</v>
      </c>
      <c r="I961" t="n">
        <v>0</v>
      </c>
      <c r="J961" t="n">
        <v>3</v>
      </c>
      <c r="K961" t="n">
        <v>0</v>
      </c>
      <c r="L961" t="n">
        <v>0</v>
      </c>
      <c r="M961" t="n">
        <v>0</v>
      </c>
      <c r="N961" t="n">
        <v>0</v>
      </c>
      <c r="O961" t="n">
        <v>3</v>
      </c>
      <c r="P961" t="n">
        <v>0</v>
      </c>
      <c r="Q961" t="n">
        <v>3</v>
      </c>
      <c r="R961" s="2" t="inlineStr">
        <is>
          <t>Garnlav
Lunglav
Ullticka</t>
        </is>
      </c>
      <c r="S961">
        <f>HYPERLINK("https://klasma.github.io/Logging_2305/artfynd/A 29455-2024 artfynd.xlsx", "A 29455-2024")</f>
        <v/>
      </c>
      <c r="T961">
        <f>HYPERLINK("https://klasma.github.io/Logging_2305/kartor/A 29455-2024 karta.png", "A 29455-2024")</f>
        <v/>
      </c>
      <c r="V961">
        <f>HYPERLINK("https://klasma.github.io/Logging_2305/klagomål/A 29455-2024 FSC-klagomål.docx", "A 29455-2024")</f>
        <v/>
      </c>
      <c r="W961">
        <f>HYPERLINK("https://klasma.github.io/Logging_2305/klagomålsmail/A 29455-2024 FSC-klagomål mail.docx", "A 29455-2024")</f>
        <v/>
      </c>
      <c r="X961">
        <f>HYPERLINK("https://klasma.github.io/Logging_2305/tillsyn/A 29455-2024 tillsynsbegäran.docx", "A 29455-2024")</f>
        <v/>
      </c>
      <c r="Y961">
        <f>HYPERLINK("https://klasma.github.io/Logging_2305/tillsynsmail/A 29455-2024 tillsynsbegäran mail.docx", "A 29455-2024")</f>
        <v/>
      </c>
    </row>
    <row r="962" ht="15" customHeight="1">
      <c r="A962" t="inlineStr">
        <is>
          <t>A 26009-2024</t>
        </is>
      </c>
      <c r="B962" s="1" t="n">
        <v>45467</v>
      </c>
      <c r="C962" s="1" t="n">
        <v>46045</v>
      </c>
      <c r="D962" t="inlineStr">
        <is>
          <t>JÄMTLANDS LÄN</t>
        </is>
      </c>
      <c r="E962" t="inlineStr">
        <is>
          <t>BRÄCKE</t>
        </is>
      </c>
      <c r="F962" t="inlineStr">
        <is>
          <t>SCA</t>
        </is>
      </c>
      <c r="G962" t="n">
        <v>8.5</v>
      </c>
      <c r="H962" t="n">
        <v>2</v>
      </c>
      <c r="I962" t="n">
        <v>2</v>
      </c>
      <c r="J962" t="n">
        <v>1</v>
      </c>
      <c r="K962" t="n">
        <v>0</v>
      </c>
      <c r="L962" t="n">
        <v>0</v>
      </c>
      <c r="M962" t="n">
        <v>0</v>
      </c>
      <c r="N962" t="n">
        <v>0</v>
      </c>
      <c r="O962" t="n">
        <v>1</v>
      </c>
      <c r="P962" t="n">
        <v>0</v>
      </c>
      <c r="Q962" t="n">
        <v>3</v>
      </c>
      <c r="R962" s="2" t="inlineStr">
        <is>
          <t>Fjällvråk
Rödgul trumpetsvamp
Tvåblad</t>
        </is>
      </c>
      <c r="S962">
        <f>HYPERLINK("https://klasma.github.io/Logging_2305/artfynd/A 26009-2024 artfynd.xlsx", "A 26009-2024")</f>
        <v/>
      </c>
      <c r="T962">
        <f>HYPERLINK("https://klasma.github.io/Logging_2305/kartor/A 26009-2024 karta.png", "A 26009-2024")</f>
        <v/>
      </c>
      <c r="V962">
        <f>HYPERLINK("https://klasma.github.io/Logging_2305/klagomål/A 26009-2024 FSC-klagomål.docx", "A 26009-2024")</f>
        <v/>
      </c>
      <c r="W962">
        <f>HYPERLINK("https://klasma.github.io/Logging_2305/klagomålsmail/A 26009-2024 FSC-klagomål mail.docx", "A 26009-2024")</f>
        <v/>
      </c>
      <c r="X962">
        <f>HYPERLINK("https://klasma.github.io/Logging_2305/tillsyn/A 26009-2024 tillsynsbegäran.docx", "A 26009-2024")</f>
        <v/>
      </c>
      <c r="Y962">
        <f>HYPERLINK("https://klasma.github.io/Logging_2305/tillsynsmail/A 26009-2024 tillsynsbegäran mail.docx", "A 26009-2024")</f>
        <v/>
      </c>
      <c r="Z962">
        <f>HYPERLINK("https://klasma.github.io/Logging_2305/fåglar/A 26009-2024 prioriterade fågelarter.docx", "A 26009-2024")</f>
        <v/>
      </c>
    </row>
    <row r="963" ht="15" customHeight="1">
      <c r="A963" t="inlineStr">
        <is>
          <t>A 41657-2025</t>
        </is>
      </c>
      <c r="B963" s="1" t="n">
        <v>45902.34438657408</v>
      </c>
      <c r="C963" s="1" t="n">
        <v>46045</v>
      </c>
      <c r="D963" t="inlineStr">
        <is>
          <t>JÄMTLANDS LÄN</t>
        </is>
      </c>
      <c r="E963" t="inlineStr">
        <is>
          <t>STRÖMSUND</t>
        </is>
      </c>
      <c r="F963" t="inlineStr">
        <is>
          <t>SCA</t>
        </is>
      </c>
      <c r="G963" t="n">
        <v>1.1</v>
      </c>
      <c r="H963" t="n">
        <v>0</v>
      </c>
      <c r="I963" t="n">
        <v>1</v>
      </c>
      <c r="J963" t="n">
        <v>2</v>
      </c>
      <c r="K963" t="n">
        <v>0</v>
      </c>
      <c r="L963" t="n">
        <v>0</v>
      </c>
      <c r="M963" t="n">
        <v>0</v>
      </c>
      <c r="N963" t="n">
        <v>0</v>
      </c>
      <c r="O963" t="n">
        <v>2</v>
      </c>
      <c r="P963" t="n">
        <v>0</v>
      </c>
      <c r="Q963" t="n">
        <v>3</v>
      </c>
      <c r="R963" s="2" t="inlineStr">
        <is>
          <t>Kolflarnlav
Lunglav
Bårdlav</t>
        </is>
      </c>
      <c r="S963">
        <f>HYPERLINK("https://klasma.github.io/Logging_2313/artfynd/A 41657-2025 artfynd.xlsx", "A 41657-2025")</f>
        <v/>
      </c>
      <c r="T963">
        <f>HYPERLINK("https://klasma.github.io/Logging_2313/kartor/A 41657-2025 karta.png", "A 41657-2025")</f>
        <v/>
      </c>
      <c r="V963">
        <f>HYPERLINK("https://klasma.github.io/Logging_2313/klagomål/A 41657-2025 FSC-klagomål.docx", "A 41657-2025")</f>
        <v/>
      </c>
      <c r="W963">
        <f>HYPERLINK("https://klasma.github.io/Logging_2313/klagomålsmail/A 41657-2025 FSC-klagomål mail.docx", "A 41657-2025")</f>
        <v/>
      </c>
      <c r="X963">
        <f>HYPERLINK("https://klasma.github.io/Logging_2313/tillsyn/A 41657-2025 tillsynsbegäran.docx", "A 41657-2025")</f>
        <v/>
      </c>
      <c r="Y963">
        <f>HYPERLINK("https://klasma.github.io/Logging_2313/tillsynsmail/A 41657-2025 tillsynsbegäran mail.docx", "A 41657-2025")</f>
        <v/>
      </c>
    </row>
    <row r="964" ht="15" customHeight="1">
      <c r="A964" t="inlineStr">
        <is>
          <t>A 50895-2024</t>
        </is>
      </c>
      <c r="B964" s="1" t="n">
        <v>45602</v>
      </c>
      <c r="C964" s="1" t="n">
        <v>46045</v>
      </c>
      <c r="D964" t="inlineStr">
        <is>
          <t>JÄMTLANDS LÄN</t>
        </is>
      </c>
      <c r="E964" t="inlineStr">
        <is>
          <t>ÖSTERSUND</t>
        </is>
      </c>
      <c r="F964" t="inlineStr">
        <is>
          <t>Kommuner</t>
        </is>
      </c>
      <c r="G964" t="n">
        <v>6</v>
      </c>
      <c r="H964" t="n">
        <v>2</v>
      </c>
      <c r="I964" t="n">
        <v>0</v>
      </c>
      <c r="J964" t="n">
        <v>2</v>
      </c>
      <c r="K964" t="n">
        <v>1</v>
      </c>
      <c r="L964" t="n">
        <v>0</v>
      </c>
      <c r="M964" t="n">
        <v>0</v>
      </c>
      <c r="N964" t="n">
        <v>0</v>
      </c>
      <c r="O964" t="n">
        <v>3</v>
      </c>
      <c r="P964" t="n">
        <v>1</v>
      </c>
      <c r="Q964" t="n">
        <v>3</v>
      </c>
      <c r="R964" s="2" t="inlineStr">
        <is>
          <t>Knärot
Garnlav
Tretåig hackspett</t>
        </is>
      </c>
      <c r="S964">
        <f>HYPERLINK("https://klasma.github.io/Logging_2380/artfynd/A 50895-2024 artfynd.xlsx", "A 50895-2024")</f>
        <v/>
      </c>
      <c r="T964">
        <f>HYPERLINK("https://klasma.github.io/Logging_2380/kartor/A 50895-2024 karta.png", "A 50895-2024")</f>
        <v/>
      </c>
      <c r="U964">
        <f>HYPERLINK("https://klasma.github.io/Logging_2380/knärot/A 50895-2024 karta knärot.png", "A 50895-2024")</f>
        <v/>
      </c>
      <c r="V964">
        <f>HYPERLINK("https://klasma.github.io/Logging_2380/klagomål/A 50895-2024 FSC-klagomål.docx", "A 50895-2024")</f>
        <v/>
      </c>
      <c r="W964">
        <f>HYPERLINK("https://klasma.github.io/Logging_2380/klagomålsmail/A 50895-2024 FSC-klagomål mail.docx", "A 50895-2024")</f>
        <v/>
      </c>
      <c r="X964">
        <f>HYPERLINK("https://klasma.github.io/Logging_2380/tillsyn/A 50895-2024 tillsynsbegäran.docx", "A 50895-2024")</f>
        <v/>
      </c>
      <c r="Y964">
        <f>HYPERLINK("https://klasma.github.io/Logging_2380/tillsynsmail/A 50895-2024 tillsynsbegäran mail.docx", "A 50895-2024")</f>
        <v/>
      </c>
      <c r="Z964">
        <f>HYPERLINK("https://klasma.github.io/Logging_2380/fåglar/A 50895-2024 prioriterade fågelarter.docx", "A 50895-2024")</f>
        <v/>
      </c>
    </row>
    <row r="965" ht="15" customHeight="1">
      <c r="A965" t="inlineStr">
        <is>
          <t>A 53652-2024</t>
        </is>
      </c>
      <c r="B965" s="1" t="n">
        <v>45615.29761574074</v>
      </c>
      <c r="C965" s="1" t="n">
        <v>46045</v>
      </c>
      <c r="D965" t="inlineStr">
        <is>
          <t>JÄMTLANDS LÄN</t>
        </is>
      </c>
      <c r="E965" t="inlineStr">
        <is>
          <t>ÖSTERSUND</t>
        </is>
      </c>
      <c r="G965" t="n">
        <v>4.2</v>
      </c>
      <c r="H965" t="n">
        <v>1</v>
      </c>
      <c r="I965" t="n">
        <v>1</v>
      </c>
      <c r="J965" t="n">
        <v>1</v>
      </c>
      <c r="K965" t="n">
        <v>0</v>
      </c>
      <c r="L965" t="n">
        <v>0</v>
      </c>
      <c r="M965" t="n">
        <v>0</v>
      </c>
      <c r="N965" t="n">
        <v>0</v>
      </c>
      <c r="O965" t="n">
        <v>1</v>
      </c>
      <c r="P965" t="n">
        <v>0</v>
      </c>
      <c r="Q965" t="n">
        <v>3</v>
      </c>
      <c r="R965" s="2" t="inlineStr">
        <is>
          <t>Flattoppad klubbsvamp
Kransrams
Revlummer</t>
        </is>
      </c>
      <c r="S965">
        <f>HYPERLINK("https://klasma.github.io/Logging_2380/artfynd/A 53652-2024 artfynd.xlsx", "A 53652-2024")</f>
        <v/>
      </c>
      <c r="T965">
        <f>HYPERLINK("https://klasma.github.io/Logging_2380/kartor/A 53652-2024 karta.png", "A 53652-2024")</f>
        <v/>
      </c>
      <c r="V965">
        <f>HYPERLINK("https://klasma.github.io/Logging_2380/klagomål/A 53652-2024 FSC-klagomål.docx", "A 53652-2024")</f>
        <v/>
      </c>
      <c r="W965">
        <f>HYPERLINK("https://klasma.github.io/Logging_2380/klagomålsmail/A 53652-2024 FSC-klagomål mail.docx", "A 53652-2024")</f>
        <v/>
      </c>
      <c r="X965">
        <f>HYPERLINK("https://klasma.github.io/Logging_2380/tillsyn/A 53652-2024 tillsynsbegäran.docx", "A 53652-2024")</f>
        <v/>
      </c>
      <c r="Y965">
        <f>HYPERLINK("https://klasma.github.io/Logging_2380/tillsynsmail/A 53652-2024 tillsynsbegäran mail.docx", "A 53652-2024")</f>
        <v/>
      </c>
    </row>
    <row r="966" ht="15" customHeight="1">
      <c r="A966" t="inlineStr">
        <is>
          <t>A 23572-2021</t>
        </is>
      </c>
      <c r="B966" s="1" t="n">
        <v>44334</v>
      </c>
      <c r="C966" s="1" t="n">
        <v>46045</v>
      </c>
      <c r="D966" t="inlineStr">
        <is>
          <t>JÄMTLANDS LÄN</t>
        </is>
      </c>
      <c r="E966" t="inlineStr">
        <is>
          <t>ÅRE</t>
        </is>
      </c>
      <c r="G966" t="n">
        <v>1.6</v>
      </c>
      <c r="H966" t="n">
        <v>0</v>
      </c>
      <c r="I966" t="n">
        <v>1</v>
      </c>
      <c r="J966" t="n">
        <v>2</v>
      </c>
      <c r="K966" t="n">
        <v>0</v>
      </c>
      <c r="L966" t="n">
        <v>0</v>
      </c>
      <c r="M966" t="n">
        <v>0</v>
      </c>
      <c r="N966" t="n">
        <v>0</v>
      </c>
      <c r="O966" t="n">
        <v>2</v>
      </c>
      <c r="P966" t="n">
        <v>0</v>
      </c>
      <c r="Q966" t="n">
        <v>3</v>
      </c>
      <c r="R966" s="2" t="inlineStr">
        <is>
          <t>Garnlav
Skrovellav
Stuplav</t>
        </is>
      </c>
      <c r="S966">
        <f>HYPERLINK("https://klasma.github.io/Logging_2321/artfynd/A 23572-2021 artfynd.xlsx", "A 23572-2021")</f>
        <v/>
      </c>
      <c r="T966">
        <f>HYPERLINK("https://klasma.github.io/Logging_2321/kartor/A 23572-2021 karta.png", "A 23572-2021")</f>
        <v/>
      </c>
      <c r="V966">
        <f>HYPERLINK("https://klasma.github.io/Logging_2321/klagomål/A 23572-2021 FSC-klagomål.docx", "A 23572-2021")</f>
        <v/>
      </c>
      <c r="W966">
        <f>HYPERLINK("https://klasma.github.io/Logging_2321/klagomålsmail/A 23572-2021 FSC-klagomål mail.docx", "A 23572-2021")</f>
        <v/>
      </c>
      <c r="X966">
        <f>HYPERLINK("https://klasma.github.io/Logging_2321/tillsyn/A 23572-2021 tillsynsbegäran.docx", "A 23572-2021")</f>
        <v/>
      </c>
      <c r="Y966">
        <f>HYPERLINK("https://klasma.github.io/Logging_2321/tillsynsmail/A 23572-2021 tillsynsbegäran mail.docx", "A 23572-2021")</f>
        <v/>
      </c>
    </row>
    <row r="967" ht="15" customHeight="1">
      <c r="A967" t="inlineStr">
        <is>
          <t>A 5278-2025</t>
        </is>
      </c>
      <c r="B967" s="1" t="n">
        <v>45692</v>
      </c>
      <c r="C967" s="1" t="n">
        <v>46045</v>
      </c>
      <c r="D967" t="inlineStr">
        <is>
          <t>JÄMTLANDS LÄN</t>
        </is>
      </c>
      <c r="E967" t="inlineStr">
        <is>
          <t>KROKOM</t>
        </is>
      </c>
      <c r="F967" t="inlineStr">
        <is>
          <t>Övriga Aktiebolag</t>
        </is>
      </c>
      <c r="G967" t="n">
        <v>117.4</v>
      </c>
      <c r="H967" t="n">
        <v>1</v>
      </c>
      <c r="I967" t="n">
        <v>0</v>
      </c>
      <c r="J967" t="n">
        <v>2</v>
      </c>
      <c r="K967" t="n">
        <v>0</v>
      </c>
      <c r="L967" t="n">
        <v>1</v>
      </c>
      <c r="M967" t="n">
        <v>0</v>
      </c>
      <c r="N967" t="n">
        <v>0</v>
      </c>
      <c r="O967" t="n">
        <v>3</v>
      </c>
      <c r="P967" t="n">
        <v>1</v>
      </c>
      <c r="Q967" t="n">
        <v>3</v>
      </c>
      <c r="R967" s="2" t="inlineStr">
        <is>
          <t>Bredgentiana
Backruta
Månlåsbräken</t>
        </is>
      </c>
      <c r="S967">
        <f>HYPERLINK("https://klasma.github.io/Logging_2309/artfynd/A 5278-2025 artfynd.xlsx", "A 5278-2025")</f>
        <v/>
      </c>
      <c r="T967">
        <f>HYPERLINK("https://klasma.github.io/Logging_2309/kartor/A 5278-2025 karta.png", "A 5278-2025")</f>
        <v/>
      </c>
      <c r="V967">
        <f>HYPERLINK("https://klasma.github.io/Logging_2309/klagomål/A 5278-2025 FSC-klagomål.docx", "A 5278-2025")</f>
        <v/>
      </c>
      <c r="W967">
        <f>HYPERLINK("https://klasma.github.io/Logging_2309/klagomålsmail/A 5278-2025 FSC-klagomål mail.docx", "A 5278-2025")</f>
        <v/>
      </c>
      <c r="X967">
        <f>HYPERLINK("https://klasma.github.io/Logging_2309/tillsyn/A 5278-2025 tillsynsbegäran.docx", "A 5278-2025")</f>
        <v/>
      </c>
      <c r="Y967">
        <f>HYPERLINK("https://klasma.github.io/Logging_2309/tillsynsmail/A 5278-2025 tillsynsbegäran mail.docx", "A 5278-2025")</f>
        <v/>
      </c>
    </row>
    <row r="968" ht="15" customHeight="1">
      <c r="A968" t="inlineStr">
        <is>
          <t>A 71573-2021</t>
        </is>
      </c>
      <c r="B968" s="1" t="n">
        <v>44540</v>
      </c>
      <c r="C968" s="1" t="n">
        <v>46045</v>
      </c>
      <c r="D968" t="inlineStr">
        <is>
          <t>JÄMTLANDS LÄN</t>
        </is>
      </c>
      <c r="E968" t="inlineStr">
        <is>
          <t>KROKOM</t>
        </is>
      </c>
      <c r="G968" t="n">
        <v>1</v>
      </c>
      <c r="H968" t="n">
        <v>0</v>
      </c>
      <c r="I968" t="n">
        <v>2</v>
      </c>
      <c r="J968" t="n">
        <v>1</v>
      </c>
      <c r="K968" t="n">
        <v>0</v>
      </c>
      <c r="L968" t="n">
        <v>0</v>
      </c>
      <c r="M968" t="n">
        <v>0</v>
      </c>
      <c r="N968" t="n">
        <v>0</v>
      </c>
      <c r="O968" t="n">
        <v>1</v>
      </c>
      <c r="P968" t="n">
        <v>0</v>
      </c>
      <c r="Q968" t="n">
        <v>3</v>
      </c>
      <c r="R968" s="2" t="inlineStr">
        <is>
          <t>Doftskinn
Fjällig taggsvamp s.str.
Svavelriska</t>
        </is>
      </c>
      <c r="S968">
        <f>HYPERLINK("https://klasma.github.io/Logging_2309/artfynd/A 71573-2021 artfynd.xlsx", "A 71573-2021")</f>
        <v/>
      </c>
      <c r="T968">
        <f>HYPERLINK("https://klasma.github.io/Logging_2309/kartor/A 71573-2021 karta.png", "A 71573-2021")</f>
        <v/>
      </c>
      <c r="V968">
        <f>HYPERLINK("https://klasma.github.io/Logging_2309/klagomål/A 71573-2021 FSC-klagomål.docx", "A 71573-2021")</f>
        <v/>
      </c>
      <c r="W968">
        <f>HYPERLINK("https://klasma.github.io/Logging_2309/klagomålsmail/A 71573-2021 FSC-klagomål mail.docx", "A 71573-2021")</f>
        <v/>
      </c>
      <c r="X968">
        <f>HYPERLINK("https://klasma.github.io/Logging_2309/tillsyn/A 71573-2021 tillsynsbegäran.docx", "A 71573-2021")</f>
        <v/>
      </c>
      <c r="Y968">
        <f>HYPERLINK("https://klasma.github.io/Logging_2309/tillsynsmail/A 71573-2021 tillsynsbegäran mail.docx", "A 71573-2021")</f>
        <v/>
      </c>
    </row>
    <row r="969" ht="15" customHeight="1">
      <c r="A969" t="inlineStr">
        <is>
          <t>A 20776-2024</t>
        </is>
      </c>
      <c r="B969" s="1" t="n">
        <v>45436.94686342592</v>
      </c>
      <c r="C969" s="1" t="n">
        <v>46045</v>
      </c>
      <c r="D969" t="inlineStr">
        <is>
          <t>JÄMTLANDS LÄN</t>
        </is>
      </c>
      <c r="E969" t="inlineStr">
        <is>
          <t>RAGUNDA</t>
        </is>
      </c>
      <c r="F969" t="inlineStr">
        <is>
          <t>SCA</t>
        </is>
      </c>
      <c r="G969" t="n">
        <v>5.2</v>
      </c>
      <c r="H969" t="n">
        <v>0</v>
      </c>
      <c r="I969" t="n">
        <v>0</v>
      </c>
      <c r="J969" t="n">
        <v>2</v>
      </c>
      <c r="K969" t="n">
        <v>1</v>
      </c>
      <c r="L969" t="n">
        <v>0</v>
      </c>
      <c r="M969" t="n">
        <v>0</v>
      </c>
      <c r="N969" t="n">
        <v>0</v>
      </c>
      <c r="O969" t="n">
        <v>3</v>
      </c>
      <c r="P969" t="n">
        <v>1</v>
      </c>
      <c r="Q969" t="n">
        <v>3</v>
      </c>
      <c r="R969" s="2" t="inlineStr">
        <is>
          <t>Liten hornflikmossa
Garnlav
Vedtrappmossa</t>
        </is>
      </c>
      <c r="S969">
        <f>HYPERLINK("https://klasma.github.io/Logging_2303/artfynd/A 20776-2024 artfynd.xlsx", "A 20776-2024")</f>
        <v/>
      </c>
      <c r="T969">
        <f>HYPERLINK("https://klasma.github.io/Logging_2303/kartor/A 20776-2024 karta.png", "A 20776-2024")</f>
        <v/>
      </c>
      <c r="V969">
        <f>HYPERLINK("https://klasma.github.io/Logging_2303/klagomål/A 20776-2024 FSC-klagomål.docx", "A 20776-2024")</f>
        <v/>
      </c>
      <c r="W969">
        <f>HYPERLINK("https://klasma.github.io/Logging_2303/klagomålsmail/A 20776-2024 FSC-klagomål mail.docx", "A 20776-2024")</f>
        <v/>
      </c>
      <c r="X969">
        <f>HYPERLINK("https://klasma.github.io/Logging_2303/tillsyn/A 20776-2024 tillsynsbegäran.docx", "A 20776-2024")</f>
        <v/>
      </c>
      <c r="Y969">
        <f>HYPERLINK("https://klasma.github.io/Logging_2303/tillsynsmail/A 20776-2024 tillsynsbegäran mail.docx", "A 20776-2024")</f>
        <v/>
      </c>
    </row>
    <row r="970" ht="15" customHeight="1">
      <c r="A970" t="inlineStr">
        <is>
          <t>A 12269-2022</t>
        </is>
      </c>
      <c r="B970" s="1" t="n">
        <v>44637</v>
      </c>
      <c r="C970" s="1" t="n">
        <v>46045</v>
      </c>
      <c r="D970" t="inlineStr">
        <is>
          <t>JÄMTLANDS LÄN</t>
        </is>
      </c>
      <c r="E970" t="inlineStr">
        <is>
          <t>ÅRE</t>
        </is>
      </c>
      <c r="G970" t="n">
        <v>16.6</v>
      </c>
      <c r="H970" t="n">
        <v>0</v>
      </c>
      <c r="I970" t="n">
        <v>0</v>
      </c>
      <c r="J970" t="n">
        <v>3</v>
      </c>
      <c r="K970" t="n">
        <v>0</v>
      </c>
      <c r="L970" t="n">
        <v>0</v>
      </c>
      <c r="M970" t="n">
        <v>0</v>
      </c>
      <c r="N970" t="n">
        <v>0</v>
      </c>
      <c r="O970" t="n">
        <v>3</v>
      </c>
      <c r="P970" t="n">
        <v>0</v>
      </c>
      <c r="Q970" t="n">
        <v>3</v>
      </c>
      <c r="R970" s="2" t="inlineStr">
        <is>
          <t>Gammelgransskål
Granticka
Knottrig blåslav</t>
        </is>
      </c>
      <c r="S970">
        <f>HYPERLINK("https://klasma.github.io/Logging_2321/artfynd/A 12269-2022 artfynd.xlsx", "A 12269-2022")</f>
        <v/>
      </c>
      <c r="T970">
        <f>HYPERLINK("https://klasma.github.io/Logging_2321/kartor/A 12269-2022 karta.png", "A 12269-2022")</f>
        <v/>
      </c>
      <c r="V970">
        <f>HYPERLINK("https://klasma.github.io/Logging_2321/klagomål/A 12269-2022 FSC-klagomål.docx", "A 12269-2022")</f>
        <v/>
      </c>
      <c r="W970">
        <f>HYPERLINK("https://klasma.github.io/Logging_2321/klagomålsmail/A 12269-2022 FSC-klagomål mail.docx", "A 12269-2022")</f>
        <v/>
      </c>
      <c r="X970">
        <f>HYPERLINK("https://klasma.github.io/Logging_2321/tillsyn/A 12269-2022 tillsynsbegäran.docx", "A 12269-2022")</f>
        <v/>
      </c>
      <c r="Y970">
        <f>HYPERLINK("https://klasma.github.io/Logging_2321/tillsynsmail/A 12269-2022 tillsynsbegäran mail.docx", "A 12269-2022")</f>
        <v/>
      </c>
    </row>
    <row r="971" ht="15" customHeight="1">
      <c r="A971" t="inlineStr">
        <is>
          <t>A 30989-2024</t>
        </is>
      </c>
      <c r="B971" s="1" t="n">
        <v>45499.54851851852</v>
      </c>
      <c r="C971" s="1" t="n">
        <v>46045</v>
      </c>
      <c r="D971" t="inlineStr">
        <is>
          <t>JÄMTLANDS LÄN</t>
        </is>
      </c>
      <c r="E971" t="inlineStr">
        <is>
          <t>BRÄCKE</t>
        </is>
      </c>
      <c r="F971" t="inlineStr">
        <is>
          <t>Sveaskog</t>
        </is>
      </c>
      <c r="G971" t="n">
        <v>2.5</v>
      </c>
      <c r="H971" t="n">
        <v>1</v>
      </c>
      <c r="I971" t="n">
        <v>1</v>
      </c>
      <c r="J971" t="n">
        <v>2</v>
      </c>
      <c r="K971" t="n">
        <v>0</v>
      </c>
      <c r="L971" t="n">
        <v>0</v>
      </c>
      <c r="M971" t="n">
        <v>0</v>
      </c>
      <c r="N971" t="n">
        <v>0</v>
      </c>
      <c r="O971" t="n">
        <v>2</v>
      </c>
      <c r="P971" t="n">
        <v>0</v>
      </c>
      <c r="Q971" t="n">
        <v>3</v>
      </c>
      <c r="R971" s="2" t="inlineStr">
        <is>
          <t>Lunglav
Skrovellav
Tvåblad</t>
        </is>
      </c>
      <c r="S971">
        <f>HYPERLINK("https://klasma.github.io/Logging_2305/artfynd/A 30989-2024 artfynd.xlsx", "A 30989-2024")</f>
        <v/>
      </c>
      <c r="T971">
        <f>HYPERLINK("https://klasma.github.io/Logging_2305/kartor/A 30989-2024 karta.png", "A 30989-2024")</f>
        <v/>
      </c>
      <c r="V971">
        <f>HYPERLINK("https://klasma.github.io/Logging_2305/klagomål/A 30989-2024 FSC-klagomål.docx", "A 30989-2024")</f>
        <v/>
      </c>
      <c r="W971">
        <f>HYPERLINK("https://klasma.github.io/Logging_2305/klagomålsmail/A 30989-2024 FSC-klagomål mail.docx", "A 30989-2024")</f>
        <v/>
      </c>
      <c r="X971">
        <f>HYPERLINK("https://klasma.github.io/Logging_2305/tillsyn/A 30989-2024 tillsynsbegäran.docx", "A 30989-2024")</f>
        <v/>
      </c>
      <c r="Y971">
        <f>HYPERLINK("https://klasma.github.io/Logging_2305/tillsynsmail/A 30989-2024 tillsynsbegäran mail.docx", "A 30989-2024")</f>
        <v/>
      </c>
    </row>
    <row r="972" ht="15" customHeight="1">
      <c r="A972" t="inlineStr">
        <is>
          <t>A 13625-2023</t>
        </is>
      </c>
      <c r="B972" s="1" t="n">
        <v>45006</v>
      </c>
      <c r="C972" s="1" t="n">
        <v>46045</v>
      </c>
      <c r="D972" t="inlineStr">
        <is>
          <t>JÄMTLANDS LÄN</t>
        </is>
      </c>
      <c r="E972" t="inlineStr">
        <is>
          <t>ÅRE</t>
        </is>
      </c>
      <c r="G972" t="n">
        <v>22.9</v>
      </c>
      <c r="H972" t="n">
        <v>1</v>
      </c>
      <c r="I972" t="n">
        <v>0</v>
      </c>
      <c r="J972" t="n">
        <v>3</v>
      </c>
      <c r="K972" t="n">
        <v>0</v>
      </c>
      <c r="L972" t="n">
        <v>0</v>
      </c>
      <c r="M972" t="n">
        <v>0</v>
      </c>
      <c r="N972" t="n">
        <v>0</v>
      </c>
      <c r="O972" t="n">
        <v>3</v>
      </c>
      <c r="P972" t="n">
        <v>0</v>
      </c>
      <c r="Q972" t="n">
        <v>3</v>
      </c>
      <c r="R972" s="2" t="inlineStr">
        <is>
          <t>Lunglav
Tretåig hackspett
Vitskaftad svartspik</t>
        </is>
      </c>
      <c r="S972">
        <f>HYPERLINK("https://klasma.github.io/Logging_2321/artfynd/A 13625-2023 artfynd.xlsx", "A 13625-2023")</f>
        <v/>
      </c>
      <c r="T972">
        <f>HYPERLINK("https://klasma.github.io/Logging_2321/kartor/A 13625-2023 karta.png", "A 13625-2023")</f>
        <v/>
      </c>
      <c r="V972">
        <f>HYPERLINK("https://klasma.github.io/Logging_2321/klagomål/A 13625-2023 FSC-klagomål.docx", "A 13625-2023")</f>
        <v/>
      </c>
      <c r="W972">
        <f>HYPERLINK("https://klasma.github.io/Logging_2321/klagomålsmail/A 13625-2023 FSC-klagomål mail.docx", "A 13625-2023")</f>
        <v/>
      </c>
      <c r="X972">
        <f>HYPERLINK("https://klasma.github.io/Logging_2321/tillsyn/A 13625-2023 tillsynsbegäran.docx", "A 13625-2023")</f>
        <v/>
      </c>
      <c r="Y972">
        <f>HYPERLINK("https://klasma.github.io/Logging_2321/tillsynsmail/A 13625-2023 tillsynsbegäran mail.docx", "A 13625-2023")</f>
        <v/>
      </c>
      <c r="Z972">
        <f>HYPERLINK("https://klasma.github.io/Logging_2321/fåglar/A 13625-2023 prioriterade fågelarter.docx", "A 13625-2023")</f>
        <v/>
      </c>
    </row>
    <row r="973" ht="15" customHeight="1">
      <c r="A973" t="inlineStr">
        <is>
          <t>A 72934-2021</t>
        </is>
      </c>
      <c r="B973" s="1" t="n">
        <v>44547</v>
      </c>
      <c r="C973" s="1" t="n">
        <v>46045</v>
      </c>
      <c r="D973" t="inlineStr">
        <is>
          <t>JÄMTLANDS LÄN</t>
        </is>
      </c>
      <c r="E973" t="inlineStr">
        <is>
          <t>ÅRE</t>
        </is>
      </c>
      <c r="G973" t="n">
        <v>31.9</v>
      </c>
      <c r="H973" t="n">
        <v>0</v>
      </c>
      <c r="I973" t="n">
        <v>0</v>
      </c>
      <c r="J973" t="n">
        <v>3</v>
      </c>
      <c r="K973" t="n">
        <v>0</v>
      </c>
      <c r="L973" t="n">
        <v>0</v>
      </c>
      <c r="M973" t="n">
        <v>0</v>
      </c>
      <c r="N973" t="n">
        <v>0</v>
      </c>
      <c r="O973" t="n">
        <v>3</v>
      </c>
      <c r="P973" t="n">
        <v>0</v>
      </c>
      <c r="Q973" t="n">
        <v>3</v>
      </c>
      <c r="R973" s="2" t="inlineStr">
        <is>
          <t>Gränsticka
Skrovellav
Stjärntagging</t>
        </is>
      </c>
      <c r="S973">
        <f>HYPERLINK("https://klasma.github.io/Logging_2321/artfynd/A 72934-2021 artfynd.xlsx", "A 72934-2021")</f>
        <v/>
      </c>
      <c r="T973">
        <f>HYPERLINK("https://klasma.github.io/Logging_2321/kartor/A 72934-2021 karta.png", "A 72934-2021")</f>
        <v/>
      </c>
      <c r="V973">
        <f>HYPERLINK("https://klasma.github.io/Logging_2321/klagomål/A 72934-2021 FSC-klagomål.docx", "A 72934-2021")</f>
        <v/>
      </c>
      <c r="W973">
        <f>HYPERLINK("https://klasma.github.io/Logging_2321/klagomålsmail/A 72934-2021 FSC-klagomål mail.docx", "A 72934-2021")</f>
        <v/>
      </c>
      <c r="X973">
        <f>HYPERLINK("https://klasma.github.io/Logging_2321/tillsyn/A 72934-2021 tillsynsbegäran.docx", "A 72934-2021")</f>
        <v/>
      </c>
      <c r="Y973">
        <f>HYPERLINK("https://klasma.github.io/Logging_2321/tillsynsmail/A 72934-2021 tillsynsbegäran mail.docx", "A 72934-2021")</f>
        <v/>
      </c>
    </row>
    <row r="974" ht="15" customHeight="1">
      <c r="A974" t="inlineStr">
        <is>
          <t>A 14599-2021</t>
        </is>
      </c>
      <c r="B974" s="1" t="n">
        <v>44279</v>
      </c>
      <c r="C974" s="1" t="n">
        <v>46045</v>
      </c>
      <c r="D974" t="inlineStr">
        <is>
          <t>JÄMTLANDS LÄN</t>
        </is>
      </c>
      <c r="E974" t="inlineStr">
        <is>
          <t>BERG</t>
        </is>
      </c>
      <c r="G974" t="n">
        <v>25.7</v>
      </c>
      <c r="H974" t="n">
        <v>1</v>
      </c>
      <c r="I974" t="n">
        <v>0</v>
      </c>
      <c r="J974" t="n">
        <v>3</v>
      </c>
      <c r="K974" t="n">
        <v>0</v>
      </c>
      <c r="L974" t="n">
        <v>0</v>
      </c>
      <c r="M974" t="n">
        <v>0</v>
      </c>
      <c r="N974" t="n">
        <v>0</v>
      </c>
      <c r="O974" t="n">
        <v>3</v>
      </c>
      <c r="P974" t="n">
        <v>0</v>
      </c>
      <c r="Q974" t="n">
        <v>3</v>
      </c>
      <c r="R974" s="2" t="inlineStr">
        <is>
          <t>Garnlav
Harticka
Tretåig hackspett</t>
        </is>
      </c>
      <c r="S974">
        <f>HYPERLINK("https://klasma.github.io/Logging_2326/artfynd/A 14599-2021 artfynd.xlsx", "A 14599-2021")</f>
        <v/>
      </c>
      <c r="T974">
        <f>HYPERLINK("https://klasma.github.io/Logging_2326/kartor/A 14599-2021 karta.png", "A 14599-2021")</f>
        <v/>
      </c>
      <c r="V974">
        <f>HYPERLINK("https://klasma.github.io/Logging_2326/klagomål/A 14599-2021 FSC-klagomål.docx", "A 14599-2021")</f>
        <v/>
      </c>
      <c r="W974">
        <f>HYPERLINK("https://klasma.github.io/Logging_2326/klagomålsmail/A 14599-2021 FSC-klagomål mail.docx", "A 14599-2021")</f>
        <v/>
      </c>
      <c r="X974">
        <f>HYPERLINK("https://klasma.github.io/Logging_2326/tillsyn/A 14599-2021 tillsynsbegäran.docx", "A 14599-2021")</f>
        <v/>
      </c>
      <c r="Y974">
        <f>HYPERLINK("https://klasma.github.io/Logging_2326/tillsynsmail/A 14599-2021 tillsynsbegäran mail.docx", "A 14599-2021")</f>
        <v/>
      </c>
      <c r="Z974">
        <f>HYPERLINK("https://klasma.github.io/Logging_2326/fåglar/A 14599-2021 prioriterade fågelarter.docx", "A 14599-2021")</f>
        <v/>
      </c>
    </row>
    <row r="975" ht="15" customHeight="1">
      <c r="A975" t="inlineStr">
        <is>
          <t>A 20124-2023</t>
        </is>
      </c>
      <c r="B975" s="1" t="n">
        <v>45055</v>
      </c>
      <c r="C975" s="1" t="n">
        <v>46045</v>
      </c>
      <c r="D975" t="inlineStr">
        <is>
          <t>JÄMTLANDS LÄN</t>
        </is>
      </c>
      <c r="E975" t="inlineStr">
        <is>
          <t>ÅRE</t>
        </is>
      </c>
      <c r="G975" t="n">
        <v>3.4</v>
      </c>
      <c r="H975" t="n">
        <v>0</v>
      </c>
      <c r="I975" t="n">
        <v>3</v>
      </c>
      <c r="J975" t="n">
        <v>0</v>
      </c>
      <c r="K975" t="n">
        <v>0</v>
      </c>
      <c r="L975" t="n">
        <v>0</v>
      </c>
      <c r="M975" t="n">
        <v>0</v>
      </c>
      <c r="N975" t="n">
        <v>0</v>
      </c>
      <c r="O975" t="n">
        <v>0</v>
      </c>
      <c r="P975" t="n">
        <v>0</v>
      </c>
      <c r="Q975" t="n">
        <v>3</v>
      </c>
      <c r="R975" s="2" t="inlineStr">
        <is>
          <t>Finbräken
Svart trolldruva
Underviol</t>
        </is>
      </c>
      <c r="S975">
        <f>HYPERLINK("https://klasma.github.io/Logging_2321/artfynd/A 20124-2023 artfynd.xlsx", "A 20124-2023")</f>
        <v/>
      </c>
      <c r="T975">
        <f>HYPERLINK("https://klasma.github.io/Logging_2321/kartor/A 20124-2023 karta.png", "A 20124-2023")</f>
        <v/>
      </c>
      <c r="V975">
        <f>HYPERLINK("https://klasma.github.io/Logging_2321/klagomål/A 20124-2023 FSC-klagomål.docx", "A 20124-2023")</f>
        <v/>
      </c>
      <c r="W975">
        <f>HYPERLINK("https://klasma.github.io/Logging_2321/klagomålsmail/A 20124-2023 FSC-klagomål mail.docx", "A 20124-2023")</f>
        <v/>
      </c>
      <c r="X975">
        <f>HYPERLINK("https://klasma.github.io/Logging_2321/tillsyn/A 20124-2023 tillsynsbegäran.docx", "A 20124-2023")</f>
        <v/>
      </c>
      <c r="Y975">
        <f>HYPERLINK("https://klasma.github.io/Logging_2321/tillsynsmail/A 20124-2023 tillsynsbegäran mail.docx", "A 20124-2023")</f>
        <v/>
      </c>
    </row>
    <row r="976" ht="15" customHeight="1">
      <c r="A976" t="inlineStr">
        <is>
          <t>A 10065-2023</t>
        </is>
      </c>
      <c r="B976" s="1" t="n">
        <v>44985</v>
      </c>
      <c r="C976" s="1" t="n">
        <v>46045</v>
      </c>
      <c r="D976" t="inlineStr">
        <is>
          <t>JÄMTLANDS LÄN</t>
        </is>
      </c>
      <c r="E976" t="inlineStr">
        <is>
          <t>STRÖMSUND</t>
        </is>
      </c>
      <c r="G976" t="n">
        <v>0.6</v>
      </c>
      <c r="H976" t="n">
        <v>1</v>
      </c>
      <c r="I976" t="n">
        <v>2</v>
      </c>
      <c r="J976" t="n">
        <v>1</v>
      </c>
      <c r="K976" t="n">
        <v>0</v>
      </c>
      <c r="L976" t="n">
        <v>0</v>
      </c>
      <c r="M976" t="n">
        <v>0</v>
      </c>
      <c r="N976" t="n">
        <v>0</v>
      </c>
      <c r="O976" t="n">
        <v>1</v>
      </c>
      <c r="P976" t="n">
        <v>0</v>
      </c>
      <c r="Q976" t="n">
        <v>3</v>
      </c>
      <c r="R976" s="2" t="inlineStr">
        <is>
          <t>Orange taggsvamp
Grönkulla
Svart trolldruva</t>
        </is>
      </c>
      <c r="S976">
        <f>HYPERLINK("https://klasma.github.io/Logging_2313/artfynd/A 10065-2023 artfynd.xlsx", "A 10065-2023")</f>
        <v/>
      </c>
      <c r="T976">
        <f>HYPERLINK("https://klasma.github.io/Logging_2313/kartor/A 10065-2023 karta.png", "A 10065-2023")</f>
        <v/>
      </c>
      <c r="V976">
        <f>HYPERLINK("https://klasma.github.io/Logging_2313/klagomål/A 10065-2023 FSC-klagomål.docx", "A 10065-2023")</f>
        <v/>
      </c>
      <c r="W976">
        <f>HYPERLINK("https://klasma.github.io/Logging_2313/klagomålsmail/A 10065-2023 FSC-klagomål mail.docx", "A 10065-2023")</f>
        <v/>
      </c>
      <c r="X976">
        <f>HYPERLINK("https://klasma.github.io/Logging_2313/tillsyn/A 10065-2023 tillsynsbegäran.docx", "A 10065-2023")</f>
        <v/>
      </c>
      <c r="Y976">
        <f>HYPERLINK("https://klasma.github.io/Logging_2313/tillsynsmail/A 10065-2023 tillsynsbegäran mail.docx", "A 10065-2023")</f>
        <v/>
      </c>
    </row>
    <row r="977" ht="15" customHeight="1">
      <c r="A977" t="inlineStr">
        <is>
          <t>A 42945-2025</t>
        </is>
      </c>
      <c r="B977" s="1" t="n">
        <v>45909</v>
      </c>
      <c r="C977" s="1" t="n">
        <v>46045</v>
      </c>
      <c r="D977" t="inlineStr">
        <is>
          <t>JÄMTLANDS LÄN</t>
        </is>
      </c>
      <c r="E977" t="inlineStr">
        <is>
          <t>STRÖMSUND</t>
        </is>
      </c>
      <c r="F977" t="inlineStr">
        <is>
          <t>SCA</t>
        </is>
      </c>
      <c r="G977" t="n">
        <v>2.8</v>
      </c>
      <c r="H977" t="n">
        <v>0</v>
      </c>
      <c r="I977" t="n">
        <v>1</v>
      </c>
      <c r="J977" t="n">
        <v>2</v>
      </c>
      <c r="K977" t="n">
        <v>0</v>
      </c>
      <c r="L977" t="n">
        <v>0</v>
      </c>
      <c r="M977" t="n">
        <v>0</v>
      </c>
      <c r="N977" t="n">
        <v>0</v>
      </c>
      <c r="O977" t="n">
        <v>2</v>
      </c>
      <c r="P977" t="n">
        <v>0</v>
      </c>
      <c r="Q977" t="n">
        <v>3</v>
      </c>
      <c r="R977" s="2" t="inlineStr">
        <is>
          <t>Lunglav
Skrovellav
Bårdlav</t>
        </is>
      </c>
      <c r="S977">
        <f>HYPERLINK("https://klasma.github.io/Logging_2313/artfynd/A 42945-2025 artfynd.xlsx", "A 42945-2025")</f>
        <v/>
      </c>
      <c r="T977">
        <f>HYPERLINK("https://klasma.github.io/Logging_2313/kartor/A 42945-2025 karta.png", "A 42945-2025")</f>
        <v/>
      </c>
      <c r="V977">
        <f>HYPERLINK("https://klasma.github.io/Logging_2313/klagomål/A 42945-2025 FSC-klagomål.docx", "A 42945-2025")</f>
        <v/>
      </c>
      <c r="W977">
        <f>HYPERLINK("https://klasma.github.io/Logging_2313/klagomålsmail/A 42945-2025 FSC-klagomål mail.docx", "A 42945-2025")</f>
        <v/>
      </c>
      <c r="X977">
        <f>HYPERLINK("https://klasma.github.io/Logging_2313/tillsyn/A 42945-2025 tillsynsbegäran.docx", "A 42945-2025")</f>
        <v/>
      </c>
      <c r="Y977">
        <f>HYPERLINK("https://klasma.github.io/Logging_2313/tillsynsmail/A 42945-2025 tillsynsbegäran mail.docx", "A 42945-2025")</f>
        <v/>
      </c>
    </row>
    <row r="978" ht="15" customHeight="1">
      <c r="A978" t="inlineStr">
        <is>
          <t>A 47165-2023</t>
        </is>
      </c>
      <c r="B978" s="1" t="n">
        <v>45201</v>
      </c>
      <c r="C978" s="1" t="n">
        <v>46045</v>
      </c>
      <c r="D978" t="inlineStr">
        <is>
          <t>JÄMTLANDS LÄN</t>
        </is>
      </c>
      <c r="E978" t="inlineStr">
        <is>
          <t>STRÖMSUND</t>
        </is>
      </c>
      <c r="F978" t="inlineStr">
        <is>
          <t>SCA</t>
        </is>
      </c>
      <c r="G978" t="n">
        <v>9.300000000000001</v>
      </c>
      <c r="H978" t="n">
        <v>0</v>
      </c>
      <c r="I978" t="n">
        <v>0</v>
      </c>
      <c r="J978" t="n">
        <v>3</v>
      </c>
      <c r="K978" t="n">
        <v>0</v>
      </c>
      <c r="L978" t="n">
        <v>0</v>
      </c>
      <c r="M978" t="n">
        <v>0</v>
      </c>
      <c r="N978" t="n">
        <v>0</v>
      </c>
      <c r="O978" t="n">
        <v>3</v>
      </c>
      <c r="P978" t="n">
        <v>0</v>
      </c>
      <c r="Q978" t="n">
        <v>3</v>
      </c>
      <c r="R978" s="2" t="inlineStr">
        <is>
          <t>Lunglav
Vedtrappmossa
Violmussling</t>
        </is>
      </c>
      <c r="S978">
        <f>HYPERLINK("https://klasma.github.io/Logging_2313/artfynd/A 47165-2023 artfynd.xlsx", "A 47165-2023")</f>
        <v/>
      </c>
      <c r="T978">
        <f>HYPERLINK("https://klasma.github.io/Logging_2313/kartor/A 47165-2023 karta.png", "A 47165-2023")</f>
        <v/>
      </c>
      <c r="V978">
        <f>HYPERLINK("https://klasma.github.io/Logging_2313/klagomål/A 47165-2023 FSC-klagomål.docx", "A 47165-2023")</f>
        <v/>
      </c>
      <c r="W978">
        <f>HYPERLINK("https://klasma.github.io/Logging_2313/klagomålsmail/A 47165-2023 FSC-klagomål mail.docx", "A 47165-2023")</f>
        <v/>
      </c>
      <c r="X978">
        <f>HYPERLINK("https://klasma.github.io/Logging_2313/tillsyn/A 47165-2023 tillsynsbegäran.docx", "A 47165-2023")</f>
        <v/>
      </c>
      <c r="Y978">
        <f>HYPERLINK("https://klasma.github.io/Logging_2313/tillsynsmail/A 47165-2023 tillsynsbegäran mail.docx", "A 47165-2023")</f>
        <v/>
      </c>
    </row>
    <row r="979" ht="15" customHeight="1">
      <c r="A979" t="inlineStr">
        <is>
          <t>A 47183-2023</t>
        </is>
      </c>
      <c r="B979" s="1" t="n">
        <v>45201</v>
      </c>
      <c r="C979" s="1" t="n">
        <v>46045</v>
      </c>
      <c r="D979" t="inlineStr">
        <is>
          <t>JÄMTLANDS LÄN</t>
        </is>
      </c>
      <c r="E979" t="inlineStr">
        <is>
          <t>BRÄCKE</t>
        </is>
      </c>
      <c r="F979" t="inlineStr">
        <is>
          <t>SCA</t>
        </is>
      </c>
      <c r="G979" t="n">
        <v>1.2</v>
      </c>
      <c r="H979" t="n">
        <v>2</v>
      </c>
      <c r="I979" t="n">
        <v>1</v>
      </c>
      <c r="J979" t="n">
        <v>1</v>
      </c>
      <c r="K979" t="n">
        <v>0</v>
      </c>
      <c r="L979" t="n">
        <v>0</v>
      </c>
      <c r="M979" t="n">
        <v>0</v>
      </c>
      <c r="N979" t="n">
        <v>0</v>
      </c>
      <c r="O979" t="n">
        <v>1</v>
      </c>
      <c r="P979" t="n">
        <v>0</v>
      </c>
      <c r="Q979" t="n">
        <v>3</v>
      </c>
      <c r="R979" s="2" t="inlineStr">
        <is>
          <t>Lunglav
Spindelblomster
Fläcknycklar</t>
        </is>
      </c>
      <c r="S979">
        <f>HYPERLINK("https://klasma.github.io/Logging_2305/artfynd/A 47183-2023 artfynd.xlsx", "A 47183-2023")</f>
        <v/>
      </c>
      <c r="T979">
        <f>HYPERLINK("https://klasma.github.io/Logging_2305/kartor/A 47183-2023 karta.png", "A 47183-2023")</f>
        <v/>
      </c>
      <c r="U979">
        <f>HYPERLINK("https://klasma.github.io/Logging_2305/knärot/A 47183-2023 karta knärot.png", "A 47183-2023")</f>
        <v/>
      </c>
      <c r="V979">
        <f>HYPERLINK("https://klasma.github.io/Logging_2305/klagomål/A 47183-2023 FSC-klagomål.docx", "A 47183-2023")</f>
        <v/>
      </c>
      <c r="W979">
        <f>HYPERLINK("https://klasma.github.io/Logging_2305/klagomålsmail/A 47183-2023 FSC-klagomål mail.docx", "A 47183-2023")</f>
        <v/>
      </c>
      <c r="X979">
        <f>HYPERLINK("https://klasma.github.io/Logging_2305/tillsyn/A 47183-2023 tillsynsbegäran.docx", "A 47183-2023")</f>
        <v/>
      </c>
      <c r="Y979">
        <f>HYPERLINK("https://klasma.github.io/Logging_2305/tillsynsmail/A 47183-2023 tillsynsbegäran mail.docx", "A 47183-2023")</f>
        <v/>
      </c>
    </row>
    <row r="980" ht="15" customHeight="1">
      <c r="A980" t="inlineStr">
        <is>
          <t>A 69109-2021</t>
        </is>
      </c>
      <c r="B980" s="1" t="n">
        <v>44530</v>
      </c>
      <c r="C980" s="1" t="n">
        <v>46045</v>
      </c>
      <c r="D980" t="inlineStr">
        <is>
          <t>JÄMTLANDS LÄN</t>
        </is>
      </c>
      <c r="E980" t="inlineStr">
        <is>
          <t>STRÖMSUND</t>
        </is>
      </c>
      <c r="G980" t="n">
        <v>11.6</v>
      </c>
      <c r="H980" t="n">
        <v>0</v>
      </c>
      <c r="I980" t="n">
        <v>3</v>
      </c>
      <c r="J980" t="n">
        <v>0</v>
      </c>
      <c r="K980" t="n">
        <v>0</v>
      </c>
      <c r="L980" t="n">
        <v>0</v>
      </c>
      <c r="M980" t="n">
        <v>0</v>
      </c>
      <c r="N980" t="n">
        <v>0</v>
      </c>
      <c r="O980" t="n">
        <v>0</v>
      </c>
      <c r="P980" t="n">
        <v>0</v>
      </c>
      <c r="Q980" t="n">
        <v>3</v>
      </c>
      <c r="R980" s="2" t="inlineStr">
        <is>
          <t>Nordlig tuffmossa
Skogsbräsma
Sotriska</t>
        </is>
      </c>
      <c r="S980">
        <f>HYPERLINK("https://klasma.github.io/Logging_2313/artfynd/A 69109-2021 artfynd.xlsx", "A 69109-2021")</f>
        <v/>
      </c>
      <c r="T980">
        <f>HYPERLINK("https://klasma.github.io/Logging_2313/kartor/A 69109-2021 karta.png", "A 69109-2021")</f>
        <v/>
      </c>
      <c r="V980">
        <f>HYPERLINK("https://klasma.github.io/Logging_2313/klagomål/A 69109-2021 FSC-klagomål.docx", "A 69109-2021")</f>
        <v/>
      </c>
      <c r="W980">
        <f>HYPERLINK("https://klasma.github.io/Logging_2313/klagomålsmail/A 69109-2021 FSC-klagomål mail.docx", "A 69109-2021")</f>
        <v/>
      </c>
      <c r="X980">
        <f>HYPERLINK("https://klasma.github.io/Logging_2313/tillsyn/A 69109-2021 tillsynsbegäran.docx", "A 69109-2021")</f>
        <v/>
      </c>
      <c r="Y980">
        <f>HYPERLINK("https://klasma.github.io/Logging_2313/tillsynsmail/A 69109-2021 tillsynsbegäran mail.docx", "A 69109-2021")</f>
        <v/>
      </c>
    </row>
    <row r="981" ht="15" customHeight="1">
      <c r="A981" t="inlineStr">
        <is>
          <t>A 40695-2024</t>
        </is>
      </c>
      <c r="B981" s="1" t="n">
        <v>45558</v>
      </c>
      <c r="C981" s="1" t="n">
        <v>46045</v>
      </c>
      <c r="D981" t="inlineStr">
        <is>
          <t>JÄMTLANDS LÄN</t>
        </is>
      </c>
      <c r="E981" t="inlineStr">
        <is>
          <t>ÖSTERSUND</t>
        </is>
      </c>
      <c r="F981" t="inlineStr">
        <is>
          <t>SCA</t>
        </is>
      </c>
      <c r="G981" t="n">
        <v>2.9</v>
      </c>
      <c r="H981" t="n">
        <v>0</v>
      </c>
      <c r="I981" t="n">
        <v>2</v>
      </c>
      <c r="J981" t="n">
        <v>1</v>
      </c>
      <c r="K981" t="n">
        <v>0</v>
      </c>
      <c r="L981" t="n">
        <v>0</v>
      </c>
      <c r="M981" t="n">
        <v>0</v>
      </c>
      <c r="N981" t="n">
        <v>0</v>
      </c>
      <c r="O981" t="n">
        <v>1</v>
      </c>
      <c r="P981" t="n">
        <v>0</v>
      </c>
      <c r="Q981" t="n">
        <v>3</v>
      </c>
      <c r="R981" s="2" t="inlineStr">
        <is>
          <t>Lunglav
Dropptaggsvamp
Skinnlav</t>
        </is>
      </c>
      <c r="S981">
        <f>HYPERLINK("https://klasma.github.io/Logging_2380/artfynd/A 40695-2024 artfynd.xlsx", "A 40695-2024")</f>
        <v/>
      </c>
      <c r="T981">
        <f>HYPERLINK("https://klasma.github.io/Logging_2380/kartor/A 40695-2024 karta.png", "A 40695-2024")</f>
        <v/>
      </c>
      <c r="V981">
        <f>HYPERLINK("https://klasma.github.io/Logging_2380/klagomål/A 40695-2024 FSC-klagomål.docx", "A 40695-2024")</f>
        <v/>
      </c>
      <c r="W981">
        <f>HYPERLINK("https://klasma.github.io/Logging_2380/klagomålsmail/A 40695-2024 FSC-klagomål mail.docx", "A 40695-2024")</f>
        <v/>
      </c>
      <c r="X981">
        <f>HYPERLINK("https://klasma.github.io/Logging_2380/tillsyn/A 40695-2024 tillsynsbegäran.docx", "A 40695-2024")</f>
        <v/>
      </c>
      <c r="Y981">
        <f>HYPERLINK("https://klasma.github.io/Logging_2380/tillsynsmail/A 40695-2024 tillsynsbegäran mail.docx", "A 40695-2024")</f>
        <v/>
      </c>
    </row>
    <row r="982" ht="15" customHeight="1">
      <c r="A982" t="inlineStr">
        <is>
          <t>A 30350-2024</t>
        </is>
      </c>
      <c r="B982" s="1" t="n">
        <v>45490</v>
      </c>
      <c r="C982" s="1" t="n">
        <v>46045</v>
      </c>
      <c r="D982" t="inlineStr">
        <is>
          <t>JÄMTLANDS LÄN</t>
        </is>
      </c>
      <c r="E982" t="inlineStr">
        <is>
          <t>STRÖMSUND</t>
        </is>
      </c>
      <c r="F982" t="inlineStr">
        <is>
          <t>SCA</t>
        </is>
      </c>
      <c r="G982" t="n">
        <v>3.9</v>
      </c>
      <c r="H982" t="n">
        <v>1</v>
      </c>
      <c r="I982" t="n">
        <v>2</v>
      </c>
      <c r="J982" t="n">
        <v>1</v>
      </c>
      <c r="K982" t="n">
        <v>0</v>
      </c>
      <c r="L982" t="n">
        <v>0</v>
      </c>
      <c r="M982" t="n">
        <v>0</v>
      </c>
      <c r="N982" t="n">
        <v>0</v>
      </c>
      <c r="O982" t="n">
        <v>1</v>
      </c>
      <c r="P982" t="n">
        <v>0</v>
      </c>
      <c r="Q982" t="n">
        <v>3</v>
      </c>
      <c r="R982" s="2" t="inlineStr">
        <is>
          <t>Lunglav
Granriska
Tvåblad</t>
        </is>
      </c>
      <c r="S982">
        <f>HYPERLINK("https://klasma.github.io/Logging_2313/artfynd/A 30350-2024 artfynd.xlsx", "A 30350-2024")</f>
        <v/>
      </c>
      <c r="T982">
        <f>HYPERLINK("https://klasma.github.io/Logging_2313/kartor/A 30350-2024 karta.png", "A 30350-2024")</f>
        <v/>
      </c>
      <c r="V982">
        <f>HYPERLINK("https://klasma.github.io/Logging_2313/klagomål/A 30350-2024 FSC-klagomål.docx", "A 30350-2024")</f>
        <v/>
      </c>
      <c r="W982">
        <f>HYPERLINK("https://klasma.github.io/Logging_2313/klagomålsmail/A 30350-2024 FSC-klagomål mail.docx", "A 30350-2024")</f>
        <v/>
      </c>
      <c r="X982">
        <f>HYPERLINK("https://klasma.github.io/Logging_2313/tillsyn/A 30350-2024 tillsynsbegäran.docx", "A 30350-2024")</f>
        <v/>
      </c>
      <c r="Y982">
        <f>HYPERLINK("https://klasma.github.io/Logging_2313/tillsynsmail/A 30350-2024 tillsynsbegäran mail.docx", "A 30350-2024")</f>
        <v/>
      </c>
    </row>
    <row r="983" ht="15" customHeight="1">
      <c r="A983" t="inlineStr">
        <is>
          <t>A 5048-2025</t>
        </is>
      </c>
      <c r="B983" s="1" t="n">
        <v>45691.44769675926</v>
      </c>
      <c r="C983" s="1" t="n">
        <v>46045</v>
      </c>
      <c r="D983" t="inlineStr">
        <is>
          <t>JÄMTLANDS LÄN</t>
        </is>
      </c>
      <c r="E983" t="inlineStr">
        <is>
          <t>RAGUNDA</t>
        </is>
      </c>
      <c r="F983" t="inlineStr">
        <is>
          <t>SCA</t>
        </is>
      </c>
      <c r="G983" t="n">
        <v>1.8</v>
      </c>
      <c r="H983" t="n">
        <v>3</v>
      </c>
      <c r="I983" t="n">
        <v>2</v>
      </c>
      <c r="J983" t="n">
        <v>0</v>
      </c>
      <c r="K983" t="n">
        <v>0</v>
      </c>
      <c r="L983" t="n">
        <v>0</v>
      </c>
      <c r="M983" t="n">
        <v>0</v>
      </c>
      <c r="N983" t="n">
        <v>0</v>
      </c>
      <c r="O983" t="n">
        <v>0</v>
      </c>
      <c r="P983" t="n">
        <v>0</v>
      </c>
      <c r="Q983" t="n">
        <v>3</v>
      </c>
      <c r="R983" s="2" t="inlineStr">
        <is>
          <t>Guckusko
Tvåblad
Fläcknycklar</t>
        </is>
      </c>
      <c r="S983">
        <f>HYPERLINK("https://klasma.github.io/Logging_2303/artfynd/A 5048-2025 artfynd.xlsx", "A 5048-2025")</f>
        <v/>
      </c>
      <c r="T983">
        <f>HYPERLINK("https://klasma.github.io/Logging_2303/kartor/A 5048-2025 karta.png", "A 5048-2025")</f>
        <v/>
      </c>
      <c r="V983">
        <f>HYPERLINK("https://klasma.github.io/Logging_2303/klagomål/A 5048-2025 FSC-klagomål.docx", "A 5048-2025")</f>
        <v/>
      </c>
      <c r="W983">
        <f>HYPERLINK("https://klasma.github.io/Logging_2303/klagomålsmail/A 5048-2025 FSC-klagomål mail.docx", "A 5048-2025")</f>
        <v/>
      </c>
      <c r="X983">
        <f>HYPERLINK("https://klasma.github.io/Logging_2303/tillsyn/A 5048-2025 tillsynsbegäran.docx", "A 5048-2025")</f>
        <v/>
      </c>
      <c r="Y983">
        <f>HYPERLINK("https://klasma.github.io/Logging_2303/tillsynsmail/A 5048-2025 tillsynsbegäran mail.docx", "A 5048-2025")</f>
        <v/>
      </c>
    </row>
    <row r="984" ht="15" customHeight="1">
      <c r="A984" t="inlineStr">
        <is>
          <t>A 54376-2025</t>
        </is>
      </c>
      <c r="B984" s="1" t="n">
        <v>45965.42515046296</v>
      </c>
      <c r="C984" s="1" t="n">
        <v>46045</v>
      </c>
      <c r="D984" t="inlineStr">
        <is>
          <t>JÄMTLANDS LÄN</t>
        </is>
      </c>
      <c r="E984" t="inlineStr">
        <is>
          <t>ÅRE</t>
        </is>
      </c>
      <c r="G984" t="n">
        <v>5.3</v>
      </c>
      <c r="H984" t="n">
        <v>0</v>
      </c>
      <c r="I984" t="n">
        <v>1</v>
      </c>
      <c r="J984" t="n">
        <v>2</v>
      </c>
      <c r="K984" t="n">
        <v>0</v>
      </c>
      <c r="L984" t="n">
        <v>0</v>
      </c>
      <c r="M984" t="n">
        <v>0</v>
      </c>
      <c r="N984" t="n">
        <v>0</v>
      </c>
      <c r="O984" t="n">
        <v>2</v>
      </c>
      <c r="P984" t="n">
        <v>0</v>
      </c>
      <c r="Q984" t="n">
        <v>3</v>
      </c>
      <c r="R984" s="2" t="inlineStr">
        <is>
          <t>Garnlav
Skrovellav
Stuplav</t>
        </is>
      </c>
      <c r="S984">
        <f>HYPERLINK("https://klasma.github.io/Logging_2321/artfynd/A 54376-2025 artfynd.xlsx", "A 54376-2025")</f>
        <v/>
      </c>
      <c r="T984">
        <f>HYPERLINK("https://klasma.github.io/Logging_2321/kartor/A 54376-2025 karta.png", "A 54376-2025")</f>
        <v/>
      </c>
      <c r="V984">
        <f>HYPERLINK("https://klasma.github.io/Logging_2321/klagomål/A 54376-2025 FSC-klagomål.docx", "A 54376-2025")</f>
        <v/>
      </c>
      <c r="W984">
        <f>HYPERLINK("https://klasma.github.io/Logging_2321/klagomålsmail/A 54376-2025 FSC-klagomål mail.docx", "A 54376-2025")</f>
        <v/>
      </c>
      <c r="X984">
        <f>HYPERLINK("https://klasma.github.io/Logging_2321/tillsyn/A 54376-2025 tillsynsbegäran.docx", "A 54376-2025")</f>
        <v/>
      </c>
      <c r="Y984">
        <f>HYPERLINK("https://klasma.github.io/Logging_2321/tillsynsmail/A 54376-2025 tillsynsbegäran mail.docx", "A 54376-2025")</f>
        <v/>
      </c>
    </row>
    <row r="985" ht="15" customHeight="1">
      <c r="A985" t="inlineStr">
        <is>
          <t>A 7519-2023</t>
        </is>
      </c>
      <c r="B985" s="1" t="n">
        <v>44971</v>
      </c>
      <c r="C985" s="1" t="n">
        <v>46045</v>
      </c>
      <c r="D985" t="inlineStr">
        <is>
          <t>JÄMTLANDS LÄN</t>
        </is>
      </c>
      <c r="E985" t="inlineStr">
        <is>
          <t>RAGUNDA</t>
        </is>
      </c>
      <c r="F985" t="inlineStr">
        <is>
          <t>SCA</t>
        </is>
      </c>
      <c r="G985" t="n">
        <v>3.2</v>
      </c>
      <c r="H985" t="n">
        <v>0</v>
      </c>
      <c r="I985" t="n">
        <v>1</v>
      </c>
      <c r="J985" t="n">
        <v>2</v>
      </c>
      <c r="K985" t="n">
        <v>0</v>
      </c>
      <c r="L985" t="n">
        <v>0</v>
      </c>
      <c r="M985" t="n">
        <v>0</v>
      </c>
      <c r="N985" t="n">
        <v>0</v>
      </c>
      <c r="O985" t="n">
        <v>2</v>
      </c>
      <c r="P985" t="n">
        <v>0</v>
      </c>
      <c r="Q985" t="n">
        <v>3</v>
      </c>
      <c r="R985" s="2" t="inlineStr">
        <is>
          <t>Granticka
Lunglav
Stor aspticka</t>
        </is>
      </c>
      <c r="S985">
        <f>HYPERLINK("https://klasma.github.io/Logging_2303/artfynd/A 7519-2023 artfynd.xlsx", "A 7519-2023")</f>
        <v/>
      </c>
      <c r="T985">
        <f>HYPERLINK("https://klasma.github.io/Logging_2303/kartor/A 7519-2023 karta.png", "A 7519-2023")</f>
        <v/>
      </c>
      <c r="V985">
        <f>HYPERLINK("https://klasma.github.io/Logging_2303/klagomål/A 7519-2023 FSC-klagomål.docx", "A 7519-2023")</f>
        <v/>
      </c>
      <c r="W985">
        <f>HYPERLINK("https://klasma.github.io/Logging_2303/klagomålsmail/A 7519-2023 FSC-klagomål mail.docx", "A 7519-2023")</f>
        <v/>
      </c>
      <c r="X985">
        <f>HYPERLINK("https://klasma.github.io/Logging_2303/tillsyn/A 7519-2023 tillsynsbegäran.docx", "A 7519-2023")</f>
        <v/>
      </c>
      <c r="Y985">
        <f>HYPERLINK("https://klasma.github.io/Logging_2303/tillsynsmail/A 7519-2023 tillsynsbegäran mail.docx", "A 7519-2023")</f>
        <v/>
      </c>
    </row>
    <row r="986" ht="15" customHeight="1">
      <c r="A986" t="inlineStr">
        <is>
          <t>A 54924-2025</t>
        </is>
      </c>
      <c r="B986" s="1" t="n">
        <v>45967.40671296296</v>
      </c>
      <c r="C986" s="1" t="n">
        <v>46045</v>
      </c>
      <c r="D986" t="inlineStr">
        <is>
          <t>JÄMTLANDS LÄN</t>
        </is>
      </c>
      <c r="E986" t="inlineStr">
        <is>
          <t>KROKOM</t>
        </is>
      </c>
      <c r="F986" t="inlineStr">
        <is>
          <t>SCA</t>
        </is>
      </c>
      <c r="G986" t="n">
        <v>3.8</v>
      </c>
      <c r="H986" t="n">
        <v>0</v>
      </c>
      <c r="I986" t="n">
        <v>2</v>
      </c>
      <c r="J986" t="n">
        <v>0</v>
      </c>
      <c r="K986" t="n">
        <v>1</v>
      </c>
      <c r="L986" t="n">
        <v>0</v>
      </c>
      <c r="M986" t="n">
        <v>0</v>
      </c>
      <c r="N986" t="n">
        <v>0</v>
      </c>
      <c r="O986" t="n">
        <v>1</v>
      </c>
      <c r="P986" t="n">
        <v>1</v>
      </c>
      <c r="Q986" t="n">
        <v>3</v>
      </c>
      <c r="R986" s="2" t="inlineStr">
        <is>
          <t>Rynkskinn
Luddlav
Trådticka</t>
        </is>
      </c>
      <c r="S986">
        <f>HYPERLINK("https://klasma.github.io/Logging_2309/artfynd/A 54924-2025 artfynd.xlsx", "A 54924-2025")</f>
        <v/>
      </c>
      <c r="T986">
        <f>HYPERLINK("https://klasma.github.io/Logging_2309/kartor/A 54924-2025 karta.png", "A 54924-2025")</f>
        <v/>
      </c>
      <c r="V986">
        <f>HYPERLINK("https://klasma.github.io/Logging_2309/klagomål/A 54924-2025 FSC-klagomål.docx", "A 54924-2025")</f>
        <v/>
      </c>
      <c r="W986">
        <f>HYPERLINK("https://klasma.github.io/Logging_2309/klagomålsmail/A 54924-2025 FSC-klagomål mail.docx", "A 54924-2025")</f>
        <v/>
      </c>
      <c r="X986">
        <f>HYPERLINK("https://klasma.github.io/Logging_2309/tillsyn/A 54924-2025 tillsynsbegäran.docx", "A 54924-2025")</f>
        <v/>
      </c>
      <c r="Y986">
        <f>HYPERLINK("https://klasma.github.io/Logging_2309/tillsynsmail/A 54924-2025 tillsynsbegäran mail.docx", "A 54924-2025")</f>
        <v/>
      </c>
    </row>
    <row r="987" ht="15" customHeight="1">
      <c r="A987" t="inlineStr">
        <is>
          <t>A 60610-2024</t>
        </is>
      </c>
      <c r="B987" s="1" t="n">
        <v>45644.38570601852</v>
      </c>
      <c r="C987" s="1" t="n">
        <v>46045</v>
      </c>
      <c r="D987" t="inlineStr">
        <is>
          <t>JÄMTLANDS LÄN</t>
        </is>
      </c>
      <c r="E987" t="inlineStr">
        <is>
          <t>BRÄCKE</t>
        </is>
      </c>
      <c r="F987" t="inlineStr">
        <is>
          <t>SCA</t>
        </is>
      </c>
      <c r="G987" t="n">
        <v>1.1</v>
      </c>
      <c r="H987" t="n">
        <v>0</v>
      </c>
      <c r="I987" t="n">
        <v>0</v>
      </c>
      <c r="J987" t="n">
        <v>3</v>
      </c>
      <c r="K987" t="n">
        <v>0</v>
      </c>
      <c r="L987" t="n">
        <v>0</v>
      </c>
      <c r="M987" t="n">
        <v>0</v>
      </c>
      <c r="N987" t="n">
        <v>0</v>
      </c>
      <c r="O987" t="n">
        <v>3</v>
      </c>
      <c r="P987" t="n">
        <v>0</v>
      </c>
      <c r="Q987" t="n">
        <v>3</v>
      </c>
      <c r="R987" s="2" t="inlineStr">
        <is>
          <t>Garnlav
Lunglav
Skrovellav</t>
        </is>
      </c>
      <c r="S987">
        <f>HYPERLINK("https://klasma.github.io/Logging_2305/artfynd/A 60610-2024 artfynd.xlsx", "A 60610-2024")</f>
        <v/>
      </c>
      <c r="T987">
        <f>HYPERLINK("https://klasma.github.io/Logging_2305/kartor/A 60610-2024 karta.png", "A 60610-2024")</f>
        <v/>
      </c>
      <c r="V987">
        <f>HYPERLINK("https://klasma.github.io/Logging_2305/klagomål/A 60610-2024 FSC-klagomål.docx", "A 60610-2024")</f>
        <v/>
      </c>
      <c r="W987">
        <f>HYPERLINK("https://klasma.github.io/Logging_2305/klagomålsmail/A 60610-2024 FSC-klagomål mail.docx", "A 60610-2024")</f>
        <v/>
      </c>
      <c r="X987">
        <f>HYPERLINK("https://klasma.github.io/Logging_2305/tillsyn/A 60610-2024 tillsynsbegäran.docx", "A 60610-2024")</f>
        <v/>
      </c>
      <c r="Y987">
        <f>HYPERLINK("https://klasma.github.io/Logging_2305/tillsynsmail/A 60610-2024 tillsynsbegäran mail.docx", "A 60610-2024")</f>
        <v/>
      </c>
    </row>
    <row r="988" ht="15" customHeight="1">
      <c r="A988" t="inlineStr">
        <is>
          <t>A 58368-2024</t>
        </is>
      </c>
      <c r="B988" s="1" t="n">
        <v>45632.69822916666</v>
      </c>
      <c r="C988" s="1" t="n">
        <v>46045</v>
      </c>
      <c r="D988" t="inlineStr">
        <is>
          <t>JÄMTLANDS LÄN</t>
        </is>
      </c>
      <c r="E988" t="inlineStr">
        <is>
          <t>RAGUNDA</t>
        </is>
      </c>
      <c r="F988" t="inlineStr">
        <is>
          <t>SCA</t>
        </is>
      </c>
      <c r="G988" t="n">
        <v>4.1</v>
      </c>
      <c r="H988" t="n">
        <v>2</v>
      </c>
      <c r="I988" t="n">
        <v>0</v>
      </c>
      <c r="J988" t="n">
        <v>3</v>
      </c>
      <c r="K988" t="n">
        <v>0</v>
      </c>
      <c r="L988" t="n">
        <v>0</v>
      </c>
      <c r="M988" t="n">
        <v>0</v>
      </c>
      <c r="N988" t="n">
        <v>0</v>
      </c>
      <c r="O988" t="n">
        <v>3</v>
      </c>
      <c r="P988" t="n">
        <v>0</v>
      </c>
      <c r="Q988" t="n">
        <v>3</v>
      </c>
      <c r="R988" s="2" t="inlineStr">
        <is>
          <t>Järpe
Lunglav
Tretåig hackspett</t>
        </is>
      </c>
      <c r="S988">
        <f>HYPERLINK("https://klasma.github.io/Logging_2303/artfynd/A 58368-2024 artfynd.xlsx", "A 58368-2024")</f>
        <v/>
      </c>
      <c r="T988">
        <f>HYPERLINK("https://klasma.github.io/Logging_2303/kartor/A 58368-2024 karta.png", "A 58368-2024")</f>
        <v/>
      </c>
      <c r="V988">
        <f>HYPERLINK("https://klasma.github.io/Logging_2303/klagomål/A 58368-2024 FSC-klagomål.docx", "A 58368-2024")</f>
        <v/>
      </c>
      <c r="W988">
        <f>HYPERLINK("https://klasma.github.io/Logging_2303/klagomålsmail/A 58368-2024 FSC-klagomål mail.docx", "A 58368-2024")</f>
        <v/>
      </c>
      <c r="X988">
        <f>HYPERLINK("https://klasma.github.io/Logging_2303/tillsyn/A 58368-2024 tillsynsbegäran.docx", "A 58368-2024")</f>
        <v/>
      </c>
      <c r="Y988">
        <f>HYPERLINK("https://klasma.github.io/Logging_2303/tillsynsmail/A 58368-2024 tillsynsbegäran mail.docx", "A 58368-2024")</f>
        <v/>
      </c>
      <c r="Z988">
        <f>HYPERLINK("https://klasma.github.io/Logging_2303/fåglar/A 58368-2024 prioriterade fågelarter.docx", "A 58368-2024")</f>
        <v/>
      </c>
    </row>
    <row r="989" ht="15" customHeight="1">
      <c r="A989" t="inlineStr">
        <is>
          <t>A 21248-2025</t>
        </is>
      </c>
      <c r="B989" s="1" t="n">
        <v>45779.57392361111</v>
      </c>
      <c r="C989" s="1" t="n">
        <v>46045</v>
      </c>
      <c r="D989" t="inlineStr">
        <is>
          <t>JÄMTLANDS LÄN</t>
        </is>
      </c>
      <c r="E989" t="inlineStr">
        <is>
          <t>RAGUNDA</t>
        </is>
      </c>
      <c r="F989" t="inlineStr">
        <is>
          <t>SCA</t>
        </is>
      </c>
      <c r="G989" t="n">
        <v>2.9</v>
      </c>
      <c r="H989" t="n">
        <v>1</v>
      </c>
      <c r="I989" t="n">
        <v>1</v>
      </c>
      <c r="J989" t="n">
        <v>2</v>
      </c>
      <c r="K989" t="n">
        <v>0</v>
      </c>
      <c r="L989" t="n">
        <v>0</v>
      </c>
      <c r="M989" t="n">
        <v>0</v>
      </c>
      <c r="N989" t="n">
        <v>0</v>
      </c>
      <c r="O989" t="n">
        <v>2</v>
      </c>
      <c r="P989" t="n">
        <v>0</v>
      </c>
      <c r="Q989" t="n">
        <v>3</v>
      </c>
      <c r="R989" s="2" t="inlineStr">
        <is>
          <t>Garnlav
Tretåig hackspett
Vedticka</t>
        </is>
      </c>
      <c r="S989">
        <f>HYPERLINK("https://klasma.github.io/Logging_2303/artfynd/A 21248-2025 artfynd.xlsx", "A 21248-2025")</f>
        <v/>
      </c>
      <c r="T989">
        <f>HYPERLINK("https://klasma.github.io/Logging_2303/kartor/A 21248-2025 karta.png", "A 21248-2025")</f>
        <v/>
      </c>
      <c r="V989">
        <f>HYPERLINK("https://klasma.github.io/Logging_2303/klagomål/A 21248-2025 FSC-klagomål.docx", "A 21248-2025")</f>
        <v/>
      </c>
      <c r="W989">
        <f>HYPERLINK("https://klasma.github.io/Logging_2303/klagomålsmail/A 21248-2025 FSC-klagomål mail.docx", "A 21248-2025")</f>
        <v/>
      </c>
      <c r="X989">
        <f>HYPERLINK("https://klasma.github.io/Logging_2303/tillsyn/A 21248-2025 tillsynsbegäran.docx", "A 21248-2025")</f>
        <v/>
      </c>
      <c r="Y989">
        <f>HYPERLINK("https://klasma.github.io/Logging_2303/tillsynsmail/A 21248-2025 tillsynsbegäran mail.docx", "A 21248-2025")</f>
        <v/>
      </c>
      <c r="Z989">
        <f>HYPERLINK("https://klasma.github.io/Logging_2303/fåglar/A 21248-2025 prioriterade fågelarter.docx", "A 21248-2025")</f>
        <v/>
      </c>
    </row>
    <row r="990" ht="15" customHeight="1">
      <c r="A990" t="inlineStr">
        <is>
          <t>A 47073-2025</t>
        </is>
      </c>
      <c r="B990" s="1" t="n">
        <v>45929.63668981481</v>
      </c>
      <c r="C990" s="1" t="n">
        <v>46045</v>
      </c>
      <c r="D990" t="inlineStr">
        <is>
          <t>JÄMTLANDS LÄN</t>
        </is>
      </c>
      <c r="E990" t="inlineStr">
        <is>
          <t>BRÄCKE</t>
        </is>
      </c>
      <c r="F990" t="inlineStr">
        <is>
          <t>SCA</t>
        </is>
      </c>
      <c r="G990" t="n">
        <v>4</v>
      </c>
      <c r="H990" t="n">
        <v>0</v>
      </c>
      <c r="I990" t="n">
        <v>0</v>
      </c>
      <c r="J990" t="n">
        <v>3</v>
      </c>
      <c r="K990" t="n">
        <v>0</v>
      </c>
      <c r="L990" t="n">
        <v>0</v>
      </c>
      <c r="M990" t="n">
        <v>0</v>
      </c>
      <c r="N990" t="n">
        <v>0</v>
      </c>
      <c r="O990" t="n">
        <v>3</v>
      </c>
      <c r="P990" t="n">
        <v>0</v>
      </c>
      <c r="Q990" t="n">
        <v>3</v>
      </c>
      <c r="R990" s="2" t="inlineStr">
        <is>
          <t>Dvärgbägarlav
Mörk kolflarnlav
Reliktbock</t>
        </is>
      </c>
      <c r="S990">
        <f>HYPERLINK("https://klasma.github.io/Logging_2305/artfynd/A 47073-2025 artfynd.xlsx", "A 47073-2025")</f>
        <v/>
      </c>
      <c r="T990">
        <f>HYPERLINK("https://klasma.github.io/Logging_2305/kartor/A 47073-2025 karta.png", "A 47073-2025")</f>
        <v/>
      </c>
      <c r="V990">
        <f>HYPERLINK("https://klasma.github.io/Logging_2305/klagomål/A 47073-2025 FSC-klagomål.docx", "A 47073-2025")</f>
        <v/>
      </c>
      <c r="W990">
        <f>HYPERLINK("https://klasma.github.io/Logging_2305/klagomålsmail/A 47073-2025 FSC-klagomål mail.docx", "A 47073-2025")</f>
        <v/>
      </c>
      <c r="X990">
        <f>HYPERLINK("https://klasma.github.io/Logging_2305/tillsyn/A 47073-2025 tillsynsbegäran.docx", "A 47073-2025")</f>
        <v/>
      </c>
      <c r="Y990">
        <f>HYPERLINK("https://klasma.github.io/Logging_2305/tillsynsmail/A 47073-2025 tillsynsbegäran mail.docx", "A 47073-2025")</f>
        <v/>
      </c>
    </row>
    <row r="991" ht="15" customHeight="1">
      <c r="A991" t="inlineStr">
        <is>
          <t>A 47122-2024</t>
        </is>
      </c>
      <c r="B991" s="1" t="n">
        <v>45586.5674074074</v>
      </c>
      <c r="C991" s="1" t="n">
        <v>46045</v>
      </c>
      <c r="D991" t="inlineStr">
        <is>
          <t>JÄMTLANDS LÄN</t>
        </is>
      </c>
      <c r="E991" t="inlineStr">
        <is>
          <t>BERG</t>
        </is>
      </c>
      <c r="G991" t="n">
        <v>4.8</v>
      </c>
      <c r="H991" t="n">
        <v>1</v>
      </c>
      <c r="I991" t="n">
        <v>0</v>
      </c>
      <c r="J991" t="n">
        <v>3</v>
      </c>
      <c r="K991" t="n">
        <v>0</v>
      </c>
      <c r="L991" t="n">
        <v>0</v>
      </c>
      <c r="M991" t="n">
        <v>0</v>
      </c>
      <c r="N991" t="n">
        <v>0</v>
      </c>
      <c r="O991" t="n">
        <v>3</v>
      </c>
      <c r="P991" t="n">
        <v>0</v>
      </c>
      <c r="Q991" t="n">
        <v>3</v>
      </c>
      <c r="R991" s="2" t="inlineStr">
        <is>
          <t>Garnlav
Lunglav
Spillkråka</t>
        </is>
      </c>
      <c r="S991">
        <f>HYPERLINK("https://klasma.github.io/Logging_2326/artfynd/A 47122-2024 artfynd.xlsx", "A 47122-2024")</f>
        <v/>
      </c>
      <c r="T991">
        <f>HYPERLINK("https://klasma.github.io/Logging_2326/kartor/A 47122-2024 karta.png", "A 47122-2024")</f>
        <v/>
      </c>
      <c r="V991">
        <f>HYPERLINK("https://klasma.github.io/Logging_2326/klagomål/A 47122-2024 FSC-klagomål.docx", "A 47122-2024")</f>
        <v/>
      </c>
      <c r="W991">
        <f>HYPERLINK("https://klasma.github.io/Logging_2326/klagomålsmail/A 47122-2024 FSC-klagomål mail.docx", "A 47122-2024")</f>
        <v/>
      </c>
      <c r="X991">
        <f>HYPERLINK("https://klasma.github.io/Logging_2326/tillsyn/A 47122-2024 tillsynsbegäran.docx", "A 47122-2024")</f>
        <v/>
      </c>
      <c r="Y991">
        <f>HYPERLINK("https://klasma.github.io/Logging_2326/tillsynsmail/A 47122-2024 tillsynsbegäran mail.docx", "A 47122-2024")</f>
        <v/>
      </c>
      <c r="Z991">
        <f>HYPERLINK("https://klasma.github.io/Logging_2326/fåglar/A 47122-2024 prioriterade fågelarter.docx", "A 47122-2024")</f>
        <v/>
      </c>
    </row>
    <row r="992" ht="15" customHeight="1">
      <c r="A992" t="inlineStr">
        <is>
          <t>A 50431-2023</t>
        </is>
      </c>
      <c r="B992" s="1" t="n">
        <v>45216.67748842593</v>
      </c>
      <c r="C992" s="1" t="n">
        <v>46045</v>
      </c>
      <c r="D992" t="inlineStr">
        <is>
          <t>JÄMTLANDS LÄN</t>
        </is>
      </c>
      <c r="E992" t="inlineStr">
        <is>
          <t>KROKOM</t>
        </is>
      </c>
      <c r="G992" t="n">
        <v>6.9</v>
      </c>
      <c r="H992" t="n">
        <v>1</v>
      </c>
      <c r="I992" t="n">
        <v>0</v>
      </c>
      <c r="J992" t="n">
        <v>3</v>
      </c>
      <c r="K992" t="n">
        <v>0</v>
      </c>
      <c r="L992" t="n">
        <v>0</v>
      </c>
      <c r="M992" t="n">
        <v>0</v>
      </c>
      <c r="N992" t="n">
        <v>0</v>
      </c>
      <c r="O992" t="n">
        <v>3</v>
      </c>
      <c r="P992" t="n">
        <v>0</v>
      </c>
      <c r="Q992" t="n">
        <v>3</v>
      </c>
      <c r="R992" s="2" t="inlineStr">
        <is>
          <t>Granticka
Lunglav
Tretåig hackspett</t>
        </is>
      </c>
      <c r="S992">
        <f>HYPERLINK("https://klasma.github.io/Logging_2309/artfynd/A 50431-2023 artfynd.xlsx", "A 50431-2023")</f>
        <v/>
      </c>
      <c r="T992">
        <f>HYPERLINK("https://klasma.github.io/Logging_2309/kartor/A 50431-2023 karta.png", "A 50431-2023")</f>
        <v/>
      </c>
      <c r="V992">
        <f>HYPERLINK("https://klasma.github.io/Logging_2309/klagomål/A 50431-2023 FSC-klagomål.docx", "A 50431-2023")</f>
        <v/>
      </c>
      <c r="W992">
        <f>HYPERLINK("https://klasma.github.io/Logging_2309/klagomålsmail/A 50431-2023 FSC-klagomål mail.docx", "A 50431-2023")</f>
        <v/>
      </c>
      <c r="X992">
        <f>HYPERLINK("https://klasma.github.io/Logging_2309/tillsyn/A 50431-2023 tillsynsbegäran.docx", "A 50431-2023")</f>
        <v/>
      </c>
      <c r="Y992">
        <f>HYPERLINK("https://klasma.github.io/Logging_2309/tillsynsmail/A 50431-2023 tillsynsbegäran mail.docx", "A 50431-2023")</f>
        <v/>
      </c>
      <c r="Z992">
        <f>HYPERLINK("https://klasma.github.io/Logging_2309/fåglar/A 50431-2023 prioriterade fågelarter.docx", "A 50431-2023")</f>
        <v/>
      </c>
    </row>
    <row r="993" ht="15" customHeight="1">
      <c r="A993" t="inlineStr">
        <is>
          <t>A 47038-2025</t>
        </is>
      </c>
      <c r="B993" s="1" t="n">
        <v>45929.59473379629</v>
      </c>
      <c r="C993" s="1" t="n">
        <v>46045</v>
      </c>
      <c r="D993" t="inlineStr">
        <is>
          <t>JÄMTLANDS LÄN</t>
        </is>
      </c>
      <c r="E993" t="inlineStr">
        <is>
          <t>BRÄCKE</t>
        </is>
      </c>
      <c r="F993" t="inlineStr">
        <is>
          <t>SCA</t>
        </is>
      </c>
      <c r="G993" t="n">
        <v>1.2</v>
      </c>
      <c r="H993" t="n">
        <v>0</v>
      </c>
      <c r="I993" t="n">
        <v>2</v>
      </c>
      <c r="J993" t="n">
        <v>1</v>
      </c>
      <c r="K993" t="n">
        <v>0</v>
      </c>
      <c r="L993" t="n">
        <v>0</v>
      </c>
      <c r="M993" t="n">
        <v>0</v>
      </c>
      <c r="N993" t="n">
        <v>0</v>
      </c>
      <c r="O993" t="n">
        <v>1</v>
      </c>
      <c r="P993" t="n">
        <v>0</v>
      </c>
      <c r="Q993" t="n">
        <v>3</v>
      </c>
      <c r="R993" s="2" t="inlineStr">
        <is>
          <t>Garnlav
Skarp dropptaggsvamp
Skinnlav</t>
        </is>
      </c>
      <c r="S993">
        <f>HYPERLINK("https://klasma.github.io/Logging_2305/artfynd/A 47038-2025 artfynd.xlsx", "A 47038-2025")</f>
        <v/>
      </c>
      <c r="T993">
        <f>HYPERLINK("https://klasma.github.io/Logging_2305/kartor/A 47038-2025 karta.png", "A 47038-2025")</f>
        <v/>
      </c>
      <c r="V993">
        <f>HYPERLINK("https://klasma.github.io/Logging_2305/klagomål/A 47038-2025 FSC-klagomål.docx", "A 47038-2025")</f>
        <v/>
      </c>
      <c r="W993">
        <f>HYPERLINK("https://klasma.github.io/Logging_2305/klagomålsmail/A 47038-2025 FSC-klagomål mail.docx", "A 47038-2025")</f>
        <v/>
      </c>
      <c r="X993">
        <f>HYPERLINK("https://klasma.github.io/Logging_2305/tillsyn/A 47038-2025 tillsynsbegäran.docx", "A 47038-2025")</f>
        <v/>
      </c>
      <c r="Y993">
        <f>HYPERLINK("https://klasma.github.io/Logging_2305/tillsynsmail/A 47038-2025 tillsynsbegäran mail.docx", "A 47038-2025")</f>
        <v/>
      </c>
    </row>
    <row r="994" ht="15" customHeight="1">
      <c r="A994" t="inlineStr">
        <is>
          <t>A 30069-2022</t>
        </is>
      </c>
      <c r="B994" s="1" t="n">
        <v>44757</v>
      </c>
      <c r="C994" s="1" t="n">
        <v>46045</v>
      </c>
      <c r="D994" t="inlineStr">
        <is>
          <t>JÄMTLANDS LÄN</t>
        </is>
      </c>
      <c r="E994" t="inlineStr">
        <is>
          <t>KROKOM</t>
        </is>
      </c>
      <c r="G994" t="n">
        <v>0.7</v>
      </c>
      <c r="H994" t="n">
        <v>1</v>
      </c>
      <c r="I994" t="n">
        <v>0</v>
      </c>
      <c r="J994" t="n">
        <v>2</v>
      </c>
      <c r="K994" t="n">
        <v>1</v>
      </c>
      <c r="L994" t="n">
        <v>0</v>
      </c>
      <c r="M994" t="n">
        <v>0</v>
      </c>
      <c r="N994" t="n">
        <v>0</v>
      </c>
      <c r="O994" t="n">
        <v>3</v>
      </c>
      <c r="P994" t="n">
        <v>1</v>
      </c>
      <c r="Q994" t="n">
        <v>3</v>
      </c>
      <c r="R994" s="2" t="inlineStr">
        <is>
          <t>Rynkskinn
Granticka
Tretåig hackspett</t>
        </is>
      </c>
      <c r="S994">
        <f>HYPERLINK("https://klasma.github.io/Logging_2309/artfynd/A 30069-2022 artfynd.xlsx", "A 30069-2022")</f>
        <v/>
      </c>
      <c r="T994">
        <f>HYPERLINK("https://klasma.github.io/Logging_2309/kartor/A 30069-2022 karta.png", "A 30069-2022")</f>
        <v/>
      </c>
      <c r="V994">
        <f>HYPERLINK("https://klasma.github.io/Logging_2309/klagomål/A 30069-2022 FSC-klagomål.docx", "A 30069-2022")</f>
        <v/>
      </c>
      <c r="W994">
        <f>HYPERLINK("https://klasma.github.io/Logging_2309/klagomålsmail/A 30069-2022 FSC-klagomål mail.docx", "A 30069-2022")</f>
        <v/>
      </c>
      <c r="X994">
        <f>HYPERLINK("https://klasma.github.io/Logging_2309/tillsyn/A 30069-2022 tillsynsbegäran.docx", "A 30069-2022")</f>
        <v/>
      </c>
      <c r="Y994">
        <f>HYPERLINK("https://klasma.github.io/Logging_2309/tillsynsmail/A 30069-2022 tillsynsbegäran mail.docx", "A 30069-2022")</f>
        <v/>
      </c>
      <c r="Z994">
        <f>HYPERLINK("https://klasma.github.io/Logging_2309/fåglar/A 30069-2022 prioriterade fågelarter.docx", "A 30069-2022")</f>
        <v/>
      </c>
    </row>
    <row r="995" ht="15" customHeight="1">
      <c r="A995" t="inlineStr">
        <is>
          <t>A 12995-2024</t>
        </is>
      </c>
      <c r="B995" s="1" t="n">
        <v>45385</v>
      </c>
      <c r="C995" s="1" t="n">
        <v>46045</v>
      </c>
      <c r="D995" t="inlineStr">
        <is>
          <t>JÄMTLANDS LÄN</t>
        </is>
      </c>
      <c r="E995" t="inlineStr">
        <is>
          <t>BERG</t>
        </is>
      </c>
      <c r="G995" t="n">
        <v>2.1</v>
      </c>
      <c r="H995" t="n">
        <v>1</v>
      </c>
      <c r="I995" t="n">
        <v>0</v>
      </c>
      <c r="J995" t="n">
        <v>3</v>
      </c>
      <c r="K995" t="n">
        <v>0</v>
      </c>
      <c r="L995" t="n">
        <v>0</v>
      </c>
      <c r="M995" t="n">
        <v>0</v>
      </c>
      <c r="N995" t="n">
        <v>0</v>
      </c>
      <c r="O995" t="n">
        <v>3</v>
      </c>
      <c r="P995" t="n">
        <v>0</v>
      </c>
      <c r="Q995" t="n">
        <v>3</v>
      </c>
      <c r="R995" s="2" t="inlineStr">
        <is>
          <t>Granticka
Tretåig hackspett
Ullticka</t>
        </is>
      </c>
      <c r="S995">
        <f>HYPERLINK("https://klasma.github.io/Logging_2326/artfynd/A 12995-2024 artfynd.xlsx", "A 12995-2024")</f>
        <v/>
      </c>
      <c r="T995">
        <f>HYPERLINK("https://klasma.github.io/Logging_2326/kartor/A 12995-2024 karta.png", "A 12995-2024")</f>
        <v/>
      </c>
      <c r="V995">
        <f>HYPERLINK("https://klasma.github.io/Logging_2326/klagomål/A 12995-2024 FSC-klagomål.docx", "A 12995-2024")</f>
        <v/>
      </c>
      <c r="W995">
        <f>HYPERLINK("https://klasma.github.io/Logging_2326/klagomålsmail/A 12995-2024 FSC-klagomål mail.docx", "A 12995-2024")</f>
        <v/>
      </c>
      <c r="X995">
        <f>HYPERLINK("https://klasma.github.io/Logging_2326/tillsyn/A 12995-2024 tillsynsbegäran.docx", "A 12995-2024")</f>
        <v/>
      </c>
      <c r="Y995">
        <f>HYPERLINK("https://klasma.github.io/Logging_2326/tillsynsmail/A 12995-2024 tillsynsbegäran mail.docx", "A 12995-2024")</f>
        <v/>
      </c>
      <c r="Z995">
        <f>HYPERLINK("https://klasma.github.io/Logging_2326/fåglar/A 12995-2024 prioriterade fågelarter.docx", "A 12995-2024")</f>
        <v/>
      </c>
    </row>
    <row r="996" ht="15" customHeight="1">
      <c r="A996" t="inlineStr">
        <is>
          <t>A 52264-2022</t>
        </is>
      </c>
      <c r="B996" s="1" t="n">
        <v>44873</v>
      </c>
      <c r="C996" s="1" t="n">
        <v>46045</v>
      </c>
      <c r="D996" t="inlineStr">
        <is>
          <t>JÄMTLANDS LÄN</t>
        </is>
      </c>
      <c r="E996" t="inlineStr">
        <is>
          <t>KROKOM</t>
        </is>
      </c>
      <c r="G996" t="n">
        <v>4.1</v>
      </c>
      <c r="H996" t="n">
        <v>2</v>
      </c>
      <c r="I996" t="n">
        <v>0</v>
      </c>
      <c r="J996" t="n">
        <v>2</v>
      </c>
      <c r="K996" t="n">
        <v>1</v>
      </c>
      <c r="L996" t="n">
        <v>0</v>
      </c>
      <c r="M996" t="n">
        <v>0</v>
      </c>
      <c r="N996" t="n">
        <v>0</v>
      </c>
      <c r="O996" t="n">
        <v>3</v>
      </c>
      <c r="P996" t="n">
        <v>1</v>
      </c>
      <c r="Q996" t="n">
        <v>3</v>
      </c>
      <c r="R996" s="2" t="inlineStr">
        <is>
          <t>Knärot
Tretåig hackspett
Ullticka</t>
        </is>
      </c>
      <c r="S996">
        <f>HYPERLINK("https://klasma.github.io/Logging_2309/artfynd/A 52264-2022 artfynd.xlsx", "A 52264-2022")</f>
        <v/>
      </c>
      <c r="T996">
        <f>HYPERLINK("https://klasma.github.io/Logging_2309/kartor/A 52264-2022 karta.png", "A 52264-2022")</f>
        <v/>
      </c>
      <c r="U996">
        <f>HYPERLINK("https://klasma.github.io/Logging_2309/knärot/A 52264-2022 karta knärot.png", "A 52264-2022")</f>
        <v/>
      </c>
      <c r="V996">
        <f>HYPERLINK("https://klasma.github.io/Logging_2309/klagomål/A 52264-2022 FSC-klagomål.docx", "A 52264-2022")</f>
        <v/>
      </c>
      <c r="W996">
        <f>HYPERLINK("https://klasma.github.io/Logging_2309/klagomålsmail/A 52264-2022 FSC-klagomål mail.docx", "A 52264-2022")</f>
        <v/>
      </c>
      <c r="X996">
        <f>HYPERLINK("https://klasma.github.io/Logging_2309/tillsyn/A 52264-2022 tillsynsbegäran.docx", "A 52264-2022")</f>
        <v/>
      </c>
      <c r="Y996">
        <f>HYPERLINK("https://klasma.github.io/Logging_2309/tillsynsmail/A 52264-2022 tillsynsbegäran mail.docx", "A 52264-2022")</f>
        <v/>
      </c>
      <c r="Z996">
        <f>HYPERLINK("https://klasma.github.io/Logging_2309/fåglar/A 52264-2022 prioriterade fågelarter.docx", "A 52264-2022")</f>
        <v/>
      </c>
    </row>
    <row r="997" ht="15" customHeight="1">
      <c r="A997" t="inlineStr">
        <is>
          <t>A 33243-2024</t>
        </is>
      </c>
      <c r="B997" s="1" t="n">
        <v>45518.61494212963</v>
      </c>
      <c r="C997" s="1" t="n">
        <v>46045</v>
      </c>
      <c r="D997" t="inlineStr">
        <is>
          <t>JÄMTLANDS LÄN</t>
        </is>
      </c>
      <c r="E997" t="inlineStr">
        <is>
          <t>STRÖMSUND</t>
        </is>
      </c>
      <c r="G997" t="n">
        <v>8.4</v>
      </c>
      <c r="H997" t="n">
        <v>1</v>
      </c>
      <c r="I997" t="n">
        <v>0</v>
      </c>
      <c r="J997" t="n">
        <v>3</v>
      </c>
      <c r="K997" t="n">
        <v>0</v>
      </c>
      <c r="L997" t="n">
        <v>0</v>
      </c>
      <c r="M997" t="n">
        <v>0</v>
      </c>
      <c r="N997" t="n">
        <v>0</v>
      </c>
      <c r="O997" t="n">
        <v>3</v>
      </c>
      <c r="P997" t="n">
        <v>0</v>
      </c>
      <c r="Q997" t="n">
        <v>3</v>
      </c>
      <c r="R997" s="2" t="inlineStr">
        <is>
          <t>Garnlav
Granticka
Tretåig hackspett</t>
        </is>
      </c>
      <c r="S997">
        <f>HYPERLINK("https://klasma.github.io/Logging_2313/artfynd/A 33243-2024 artfynd.xlsx", "A 33243-2024")</f>
        <v/>
      </c>
      <c r="T997">
        <f>HYPERLINK("https://klasma.github.io/Logging_2313/kartor/A 33243-2024 karta.png", "A 33243-2024")</f>
        <v/>
      </c>
      <c r="V997">
        <f>HYPERLINK("https://klasma.github.io/Logging_2313/klagomål/A 33243-2024 FSC-klagomål.docx", "A 33243-2024")</f>
        <v/>
      </c>
      <c r="W997">
        <f>HYPERLINK("https://klasma.github.io/Logging_2313/klagomålsmail/A 33243-2024 FSC-klagomål mail.docx", "A 33243-2024")</f>
        <v/>
      </c>
      <c r="X997">
        <f>HYPERLINK("https://klasma.github.io/Logging_2313/tillsyn/A 33243-2024 tillsynsbegäran.docx", "A 33243-2024")</f>
        <v/>
      </c>
      <c r="Y997">
        <f>HYPERLINK("https://klasma.github.io/Logging_2313/tillsynsmail/A 33243-2024 tillsynsbegäran mail.docx", "A 33243-2024")</f>
        <v/>
      </c>
      <c r="Z997">
        <f>HYPERLINK("https://klasma.github.io/Logging_2313/fåglar/A 33243-2024 prioriterade fågelarter.docx", "A 33243-2024")</f>
        <v/>
      </c>
    </row>
    <row r="998" ht="15" customHeight="1">
      <c r="A998" t="inlineStr">
        <is>
          <t>A 22546-2025</t>
        </is>
      </c>
      <c r="B998" s="1" t="n">
        <v>45788.46329861111</v>
      </c>
      <c r="C998" s="1" t="n">
        <v>46045</v>
      </c>
      <c r="D998" t="inlineStr">
        <is>
          <t>JÄMTLANDS LÄN</t>
        </is>
      </c>
      <c r="E998" t="inlineStr">
        <is>
          <t>BRÄCKE</t>
        </is>
      </c>
      <c r="G998" t="n">
        <v>8.1</v>
      </c>
      <c r="H998" t="n">
        <v>2</v>
      </c>
      <c r="I998" t="n">
        <v>0</v>
      </c>
      <c r="J998" t="n">
        <v>1</v>
      </c>
      <c r="K998" t="n">
        <v>1</v>
      </c>
      <c r="L998" t="n">
        <v>0</v>
      </c>
      <c r="M998" t="n">
        <v>0</v>
      </c>
      <c r="N998" t="n">
        <v>0</v>
      </c>
      <c r="O998" t="n">
        <v>2</v>
      </c>
      <c r="P998" t="n">
        <v>1</v>
      </c>
      <c r="Q998" t="n">
        <v>3</v>
      </c>
      <c r="R998" s="2" t="inlineStr">
        <is>
          <t>Myrstarr
Skogsfru
Fläcknycklar</t>
        </is>
      </c>
      <c r="S998">
        <f>HYPERLINK("https://klasma.github.io/Logging_2305/artfynd/A 22546-2025 artfynd.xlsx", "A 22546-2025")</f>
        <v/>
      </c>
      <c r="T998">
        <f>HYPERLINK("https://klasma.github.io/Logging_2305/kartor/A 22546-2025 karta.png", "A 22546-2025")</f>
        <v/>
      </c>
      <c r="V998">
        <f>HYPERLINK("https://klasma.github.io/Logging_2305/klagomål/A 22546-2025 FSC-klagomål.docx", "A 22546-2025")</f>
        <v/>
      </c>
      <c r="W998">
        <f>HYPERLINK("https://klasma.github.io/Logging_2305/klagomålsmail/A 22546-2025 FSC-klagomål mail.docx", "A 22546-2025")</f>
        <v/>
      </c>
      <c r="X998">
        <f>HYPERLINK("https://klasma.github.io/Logging_2305/tillsyn/A 22546-2025 tillsynsbegäran.docx", "A 22546-2025")</f>
        <v/>
      </c>
      <c r="Y998">
        <f>HYPERLINK("https://klasma.github.io/Logging_2305/tillsynsmail/A 22546-2025 tillsynsbegäran mail.docx", "A 22546-2025")</f>
        <v/>
      </c>
    </row>
    <row r="999" ht="15" customHeight="1">
      <c r="A999" t="inlineStr">
        <is>
          <t>A 22692-2025</t>
        </is>
      </c>
      <c r="B999" s="1" t="n">
        <v>45789.53834490741</v>
      </c>
      <c r="C999" s="1" t="n">
        <v>46045</v>
      </c>
      <c r="D999" t="inlineStr">
        <is>
          <t>JÄMTLANDS LÄN</t>
        </is>
      </c>
      <c r="E999" t="inlineStr">
        <is>
          <t>ÅRE</t>
        </is>
      </c>
      <c r="G999" t="n">
        <v>10.6</v>
      </c>
      <c r="H999" t="n">
        <v>0</v>
      </c>
      <c r="I999" t="n">
        <v>0</v>
      </c>
      <c r="J999" t="n">
        <v>3</v>
      </c>
      <c r="K999" t="n">
        <v>0</v>
      </c>
      <c r="L999" t="n">
        <v>0</v>
      </c>
      <c r="M999" t="n">
        <v>0</v>
      </c>
      <c r="N999" t="n">
        <v>0</v>
      </c>
      <c r="O999" t="n">
        <v>3</v>
      </c>
      <c r="P999" t="n">
        <v>0</v>
      </c>
      <c r="Q999" t="n">
        <v>3</v>
      </c>
      <c r="R999" s="2" t="inlineStr">
        <is>
          <t>Gammelgransskål
Garnlav
Skrovellav</t>
        </is>
      </c>
      <c r="S999">
        <f>HYPERLINK("https://klasma.github.io/Logging_2321/artfynd/A 22692-2025 artfynd.xlsx", "A 22692-2025")</f>
        <v/>
      </c>
      <c r="T999">
        <f>HYPERLINK("https://klasma.github.io/Logging_2321/kartor/A 22692-2025 karta.png", "A 22692-2025")</f>
        <v/>
      </c>
      <c r="V999">
        <f>HYPERLINK("https://klasma.github.io/Logging_2321/klagomål/A 22692-2025 FSC-klagomål.docx", "A 22692-2025")</f>
        <v/>
      </c>
      <c r="W999">
        <f>HYPERLINK("https://klasma.github.io/Logging_2321/klagomålsmail/A 22692-2025 FSC-klagomål mail.docx", "A 22692-2025")</f>
        <v/>
      </c>
      <c r="X999">
        <f>HYPERLINK("https://klasma.github.io/Logging_2321/tillsyn/A 22692-2025 tillsynsbegäran.docx", "A 22692-2025")</f>
        <v/>
      </c>
      <c r="Y999">
        <f>HYPERLINK("https://klasma.github.io/Logging_2321/tillsynsmail/A 22692-2025 tillsynsbegäran mail.docx", "A 22692-2025")</f>
        <v/>
      </c>
    </row>
    <row r="1000" ht="15" customHeight="1">
      <c r="A1000" t="inlineStr">
        <is>
          <t>A 49293-2025</t>
        </is>
      </c>
      <c r="B1000" s="1" t="n">
        <v>45938.53223379629</v>
      </c>
      <c r="C1000" s="1" t="n">
        <v>46045</v>
      </c>
      <c r="D1000" t="inlineStr">
        <is>
          <t>JÄMTLANDS LÄN</t>
        </is>
      </c>
      <c r="E1000" t="inlineStr">
        <is>
          <t>BRÄCKE</t>
        </is>
      </c>
      <c r="F1000" t="inlineStr">
        <is>
          <t>SCA</t>
        </is>
      </c>
      <c r="G1000" t="n">
        <v>2</v>
      </c>
      <c r="H1000" t="n">
        <v>0</v>
      </c>
      <c r="I1000" t="n">
        <v>0</v>
      </c>
      <c r="J1000" t="n">
        <v>3</v>
      </c>
      <c r="K1000" t="n">
        <v>0</v>
      </c>
      <c r="L1000" t="n">
        <v>0</v>
      </c>
      <c r="M1000" t="n">
        <v>0</v>
      </c>
      <c r="N1000" t="n">
        <v>0</v>
      </c>
      <c r="O1000" t="n">
        <v>3</v>
      </c>
      <c r="P1000" t="n">
        <v>0</v>
      </c>
      <c r="Q1000" t="n">
        <v>3</v>
      </c>
      <c r="R1000" s="2" t="inlineStr">
        <is>
          <t>Garnlav
Kolflarnlav
Lunglav</t>
        </is>
      </c>
      <c r="S1000">
        <f>HYPERLINK("https://klasma.github.io/Logging_2305/artfynd/A 49293-2025 artfynd.xlsx", "A 49293-2025")</f>
        <v/>
      </c>
      <c r="T1000">
        <f>HYPERLINK("https://klasma.github.io/Logging_2305/kartor/A 49293-2025 karta.png", "A 49293-2025")</f>
        <v/>
      </c>
      <c r="V1000">
        <f>HYPERLINK("https://klasma.github.io/Logging_2305/klagomål/A 49293-2025 FSC-klagomål.docx", "A 49293-2025")</f>
        <v/>
      </c>
      <c r="W1000">
        <f>HYPERLINK("https://klasma.github.io/Logging_2305/klagomålsmail/A 49293-2025 FSC-klagomål mail.docx", "A 49293-2025")</f>
        <v/>
      </c>
      <c r="X1000">
        <f>HYPERLINK("https://klasma.github.io/Logging_2305/tillsyn/A 49293-2025 tillsynsbegäran.docx", "A 49293-2025")</f>
        <v/>
      </c>
      <c r="Y1000">
        <f>HYPERLINK("https://klasma.github.io/Logging_2305/tillsynsmail/A 49293-2025 tillsynsbegäran mail.docx", "A 49293-2025")</f>
        <v/>
      </c>
    </row>
    <row r="1001" ht="15" customHeight="1">
      <c r="A1001" t="inlineStr">
        <is>
          <t>A 49611-2025</t>
        </is>
      </c>
      <c r="B1001" s="1" t="n">
        <v>45939.5735300926</v>
      </c>
      <c r="C1001" s="1" t="n">
        <v>46045</v>
      </c>
      <c r="D1001" t="inlineStr">
        <is>
          <t>JÄMTLANDS LÄN</t>
        </is>
      </c>
      <c r="E1001" t="inlineStr">
        <is>
          <t>BERG</t>
        </is>
      </c>
      <c r="F1001" t="inlineStr">
        <is>
          <t>SCA</t>
        </is>
      </c>
      <c r="G1001" t="n">
        <v>7.1</v>
      </c>
      <c r="H1001" t="n">
        <v>1</v>
      </c>
      <c r="I1001" t="n">
        <v>1</v>
      </c>
      <c r="J1001" t="n">
        <v>2</v>
      </c>
      <c r="K1001" t="n">
        <v>0</v>
      </c>
      <c r="L1001" t="n">
        <v>0</v>
      </c>
      <c r="M1001" t="n">
        <v>0</v>
      </c>
      <c r="N1001" t="n">
        <v>0</v>
      </c>
      <c r="O1001" t="n">
        <v>2</v>
      </c>
      <c r="P1001" t="n">
        <v>0</v>
      </c>
      <c r="Q1001" t="n">
        <v>3</v>
      </c>
      <c r="R1001" s="2" t="inlineStr">
        <is>
          <t>Dvärgbägarlav
Nordtagging
Plattlummer</t>
        </is>
      </c>
      <c r="S1001">
        <f>HYPERLINK("https://klasma.github.io/Logging_2326/artfynd/A 49611-2025 artfynd.xlsx", "A 49611-2025")</f>
        <v/>
      </c>
      <c r="T1001">
        <f>HYPERLINK("https://klasma.github.io/Logging_2326/kartor/A 49611-2025 karta.png", "A 49611-2025")</f>
        <v/>
      </c>
      <c r="V1001">
        <f>HYPERLINK("https://klasma.github.io/Logging_2326/klagomål/A 49611-2025 FSC-klagomål.docx", "A 49611-2025")</f>
        <v/>
      </c>
      <c r="W1001">
        <f>HYPERLINK("https://klasma.github.io/Logging_2326/klagomålsmail/A 49611-2025 FSC-klagomål mail.docx", "A 49611-2025")</f>
        <v/>
      </c>
      <c r="X1001">
        <f>HYPERLINK("https://klasma.github.io/Logging_2326/tillsyn/A 49611-2025 tillsynsbegäran.docx", "A 49611-2025")</f>
        <v/>
      </c>
      <c r="Y1001">
        <f>HYPERLINK("https://klasma.github.io/Logging_2326/tillsynsmail/A 49611-2025 tillsynsbegäran mail.docx", "A 49611-2025")</f>
        <v/>
      </c>
    </row>
    <row r="1002" ht="15" customHeight="1">
      <c r="A1002" t="inlineStr">
        <is>
          <t>A 49624-2025</t>
        </is>
      </c>
      <c r="B1002" s="1" t="n">
        <v>45939.59447916667</v>
      </c>
      <c r="C1002" s="1" t="n">
        <v>46045</v>
      </c>
      <c r="D1002" t="inlineStr">
        <is>
          <t>JÄMTLANDS LÄN</t>
        </is>
      </c>
      <c r="E1002" t="inlineStr">
        <is>
          <t>BRÄCKE</t>
        </is>
      </c>
      <c r="F1002" t="inlineStr">
        <is>
          <t>SCA</t>
        </is>
      </c>
      <c r="G1002" t="n">
        <v>5.1</v>
      </c>
      <c r="H1002" t="n">
        <v>0</v>
      </c>
      <c r="I1002" t="n">
        <v>2</v>
      </c>
      <c r="J1002" t="n">
        <v>0</v>
      </c>
      <c r="K1002" t="n">
        <v>1</v>
      </c>
      <c r="L1002" t="n">
        <v>0</v>
      </c>
      <c r="M1002" t="n">
        <v>0</v>
      </c>
      <c r="N1002" t="n">
        <v>0</v>
      </c>
      <c r="O1002" t="n">
        <v>1</v>
      </c>
      <c r="P1002" t="n">
        <v>1</v>
      </c>
      <c r="Q1002" t="n">
        <v>3</v>
      </c>
      <c r="R1002" s="2" t="inlineStr">
        <is>
          <t>Gräddporing
Skarp dropptaggsvamp
Skinnlav</t>
        </is>
      </c>
      <c r="S1002">
        <f>HYPERLINK("https://klasma.github.io/Logging_2305/artfynd/A 49624-2025 artfynd.xlsx", "A 49624-2025")</f>
        <v/>
      </c>
      <c r="T1002">
        <f>HYPERLINK("https://klasma.github.io/Logging_2305/kartor/A 49624-2025 karta.png", "A 49624-2025")</f>
        <v/>
      </c>
      <c r="V1002">
        <f>HYPERLINK("https://klasma.github.io/Logging_2305/klagomål/A 49624-2025 FSC-klagomål.docx", "A 49624-2025")</f>
        <v/>
      </c>
      <c r="W1002">
        <f>HYPERLINK("https://klasma.github.io/Logging_2305/klagomålsmail/A 49624-2025 FSC-klagomål mail.docx", "A 49624-2025")</f>
        <v/>
      </c>
      <c r="X1002">
        <f>HYPERLINK("https://klasma.github.io/Logging_2305/tillsyn/A 49624-2025 tillsynsbegäran.docx", "A 49624-2025")</f>
        <v/>
      </c>
      <c r="Y1002">
        <f>HYPERLINK("https://klasma.github.io/Logging_2305/tillsynsmail/A 49624-2025 tillsynsbegäran mail.docx", "A 49624-2025")</f>
        <v/>
      </c>
    </row>
    <row r="1003" ht="15" customHeight="1">
      <c r="A1003" t="inlineStr">
        <is>
          <t>A 23592-2025</t>
        </is>
      </c>
      <c r="B1003" s="1" t="n">
        <v>45792.63644675926</v>
      </c>
      <c r="C1003" s="1" t="n">
        <v>46045</v>
      </c>
      <c r="D1003" t="inlineStr">
        <is>
          <t>JÄMTLANDS LÄN</t>
        </is>
      </c>
      <c r="E1003" t="inlineStr">
        <is>
          <t>BRÄCKE</t>
        </is>
      </c>
      <c r="F1003" t="inlineStr">
        <is>
          <t>SCA</t>
        </is>
      </c>
      <c r="G1003" t="n">
        <v>3.6</v>
      </c>
      <c r="H1003" t="n">
        <v>1</v>
      </c>
      <c r="I1003" t="n">
        <v>0</v>
      </c>
      <c r="J1003" t="n">
        <v>2</v>
      </c>
      <c r="K1003" t="n">
        <v>1</v>
      </c>
      <c r="L1003" t="n">
        <v>0</v>
      </c>
      <c r="M1003" t="n">
        <v>0</v>
      </c>
      <c r="N1003" t="n">
        <v>0</v>
      </c>
      <c r="O1003" t="n">
        <v>3</v>
      </c>
      <c r="P1003" t="n">
        <v>1</v>
      </c>
      <c r="Q1003" t="n">
        <v>3</v>
      </c>
      <c r="R1003" s="2" t="inlineStr">
        <is>
          <t>Knärot
Lunglav
Rosenticka</t>
        </is>
      </c>
      <c r="S1003">
        <f>HYPERLINK("https://klasma.github.io/Logging_2305/artfynd/A 23592-2025 artfynd.xlsx", "A 23592-2025")</f>
        <v/>
      </c>
      <c r="T1003">
        <f>HYPERLINK("https://klasma.github.io/Logging_2305/kartor/A 23592-2025 karta.png", "A 23592-2025")</f>
        <v/>
      </c>
      <c r="U1003">
        <f>HYPERLINK("https://klasma.github.io/Logging_2305/knärot/A 23592-2025 karta knärot.png", "A 23592-2025")</f>
        <v/>
      </c>
      <c r="V1003">
        <f>HYPERLINK("https://klasma.github.io/Logging_2305/klagomål/A 23592-2025 FSC-klagomål.docx", "A 23592-2025")</f>
        <v/>
      </c>
      <c r="W1003">
        <f>HYPERLINK("https://klasma.github.io/Logging_2305/klagomålsmail/A 23592-2025 FSC-klagomål mail.docx", "A 23592-2025")</f>
        <v/>
      </c>
      <c r="X1003">
        <f>HYPERLINK("https://klasma.github.io/Logging_2305/tillsyn/A 23592-2025 tillsynsbegäran.docx", "A 23592-2025")</f>
        <v/>
      </c>
      <c r="Y1003">
        <f>HYPERLINK("https://klasma.github.io/Logging_2305/tillsynsmail/A 23592-2025 tillsynsbegäran mail.docx", "A 23592-2025")</f>
        <v/>
      </c>
    </row>
    <row r="1004" ht="15" customHeight="1">
      <c r="A1004" t="inlineStr">
        <is>
          <t>A 23632-2025</t>
        </is>
      </c>
      <c r="B1004" s="1" t="n">
        <v>45792.67777777778</v>
      </c>
      <c r="C1004" s="1" t="n">
        <v>46045</v>
      </c>
      <c r="D1004" t="inlineStr">
        <is>
          <t>JÄMTLANDS LÄN</t>
        </is>
      </c>
      <c r="E1004" t="inlineStr">
        <is>
          <t>STRÖMSUND</t>
        </is>
      </c>
      <c r="F1004" t="inlineStr">
        <is>
          <t>SCA</t>
        </is>
      </c>
      <c r="G1004" t="n">
        <v>0.5</v>
      </c>
      <c r="H1004" t="n">
        <v>1</v>
      </c>
      <c r="I1004" t="n">
        <v>0</v>
      </c>
      <c r="J1004" t="n">
        <v>2</v>
      </c>
      <c r="K1004" t="n">
        <v>1</v>
      </c>
      <c r="L1004" t="n">
        <v>0</v>
      </c>
      <c r="M1004" t="n">
        <v>0</v>
      </c>
      <c r="N1004" t="n">
        <v>0</v>
      </c>
      <c r="O1004" t="n">
        <v>3</v>
      </c>
      <c r="P1004" t="n">
        <v>1</v>
      </c>
      <c r="Q1004" t="n">
        <v>3</v>
      </c>
      <c r="R1004" s="2" t="inlineStr">
        <is>
          <t>Knärot
Kolflarnlav
Vedskivlav</t>
        </is>
      </c>
      <c r="S1004">
        <f>HYPERLINK("https://klasma.github.io/Logging_2313/artfynd/A 23632-2025 artfynd.xlsx", "A 23632-2025")</f>
        <v/>
      </c>
      <c r="T1004">
        <f>HYPERLINK("https://klasma.github.io/Logging_2313/kartor/A 23632-2025 karta.png", "A 23632-2025")</f>
        <v/>
      </c>
      <c r="U1004">
        <f>HYPERLINK("https://klasma.github.io/Logging_2313/knärot/A 23632-2025 karta knärot.png", "A 23632-2025")</f>
        <v/>
      </c>
      <c r="V1004">
        <f>HYPERLINK("https://klasma.github.io/Logging_2313/klagomål/A 23632-2025 FSC-klagomål.docx", "A 23632-2025")</f>
        <v/>
      </c>
      <c r="W1004">
        <f>HYPERLINK("https://klasma.github.io/Logging_2313/klagomålsmail/A 23632-2025 FSC-klagomål mail.docx", "A 23632-2025")</f>
        <v/>
      </c>
      <c r="X1004">
        <f>HYPERLINK("https://klasma.github.io/Logging_2313/tillsyn/A 23632-2025 tillsynsbegäran.docx", "A 23632-2025")</f>
        <v/>
      </c>
      <c r="Y1004">
        <f>HYPERLINK("https://klasma.github.io/Logging_2313/tillsynsmail/A 23632-2025 tillsynsbegäran mail.docx", "A 23632-2025")</f>
        <v/>
      </c>
    </row>
    <row r="1005" ht="15" customHeight="1">
      <c r="A1005" t="inlineStr">
        <is>
          <t>A 7965-2025</t>
        </is>
      </c>
      <c r="B1005" s="1" t="n">
        <v>45707.45219907408</v>
      </c>
      <c r="C1005" s="1" t="n">
        <v>46045</v>
      </c>
      <c r="D1005" t="inlineStr">
        <is>
          <t>JÄMTLANDS LÄN</t>
        </is>
      </c>
      <c r="E1005" t="inlineStr">
        <is>
          <t>ÖSTERSUND</t>
        </is>
      </c>
      <c r="G1005" t="n">
        <v>3.7</v>
      </c>
      <c r="H1005" t="n">
        <v>2</v>
      </c>
      <c r="I1005" t="n">
        <v>1</v>
      </c>
      <c r="J1005" t="n">
        <v>0</v>
      </c>
      <c r="K1005" t="n">
        <v>0</v>
      </c>
      <c r="L1005" t="n">
        <v>0</v>
      </c>
      <c r="M1005" t="n">
        <v>0</v>
      </c>
      <c r="N1005" t="n">
        <v>0</v>
      </c>
      <c r="O1005" t="n">
        <v>0</v>
      </c>
      <c r="P1005" t="n">
        <v>0</v>
      </c>
      <c r="Q1005" t="n">
        <v>3</v>
      </c>
      <c r="R1005" s="2" t="inlineStr">
        <is>
          <t>Finbräken
Fläcknycklar
Blåsippa</t>
        </is>
      </c>
      <c r="S1005">
        <f>HYPERLINK("https://klasma.github.io/Logging_2380/artfynd/A 7965-2025 artfynd.xlsx", "A 7965-2025")</f>
        <v/>
      </c>
      <c r="T1005">
        <f>HYPERLINK("https://klasma.github.io/Logging_2380/kartor/A 7965-2025 karta.png", "A 7965-2025")</f>
        <v/>
      </c>
      <c r="V1005">
        <f>HYPERLINK("https://klasma.github.io/Logging_2380/klagomål/A 7965-2025 FSC-klagomål.docx", "A 7965-2025")</f>
        <v/>
      </c>
      <c r="W1005">
        <f>HYPERLINK("https://klasma.github.io/Logging_2380/klagomålsmail/A 7965-2025 FSC-klagomål mail.docx", "A 7965-2025")</f>
        <v/>
      </c>
      <c r="X1005">
        <f>HYPERLINK("https://klasma.github.io/Logging_2380/tillsyn/A 7965-2025 tillsynsbegäran.docx", "A 7965-2025")</f>
        <v/>
      </c>
      <c r="Y1005">
        <f>HYPERLINK("https://klasma.github.io/Logging_2380/tillsynsmail/A 7965-2025 tillsynsbegäran mail.docx", "A 7965-2025")</f>
        <v/>
      </c>
    </row>
    <row r="1006" ht="15" customHeight="1">
      <c r="A1006" t="inlineStr">
        <is>
          <t>A 32148-2024</t>
        </is>
      </c>
      <c r="B1006" s="1" t="n">
        <v>45511.55719907407</v>
      </c>
      <c r="C1006" s="1" t="n">
        <v>46045</v>
      </c>
      <c r="D1006" t="inlineStr">
        <is>
          <t>JÄMTLANDS LÄN</t>
        </is>
      </c>
      <c r="E1006" t="inlineStr">
        <is>
          <t>KROKOM</t>
        </is>
      </c>
      <c r="G1006" t="n">
        <v>3.1</v>
      </c>
      <c r="H1006" t="n">
        <v>1</v>
      </c>
      <c r="I1006" t="n">
        <v>2</v>
      </c>
      <c r="J1006" t="n">
        <v>0</v>
      </c>
      <c r="K1006" t="n">
        <v>0</v>
      </c>
      <c r="L1006" t="n">
        <v>0</v>
      </c>
      <c r="M1006" t="n">
        <v>0</v>
      </c>
      <c r="N1006" t="n">
        <v>0</v>
      </c>
      <c r="O1006" t="n">
        <v>0</v>
      </c>
      <c r="P1006" t="n">
        <v>0</v>
      </c>
      <c r="Q1006" t="n">
        <v>3</v>
      </c>
      <c r="R1006" s="2" t="inlineStr">
        <is>
          <t>Kransrams
Tibast
Blåsippa</t>
        </is>
      </c>
      <c r="S1006">
        <f>HYPERLINK("https://klasma.github.io/Logging_2309/artfynd/A 32148-2024 artfynd.xlsx", "A 32148-2024")</f>
        <v/>
      </c>
      <c r="T1006">
        <f>HYPERLINK("https://klasma.github.io/Logging_2309/kartor/A 32148-2024 karta.png", "A 32148-2024")</f>
        <v/>
      </c>
      <c r="V1006">
        <f>HYPERLINK("https://klasma.github.io/Logging_2309/klagomål/A 32148-2024 FSC-klagomål.docx", "A 32148-2024")</f>
        <v/>
      </c>
      <c r="W1006">
        <f>HYPERLINK("https://klasma.github.io/Logging_2309/klagomålsmail/A 32148-2024 FSC-klagomål mail.docx", "A 32148-2024")</f>
        <v/>
      </c>
      <c r="X1006">
        <f>HYPERLINK("https://klasma.github.io/Logging_2309/tillsyn/A 32148-2024 tillsynsbegäran.docx", "A 32148-2024")</f>
        <v/>
      </c>
      <c r="Y1006">
        <f>HYPERLINK("https://klasma.github.io/Logging_2309/tillsynsmail/A 32148-2024 tillsynsbegäran mail.docx", "A 32148-2024")</f>
        <v/>
      </c>
    </row>
    <row r="1007" ht="15" customHeight="1">
      <c r="A1007" t="inlineStr">
        <is>
          <t>A 23300-2025</t>
        </is>
      </c>
      <c r="B1007" s="1" t="n">
        <v>45791.5946875</v>
      </c>
      <c r="C1007" s="1" t="n">
        <v>46045</v>
      </c>
      <c r="D1007" t="inlineStr">
        <is>
          <t>JÄMTLANDS LÄN</t>
        </is>
      </c>
      <c r="E1007" t="inlineStr">
        <is>
          <t>BRÄCKE</t>
        </is>
      </c>
      <c r="F1007" t="inlineStr">
        <is>
          <t>SCA</t>
        </is>
      </c>
      <c r="G1007" t="n">
        <v>3.9</v>
      </c>
      <c r="H1007" t="n">
        <v>1</v>
      </c>
      <c r="I1007" t="n">
        <v>1</v>
      </c>
      <c r="J1007" t="n">
        <v>2</v>
      </c>
      <c r="K1007" t="n">
        <v>0</v>
      </c>
      <c r="L1007" t="n">
        <v>0</v>
      </c>
      <c r="M1007" t="n">
        <v>0</v>
      </c>
      <c r="N1007" t="n">
        <v>0</v>
      </c>
      <c r="O1007" t="n">
        <v>2</v>
      </c>
      <c r="P1007" t="n">
        <v>0</v>
      </c>
      <c r="Q1007" t="n">
        <v>3</v>
      </c>
      <c r="R1007" s="2" t="inlineStr">
        <is>
          <t>Mörk kolflarnlav
Tretåig hackspett
Norrlandslav</t>
        </is>
      </c>
      <c r="S1007">
        <f>HYPERLINK("https://klasma.github.io/Logging_2305/artfynd/A 23300-2025 artfynd.xlsx", "A 23300-2025")</f>
        <v/>
      </c>
      <c r="T1007">
        <f>HYPERLINK("https://klasma.github.io/Logging_2305/kartor/A 23300-2025 karta.png", "A 23300-2025")</f>
        <v/>
      </c>
      <c r="V1007">
        <f>HYPERLINK("https://klasma.github.io/Logging_2305/klagomål/A 23300-2025 FSC-klagomål.docx", "A 23300-2025")</f>
        <v/>
      </c>
      <c r="W1007">
        <f>HYPERLINK("https://klasma.github.io/Logging_2305/klagomålsmail/A 23300-2025 FSC-klagomål mail.docx", "A 23300-2025")</f>
        <v/>
      </c>
      <c r="X1007">
        <f>HYPERLINK("https://klasma.github.io/Logging_2305/tillsyn/A 23300-2025 tillsynsbegäran.docx", "A 23300-2025")</f>
        <v/>
      </c>
      <c r="Y1007">
        <f>HYPERLINK("https://klasma.github.io/Logging_2305/tillsynsmail/A 23300-2025 tillsynsbegäran mail.docx", "A 23300-2025")</f>
        <v/>
      </c>
      <c r="Z1007">
        <f>HYPERLINK("https://klasma.github.io/Logging_2305/fåglar/A 23300-2025 prioriterade fågelarter.docx", "A 23300-2025")</f>
        <v/>
      </c>
    </row>
    <row r="1008" ht="15" customHeight="1">
      <c r="A1008" t="inlineStr">
        <is>
          <t>A 2592-2024</t>
        </is>
      </c>
      <c r="B1008" s="1" t="n">
        <v>45313</v>
      </c>
      <c r="C1008" s="1" t="n">
        <v>46045</v>
      </c>
      <c r="D1008" t="inlineStr">
        <is>
          <t>JÄMTLANDS LÄN</t>
        </is>
      </c>
      <c r="E1008" t="inlineStr">
        <is>
          <t>KROKOM</t>
        </is>
      </c>
      <c r="G1008" t="n">
        <v>28.5</v>
      </c>
      <c r="H1008" t="n">
        <v>2</v>
      </c>
      <c r="I1008" t="n">
        <v>0</v>
      </c>
      <c r="J1008" t="n">
        <v>2</v>
      </c>
      <c r="K1008" t="n">
        <v>1</v>
      </c>
      <c r="L1008" t="n">
        <v>0</v>
      </c>
      <c r="M1008" t="n">
        <v>0</v>
      </c>
      <c r="N1008" t="n">
        <v>0</v>
      </c>
      <c r="O1008" t="n">
        <v>3</v>
      </c>
      <c r="P1008" t="n">
        <v>1</v>
      </c>
      <c r="Q1008" t="n">
        <v>3</v>
      </c>
      <c r="R1008" s="2" t="inlineStr">
        <is>
          <t>Doftticka
Granticka
Tretåig hackspett</t>
        </is>
      </c>
      <c r="S1008">
        <f>HYPERLINK("https://klasma.github.io/Logging_2309/artfynd/A 2592-2024 artfynd.xlsx", "A 2592-2024")</f>
        <v/>
      </c>
      <c r="T1008">
        <f>HYPERLINK("https://klasma.github.io/Logging_2309/kartor/A 2592-2024 karta.png", "A 2592-2024")</f>
        <v/>
      </c>
      <c r="V1008">
        <f>HYPERLINK("https://klasma.github.io/Logging_2309/klagomål/A 2592-2024 FSC-klagomål.docx", "A 2592-2024")</f>
        <v/>
      </c>
      <c r="W1008">
        <f>HYPERLINK("https://klasma.github.io/Logging_2309/klagomålsmail/A 2592-2024 FSC-klagomål mail.docx", "A 2592-2024")</f>
        <v/>
      </c>
      <c r="X1008">
        <f>HYPERLINK("https://klasma.github.io/Logging_2309/tillsyn/A 2592-2024 tillsynsbegäran.docx", "A 2592-2024")</f>
        <v/>
      </c>
      <c r="Y1008">
        <f>HYPERLINK("https://klasma.github.io/Logging_2309/tillsynsmail/A 2592-2024 tillsynsbegäran mail.docx", "A 2592-2024")</f>
        <v/>
      </c>
      <c r="Z1008">
        <f>HYPERLINK("https://klasma.github.io/Logging_2309/fåglar/A 2592-2024 prioriterade fågelarter.docx", "A 2592-2024")</f>
        <v/>
      </c>
    </row>
    <row r="1009" ht="15" customHeight="1">
      <c r="A1009" t="inlineStr">
        <is>
          <t>A 3062-2025</t>
        </is>
      </c>
      <c r="B1009" s="1" t="n">
        <v>45678</v>
      </c>
      <c r="C1009" s="1" t="n">
        <v>46045</v>
      </c>
      <c r="D1009" t="inlineStr">
        <is>
          <t>JÄMTLANDS LÄN</t>
        </is>
      </c>
      <c r="E1009" t="inlineStr">
        <is>
          <t>BERG</t>
        </is>
      </c>
      <c r="G1009" t="n">
        <v>2.4</v>
      </c>
      <c r="H1009" t="n">
        <v>3</v>
      </c>
      <c r="I1009" t="n">
        <v>2</v>
      </c>
      <c r="J1009" t="n">
        <v>0</v>
      </c>
      <c r="K1009" t="n">
        <v>0</v>
      </c>
      <c r="L1009" t="n">
        <v>0</v>
      </c>
      <c r="M1009" t="n">
        <v>0</v>
      </c>
      <c r="N1009" t="n">
        <v>0</v>
      </c>
      <c r="O1009" t="n">
        <v>0</v>
      </c>
      <c r="P1009" t="n">
        <v>0</v>
      </c>
      <c r="Q1009" t="n">
        <v>3</v>
      </c>
      <c r="R1009" s="2" t="inlineStr">
        <is>
          <t>Korallrot
Spindelblomster
Fläcknycklar</t>
        </is>
      </c>
      <c r="S1009">
        <f>HYPERLINK("https://klasma.github.io/Logging_2326/artfynd/A 3062-2025 artfynd.xlsx", "A 3062-2025")</f>
        <v/>
      </c>
      <c r="T1009">
        <f>HYPERLINK("https://klasma.github.io/Logging_2326/kartor/A 3062-2025 karta.png", "A 3062-2025")</f>
        <v/>
      </c>
      <c r="V1009">
        <f>HYPERLINK("https://klasma.github.io/Logging_2326/klagomål/A 3062-2025 FSC-klagomål.docx", "A 3062-2025")</f>
        <v/>
      </c>
      <c r="W1009">
        <f>HYPERLINK("https://klasma.github.io/Logging_2326/klagomålsmail/A 3062-2025 FSC-klagomål mail.docx", "A 3062-2025")</f>
        <v/>
      </c>
      <c r="X1009">
        <f>HYPERLINK("https://klasma.github.io/Logging_2326/tillsyn/A 3062-2025 tillsynsbegäran.docx", "A 3062-2025")</f>
        <v/>
      </c>
      <c r="Y1009">
        <f>HYPERLINK("https://klasma.github.io/Logging_2326/tillsynsmail/A 3062-2025 tillsynsbegäran mail.docx", "A 3062-2025")</f>
        <v/>
      </c>
    </row>
    <row r="1010" ht="15" customHeight="1">
      <c r="A1010" t="inlineStr">
        <is>
          <t>A 23687-2025</t>
        </is>
      </c>
      <c r="B1010" s="1" t="n">
        <v>45793.34428240741</v>
      </c>
      <c r="C1010" s="1" t="n">
        <v>46045</v>
      </c>
      <c r="D1010" t="inlineStr">
        <is>
          <t>JÄMTLANDS LÄN</t>
        </is>
      </c>
      <c r="E1010" t="inlineStr">
        <is>
          <t>BRÄCKE</t>
        </is>
      </c>
      <c r="F1010" t="inlineStr">
        <is>
          <t>SCA</t>
        </is>
      </c>
      <c r="G1010" t="n">
        <v>5.5</v>
      </c>
      <c r="H1010" t="n">
        <v>0</v>
      </c>
      <c r="I1010" t="n">
        <v>2</v>
      </c>
      <c r="J1010" t="n">
        <v>1</v>
      </c>
      <c r="K1010" t="n">
        <v>0</v>
      </c>
      <c r="L1010" t="n">
        <v>0</v>
      </c>
      <c r="M1010" t="n">
        <v>0</v>
      </c>
      <c r="N1010" t="n">
        <v>0</v>
      </c>
      <c r="O1010" t="n">
        <v>1</v>
      </c>
      <c r="P1010" t="n">
        <v>0</v>
      </c>
      <c r="Q1010" t="n">
        <v>3</v>
      </c>
      <c r="R1010" s="2" t="inlineStr">
        <is>
          <t>Lunglav
Skinnlav
Stuplav</t>
        </is>
      </c>
      <c r="S1010">
        <f>HYPERLINK("https://klasma.github.io/Logging_2305/artfynd/A 23687-2025 artfynd.xlsx", "A 23687-2025")</f>
        <v/>
      </c>
      <c r="T1010">
        <f>HYPERLINK("https://klasma.github.io/Logging_2305/kartor/A 23687-2025 karta.png", "A 23687-2025")</f>
        <v/>
      </c>
      <c r="V1010">
        <f>HYPERLINK("https://klasma.github.io/Logging_2305/klagomål/A 23687-2025 FSC-klagomål.docx", "A 23687-2025")</f>
        <v/>
      </c>
      <c r="W1010">
        <f>HYPERLINK("https://klasma.github.io/Logging_2305/klagomålsmail/A 23687-2025 FSC-klagomål mail.docx", "A 23687-2025")</f>
        <v/>
      </c>
      <c r="X1010">
        <f>HYPERLINK("https://klasma.github.io/Logging_2305/tillsyn/A 23687-2025 tillsynsbegäran.docx", "A 23687-2025")</f>
        <v/>
      </c>
      <c r="Y1010">
        <f>HYPERLINK("https://klasma.github.io/Logging_2305/tillsynsmail/A 23687-2025 tillsynsbegäran mail.docx", "A 23687-2025")</f>
        <v/>
      </c>
    </row>
    <row r="1011" ht="15" customHeight="1">
      <c r="A1011" t="inlineStr">
        <is>
          <t>A 5100-2023</t>
        </is>
      </c>
      <c r="B1011" s="1" t="n">
        <v>44956</v>
      </c>
      <c r="C1011" s="1" t="n">
        <v>46045</v>
      </c>
      <c r="D1011" t="inlineStr">
        <is>
          <t>JÄMTLANDS LÄN</t>
        </is>
      </c>
      <c r="E1011" t="inlineStr">
        <is>
          <t>ÖSTERSUND</t>
        </is>
      </c>
      <c r="G1011" t="n">
        <v>2.6</v>
      </c>
      <c r="H1011" t="n">
        <v>0</v>
      </c>
      <c r="I1011" t="n">
        <v>2</v>
      </c>
      <c r="J1011" t="n">
        <v>0</v>
      </c>
      <c r="K1011" t="n">
        <v>0</v>
      </c>
      <c r="L1011" t="n">
        <v>1</v>
      </c>
      <c r="M1011" t="n">
        <v>0</v>
      </c>
      <c r="N1011" t="n">
        <v>0</v>
      </c>
      <c r="O1011" t="n">
        <v>1</v>
      </c>
      <c r="P1011" t="n">
        <v>1</v>
      </c>
      <c r="Q1011" t="n">
        <v>3</v>
      </c>
      <c r="R1011" s="2" t="inlineStr">
        <is>
          <t>Trolldruvemätare
Svart trolldruva
Tibast</t>
        </is>
      </c>
      <c r="S1011">
        <f>HYPERLINK("https://klasma.github.io/Logging_2380/artfynd/A 5100-2023 artfynd.xlsx", "A 5100-2023")</f>
        <v/>
      </c>
      <c r="T1011">
        <f>HYPERLINK("https://klasma.github.io/Logging_2380/kartor/A 5100-2023 karta.png", "A 5100-2023")</f>
        <v/>
      </c>
      <c r="V1011">
        <f>HYPERLINK("https://klasma.github.io/Logging_2380/klagomål/A 5100-2023 FSC-klagomål.docx", "A 5100-2023")</f>
        <v/>
      </c>
      <c r="W1011">
        <f>HYPERLINK("https://klasma.github.io/Logging_2380/klagomålsmail/A 5100-2023 FSC-klagomål mail.docx", "A 5100-2023")</f>
        <v/>
      </c>
      <c r="X1011">
        <f>HYPERLINK("https://klasma.github.io/Logging_2380/tillsyn/A 5100-2023 tillsynsbegäran.docx", "A 5100-2023")</f>
        <v/>
      </c>
      <c r="Y1011">
        <f>HYPERLINK("https://klasma.github.io/Logging_2380/tillsynsmail/A 5100-2023 tillsynsbegäran mail.docx", "A 5100-2023")</f>
        <v/>
      </c>
    </row>
    <row r="1012" ht="15" customHeight="1">
      <c r="A1012" t="inlineStr">
        <is>
          <t>A 23854-2025</t>
        </is>
      </c>
      <c r="B1012" s="1" t="n">
        <v>45793.65658564815</v>
      </c>
      <c r="C1012" s="1" t="n">
        <v>46045</v>
      </c>
      <c r="D1012" t="inlineStr">
        <is>
          <t>JÄMTLANDS LÄN</t>
        </is>
      </c>
      <c r="E1012" t="inlineStr">
        <is>
          <t>BRÄCKE</t>
        </is>
      </c>
      <c r="F1012" t="inlineStr">
        <is>
          <t>SCA</t>
        </is>
      </c>
      <c r="G1012" t="n">
        <v>4.5</v>
      </c>
      <c r="H1012" t="n">
        <v>1</v>
      </c>
      <c r="I1012" t="n">
        <v>1</v>
      </c>
      <c r="J1012" t="n">
        <v>1</v>
      </c>
      <c r="K1012" t="n">
        <v>0</v>
      </c>
      <c r="L1012" t="n">
        <v>0</v>
      </c>
      <c r="M1012" t="n">
        <v>0</v>
      </c>
      <c r="N1012" t="n">
        <v>0</v>
      </c>
      <c r="O1012" t="n">
        <v>1</v>
      </c>
      <c r="P1012" t="n">
        <v>0</v>
      </c>
      <c r="Q1012" t="n">
        <v>3</v>
      </c>
      <c r="R1012" s="2" t="inlineStr">
        <is>
          <t>Garnlav
Skuggblåslav
Tjäder</t>
        </is>
      </c>
      <c r="S1012">
        <f>HYPERLINK("https://klasma.github.io/Logging_2305/artfynd/A 23854-2025 artfynd.xlsx", "A 23854-2025")</f>
        <v/>
      </c>
      <c r="T1012">
        <f>HYPERLINK("https://klasma.github.io/Logging_2305/kartor/A 23854-2025 karta.png", "A 23854-2025")</f>
        <v/>
      </c>
      <c r="V1012">
        <f>HYPERLINK("https://klasma.github.io/Logging_2305/klagomål/A 23854-2025 FSC-klagomål.docx", "A 23854-2025")</f>
        <v/>
      </c>
      <c r="W1012">
        <f>HYPERLINK("https://klasma.github.io/Logging_2305/klagomålsmail/A 23854-2025 FSC-klagomål mail.docx", "A 23854-2025")</f>
        <v/>
      </c>
      <c r="X1012">
        <f>HYPERLINK("https://klasma.github.io/Logging_2305/tillsyn/A 23854-2025 tillsynsbegäran.docx", "A 23854-2025")</f>
        <v/>
      </c>
      <c r="Y1012">
        <f>HYPERLINK("https://klasma.github.io/Logging_2305/tillsynsmail/A 23854-2025 tillsynsbegäran mail.docx", "A 23854-2025")</f>
        <v/>
      </c>
      <c r="Z1012">
        <f>HYPERLINK("https://klasma.github.io/Logging_2305/fåglar/A 23854-2025 prioriterade fågelarter.docx", "A 23854-2025")</f>
        <v/>
      </c>
    </row>
    <row r="1013" ht="15" customHeight="1">
      <c r="A1013" t="inlineStr">
        <is>
          <t>A 19520-2023</t>
        </is>
      </c>
      <c r="B1013" s="1" t="n">
        <v>45049</v>
      </c>
      <c r="C1013" s="1" t="n">
        <v>46045</v>
      </c>
      <c r="D1013" t="inlineStr">
        <is>
          <t>JÄMTLANDS LÄN</t>
        </is>
      </c>
      <c r="E1013" t="inlineStr">
        <is>
          <t>ÖSTERSUND</t>
        </is>
      </c>
      <c r="G1013" t="n">
        <v>2</v>
      </c>
      <c r="H1013" t="n">
        <v>0</v>
      </c>
      <c r="I1013" t="n">
        <v>2</v>
      </c>
      <c r="J1013" t="n">
        <v>0</v>
      </c>
      <c r="K1013" t="n">
        <v>0</v>
      </c>
      <c r="L1013" t="n">
        <v>1</v>
      </c>
      <c r="M1013" t="n">
        <v>0</v>
      </c>
      <c r="N1013" t="n">
        <v>0</v>
      </c>
      <c r="O1013" t="n">
        <v>1</v>
      </c>
      <c r="P1013" t="n">
        <v>1</v>
      </c>
      <c r="Q1013" t="n">
        <v>3</v>
      </c>
      <c r="R1013" s="2" t="inlineStr">
        <is>
          <t>Trolldruvemätare
Svart trolldruva
Svavelriska</t>
        </is>
      </c>
      <c r="S1013">
        <f>HYPERLINK("https://klasma.github.io/Logging_2380/artfynd/A 19520-2023 artfynd.xlsx", "A 19520-2023")</f>
        <v/>
      </c>
      <c r="T1013">
        <f>HYPERLINK("https://klasma.github.io/Logging_2380/kartor/A 19520-2023 karta.png", "A 19520-2023")</f>
        <v/>
      </c>
      <c r="V1013">
        <f>HYPERLINK("https://klasma.github.io/Logging_2380/klagomål/A 19520-2023 FSC-klagomål.docx", "A 19520-2023")</f>
        <v/>
      </c>
      <c r="W1013">
        <f>HYPERLINK("https://klasma.github.io/Logging_2380/klagomålsmail/A 19520-2023 FSC-klagomål mail.docx", "A 19520-2023")</f>
        <v/>
      </c>
      <c r="X1013">
        <f>HYPERLINK("https://klasma.github.io/Logging_2380/tillsyn/A 19520-2023 tillsynsbegäran.docx", "A 19520-2023")</f>
        <v/>
      </c>
      <c r="Y1013">
        <f>HYPERLINK("https://klasma.github.io/Logging_2380/tillsynsmail/A 19520-2023 tillsynsbegäran mail.docx", "A 19520-2023")</f>
        <v/>
      </c>
    </row>
    <row r="1014" ht="15" customHeight="1">
      <c r="A1014" t="inlineStr">
        <is>
          <t>A 22601-2024</t>
        </is>
      </c>
      <c r="B1014" s="1" t="n">
        <v>45447</v>
      </c>
      <c r="C1014" s="1" t="n">
        <v>46045</v>
      </c>
      <c r="D1014" t="inlineStr">
        <is>
          <t>JÄMTLANDS LÄN</t>
        </is>
      </c>
      <c r="E1014" t="inlineStr">
        <is>
          <t>ÅRE</t>
        </is>
      </c>
      <c r="G1014" t="n">
        <v>14.7</v>
      </c>
      <c r="H1014" t="n">
        <v>0</v>
      </c>
      <c r="I1014" t="n">
        <v>2</v>
      </c>
      <c r="J1014" t="n">
        <v>1</v>
      </c>
      <c r="K1014" t="n">
        <v>0</v>
      </c>
      <c r="L1014" t="n">
        <v>0</v>
      </c>
      <c r="M1014" t="n">
        <v>0</v>
      </c>
      <c r="N1014" t="n">
        <v>0</v>
      </c>
      <c r="O1014" t="n">
        <v>1</v>
      </c>
      <c r="P1014" t="n">
        <v>0</v>
      </c>
      <c r="Q1014" t="n">
        <v>3</v>
      </c>
      <c r="R1014" s="2" t="inlineStr">
        <is>
          <t>Granticka
Nordlig tuffmossa
Svavelriska</t>
        </is>
      </c>
      <c r="S1014">
        <f>HYPERLINK("https://klasma.github.io/Logging_2321/artfynd/A 22601-2024 artfynd.xlsx", "A 22601-2024")</f>
        <v/>
      </c>
      <c r="T1014">
        <f>HYPERLINK("https://klasma.github.io/Logging_2321/kartor/A 22601-2024 karta.png", "A 22601-2024")</f>
        <v/>
      </c>
      <c r="V1014">
        <f>HYPERLINK("https://klasma.github.io/Logging_2321/klagomål/A 22601-2024 FSC-klagomål.docx", "A 22601-2024")</f>
        <v/>
      </c>
      <c r="W1014">
        <f>HYPERLINK("https://klasma.github.io/Logging_2321/klagomålsmail/A 22601-2024 FSC-klagomål mail.docx", "A 22601-2024")</f>
        <v/>
      </c>
      <c r="X1014">
        <f>HYPERLINK("https://klasma.github.io/Logging_2321/tillsyn/A 22601-2024 tillsynsbegäran.docx", "A 22601-2024")</f>
        <v/>
      </c>
      <c r="Y1014">
        <f>HYPERLINK("https://klasma.github.io/Logging_2321/tillsynsmail/A 22601-2024 tillsynsbegäran mail.docx", "A 22601-2024")</f>
        <v/>
      </c>
    </row>
    <row r="1015" ht="15" customHeight="1">
      <c r="A1015" t="inlineStr">
        <is>
          <t>A 24635-2025</t>
        </is>
      </c>
      <c r="B1015" s="1" t="n">
        <v>45798.61513888889</v>
      </c>
      <c r="C1015" s="1" t="n">
        <v>46045</v>
      </c>
      <c r="D1015" t="inlineStr">
        <is>
          <t>JÄMTLANDS LÄN</t>
        </is>
      </c>
      <c r="E1015" t="inlineStr">
        <is>
          <t>BRÄCKE</t>
        </is>
      </c>
      <c r="G1015" t="n">
        <v>3.2</v>
      </c>
      <c r="H1015" t="n">
        <v>1</v>
      </c>
      <c r="I1015" t="n">
        <v>0</v>
      </c>
      <c r="J1015" t="n">
        <v>3</v>
      </c>
      <c r="K1015" t="n">
        <v>0</v>
      </c>
      <c r="L1015" t="n">
        <v>0</v>
      </c>
      <c r="M1015" t="n">
        <v>0</v>
      </c>
      <c r="N1015" t="n">
        <v>0</v>
      </c>
      <c r="O1015" t="n">
        <v>3</v>
      </c>
      <c r="P1015" t="n">
        <v>0</v>
      </c>
      <c r="Q1015" t="n">
        <v>3</v>
      </c>
      <c r="R1015" s="2" t="inlineStr">
        <is>
          <t>Lunglav
Tretåig hackspett
Ullticka</t>
        </is>
      </c>
      <c r="S1015">
        <f>HYPERLINK("https://klasma.github.io/Logging_2305/artfynd/A 24635-2025 artfynd.xlsx", "A 24635-2025")</f>
        <v/>
      </c>
      <c r="T1015">
        <f>HYPERLINK("https://klasma.github.io/Logging_2305/kartor/A 24635-2025 karta.png", "A 24635-2025")</f>
        <v/>
      </c>
      <c r="V1015">
        <f>HYPERLINK("https://klasma.github.io/Logging_2305/klagomål/A 24635-2025 FSC-klagomål.docx", "A 24635-2025")</f>
        <v/>
      </c>
      <c r="W1015">
        <f>HYPERLINK("https://klasma.github.io/Logging_2305/klagomålsmail/A 24635-2025 FSC-klagomål mail.docx", "A 24635-2025")</f>
        <v/>
      </c>
      <c r="X1015">
        <f>HYPERLINK("https://klasma.github.io/Logging_2305/tillsyn/A 24635-2025 tillsynsbegäran.docx", "A 24635-2025")</f>
        <v/>
      </c>
      <c r="Y1015">
        <f>HYPERLINK("https://klasma.github.io/Logging_2305/tillsynsmail/A 24635-2025 tillsynsbegäran mail.docx", "A 24635-2025")</f>
        <v/>
      </c>
      <c r="Z1015">
        <f>HYPERLINK("https://klasma.github.io/Logging_2305/fåglar/A 24635-2025 prioriterade fågelarter.docx", "A 24635-2025")</f>
        <v/>
      </c>
    </row>
    <row r="1016" ht="15" customHeight="1">
      <c r="A1016" t="inlineStr">
        <is>
          <t>A 52007-2025</t>
        </is>
      </c>
      <c r="B1016" s="1" t="n">
        <v>45952.59424768519</v>
      </c>
      <c r="C1016" s="1" t="n">
        <v>46045</v>
      </c>
      <c r="D1016" t="inlineStr">
        <is>
          <t>JÄMTLANDS LÄN</t>
        </is>
      </c>
      <c r="E1016" t="inlineStr">
        <is>
          <t>BERG</t>
        </is>
      </c>
      <c r="F1016" t="inlineStr">
        <is>
          <t>SCA</t>
        </is>
      </c>
      <c r="G1016" t="n">
        <v>28.1</v>
      </c>
      <c r="H1016" t="n">
        <v>0</v>
      </c>
      <c r="I1016" t="n">
        <v>0</v>
      </c>
      <c r="J1016" t="n">
        <v>2</v>
      </c>
      <c r="K1016" t="n">
        <v>1</v>
      </c>
      <c r="L1016" t="n">
        <v>0</v>
      </c>
      <c r="M1016" t="n">
        <v>0</v>
      </c>
      <c r="N1016" t="n">
        <v>0</v>
      </c>
      <c r="O1016" t="n">
        <v>3</v>
      </c>
      <c r="P1016" t="n">
        <v>1</v>
      </c>
      <c r="Q1016" t="n">
        <v>3</v>
      </c>
      <c r="R1016" s="2" t="inlineStr">
        <is>
          <t>Gräddporing
Dvärgbägarlav
Vedtrappmossa</t>
        </is>
      </c>
      <c r="S1016">
        <f>HYPERLINK("https://klasma.github.io/Logging_2326/artfynd/A 52007-2025 artfynd.xlsx", "A 52007-2025")</f>
        <v/>
      </c>
      <c r="T1016">
        <f>HYPERLINK("https://klasma.github.io/Logging_2326/kartor/A 52007-2025 karta.png", "A 52007-2025")</f>
        <v/>
      </c>
      <c r="V1016">
        <f>HYPERLINK("https://klasma.github.io/Logging_2326/klagomål/A 52007-2025 FSC-klagomål.docx", "A 52007-2025")</f>
        <v/>
      </c>
      <c r="W1016">
        <f>HYPERLINK("https://klasma.github.io/Logging_2326/klagomålsmail/A 52007-2025 FSC-klagomål mail.docx", "A 52007-2025")</f>
        <v/>
      </c>
      <c r="X1016">
        <f>HYPERLINK("https://klasma.github.io/Logging_2326/tillsyn/A 52007-2025 tillsynsbegäran.docx", "A 52007-2025")</f>
        <v/>
      </c>
      <c r="Y1016">
        <f>HYPERLINK("https://klasma.github.io/Logging_2326/tillsynsmail/A 52007-2025 tillsynsbegäran mail.docx", "A 52007-2025")</f>
        <v/>
      </c>
    </row>
    <row r="1017" ht="15" customHeight="1">
      <c r="A1017" t="inlineStr">
        <is>
          <t>A 14155-2024</t>
        </is>
      </c>
      <c r="B1017" s="1" t="n">
        <v>45392.92886574074</v>
      </c>
      <c r="C1017" s="1" t="n">
        <v>46045</v>
      </c>
      <c r="D1017" t="inlineStr">
        <is>
          <t>JÄMTLANDS LÄN</t>
        </is>
      </c>
      <c r="E1017" t="inlineStr">
        <is>
          <t>STRÖMSUND</t>
        </is>
      </c>
      <c r="G1017" t="n">
        <v>2.4</v>
      </c>
      <c r="H1017" t="n">
        <v>1</v>
      </c>
      <c r="I1017" t="n">
        <v>0</v>
      </c>
      <c r="J1017" t="n">
        <v>3</v>
      </c>
      <c r="K1017" t="n">
        <v>0</v>
      </c>
      <c r="L1017" t="n">
        <v>0</v>
      </c>
      <c r="M1017" t="n">
        <v>0</v>
      </c>
      <c r="N1017" t="n">
        <v>0</v>
      </c>
      <c r="O1017" t="n">
        <v>3</v>
      </c>
      <c r="P1017" t="n">
        <v>0</v>
      </c>
      <c r="Q1017" t="n">
        <v>3</v>
      </c>
      <c r="R1017" s="2" t="inlineStr">
        <is>
          <t>Garnlav
Tretåig hackspett
Vitgrynig nållav</t>
        </is>
      </c>
      <c r="S1017">
        <f>HYPERLINK("https://klasma.github.io/Logging_2313/artfynd/A 14155-2024 artfynd.xlsx", "A 14155-2024")</f>
        <v/>
      </c>
      <c r="T1017">
        <f>HYPERLINK("https://klasma.github.io/Logging_2313/kartor/A 14155-2024 karta.png", "A 14155-2024")</f>
        <v/>
      </c>
      <c r="V1017">
        <f>HYPERLINK("https://klasma.github.io/Logging_2313/klagomål/A 14155-2024 FSC-klagomål.docx", "A 14155-2024")</f>
        <v/>
      </c>
      <c r="W1017">
        <f>HYPERLINK("https://klasma.github.io/Logging_2313/klagomålsmail/A 14155-2024 FSC-klagomål mail.docx", "A 14155-2024")</f>
        <v/>
      </c>
      <c r="X1017">
        <f>HYPERLINK("https://klasma.github.io/Logging_2313/tillsyn/A 14155-2024 tillsynsbegäran.docx", "A 14155-2024")</f>
        <v/>
      </c>
      <c r="Y1017">
        <f>HYPERLINK("https://klasma.github.io/Logging_2313/tillsynsmail/A 14155-2024 tillsynsbegäran mail.docx", "A 14155-2024")</f>
        <v/>
      </c>
      <c r="Z1017">
        <f>HYPERLINK("https://klasma.github.io/Logging_2313/fåglar/A 14155-2024 prioriterade fågelarter.docx", "A 14155-2024")</f>
        <v/>
      </c>
    </row>
    <row r="1018" ht="15" customHeight="1">
      <c r="A1018" t="inlineStr">
        <is>
          <t>A 23337-2025</t>
        </is>
      </c>
      <c r="B1018" s="1" t="n">
        <v>45791</v>
      </c>
      <c r="C1018" s="1" t="n">
        <v>46045</v>
      </c>
      <c r="D1018" t="inlineStr">
        <is>
          <t>JÄMTLANDS LÄN</t>
        </is>
      </c>
      <c r="E1018" t="inlineStr">
        <is>
          <t>HÄRJEDALEN</t>
        </is>
      </c>
      <c r="G1018" t="n">
        <v>5.9</v>
      </c>
      <c r="H1018" t="n">
        <v>0</v>
      </c>
      <c r="I1018" t="n">
        <v>0</v>
      </c>
      <c r="J1018" t="n">
        <v>3</v>
      </c>
      <c r="K1018" t="n">
        <v>0</v>
      </c>
      <c r="L1018" t="n">
        <v>0</v>
      </c>
      <c r="M1018" t="n">
        <v>0</v>
      </c>
      <c r="N1018" t="n">
        <v>0</v>
      </c>
      <c r="O1018" t="n">
        <v>3</v>
      </c>
      <c r="P1018" t="n">
        <v>0</v>
      </c>
      <c r="Q1018" t="n">
        <v>3</v>
      </c>
      <c r="R1018" s="2" t="inlineStr">
        <is>
          <t>Dvärgbägarlav
Knottrig blåslav
Vedskivlav</t>
        </is>
      </c>
      <c r="S1018">
        <f>HYPERLINK("https://klasma.github.io/Logging_2361/artfynd/A 23337-2025 artfynd.xlsx", "A 23337-2025")</f>
        <v/>
      </c>
      <c r="T1018">
        <f>HYPERLINK("https://klasma.github.io/Logging_2361/kartor/A 23337-2025 karta.png", "A 23337-2025")</f>
        <v/>
      </c>
      <c r="V1018">
        <f>HYPERLINK("https://klasma.github.io/Logging_2361/klagomål/A 23337-2025 FSC-klagomål.docx", "A 23337-2025")</f>
        <v/>
      </c>
      <c r="W1018">
        <f>HYPERLINK("https://klasma.github.io/Logging_2361/klagomålsmail/A 23337-2025 FSC-klagomål mail.docx", "A 23337-2025")</f>
        <v/>
      </c>
      <c r="X1018">
        <f>HYPERLINK("https://klasma.github.io/Logging_2361/tillsyn/A 23337-2025 tillsynsbegäran.docx", "A 23337-2025")</f>
        <v/>
      </c>
      <c r="Y1018">
        <f>HYPERLINK("https://klasma.github.io/Logging_2361/tillsynsmail/A 23337-2025 tillsynsbegäran mail.docx", "A 23337-2025")</f>
        <v/>
      </c>
    </row>
    <row r="1019" ht="15" customHeight="1">
      <c r="A1019" t="inlineStr">
        <is>
          <t>A 24806-2024</t>
        </is>
      </c>
      <c r="B1019" s="1" t="n">
        <v>45460.95342592592</v>
      </c>
      <c r="C1019" s="1" t="n">
        <v>46045</v>
      </c>
      <c r="D1019" t="inlineStr">
        <is>
          <t>JÄMTLANDS LÄN</t>
        </is>
      </c>
      <c r="E1019" t="inlineStr">
        <is>
          <t>STRÖMSUND</t>
        </is>
      </c>
      <c r="F1019" t="inlineStr">
        <is>
          <t>SCA</t>
        </is>
      </c>
      <c r="G1019" t="n">
        <v>1.2</v>
      </c>
      <c r="H1019" t="n">
        <v>1</v>
      </c>
      <c r="I1019" t="n">
        <v>0</v>
      </c>
      <c r="J1019" t="n">
        <v>2</v>
      </c>
      <c r="K1019" t="n">
        <v>0</v>
      </c>
      <c r="L1019" t="n">
        <v>0</v>
      </c>
      <c r="M1019" t="n">
        <v>0</v>
      </c>
      <c r="N1019" t="n">
        <v>0</v>
      </c>
      <c r="O1019" t="n">
        <v>2</v>
      </c>
      <c r="P1019" t="n">
        <v>0</v>
      </c>
      <c r="Q1019" t="n">
        <v>3</v>
      </c>
      <c r="R1019" s="2" t="inlineStr">
        <is>
          <t>Garnlav
Lunglav
Tjäder</t>
        </is>
      </c>
      <c r="S1019">
        <f>HYPERLINK("https://klasma.github.io/Logging_2313/artfynd/A 24806-2024 artfynd.xlsx", "A 24806-2024")</f>
        <v/>
      </c>
      <c r="T1019">
        <f>HYPERLINK("https://klasma.github.io/Logging_2313/kartor/A 24806-2024 karta.png", "A 24806-2024")</f>
        <v/>
      </c>
      <c r="V1019">
        <f>HYPERLINK("https://klasma.github.io/Logging_2313/klagomål/A 24806-2024 FSC-klagomål.docx", "A 24806-2024")</f>
        <v/>
      </c>
      <c r="W1019">
        <f>HYPERLINK("https://klasma.github.io/Logging_2313/klagomålsmail/A 24806-2024 FSC-klagomål mail.docx", "A 24806-2024")</f>
        <v/>
      </c>
      <c r="X1019">
        <f>HYPERLINK("https://klasma.github.io/Logging_2313/tillsyn/A 24806-2024 tillsynsbegäran.docx", "A 24806-2024")</f>
        <v/>
      </c>
      <c r="Y1019">
        <f>HYPERLINK("https://klasma.github.io/Logging_2313/tillsynsmail/A 24806-2024 tillsynsbegäran mail.docx", "A 24806-2024")</f>
        <v/>
      </c>
      <c r="Z1019">
        <f>HYPERLINK("https://klasma.github.io/Logging_2313/fåglar/A 24806-2024 prioriterade fågelarter.docx", "A 24806-2024")</f>
        <v/>
      </c>
    </row>
    <row r="1020" ht="15" customHeight="1">
      <c r="A1020" t="inlineStr">
        <is>
          <t>A 10501-2024</t>
        </is>
      </c>
      <c r="B1020" s="1" t="n">
        <v>45366</v>
      </c>
      <c r="C1020" s="1" t="n">
        <v>46045</v>
      </c>
      <c r="D1020" t="inlineStr">
        <is>
          <t>JÄMTLANDS LÄN</t>
        </is>
      </c>
      <c r="E1020" t="inlineStr">
        <is>
          <t>ÅRE</t>
        </is>
      </c>
      <c r="G1020" t="n">
        <v>4.5</v>
      </c>
      <c r="H1020" t="n">
        <v>0</v>
      </c>
      <c r="I1020" t="n">
        <v>0</v>
      </c>
      <c r="J1020" t="n">
        <v>3</v>
      </c>
      <c r="K1020" t="n">
        <v>0</v>
      </c>
      <c r="L1020" t="n">
        <v>0</v>
      </c>
      <c r="M1020" t="n">
        <v>0</v>
      </c>
      <c r="N1020" t="n">
        <v>0</v>
      </c>
      <c r="O1020" t="n">
        <v>3</v>
      </c>
      <c r="P1020" t="n">
        <v>0</v>
      </c>
      <c r="Q1020" t="n">
        <v>3</v>
      </c>
      <c r="R1020" s="2" t="inlineStr">
        <is>
          <t>Doftskinn
Granticka
Harticka</t>
        </is>
      </c>
      <c r="S1020">
        <f>HYPERLINK("https://klasma.github.io/Logging_2321/artfynd/A 10501-2024 artfynd.xlsx", "A 10501-2024")</f>
        <v/>
      </c>
      <c r="T1020">
        <f>HYPERLINK("https://klasma.github.io/Logging_2321/kartor/A 10501-2024 karta.png", "A 10501-2024")</f>
        <v/>
      </c>
      <c r="V1020">
        <f>HYPERLINK("https://klasma.github.io/Logging_2321/klagomål/A 10501-2024 FSC-klagomål.docx", "A 10501-2024")</f>
        <v/>
      </c>
      <c r="W1020">
        <f>HYPERLINK("https://klasma.github.io/Logging_2321/klagomålsmail/A 10501-2024 FSC-klagomål mail.docx", "A 10501-2024")</f>
        <v/>
      </c>
      <c r="X1020">
        <f>HYPERLINK("https://klasma.github.io/Logging_2321/tillsyn/A 10501-2024 tillsynsbegäran.docx", "A 10501-2024")</f>
        <v/>
      </c>
      <c r="Y1020">
        <f>HYPERLINK("https://klasma.github.io/Logging_2321/tillsynsmail/A 10501-2024 tillsynsbegäran mail.docx", "A 10501-2024")</f>
        <v/>
      </c>
    </row>
    <row r="1021" ht="15" customHeight="1">
      <c r="A1021" t="inlineStr">
        <is>
          <t>A 57468-2024</t>
        </is>
      </c>
      <c r="B1021" s="1" t="n">
        <v>45630</v>
      </c>
      <c r="C1021" s="1" t="n">
        <v>46045</v>
      </c>
      <c r="D1021" t="inlineStr">
        <is>
          <t>JÄMTLANDS LÄN</t>
        </is>
      </c>
      <c r="E1021" t="inlineStr">
        <is>
          <t>KROKOM</t>
        </is>
      </c>
      <c r="G1021" t="n">
        <v>38.8</v>
      </c>
      <c r="H1021" t="n">
        <v>1</v>
      </c>
      <c r="I1021" t="n">
        <v>0</v>
      </c>
      <c r="J1021" t="n">
        <v>3</v>
      </c>
      <c r="K1021" t="n">
        <v>0</v>
      </c>
      <c r="L1021" t="n">
        <v>0</v>
      </c>
      <c r="M1021" t="n">
        <v>0</v>
      </c>
      <c r="N1021" t="n">
        <v>0</v>
      </c>
      <c r="O1021" t="n">
        <v>3</v>
      </c>
      <c r="P1021" t="n">
        <v>0</v>
      </c>
      <c r="Q1021" t="n">
        <v>3</v>
      </c>
      <c r="R1021" s="2" t="inlineStr">
        <is>
          <t>Granticka
Gränsticka
Tretåig hackspett</t>
        </is>
      </c>
      <c r="S1021">
        <f>HYPERLINK("https://klasma.github.io/Logging_2309/artfynd/A 57468-2024 artfynd.xlsx", "A 57468-2024")</f>
        <v/>
      </c>
      <c r="T1021">
        <f>HYPERLINK("https://klasma.github.io/Logging_2309/kartor/A 57468-2024 karta.png", "A 57468-2024")</f>
        <v/>
      </c>
      <c r="V1021">
        <f>HYPERLINK("https://klasma.github.io/Logging_2309/klagomål/A 57468-2024 FSC-klagomål.docx", "A 57468-2024")</f>
        <v/>
      </c>
      <c r="W1021">
        <f>HYPERLINK("https://klasma.github.io/Logging_2309/klagomålsmail/A 57468-2024 FSC-klagomål mail.docx", "A 57468-2024")</f>
        <v/>
      </c>
      <c r="X1021">
        <f>HYPERLINK("https://klasma.github.io/Logging_2309/tillsyn/A 57468-2024 tillsynsbegäran.docx", "A 57468-2024")</f>
        <v/>
      </c>
      <c r="Y1021">
        <f>HYPERLINK("https://klasma.github.io/Logging_2309/tillsynsmail/A 57468-2024 tillsynsbegäran mail.docx", "A 57468-2024")</f>
        <v/>
      </c>
      <c r="Z1021">
        <f>HYPERLINK("https://klasma.github.io/Logging_2309/fåglar/A 57468-2024 prioriterade fågelarter.docx", "A 57468-2024")</f>
        <v/>
      </c>
    </row>
    <row r="1022" ht="15" customHeight="1">
      <c r="A1022" t="inlineStr">
        <is>
          <t>A 40107-2023</t>
        </is>
      </c>
      <c r="B1022" s="1" t="n">
        <v>45168</v>
      </c>
      <c r="C1022" s="1" t="n">
        <v>46045</v>
      </c>
      <c r="D1022" t="inlineStr">
        <is>
          <t>JÄMTLANDS LÄN</t>
        </is>
      </c>
      <c r="E1022" t="inlineStr">
        <is>
          <t>STRÖMSUND</t>
        </is>
      </c>
      <c r="F1022" t="inlineStr">
        <is>
          <t>SCA</t>
        </is>
      </c>
      <c r="G1022" t="n">
        <v>4.6</v>
      </c>
      <c r="H1022" t="n">
        <v>1</v>
      </c>
      <c r="I1022" t="n">
        <v>1</v>
      </c>
      <c r="J1022" t="n">
        <v>2</v>
      </c>
      <c r="K1022" t="n">
        <v>0</v>
      </c>
      <c r="L1022" t="n">
        <v>0</v>
      </c>
      <c r="M1022" t="n">
        <v>0</v>
      </c>
      <c r="N1022" t="n">
        <v>0</v>
      </c>
      <c r="O1022" t="n">
        <v>2</v>
      </c>
      <c r="P1022" t="n">
        <v>0</v>
      </c>
      <c r="Q1022" t="n">
        <v>3</v>
      </c>
      <c r="R1022" s="2" t="inlineStr">
        <is>
          <t>Gammelgransskål
Ullticka
Korallrot</t>
        </is>
      </c>
      <c r="S1022">
        <f>HYPERLINK("https://klasma.github.io/Logging_2313/artfynd/A 40107-2023 artfynd.xlsx", "A 40107-2023")</f>
        <v/>
      </c>
      <c r="T1022">
        <f>HYPERLINK("https://klasma.github.io/Logging_2313/kartor/A 40107-2023 karta.png", "A 40107-2023")</f>
        <v/>
      </c>
      <c r="V1022">
        <f>HYPERLINK("https://klasma.github.io/Logging_2313/klagomål/A 40107-2023 FSC-klagomål.docx", "A 40107-2023")</f>
        <v/>
      </c>
      <c r="W1022">
        <f>HYPERLINK("https://klasma.github.io/Logging_2313/klagomålsmail/A 40107-2023 FSC-klagomål mail.docx", "A 40107-2023")</f>
        <v/>
      </c>
      <c r="X1022">
        <f>HYPERLINK("https://klasma.github.io/Logging_2313/tillsyn/A 40107-2023 tillsynsbegäran.docx", "A 40107-2023")</f>
        <v/>
      </c>
      <c r="Y1022">
        <f>HYPERLINK("https://klasma.github.io/Logging_2313/tillsynsmail/A 40107-2023 tillsynsbegäran mail.docx", "A 40107-2023")</f>
        <v/>
      </c>
    </row>
    <row r="1023" ht="15" customHeight="1">
      <c r="A1023" t="inlineStr">
        <is>
          <t>A 25107-2025</t>
        </is>
      </c>
      <c r="B1023" s="1" t="n">
        <v>45800.3484375</v>
      </c>
      <c r="C1023" s="1" t="n">
        <v>46045</v>
      </c>
      <c r="D1023" t="inlineStr">
        <is>
          <t>JÄMTLANDS LÄN</t>
        </is>
      </c>
      <c r="E1023" t="inlineStr">
        <is>
          <t>HÄRJEDALEN</t>
        </is>
      </c>
      <c r="F1023" t="inlineStr">
        <is>
          <t>Holmen skog AB</t>
        </is>
      </c>
      <c r="G1023" t="n">
        <v>2</v>
      </c>
      <c r="H1023" t="n">
        <v>0</v>
      </c>
      <c r="I1023" t="n">
        <v>0</v>
      </c>
      <c r="J1023" t="n">
        <v>3</v>
      </c>
      <c r="K1023" t="n">
        <v>0</v>
      </c>
      <c r="L1023" t="n">
        <v>0</v>
      </c>
      <c r="M1023" t="n">
        <v>0</v>
      </c>
      <c r="N1023" t="n">
        <v>0</v>
      </c>
      <c r="O1023" t="n">
        <v>3</v>
      </c>
      <c r="P1023" t="n">
        <v>0</v>
      </c>
      <c r="Q1023" t="n">
        <v>3</v>
      </c>
      <c r="R1023" s="2" t="inlineStr">
        <is>
          <t>Blanksvart spiklav
Vedflamlav
Vedskivlav</t>
        </is>
      </c>
      <c r="S1023">
        <f>HYPERLINK("https://klasma.github.io/Logging_2361/artfynd/A 25107-2025 artfynd.xlsx", "A 25107-2025")</f>
        <v/>
      </c>
      <c r="T1023">
        <f>HYPERLINK("https://klasma.github.io/Logging_2361/kartor/A 25107-2025 karta.png", "A 25107-2025")</f>
        <v/>
      </c>
      <c r="V1023">
        <f>HYPERLINK("https://klasma.github.io/Logging_2361/klagomål/A 25107-2025 FSC-klagomål.docx", "A 25107-2025")</f>
        <v/>
      </c>
      <c r="W1023">
        <f>HYPERLINK("https://klasma.github.io/Logging_2361/klagomålsmail/A 25107-2025 FSC-klagomål mail.docx", "A 25107-2025")</f>
        <v/>
      </c>
      <c r="X1023">
        <f>HYPERLINK("https://klasma.github.io/Logging_2361/tillsyn/A 25107-2025 tillsynsbegäran.docx", "A 25107-2025")</f>
        <v/>
      </c>
      <c r="Y1023">
        <f>HYPERLINK("https://klasma.github.io/Logging_2361/tillsynsmail/A 25107-2025 tillsynsbegäran mail.docx", "A 25107-2025")</f>
        <v/>
      </c>
    </row>
    <row r="1024" ht="15" customHeight="1">
      <c r="A1024" t="inlineStr">
        <is>
          <t>A 53261-2025</t>
        </is>
      </c>
      <c r="B1024" s="1" t="n">
        <v>45958.67787037037</v>
      </c>
      <c r="C1024" s="1" t="n">
        <v>46045</v>
      </c>
      <c r="D1024" t="inlineStr">
        <is>
          <t>JÄMTLANDS LÄN</t>
        </is>
      </c>
      <c r="E1024" t="inlineStr">
        <is>
          <t>BRÄCKE</t>
        </is>
      </c>
      <c r="F1024" t="inlineStr">
        <is>
          <t>SCA</t>
        </is>
      </c>
      <c r="G1024" t="n">
        <v>4.3</v>
      </c>
      <c r="H1024" t="n">
        <v>0</v>
      </c>
      <c r="I1024" t="n">
        <v>1</v>
      </c>
      <c r="J1024" t="n">
        <v>2</v>
      </c>
      <c r="K1024" t="n">
        <v>0</v>
      </c>
      <c r="L1024" t="n">
        <v>0</v>
      </c>
      <c r="M1024" t="n">
        <v>0</v>
      </c>
      <c r="N1024" t="n">
        <v>0</v>
      </c>
      <c r="O1024" t="n">
        <v>2</v>
      </c>
      <c r="P1024" t="n">
        <v>0</v>
      </c>
      <c r="Q1024" t="n">
        <v>3</v>
      </c>
      <c r="R1024" s="2" t="inlineStr">
        <is>
          <t>Kolflarnlav
Lunglav
Skinnlav</t>
        </is>
      </c>
      <c r="S1024">
        <f>HYPERLINK("https://klasma.github.io/Logging_2305/artfynd/A 53261-2025 artfynd.xlsx", "A 53261-2025")</f>
        <v/>
      </c>
      <c r="T1024">
        <f>HYPERLINK("https://klasma.github.io/Logging_2305/kartor/A 53261-2025 karta.png", "A 53261-2025")</f>
        <v/>
      </c>
      <c r="V1024">
        <f>HYPERLINK("https://klasma.github.io/Logging_2305/klagomål/A 53261-2025 FSC-klagomål.docx", "A 53261-2025")</f>
        <v/>
      </c>
      <c r="W1024">
        <f>HYPERLINK("https://klasma.github.io/Logging_2305/klagomålsmail/A 53261-2025 FSC-klagomål mail.docx", "A 53261-2025")</f>
        <v/>
      </c>
      <c r="X1024">
        <f>HYPERLINK("https://klasma.github.io/Logging_2305/tillsyn/A 53261-2025 tillsynsbegäran.docx", "A 53261-2025")</f>
        <v/>
      </c>
      <c r="Y1024">
        <f>HYPERLINK("https://klasma.github.io/Logging_2305/tillsynsmail/A 53261-2025 tillsynsbegäran mail.docx", "A 53261-2025")</f>
        <v/>
      </c>
    </row>
    <row r="1025" ht="15" customHeight="1">
      <c r="A1025" t="inlineStr">
        <is>
          <t>A 25769-2025</t>
        </is>
      </c>
      <c r="B1025" s="1" t="n">
        <v>45804.34474537037</v>
      </c>
      <c r="C1025" s="1" t="n">
        <v>46045</v>
      </c>
      <c r="D1025" t="inlineStr">
        <is>
          <t>JÄMTLANDS LÄN</t>
        </is>
      </c>
      <c r="E1025" t="inlineStr">
        <is>
          <t>RAGUNDA</t>
        </is>
      </c>
      <c r="F1025" t="inlineStr">
        <is>
          <t>SCA</t>
        </is>
      </c>
      <c r="G1025" t="n">
        <v>5.3</v>
      </c>
      <c r="H1025" t="n">
        <v>2</v>
      </c>
      <c r="I1025" t="n">
        <v>0</v>
      </c>
      <c r="J1025" t="n">
        <v>3</v>
      </c>
      <c r="K1025" t="n">
        <v>0</v>
      </c>
      <c r="L1025" t="n">
        <v>0</v>
      </c>
      <c r="M1025" t="n">
        <v>0</v>
      </c>
      <c r="N1025" t="n">
        <v>0</v>
      </c>
      <c r="O1025" t="n">
        <v>3</v>
      </c>
      <c r="P1025" t="n">
        <v>0</v>
      </c>
      <c r="Q1025" t="n">
        <v>3</v>
      </c>
      <c r="R1025" s="2" t="inlineStr">
        <is>
          <t>Garnlav
Rödvingetrast
Tretåig hackspett</t>
        </is>
      </c>
      <c r="S1025">
        <f>HYPERLINK("https://klasma.github.io/Logging_2303/artfynd/A 25769-2025 artfynd.xlsx", "A 25769-2025")</f>
        <v/>
      </c>
      <c r="T1025">
        <f>HYPERLINK("https://klasma.github.io/Logging_2303/kartor/A 25769-2025 karta.png", "A 25769-2025")</f>
        <v/>
      </c>
      <c r="V1025">
        <f>HYPERLINK("https://klasma.github.io/Logging_2303/klagomål/A 25769-2025 FSC-klagomål.docx", "A 25769-2025")</f>
        <v/>
      </c>
      <c r="W1025">
        <f>HYPERLINK("https://klasma.github.io/Logging_2303/klagomålsmail/A 25769-2025 FSC-klagomål mail.docx", "A 25769-2025")</f>
        <v/>
      </c>
      <c r="X1025">
        <f>HYPERLINK("https://klasma.github.io/Logging_2303/tillsyn/A 25769-2025 tillsynsbegäran.docx", "A 25769-2025")</f>
        <v/>
      </c>
      <c r="Y1025">
        <f>HYPERLINK("https://klasma.github.io/Logging_2303/tillsynsmail/A 25769-2025 tillsynsbegäran mail.docx", "A 25769-2025")</f>
        <v/>
      </c>
      <c r="Z1025">
        <f>HYPERLINK("https://klasma.github.io/Logging_2303/fåglar/A 25769-2025 prioriterade fågelarter.docx", "A 25769-2025")</f>
        <v/>
      </c>
    </row>
    <row r="1026" ht="15" customHeight="1">
      <c r="A1026" t="inlineStr">
        <is>
          <t>A 57941-2024</t>
        </is>
      </c>
      <c r="B1026" s="1" t="n">
        <v>45631</v>
      </c>
      <c r="C1026" s="1" t="n">
        <v>46045</v>
      </c>
      <c r="D1026" t="inlineStr">
        <is>
          <t>JÄMTLANDS LÄN</t>
        </is>
      </c>
      <c r="E1026" t="inlineStr">
        <is>
          <t>RAGUNDA</t>
        </is>
      </c>
      <c r="F1026" t="inlineStr">
        <is>
          <t>SCA</t>
        </is>
      </c>
      <c r="G1026" t="n">
        <v>4.2</v>
      </c>
      <c r="H1026" t="n">
        <v>1</v>
      </c>
      <c r="I1026" t="n">
        <v>0</v>
      </c>
      <c r="J1026" t="n">
        <v>3</v>
      </c>
      <c r="K1026" t="n">
        <v>0</v>
      </c>
      <c r="L1026" t="n">
        <v>0</v>
      </c>
      <c r="M1026" t="n">
        <v>0</v>
      </c>
      <c r="N1026" t="n">
        <v>0</v>
      </c>
      <c r="O1026" t="n">
        <v>3</v>
      </c>
      <c r="P1026" t="n">
        <v>0</v>
      </c>
      <c r="Q1026" t="n">
        <v>3</v>
      </c>
      <c r="R1026" s="2" t="inlineStr">
        <is>
          <t>Garnlav
Lunglav
Tretåig hackspett</t>
        </is>
      </c>
      <c r="S1026">
        <f>HYPERLINK("https://klasma.github.io/Logging_2303/artfynd/A 57941-2024 artfynd.xlsx", "A 57941-2024")</f>
        <v/>
      </c>
      <c r="T1026">
        <f>HYPERLINK("https://klasma.github.io/Logging_2303/kartor/A 57941-2024 karta.png", "A 57941-2024")</f>
        <v/>
      </c>
      <c r="V1026">
        <f>HYPERLINK("https://klasma.github.io/Logging_2303/klagomål/A 57941-2024 FSC-klagomål.docx", "A 57941-2024")</f>
        <v/>
      </c>
      <c r="W1026">
        <f>HYPERLINK("https://klasma.github.io/Logging_2303/klagomålsmail/A 57941-2024 FSC-klagomål mail.docx", "A 57941-2024")</f>
        <v/>
      </c>
      <c r="X1026">
        <f>HYPERLINK("https://klasma.github.io/Logging_2303/tillsyn/A 57941-2024 tillsynsbegäran.docx", "A 57941-2024")</f>
        <v/>
      </c>
      <c r="Y1026">
        <f>HYPERLINK("https://klasma.github.io/Logging_2303/tillsynsmail/A 57941-2024 tillsynsbegäran mail.docx", "A 57941-2024")</f>
        <v/>
      </c>
      <c r="Z1026">
        <f>HYPERLINK("https://klasma.github.io/Logging_2303/fåglar/A 57941-2024 prioriterade fågelarter.docx", "A 57941-2024")</f>
        <v/>
      </c>
    </row>
    <row r="1027" ht="15" customHeight="1">
      <c r="A1027" t="inlineStr">
        <is>
          <t>A 17912-2025</t>
        </is>
      </c>
      <c r="B1027" s="1" t="n">
        <v>45758.75871527778</v>
      </c>
      <c r="C1027" s="1" t="n">
        <v>46045</v>
      </c>
      <c r="D1027" t="inlineStr">
        <is>
          <t>JÄMTLANDS LÄN</t>
        </is>
      </c>
      <c r="E1027" t="inlineStr">
        <is>
          <t>BRÄCKE</t>
        </is>
      </c>
      <c r="G1027" t="n">
        <v>2</v>
      </c>
      <c r="H1027" t="n">
        <v>0</v>
      </c>
      <c r="I1027" t="n">
        <v>1</v>
      </c>
      <c r="J1027" t="n">
        <v>2</v>
      </c>
      <c r="K1027" t="n">
        <v>0</v>
      </c>
      <c r="L1027" t="n">
        <v>0</v>
      </c>
      <c r="M1027" t="n">
        <v>0</v>
      </c>
      <c r="N1027" t="n">
        <v>0</v>
      </c>
      <c r="O1027" t="n">
        <v>2</v>
      </c>
      <c r="P1027" t="n">
        <v>0</v>
      </c>
      <c r="Q1027" t="n">
        <v>3</v>
      </c>
      <c r="R1027" s="2" t="inlineStr">
        <is>
          <t>Kolflarnlav
Lunglav
Grönpyrola</t>
        </is>
      </c>
      <c r="S1027">
        <f>HYPERLINK("https://klasma.github.io/Logging_2305/artfynd/A 17912-2025 artfynd.xlsx", "A 17912-2025")</f>
        <v/>
      </c>
      <c r="T1027">
        <f>HYPERLINK("https://klasma.github.io/Logging_2305/kartor/A 17912-2025 karta.png", "A 17912-2025")</f>
        <v/>
      </c>
      <c r="V1027">
        <f>HYPERLINK("https://klasma.github.io/Logging_2305/klagomål/A 17912-2025 FSC-klagomål.docx", "A 17912-2025")</f>
        <v/>
      </c>
      <c r="W1027">
        <f>HYPERLINK("https://klasma.github.io/Logging_2305/klagomålsmail/A 17912-2025 FSC-klagomål mail.docx", "A 17912-2025")</f>
        <v/>
      </c>
      <c r="X1027">
        <f>HYPERLINK("https://klasma.github.io/Logging_2305/tillsyn/A 17912-2025 tillsynsbegäran.docx", "A 17912-2025")</f>
        <v/>
      </c>
      <c r="Y1027">
        <f>HYPERLINK("https://klasma.github.io/Logging_2305/tillsynsmail/A 17912-2025 tillsynsbegäran mail.docx", "A 17912-2025")</f>
        <v/>
      </c>
    </row>
    <row r="1028" ht="15" customHeight="1">
      <c r="A1028" t="inlineStr">
        <is>
          <t>A 26367-2025</t>
        </is>
      </c>
      <c r="B1028" s="1" t="n">
        <v>45806.36490740741</v>
      </c>
      <c r="C1028" s="1" t="n">
        <v>46045</v>
      </c>
      <c r="D1028" t="inlineStr">
        <is>
          <t>JÄMTLANDS LÄN</t>
        </is>
      </c>
      <c r="E1028" t="inlineStr">
        <is>
          <t>STRÖMSUND</t>
        </is>
      </c>
      <c r="G1028" t="n">
        <v>5.7</v>
      </c>
      <c r="H1028" t="n">
        <v>1</v>
      </c>
      <c r="I1028" t="n">
        <v>0</v>
      </c>
      <c r="J1028" t="n">
        <v>3</v>
      </c>
      <c r="K1028" t="n">
        <v>0</v>
      </c>
      <c r="L1028" t="n">
        <v>0</v>
      </c>
      <c r="M1028" t="n">
        <v>0</v>
      </c>
      <c r="N1028" t="n">
        <v>0</v>
      </c>
      <c r="O1028" t="n">
        <v>3</v>
      </c>
      <c r="P1028" t="n">
        <v>0</v>
      </c>
      <c r="Q1028" t="n">
        <v>3</v>
      </c>
      <c r="R1028" s="2" t="inlineStr">
        <is>
          <t>Garnlav
Skrovellav
Tretåig hackspett</t>
        </is>
      </c>
      <c r="S1028">
        <f>HYPERLINK("https://klasma.github.io/Logging_2313/artfynd/A 26367-2025 artfynd.xlsx", "A 26367-2025")</f>
        <v/>
      </c>
      <c r="T1028">
        <f>HYPERLINK("https://klasma.github.io/Logging_2313/kartor/A 26367-2025 karta.png", "A 26367-2025")</f>
        <v/>
      </c>
      <c r="V1028">
        <f>HYPERLINK("https://klasma.github.io/Logging_2313/klagomål/A 26367-2025 FSC-klagomål.docx", "A 26367-2025")</f>
        <v/>
      </c>
      <c r="W1028">
        <f>HYPERLINK("https://klasma.github.io/Logging_2313/klagomålsmail/A 26367-2025 FSC-klagomål mail.docx", "A 26367-2025")</f>
        <v/>
      </c>
      <c r="X1028">
        <f>HYPERLINK("https://klasma.github.io/Logging_2313/tillsyn/A 26367-2025 tillsynsbegäran.docx", "A 26367-2025")</f>
        <v/>
      </c>
      <c r="Y1028">
        <f>HYPERLINK("https://klasma.github.io/Logging_2313/tillsynsmail/A 26367-2025 tillsynsbegäran mail.docx", "A 26367-2025")</f>
        <v/>
      </c>
      <c r="Z1028">
        <f>HYPERLINK("https://klasma.github.io/Logging_2313/fåglar/A 26367-2025 prioriterade fågelarter.docx", "A 26367-2025")</f>
        <v/>
      </c>
    </row>
    <row r="1029" ht="15" customHeight="1">
      <c r="A1029" t="inlineStr">
        <is>
          <t>A 23439-2024</t>
        </is>
      </c>
      <c r="B1029" s="1" t="n">
        <v>45453.63133101852</v>
      </c>
      <c r="C1029" s="1" t="n">
        <v>46045</v>
      </c>
      <c r="D1029" t="inlineStr">
        <is>
          <t>JÄMTLANDS LÄN</t>
        </is>
      </c>
      <c r="E1029" t="inlineStr">
        <is>
          <t>KROKOM</t>
        </is>
      </c>
      <c r="G1029" t="n">
        <v>15.7</v>
      </c>
      <c r="H1029" t="n">
        <v>2</v>
      </c>
      <c r="I1029" t="n">
        <v>0</v>
      </c>
      <c r="J1029" t="n">
        <v>2</v>
      </c>
      <c r="K1029" t="n">
        <v>0</v>
      </c>
      <c r="L1029" t="n">
        <v>0</v>
      </c>
      <c r="M1029" t="n">
        <v>0</v>
      </c>
      <c r="N1029" t="n">
        <v>0</v>
      </c>
      <c r="O1029" t="n">
        <v>2</v>
      </c>
      <c r="P1029" t="n">
        <v>0</v>
      </c>
      <c r="Q1029" t="n">
        <v>3</v>
      </c>
      <c r="R1029" s="2" t="inlineStr">
        <is>
          <t>Granticka
Tretåig hackspett
Lavskrika</t>
        </is>
      </c>
      <c r="S1029">
        <f>HYPERLINK("https://klasma.github.io/Logging_2309/artfynd/A 23439-2024 artfynd.xlsx", "A 23439-2024")</f>
        <v/>
      </c>
      <c r="T1029">
        <f>HYPERLINK("https://klasma.github.io/Logging_2309/kartor/A 23439-2024 karta.png", "A 23439-2024")</f>
        <v/>
      </c>
      <c r="V1029">
        <f>HYPERLINK("https://klasma.github.io/Logging_2309/klagomål/A 23439-2024 FSC-klagomål.docx", "A 23439-2024")</f>
        <v/>
      </c>
      <c r="W1029">
        <f>HYPERLINK("https://klasma.github.io/Logging_2309/klagomålsmail/A 23439-2024 FSC-klagomål mail.docx", "A 23439-2024")</f>
        <v/>
      </c>
      <c r="X1029">
        <f>HYPERLINK("https://klasma.github.io/Logging_2309/tillsyn/A 23439-2024 tillsynsbegäran.docx", "A 23439-2024")</f>
        <v/>
      </c>
      <c r="Y1029">
        <f>HYPERLINK("https://klasma.github.io/Logging_2309/tillsynsmail/A 23439-2024 tillsynsbegäran mail.docx", "A 23439-2024")</f>
        <v/>
      </c>
      <c r="Z1029">
        <f>HYPERLINK("https://klasma.github.io/Logging_2309/fåglar/A 23439-2024 prioriterade fågelarter.docx", "A 23439-2024")</f>
        <v/>
      </c>
    </row>
    <row r="1030" ht="15" customHeight="1">
      <c r="A1030" t="inlineStr">
        <is>
          <t>A 61954-2025</t>
        </is>
      </c>
      <c r="B1030" s="1" t="n">
        <v>46003.57381944444</v>
      </c>
      <c r="C1030" s="1" t="n">
        <v>46045</v>
      </c>
      <c r="D1030" t="inlineStr">
        <is>
          <t>JÄMTLANDS LÄN</t>
        </is>
      </c>
      <c r="E1030" t="inlineStr">
        <is>
          <t>RAGUNDA</t>
        </is>
      </c>
      <c r="F1030" t="inlineStr">
        <is>
          <t>SCA</t>
        </is>
      </c>
      <c r="G1030" t="n">
        <v>6.5</v>
      </c>
      <c r="H1030" t="n">
        <v>0</v>
      </c>
      <c r="I1030" t="n">
        <v>1</v>
      </c>
      <c r="J1030" t="n">
        <v>2</v>
      </c>
      <c r="K1030" t="n">
        <v>0</v>
      </c>
      <c r="L1030" t="n">
        <v>0</v>
      </c>
      <c r="M1030" t="n">
        <v>0</v>
      </c>
      <c r="N1030" t="n">
        <v>0</v>
      </c>
      <c r="O1030" t="n">
        <v>2</v>
      </c>
      <c r="P1030" t="n">
        <v>0</v>
      </c>
      <c r="Q1030" t="n">
        <v>3</v>
      </c>
      <c r="R1030" s="2" t="inlineStr">
        <is>
          <t>Garnlav
Lunglav
Trådticka</t>
        </is>
      </c>
      <c r="S1030">
        <f>HYPERLINK("https://klasma.github.io/Logging_2303/artfynd/A 61954-2025 artfynd.xlsx", "A 61954-2025")</f>
        <v/>
      </c>
      <c r="T1030">
        <f>HYPERLINK("https://klasma.github.io/Logging_2303/kartor/A 61954-2025 karta.png", "A 61954-2025")</f>
        <v/>
      </c>
      <c r="V1030">
        <f>HYPERLINK("https://klasma.github.io/Logging_2303/klagomål/A 61954-2025 FSC-klagomål.docx", "A 61954-2025")</f>
        <v/>
      </c>
      <c r="W1030">
        <f>HYPERLINK("https://klasma.github.io/Logging_2303/klagomålsmail/A 61954-2025 FSC-klagomål mail.docx", "A 61954-2025")</f>
        <v/>
      </c>
      <c r="X1030">
        <f>HYPERLINK("https://klasma.github.io/Logging_2303/tillsyn/A 61954-2025 tillsynsbegäran.docx", "A 61954-2025")</f>
        <v/>
      </c>
      <c r="Y1030">
        <f>HYPERLINK("https://klasma.github.io/Logging_2303/tillsynsmail/A 61954-2025 tillsynsbegäran mail.docx", "A 61954-2025")</f>
        <v/>
      </c>
    </row>
    <row r="1031" ht="15" customHeight="1">
      <c r="A1031" t="inlineStr">
        <is>
          <t>A 62012-2025</t>
        </is>
      </c>
      <c r="B1031" s="1" t="n">
        <v>46003.67758101852</v>
      </c>
      <c r="C1031" s="1" t="n">
        <v>46045</v>
      </c>
      <c r="D1031" t="inlineStr">
        <is>
          <t>JÄMTLANDS LÄN</t>
        </is>
      </c>
      <c r="E1031" t="inlineStr">
        <is>
          <t>STRÖMSUND</t>
        </is>
      </c>
      <c r="F1031" t="inlineStr">
        <is>
          <t>SCA</t>
        </is>
      </c>
      <c r="G1031" t="n">
        <v>2.3</v>
      </c>
      <c r="H1031" t="n">
        <v>0</v>
      </c>
      <c r="I1031" t="n">
        <v>0</v>
      </c>
      <c r="J1031" t="n">
        <v>3</v>
      </c>
      <c r="K1031" t="n">
        <v>0</v>
      </c>
      <c r="L1031" t="n">
        <v>0</v>
      </c>
      <c r="M1031" t="n">
        <v>0</v>
      </c>
      <c r="N1031" t="n">
        <v>0</v>
      </c>
      <c r="O1031" t="n">
        <v>3</v>
      </c>
      <c r="P1031" t="n">
        <v>0</v>
      </c>
      <c r="Q1031" t="n">
        <v>3</v>
      </c>
      <c r="R1031" s="2" t="inlineStr">
        <is>
          <t>Garnlav
Lunglav
Skrovellav</t>
        </is>
      </c>
      <c r="S1031">
        <f>HYPERLINK("https://klasma.github.io/Logging_2313/artfynd/A 62012-2025 artfynd.xlsx", "A 62012-2025")</f>
        <v/>
      </c>
      <c r="T1031">
        <f>HYPERLINK("https://klasma.github.io/Logging_2313/kartor/A 62012-2025 karta.png", "A 62012-2025")</f>
        <v/>
      </c>
      <c r="V1031">
        <f>HYPERLINK("https://klasma.github.io/Logging_2313/klagomål/A 62012-2025 FSC-klagomål.docx", "A 62012-2025")</f>
        <v/>
      </c>
      <c r="W1031">
        <f>HYPERLINK("https://klasma.github.io/Logging_2313/klagomålsmail/A 62012-2025 FSC-klagomål mail.docx", "A 62012-2025")</f>
        <v/>
      </c>
      <c r="X1031">
        <f>HYPERLINK("https://klasma.github.io/Logging_2313/tillsyn/A 62012-2025 tillsynsbegäran.docx", "A 62012-2025")</f>
        <v/>
      </c>
      <c r="Y1031">
        <f>HYPERLINK("https://klasma.github.io/Logging_2313/tillsynsmail/A 62012-2025 tillsynsbegäran mail.docx", "A 62012-2025")</f>
        <v/>
      </c>
    </row>
    <row r="1032" ht="15" customHeight="1">
      <c r="A1032" t="inlineStr">
        <is>
          <t>A 61875-2024</t>
        </is>
      </c>
      <c r="B1032" s="1" t="n">
        <v>45651</v>
      </c>
      <c r="C1032" s="1" t="n">
        <v>46045</v>
      </c>
      <c r="D1032" t="inlineStr">
        <is>
          <t>JÄMTLANDS LÄN</t>
        </is>
      </c>
      <c r="E1032" t="inlineStr">
        <is>
          <t>ÅRE</t>
        </is>
      </c>
      <c r="G1032" t="n">
        <v>35.5</v>
      </c>
      <c r="H1032" t="n">
        <v>1</v>
      </c>
      <c r="I1032" t="n">
        <v>0</v>
      </c>
      <c r="J1032" t="n">
        <v>3</v>
      </c>
      <c r="K1032" t="n">
        <v>0</v>
      </c>
      <c r="L1032" t="n">
        <v>0</v>
      </c>
      <c r="M1032" t="n">
        <v>0</v>
      </c>
      <c r="N1032" t="n">
        <v>0</v>
      </c>
      <c r="O1032" t="n">
        <v>3</v>
      </c>
      <c r="P1032" t="n">
        <v>0</v>
      </c>
      <c r="Q1032" t="n">
        <v>3</v>
      </c>
      <c r="R1032" s="2" t="inlineStr">
        <is>
          <t>Rosenticka
Tretåig hackspett
Ullticka</t>
        </is>
      </c>
      <c r="S1032">
        <f>HYPERLINK("https://klasma.github.io/Logging_2321/artfynd/A 61875-2024 artfynd.xlsx", "A 61875-2024")</f>
        <v/>
      </c>
      <c r="T1032">
        <f>HYPERLINK("https://klasma.github.io/Logging_2321/kartor/A 61875-2024 karta.png", "A 61875-2024")</f>
        <v/>
      </c>
      <c r="V1032">
        <f>HYPERLINK("https://klasma.github.io/Logging_2321/klagomål/A 61875-2024 FSC-klagomål.docx", "A 61875-2024")</f>
        <v/>
      </c>
      <c r="W1032">
        <f>HYPERLINK("https://klasma.github.io/Logging_2321/klagomålsmail/A 61875-2024 FSC-klagomål mail.docx", "A 61875-2024")</f>
        <v/>
      </c>
      <c r="X1032">
        <f>HYPERLINK("https://klasma.github.io/Logging_2321/tillsyn/A 61875-2024 tillsynsbegäran.docx", "A 61875-2024")</f>
        <v/>
      </c>
      <c r="Y1032">
        <f>HYPERLINK("https://klasma.github.io/Logging_2321/tillsynsmail/A 61875-2024 tillsynsbegäran mail.docx", "A 61875-2024")</f>
        <v/>
      </c>
      <c r="Z1032">
        <f>HYPERLINK("https://klasma.github.io/Logging_2321/fåglar/A 61875-2024 prioriterade fågelarter.docx", "A 61875-2024")</f>
        <v/>
      </c>
    </row>
    <row r="1033" ht="15" customHeight="1">
      <c r="A1033" t="inlineStr">
        <is>
          <t>A 58387-2023</t>
        </is>
      </c>
      <c r="B1033" s="1" t="n">
        <v>45250</v>
      </c>
      <c r="C1033" s="1" t="n">
        <v>46045</v>
      </c>
      <c r="D1033" t="inlineStr">
        <is>
          <t>JÄMTLANDS LÄN</t>
        </is>
      </c>
      <c r="E1033" t="inlineStr">
        <is>
          <t>ÅRE</t>
        </is>
      </c>
      <c r="G1033" t="n">
        <v>24.7</v>
      </c>
      <c r="H1033" t="n">
        <v>3</v>
      </c>
      <c r="I1033" t="n">
        <v>0</v>
      </c>
      <c r="J1033" t="n">
        <v>2</v>
      </c>
      <c r="K1033" t="n">
        <v>0</v>
      </c>
      <c r="L1033" t="n">
        <v>0</v>
      </c>
      <c r="M1033" t="n">
        <v>0</v>
      </c>
      <c r="N1033" t="n">
        <v>0</v>
      </c>
      <c r="O1033" t="n">
        <v>2</v>
      </c>
      <c r="P1033" t="n">
        <v>0</v>
      </c>
      <c r="Q1033" t="n">
        <v>3</v>
      </c>
      <c r="R1033" s="2" t="inlineStr">
        <is>
          <t>Spillkråka
Tretåig hackspett
Lavskrika</t>
        </is>
      </c>
      <c r="S1033">
        <f>HYPERLINK("https://klasma.github.io/Logging_2321/artfynd/A 58387-2023 artfynd.xlsx", "A 58387-2023")</f>
        <v/>
      </c>
      <c r="T1033">
        <f>HYPERLINK("https://klasma.github.io/Logging_2321/kartor/A 58387-2023 karta.png", "A 58387-2023")</f>
        <v/>
      </c>
      <c r="V1033">
        <f>HYPERLINK("https://klasma.github.io/Logging_2321/klagomål/A 58387-2023 FSC-klagomål.docx", "A 58387-2023")</f>
        <v/>
      </c>
      <c r="W1033">
        <f>HYPERLINK("https://klasma.github.io/Logging_2321/klagomålsmail/A 58387-2023 FSC-klagomål mail.docx", "A 58387-2023")</f>
        <v/>
      </c>
      <c r="X1033">
        <f>HYPERLINK("https://klasma.github.io/Logging_2321/tillsyn/A 58387-2023 tillsynsbegäran.docx", "A 58387-2023")</f>
        <v/>
      </c>
      <c r="Y1033">
        <f>HYPERLINK("https://klasma.github.io/Logging_2321/tillsynsmail/A 58387-2023 tillsynsbegäran mail.docx", "A 58387-2023")</f>
        <v/>
      </c>
      <c r="Z1033">
        <f>HYPERLINK("https://klasma.github.io/Logging_2321/fåglar/A 58387-2023 prioriterade fågelarter.docx", "A 58387-2023")</f>
        <v/>
      </c>
    </row>
    <row r="1034" ht="15" customHeight="1">
      <c r="A1034" t="inlineStr">
        <is>
          <t>A 54637-2025</t>
        </is>
      </c>
      <c r="B1034" s="1" t="n">
        <v>45966</v>
      </c>
      <c r="C1034" s="1" t="n">
        <v>46045</v>
      </c>
      <c r="D1034" t="inlineStr">
        <is>
          <t>JÄMTLANDS LÄN</t>
        </is>
      </c>
      <c r="E1034" t="inlineStr">
        <is>
          <t>STRÖMSUND</t>
        </is>
      </c>
      <c r="G1034" t="n">
        <v>4.1</v>
      </c>
      <c r="H1034" t="n">
        <v>0</v>
      </c>
      <c r="I1034" t="n">
        <v>0</v>
      </c>
      <c r="J1034" t="n">
        <v>3</v>
      </c>
      <c r="K1034" t="n">
        <v>0</v>
      </c>
      <c r="L1034" t="n">
        <v>0</v>
      </c>
      <c r="M1034" t="n">
        <v>0</v>
      </c>
      <c r="N1034" t="n">
        <v>0</v>
      </c>
      <c r="O1034" t="n">
        <v>3</v>
      </c>
      <c r="P1034" t="n">
        <v>0</v>
      </c>
      <c r="Q1034" t="n">
        <v>3</v>
      </c>
      <c r="R1034" s="2" t="inlineStr">
        <is>
          <t>Garnlav
Harticka
Vitgrynig nållav</t>
        </is>
      </c>
      <c r="S1034">
        <f>HYPERLINK("https://klasma.github.io/Logging_2313/artfynd/A 54637-2025 artfynd.xlsx", "A 54637-2025")</f>
        <v/>
      </c>
      <c r="T1034">
        <f>HYPERLINK("https://klasma.github.io/Logging_2313/kartor/A 54637-2025 karta.png", "A 54637-2025")</f>
        <v/>
      </c>
      <c r="V1034">
        <f>HYPERLINK("https://klasma.github.io/Logging_2313/klagomål/A 54637-2025 FSC-klagomål.docx", "A 54637-2025")</f>
        <v/>
      </c>
      <c r="W1034">
        <f>HYPERLINK("https://klasma.github.io/Logging_2313/klagomålsmail/A 54637-2025 FSC-klagomål mail.docx", "A 54637-2025")</f>
        <v/>
      </c>
      <c r="X1034">
        <f>HYPERLINK("https://klasma.github.io/Logging_2313/tillsyn/A 54637-2025 tillsynsbegäran.docx", "A 54637-2025")</f>
        <v/>
      </c>
      <c r="Y1034">
        <f>HYPERLINK("https://klasma.github.io/Logging_2313/tillsynsmail/A 54637-2025 tillsynsbegäran mail.docx", "A 54637-2025")</f>
        <v/>
      </c>
    </row>
    <row r="1035" ht="15" customHeight="1">
      <c r="A1035" t="inlineStr">
        <is>
          <t>A 62522-2025</t>
        </is>
      </c>
      <c r="B1035" s="1" t="n">
        <v>46007.61512731481</v>
      </c>
      <c r="C1035" s="1" t="n">
        <v>46045</v>
      </c>
      <c r="D1035" t="inlineStr">
        <is>
          <t>JÄMTLANDS LÄN</t>
        </is>
      </c>
      <c r="E1035" t="inlineStr">
        <is>
          <t>ÅRE</t>
        </is>
      </c>
      <c r="F1035" t="inlineStr">
        <is>
          <t>Övriga Aktiebolag</t>
        </is>
      </c>
      <c r="G1035" t="n">
        <v>2</v>
      </c>
      <c r="H1035" t="n">
        <v>1</v>
      </c>
      <c r="I1035" t="n">
        <v>1</v>
      </c>
      <c r="J1035" t="n">
        <v>2</v>
      </c>
      <c r="K1035" t="n">
        <v>0</v>
      </c>
      <c r="L1035" t="n">
        <v>0</v>
      </c>
      <c r="M1035" t="n">
        <v>0</v>
      </c>
      <c r="N1035" t="n">
        <v>0</v>
      </c>
      <c r="O1035" t="n">
        <v>2</v>
      </c>
      <c r="P1035" t="n">
        <v>0</v>
      </c>
      <c r="Q1035" t="n">
        <v>3</v>
      </c>
      <c r="R1035" s="2" t="inlineStr">
        <is>
          <t>Garnlav
Tretåig hackspett
Blodticka</t>
        </is>
      </c>
      <c r="S1035">
        <f>HYPERLINK("https://klasma.github.io/Logging_2321/artfynd/A 62522-2025 artfynd.xlsx", "A 62522-2025")</f>
        <v/>
      </c>
      <c r="T1035">
        <f>HYPERLINK("https://klasma.github.io/Logging_2321/kartor/A 62522-2025 karta.png", "A 62522-2025")</f>
        <v/>
      </c>
      <c r="V1035">
        <f>HYPERLINK("https://klasma.github.io/Logging_2321/klagomål/A 62522-2025 FSC-klagomål.docx", "A 62522-2025")</f>
        <v/>
      </c>
      <c r="W1035">
        <f>HYPERLINK("https://klasma.github.io/Logging_2321/klagomålsmail/A 62522-2025 FSC-klagomål mail.docx", "A 62522-2025")</f>
        <v/>
      </c>
      <c r="X1035">
        <f>HYPERLINK("https://klasma.github.io/Logging_2321/tillsyn/A 62522-2025 tillsynsbegäran.docx", "A 62522-2025")</f>
        <v/>
      </c>
      <c r="Y1035">
        <f>HYPERLINK("https://klasma.github.io/Logging_2321/tillsynsmail/A 62522-2025 tillsynsbegäran mail.docx", "A 62522-2025")</f>
        <v/>
      </c>
      <c r="Z1035">
        <f>HYPERLINK("https://klasma.github.io/Logging_2321/fåglar/A 62522-2025 prioriterade fågelarter.docx", "A 62522-2025")</f>
        <v/>
      </c>
    </row>
    <row r="1036" ht="15" customHeight="1">
      <c r="A1036" t="inlineStr">
        <is>
          <t>A 36742-2024</t>
        </is>
      </c>
      <c r="B1036" s="1" t="n">
        <v>45538.33584490741</v>
      </c>
      <c r="C1036" s="1" t="n">
        <v>46045</v>
      </c>
      <c r="D1036" t="inlineStr">
        <is>
          <t>JÄMTLANDS LÄN</t>
        </is>
      </c>
      <c r="E1036" t="inlineStr">
        <is>
          <t>ÖSTERSUND</t>
        </is>
      </c>
      <c r="G1036" t="n">
        <v>13.6</v>
      </c>
      <c r="H1036" t="n">
        <v>0</v>
      </c>
      <c r="I1036" t="n">
        <v>2</v>
      </c>
      <c r="J1036" t="n">
        <v>1</v>
      </c>
      <c r="K1036" t="n">
        <v>0</v>
      </c>
      <c r="L1036" t="n">
        <v>0</v>
      </c>
      <c r="M1036" t="n">
        <v>0</v>
      </c>
      <c r="N1036" t="n">
        <v>0</v>
      </c>
      <c r="O1036" t="n">
        <v>1</v>
      </c>
      <c r="P1036" t="n">
        <v>0</v>
      </c>
      <c r="Q1036" t="n">
        <v>3</v>
      </c>
      <c r="R1036" s="2" t="inlineStr">
        <is>
          <t>Granticka
Skinnlav
Vedticka</t>
        </is>
      </c>
      <c r="S1036">
        <f>HYPERLINK("https://klasma.github.io/Logging_2380/artfynd/A 36742-2024 artfynd.xlsx", "A 36742-2024")</f>
        <v/>
      </c>
      <c r="T1036">
        <f>HYPERLINK("https://klasma.github.io/Logging_2380/kartor/A 36742-2024 karta.png", "A 36742-2024")</f>
        <v/>
      </c>
      <c r="V1036">
        <f>HYPERLINK("https://klasma.github.io/Logging_2380/klagomål/A 36742-2024 FSC-klagomål.docx", "A 36742-2024")</f>
        <v/>
      </c>
      <c r="W1036">
        <f>HYPERLINK("https://klasma.github.io/Logging_2380/klagomålsmail/A 36742-2024 FSC-klagomål mail.docx", "A 36742-2024")</f>
        <v/>
      </c>
      <c r="X1036">
        <f>HYPERLINK("https://klasma.github.io/Logging_2380/tillsyn/A 36742-2024 tillsynsbegäran.docx", "A 36742-2024")</f>
        <v/>
      </c>
      <c r="Y1036">
        <f>HYPERLINK("https://klasma.github.io/Logging_2380/tillsynsmail/A 36742-2024 tillsynsbegäran mail.docx", "A 36742-2024")</f>
        <v/>
      </c>
    </row>
    <row r="1037" ht="15" customHeight="1">
      <c r="A1037" t="inlineStr">
        <is>
          <t>A 41648-2023</t>
        </is>
      </c>
      <c r="B1037" s="1" t="n">
        <v>45175</v>
      </c>
      <c r="C1037" s="1" t="n">
        <v>46045</v>
      </c>
      <c r="D1037" t="inlineStr">
        <is>
          <t>JÄMTLANDS LÄN</t>
        </is>
      </c>
      <c r="E1037" t="inlineStr">
        <is>
          <t>BRÄCKE</t>
        </is>
      </c>
      <c r="F1037" t="inlineStr">
        <is>
          <t>SCA</t>
        </is>
      </c>
      <c r="G1037" t="n">
        <v>6.7</v>
      </c>
      <c r="H1037" t="n">
        <v>2</v>
      </c>
      <c r="I1037" t="n">
        <v>1</v>
      </c>
      <c r="J1037" t="n">
        <v>1</v>
      </c>
      <c r="K1037" t="n">
        <v>1</v>
      </c>
      <c r="L1037" t="n">
        <v>0</v>
      </c>
      <c r="M1037" t="n">
        <v>0</v>
      </c>
      <c r="N1037" t="n">
        <v>0</v>
      </c>
      <c r="O1037" t="n">
        <v>2</v>
      </c>
      <c r="P1037" t="n">
        <v>1</v>
      </c>
      <c r="Q1037" t="n">
        <v>3</v>
      </c>
      <c r="R1037" s="2" t="inlineStr">
        <is>
          <t>Knärot
Flattoppad klubbsvamp
Spindelblomster</t>
        </is>
      </c>
      <c r="S1037">
        <f>HYPERLINK("https://klasma.github.io/Logging_2305/artfynd/A 41648-2023 artfynd.xlsx", "A 41648-2023")</f>
        <v/>
      </c>
      <c r="T1037">
        <f>HYPERLINK("https://klasma.github.io/Logging_2305/kartor/A 41648-2023 karta.png", "A 41648-2023")</f>
        <v/>
      </c>
      <c r="U1037">
        <f>HYPERLINK("https://klasma.github.io/Logging_2305/knärot/A 41648-2023 karta knärot.png", "A 41648-2023")</f>
        <v/>
      </c>
      <c r="V1037">
        <f>HYPERLINK("https://klasma.github.io/Logging_2305/klagomål/A 41648-2023 FSC-klagomål.docx", "A 41648-2023")</f>
        <v/>
      </c>
      <c r="W1037">
        <f>HYPERLINK("https://klasma.github.io/Logging_2305/klagomålsmail/A 41648-2023 FSC-klagomål mail.docx", "A 41648-2023")</f>
        <v/>
      </c>
      <c r="X1037">
        <f>HYPERLINK("https://klasma.github.io/Logging_2305/tillsyn/A 41648-2023 tillsynsbegäran.docx", "A 41648-2023")</f>
        <v/>
      </c>
      <c r="Y1037">
        <f>HYPERLINK("https://klasma.github.io/Logging_2305/tillsynsmail/A 41648-2023 tillsynsbegäran mail.docx", "A 41648-2023")</f>
        <v/>
      </c>
    </row>
    <row r="1038" ht="15" customHeight="1">
      <c r="A1038" t="inlineStr">
        <is>
          <t>A 59237-2022</t>
        </is>
      </c>
      <c r="B1038" s="1" t="n">
        <v>44904</v>
      </c>
      <c r="C1038" s="1" t="n">
        <v>46045</v>
      </c>
      <c r="D1038" t="inlineStr">
        <is>
          <t>JÄMTLANDS LÄN</t>
        </is>
      </c>
      <c r="E1038" t="inlineStr">
        <is>
          <t>ÅRE</t>
        </is>
      </c>
      <c r="G1038" t="n">
        <v>33.7</v>
      </c>
      <c r="H1038" t="n">
        <v>1</v>
      </c>
      <c r="I1038" t="n">
        <v>0</v>
      </c>
      <c r="J1038" t="n">
        <v>3</v>
      </c>
      <c r="K1038" t="n">
        <v>0</v>
      </c>
      <c r="L1038" t="n">
        <v>0</v>
      </c>
      <c r="M1038" t="n">
        <v>0</v>
      </c>
      <c r="N1038" t="n">
        <v>0</v>
      </c>
      <c r="O1038" t="n">
        <v>3</v>
      </c>
      <c r="P1038" t="n">
        <v>0</v>
      </c>
      <c r="Q1038" t="n">
        <v>3</v>
      </c>
      <c r="R1038" s="2" t="inlineStr">
        <is>
          <t>Granticka
Tretåig hackspett
Vitgrynig nållav</t>
        </is>
      </c>
      <c r="S1038">
        <f>HYPERLINK("https://klasma.github.io/Logging_2321/artfynd/A 59237-2022 artfynd.xlsx", "A 59237-2022")</f>
        <v/>
      </c>
      <c r="T1038">
        <f>HYPERLINK("https://klasma.github.io/Logging_2321/kartor/A 59237-2022 karta.png", "A 59237-2022")</f>
        <v/>
      </c>
      <c r="V1038">
        <f>HYPERLINK("https://klasma.github.io/Logging_2321/klagomål/A 59237-2022 FSC-klagomål.docx", "A 59237-2022")</f>
        <v/>
      </c>
      <c r="W1038">
        <f>HYPERLINK("https://klasma.github.io/Logging_2321/klagomålsmail/A 59237-2022 FSC-klagomål mail.docx", "A 59237-2022")</f>
        <v/>
      </c>
      <c r="X1038">
        <f>HYPERLINK("https://klasma.github.io/Logging_2321/tillsyn/A 59237-2022 tillsynsbegäran.docx", "A 59237-2022")</f>
        <v/>
      </c>
      <c r="Y1038">
        <f>HYPERLINK("https://klasma.github.io/Logging_2321/tillsynsmail/A 59237-2022 tillsynsbegäran mail.docx", "A 59237-2022")</f>
        <v/>
      </c>
      <c r="Z1038">
        <f>HYPERLINK("https://klasma.github.io/Logging_2321/fåglar/A 59237-2022 prioriterade fågelarter.docx", "A 59237-2022")</f>
        <v/>
      </c>
    </row>
    <row r="1039" ht="15" customHeight="1">
      <c r="A1039" t="inlineStr">
        <is>
          <t>A 55855-2025</t>
        </is>
      </c>
      <c r="B1039" s="1" t="n">
        <v>45973</v>
      </c>
      <c r="C1039" s="1" t="n">
        <v>46045</v>
      </c>
      <c r="D1039" t="inlineStr">
        <is>
          <t>JÄMTLANDS LÄN</t>
        </is>
      </c>
      <c r="E1039" t="inlineStr">
        <is>
          <t>HÄRJEDALEN</t>
        </is>
      </c>
      <c r="G1039" t="n">
        <v>2.2</v>
      </c>
      <c r="H1039" t="n">
        <v>0</v>
      </c>
      <c r="I1039" t="n">
        <v>0</v>
      </c>
      <c r="J1039" t="n">
        <v>3</v>
      </c>
      <c r="K1039" t="n">
        <v>0</v>
      </c>
      <c r="L1039" t="n">
        <v>0</v>
      </c>
      <c r="M1039" t="n">
        <v>0</v>
      </c>
      <c r="N1039" t="n">
        <v>0</v>
      </c>
      <c r="O1039" t="n">
        <v>3</v>
      </c>
      <c r="P1039" t="n">
        <v>0</v>
      </c>
      <c r="Q1039" t="n">
        <v>3</v>
      </c>
      <c r="R1039" s="2" t="inlineStr">
        <is>
          <t>Doftskinn
Garnlav
Mörk kolflarnlav</t>
        </is>
      </c>
      <c r="S1039">
        <f>HYPERLINK("https://klasma.github.io/Logging_2361/artfynd/A 55855-2025 artfynd.xlsx", "A 55855-2025")</f>
        <v/>
      </c>
      <c r="T1039">
        <f>HYPERLINK("https://klasma.github.io/Logging_2361/kartor/A 55855-2025 karta.png", "A 55855-2025")</f>
        <v/>
      </c>
      <c r="V1039">
        <f>HYPERLINK("https://klasma.github.io/Logging_2361/klagomål/A 55855-2025 FSC-klagomål.docx", "A 55855-2025")</f>
        <v/>
      </c>
      <c r="W1039">
        <f>HYPERLINK("https://klasma.github.io/Logging_2361/klagomålsmail/A 55855-2025 FSC-klagomål mail.docx", "A 55855-2025")</f>
        <v/>
      </c>
      <c r="X1039">
        <f>HYPERLINK("https://klasma.github.io/Logging_2361/tillsyn/A 55855-2025 tillsynsbegäran.docx", "A 55855-2025")</f>
        <v/>
      </c>
      <c r="Y1039">
        <f>HYPERLINK("https://klasma.github.io/Logging_2361/tillsynsmail/A 55855-2025 tillsynsbegäran mail.docx", "A 55855-2025")</f>
        <v/>
      </c>
    </row>
    <row r="1040" ht="15" customHeight="1">
      <c r="A1040" t="inlineStr">
        <is>
          <t>A 29098-2025</t>
        </is>
      </c>
      <c r="B1040" s="1" t="n">
        <v>45821.56523148148</v>
      </c>
      <c r="C1040" s="1" t="n">
        <v>46045</v>
      </c>
      <c r="D1040" t="inlineStr">
        <is>
          <t>JÄMTLANDS LÄN</t>
        </is>
      </c>
      <c r="E1040" t="inlineStr">
        <is>
          <t>HÄRJEDALEN</t>
        </is>
      </c>
      <c r="F1040" t="inlineStr">
        <is>
          <t>Sveaskog</t>
        </is>
      </c>
      <c r="G1040" t="n">
        <v>27.4</v>
      </c>
      <c r="H1040" t="n">
        <v>0</v>
      </c>
      <c r="I1040" t="n">
        <v>0</v>
      </c>
      <c r="J1040" t="n">
        <v>3</v>
      </c>
      <c r="K1040" t="n">
        <v>0</v>
      </c>
      <c r="L1040" t="n">
        <v>0</v>
      </c>
      <c r="M1040" t="n">
        <v>0</v>
      </c>
      <c r="N1040" t="n">
        <v>0</v>
      </c>
      <c r="O1040" t="n">
        <v>3</v>
      </c>
      <c r="P1040" t="n">
        <v>0</v>
      </c>
      <c r="Q1040" t="n">
        <v>3</v>
      </c>
      <c r="R1040" s="2" t="inlineStr">
        <is>
          <t>Kolflarnlav
Mörk kolflarnlav
Vedflamlav</t>
        </is>
      </c>
      <c r="S1040">
        <f>HYPERLINK("https://klasma.github.io/Logging_2361/artfynd/A 29098-2025 artfynd.xlsx", "A 29098-2025")</f>
        <v/>
      </c>
      <c r="T1040">
        <f>HYPERLINK("https://klasma.github.io/Logging_2361/kartor/A 29098-2025 karta.png", "A 29098-2025")</f>
        <v/>
      </c>
      <c r="V1040">
        <f>HYPERLINK("https://klasma.github.io/Logging_2361/klagomål/A 29098-2025 FSC-klagomål.docx", "A 29098-2025")</f>
        <v/>
      </c>
      <c r="W1040">
        <f>HYPERLINK("https://klasma.github.io/Logging_2361/klagomålsmail/A 29098-2025 FSC-klagomål mail.docx", "A 29098-2025")</f>
        <v/>
      </c>
      <c r="X1040">
        <f>HYPERLINK("https://klasma.github.io/Logging_2361/tillsyn/A 29098-2025 tillsynsbegäran.docx", "A 29098-2025")</f>
        <v/>
      </c>
      <c r="Y1040">
        <f>HYPERLINK("https://klasma.github.io/Logging_2361/tillsynsmail/A 29098-2025 tillsynsbegäran mail.docx", "A 29098-2025")</f>
        <v/>
      </c>
    </row>
    <row r="1041" ht="15" customHeight="1">
      <c r="A1041" t="inlineStr">
        <is>
          <t>A 19848-2025</t>
        </is>
      </c>
      <c r="B1041" s="1" t="n">
        <v>45771.49020833334</v>
      </c>
      <c r="C1041" s="1" t="n">
        <v>46045</v>
      </c>
      <c r="D1041" t="inlineStr">
        <is>
          <t>JÄMTLANDS LÄN</t>
        </is>
      </c>
      <c r="E1041" t="inlineStr">
        <is>
          <t>BERG</t>
        </is>
      </c>
      <c r="F1041" t="inlineStr">
        <is>
          <t>SCA</t>
        </is>
      </c>
      <c r="G1041" t="n">
        <v>23.9</v>
      </c>
      <c r="H1041" t="n">
        <v>0</v>
      </c>
      <c r="I1041" t="n">
        <v>0</v>
      </c>
      <c r="J1041" t="n">
        <v>2</v>
      </c>
      <c r="K1041" t="n">
        <v>1</v>
      </c>
      <c r="L1041" t="n">
        <v>0</v>
      </c>
      <c r="M1041" t="n">
        <v>0</v>
      </c>
      <c r="N1041" t="n">
        <v>0</v>
      </c>
      <c r="O1041" t="n">
        <v>3</v>
      </c>
      <c r="P1041" t="n">
        <v>1</v>
      </c>
      <c r="Q1041" t="n">
        <v>3</v>
      </c>
      <c r="R1041" s="2" t="inlineStr">
        <is>
          <t>Smalfotad taggsvamp
Dvärgbägarlav
Nordtagging</t>
        </is>
      </c>
      <c r="S1041">
        <f>HYPERLINK("https://klasma.github.io/Logging_2326/artfynd/A 19848-2025 artfynd.xlsx", "A 19848-2025")</f>
        <v/>
      </c>
      <c r="T1041">
        <f>HYPERLINK("https://klasma.github.io/Logging_2326/kartor/A 19848-2025 karta.png", "A 19848-2025")</f>
        <v/>
      </c>
      <c r="V1041">
        <f>HYPERLINK("https://klasma.github.io/Logging_2326/klagomål/A 19848-2025 FSC-klagomål.docx", "A 19848-2025")</f>
        <v/>
      </c>
      <c r="W1041">
        <f>HYPERLINK("https://klasma.github.io/Logging_2326/klagomålsmail/A 19848-2025 FSC-klagomål mail.docx", "A 19848-2025")</f>
        <v/>
      </c>
      <c r="X1041">
        <f>HYPERLINK("https://klasma.github.io/Logging_2326/tillsyn/A 19848-2025 tillsynsbegäran.docx", "A 19848-2025")</f>
        <v/>
      </c>
      <c r="Y1041">
        <f>HYPERLINK("https://klasma.github.io/Logging_2326/tillsynsmail/A 19848-2025 tillsynsbegäran mail.docx", "A 19848-2025")</f>
        <v/>
      </c>
    </row>
    <row r="1042" ht="15" customHeight="1">
      <c r="A1042" t="inlineStr">
        <is>
          <t>A 34582-2024</t>
        </is>
      </c>
      <c r="B1042" s="1" t="n">
        <v>45526</v>
      </c>
      <c r="C1042" s="1" t="n">
        <v>46045</v>
      </c>
      <c r="D1042" t="inlineStr">
        <is>
          <t>JÄMTLANDS LÄN</t>
        </is>
      </c>
      <c r="E1042" t="inlineStr">
        <is>
          <t>KROKOM</t>
        </is>
      </c>
      <c r="G1042" t="n">
        <v>8.1</v>
      </c>
      <c r="H1042" t="n">
        <v>1</v>
      </c>
      <c r="I1042" t="n">
        <v>0</v>
      </c>
      <c r="J1042" t="n">
        <v>3</v>
      </c>
      <c r="K1042" t="n">
        <v>0</v>
      </c>
      <c r="L1042" t="n">
        <v>0</v>
      </c>
      <c r="M1042" t="n">
        <v>0</v>
      </c>
      <c r="N1042" t="n">
        <v>0</v>
      </c>
      <c r="O1042" t="n">
        <v>3</v>
      </c>
      <c r="P1042" t="n">
        <v>0</v>
      </c>
      <c r="Q1042" t="n">
        <v>3</v>
      </c>
      <c r="R1042" s="2" t="inlineStr">
        <is>
          <t>Granticka
Tretåig hackspett
Ullticka</t>
        </is>
      </c>
      <c r="S1042">
        <f>HYPERLINK("https://klasma.github.io/Logging_2309/artfynd/A 34582-2024 artfynd.xlsx", "A 34582-2024")</f>
        <v/>
      </c>
      <c r="T1042">
        <f>HYPERLINK("https://klasma.github.io/Logging_2309/kartor/A 34582-2024 karta.png", "A 34582-2024")</f>
        <v/>
      </c>
      <c r="V1042">
        <f>HYPERLINK("https://klasma.github.io/Logging_2309/klagomål/A 34582-2024 FSC-klagomål.docx", "A 34582-2024")</f>
        <v/>
      </c>
      <c r="W1042">
        <f>HYPERLINK("https://klasma.github.io/Logging_2309/klagomålsmail/A 34582-2024 FSC-klagomål mail.docx", "A 34582-2024")</f>
        <v/>
      </c>
      <c r="X1042">
        <f>HYPERLINK("https://klasma.github.io/Logging_2309/tillsyn/A 34582-2024 tillsynsbegäran.docx", "A 34582-2024")</f>
        <v/>
      </c>
      <c r="Y1042">
        <f>HYPERLINK("https://klasma.github.io/Logging_2309/tillsynsmail/A 34582-2024 tillsynsbegäran mail.docx", "A 34582-2024")</f>
        <v/>
      </c>
      <c r="Z1042">
        <f>HYPERLINK("https://klasma.github.io/Logging_2309/fåglar/A 34582-2024 prioriterade fågelarter.docx", "A 34582-2024")</f>
        <v/>
      </c>
    </row>
    <row r="1043" ht="15" customHeight="1">
      <c r="A1043" t="inlineStr">
        <is>
          <t>A 56549-2025</t>
        </is>
      </c>
      <c r="B1043" s="1" t="n">
        <v>45975.48099537037</v>
      </c>
      <c r="C1043" s="1" t="n">
        <v>46045</v>
      </c>
      <c r="D1043" t="inlineStr">
        <is>
          <t>JÄMTLANDS LÄN</t>
        </is>
      </c>
      <c r="E1043" t="inlineStr">
        <is>
          <t>ÅRE</t>
        </is>
      </c>
      <c r="F1043" t="inlineStr">
        <is>
          <t>Övriga Aktiebolag</t>
        </is>
      </c>
      <c r="G1043" t="n">
        <v>10.1</v>
      </c>
      <c r="H1043" t="n">
        <v>0</v>
      </c>
      <c r="I1043" t="n">
        <v>1</v>
      </c>
      <c r="J1043" t="n">
        <v>2</v>
      </c>
      <c r="K1043" t="n">
        <v>0</v>
      </c>
      <c r="L1043" t="n">
        <v>0</v>
      </c>
      <c r="M1043" t="n">
        <v>0</v>
      </c>
      <c r="N1043" t="n">
        <v>0</v>
      </c>
      <c r="O1043" t="n">
        <v>2</v>
      </c>
      <c r="P1043" t="n">
        <v>0</v>
      </c>
      <c r="Q1043" t="n">
        <v>3</v>
      </c>
      <c r="R1043" s="2" t="inlineStr">
        <is>
          <t>Skrovellav
Ullticka
Stuplav</t>
        </is>
      </c>
      <c r="S1043">
        <f>HYPERLINK("https://klasma.github.io/Logging_2321/artfynd/A 56549-2025 artfynd.xlsx", "A 56549-2025")</f>
        <v/>
      </c>
      <c r="T1043">
        <f>HYPERLINK("https://klasma.github.io/Logging_2321/kartor/A 56549-2025 karta.png", "A 56549-2025")</f>
        <v/>
      </c>
      <c r="V1043">
        <f>HYPERLINK("https://klasma.github.io/Logging_2321/klagomål/A 56549-2025 FSC-klagomål.docx", "A 56549-2025")</f>
        <v/>
      </c>
      <c r="W1043">
        <f>HYPERLINK("https://klasma.github.io/Logging_2321/klagomålsmail/A 56549-2025 FSC-klagomål mail.docx", "A 56549-2025")</f>
        <v/>
      </c>
      <c r="X1043">
        <f>HYPERLINK("https://klasma.github.io/Logging_2321/tillsyn/A 56549-2025 tillsynsbegäran.docx", "A 56549-2025")</f>
        <v/>
      </c>
      <c r="Y1043">
        <f>HYPERLINK("https://klasma.github.io/Logging_2321/tillsynsmail/A 56549-2025 tillsynsbegäran mail.docx", "A 56549-2025")</f>
        <v/>
      </c>
    </row>
    <row r="1044" ht="15" customHeight="1">
      <c r="A1044" t="inlineStr">
        <is>
          <t>A 20242-2025</t>
        </is>
      </c>
      <c r="B1044" s="1" t="n">
        <v>45772.69864583333</v>
      </c>
      <c r="C1044" s="1" t="n">
        <v>46045</v>
      </c>
      <c r="D1044" t="inlineStr">
        <is>
          <t>JÄMTLANDS LÄN</t>
        </is>
      </c>
      <c r="E1044" t="inlineStr">
        <is>
          <t>BERG</t>
        </is>
      </c>
      <c r="F1044" t="inlineStr">
        <is>
          <t>SCA</t>
        </is>
      </c>
      <c r="G1044" t="n">
        <v>4.3</v>
      </c>
      <c r="H1044" t="n">
        <v>2</v>
      </c>
      <c r="I1044" t="n">
        <v>0</v>
      </c>
      <c r="J1044" t="n">
        <v>2</v>
      </c>
      <c r="K1044" t="n">
        <v>0</v>
      </c>
      <c r="L1044" t="n">
        <v>0</v>
      </c>
      <c r="M1044" t="n">
        <v>0</v>
      </c>
      <c r="N1044" t="n">
        <v>0</v>
      </c>
      <c r="O1044" t="n">
        <v>2</v>
      </c>
      <c r="P1044" t="n">
        <v>0</v>
      </c>
      <c r="Q1044" t="n">
        <v>3</v>
      </c>
      <c r="R1044" s="2" t="inlineStr">
        <is>
          <t>Kolflarnlav
Tretåig hackspett
Fläcknycklar</t>
        </is>
      </c>
      <c r="S1044">
        <f>HYPERLINK("https://klasma.github.io/Logging_2326/artfynd/A 20242-2025 artfynd.xlsx", "A 20242-2025")</f>
        <v/>
      </c>
      <c r="T1044">
        <f>HYPERLINK("https://klasma.github.io/Logging_2326/kartor/A 20242-2025 karta.png", "A 20242-2025")</f>
        <v/>
      </c>
      <c r="V1044">
        <f>HYPERLINK("https://klasma.github.io/Logging_2326/klagomål/A 20242-2025 FSC-klagomål.docx", "A 20242-2025")</f>
        <v/>
      </c>
      <c r="W1044">
        <f>HYPERLINK("https://klasma.github.io/Logging_2326/klagomålsmail/A 20242-2025 FSC-klagomål mail.docx", "A 20242-2025")</f>
        <v/>
      </c>
      <c r="X1044">
        <f>HYPERLINK("https://klasma.github.io/Logging_2326/tillsyn/A 20242-2025 tillsynsbegäran.docx", "A 20242-2025")</f>
        <v/>
      </c>
      <c r="Y1044">
        <f>HYPERLINK("https://klasma.github.io/Logging_2326/tillsynsmail/A 20242-2025 tillsynsbegäran mail.docx", "A 20242-2025")</f>
        <v/>
      </c>
      <c r="Z1044">
        <f>HYPERLINK("https://klasma.github.io/Logging_2326/fåglar/A 20242-2025 prioriterade fågelarter.docx", "A 20242-2025")</f>
        <v/>
      </c>
    </row>
    <row r="1045" ht="15" customHeight="1">
      <c r="A1045" t="inlineStr">
        <is>
          <t>A 30112-2025</t>
        </is>
      </c>
      <c r="B1045" s="1" t="n">
        <v>45826.71938657408</v>
      </c>
      <c r="C1045" s="1" t="n">
        <v>46045</v>
      </c>
      <c r="D1045" t="inlineStr">
        <is>
          <t>JÄMTLANDS LÄN</t>
        </is>
      </c>
      <c r="E1045" t="inlineStr">
        <is>
          <t>BRÄCKE</t>
        </is>
      </c>
      <c r="F1045" t="inlineStr">
        <is>
          <t>SCA</t>
        </is>
      </c>
      <c r="G1045" t="n">
        <v>8.9</v>
      </c>
      <c r="H1045" t="n">
        <v>1</v>
      </c>
      <c r="I1045" t="n">
        <v>1</v>
      </c>
      <c r="J1045" t="n">
        <v>1</v>
      </c>
      <c r="K1045" t="n">
        <v>1</v>
      </c>
      <c r="L1045" t="n">
        <v>0</v>
      </c>
      <c r="M1045" t="n">
        <v>0</v>
      </c>
      <c r="N1045" t="n">
        <v>0</v>
      </c>
      <c r="O1045" t="n">
        <v>2</v>
      </c>
      <c r="P1045" t="n">
        <v>1</v>
      </c>
      <c r="Q1045" t="n">
        <v>3</v>
      </c>
      <c r="R1045" s="2" t="inlineStr">
        <is>
          <t>Knärot
Rosenticka
Kransrams</t>
        </is>
      </c>
      <c r="S1045">
        <f>HYPERLINK("https://klasma.github.io/Logging_2305/artfynd/A 30112-2025 artfynd.xlsx", "A 30112-2025")</f>
        <v/>
      </c>
      <c r="T1045">
        <f>HYPERLINK("https://klasma.github.io/Logging_2305/kartor/A 30112-2025 karta.png", "A 30112-2025")</f>
        <v/>
      </c>
      <c r="U1045">
        <f>HYPERLINK("https://klasma.github.io/Logging_2305/knärot/A 30112-2025 karta knärot.png", "A 30112-2025")</f>
        <v/>
      </c>
      <c r="V1045">
        <f>HYPERLINK("https://klasma.github.io/Logging_2305/klagomål/A 30112-2025 FSC-klagomål.docx", "A 30112-2025")</f>
        <v/>
      </c>
      <c r="W1045">
        <f>HYPERLINK("https://klasma.github.io/Logging_2305/klagomålsmail/A 30112-2025 FSC-klagomål mail.docx", "A 30112-2025")</f>
        <v/>
      </c>
      <c r="X1045">
        <f>HYPERLINK("https://klasma.github.io/Logging_2305/tillsyn/A 30112-2025 tillsynsbegäran.docx", "A 30112-2025")</f>
        <v/>
      </c>
      <c r="Y1045">
        <f>HYPERLINK("https://klasma.github.io/Logging_2305/tillsynsmail/A 30112-2025 tillsynsbegäran mail.docx", "A 30112-2025")</f>
        <v/>
      </c>
    </row>
    <row r="1046" ht="15" customHeight="1">
      <c r="A1046" t="inlineStr">
        <is>
          <t>A 56647-2025</t>
        </is>
      </c>
      <c r="B1046" s="1" t="n">
        <v>45975.63585648148</v>
      </c>
      <c r="C1046" s="1" t="n">
        <v>46045</v>
      </c>
      <c r="D1046" t="inlineStr">
        <is>
          <t>JÄMTLANDS LÄN</t>
        </is>
      </c>
      <c r="E1046" t="inlineStr">
        <is>
          <t>ÖSTERSUND</t>
        </is>
      </c>
      <c r="G1046" t="n">
        <v>12.1</v>
      </c>
      <c r="H1046" t="n">
        <v>1</v>
      </c>
      <c r="I1046" t="n">
        <v>0</v>
      </c>
      <c r="J1046" t="n">
        <v>2</v>
      </c>
      <c r="K1046" t="n">
        <v>1</v>
      </c>
      <c r="L1046" t="n">
        <v>0</v>
      </c>
      <c r="M1046" t="n">
        <v>0</v>
      </c>
      <c r="N1046" t="n">
        <v>0</v>
      </c>
      <c r="O1046" t="n">
        <v>3</v>
      </c>
      <c r="P1046" t="n">
        <v>1</v>
      </c>
      <c r="Q1046" t="n">
        <v>3</v>
      </c>
      <c r="R1046" s="2" t="inlineStr">
        <is>
          <t>Rynkskinn
Garnlav
Tretåig hackspett</t>
        </is>
      </c>
      <c r="S1046">
        <f>HYPERLINK("https://klasma.github.io/Logging_2380/artfynd/A 56647-2025 artfynd.xlsx", "A 56647-2025")</f>
        <v/>
      </c>
      <c r="T1046">
        <f>HYPERLINK("https://klasma.github.io/Logging_2380/kartor/A 56647-2025 karta.png", "A 56647-2025")</f>
        <v/>
      </c>
      <c r="V1046">
        <f>HYPERLINK("https://klasma.github.io/Logging_2380/klagomål/A 56647-2025 FSC-klagomål.docx", "A 56647-2025")</f>
        <v/>
      </c>
      <c r="W1046">
        <f>HYPERLINK("https://klasma.github.io/Logging_2380/klagomålsmail/A 56647-2025 FSC-klagomål mail.docx", "A 56647-2025")</f>
        <v/>
      </c>
      <c r="X1046">
        <f>HYPERLINK("https://klasma.github.io/Logging_2380/tillsyn/A 56647-2025 tillsynsbegäran.docx", "A 56647-2025")</f>
        <v/>
      </c>
      <c r="Y1046">
        <f>HYPERLINK("https://klasma.github.io/Logging_2380/tillsynsmail/A 56647-2025 tillsynsbegäran mail.docx", "A 56647-2025")</f>
        <v/>
      </c>
      <c r="Z1046">
        <f>HYPERLINK("https://klasma.github.io/Logging_2380/fåglar/A 56647-2025 prioriterade fågelarter.docx", "A 56647-2025")</f>
        <v/>
      </c>
    </row>
    <row r="1047" ht="15" customHeight="1">
      <c r="A1047" t="inlineStr">
        <is>
          <t>A 64110-2025</t>
        </is>
      </c>
      <c r="B1047" s="1" t="n">
        <v>46013</v>
      </c>
      <c r="C1047" s="1" t="n">
        <v>46045</v>
      </c>
      <c r="D1047" t="inlineStr">
        <is>
          <t>JÄMTLANDS LÄN</t>
        </is>
      </c>
      <c r="E1047" t="inlineStr">
        <is>
          <t>HÄRJEDALEN</t>
        </is>
      </c>
      <c r="G1047" t="n">
        <v>19.3</v>
      </c>
      <c r="H1047" t="n">
        <v>0</v>
      </c>
      <c r="I1047" t="n">
        <v>0</v>
      </c>
      <c r="J1047" t="n">
        <v>3</v>
      </c>
      <c r="K1047" t="n">
        <v>0</v>
      </c>
      <c r="L1047" t="n">
        <v>0</v>
      </c>
      <c r="M1047" t="n">
        <v>0</v>
      </c>
      <c r="N1047" t="n">
        <v>0</v>
      </c>
      <c r="O1047" t="n">
        <v>3</v>
      </c>
      <c r="P1047" t="n">
        <v>0</v>
      </c>
      <c r="Q1047" t="n">
        <v>3</v>
      </c>
      <c r="R1047" s="2" t="inlineStr">
        <is>
          <t>Garnlav
Lunglav
Skrovellav</t>
        </is>
      </c>
      <c r="S1047">
        <f>HYPERLINK("https://klasma.github.io/Logging_2361/artfynd/A 64110-2025 artfynd.xlsx", "A 64110-2025")</f>
        <v/>
      </c>
      <c r="T1047">
        <f>HYPERLINK("https://klasma.github.io/Logging_2361/kartor/A 64110-2025 karta.png", "A 64110-2025")</f>
        <v/>
      </c>
      <c r="V1047">
        <f>HYPERLINK("https://klasma.github.io/Logging_2361/klagomål/A 64110-2025 FSC-klagomål.docx", "A 64110-2025")</f>
        <v/>
      </c>
      <c r="W1047">
        <f>HYPERLINK("https://klasma.github.io/Logging_2361/klagomålsmail/A 64110-2025 FSC-klagomål mail.docx", "A 64110-2025")</f>
        <v/>
      </c>
      <c r="X1047">
        <f>HYPERLINK("https://klasma.github.io/Logging_2361/tillsyn/A 64110-2025 tillsynsbegäran.docx", "A 64110-2025")</f>
        <v/>
      </c>
      <c r="Y1047">
        <f>HYPERLINK("https://klasma.github.io/Logging_2361/tillsynsmail/A 64110-2025 tillsynsbegäran mail.docx", "A 64110-2025")</f>
        <v/>
      </c>
    </row>
    <row r="1048" ht="15" customHeight="1">
      <c r="A1048" t="inlineStr">
        <is>
          <t>A 57667-2025</t>
        </is>
      </c>
      <c r="B1048" s="1" t="n">
        <v>45981.42767361111</v>
      </c>
      <c r="C1048" s="1" t="n">
        <v>46045</v>
      </c>
      <c r="D1048" t="inlineStr">
        <is>
          <t>JÄMTLANDS LÄN</t>
        </is>
      </c>
      <c r="E1048" t="inlineStr">
        <is>
          <t>RAGUNDA</t>
        </is>
      </c>
      <c r="F1048" t="inlineStr">
        <is>
          <t>SCA</t>
        </is>
      </c>
      <c r="G1048" t="n">
        <v>1.7</v>
      </c>
      <c r="H1048" t="n">
        <v>0</v>
      </c>
      <c r="I1048" t="n">
        <v>2</v>
      </c>
      <c r="J1048" t="n">
        <v>1</v>
      </c>
      <c r="K1048" t="n">
        <v>0</v>
      </c>
      <c r="L1048" t="n">
        <v>0</v>
      </c>
      <c r="M1048" t="n">
        <v>0</v>
      </c>
      <c r="N1048" t="n">
        <v>0</v>
      </c>
      <c r="O1048" t="n">
        <v>1</v>
      </c>
      <c r="P1048" t="n">
        <v>0</v>
      </c>
      <c r="Q1048" t="n">
        <v>3</v>
      </c>
      <c r="R1048" s="2" t="inlineStr">
        <is>
          <t>Lunglav
Korallblylav
Luddlav</t>
        </is>
      </c>
      <c r="S1048">
        <f>HYPERLINK("https://klasma.github.io/Logging_2303/artfynd/A 57667-2025 artfynd.xlsx", "A 57667-2025")</f>
        <v/>
      </c>
      <c r="T1048">
        <f>HYPERLINK("https://klasma.github.io/Logging_2303/kartor/A 57667-2025 karta.png", "A 57667-2025")</f>
        <v/>
      </c>
      <c r="V1048">
        <f>HYPERLINK("https://klasma.github.io/Logging_2303/klagomål/A 57667-2025 FSC-klagomål.docx", "A 57667-2025")</f>
        <v/>
      </c>
      <c r="W1048">
        <f>HYPERLINK("https://klasma.github.io/Logging_2303/klagomålsmail/A 57667-2025 FSC-klagomål mail.docx", "A 57667-2025")</f>
        <v/>
      </c>
      <c r="X1048">
        <f>HYPERLINK("https://klasma.github.io/Logging_2303/tillsyn/A 57667-2025 tillsynsbegäran.docx", "A 57667-2025")</f>
        <v/>
      </c>
      <c r="Y1048">
        <f>HYPERLINK("https://klasma.github.io/Logging_2303/tillsynsmail/A 57667-2025 tillsynsbegäran mail.docx", "A 57667-2025")</f>
        <v/>
      </c>
    </row>
    <row r="1049" ht="15" customHeight="1">
      <c r="A1049" t="inlineStr">
        <is>
          <t>A 57617-2025</t>
        </is>
      </c>
      <c r="B1049" s="1" t="n">
        <v>45981.34484953704</v>
      </c>
      <c r="C1049" s="1" t="n">
        <v>46045</v>
      </c>
      <c r="D1049" t="inlineStr">
        <is>
          <t>JÄMTLANDS LÄN</t>
        </is>
      </c>
      <c r="E1049" t="inlineStr">
        <is>
          <t>BRÄCKE</t>
        </is>
      </c>
      <c r="F1049" t="inlineStr">
        <is>
          <t>SCA</t>
        </is>
      </c>
      <c r="G1049" t="n">
        <v>7.9</v>
      </c>
      <c r="H1049" t="n">
        <v>1</v>
      </c>
      <c r="I1049" t="n">
        <v>2</v>
      </c>
      <c r="J1049" t="n">
        <v>0</v>
      </c>
      <c r="K1049" t="n">
        <v>1</v>
      </c>
      <c r="L1049" t="n">
        <v>0</v>
      </c>
      <c r="M1049" t="n">
        <v>0</v>
      </c>
      <c r="N1049" t="n">
        <v>0</v>
      </c>
      <c r="O1049" t="n">
        <v>1</v>
      </c>
      <c r="P1049" t="n">
        <v>1</v>
      </c>
      <c r="Q1049" t="n">
        <v>3</v>
      </c>
      <c r="R1049" s="2" t="inlineStr">
        <is>
          <t>Knärot
Svavelriska
Trådticka</t>
        </is>
      </c>
      <c r="S1049">
        <f>HYPERLINK("https://klasma.github.io/Logging_2305/artfynd/A 57617-2025 artfynd.xlsx", "A 57617-2025")</f>
        <v/>
      </c>
      <c r="T1049">
        <f>HYPERLINK("https://klasma.github.io/Logging_2305/kartor/A 57617-2025 karta.png", "A 57617-2025")</f>
        <v/>
      </c>
      <c r="U1049">
        <f>HYPERLINK("https://klasma.github.io/Logging_2305/knärot/A 57617-2025 karta knärot.png", "A 57617-2025")</f>
        <v/>
      </c>
      <c r="V1049">
        <f>HYPERLINK("https://klasma.github.io/Logging_2305/klagomål/A 57617-2025 FSC-klagomål.docx", "A 57617-2025")</f>
        <v/>
      </c>
      <c r="W1049">
        <f>HYPERLINK("https://klasma.github.io/Logging_2305/klagomålsmail/A 57617-2025 FSC-klagomål mail.docx", "A 57617-2025")</f>
        <v/>
      </c>
      <c r="X1049">
        <f>HYPERLINK("https://klasma.github.io/Logging_2305/tillsyn/A 57617-2025 tillsynsbegäran.docx", "A 57617-2025")</f>
        <v/>
      </c>
      <c r="Y1049">
        <f>HYPERLINK("https://klasma.github.io/Logging_2305/tillsynsmail/A 57617-2025 tillsynsbegäran mail.docx", "A 57617-2025")</f>
        <v/>
      </c>
    </row>
    <row r="1050" ht="15" customHeight="1">
      <c r="A1050" t="inlineStr">
        <is>
          <t>A 30554-2025</t>
        </is>
      </c>
      <c r="B1050" s="1" t="n">
        <v>45831.38600694444</v>
      </c>
      <c r="C1050" s="1" t="n">
        <v>46045</v>
      </c>
      <c r="D1050" t="inlineStr">
        <is>
          <t>JÄMTLANDS LÄN</t>
        </is>
      </c>
      <c r="E1050" t="inlineStr">
        <is>
          <t>STRÖMSUND</t>
        </is>
      </c>
      <c r="F1050" t="inlineStr">
        <is>
          <t>SCA</t>
        </is>
      </c>
      <c r="G1050" t="n">
        <v>15.5</v>
      </c>
      <c r="H1050" t="n">
        <v>2</v>
      </c>
      <c r="I1050" t="n">
        <v>0</v>
      </c>
      <c r="J1050" t="n">
        <v>3</v>
      </c>
      <c r="K1050" t="n">
        <v>0</v>
      </c>
      <c r="L1050" t="n">
        <v>0</v>
      </c>
      <c r="M1050" t="n">
        <v>0</v>
      </c>
      <c r="N1050" t="n">
        <v>0</v>
      </c>
      <c r="O1050" t="n">
        <v>3</v>
      </c>
      <c r="P1050" t="n">
        <v>0</v>
      </c>
      <c r="Q1050" t="n">
        <v>3</v>
      </c>
      <c r="R1050" s="2" t="inlineStr">
        <is>
          <t>Spillkråka
Tretåig hackspett
Vitgrynig nållav</t>
        </is>
      </c>
      <c r="S1050">
        <f>HYPERLINK("https://klasma.github.io/Logging_2313/artfynd/A 30554-2025 artfynd.xlsx", "A 30554-2025")</f>
        <v/>
      </c>
      <c r="T1050">
        <f>HYPERLINK("https://klasma.github.io/Logging_2313/kartor/A 30554-2025 karta.png", "A 30554-2025")</f>
        <v/>
      </c>
      <c r="V1050">
        <f>HYPERLINK("https://klasma.github.io/Logging_2313/klagomål/A 30554-2025 FSC-klagomål.docx", "A 30554-2025")</f>
        <v/>
      </c>
      <c r="W1050">
        <f>HYPERLINK("https://klasma.github.io/Logging_2313/klagomålsmail/A 30554-2025 FSC-klagomål mail.docx", "A 30554-2025")</f>
        <v/>
      </c>
      <c r="X1050">
        <f>HYPERLINK("https://klasma.github.io/Logging_2313/tillsyn/A 30554-2025 tillsynsbegäran.docx", "A 30554-2025")</f>
        <v/>
      </c>
      <c r="Y1050">
        <f>HYPERLINK("https://klasma.github.io/Logging_2313/tillsynsmail/A 30554-2025 tillsynsbegäran mail.docx", "A 30554-2025")</f>
        <v/>
      </c>
      <c r="Z1050">
        <f>HYPERLINK("https://klasma.github.io/Logging_2313/fåglar/A 30554-2025 prioriterade fågelarter.docx", "A 30554-2025")</f>
        <v/>
      </c>
    </row>
    <row r="1051" ht="15" customHeight="1">
      <c r="A1051" t="inlineStr">
        <is>
          <t>A 30828-2025</t>
        </is>
      </c>
      <c r="B1051" s="1" t="n">
        <v>45831.67776620371</v>
      </c>
      <c r="C1051" s="1" t="n">
        <v>46045</v>
      </c>
      <c r="D1051" t="inlineStr">
        <is>
          <t>JÄMTLANDS LÄN</t>
        </is>
      </c>
      <c r="E1051" t="inlineStr">
        <is>
          <t>STRÖMSUND</t>
        </is>
      </c>
      <c r="F1051" t="inlineStr">
        <is>
          <t>SCA</t>
        </is>
      </c>
      <c r="G1051" t="n">
        <v>2.2</v>
      </c>
      <c r="H1051" t="n">
        <v>0</v>
      </c>
      <c r="I1051" t="n">
        <v>0</v>
      </c>
      <c r="J1051" t="n">
        <v>3</v>
      </c>
      <c r="K1051" t="n">
        <v>0</v>
      </c>
      <c r="L1051" t="n">
        <v>0</v>
      </c>
      <c r="M1051" t="n">
        <v>0</v>
      </c>
      <c r="N1051" t="n">
        <v>0</v>
      </c>
      <c r="O1051" t="n">
        <v>3</v>
      </c>
      <c r="P1051" t="n">
        <v>0</v>
      </c>
      <c r="Q1051" t="n">
        <v>3</v>
      </c>
      <c r="R1051" s="2" t="inlineStr">
        <is>
          <t>Gammelgransskål
Granticka
Harticka</t>
        </is>
      </c>
      <c r="S1051">
        <f>HYPERLINK("https://klasma.github.io/Logging_2313/artfynd/A 30828-2025 artfynd.xlsx", "A 30828-2025")</f>
        <v/>
      </c>
      <c r="T1051">
        <f>HYPERLINK("https://klasma.github.io/Logging_2313/kartor/A 30828-2025 karta.png", "A 30828-2025")</f>
        <v/>
      </c>
      <c r="V1051">
        <f>HYPERLINK("https://klasma.github.io/Logging_2313/klagomål/A 30828-2025 FSC-klagomål.docx", "A 30828-2025")</f>
        <v/>
      </c>
      <c r="W1051">
        <f>HYPERLINK("https://klasma.github.io/Logging_2313/klagomålsmail/A 30828-2025 FSC-klagomål mail.docx", "A 30828-2025")</f>
        <v/>
      </c>
      <c r="X1051">
        <f>HYPERLINK("https://klasma.github.io/Logging_2313/tillsyn/A 30828-2025 tillsynsbegäran.docx", "A 30828-2025")</f>
        <v/>
      </c>
      <c r="Y1051">
        <f>HYPERLINK("https://klasma.github.io/Logging_2313/tillsynsmail/A 30828-2025 tillsynsbegäran mail.docx", "A 30828-2025")</f>
        <v/>
      </c>
    </row>
    <row r="1052" ht="15" customHeight="1">
      <c r="A1052" t="inlineStr">
        <is>
          <t>A 11439-2024</t>
        </is>
      </c>
      <c r="B1052" s="1" t="n">
        <v>45372</v>
      </c>
      <c r="C1052" s="1" t="n">
        <v>46045</v>
      </c>
      <c r="D1052" t="inlineStr">
        <is>
          <t>JÄMTLANDS LÄN</t>
        </is>
      </c>
      <c r="E1052" t="inlineStr">
        <is>
          <t>KROKOM</t>
        </is>
      </c>
      <c r="G1052" t="n">
        <v>33</v>
      </c>
      <c r="H1052" t="n">
        <v>1</v>
      </c>
      <c r="I1052" t="n">
        <v>0</v>
      </c>
      <c r="J1052" t="n">
        <v>2</v>
      </c>
      <c r="K1052" t="n">
        <v>1</v>
      </c>
      <c r="L1052" t="n">
        <v>0</v>
      </c>
      <c r="M1052" t="n">
        <v>0</v>
      </c>
      <c r="N1052" t="n">
        <v>0</v>
      </c>
      <c r="O1052" t="n">
        <v>3</v>
      </c>
      <c r="P1052" t="n">
        <v>1</v>
      </c>
      <c r="Q1052" t="n">
        <v>3</v>
      </c>
      <c r="R1052" s="2" t="inlineStr">
        <is>
          <t>Tvillingspindling
Lunglav
Tretåig hackspett</t>
        </is>
      </c>
      <c r="S1052">
        <f>HYPERLINK("https://klasma.github.io/Logging_2309/artfynd/A 11439-2024 artfynd.xlsx", "A 11439-2024")</f>
        <v/>
      </c>
      <c r="T1052">
        <f>HYPERLINK("https://klasma.github.io/Logging_2309/kartor/A 11439-2024 karta.png", "A 11439-2024")</f>
        <v/>
      </c>
      <c r="V1052">
        <f>HYPERLINK("https://klasma.github.io/Logging_2309/klagomål/A 11439-2024 FSC-klagomål.docx", "A 11439-2024")</f>
        <v/>
      </c>
      <c r="W1052">
        <f>HYPERLINK("https://klasma.github.io/Logging_2309/klagomålsmail/A 11439-2024 FSC-klagomål mail.docx", "A 11439-2024")</f>
        <v/>
      </c>
      <c r="X1052">
        <f>HYPERLINK("https://klasma.github.io/Logging_2309/tillsyn/A 11439-2024 tillsynsbegäran.docx", "A 11439-2024")</f>
        <v/>
      </c>
      <c r="Y1052">
        <f>HYPERLINK("https://klasma.github.io/Logging_2309/tillsynsmail/A 11439-2024 tillsynsbegäran mail.docx", "A 11439-2024")</f>
        <v/>
      </c>
      <c r="Z1052">
        <f>HYPERLINK("https://klasma.github.io/Logging_2309/fåglar/A 11439-2024 prioriterade fågelarter.docx", "A 11439-2024")</f>
        <v/>
      </c>
    </row>
    <row r="1053" ht="15" customHeight="1">
      <c r="A1053" t="inlineStr">
        <is>
          <t>A 22571-2025</t>
        </is>
      </c>
      <c r="B1053" s="1" t="n">
        <v>45789.36503472222</v>
      </c>
      <c r="C1053" s="1" t="n">
        <v>46045</v>
      </c>
      <c r="D1053" t="inlineStr">
        <is>
          <t>JÄMTLANDS LÄN</t>
        </is>
      </c>
      <c r="E1053" t="inlineStr">
        <is>
          <t>RAGUNDA</t>
        </is>
      </c>
      <c r="F1053" t="inlineStr">
        <is>
          <t>SCA</t>
        </is>
      </c>
      <c r="G1053" t="n">
        <v>18.2</v>
      </c>
      <c r="H1053" t="n">
        <v>2</v>
      </c>
      <c r="I1053" t="n">
        <v>0</v>
      </c>
      <c r="J1053" t="n">
        <v>2</v>
      </c>
      <c r="K1053" t="n">
        <v>0</v>
      </c>
      <c r="L1053" t="n">
        <v>0</v>
      </c>
      <c r="M1053" t="n">
        <v>0</v>
      </c>
      <c r="N1053" t="n">
        <v>0</v>
      </c>
      <c r="O1053" t="n">
        <v>2</v>
      </c>
      <c r="P1053" t="n">
        <v>0</v>
      </c>
      <c r="Q1053" t="n">
        <v>3</v>
      </c>
      <c r="R1053" s="2" t="inlineStr">
        <is>
          <t>Garnlav
Tretåig hackspett
Nattviol</t>
        </is>
      </c>
      <c r="S1053">
        <f>HYPERLINK("https://klasma.github.io/Logging_2303/artfynd/A 22571-2025 artfynd.xlsx", "A 22571-2025")</f>
        <v/>
      </c>
      <c r="T1053">
        <f>HYPERLINK("https://klasma.github.io/Logging_2303/kartor/A 22571-2025 karta.png", "A 22571-2025")</f>
        <v/>
      </c>
      <c r="V1053">
        <f>HYPERLINK("https://klasma.github.io/Logging_2303/klagomål/A 22571-2025 FSC-klagomål.docx", "A 22571-2025")</f>
        <v/>
      </c>
      <c r="W1053">
        <f>HYPERLINK("https://klasma.github.io/Logging_2303/klagomålsmail/A 22571-2025 FSC-klagomål mail.docx", "A 22571-2025")</f>
        <v/>
      </c>
      <c r="X1053">
        <f>HYPERLINK("https://klasma.github.io/Logging_2303/tillsyn/A 22571-2025 tillsynsbegäran.docx", "A 22571-2025")</f>
        <v/>
      </c>
      <c r="Y1053">
        <f>HYPERLINK("https://klasma.github.io/Logging_2303/tillsynsmail/A 22571-2025 tillsynsbegäran mail.docx", "A 22571-2025")</f>
        <v/>
      </c>
      <c r="Z1053">
        <f>HYPERLINK("https://klasma.github.io/Logging_2303/fåglar/A 22571-2025 prioriterade fågelarter.docx", "A 22571-2025")</f>
        <v/>
      </c>
    </row>
    <row r="1054" ht="15" customHeight="1">
      <c r="A1054" t="inlineStr">
        <is>
          <t>A 58422-2025</t>
        </is>
      </c>
      <c r="B1054" s="1" t="n">
        <v>45985.59431712963</v>
      </c>
      <c r="C1054" s="1" t="n">
        <v>46045</v>
      </c>
      <c r="D1054" t="inlineStr">
        <is>
          <t>JÄMTLANDS LÄN</t>
        </is>
      </c>
      <c r="E1054" t="inlineStr">
        <is>
          <t>BRÄCKE</t>
        </is>
      </c>
      <c r="F1054" t="inlineStr">
        <is>
          <t>SCA</t>
        </is>
      </c>
      <c r="G1054" t="n">
        <v>11</v>
      </c>
      <c r="H1054" t="n">
        <v>1</v>
      </c>
      <c r="I1054" t="n">
        <v>1</v>
      </c>
      <c r="J1054" t="n">
        <v>1</v>
      </c>
      <c r="K1054" t="n">
        <v>1</v>
      </c>
      <c r="L1054" t="n">
        <v>0</v>
      </c>
      <c r="M1054" t="n">
        <v>0</v>
      </c>
      <c r="N1054" t="n">
        <v>0</v>
      </c>
      <c r="O1054" t="n">
        <v>2</v>
      </c>
      <c r="P1054" t="n">
        <v>1</v>
      </c>
      <c r="Q1054" t="n">
        <v>3</v>
      </c>
      <c r="R1054" s="2" t="inlineStr">
        <is>
          <t>Doftticka
Lunglav
Dropptaggsvamp</t>
        </is>
      </c>
      <c r="S1054">
        <f>HYPERLINK("https://klasma.github.io/Logging_2305/artfynd/A 58422-2025 artfynd.xlsx", "A 58422-2025")</f>
        <v/>
      </c>
      <c r="T1054">
        <f>HYPERLINK("https://klasma.github.io/Logging_2305/kartor/A 58422-2025 karta.png", "A 58422-2025")</f>
        <v/>
      </c>
      <c r="V1054">
        <f>HYPERLINK("https://klasma.github.io/Logging_2305/klagomål/A 58422-2025 FSC-klagomål.docx", "A 58422-2025")</f>
        <v/>
      </c>
      <c r="W1054">
        <f>HYPERLINK("https://klasma.github.io/Logging_2305/klagomålsmail/A 58422-2025 FSC-klagomål mail.docx", "A 58422-2025")</f>
        <v/>
      </c>
      <c r="X1054">
        <f>HYPERLINK("https://klasma.github.io/Logging_2305/tillsyn/A 58422-2025 tillsynsbegäran.docx", "A 58422-2025")</f>
        <v/>
      </c>
      <c r="Y1054">
        <f>HYPERLINK("https://klasma.github.io/Logging_2305/tillsynsmail/A 58422-2025 tillsynsbegäran mail.docx", "A 58422-2025")</f>
        <v/>
      </c>
    </row>
    <row r="1055" ht="15" customHeight="1">
      <c r="A1055" t="inlineStr">
        <is>
          <t>A 61417-2021</t>
        </is>
      </c>
      <c r="B1055" s="1" t="n">
        <v>44500</v>
      </c>
      <c r="C1055" s="1" t="n">
        <v>46045</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58235-2025</t>
        </is>
      </c>
      <c r="B1056" s="1" t="n">
        <v>45985.3872337963</v>
      </c>
      <c r="C1056" s="1" t="n">
        <v>46045</v>
      </c>
      <c r="D1056" t="inlineStr">
        <is>
          <t>JÄMTLANDS LÄN</t>
        </is>
      </c>
      <c r="E1056" t="inlineStr">
        <is>
          <t>STRÖMSUND</t>
        </is>
      </c>
      <c r="F1056" t="inlineStr">
        <is>
          <t>SCA</t>
        </is>
      </c>
      <c r="G1056" t="n">
        <v>1</v>
      </c>
      <c r="H1056" t="n">
        <v>0</v>
      </c>
      <c r="I1056" t="n">
        <v>0</v>
      </c>
      <c r="J1056" t="n">
        <v>3</v>
      </c>
      <c r="K1056" t="n">
        <v>0</v>
      </c>
      <c r="L1056" t="n">
        <v>0</v>
      </c>
      <c r="M1056" t="n">
        <v>0</v>
      </c>
      <c r="N1056" t="n">
        <v>0</v>
      </c>
      <c r="O1056" t="n">
        <v>3</v>
      </c>
      <c r="P1056" t="n">
        <v>0</v>
      </c>
      <c r="Q1056" t="n">
        <v>3</v>
      </c>
      <c r="R1056" s="2" t="inlineStr">
        <is>
          <t>Gammelgransskål
Garnlav
Vitgrynig nållav</t>
        </is>
      </c>
      <c r="S1056">
        <f>HYPERLINK("https://klasma.github.io/Logging_2313/artfynd/A 58235-2025 artfynd.xlsx", "A 58235-2025")</f>
        <v/>
      </c>
      <c r="T1056">
        <f>HYPERLINK("https://klasma.github.io/Logging_2313/kartor/A 58235-2025 karta.png", "A 58235-2025")</f>
        <v/>
      </c>
      <c r="V1056">
        <f>HYPERLINK("https://klasma.github.io/Logging_2313/klagomål/A 58235-2025 FSC-klagomål.docx", "A 58235-2025")</f>
        <v/>
      </c>
      <c r="W1056">
        <f>HYPERLINK("https://klasma.github.io/Logging_2313/klagomålsmail/A 58235-2025 FSC-klagomål mail.docx", "A 58235-2025")</f>
        <v/>
      </c>
      <c r="X1056">
        <f>HYPERLINK("https://klasma.github.io/Logging_2313/tillsyn/A 58235-2025 tillsynsbegäran.docx", "A 58235-2025")</f>
        <v/>
      </c>
      <c r="Y1056">
        <f>HYPERLINK("https://klasma.github.io/Logging_2313/tillsynsmail/A 58235-2025 tillsynsbegäran mail.docx", "A 58235-2025")</f>
        <v/>
      </c>
    </row>
    <row r="1057" ht="15" customHeight="1">
      <c r="A1057" t="inlineStr">
        <is>
          <t>A 46705-2023</t>
        </is>
      </c>
      <c r="B1057" s="1" t="n">
        <v>45198</v>
      </c>
      <c r="C1057" s="1" t="n">
        <v>46045</v>
      </c>
      <c r="D1057" t="inlineStr">
        <is>
          <t>JÄMTLANDS LÄN</t>
        </is>
      </c>
      <c r="E1057" t="inlineStr">
        <is>
          <t>ÖSTERSUND</t>
        </is>
      </c>
      <c r="F1057" t="inlineStr">
        <is>
          <t>Sveaskog</t>
        </is>
      </c>
      <c r="G1057" t="n">
        <v>7.5</v>
      </c>
      <c r="H1057" t="n">
        <v>1</v>
      </c>
      <c r="I1057" t="n">
        <v>3</v>
      </c>
      <c r="J1057" t="n">
        <v>0</v>
      </c>
      <c r="K1057" t="n">
        <v>0</v>
      </c>
      <c r="L1057" t="n">
        <v>0</v>
      </c>
      <c r="M1057" t="n">
        <v>0</v>
      </c>
      <c r="N1057" t="n">
        <v>0</v>
      </c>
      <c r="O1057" t="n">
        <v>0</v>
      </c>
      <c r="P1057" t="n">
        <v>0</v>
      </c>
      <c r="Q1057" t="n">
        <v>3</v>
      </c>
      <c r="R1057" s="2" t="inlineStr">
        <is>
          <t>Finbräken
Guckusko
Ögonpyrola</t>
        </is>
      </c>
      <c r="S1057">
        <f>HYPERLINK("https://klasma.github.io/Logging_2380/artfynd/A 46705-2023 artfynd.xlsx", "A 46705-2023")</f>
        <v/>
      </c>
      <c r="T1057">
        <f>HYPERLINK("https://klasma.github.io/Logging_2380/kartor/A 46705-2023 karta.png", "A 46705-2023")</f>
        <v/>
      </c>
      <c r="V1057">
        <f>HYPERLINK("https://klasma.github.io/Logging_2380/klagomål/A 46705-2023 FSC-klagomål.docx", "A 46705-2023")</f>
        <v/>
      </c>
      <c r="W1057">
        <f>HYPERLINK("https://klasma.github.io/Logging_2380/klagomålsmail/A 46705-2023 FSC-klagomål mail.docx", "A 46705-2023")</f>
        <v/>
      </c>
      <c r="X1057">
        <f>HYPERLINK("https://klasma.github.io/Logging_2380/tillsyn/A 46705-2023 tillsynsbegäran.docx", "A 46705-2023")</f>
        <v/>
      </c>
      <c r="Y1057">
        <f>HYPERLINK("https://klasma.github.io/Logging_2380/tillsynsmail/A 46705-2023 tillsynsbegäran mail.docx", "A 46705-2023")</f>
        <v/>
      </c>
    </row>
    <row r="1058" ht="15" customHeight="1">
      <c r="A1058" t="inlineStr">
        <is>
          <t>A 54545-2024</t>
        </is>
      </c>
      <c r="B1058" s="1" t="n">
        <v>45617</v>
      </c>
      <c r="C1058" s="1" t="n">
        <v>46045</v>
      </c>
      <c r="D1058" t="inlineStr">
        <is>
          <t>JÄMTLANDS LÄN</t>
        </is>
      </c>
      <c r="E1058" t="inlineStr">
        <is>
          <t>HÄRJEDALEN</t>
        </is>
      </c>
      <c r="F1058" t="inlineStr">
        <is>
          <t>Holmen skog AB</t>
        </is>
      </c>
      <c r="G1058" t="n">
        <v>6.5</v>
      </c>
      <c r="H1058" t="n">
        <v>1</v>
      </c>
      <c r="I1058" t="n">
        <v>0</v>
      </c>
      <c r="J1058" t="n">
        <v>3</v>
      </c>
      <c r="K1058" t="n">
        <v>0</v>
      </c>
      <c r="L1058" t="n">
        <v>0</v>
      </c>
      <c r="M1058" t="n">
        <v>0</v>
      </c>
      <c r="N1058" t="n">
        <v>0</v>
      </c>
      <c r="O1058" t="n">
        <v>3</v>
      </c>
      <c r="P1058" t="n">
        <v>0</v>
      </c>
      <c r="Q1058" t="n">
        <v>3</v>
      </c>
      <c r="R1058" s="2" t="inlineStr">
        <is>
          <t>Garnlav
Kolflarnlav
Talltita</t>
        </is>
      </c>
      <c r="S1058">
        <f>HYPERLINK("https://klasma.github.io/Logging_2361/artfynd/A 54545-2024 artfynd.xlsx", "A 54545-2024")</f>
        <v/>
      </c>
      <c r="T1058">
        <f>HYPERLINK("https://klasma.github.io/Logging_2361/kartor/A 54545-2024 karta.png", "A 54545-2024")</f>
        <v/>
      </c>
      <c r="V1058">
        <f>HYPERLINK("https://klasma.github.io/Logging_2361/klagomål/A 54545-2024 FSC-klagomål.docx", "A 54545-2024")</f>
        <v/>
      </c>
      <c r="W1058">
        <f>HYPERLINK("https://klasma.github.io/Logging_2361/klagomålsmail/A 54545-2024 FSC-klagomål mail.docx", "A 54545-2024")</f>
        <v/>
      </c>
      <c r="X1058">
        <f>HYPERLINK("https://klasma.github.io/Logging_2361/tillsyn/A 54545-2024 tillsynsbegäran.docx", "A 54545-2024")</f>
        <v/>
      </c>
      <c r="Y1058">
        <f>HYPERLINK("https://klasma.github.io/Logging_2361/tillsynsmail/A 54545-2024 tillsynsbegäran mail.docx", "A 54545-2024")</f>
        <v/>
      </c>
      <c r="Z1058">
        <f>HYPERLINK("https://klasma.github.io/Logging_2361/fåglar/A 54545-2024 prioriterade fågelarter.docx", "A 54545-2024")</f>
        <v/>
      </c>
    </row>
    <row r="1059" ht="15" customHeight="1">
      <c r="A1059" t="inlineStr">
        <is>
          <t>A 50516-2023</t>
        </is>
      </c>
      <c r="B1059" s="1" t="n">
        <v>45216</v>
      </c>
      <c r="C1059" s="1" t="n">
        <v>46045</v>
      </c>
      <c r="D1059" t="inlineStr">
        <is>
          <t>JÄMTLANDS LÄN</t>
        </is>
      </c>
      <c r="E1059" t="inlineStr">
        <is>
          <t>BRÄCKE</t>
        </is>
      </c>
      <c r="F1059" t="inlineStr">
        <is>
          <t>SCA</t>
        </is>
      </c>
      <c r="G1059" t="n">
        <v>3.1</v>
      </c>
      <c r="H1059" t="n">
        <v>3</v>
      </c>
      <c r="I1059" t="n">
        <v>0</v>
      </c>
      <c r="J1059" t="n">
        <v>2</v>
      </c>
      <c r="K1059" t="n">
        <v>0</v>
      </c>
      <c r="L1059" t="n">
        <v>0</v>
      </c>
      <c r="M1059" t="n">
        <v>0</v>
      </c>
      <c r="N1059" t="n">
        <v>0</v>
      </c>
      <c r="O1059" t="n">
        <v>2</v>
      </c>
      <c r="P1059" t="n">
        <v>0</v>
      </c>
      <c r="Q1059" t="n">
        <v>3</v>
      </c>
      <c r="R1059" s="2" t="inlineStr">
        <is>
          <t>Spillkråka
Talltita
Grönsiska</t>
        </is>
      </c>
      <c r="S1059">
        <f>HYPERLINK("https://klasma.github.io/Logging_2305/artfynd/A 50516-2023 artfynd.xlsx", "A 50516-2023")</f>
        <v/>
      </c>
      <c r="T1059">
        <f>HYPERLINK("https://klasma.github.io/Logging_2305/kartor/A 50516-2023 karta.png", "A 50516-2023")</f>
        <v/>
      </c>
      <c r="V1059">
        <f>HYPERLINK("https://klasma.github.io/Logging_2305/klagomål/A 50516-2023 FSC-klagomål.docx", "A 50516-2023")</f>
        <v/>
      </c>
      <c r="W1059">
        <f>HYPERLINK("https://klasma.github.io/Logging_2305/klagomålsmail/A 50516-2023 FSC-klagomål mail.docx", "A 50516-2023")</f>
        <v/>
      </c>
      <c r="X1059">
        <f>HYPERLINK("https://klasma.github.io/Logging_2305/tillsyn/A 50516-2023 tillsynsbegäran.docx", "A 50516-2023")</f>
        <v/>
      </c>
      <c r="Y1059">
        <f>HYPERLINK("https://klasma.github.io/Logging_2305/tillsynsmail/A 50516-2023 tillsynsbegäran mail.docx", "A 50516-2023")</f>
        <v/>
      </c>
      <c r="Z1059">
        <f>HYPERLINK("https://klasma.github.io/Logging_2305/fåglar/A 50516-2023 prioriterade fågelarter.docx", "A 50516-2023")</f>
        <v/>
      </c>
    </row>
    <row r="1060" ht="15" customHeight="1">
      <c r="A1060" t="inlineStr">
        <is>
          <t>A 32795-2025</t>
        </is>
      </c>
      <c r="B1060" s="1" t="n">
        <v>45839.49068287037</v>
      </c>
      <c r="C1060" s="1" t="n">
        <v>46045</v>
      </c>
      <c r="D1060" t="inlineStr">
        <is>
          <t>JÄMTLANDS LÄN</t>
        </is>
      </c>
      <c r="E1060" t="inlineStr">
        <is>
          <t>STRÖMSUND</t>
        </is>
      </c>
      <c r="F1060" t="inlineStr">
        <is>
          <t>SCA</t>
        </is>
      </c>
      <c r="G1060" t="n">
        <v>2.8</v>
      </c>
      <c r="H1060" t="n">
        <v>0</v>
      </c>
      <c r="I1060" t="n">
        <v>0</v>
      </c>
      <c r="J1060" t="n">
        <v>3</v>
      </c>
      <c r="K1060" t="n">
        <v>0</v>
      </c>
      <c r="L1060" t="n">
        <v>0</v>
      </c>
      <c r="M1060" t="n">
        <v>0</v>
      </c>
      <c r="N1060" t="n">
        <v>0</v>
      </c>
      <c r="O1060" t="n">
        <v>3</v>
      </c>
      <c r="P1060" t="n">
        <v>0</v>
      </c>
      <c r="Q1060" t="n">
        <v>3</v>
      </c>
      <c r="R1060" s="2" t="inlineStr">
        <is>
          <t>Gammelgransskål
Garnlav
Ullticka</t>
        </is>
      </c>
      <c r="S1060">
        <f>HYPERLINK("https://klasma.github.io/Logging_2313/artfynd/A 32795-2025 artfynd.xlsx", "A 32795-2025")</f>
        <v/>
      </c>
      <c r="T1060">
        <f>HYPERLINK("https://klasma.github.io/Logging_2313/kartor/A 32795-2025 karta.png", "A 32795-2025")</f>
        <v/>
      </c>
      <c r="V1060">
        <f>HYPERLINK("https://klasma.github.io/Logging_2313/klagomål/A 32795-2025 FSC-klagomål.docx", "A 32795-2025")</f>
        <v/>
      </c>
      <c r="W1060">
        <f>HYPERLINK("https://klasma.github.io/Logging_2313/klagomålsmail/A 32795-2025 FSC-klagomål mail.docx", "A 32795-2025")</f>
        <v/>
      </c>
      <c r="X1060">
        <f>HYPERLINK("https://klasma.github.io/Logging_2313/tillsyn/A 32795-2025 tillsynsbegäran.docx", "A 32795-2025")</f>
        <v/>
      </c>
      <c r="Y1060">
        <f>HYPERLINK("https://klasma.github.io/Logging_2313/tillsynsmail/A 32795-2025 tillsynsbegäran mail.docx", "A 32795-2025")</f>
        <v/>
      </c>
    </row>
    <row r="1061" ht="15" customHeight="1">
      <c r="A1061" t="inlineStr">
        <is>
          <t>A 59179-2025</t>
        </is>
      </c>
      <c r="B1061" s="1" t="n">
        <v>45988.57350694444</v>
      </c>
      <c r="C1061" s="1" t="n">
        <v>46045</v>
      </c>
      <c r="D1061" t="inlineStr">
        <is>
          <t>JÄMTLANDS LÄN</t>
        </is>
      </c>
      <c r="E1061" t="inlineStr">
        <is>
          <t>RAGUNDA</t>
        </is>
      </c>
      <c r="F1061" t="inlineStr">
        <is>
          <t>SCA</t>
        </is>
      </c>
      <c r="G1061" t="n">
        <v>2.3</v>
      </c>
      <c r="H1061" t="n">
        <v>0</v>
      </c>
      <c r="I1061" t="n">
        <v>0</v>
      </c>
      <c r="J1061" t="n">
        <v>3</v>
      </c>
      <c r="K1061" t="n">
        <v>0</v>
      </c>
      <c r="L1061" t="n">
        <v>0</v>
      </c>
      <c r="M1061" t="n">
        <v>0</v>
      </c>
      <c r="N1061" t="n">
        <v>0</v>
      </c>
      <c r="O1061" t="n">
        <v>3</v>
      </c>
      <c r="P1061" t="n">
        <v>0</v>
      </c>
      <c r="Q1061" t="n">
        <v>3</v>
      </c>
      <c r="R1061" s="2" t="inlineStr">
        <is>
          <t>Garnlav
Kolflarnlav
Lunglav</t>
        </is>
      </c>
      <c r="S1061">
        <f>HYPERLINK("https://klasma.github.io/Logging_2303/artfynd/A 59179-2025 artfynd.xlsx", "A 59179-2025")</f>
        <v/>
      </c>
      <c r="T1061">
        <f>HYPERLINK("https://klasma.github.io/Logging_2303/kartor/A 59179-2025 karta.png", "A 59179-2025")</f>
        <v/>
      </c>
      <c r="V1061">
        <f>HYPERLINK("https://klasma.github.io/Logging_2303/klagomål/A 59179-2025 FSC-klagomål.docx", "A 59179-2025")</f>
        <v/>
      </c>
      <c r="W1061">
        <f>HYPERLINK("https://klasma.github.io/Logging_2303/klagomålsmail/A 59179-2025 FSC-klagomål mail.docx", "A 59179-2025")</f>
        <v/>
      </c>
      <c r="X1061">
        <f>HYPERLINK("https://klasma.github.io/Logging_2303/tillsyn/A 59179-2025 tillsynsbegäran.docx", "A 59179-2025")</f>
        <v/>
      </c>
      <c r="Y1061">
        <f>HYPERLINK("https://klasma.github.io/Logging_2303/tillsynsmail/A 59179-2025 tillsynsbegäran mail.docx", "A 59179-2025")</f>
        <v/>
      </c>
    </row>
    <row r="1062" ht="15" customHeight="1">
      <c r="A1062" t="inlineStr">
        <is>
          <t>A 32794-2025</t>
        </is>
      </c>
      <c r="B1062" s="1" t="n">
        <v>45839.49055555555</v>
      </c>
      <c r="C1062" s="1" t="n">
        <v>46045</v>
      </c>
      <c r="D1062" t="inlineStr">
        <is>
          <t>JÄMTLANDS LÄN</t>
        </is>
      </c>
      <c r="E1062" t="inlineStr">
        <is>
          <t>STRÖMSUND</t>
        </is>
      </c>
      <c r="F1062" t="inlineStr">
        <is>
          <t>SCA</t>
        </is>
      </c>
      <c r="G1062" t="n">
        <v>4.8</v>
      </c>
      <c r="H1062" t="n">
        <v>3</v>
      </c>
      <c r="I1062" t="n">
        <v>1</v>
      </c>
      <c r="J1062" t="n">
        <v>0</v>
      </c>
      <c r="K1062" t="n">
        <v>0</v>
      </c>
      <c r="L1062" t="n">
        <v>0</v>
      </c>
      <c r="M1062" t="n">
        <v>0</v>
      </c>
      <c r="N1062" t="n">
        <v>0</v>
      </c>
      <c r="O1062" t="n">
        <v>0</v>
      </c>
      <c r="P1062" t="n">
        <v>0</v>
      </c>
      <c r="Q1062" t="n">
        <v>3</v>
      </c>
      <c r="R1062" s="2" t="inlineStr">
        <is>
          <t>Plattlummer
Skogsrör
Mattlummer</t>
        </is>
      </c>
      <c r="S1062">
        <f>HYPERLINK("https://klasma.github.io/Logging_2313/artfynd/A 32794-2025 artfynd.xlsx", "A 32794-2025")</f>
        <v/>
      </c>
      <c r="T1062">
        <f>HYPERLINK("https://klasma.github.io/Logging_2313/kartor/A 32794-2025 karta.png", "A 32794-2025")</f>
        <v/>
      </c>
      <c r="V1062">
        <f>HYPERLINK("https://klasma.github.io/Logging_2313/klagomål/A 32794-2025 FSC-klagomål.docx", "A 32794-2025")</f>
        <v/>
      </c>
      <c r="W1062">
        <f>HYPERLINK("https://klasma.github.io/Logging_2313/klagomålsmail/A 32794-2025 FSC-klagomål mail.docx", "A 32794-2025")</f>
        <v/>
      </c>
      <c r="X1062">
        <f>HYPERLINK("https://klasma.github.io/Logging_2313/tillsyn/A 32794-2025 tillsynsbegäran.docx", "A 32794-2025")</f>
        <v/>
      </c>
      <c r="Y1062">
        <f>HYPERLINK("https://klasma.github.io/Logging_2313/tillsynsmail/A 32794-2025 tillsynsbegäran mail.docx", "A 32794-2025")</f>
        <v/>
      </c>
    </row>
    <row r="1063" ht="15" customHeight="1">
      <c r="A1063" t="inlineStr">
        <is>
          <t>A 33678-2025</t>
        </is>
      </c>
      <c r="B1063" s="1" t="n">
        <v>45841.67853009259</v>
      </c>
      <c r="C1063" s="1" t="n">
        <v>46045</v>
      </c>
      <c r="D1063" t="inlineStr">
        <is>
          <t>JÄMTLANDS LÄN</t>
        </is>
      </c>
      <c r="E1063" t="inlineStr">
        <is>
          <t>BRÄCKE</t>
        </is>
      </c>
      <c r="F1063" t="inlineStr">
        <is>
          <t>SCA</t>
        </is>
      </c>
      <c r="G1063" t="n">
        <v>6.1</v>
      </c>
      <c r="H1063" t="n">
        <v>0</v>
      </c>
      <c r="I1063" t="n">
        <v>2</v>
      </c>
      <c r="J1063" t="n">
        <v>1</v>
      </c>
      <c r="K1063" t="n">
        <v>0</v>
      </c>
      <c r="L1063" t="n">
        <v>0</v>
      </c>
      <c r="M1063" t="n">
        <v>0</v>
      </c>
      <c r="N1063" t="n">
        <v>0</v>
      </c>
      <c r="O1063" t="n">
        <v>1</v>
      </c>
      <c r="P1063" t="n">
        <v>0</v>
      </c>
      <c r="Q1063" t="n">
        <v>3</v>
      </c>
      <c r="R1063" s="2" t="inlineStr">
        <is>
          <t>Kolflarnlav
Dropptaggsvamp
Skarp dropptaggsvamp</t>
        </is>
      </c>
      <c r="S1063">
        <f>HYPERLINK("https://klasma.github.io/Logging_2305/artfynd/A 33678-2025 artfynd.xlsx", "A 33678-2025")</f>
        <v/>
      </c>
      <c r="T1063">
        <f>HYPERLINK("https://klasma.github.io/Logging_2305/kartor/A 33678-2025 karta.png", "A 33678-2025")</f>
        <v/>
      </c>
      <c r="V1063">
        <f>HYPERLINK("https://klasma.github.io/Logging_2305/klagomål/A 33678-2025 FSC-klagomål.docx", "A 33678-2025")</f>
        <v/>
      </c>
      <c r="W1063">
        <f>HYPERLINK("https://klasma.github.io/Logging_2305/klagomålsmail/A 33678-2025 FSC-klagomål mail.docx", "A 33678-2025")</f>
        <v/>
      </c>
      <c r="X1063">
        <f>HYPERLINK("https://klasma.github.io/Logging_2305/tillsyn/A 33678-2025 tillsynsbegäran.docx", "A 33678-2025")</f>
        <v/>
      </c>
      <c r="Y1063">
        <f>HYPERLINK("https://klasma.github.io/Logging_2305/tillsynsmail/A 33678-2025 tillsynsbegäran mail.docx", "A 33678-2025")</f>
        <v/>
      </c>
    </row>
    <row r="1064" ht="15" customHeight="1">
      <c r="A1064" t="inlineStr">
        <is>
          <t>A 33325-2025</t>
        </is>
      </c>
      <c r="B1064" s="1" t="n">
        <v>45841.34570601852</v>
      </c>
      <c r="C1064" s="1" t="n">
        <v>46045</v>
      </c>
      <c r="D1064" t="inlineStr">
        <is>
          <t>JÄMTLANDS LÄN</t>
        </is>
      </c>
      <c r="E1064" t="inlineStr">
        <is>
          <t>STRÖMSUND</t>
        </is>
      </c>
      <c r="F1064" t="inlineStr">
        <is>
          <t>SCA</t>
        </is>
      </c>
      <c r="G1064" t="n">
        <v>22.9</v>
      </c>
      <c r="H1064" t="n">
        <v>1</v>
      </c>
      <c r="I1064" t="n">
        <v>1</v>
      </c>
      <c r="J1064" t="n">
        <v>1</v>
      </c>
      <c r="K1064" t="n">
        <v>1</v>
      </c>
      <c r="L1064" t="n">
        <v>0</v>
      </c>
      <c r="M1064" t="n">
        <v>0</v>
      </c>
      <c r="N1064" t="n">
        <v>0</v>
      </c>
      <c r="O1064" t="n">
        <v>2</v>
      </c>
      <c r="P1064" t="n">
        <v>1</v>
      </c>
      <c r="Q1064" t="n">
        <v>3</v>
      </c>
      <c r="R1064" s="2" t="inlineStr">
        <is>
          <t>Blackticka
Gränsticka
Guckusko</t>
        </is>
      </c>
      <c r="S1064">
        <f>HYPERLINK("https://klasma.github.io/Logging_2313/artfynd/A 33325-2025 artfynd.xlsx", "A 33325-2025")</f>
        <v/>
      </c>
      <c r="T1064">
        <f>HYPERLINK("https://klasma.github.io/Logging_2313/kartor/A 33325-2025 karta.png", "A 33325-2025")</f>
        <v/>
      </c>
      <c r="V1064">
        <f>HYPERLINK("https://klasma.github.io/Logging_2313/klagomål/A 33325-2025 FSC-klagomål.docx", "A 33325-2025")</f>
        <v/>
      </c>
      <c r="W1064">
        <f>HYPERLINK("https://klasma.github.io/Logging_2313/klagomålsmail/A 33325-2025 FSC-klagomål mail.docx", "A 33325-2025")</f>
        <v/>
      </c>
      <c r="X1064">
        <f>HYPERLINK("https://klasma.github.io/Logging_2313/tillsyn/A 33325-2025 tillsynsbegäran.docx", "A 33325-2025")</f>
        <v/>
      </c>
      <c r="Y1064">
        <f>HYPERLINK("https://klasma.github.io/Logging_2313/tillsynsmail/A 33325-2025 tillsynsbegäran mail.docx", "A 33325-2025")</f>
        <v/>
      </c>
    </row>
    <row r="1065" ht="15" customHeight="1">
      <c r="A1065" t="inlineStr">
        <is>
          <t>A 16305-2025</t>
        </is>
      </c>
      <c r="B1065" s="1" t="n">
        <v>45751.34650462963</v>
      </c>
      <c r="C1065" s="1" t="n">
        <v>46045</v>
      </c>
      <c r="D1065" t="inlineStr">
        <is>
          <t>JÄMTLANDS LÄN</t>
        </is>
      </c>
      <c r="E1065" t="inlineStr">
        <is>
          <t>RAGUNDA</t>
        </is>
      </c>
      <c r="F1065" t="inlineStr">
        <is>
          <t>SCA</t>
        </is>
      </c>
      <c r="G1065" t="n">
        <v>2.5</v>
      </c>
      <c r="H1065" t="n">
        <v>0</v>
      </c>
      <c r="I1065" t="n">
        <v>2</v>
      </c>
      <c r="J1065" t="n">
        <v>1</v>
      </c>
      <c r="K1065" t="n">
        <v>0</v>
      </c>
      <c r="L1065" t="n">
        <v>0</v>
      </c>
      <c r="M1065" t="n">
        <v>0</v>
      </c>
      <c r="N1065" t="n">
        <v>0</v>
      </c>
      <c r="O1065" t="n">
        <v>1</v>
      </c>
      <c r="P1065" t="n">
        <v>0</v>
      </c>
      <c r="Q1065" t="n">
        <v>3</v>
      </c>
      <c r="R1065" s="2" t="inlineStr">
        <is>
          <t>Lunglav
Bollvitmossa
Källmossa</t>
        </is>
      </c>
      <c r="S1065">
        <f>HYPERLINK("https://klasma.github.io/Logging_2303/artfynd/A 16305-2025 artfynd.xlsx", "A 16305-2025")</f>
        <v/>
      </c>
      <c r="T1065">
        <f>HYPERLINK("https://klasma.github.io/Logging_2303/kartor/A 16305-2025 karta.png", "A 16305-2025")</f>
        <v/>
      </c>
      <c r="V1065">
        <f>HYPERLINK("https://klasma.github.io/Logging_2303/klagomål/A 16305-2025 FSC-klagomål.docx", "A 16305-2025")</f>
        <v/>
      </c>
      <c r="W1065">
        <f>HYPERLINK("https://klasma.github.io/Logging_2303/klagomålsmail/A 16305-2025 FSC-klagomål mail.docx", "A 16305-2025")</f>
        <v/>
      </c>
      <c r="X1065">
        <f>HYPERLINK("https://klasma.github.io/Logging_2303/tillsyn/A 16305-2025 tillsynsbegäran.docx", "A 16305-2025")</f>
        <v/>
      </c>
      <c r="Y1065">
        <f>HYPERLINK("https://klasma.github.io/Logging_2303/tillsynsmail/A 16305-2025 tillsynsbegäran mail.docx", "A 16305-2025")</f>
        <v/>
      </c>
    </row>
    <row r="1066" ht="15" customHeight="1">
      <c r="A1066" t="inlineStr">
        <is>
          <t>A 33393-2025</t>
        </is>
      </c>
      <c r="B1066" s="1" t="n">
        <v>45841.41003472222</v>
      </c>
      <c r="C1066" s="1" t="n">
        <v>46045</v>
      </c>
      <c r="D1066" t="inlineStr">
        <is>
          <t>JÄMTLANDS LÄN</t>
        </is>
      </c>
      <c r="E1066" t="inlineStr">
        <is>
          <t>HÄRJEDALEN</t>
        </is>
      </c>
      <c r="G1066" t="n">
        <v>5</v>
      </c>
      <c r="H1066" t="n">
        <v>1</v>
      </c>
      <c r="I1066" t="n">
        <v>1</v>
      </c>
      <c r="J1066" t="n">
        <v>1</v>
      </c>
      <c r="K1066" t="n">
        <v>0</v>
      </c>
      <c r="L1066" t="n">
        <v>1</v>
      </c>
      <c r="M1066" t="n">
        <v>0</v>
      </c>
      <c r="N1066" t="n">
        <v>0</v>
      </c>
      <c r="O1066" t="n">
        <v>2</v>
      </c>
      <c r="P1066" t="n">
        <v>1</v>
      </c>
      <c r="Q1066" t="n">
        <v>3</v>
      </c>
      <c r="R1066" s="2" t="inlineStr">
        <is>
          <t>Mosippa
Blå taggsvamp
Skarp dropptaggsvamp</t>
        </is>
      </c>
      <c r="S1066">
        <f>HYPERLINK("https://klasma.github.io/Logging_2361/artfynd/A 33393-2025 artfynd.xlsx", "A 33393-2025")</f>
        <v/>
      </c>
      <c r="T1066">
        <f>HYPERLINK("https://klasma.github.io/Logging_2361/kartor/A 33393-2025 karta.png", "A 33393-2025")</f>
        <v/>
      </c>
      <c r="V1066">
        <f>HYPERLINK("https://klasma.github.io/Logging_2361/klagomål/A 33393-2025 FSC-klagomål.docx", "A 33393-2025")</f>
        <v/>
      </c>
      <c r="W1066">
        <f>HYPERLINK("https://klasma.github.io/Logging_2361/klagomålsmail/A 33393-2025 FSC-klagomål mail.docx", "A 33393-2025")</f>
        <v/>
      </c>
      <c r="X1066">
        <f>HYPERLINK("https://klasma.github.io/Logging_2361/tillsyn/A 33393-2025 tillsynsbegäran.docx", "A 33393-2025")</f>
        <v/>
      </c>
      <c r="Y1066">
        <f>HYPERLINK("https://klasma.github.io/Logging_2361/tillsynsmail/A 33393-2025 tillsynsbegäran mail.docx", "A 33393-2025")</f>
        <v/>
      </c>
    </row>
    <row r="1067" ht="15" customHeight="1">
      <c r="A1067" t="inlineStr">
        <is>
          <t>A 28178-2023</t>
        </is>
      </c>
      <c r="B1067" s="1" t="n">
        <v>45093</v>
      </c>
      <c r="C1067" s="1" t="n">
        <v>46045</v>
      </c>
      <c r="D1067" t="inlineStr">
        <is>
          <t>JÄMTLANDS LÄN</t>
        </is>
      </c>
      <c r="E1067" t="inlineStr">
        <is>
          <t>RAGUNDA</t>
        </is>
      </c>
      <c r="G1067" t="n">
        <v>5.6</v>
      </c>
      <c r="H1067" t="n">
        <v>0</v>
      </c>
      <c r="I1067" t="n">
        <v>0</v>
      </c>
      <c r="J1067" t="n">
        <v>3</v>
      </c>
      <c r="K1067" t="n">
        <v>0</v>
      </c>
      <c r="L1067" t="n">
        <v>0</v>
      </c>
      <c r="M1067" t="n">
        <v>0</v>
      </c>
      <c r="N1067" t="n">
        <v>0</v>
      </c>
      <c r="O1067" t="n">
        <v>3</v>
      </c>
      <c r="P1067" t="n">
        <v>0</v>
      </c>
      <c r="Q1067" t="n">
        <v>3</v>
      </c>
      <c r="R1067" s="2" t="inlineStr">
        <is>
          <t>Garnlav
Gultoppig fingersvamp
Violettgrå tagellav</t>
        </is>
      </c>
      <c r="S1067">
        <f>HYPERLINK("https://klasma.github.io/Logging_2303/artfynd/A 28178-2023 artfynd.xlsx", "A 28178-2023")</f>
        <v/>
      </c>
      <c r="T1067">
        <f>HYPERLINK("https://klasma.github.io/Logging_2303/kartor/A 28178-2023 karta.png", "A 28178-2023")</f>
        <v/>
      </c>
      <c r="V1067">
        <f>HYPERLINK("https://klasma.github.io/Logging_2303/klagomål/A 28178-2023 FSC-klagomål.docx", "A 28178-2023")</f>
        <v/>
      </c>
      <c r="W1067">
        <f>HYPERLINK("https://klasma.github.io/Logging_2303/klagomålsmail/A 28178-2023 FSC-klagomål mail.docx", "A 28178-2023")</f>
        <v/>
      </c>
      <c r="X1067">
        <f>HYPERLINK("https://klasma.github.io/Logging_2303/tillsyn/A 28178-2023 tillsynsbegäran.docx", "A 28178-2023")</f>
        <v/>
      </c>
      <c r="Y1067">
        <f>HYPERLINK("https://klasma.github.io/Logging_2303/tillsynsmail/A 28178-2023 tillsynsbegäran mail.docx", "A 28178-2023")</f>
        <v/>
      </c>
    </row>
    <row r="1068" ht="15" customHeight="1">
      <c r="A1068" t="inlineStr">
        <is>
          <t>A 34509-2025</t>
        </is>
      </c>
      <c r="B1068" s="1" t="n">
        <v>45847.44314814815</v>
      </c>
      <c r="C1068" s="1" t="n">
        <v>46045</v>
      </c>
      <c r="D1068" t="inlineStr">
        <is>
          <t>JÄMTLANDS LÄN</t>
        </is>
      </c>
      <c r="E1068" t="inlineStr">
        <is>
          <t>STRÖMSUND</t>
        </is>
      </c>
      <c r="F1068" t="inlineStr">
        <is>
          <t>Holmen skog AB</t>
        </is>
      </c>
      <c r="G1068" t="n">
        <v>4.4</v>
      </c>
      <c r="H1068" t="n">
        <v>0</v>
      </c>
      <c r="I1068" t="n">
        <v>2</v>
      </c>
      <c r="J1068" t="n">
        <v>1</v>
      </c>
      <c r="K1068" t="n">
        <v>0</v>
      </c>
      <c r="L1068" t="n">
        <v>0</v>
      </c>
      <c r="M1068" t="n">
        <v>0</v>
      </c>
      <c r="N1068" t="n">
        <v>0</v>
      </c>
      <c r="O1068" t="n">
        <v>1</v>
      </c>
      <c r="P1068" t="n">
        <v>0</v>
      </c>
      <c r="Q1068" t="n">
        <v>3</v>
      </c>
      <c r="R1068" s="2" t="inlineStr">
        <is>
          <t>Lunglav
Källmossor
Stuplav</t>
        </is>
      </c>
      <c r="S1068">
        <f>HYPERLINK("https://klasma.github.io/Logging_2313/artfynd/A 34509-2025 artfynd.xlsx", "A 34509-2025")</f>
        <v/>
      </c>
      <c r="T1068">
        <f>HYPERLINK("https://klasma.github.io/Logging_2313/kartor/A 34509-2025 karta.png", "A 34509-2025")</f>
        <v/>
      </c>
      <c r="V1068">
        <f>HYPERLINK("https://klasma.github.io/Logging_2313/klagomål/A 34509-2025 FSC-klagomål.docx", "A 34509-2025")</f>
        <v/>
      </c>
      <c r="W1068">
        <f>HYPERLINK("https://klasma.github.io/Logging_2313/klagomålsmail/A 34509-2025 FSC-klagomål mail.docx", "A 34509-2025")</f>
        <v/>
      </c>
      <c r="X1068">
        <f>HYPERLINK("https://klasma.github.io/Logging_2313/tillsyn/A 34509-2025 tillsynsbegäran.docx", "A 34509-2025")</f>
        <v/>
      </c>
      <c r="Y1068">
        <f>HYPERLINK("https://klasma.github.io/Logging_2313/tillsynsmail/A 34509-2025 tillsynsbegäran mail.docx", "A 34509-2025")</f>
        <v/>
      </c>
    </row>
    <row r="1069" ht="15" customHeight="1">
      <c r="A1069" t="inlineStr">
        <is>
          <t>A 34585-2025</t>
        </is>
      </c>
      <c r="B1069" s="1" t="n">
        <v>45847.61498842593</v>
      </c>
      <c r="C1069" s="1" t="n">
        <v>46045</v>
      </c>
      <c r="D1069" t="inlineStr">
        <is>
          <t>JÄMTLANDS LÄN</t>
        </is>
      </c>
      <c r="E1069" t="inlineStr">
        <is>
          <t>RAGUNDA</t>
        </is>
      </c>
      <c r="F1069" t="inlineStr">
        <is>
          <t>SCA</t>
        </is>
      </c>
      <c r="G1069" t="n">
        <v>1.1</v>
      </c>
      <c r="H1069" t="n">
        <v>2</v>
      </c>
      <c r="I1069" t="n">
        <v>1</v>
      </c>
      <c r="J1069" t="n">
        <v>0</v>
      </c>
      <c r="K1069" t="n">
        <v>0</v>
      </c>
      <c r="L1069" t="n">
        <v>0</v>
      </c>
      <c r="M1069" t="n">
        <v>0</v>
      </c>
      <c r="N1069" t="n">
        <v>0</v>
      </c>
      <c r="O1069" t="n">
        <v>0</v>
      </c>
      <c r="P1069" t="n">
        <v>0</v>
      </c>
      <c r="Q1069" t="n">
        <v>3</v>
      </c>
      <c r="R1069" s="2" t="inlineStr">
        <is>
          <t>Underviol
Blåsippa
Revlummer</t>
        </is>
      </c>
      <c r="S1069">
        <f>HYPERLINK("https://klasma.github.io/Logging_2303/artfynd/A 34585-2025 artfynd.xlsx", "A 34585-2025")</f>
        <v/>
      </c>
      <c r="T1069">
        <f>HYPERLINK("https://klasma.github.io/Logging_2303/kartor/A 34585-2025 karta.png", "A 34585-2025")</f>
        <v/>
      </c>
      <c r="V1069">
        <f>HYPERLINK("https://klasma.github.io/Logging_2303/klagomål/A 34585-2025 FSC-klagomål.docx", "A 34585-2025")</f>
        <v/>
      </c>
      <c r="W1069">
        <f>HYPERLINK("https://klasma.github.io/Logging_2303/klagomålsmail/A 34585-2025 FSC-klagomål mail.docx", "A 34585-2025")</f>
        <v/>
      </c>
      <c r="X1069">
        <f>HYPERLINK("https://klasma.github.io/Logging_2303/tillsyn/A 34585-2025 tillsynsbegäran.docx", "A 34585-2025")</f>
        <v/>
      </c>
      <c r="Y1069">
        <f>HYPERLINK("https://klasma.github.io/Logging_2303/tillsynsmail/A 34585-2025 tillsynsbegäran mail.docx", "A 34585-2025")</f>
        <v/>
      </c>
    </row>
    <row r="1070" ht="15" customHeight="1">
      <c r="A1070" t="inlineStr">
        <is>
          <t>A 52345-2024</t>
        </is>
      </c>
      <c r="B1070" s="1" t="n">
        <v>45609.34412037037</v>
      </c>
      <c r="C1070" s="1" t="n">
        <v>46045</v>
      </c>
      <c r="D1070" t="inlineStr">
        <is>
          <t>JÄMTLANDS LÄN</t>
        </is>
      </c>
      <c r="E1070" t="inlineStr">
        <is>
          <t>RAGUNDA</t>
        </is>
      </c>
      <c r="F1070" t="inlineStr">
        <is>
          <t>SCA</t>
        </is>
      </c>
      <c r="G1070" t="n">
        <v>10.3</v>
      </c>
      <c r="H1070" t="n">
        <v>1</v>
      </c>
      <c r="I1070" t="n">
        <v>0</v>
      </c>
      <c r="J1070" t="n">
        <v>2</v>
      </c>
      <c r="K1070" t="n">
        <v>0</v>
      </c>
      <c r="L1070" t="n">
        <v>0</v>
      </c>
      <c r="M1070" t="n">
        <v>0</v>
      </c>
      <c r="N1070" t="n">
        <v>0</v>
      </c>
      <c r="O1070" t="n">
        <v>2</v>
      </c>
      <c r="P1070" t="n">
        <v>0</v>
      </c>
      <c r="Q1070" t="n">
        <v>3</v>
      </c>
      <c r="R1070" s="2" t="inlineStr">
        <is>
          <t>Doftskinn
Koralltaggsvamp
Blåsippa</t>
        </is>
      </c>
      <c r="S1070">
        <f>HYPERLINK("https://klasma.github.io/Logging_2303/artfynd/A 52345-2024 artfynd.xlsx", "A 52345-2024")</f>
        <v/>
      </c>
      <c r="T1070">
        <f>HYPERLINK("https://klasma.github.io/Logging_2303/kartor/A 52345-2024 karta.png", "A 52345-2024")</f>
        <v/>
      </c>
      <c r="V1070">
        <f>HYPERLINK("https://klasma.github.io/Logging_2303/klagomål/A 52345-2024 FSC-klagomål.docx", "A 52345-2024")</f>
        <v/>
      </c>
      <c r="W1070">
        <f>HYPERLINK("https://klasma.github.io/Logging_2303/klagomålsmail/A 52345-2024 FSC-klagomål mail.docx", "A 52345-2024")</f>
        <v/>
      </c>
      <c r="X1070">
        <f>HYPERLINK("https://klasma.github.io/Logging_2303/tillsyn/A 52345-2024 tillsynsbegäran.docx", "A 52345-2024")</f>
        <v/>
      </c>
      <c r="Y1070">
        <f>HYPERLINK("https://klasma.github.io/Logging_2303/tillsynsmail/A 52345-2024 tillsynsbegäran mail.docx", "A 52345-2024")</f>
        <v/>
      </c>
    </row>
    <row r="1071" ht="15" customHeight="1">
      <c r="A1071" t="inlineStr">
        <is>
          <t>A 34814-2025</t>
        </is>
      </c>
      <c r="B1071" s="1" t="n">
        <v>45849.35011574074</v>
      </c>
      <c r="C1071" s="1" t="n">
        <v>46045</v>
      </c>
      <c r="D1071" t="inlineStr">
        <is>
          <t>JÄMTLANDS LÄN</t>
        </is>
      </c>
      <c r="E1071" t="inlineStr">
        <is>
          <t>HÄRJEDALEN</t>
        </is>
      </c>
      <c r="G1071" t="n">
        <v>5</v>
      </c>
      <c r="H1071" t="n">
        <v>1</v>
      </c>
      <c r="I1071" t="n">
        <v>1</v>
      </c>
      <c r="J1071" t="n">
        <v>1</v>
      </c>
      <c r="K1071" t="n">
        <v>0</v>
      </c>
      <c r="L1071" t="n">
        <v>1</v>
      </c>
      <c r="M1071" t="n">
        <v>0</v>
      </c>
      <c r="N1071" t="n">
        <v>0</v>
      </c>
      <c r="O1071" t="n">
        <v>2</v>
      </c>
      <c r="P1071" t="n">
        <v>1</v>
      </c>
      <c r="Q1071" t="n">
        <v>3</v>
      </c>
      <c r="R1071" s="2" t="inlineStr">
        <is>
          <t>Mosippa
Blå taggsvamp
Skarp dropptaggsvamp</t>
        </is>
      </c>
      <c r="S1071">
        <f>HYPERLINK("https://klasma.github.io/Logging_2361/artfynd/A 34814-2025 artfynd.xlsx", "A 34814-2025")</f>
        <v/>
      </c>
      <c r="T1071">
        <f>HYPERLINK("https://klasma.github.io/Logging_2361/kartor/A 34814-2025 karta.png", "A 34814-2025")</f>
        <v/>
      </c>
      <c r="V1071">
        <f>HYPERLINK("https://klasma.github.io/Logging_2361/klagomål/A 34814-2025 FSC-klagomål.docx", "A 34814-2025")</f>
        <v/>
      </c>
      <c r="W1071">
        <f>HYPERLINK("https://klasma.github.io/Logging_2361/klagomålsmail/A 34814-2025 FSC-klagomål mail.docx", "A 34814-2025")</f>
        <v/>
      </c>
      <c r="X1071">
        <f>HYPERLINK("https://klasma.github.io/Logging_2361/tillsyn/A 34814-2025 tillsynsbegäran.docx", "A 34814-2025")</f>
        <v/>
      </c>
      <c r="Y1071">
        <f>HYPERLINK("https://klasma.github.io/Logging_2361/tillsynsmail/A 34814-2025 tillsynsbegäran mail.docx", "A 34814-2025")</f>
        <v/>
      </c>
    </row>
    <row r="1072" ht="15" customHeight="1">
      <c r="A1072" t="inlineStr">
        <is>
          <t>A 32416-2025</t>
        </is>
      </c>
      <c r="B1072" s="1" t="n">
        <v>45838</v>
      </c>
      <c r="C1072" s="1" t="n">
        <v>46045</v>
      </c>
      <c r="D1072" t="inlineStr">
        <is>
          <t>JÄMTLANDS LÄN</t>
        </is>
      </c>
      <c r="E1072" t="inlineStr">
        <is>
          <t>RAGUNDA</t>
        </is>
      </c>
      <c r="F1072" t="inlineStr">
        <is>
          <t>SCA</t>
        </is>
      </c>
      <c r="G1072" t="n">
        <v>1.1</v>
      </c>
      <c r="H1072" t="n">
        <v>2</v>
      </c>
      <c r="I1072" t="n">
        <v>1</v>
      </c>
      <c r="J1072" t="n">
        <v>0</v>
      </c>
      <c r="K1072" t="n">
        <v>0</v>
      </c>
      <c r="L1072" t="n">
        <v>0</v>
      </c>
      <c r="M1072" t="n">
        <v>0</v>
      </c>
      <c r="N1072" t="n">
        <v>0</v>
      </c>
      <c r="O1072" t="n">
        <v>0</v>
      </c>
      <c r="P1072" t="n">
        <v>0</v>
      </c>
      <c r="Q1072" t="n">
        <v>3</v>
      </c>
      <c r="R1072" s="2" t="inlineStr">
        <is>
          <t>Underviol
Blåsippa
Revlummer</t>
        </is>
      </c>
      <c r="S1072">
        <f>HYPERLINK("https://klasma.github.io/Logging_2303/artfynd/A 32416-2025 artfynd.xlsx", "A 32416-2025")</f>
        <v/>
      </c>
      <c r="T1072">
        <f>HYPERLINK("https://klasma.github.io/Logging_2303/kartor/A 32416-2025 karta.png", "A 32416-2025")</f>
        <v/>
      </c>
      <c r="V1072">
        <f>HYPERLINK("https://klasma.github.io/Logging_2303/klagomål/A 32416-2025 FSC-klagomål.docx", "A 32416-2025")</f>
        <v/>
      </c>
      <c r="W1072">
        <f>HYPERLINK("https://klasma.github.io/Logging_2303/klagomålsmail/A 32416-2025 FSC-klagomål mail.docx", "A 32416-2025")</f>
        <v/>
      </c>
      <c r="X1072">
        <f>HYPERLINK("https://klasma.github.io/Logging_2303/tillsyn/A 32416-2025 tillsynsbegäran.docx", "A 32416-2025")</f>
        <v/>
      </c>
      <c r="Y1072">
        <f>HYPERLINK("https://klasma.github.io/Logging_2303/tillsynsmail/A 32416-2025 tillsynsbegäran mail.docx", "A 32416-2025")</f>
        <v/>
      </c>
    </row>
    <row r="1073" ht="15" customHeight="1">
      <c r="A1073" t="inlineStr">
        <is>
          <t>A 59359-2025</t>
        </is>
      </c>
      <c r="B1073" s="1" t="n">
        <v>45989.4278125</v>
      </c>
      <c r="C1073" s="1" t="n">
        <v>46045</v>
      </c>
      <c r="D1073" t="inlineStr">
        <is>
          <t>JÄMTLANDS LÄN</t>
        </is>
      </c>
      <c r="E1073" t="inlineStr">
        <is>
          <t>KROKOM</t>
        </is>
      </c>
      <c r="G1073" t="n">
        <v>31.6</v>
      </c>
      <c r="H1073" t="n">
        <v>1</v>
      </c>
      <c r="I1073" t="n">
        <v>0</v>
      </c>
      <c r="J1073" t="n">
        <v>3</v>
      </c>
      <c r="K1073" t="n">
        <v>0</v>
      </c>
      <c r="L1073" t="n">
        <v>0</v>
      </c>
      <c r="M1073" t="n">
        <v>0</v>
      </c>
      <c r="N1073" t="n">
        <v>0</v>
      </c>
      <c r="O1073" t="n">
        <v>3</v>
      </c>
      <c r="P1073" t="n">
        <v>0</v>
      </c>
      <c r="Q1073" t="n">
        <v>3</v>
      </c>
      <c r="R1073" s="2" t="inlineStr">
        <is>
          <t>Garnlav
Granticka
Tretåig hackspett</t>
        </is>
      </c>
      <c r="S1073">
        <f>HYPERLINK("https://klasma.github.io/Logging_2309/artfynd/A 59359-2025 artfynd.xlsx", "A 59359-2025")</f>
        <v/>
      </c>
      <c r="T1073">
        <f>HYPERLINK("https://klasma.github.io/Logging_2309/kartor/A 59359-2025 karta.png", "A 59359-2025")</f>
        <v/>
      </c>
      <c r="V1073">
        <f>HYPERLINK("https://klasma.github.io/Logging_2309/klagomål/A 59359-2025 FSC-klagomål.docx", "A 59359-2025")</f>
        <v/>
      </c>
      <c r="W1073">
        <f>HYPERLINK("https://klasma.github.io/Logging_2309/klagomålsmail/A 59359-2025 FSC-klagomål mail.docx", "A 59359-2025")</f>
        <v/>
      </c>
      <c r="X1073">
        <f>HYPERLINK("https://klasma.github.io/Logging_2309/tillsyn/A 59359-2025 tillsynsbegäran.docx", "A 59359-2025")</f>
        <v/>
      </c>
      <c r="Y1073">
        <f>HYPERLINK("https://klasma.github.io/Logging_2309/tillsynsmail/A 59359-2025 tillsynsbegäran mail.docx", "A 59359-2025")</f>
        <v/>
      </c>
      <c r="Z1073">
        <f>HYPERLINK("https://klasma.github.io/Logging_2309/fåglar/A 59359-2025 prioriterade fågelarter.docx", "A 59359-2025")</f>
        <v/>
      </c>
    </row>
    <row r="1074" ht="15" customHeight="1">
      <c r="A1074" t="inlineStr">
        <is>
          <t>A 35907-2025</t>
        </is>
      </c>
      <c r="B1074" s="1" t="n">
        <v>45862.5109837963</v>
      </c>
      <c r="C1074" s="1" t="n">
        <v>46045</v>
      </c>
      <c r="D1074" t="inlineStr">
        <is>
          <t>JÄMTLANDS LÄN</t>
        </is>
      </c>
      <c r="E1074" t="inlineStr">
        <is>
          <t>BRÄCKE</t>
        </is>
      </c>
      <c r="F1074" t="inlineStr">
        <is>
          <t>SCA</t>
        </is>
      </c>
      <c r="G1074" t="n">
        <v>2.8</v>
      </c>
      <c r="H1074" t="n">
        <v>0</v>
      </c>
      <c r="I1074" t="n">
        <v>1</v>
      </c>
      <c r="J1074" t="n">
        <v>2</v>
      </c>
      <c r="K1074" t="n">
        <v>0</v>
      </c>
      <c r="L1074" t="n">
        <v>0</v>
      </c>
      <c r="M1074" t="n">
        <v>0</v>
      </c>
      <c r="N1074" t="n">
        <v>0</v>
      </c>
      <c r="O1074" t="n">
        <v>2</v>
      </c>
      <c r="P1074" t="n">
        <v>0</v>
      </c>
      <c r="Q1074" t="n">
        <v>3</v>
      </c>
      <c r="R1074" s="2" t="inlineStr">
        <is>
          <t>Garnlav
Ullticka
Dropptaggsvamp</t>
        </is>
      </c>
      <c r="S1074">
        <f>HYPERLINK("https://klasma.github.io/Logging_2305/artfynd/A 35907-2025 artfynd.xlsx", "A 35907-2025")</f>
        <v/>
      </c>
      <c r="T1074">
        <f>HYPERLINK("https://klasma.github.io/Logging_2305/kartor/A 35907-2025 karta.png", "A 35907-2025")</f>
        <v/>
      </c>
      <c r="V1074">
        <f>HYPERLINK("https://klasma.github.io/Logging_2305/klagomål/A 35907-2025 FSC-klagomål.docx", "A 35907-2025")</f>
        <v/>
      </c>
      <c r="W1074">
        <f>HYPERLINK("https://klasma.github.io/Logging_2305/klagomålsmail/A 35907-2025 FSC-klagomål mail.docx", "A 35907-2025")</f>
        <v/>
      </c>
      <c r="X1074">
        <f>HYPERLINK("https://klasma.github.io/Logging_2305/tillsyn/A 35907-2025 tillsynsbegäran.docx", "A 35907-2025")</f>
        <v/>
      </c>
      <c r="Y1074">
        <f>HYPERLINK("https://klasma.github.io/Logging_2305/tillsynsmail/A 35907-2025 tillsynsbegäran mail.docx", "A 35907-2025")</f>
        <v/>
      </c>
    </row>
    <row r="1075" ht="15" customHeight="1">
      <c r="A1075" t="inlineStr">
        <is>
          <t>A 36009-2025</t>
        </is>
      </c>
      <c r="B1075" s="1" t="n">
        <v>45863.58127314815</v>
      </c>
      <c r="C1075" s="1" t="n">
        <v>46045</v>
      </c>
      <c r="D1075" t="inlineStr">
        <is>
          <t>JÄMTLANDS LÄN</t>
        </is>
      </c>
      <c r="E1075" t="inlineStr">
        <is>
          <t>KROKOM</t>
        </is>
      </c>
      <c r="F1075" t="inlineStr">
        <is>
          <t>Övriga Aktiebolag</t>
        </is>
      </c>
      <c r="G1075" t="n">
        <v>3.8</v>
      </c>
      <c r="H1075" t="n">
        <v>1</v>
      </c>
      <c r="I1075" t="n">
        <v>0</v>
      </c>
      <c r="J1075" t="n">
        <v>3</v>
      </c>
      <c r="K1075" t="n">
        <v>0</v>
      </c>
      <c r="L1075" t="n">
        <v>0</v>
      </c>
      <c r="M1075" t="n">
        <v>0</v>
      </c>
      <c r="N1075" t="n">
        <v>0</v>
      </c>
      <c r="O1075" t="n">
        <v>3</v>
      </c>
      <c r="P1075" t="n">
        <v>0</v>
      </c>
      <c r="Q1075" t="n">
        <v>3</v>
      </c>
      <c r="R1075" s="2" t="inlineStr">
        <is>
          <t>Garnlav
Harticka
Tretåig hackspett</t>
        </is>
      </c>
      <c r="S1075">
        <f>HYPERLINK("https://klasma.github.io/Logging_2309/artfynd/A 36009-2025 artfynd.xlsx", "A 36009-2025")</f>
        <v/>
      </c>
      <c r="T1075">
        <f>HYPERLINK("https://klasma.github.io/Logging_2309/kartor/A 36009-2025 karta.png", "A 36009-2025")</f>
        <v/>
      </c>
      <c r="V1075">
        <f>HYPERLINK("https://klasma.github.io/Logging_2309/klagomål/A 36009-2025 FSC-klagomål.docx", "A 36009-2025")</f>
        <v/>
      </c>
      <c r="W1075">
        <f>HYPERLINK("https://klasma.github.io/Logging_2309/klagomålsmail/A 36009-2025 FSC-klagomål mail.docx", "A 36009-2025")</f>
        <v/>
      </c>
      <c r="X1075">
        <f>HYPERLINK("https://klasma.github.io/Logging_2309/tillsyn/A 36009-2025 tillsynsbegäran.docx", "A 36009-2025")</f>
        <v/>
      </c>
      <c r="Y1075">
        <f>HYPERLINK("https://klasma.github.io/Logging_2309/tillsynsmail/A 36009-2025 tillsynsbegäran mail.docx", "A 36009-2025")</f>
        <v/>
      </c>
      <c r="Z1075">
        <f>HYPERLINK("https://klasma.github.io/Logging_2309/fåglar/A 36009-2025 prioriterade fågelarter.docx", "A 36009-2025")</f>
        <v/>
      </c>
    </row>
    <row r="1076" ht="15" customHeight="1">
      <c r="A1076" t="inlineStr">
        <is>
          <t>A 58584-2021</t>
        </is>
      </c>
      <c r="B1076" s="1" t="n">
        <v>44488</v>
      </c>
      <c r="C1076" s="1" t="n">
        <v>46045</v>
      </c>
      <c r="D1076" t="inlineStr">
        <is>
          <t>JÄMTLANDS LÄN</t>
        </is>
      </c>
      <c r="E1076" t="inlineStr">
        <is>
          <t>BRÄCKE</t>
        </is>
      </c>
      <c r="G1076" t="n">
        <v>32</v>
      </c>
      <c r="H1076" t="n">
        <v>0</v>
      </c>
      <c r="I1076" t="n">
        <v>1</v>
      </c>
      <c r="J1076" t="n">
        <v>2</v>
      </c>
      <c r="K1076" t="n">
        <v>0</v>
      </c>
      <c r="L1076" t="n">
        <v>0</v>
      </c>
      <c r="M1076" t="n">
        <v>0</v>
      </c>
      <c r="N1076" t="n">
        <v>0</v>
      </c>
      <c r="O1076" t="n">
        <v>2</v>
      </c>
      <c r="P1076" t="n">
        <v>0</v>
      </c>
      <c r="Q1076" t="n">
        <v>3</v>
      </c>
      <c r="R1076" s="2" t="inlineStr">
        <is>
          <t>Garnlav
Lunglav
Bårdlav</t>
        </is>
      </c>
      <c r="S1076">
        <f>HYPERLINK("https://klasma.github.io/Logging_2305/artfynd/A 58584-2021 artfynd.xlsx", "A 58584-2021")</f>
        <v/>
      </c>
      <c r="T1076">
        <f>HYPERLINK("https://klasma.github.io/Logging_2305/kartor/A 58584-2021 karta.png", "A 58584-2021")</f>
        <v/>
      </c>
      <c r="U1076">
        <f>HYPERLINK("https://klasma.github.io/Logging_2305/knärot/A 58584-2021 karta knärot.png", "A 58584-2021")</f>
        <v/>
      </c>
      <c r="V1076">
        <f>HYPERLINK("https://klasma.github.io/Logging_2305/klagomål/A 58584-2021 FSC-klagomål.docx", "A 58584-2021")</f>
        <v/>
      </c>
      <c r="W1076">
        <f>HYPERLINK("https://klasma.github.io/Logging_2305/klagomålsmail/A 58584-2021 FSC-klagomål mail.docx", "A 58584-2021")</f>
        <v/>
      </c>
      <c r="X1076">
        <f>HYPERLINK("https://klasma.github.io/Logging_2305/tillsyn/A 58584-2021 tillsynsbegäran.docx", "A 58584-2021")</f>
        <v/>
      </c>
      <c r="Y1076">
        <f>HYPERLINK("https://klasma.github.io/Logging_2305/tillsynsmail/A 58584-2021 tillsynsbegäran mail.docx", "A 58584-2021")</f>
        <v/>
      </c>
    </row>
    <row r="1077" ht="15" customHeight="1">
      <c r="A1077" t="inlineStr">
        <is>
          <t>A 59776-2025</t>
        </is>
      </c>
      <c r="B1077" s="1" t="n">
        <v>45992.60733796296</v>
      </c>
      <c r="C1077" s="1" t="n">
        <v>46045</v>
      </c>
      <c r="D1077" t="inlineStr">
        <is>
          <t>JÄMTLANDS LÄN</t>
        </is>
      </c>
      <c r="E1077" t="inlineStr">
        <is>
          <t>ÅRE</t>
        </is>
      </c>
      <c r="G1077" t="n">
        <v>8</v>
      </c>
      <c r="H1077" t="n">
        <v>2</v>
      </c>
      <c r="I1077" t="n">
        <v>2</v>
      </c>
      <c r="J1077" t="n">
        <v>0</v>
      </c>
      <c r="K1077" t="n">
        <v>0</v>
      </c>
      <c r="L1077" t="n">
        <v>0</v>
      </c>
      <c r="M1077" t="n">
        <v>0</v>
      </c>
      <c r="N1077" t="n">
        <v>0</v>
      </c>
      <c r="O1077" t="n">
        <v>0</v>
      </c>
      <c r="P1077" t="n">
        <v>0</v>
      </c>
      <c r="Q1077" t="n">
        <v>3</v>
      </c>
      <c r="R1077" s="2" t="inlineStr">
        <is>
          <t>Kransrams
Tvåblad
Blåsippa</t>
        </is>
      </c>
      <c r="S1077">
        <f>HYPERLINK("https://klasma.github.io/Logging_2321/artfynd/A 59776-2025 artfynd.xlsx", "A 59776-2025")</f>
        <v/>
      </c>
      <c r="T1077">
        <f>HYPERLINK("https://klasma.github.io/Logging_2321/kartor/A 59776-2025 karta.png", "A 59776-2025")</f>
        <v/>
      </c>
      <c r="V1077">
        <f>HYPERLINK("https://klasma.github.io/Logging_2321/klagomål/A 59776-2025 FSC-klagomål.docx", "A 59776-2025")</f>
        <v/>
      </c>
      <c r="W1077">
        <f>HYPERLINK("https://klasma.github.io/Logging_2321/klagomålsmail/A 59776-2025 FSC-klagomål mail.docx", "A 59776-2025")</f>
        <v/>
      </c>
      <c r="X1077">
        <f>HYPERLINK("https://klasma.github.io/Logging_2321/tillsyn/A 59776-2025 tillsynsbegäran.docx", "A 59776-2025")</f>
        <v/>
      </c>
      <c r="Y1077">
        <f>HYPERLINK("https://klasma.github.io/Logging_2321/tillsynsmail/A 59776-2025 tillsynsbegäran mail.docx", "A 59776-2025")</f>
        <v/>
      </c>
    </row>
    <row r="1078" ht="15" customHeight="1">
      <c r="A1078" t="inlineStr">
        <is>
          <t>A 36806-2025</t>
        </is>
      </c>
      <c r="B1078" s="1" t="n">
        <v>45873.69988425926</v>
      </c>
      <c r="C1078" s="1" t="n">
        <v>46045</v>
      </c>
      <c r="D1078" t="inlineStr">
        <is>
          <t>JÄMTLANDS LÄN</t>
        </is>
      </c>
      <c r="E1078" t="inlineStr">
        <is>
          <t>ÖSTERSUND</t>
        </is>
      </c>
      <c r="G1078" t="n">
        <v>9.800000000000001</v>
      </c>
      <c r="H1078" t="n">
        <v>2</v>
      </c>
      <c r="I1078" t="n">
        <v>2</v>
      </c>
      <c r="J1078" t="n">
        <v>0</v>
      </c>
      <c r="K1078" t="n">
        <v>0</v>
      </c>
      <c r="L1078" t="n">
        <v>0</v>
      </c>
      <c r="M1078" t="n">
        <v>0</v>
      </c>
      <c r="N1078" t="n">
        <v>0</v>
      </c>
      <c r="O1078" t="n">
        <v>0</v>
      </c>
      <c r="P1078" t="n">
        <v>0</v>
      </c>
      <c r="Q1078" t="n">
        <v>3</v>
      </c>
      <c r="R1078" s="2" t="inlineStr">
        <is>
          <t>Grönkulla
Vårärt
Blåsippa</t>
        </is>
      </c>
      <c r="S1078">
        <f>HYPERLINK("https://klasma.github.io/Logging_2380/artfynd/A 36806-2025 artfynd.xlsx", "A 36806-2025")</f>
        <v/>
      </c>
      <c r="T1078">
        <f>HYPERLINK("https://klasma.github.io/Logging_2380/kartor/A 36806-2025 karta.png", "A 36806-2025")</f>
        <v/>
      </c>
      <c r="V1078">
        <f>HYPERLINK("https://klasma.github.io/Logging_2380/klagomål/A 36806-2025 FSC-klagomål.docx", "A 36806-2025")</f>
        <v/>
      </c>
      <c r="W1078">
        <f>HYPERLINK("https://klasma.github.io/Logging_2380/klagomålsmail/A 36806-2025 FSC-klagomål mail.docx", "A 36806-2025")</f>
        <v/>
      </c>
      <c r="X1078">
        <f>HYPERLINK("https://klasma.github.io/Logging_2380/tillsyn/A 36806-2025 tillsynsbegäran.docx", "A 36806-2025")</f>
        <v/>
      </c>
      <c r="Y1078">
        <f>HYPERLINK("https://klasma.github.io/Logging_2380/tillsynsmail/A 36806-2025 tillsynsbegäran mail.docx", "A 36806-2025")</f>
        <v/>
      </c>
    </row>
    <row r="1079" ht="15" customHeight="1">
      <c r="A1079" t="inlineStr">
        <is>
          <t>A 30486-2024</t>
        </is>
      </c>
      <c r="B1079" s="1" t="n">
        <v>45491.95018518518</v>
      </c>
      <c r="C1079" s="1" t="n">
        <v>46045</v>
      </c>
      <c r="D1079" t="inlineStr">
        <is>
          <t>JÄMTLANDS LÄN</t>
        </is>
      </c>
      <c r="E1079" t="inlineStr">
        <is>
          <t>BRÄCKE</t>
        </is>
      </c>
      <c r="F1079" t="inlineStr">
        <is>
          <t>SCA</t>
        </is>
      </c>
      <c r="G1079" t="n">
        <v>3.8</v>
      </c>
      <c r="H1079" t="n">
        <v>2</v>
      </c>
      <c r="I1079" t="n">
        <v>2</v>
      </c>
      <c r="J1079" t="n">
        <v>1</v>
      </c>
      <c r="K1079" t="n">
        <v>0</v>
      </c>
      <c r="L1079" t="n">
        <v>0</v>
      </c>
      <c r="M1079" t="n">
        <v>0</v>
      </c>
      <c r="N1079" t="n">
        <v>0</v>
      </c>
      <c r="O1079" t="n">
        <v>1</v>
      </c>
      <c r="P1079" t="n">
        <v>0</v>
      </c>
      <c r="Q1079" t="n">
        <v>3</v>
      </c>
      <c r="R1079" s="2" t="inlineStr">
        <is>
          <t>Fjällvråk
Rödgul trumpetsvamp
Tvåblad</t>
        </is>
      </c>
      <c r="S1079">
        <f>HYPERLINK("https://klasma.github.io/Logging_2305/artfynd/A 30486-2024 artfynd.xlsx", "A 30486-2024")</f>
        <v/>
      </c>
      <c r="T1079">
        <f>HYPERLINK("https://klasma.github.io/Logging_2305/kartor/A 30486-2024 karta.png", "A 30486-2024")</f>
        <v/>
      </c>
      <c r="V1079">
        <f>HYPERLINK("https://klasma.github.io/Logging_2305/klagomål/A 30486-2024 FSC-klagomål.docx", "A 30486-2024")</f>
        <v/>
      </c>
      <c r="W1079">
        <f>HYPERLINK("https://klasma.github.io/Logging_2305/klagomålsmail/A 30486-2024 FSC-klagomål mail.docx", "A 30486-2024")</f>
        <v/>
      </c>
      <c r="X1079">
        <f>HYPERLINK("https://klasma.github.io/Logging_2305/tillsyn/A 30486-2024 tillsynsbegäran.docx", "A 30486-2024")</f>
        <v/>
      </c>
      <c r="Y1079">
        <f>HYPERLINK("https://klasma.github.io/Logging_2305/tillsynsmail/A 30486-2024 tillsynsbegäran mail.docx", "A 30486-2024")</f>
        <v/>
      </c>
      <c r="Z1079">
        <f>HYPERLINK("https://klasma.github.io/Logging_2305/fåglar/A 30486-2024 prioriterade fågelarter.docx", "A 30486-2024")</f>
        <v/>
      </c>
    </row>
    <row r="1080" ht="15" customHeight="1">
      <c r="A1080" t="inlineStr">
        <is>
          <t>A 103-2025</t>
        </is>
      </c>
      <c r="B1080" s="1" t="n">
        <v>45659</v>
      </c>
      <c r="C1080" s="1" t="n">
        <v>46045</v>
      </c>
      <c r="D1080" t="inlineStr">
        <is>
          <t>JÄMTLANDS LÄN</t>
        </is>
      </c>
      <c r="E1080" t="inlineStr">
        <is>
          <t>BRÄCKE</t>
        </is>
      </c>
      <c r="F1080" t="inlineStr">
        <is>
          <t>SCA</t>
        </is>
      </c>
      <c r="G1080" t="n">
        <v>10.2</v>
      </c>
      <c r="H1080" t="n">
        <v>3</v>
      </c>
      <c r="I1080" t="n">
        <v>0</v>
      </c>
      <c r="J1080" t="n">
        <v>2</v>
      </c>
      <c r="K1080" t="n">
        <v>0</v>
      </c>
      <c r="L1080" t="n">
        <v>0</v>
      </c>
      <c r="M1080" t="n">
        <v>0</v>
      </c>
      <c r="N1080" t="n">
        <v>0</v>
      </c>
      <c r="O1080" t="n">
        <v>2</v>
      </c>
      <c r="P1080" t="n">
        <v>0</v>
      </c>
      <c r="Q1080" t="n">
        <v>3</v>
      </c>
      <c r="R1080" s="2" t="inlineStr">
        <is>
          <t>Talltita
Tretåig hackspett
Orre</t>
        </is>
      </c>
      <c r="S1080">
        <f>HYPERLINK("https://klasma.github.io/Logging_2305/artfynd/A 103-2025 artfynd.xlsx", "A 103-2025")</f>
        <v/>
      </c>
      <c r="T1080">
        <f>HYPERLINK("https://klasma.github.io/Logging_2305/kartor/A 103-2025 karta.png", "A 103-2025")</f>
        <v/>
      </c>
      <c r="V1080">
        <f>HYPERLINK("https://klasma.github.io/Logging_2305/klagomål/A 103-2025 FSC-klagomål.docx", "A 103-2025")</f>
        <v/>
      </c>
      <c r="W1080">
        <f>HYPERLINK("https://klasma.github.io/Logging_2305/klagomålsmail/A 103-2025 FSC-klagomål mail.docx", "A 103-2025")</f>
        <v/>
      </c>
      <c r="X1080">
        <f>HYPERLINK("https://klasma.github.io/Logging_2305/tillsyn/A 103-2025 tillsynsbegäran.docx", "A 103-2025")</f>
        <v/>
      </c>
      <c r="Y1080">
        <f>HYPERLINK("https://klasma.github.io/Logging_2305/tillsynsmail/A 103-2025 tillsynsbegäran mail.docx", "A 103-2025")</f>
        <v/>
      </c>
      <c r="Z1080">
        <f>HYPERLINK("https://klasma.github.io/Logging_2305/fåglar/A 103-2025 prioriterade fågelarter.docx", "A 103-2025")</f>
        <v/>
      </c>
    </row>
    <row r="1081" ht="15" customHeight="1">
      <c r="A1081" t="inlineStr">
        <is>
          <t>A 50616-2024</t>
        </is>
      </c>
      <c r="B1081" s="1" t="n">
        <v>45601.63574074074</v>
      </c>
      <c r="C1081" s="1" t="n">
        <v>46045</v>
      </c>
      <c r="D1081" t="inlineStr">
        <is>
          <t>JÄMTLANDS LÄN</t>
        </is>
      </c>
      <c r="E1081" t="inlineStr">
        <is>
          <t>BRÄCKE</t>
        </is>
      </c>
      <c r="F1081" t="inlineStr">
        <is>
          <t>SCA</t>
        </is>
      </c>
      <c r="G1081" t="n">
        <v>3.5</v>
      </c>
      <c r="H1081" t="n">
        <v>0</v>
      </c>
      <c r="I1081" t="n">
        <v>1</v>
      </c>
      <c r="J1081" t="n">
        <v>2</v>
      </c>
      <c r="K1081" t="n">
        <v>0</v>
      </c>
      <c r="L1081" t="n">
        <v>0</v>
      </c>
      <c r="M1081" t="n">
        <v>0</v>
      </c>
      <c r="N1081" t="n">
        <v>0</v>
      </c>
      <c r="O1081" t="n">
        <v>2</v>
      </c>
      <c r="P1081" t="n">
        <v>0</v>
      </c>
      <c r="Q1081" t="n">
        <v>3</v>
      </c>
      <c r="R1081" s="2" t="inlineStr">
        <is>
          <t>Garnlav
Lunglav
Stuplav</t>
        </is>
      </c>
      <c r="S1081">
        <f>HYPERLINK("https://klasma.github.io/Logging_2305/artfynd/A 50616-2024 artfynd.xlsx", "A 50616-2024")</f>
        <v/>
      </c>
      <c r="T1081">
        <f>HYPERLINK("https://klasma.github.io/Logging_2305/kartor/A 50616-2024 karta.png", "A 50616-2024")</f>
        <v/>
      </c>
      <c r="V1081">
        <f>HYPERLINK("https://klasma.github.io/Logging_2305/klagomål/A 50616-2024 FSC-klagomål.docx", "A 50616-2024")</f>
        <v/>
      </c>
      <c r="W1081">
        <f>HYPERLINK("https://klasma.github.io/Logging_2305/klagomålsmail/A 50616-2024 FSC-klagomål mail.docx", "A 50616-2024")</f>
        <v/>
      </c>
      <c r="X1081">
        <f>HYPERLINK("https://klasma.github.io/Logging_2305/tillsyn/A 50616-2024 tillsynsbegäran.docx", "A 50616-2024")</f>
        <v/>
      </c>
      <c r="Y1081">
        <f>HYPERLINK("https://klasma.github.io/Logging_2305/tillsynsmail/A 50616-2024 tillsynsbegäran mail.docx", "A 50616-2024")</f>
        <v/>
      </c>
    </row>
    <row r="1082" ht="15" customHeight="1">
      <c r="A1082" t="inlineStr">
        <is>
          <t>A 40386-2025</t>
        </is>
      </c>
      <c r="B1082" s="1" t="n">
        <v>45895</v>
      </c>
      <c r="C1082" s="1" t="n">
        <v>46045</v>
      </c>
      <c r="D1082" t="inlineStr">
        <is>
          <t>JÄMTLANDS LÄN</t>
        </is>
      </c>
      <c r="E1082" t="inlineStr">
        <is>
          <t>ÅRE</t>
        </is>
      </c>
      <c r="F1082" t="inlineStr">
        <is>
          <t>Övriga Aktiebolag</t>
        </is>
      </c>
      <c r="G1082" t="n">
        <v>7.5</v>
      </c>
      <c r="H1082" t="n">
        <v>3</v>
      </c>
      <c r="I1082" t="n">
        <v>0</v>
      </c>
      <c r="J1082" t="n">
        <v>1</v>
      </c>
      <c r="K1082" t="n">
        <v>0</v>
      </c>
      <c r="L1082" t="n">
        <v>0</v>
      </c>
      <c r="M1082" t="n">
        <v>0</v>
      </c>
      <c r="N1082" t="n">
        <v>0</v>
      </c>
      <c r="O1082" t="n">
        <v>1</v>
      </c>
      <c r="P1082" t="n">
        <v>0</v>
      </c>
      <c r="Q1082" t="n">
        <v>3</v>
      </c>
      <c r="R1082" s="2" t="inlineStr">
        <is>
          <t>Tretåig hackspett
Lavskrika
Tjäder</t>
        </is>
      </c>
      <c r="S1082">
        <f>HYPERLINK("https://klasma.github.io/Logging_2321/artfynd/A 40386-2025 artfynd.xlsx", "A 40386-2025")</f>
        <v/>
      </c>
      <c r="T1082">
        <f>HYPERLINK("https://klasma.github.io/Logging_2321/kartor/A 40386-2025 karta.png", "A 40386-2025")</f>
        <v/>
      </c>
      <c r="V1082">
        <f>HYPERLINK("https://klasma.github.io/Logging_2321/klagomål/A 40386-2025 FSC-klagomål.docx", "A 40386-2025")</f>
        <v/>
      </c>
      <c r="W1082">
        <f>HYPERLINK("https://klasma.github.io/Logging_2321/klagomålsmail/A 40386-2025 FSC-klagomål mail.docx", "A 40386-2025")</f>
        <v/>
      </c>
      <c r="X1082">
        <f>HYPERLINK("https://klasma.github.io/Logging_2321/tillsyn/A 40386-2025 tillsynsbegäran.docx", "A 40386-2025")</f>
        <v/>
      </c>
      <c r="Y1082">
        <f>HYPERLINK("https://klasma.github.io/Logging_2321/tillsynsmail/A 40386-2025 tillsynsbegäran mail.docx", "A 40386-2025")</f>
        <v/>
      </c>
      <c r="Z1082">
        <f>HYPERLINK("https://klasma.github.io/Logging_2321/fåglar/A 40386-2025 prioriterade fågelarter.docx", "A 40386-2025")</f>
        <v/>
      </c>
    </row>
    <row r="1083" ht="15" customHeight="1">
      <c r="A1083" t="inlineStr">
        <is>
          <t>A 47988-2025</t>
        </is>
      </c>
      <c r="B1083" s="1" t="n">
        <v>45931</v>
      </c>
      <c r="C1083" s="1" t="n">
        <v>46045</v>
      </c>
      <c r="D1083" t="inlineStr">
        <is>
          <t>JÄMTLANDS LÄN</t>
        </is>
      </c>
      <c r="E1083" t="inlineStr">
        <is>
          <t>ÅRE</t>
        </is>
      </c>
      <c r="G1083" t="n">
        <v>1</v>
      </c>
      <c r="H1083" t="n">
        <v>0</v>
      </c>
      <c r="I1083" t="n">
        <v>2</v>
      </c>
      <c r="J1083" t="n">
        <v>1</v>
      </c>
      <c r="K1083" t="n">
        <v>0</v>
      </c>
      <c r="L1083" t="n">
        <v>0</v>
      </c>
      <c r="M1083" t="n">
        <v>0</v>
      </c>
      <c r="N1083" t="n">
        <v>0</v>
      </c>
      <c r="O1083" t="n">
        <v>1</v>
      </c>
      <c r="P1083" t="n">
        <v>0</v>
      </c>
      <c r="Q1083" t="n">
        <v>3</v>
      </c>
      <c r="R1083" s="2" t="inlineStr">
        <is>
          <t>Vitgrynig nållav
Diskvaxskivling
Västlig hakmossa</t>
        </is>
      </c>
      <c r="S1083">
        <f>HYPERLINK("https://klasma.github.io/Logging_2321/artfynd/A 47988-2025 artfynd.xlsx", "A 47988-2025")</f>
        <v/>
      </c>
      <c r="T1083">
        <f>HYPERLINK("https://klasma.github.io/Logging_2321/kartor/A 47988-2025 karta.png", "A 47988-2025")</f>
        <v/>
      </c>
      <c r="V1083">
        <f>HYPERLINK("https://klasma.github.io/Logging_2321/klagomål/A 47988-2025 FSC-klagomål.docx", "A 47988-2025")</f>
        <v/>
      </c>
      <c r="W1083">
        <f>HYPERLINK("https://klasma.github.io/Logging_2321/klagomålsmail/A 47988-2025 FSC-klagomål mail.docx", "A 47988-2025")</f>
        <v/>
      </c>
      <c r="X1083">
        <f>HYPERLINK("https://klasma.github.io/Logging_2321/tillsyn/A 47988-2025 tillsynsbegäran.docx", "A 47988-2025")</f>
        <v/>
      </c>
      <c r="Y1083">
        <f>HYPERLINK("https://klasma.github.io/Logging_2321/tillsynsmail/A 47988-2025 tillsynsbegäran mail.docx", "A 47988-2025")</f>
        <v/>
      </c>
    </row>
    <row r="1084" ht="15" customHeight="1">
      <c r="A1084" t="inlineStr">
        <is>
          <t>A 37063-2025</t>
        </is>
      </c>
      <c r="B1084" s="1" t="n">
        <v>45875.38596064815</v>
      </c>
      <c r="C1084" s="1" t="n">
        <v>46045</v>
      </c>
      <c r="D1084" t="inlineStr">
        <is>
          <t>JÄMTLANDS LÄN</t>
        </is>
      </c>
      <c r="E1084" t="inlineStr">
        <is>
          <t>BERG</t>
        </is>
      </c>
      <c r="F1084" t="inlineStr">
        <is>
          <t>SCA</t>
        </is>
      </c>
      <c r="G1084" t="n">
        <v>10.4</v>
      </c>
      <c r="H1084" t="n">
        <v>0</v>
      </c>
      <c r="I1084" t="n">
        <v>0</v>
      </c>
      <c r="J1084" t="n">
        <v>2</v>
      </c>
      <c r="K1084" t="n">
        <v>1</v>
      </c>
      <c r="L1084" t="n">
        <v>0</v>
      </c>
      <c r="M1084" t="n">
        <v>0</v>
      </c>
      <c r="N1084" t="n">
        <v>0</v>
      </c>
      <c r="O1084" t="n">
        <v>3</v>
      </c>
      <c r="P1084" t="n">
        <v>1</v>
      </c>
      <c r="Q1084" t="n">
        <v>3</v>
      </c>
      <c r="R1084" s="2" t="inlineStr">
        <is>
          <t>Fläckporing
Dvärgbägarlav
Kolflarnlav</t>
        </is>
      </c>
      <c r="S1084">
        <f>HYPERLINK("https://klasma.github.io/Logging_2326/artfynd/A 37063-2025 artfynd.xlsx", "A 37063-2025")</f>
        <v/>
      </c>
      <c r="T1084">
        <f>HYPERLINK("https://klasma.github.io/Logging_2326/kartor/A 37063-2025 karta.png", "A 37063-2025")</f>
        <v/>
      </c>
      <c r="V1084">
        <f>HYPERLINK("https://klasma.github.io/Logging_2326/klagomål/A 37063-2025 FSC-klagomål.docx", "A 37063-2025")</f>
        <v/>
      </c>
      <c r="W1084">
        <f>HYPERLINK("https://klasma.github.io/Logging_2326/klagomålsmail/A 37063-2025 FSC-klagomål mail.docx", "A 37063-2025")</f>
        <v/>
      </c>
      <c r="X1084">
        <f>HYPERLINK("https://klasma.github.io/Logging_2326/tillsyn/A 37063-2025 tillsynsbegäran.docx", "A 37063-2025")</f>
        <v/>
      </c>
      <c r="Y1084">
        <f>HYPERLINK("https://klasma.github.io/Logging_2326/tillsynsmail/A 37063-2025 tillsynsbegäran mail.docx", "A 37063-2025")</f>
        <v/>
      </c>
    </row>
    <row r="1085" ht="15" customHeight="1">
      <c r="A1085" t="inlineStr">
        <is>
          <t>A 30470-2024</t>
        </is>
      </c>
      <c r="B1085" s="1" t="n">
        <v>45491.94715277778</v>
      </c>
      <c r="C1085" s="1" t="n">
        <v>46045</v>
      </c>
      <c r="D1085" t="inlineStr">
        <is>
          <t>JÄMTLANDS LÄN</t>
        </is>
      </c>
      <c r="E1085" t="inlineStr">
        <is>
          <t>RAGUNDA</t>
        </is>
      </c>
      <c r="F1085" t="inlineStr">
        <is>
          <t>SCA</t>
        </is>
      </c>
      <c r="G1085" t="n">
        <v>1.4</v>
      </c>
      <c r="H1085" t="n">
        <v>2</v>
      </c>
      <c r="I1085" t="n">
        <v>0</v>
      </c>
      <c r="J1085" t="n">
        <v>2</v>
      </c>
      <c r="K1085" t="n">
        <v>1</v>
      </c>
      <c r="L1085" t="n">
        <v>0</v>
      </c>
      <c r="M1085" t="n">
        <v>0</v>
      </c>
      <c r="N1085" t="n">
        <v>0</v>
      </c>
      <c r="O1085" t="n">
        <v>3</v>
      </c>
      <c r="P1085" t="n">
        <v>1</v>
      </c>
      <c r="Q1085" t="n">
        <v>3</v>
      </c>
      <c r="R1085" s="2" t="inlineStr">
        <is>
          <t>Knärot
Lunglav
Tretåig hackspett</t>
        </is>
      </c>
      <c r="S1085">
        <f>HYPERLINK("https://klasma.github.io/Logging_2303/artfynd/A 30470-2024 artfynd.xlsx", "A 30470-2024")</f>
        <v/>
      </c>
      <c r="T1085">
        <f>HYPERLINK("https://klasma.github.io/Logging_2303/kartor/A 30470-2024 karta.png", "A 30470-2024")</f>
        <v/>
      </c>
      <c r="U1085">
        <f>HYPERLINK("https://klasma.github.io/Logging_2303/knärot/A 30470-2024 karta knärot.png", "A 30470-2024")</f>
        <v/>
      </c>
      <c r="V1085">
        <f>HYPERLINK("https://klasma.github.io/Logging_2303/klagomål/A 30470-2024 FSC-klagomål.docx", "A 30470-2024")</f>
        <v/>
      </c>
      <c r="W1085">
        <f>HYPERLINK("https://klasma.github.io/Logging_2303/klagomålsmail/A 30470-2024 FSC-klagomål mail.docx", "A 30470-2024")</f>
        <v/>
      </c>
      <c r="X1085">
        <f>HYPERLINK("https://klasma.github.io/Logging_2303/tillsyn/A 30470-2024 tillsynsbegäran.docx", "A 30470-2024")</f>
        <v/>
      </c>
      <c r="Y1085">
        <f>HYPERLINK("https://klasma.github.io/Logging_2303/tillsynsmail/A 30470-2024 tillsynsbegäran mail.docx", "A 30470-2024")</f>
        <v/>
      </c>
      <c r="Z1085">
        <f>HYPERLINK("https://klasma.github.io/Logging_2303/fåglar/A 30470-2024 prioriterade fågelarter.docx", "A 30470-2024")</f>
        <v/>
      </c>
    </row>
    <row r="1086" ht="15" customHeight="1">
      <c r="A1086" t="inlineStr">
        <is>
          <t>A 37707-2025</t>
        </is>
      </c>
      <c r="B1086" s="1" t="n">
        <v>45880.59423611111</v>
      </c>
      <c r="C1086" s="1" t="n">
        <v>46045</v>
      </c>
      <c r="D1086" t="inlineStr">
        <is>
          <t>JÄMTLANDS LÄN</t>
        </is>
      </c>
      <c r="E1086" t="inlineStr">
        <is>
          <t>BRÄCKE</t>
        </is>
      </c>
      <c r="G1086" t="n">
        <v>6.6</v>
      </c>
      <c r="H1086" t="n">
        <v>0</v>
      </c>
      <c r="I1086" t="n">
        <v>0</v>
      </c>
      <c r="J1086" t="n">
        <v>3</v>
      </c>
      <c r="K1086" t="n">
        <v>0</v>
      </c>
      <c r="L1086" t="n">
        <v>0</v>
      </c>
      <c r="M1086" t="n">
        <v>0</v>
      </c>
      <c r="N1086" t="n">
        <v>0</v>
      </c>
      <c r="O1086" t="n">
        <v>3</v>
      </c>
      <c r="P1086" t="n">
        <v>0</v>
      </c>
      <c r="Q1086" t="n">
        <v>3</v>
      </c>
      <c r="R1086" s="2" t="inlineStr">
        <is>
          <t>Dvärgbägarlav
Mörk kolflarnlav
Vedflamlav</t>
        </is>
      </c>
      <c r="S1086">
        <f>HYPERLINK("https://klasma.github.io/Logging_2305/artfynd/A 37707-2025 artfynd.xlsx", "A 37707-2025")</f>
        <v/>
      </c>
      <c r="T1086">
        <f>HYPERLINK("https://klasma.github.io/Logging_2305/kartor/A 37707-2025 karta.png", "A 37707-2025")</f>
        <v/>
      </c>
      <c r="V1086">
        <f>HYPERLINK("https://klasma.github.io/Logging_2305/klagomål/A 37707-2025 FSC-klagomål.docx", "A 37707-2025")</f>
        <v/>
      </c>
      <c r="W1086">
        <f>HYPERLINK("https://klasma.github.io/Logging_2305/klagomålsmail/A 37707-2025 FSC-klagomål mail.docx", "A 37707-2025")</f>
        <v/>
      </c>
      <c r="X1086">
        <f>HYPERLINK("https://klasma.github.io/Logging_2305/tillsyn/A 37707-2025 tillsynsbegäran.docx", "A 37707-2025")</f>
        <v/>
      </c>
      <c r="Y1086">
        <f>HYPERLINK("https://klasma.github.io/Logging_2305/tillsynsmail/A 37707-2025 tillsynsbegäran mail.docx", "A 37707-2025")</f>
        <v/>
      </c>
    </row>
    <row r="1087" ht="15" customHeight="1">
      <c r="A1087" t="inlineStr">
        <is>
          <t>A 52189-2024</t>
        </is>
      </c>
      <c r="B1087" s="1" t="n">
        <v>45608</v>
      </c>
      <c r="C1087" s="1" t="n">
        <v>46045</v>
      </c>
      <c r="D1087" t="inlineStr">
        <is>
          <t>JÄMTLANDS LÄN</t>
        </is>
      </c>
      <c r="E1087" t="inlineStr">
        <is>
          <t>BERG</t>
        </is>
      </c>
      <c r="G1087" t="n">
        <v>10.6</v>
      </c>
      <c r="H1087" t="n">
        <v>0</v>
      </c>
      <c r="I1087" t="n">
        <v>0</v>
      </c>
      <c r="J1087" t="n">
        <v>3</v>
      </c>
      <c r="K1087" t="n">
        <v>0</v>
      </c>
      <c r="L1087" t="n">
        <v>0</v>
      </c>
      <c r="M1087" t="n">
        <v>0</v>
      </c>
      <c r="N1087" t="n">
        <v>0</v>
      </c>
      <c r="O1087" t="n">
        <v>3</v>
      </c>
      <c r="P1087" t="n">
        <v>0</v>
      </c>
      <c r="Q1087" t="n">
        <v>3</v>
      </c>
      <c r="R1087" s="2" t="inlineStr">
        <is>
          <t>Granticka
Gränsticka
Vitgrynig nållav</t>
        </is>
      </c>
      <c r="S1087">
        <f>HYPERLINK("https://klasma.github.io/Logging_2326/artfynd/A 52189-2024 artfynd.xlsx", "A 52189-2024")</f>
        <v/>
      </c>
      <c r="T1087">
        <f>HYPERLINK("https://klasma.github.io/Logging_2326/kartor/A 52189-2024 karta.png", "A 52189-2024")</f>
        <v/>
      </c>
      <c r="V1087">
        <f>HYPERLINK("https://klasma.github.io/Logging_2326/klagomål/A 52189-2024 FSC-klagomål.docx", "A 52189-2024")</f>
        <v/>
      </c>
      <c r="W1087">
        <f>HYPERLINK("https://klasma.github.io/Logging_2326/klagomålsmail/A 52189-2024 FSC-klagomål mail.docx", "A 52189-2024")</f>
        <v/>
      </c>
      <c r="X1087">
        <f>HYPERLINK("https://klasma.github.io/Logging_2326/tillsyn/A 52189-2024 tillsynsbegäran.docx", "A 52189-2024")</f>
        <v/>
      </c>
      <c r="Y1087">
        <f>HYPERLINK("https://klasma.github.io/Logging_2326/tillsynsmail/A 52189-2024 tillsynsbegäran mail.docx", "A 52189-2024")</f>
        <v/>
      </c>
    </row>
    <row r="1088" ht="15" customHeight="1">
      <c r="A1088" t="inlineStr">
        <is>
          <t>A 38023-2025</t>
        </is>
      </c>
      <c r="B1088" s="1" t="n">
        <v>45882.34489583333</v>
      </c>
      <c r="C1088" s="1" t="n">
        <v>46045</v>
      </c>
      <c r="D1088" t="inlineStr">
        <is>
          <t>JÄMTLANDS LÄN</t>
        </is>
      </c>
      <c r="E1088" t="inlineStr">
        <is>
          <t>STRÖMSUND</t>
        </is>
      </c>
      <c r="F1088" t="inlineStr">
        <is>
          <t>SCA</t>
        </is>
      </c>
      <c r="G1088" t="n">
        <v>3.1</v>
      </c>
      <c r="H1088" t="n">
        <v>0</v>
      </c>
      <c r="I1088" t="n">
        <v>0</v>
      </c>
      <c r="J1088" t="n">
        <v>3</v>
      </c>
      <c r="K1088" t="n">
        <v>0</v>
      </c>
      <c r="L1088" t="n">
        <v>0</v>
      </c>
      <c r="M1088" t="n">
        <v>0</v>
      </c>
      <c r="N1088" t="n">
        <v>0</v>
      </c>
      <c r="O1088" t="n">
        <v>3</v>
      </c>
      <c r="P1088" t="n">
        <v>0</v>
      </c>
      <c r="Q1088" t="n">
        <v>3</v>
      </c>
      <c r="R1088" s="2" t="inlineStr">
        <is>
          <t>Rödbrun blekspik
Vitgrynig nållav
Vitskaftad svartspik</t>
        </is>
      </c>
      <c r="S1088">
        <f>HYPERLINK("https://klasma.github.io/Logging_2313/artfynd/A 38023-2025 artfynd.xlsx", "A 38023-2025")</f>
        <v/>
      </c>
      <c r="T1088">
        <f>HYPERLINK("https://klasma.github.io/Logging_2313/kartor/A 38023-2025 karta.png", "A 38023-2025")</f>
        <v/>
      </c>
      <c r="V1088">
        <f>HYPERLINK("https://klasma.github.io/Logging_2313/klagomål/A 38023-2025 FSC-klagomål.docx", "A 38023-2025")</f>
        <v/>
      </c>
      <c r="W1088">
        <f>HYPERLINK("https://klasma.github.io/Logging_2313/klagomålsmail/A 38023-2025 FSC-klagomål mail.docx", "A 38023-2025")</f>
        <v/>
      </c>
      <c r="X1088">
        <f>HYPERLINK("https://klasma.github.io/Logging_2313/tillsyn/A 38023-2025 tillsynsbegäran.docx", "A 38023-2025")</f>
        <v/>
      </c>
      <c r="Y1088">
        <f>HYPERLINK("https://klasma.github.io/Logging_2313/tillsynsmail/A 38023-2025 tillsynsbegäran mail.docx", "A 38023-2025")</f>
        <v/>
      </c>
    </row>
    <row r="1089" ht="15" customHeight="1">
      <c r="A1089" t="inlineStr">
        <is>
          <t>A 62113-2024</t>
        </is>
      </c>
      <c r="B1089" s="1" t="n">
        <v>45656.54600694445</v>
      </c>
      <c r="C1089" s="1" t="n">
        <v>46045</v>
      </c>
      <c r="D1089" t="inlineStr">
        <is>
          <t>JÄMTLANDS LÄN</t>
        </is>
      </c>
      <c r="E1089" t="inlineStr">
        <is>
          <t>KROKOM</t>
        </is>
      </c>
      <c r="G1089" t="n">
        <v>5.3</v>
      </c>
      <c r="H1089" t="n">
        <v>1</v>
      </c>
      <c r="I1089" t="n">
        <v>2</v>
      </c>
      <c r="J1089" t="n">
        <v>0</v>
      </c>
      <c r="K1089" t="n">
        <v>0</v>
      </c>
      <c r="L1089" t="n">
        <v>0</v>
      </c>
      <c r="M1089" t="n">
        <v>0</v>
      </c>
      <c r="N1089" t="n">
        <v>0</v>
      </c>
      <c r="O1089" t="n">
        <v>0</v>
      </c>
      <c r="P1089" t="n">
        <v>0</v>
      </c>
      <c r="Q1089" t="n">
        <v>3</v>
      </c>
      <c r="R1089" s="2" t="inlineStr">
        <is>
          <t>Finbräken
Kransrams
Blåsippa</t>
        </is>
      </c>
      <c r="S1089">
        <f>HYPERLINK("https://klasma.github.io/Logging_2309/artfynd/A 62113-2024 artfynd.xlsx", "A 62113-2024")</f>
        <v/>
      </c>
      <c r="T1089">
        <f>HYPERLINK("https://klasma.github.io/Logging_2309/kartor/A 62113-2024 karta.png", "A 62113-2024")</f>
        <v/>
      </c>
      <c r="V1089">
        <f>HYPERLINK("https://klasma.github.io/Logging_2309/klagomål/A 62113-2024 FSC-klagomål.docx", "A 62113-2024")</f>
        <v/>
      </c>
      <c r="W1089">
        <f>HYPERLINK("https://klasma.github.io/Logging_2309/klagomålsmail/A 62113-2024 FSC-klagomål mail.docx", "A 62113-2024")</f>
        <v/>
      </c>
      <c r="X1089">
        <f>HYPERLINK("https://klasma.github.io/Logging_2309/tillsyn/A 62113-2024 tillsynsbegäran.docx", "A 62113-2024")</f>
        <v/>
      </c>
      <c r="Y1089">
        <f>HYPERLINK("https://klasma.github.io/Logging_2309/tillsynsmail/A 62113-2024 tillsynsbegäran mail.docx", "A 62113-2024")</f>
        <v/>
      </c>
    </row>
    <row r="1090" ht="15" customHeight="1">
      <c r="A1090" t="inlineStr">
        <is>
          <t>A 10627-2023</t>
        </is>
      </c>
      <c r="B1090" s="1" t="n">
        <v>44984</v>
      </c>
      <c r="C1090" s="1" t="n">
        <v>46045</v>
      </c>
      <c r="D1090" t="inlineStr">
        <is>
          <t>JÄMTLANDS LÄN</t>
        </is>
      </c>
      <c r="E1090" t="inlineStr">
        <is>
          <t>ÅRE</t>
        </is>
      </c>
      <c r="G1090" t="n">
        <v>29.1</v>
      </c>
      <c r="H1090" t="n">
        <v>1</v>
      </c>
      <c r="I1090" t="n">
        <v>0</v>
      </c>
      <c r="J1090" t="n">
        <v>3</v>
      </c>
      <c r="K1090" t="n">
        <v>0</v>
      </c>
      <c r="L1090" t="n">
        <v>0</v>
      </c>
      <c r="M1090" t="n">
        <v>0</v>
      </c>
      <c r="N1090" t="n">
        <v>0</v>
      </c>
      <c r="O1090" t="n">
        <v>3</v>
      </c>
      <c r="P1090" t="n">
        <v>0</v>
      </c>
      <c r="Q1090" t="n">
        <v>3</v>
      </c>
      <c r="R1090" s="2" t="inlineStr">
        <is>
          <t>Harticka
Tretåig hackspett
Vitgrynig nållav</t>
        </is>
      </c>
      <c r="S1090">
        <f>HYPERLINK("https://klasma.github.io/Logging_2321/artfynd/A 10627-2023 artfynd.xlsx", "A 10627-2023")</f>
        <v/>
      </c>
      <c r="T1090">
        <f>HYPERLINK("https://klasma.github.io/Logging_2321/kartor/A 10627-2023 karta.png", "A 10627-2023")</f>
        <v/>
      </c>
      <c r="V1090">
        <f>HYPERLINK("https://klasma.github.io/Logging_2321/klagomål/A 10627-2023 FSC-klagomål.docx", "A 10627-2023")</f>
        <v/>
      </c>
      <c r="W1090">
        <f>HYPERLINK("https://klasma.github.io/Logging_2321/klagomålsmail/A 10627-2023 FSC-klagomål mail.docx", "A 10627-2023")</f>
        <v/>
      </c>
      <c r="X1090">
        <f>HYPERLINK("https://klasma.github.io/Logging_2321/tillsyn/A 10627-2023 tillsynsbegäran.docx", "A 10627-2023")</f>
        <v/>
      </c>
      <c r="Y1090">
        <f>HYPERLINK("https://klasma.github.io/Logging_2321/tillsynsmail/A 10627-2023 tillsynsbegäran mail.docx", "A 10627-2023")</f>
        <v/>
      </c>
      <c r="Z1090">
        <f>HYPERLINK("https://klasma.github.io/Logging_2321/fåglar/A 10627-2023 prioriterade fågelarter.docx", "A 10627-2023")</f>
        <v/>
      </c>
    </row>
    <row r="1091" ht="15" customHeight="1">
      <c r="A1091" t="inlineStr">
        <is>
          <t>A 4180-2022</t>
        </is>
      </c>
      <c r="B1091" s="1" t="n">
        <v>44588</v>
      </c>
      <c r="C1091" s="1" t="n">
        <v>46045</v>
      </c>
      <c r="D1091" t="inlineStr">
        <is>
          <t>JÄMTLANDS LÄN</t>
        </is>
      </c>
      <c r="E1091" t="inlineStr">
        <is>
          <t>BRÄCKE</t>
        </is>
      </c>
      <c r="G1091" t="n">
        <v>6.1</v>
      </c>
      <c r="H1091" t="n">
        <v>2</v>
      </c>
      <c r="I1091" t="n">
        <v>1</v>
      </c>
      <c r="J1091" t="n">
        <v>1</v>
      </c>
      <c r="K1091" t="n">
        <v>1</v>
      </c>
      <c r="L1091" t="n">
        <v>0</v>
      </c>
      <c r="M1091" t="n">
        <v>0</v>
      </c>
      <c r="N1091" t="n">
        <v>0</v>
      </c>
      <c r="O1091" t="n">
        <v>2</v>
      </c>
      <c r="P1091" t="n">
        <v>1</v>
      </c>
      <c r="Q1091" t="n">
        <v>3</v>
      </c>
      <c r="R1091" s="2" t="inlineStr">
        <is>
          <t>Knärot
Skogsfru
Ögonpyrola</t>
        </is>
      </c>
      <c r="S1091">
        <f>HYPERLINK("https://klasma.github.io/Logging_2305/artfynd/A 4180-2022 artfynd.xlsx", "A 4180-2022")</f>
        <v/>
      </c>
      <c r="T1091">
        <f>HYPERLINK("https://klasma.github.io/Logging_2305/kartor/A 4180-2022 karta.png", "A 4180-2022")</f>
        <v/>
      </c>
      <c r="U1091">
        <f>HYPERLINK("https://klasma.github.io/Logging_2305/knärot/A 4180-2022 karta knärot.png", "A 4180-2022")</f>
        <v/>
      </c>
      <c r="V1091">
        <f>HYPERLINK("https://klasma.github.io/Logging_2305/klagomål/A 4180-2022 FSC-klagomål.docx", "A 4180-2022")</f>
        <v/>
      </c>
      <c r="W1091">
        <f>HYPERLINK("https://klasma.github.io/Logging_2305/klagomålsmail/A 4180-2022 FSC-klagomål mail.docx", "A 4180-2022")</f>
        <v/>
      </c>
      <c r="X1091">
        <f>HYPERLINK("https://klasma.github.io/Logging_2305/tillsyn/A 4180-2022 tillsynsbegäran.docx", "A 4180-2022")</f>
        <v/>
      </c>
      <c r="Y1091">
        <f>HYPERLINK("https://klasma.github.io/Logging_2305/tillsynsmail/A 4180-2022 tillsynsbegäran mail.docx", "A 4180-2022")</f>
        <v/>
      </c>
    </row>
    <row r="1092" ht="15" customHeight="1">
      <c r="A1092" t="inlineStr">
        <is>
          <t>A 52588-2024</t>
        </is>
      </c>
      <c r="B1092" s="1" t="n">
        <v>45609.69825231482</v>
      </c>
      <c r="C1092" s="1" t="n">
        <v>46045</v>
      </c>
      <c r="D1092" t="inlineStr">
        <is>
          <t>JÄMTLANDS LÄN</t>
        </is>
      </c>
      <c r="E1092" t="inlineStr">
        <is>
          <t>ÅRE</t>
        </is>
      </c>
      <c r="G1092" t="n">
        <v>6.5</v>
      </c>
      <c r="H1092" t="n">
        <v>0</v>
      </c>
      <c r="I1092" t="n">
        <v>1</v>
      </c>
      <c r="J1092" t="n">
        <v>2</v>
      </c>
      <c r="K1092" t="n">
        <v>0</v>
      </c>
      <c r="L1092" t="n">
        <v>0</v>
      </c>
      <c r="M1092" t="n">
        <v>0</v>
      </c>
      <c r="N1092" t="n">
        <v>0</v>
      </c>
      <c r="O1092" t="n">
        <v>2</v>
      </c>
      <c r="P1092" t="n">
        <v>0</v>
      </c>
      <c r="Q1092" t="n">
        <v>3</v>
      </c>
      <c r="R1092" s="2" t="inlineStr">
        <is>
          <t>Garnlav
Liten svartspik
Vedticka</t>
        </is>
      </c>
      <c r="S1092">
        <f>HYPERLINK("https://klasma.github.io/Logging_2321/artfynd/A 52588-2024 artfynd.xlsx", "A 52588-2024")</f>
        <v/>
      </c>
      <c r="T1092">
        <f>HYPERLINK("https://klasma.github.io/Logging_2321/kartor/A 52588-2024 karta.png", "A 52588-2024")</f>
        <v/>
      </c>
      <c r="V1092">
        <f>HYPERLINK("https://klasma.github.io/Logging_2321/klagomål/A 52588-2024 FSC-klagomål.docx", "A 52588-2024")</f>
        <v/>
      </c>
      <c r="W1092">
        <f>HYPERLINK("https://klasma.github.io/Logging_2321/klagomålsmail/A 52588-2024 FSC-klagomål mail.docx", "A 52588-2024")</f>
        <v/>
      </c>
      <c r="X1092">
        <f>HYPERLINK("https://klasma.github.io/Logging_2321/tillsyn/A 52588-2024 tillsynsbegäran.docx", "A 52588-2024")</f>
        <v/>
      </c>
      <c r="Y1092">
        <f>HYPERLINK("https://klasma.github.io/Logging_2321/tillsynsmail/A 52588-2024 tillsynsbegäran mail.docx", "A 52588-2024")</f>
        <v/>
      </c>
    </row>
    <row r="1093" ht="15" customHeight="1">
      <c r="A1093" t="inlineStr">
        <is>
          <t>A 43981-2023</t>
        </is>
      </c>
      <c r="B1093" s="1" t="n">
        <v>45187</v>
      </c>
      <c r="C1093" s="1" t="n">
        <v>46045</v>
      </c>
      <c r="D1093" t="inlineStr">
        <is>
          <t>JÄMTLANDS LÄN</t>
        </is>
      </c>
      <c r="E1093" t="inlineStr">
        <is>
          <t>ÖSTERSUND</t>
        </is>
      </c>
      <c r="F1093" t="inlineStr">
        <is>
          <t>SCA</t>
        </is>
      </c>
      <c r="G1093" t="n">
        <v>7.5</v>
      </c>
      <c r="H1093" t="n">
        <v>1</v>
      </c>
      <c r="I1093" t="n">
        <v>0</v>
      </c>
      <c r="J1093" t="n">
        <v>2</v>
      </c>
      <c r="K1093" t="n">
        <v>1</v>
      </c>
      <c r="L1093" t="n">
        <v>0</v>
      </c>
      <c r="M1093" t="n">
        <v>0</v>
      </c>
      <c r="N1093" t="n">
        <v>0</v>
      </c>
      <c r="O1093" t="n">
        <v>3</v>
      </c>
      <c r="P1093" t="n">
        <v>1</v>
      </c>
      <c r="Q1093" t="n">
        <v>3</v>
      </c>
      <c r="R1093" s="2" t="inlineStr">
        <is>
          <t>Knärot
Lunglav
Ullticka</t>
        </is>
      </c>
      <c r="S1093">
        <f>HYPERLINK("https://klasma.github.io/Logging_2380/artfynd/A 43981-2023 artfynd.xlsx", "A 43981-2023")</f>
        <v/>
      </c>
      <c r="T1093">
        <f>HYPERLINK("https://klasma.github.io/Logging_2380/kartor/A 43981-2023 karta.png", "A 43981-2023")</f>
        <v/>
      </c>
      <c r="U1093">
        <f>HYPERLINK("https://klasma.github.io/Logging_2380/knärot/A 43981-2023 karta knärot.png", "A 43981-2023")</f>
        <v/>
      </c>
      <c r="V1093">
        <f>HYPERLINK("https://klasma.github.io/Logging_2380/klagomål/A 43981-2023 FSC-klagomål.docx", "A 43981-2023")</f>
        <v/>
      </c>
      <c r="W1093">
        <f>HYPERLINK("https://klasma.github.io/Logging_2380/klagomålsmail/A 43981-2023 FSC-klagomål mail.docx", "A 43981-2023")</f>
        <v/>
      </c>
      <c r="X1093">
        <f>HYPERLINK("https://klasma.github.io/Logging_2380/tillsyn/A 43981-2023 tillsynsbegäran.docx", "A 43981-2023")</f>
        <v/>
      </c>
      <c r="Y1093">
        <f>HYPERLINK("https://klasma.github.io/Logging_2380/tillsynsmail/A 43981-2023 tillsynsbegäran mail.docx", "A 43981-2023")</f>
        <v/>
      </c>
    </row>
    <row r="1094" ht="15" customHeight="1">
      <c r="A1094" t="inlineStr">
        <is>
          <t>A 29690-2024</t>
        </is>
      </c>
      <c r="B1094" s="1" t="n">
        <v>45484.94436342592</v>
      </c>
      <c r="C1094" s="1" t="n">
        <v>46045</v>
      </c>
      <c r="D1094" t="inlineStr">
        <is>
          <t>JÄMTLANDS LÄN</t>
        </is>
      </c>
      <c r="E1094" t="inlineStr">
        <is>
          <t>BRÄCKE</t>
        </is>
      </c>
      <c r="F1094" t="inlineStr">
        <is>
          <t>SCA</t>
        </is>
      </c>
      <c r="G1094" t="n">
        <v>12.7</v>
      </c>
      <c r="H1094" t="n">
        <v>0</v>
      </c>
      <c r="I1094" t="n">
        <v>1</v>
      </c>
      <c r="J1094" t="n">
        <v>2</v>
      </c>
      <c r="K1094" t="n">
        <v>0</v>
      </c>
      <c r="L1094" t="n">
        <v>0</v>
      </c>
      <c r="M1094" t="n">
        <v>0</v>
      </c>
      <c r="N1094" t="n">
        <v>0</v>
      </c>
      <c r="O1094" t="n">
        <v>2</v>
      </c>
      <c r="P1094" t="n">
        <v>0</v>
      </c>
      <c r="Q1094" t="n">
        <v>3</v>
      </c>
      <c r="R1094" s="2" t="inlineStr">
        <is>
          <t>Garnlav
Granticka
Vedticka</t>
        </is>
      </c>
      <c r="S1094">
        <f>HYPERLINK("https://klasma.github.io/Logging_2305/artfynd/A 29690-2024 artfynd.xlsx", "A 29690-2024")</f>
        <v/>
      </c>
      <c r="T1094">
        <f>HYPERLINK("https://klasma.github.io/Logging_2305/kartor/A 29690-2024 karta.png", "A 29690-2024")</f>
        <v/>
      </c>
      <c r="V1094">
        <f>HYPERLINK("https://klasma.github.io/Logging_2305/klagomål/A 29690-2024 FSC-klagomål.docx", "A 29690-2024")</f>
        <v/>
      </c>
      <c r="W1094">
        <f>HYPERLINK("https://klasma.github.io/Logging_2305/klagomålsmail/A 29690-2024 FSC-klagomål mail.docx", "A 29690-2024")</f>
        <v/>
      </c>
      <c r="X1094">
        <f>HYPERLINK("https://klasma.github.io/Logging_2305/tillsyn/A 29690-2024 tillsynsbegäran.docx", "A 29690-2024")</f>
        <v/>
      </c>
      <c r="Y1094">
        <f>HYPERLINK("https://klasma.github.io/Logging_2305/tillsynsmail/A 29690-2024 tillsynsbegäran mail.docx", "A 29690-2024")</f>
        <v/>
      </c>
    </row>
    <row r="1095" ht="15" customHeight="1">
      <c r="A1095" t="inlineStr">
        <is>
          <t>A 27918-2024</t>
        </is>
      </c>
      <c r="B1095" s="1" t="n">
        <v>45475.94855324074</v>
      </c>
      <c r="C1095" s="1" t="n">
        <v>46045</v>
      </c>
      <c r="D1095" t="inlineStr">
        <is>
          <t>JÄMTLANDS LÄN</t>
        </is>
      </c>
      <c r="E1095" t="inlineStr">
        <is>
          <t>STRÖMSUND</t>
        </is>
      </c>
      <c r="F1095" t="inlineStr">
        <is>
          <t>SCA</t>
        </is>
      </c>
      <c r="G1095" t="n">
        <v>1.4</v>
      </c>
      <c r="H1095" t="n">
        <v>0</v>
      </c>
      <c r="I1095" t="n">
        <v>0</v>
      </c>
      <c r="J1095" t="n">
        <v>3</v>
      </c>
      <c r="K1095" t="n">
        <v>0</v>
      </c>
      <c r="L1095" t="n">
        <v>0</v>
      </c>
      <c r="M1095" t="n">
        <v>0</v>
      </c>
      <c r="N1095" t="n">
        <v>0</v>
      </c>
      <c r="O1095" t="n">
        <v>3</v>
      </c>
      <c r="P1095" t="n">
        <v>0</v>
      </c>
      <c r="Q1095" t="n">
        <v>3</v>
      </c>
      <c r="R1095" s="2" t="inlineStr">
        <is>
          <t>Garnlav
Granticka
Kolflarnlav</t>
        </is>
      </c>
      <c r="S1095">
        <f>HYPERLINK("https://klasma.github.io/Logging_2313/artfynd/A 27918-2024 artfynd.xlsx", "A 27918-2024")</f>
        <v/>
      </c>
      <c r="T1095">
        <f>HYPERLINK("https://klasma.github.io/Logging_2313/kartor/A 27918-2024 karta.png", "A 27918-2024")</f>
        <v/>
      </c>
      <c r="V1095">
        <f>HYPERLINK("https://klasma.github.io/Logging_2313/klagomål/A 27918-2024 FSC-klagomål.docx", "A 27918-2024")</f>
        <v/>
      </c>
      <c r="W1095">
        <f>HYPERLINK("https://klasma.github.io/Logging_2313/klagomålsmail/A 27918-2024 FSC-klagomål mail.docx", "A 27918-2024")</f>
        <v/>
      </c>
      <c r="X1095">
        <f>HYPERLINK("https://klasma.github.io/Logging_2313/tillsyn/A 27918-2024 tillsynsbegäran.docx", "A 27918-2024")</f>
        <v/>
      </c>
      <c r="Y1095">
        <f>HYPERLINK("https://klasma.github.io/Logging_2313/tillsynsmail/A 27918-2024 tillsynsbegäran mail.docx", "A 27918-2024")</f>
        <v/>
      </c>
    </row>
    <row r="1096" ht="15" customHeight="1">
      <c r="A1096" t="inlineStr">
        <is>
          <t>A 6784-2022</t>
        </is>
      </c>
      <c r="B1096" s="1" t="n">
        <v>44602</v>
      </c>
      <c r="C1096" s="1" t="n">
        <v>46045</v>
      </c>
      <c r="D1096" t="inlineStr">
        <is>
          <t>JÄMTLANDS LÄN</t>
        </is>
      </c>
      <c r="E1096" t="inlineStr">
        <is>
          <t>BERG</t>
        </is>
      </c>
      <c r="G1096" t="n">
        <v>4</v>
      </c>
      <c r="H1096" t="n">
        <v>2</v>
      </c>
      <c r="I1096" t="n">
        <v>0</v>
      </c>
      <c r="J1096" t="n">
        <v>1</v>
      </c>
      <c r="K1096" t="n">
        <v>0</v>
      </c>
      <c r="L1096" t="n">
        <v>0</v>
      </c>
      <c r="M1096" t="n">
        <v>0</v>
      </c>
      <c r="N1096" t="n">
        <v>0</v>
      </c>
      <c r="O1096" t="n">
        <v>1</v>
      </c>
      <c r="P1096" t="n">
        <v>0</v>
      </c>
      <c r="Q1096" t="n">
        <v>3</v>
      </c>
      <c r="R1096" s="2" t="inlineStr">
        <is>
          <t>Brunklöver
Jorduggla
Brudsporre</t>
        </is>
      </c>
      <c r="S1096">
        <f>HYPERLINK("https://klasma.github.io/Logging_2326/artfynd/A 6784-2022 artfynd.xlsx", "A 6784-2022")</f>
        <v/>
      </c>
      <c r="T1096">
        <f>HYPERLINK("https://klasma.github.io/Logging_2326/kartor/A 6784-2022 karta.png", "A 6784-2022")</f>
        <v/>
      </c>
      <c r="V1096">
        <f>HYPERLINK("https://klasma.github.io/Logging_2326/klagomål/A 6784-2022 FSC-klagomål.docx", "A 6784-2022")</f>
        <v/>
      </c>
      <c r="W1096">
        <f>HYPERLINK("https://klasma.github.io/Logging_2326/klagomålsmail/A 6784-2022 FSC-klagomål mail.docx", "A 6784-2022")</f>
        <v/>
      </c>
      <c r="X1096">
        <f>HYPERLINK("https://klasma.github.io/Logging_2326/tillsyn/A 6784-2022 tillsynsbegäran.docx", "A 6784-2022")</f>
        <v/>
      </c>
      <c r="Y1096">
        <f>HYPERLINK("https://klasma.github.io/Logging_2326/tillsynsmail/A 6784-2022 tillsynsbegäran mail.docx", "A 6784-2022")</f>
        <v/>
      </c>
      <c r="Z1096">
        <f>HYPERLINK("https://klasma.github.io/Logging_2326/fåglar/A 6784-2022 prioriterade fågelarter.docx", "A 6784-2022")</f>
        <v/>
      </c>
    </row>
    <row r="1097" ht="15" customHeight="1">
      <c r="A1097" t="inlineStr">
        <is>
          <t>A 46267-2023</t>
        </is>
      </c>
      <c r="B1097" s="1" t="n">
        <v>45196</v>
      </c>
      <c r="C1097" s="1" t="n">
        <v>46045</v>
      </c>
      <c r="D1097" t="inlineStr">
        <is>
          <t>JÄMTLANDS LÄN</t>
        </is>
      </c>
      <c r="E1097" t="inlineStr">
        <is>
          <t>STRÖMSUND</t>
        </is>
      </c>
      <c r="F1097" t="inlineStr">
        <is>
          <t>SCA</t>
        </is>
      </c>
      <c r="G1097" t="n">
        <v>7.5</v>
      </c>
      <c r="H1097" t="n">
        <v>1</v>
      </c>
      <c r="I1097" t="n">
        <v>0</v>
      </c>
      <c r="J1097" t="n">
        <v>3</v>
      </c>
      <c r="K1097" t="n">
        <v>0</v>
      </c>
      <c r="L1097" t="n">
        <v>0</v>
      </c>
      <c r="M1097" t="n">
        <v>0</v>
      </c>
      <c r="N1097" t="n">
        <v>0</v>
      </c>
      <c r="O1097" t="n">
        <v>3</v>
      </c>
      <c r="P1097" t="n">
        <v>0</v>
      </c>
      <c r="Q1097" t="n">
        <v>3</v>
      </c>
      <c r="R1097" s="2" t="inlineStr">
        <is>
          <t>Rosenticka
Tretåig hackspett
Ullticka</t>
        </is>
      </c>
      <c r="S1097">
        <f>HYPERLINK("https://klasma.github.io/Logging_2313/artfynd/A 46267-2023 artfynd.xlsx", "A 46267-2023")</f>
        <v/>
      </c>
      <c r="T1097">
        <f>HYPERLINK("https://klasma.github.io/Logging_2313/kartor/A 46267-2023 karta.png", "A 46267-2023")</f>
        <v/>
      </c>
      <c r="V1097">
        <f>HYPERLINK("https://klasma.github.io/Logging_2313/klagomål/A 46267-2023 FSC-klagomål.docx", "A 46267-2023")</f>
        <v/>
      </c>
      <c r="W1097">
        <f>HYPERLINK("https://klasma.github.io/Logging_2313/klagomålsmail/A 46267-2023 FSC-klagomål mail.docx", "A 46267-2023")</f>
        <v/>
      </c>
      <c r="X1097">
        <f>HYPERLINK("https://klasma.github.io/Logging_2313/tillsyn/A 46267-2023 tillsynsbegäran.docx", "A 46267-2023")</f>
        <v/>
      </c>
      <c r="Y1097">
        <f>HYPERLINK("https://klasma.github.io/Logging_2313/tillsynsmail/A 46267-2023 tillsynsbegäran mail.docx", "A 46267-2023")</f>
        <v/>
      </c>
      <c r="Z1097">
        <f>HYPERLINK("https://klasma.github.io/Logging_2313/fåglar/A 46267-2023 prioriterade fågelarter.docx", "A 46267-2023")</f>
        <v/>
      </c>
    </row>
    <row r="1098" ht="15" customHeight="1">
      <c r="A1098" t="inlineStr">
        <is>
          <t>A 27686-2023</t>
        </is>
      </c>
      <c r="B1098" s="1" t="n">
        <v>45097</v>
      </c>
      <c r="C1098" s="1" t="n">
        <v>46045</v>
      </c>
      <c r="D1098" t="inlineStr">
        <is>
          <t>JÄMTLANDS LÄN</t>
        </is>
      </c>
      <c r="E1098" t="inlineStr">
        <is>
          <t>STRÖMSUND</t>
        </is>
      </c>
      <c r="F1098" t="inlineStr">
        <is>
          <t>SCA</t>
        </is>
      </c>
      <c r="G1098" t="n">
        <v>8.699999999999999</v>
      </c>
      <c r="H1098" t="n">
        <v>0</v>
      </c>
      <c r="I1098" t="n">
        <v>0</v>
      </c>
      <c r="J1098" t="n">
        <v>3</v>
      </c>
      <c r="K1098" t="n">
        <v>0</v>
      </c>
      <c r="L1098" t="n">
        <v>0</v>
      </c>
      <c r="M1098" t="n">
        <v>0</v>
      </c>
      <c r="N1098" t="n">
        <v>0</v>
      </c>
      <c r="O1098" t="n">
        <v>3</v>
      </c>
      <c r="P1098" t="n">
        <v>0</v>
      </c>
      <c r="Q1098" t="n">
        <v>3</v>
      </c>
      <c r="R1098" s="2" t="inlineStr">
        <is>
          <t>Gammelgransskål
Garnlav
Harticka</t>
        </is>
      </c>
      <c r="S1098">
        <f>HYPERLINK("https://klasma.github.io/Logging_2313/artfynd/A 27686-2023 artfynd.xlsx", "A 27686-2023")</f>
        <v/>
      </c>
      <c r="T1098">
        <f>HYPERLINK("https://klasma.github.io/Logging_2313/kartor/A 27686-2023 karta.png", "A 27686-2023")</f>
        <v/>
      </c>
      <c r="V1098">
        <f>HYPERLINK("https://klasma.github.io/Logging_2313/klagomål/A 27686-2023 FSC-klagomål.docx", "A 27686-2023")</f>
        <v/>
      </c>
      <c r="W1098">
        <f>HYPERLINK("https://klasma.github.io/Logging_2313/klagomålsmail/A 27686-2023 FSC-klagomål mail.docx", "A 27686-2023")</f>
        <v/>
      </c>
      <c r="X1098">
        <f>HYPERLINK("https://klasma.github.io/Logging_2313/tillsyn/A 27686-2023 tillsynsbegäran.docx", "A 27686-2023")</f>
        <v/>
      </c>
      <c r="Y1098">
        <f>HYPERLINK("https://klasma.github.io/Logging_2313/tillsynsmail/A 27686-2023 tillsynsbegäran mail.docx", "A 27686-2023")</f>
        <v/>
      </c>
    </row>
    <row r="1099" ht="15" customHeight="1">
      <c r="A1099" t="inlineStr">
        <is>
          <t>A 2298-2025</t>
        </is>
      </c>
      <c r="B1099" s="1" t="n">
        <v>45673.595</v>
      </c>
      <c r="C1099" s="1" t="n">
        <v>46045</v>
      </c>
      <c r="D1099" t="inlineStr">
        <is>
          <t>JÄMTLANDS LÄN</t>
        </is>
      </c>
      <c r="E1099" t="inlineStr">
        <is>
          <t>BRÄCKE</t>
        </is>
      </c>
      <c r="F1099" t="inlineStr">
        <is>
          <t>SCA</t>
        </is>
      </c>
      <c r="G1099" t="n">
        <v>8.300000000000001</v>
      </c>
      <c r="H1099" t="n">
        <v>0</v>
      </c>
      <c r="I1099" t="n">
        <v>0</v>
      </c>
      <c r="J1099" t="n">
        <v>2</v>
      </c>
      <c r="K1099" t="n">
        <v>1</v>
      </c>
      <c r="L1099" t="n">
        <v>0</v>
      </c>
      <c r="M1099" t="n">
        <v>0</v>
      </c>
      <c r="N1099" t="n">
        <v>0</v>
      </c>
      <c r="O1099" t="n">
        <v>3</v>
      </c>
      <c r="P1099" t="n">
        <v>1</v>
      </c>
      <c r="Q1099" t="n">
        <v>3</v>
      </c>
      <c r="R1099" s="2" t="inlineStr">
        <is>
          <t>Rynkskinn
Granticka
Vaddporing</t>
        </is>
      </c>
      <c r="S1099">
        <f>HYPERLINK("https://klasma.github.io/Logging_2305/artfynd/A 2298-2025 artfynd.xlsx", "A 2298-2025")</f>
        <v/>
      </c>
      <c r="T1099">
        <f>HYPERLINK("https://klasma.github.io/Logging_2305/kartor/A 2298-2025 karta.png", "A 2298-2025")</f>
        <v/>
      </c>
      <c r="V1099">
        <f>HYPERLINK("https://klasma.github.io/Logging_2305/klagomål/A 2298-2025 FSC-klagomål.docx", "A 2298-2025")</f>
        <v/>
      </c>
      <c r="W1099">
        <f>HYPERLINK("https://klasma.github.io/Logging_2305/klagomålsmail/A 2298-2025 FSC-klagomål mail.docx", "A 2298-2025")</f>
        <v/>
      </c>
      <c r="X1099">
        <f>HYPERLINK("https://klasma.github.io/Logging_2305/tillsyn/A 2298-2025 tillsynsbegäran.docx", "A 2298-2025")</f>
        <v/>
      </c>
      <c r="Y1099">
        <f>HYPERLINK("https://klasma.github.io/Logging_2305/tillsynsmail/A 2298-2025 tillsynsbegäran mail.docx", "A 2298-2025")</f>
        <v/>
      </c>
    </row>
    <row r="1100" ht="15" customHeight="1">
      <c r="A1100" t="inlineStr">
        <is>
          <t>A 56368-2024</t>
        </is>
      </c>
      <c r="B1100" s="1" t="n">
        <v>45625.32978009259</v>
      </c>
      <c r="C1100" s="1" t="n">
        <v>46045</v>
      </c>
      <c r="D1100" t="inlineStr">
        <is>
          <t>JÄMTLANDS LÄN</t>
        </is>
      </c>
      <c r="E1100" t="inlineStr">
        <is>
          <t>BERG</t>
        </is>
      </c>
      <c r="G1100" t="n">
        <v>1.9</v>
      </c>
      <c r="H1100" t="n">
        <v>1</v>
      </c>
      <c r="I1100" t="n">
        <v>0</v>
      </c>
      <c r="J1100" t="n">
        <v>2</v>
      </c>
      <c r="K1100" t="n">
        <v>0</v>
      </c>
      <c r="L1100" t="n">
        <v>0</v>
      </c>
      <c r="M1100" t="n">
        <v>0</v>
      </c>
      <c r="N1100" t="n">
        <v>0</v>
      </c>
      <c r="O1100" t="n">
        <v>2</v>
      </c>
      <c r="P1100" t="n">
        <v>0</v>
      </c>
      <c r="Q1100" t="n">
        <v>3</v>
      </c>
      <c r="R1100" s="2" t="inlineStr">
        <is>
          <t>Garnlav
Vitgrynig nållav
Fläcknycklar</t>
        </is>
      </c>
      <c r="S1100">
        <f>HYPERLINK("https://klasma.github.io/Logging_2326/artfynd/A 56368-2024 artfynd.xlsx", "A 56368-2024")</f>
        <v/>
      </c>
      <c r="T1100">
        <f>HYPERLINK("https://klasma.github.io/Logging_2326/kartor/A 56368-2024 karta.png", "A 56368-2024")</f>
        <v/>
      </c>
      <c r="V1100">
        <f>HYPERLINK("https://klasma.github.io/Logging_2326/klagomål/A 56368-2024 FSC-klagomål.docx", "A 56368-2024")</f>
        <v/>
      </c>
      <c r="W1100">
        <f>HYPERLINK("https://klasma.github.io/Logging_2326/klagomålsmail/A 56368-2024 FSC-klagomål mail.docx", "A 56368-2024")</f>
        <v/>
      </c>
      <c r="X1100">
        <f>HYPERLINK("https://klasma.github.io/Logging_2326/tillsyn/A 56368-2024 tillsynsbegäran.docx", "A 56368-2024")</f>
        <v/>
      </c>
      <c r="Y1100">
        <f>HYPERLINK("https://klasma.github.io/Logging_2326/tillsynsmail/A 56368-2024 tillsynsbegäran mail.docx", "A 56368-2024")</f>
        <v/>
      </c>
    </row>
    <row r="1101" ht="15" customHeight="1">
      <c r="A1101" t="inlineStr">
        <is>
          <t>A 49047-2023</t>
        </is>
      </c>
      <c r="B1101" s="1" t="n">
        <v>45209</v>
      </c>
      <c r="C1101" s="1" t="n">
        <v>46045</v>
      </c>
      <c r="D1101" t="inlineStr">
        <is>
          <t>JÄMTLANDS LÄN</t>
        </is>
      </c>
      <c r="E1101" t="inlineStr">
        <is>
          <t>RAGUNDA</t>
        </is>
      </c>
      <c r="F1101" t="inlineStr">
        <is>
          <t>SCA</t>
        </is>
      </c>
      <c r="G1101" t="n">
        <v>6.9</v>
      </c>
      <c r="H1101" t="n">
        <v>0</v>
      </c>
      <c r="I1101" t="n">
        <v>0</v>
      </c>
      <c r="J1101" t="n">
        <v>3</v>
      </c>
      <c r="K1101" t="n">
        <v>0</v>
      </c>
      <c r="L1101" t="n">
        <v>0</v>
      </c>
      <c r="M1101" t="n">
        <v>0</v>
      </c>
      <c r="N1101" t="n">
        <v>0</v>
      </c>
      <c r="O1101" t="n">
        <v>3</v>
      </c>
      <c r="P1101" t="n">
        <v>0</v>
      </c>
      <c r="Q1101" t="n">
        <v>3</v>
      </c>
      <c r="R1101" s="2" t="inlineStr">
        <is>
          <t>Lunglav
Rosenticka
Skrovellav</t>
        </is>
      </c>
      <c r="S1101">
        <f>HYPERLINK("https://klasma.github.io/Logging_2303/artfynd/A 49047-2023 artfynd.xlsx", "A 49047-2023")</f>
        <v/>
      </c>
      <c r="T1101">
        <f>HYPERLINK("https://klasma.github.io/Logging_2303/kartor/A 49047-2023 karta.png", "A 49047-2023")</f>
        <v/>
      </c>
      <c r="V1101">
        <f>HYPERLINK("https://klasma.github.io/Logging_2303/klagomål/A 49047-2023 FSC-klagomål.docx", "A 49047-2023")</f>
        <v/>
      </c>
      <c r="W1101">
        <f>HYPERLINK("https://klasma.github.io/Logging_2303/klagomålsmail/A 49047-2023 FSC-klagomål mail.docx", "A 49047-2023")</f>
        <v/>
      </c>
      <c r="X1101">
        <f>HYPERLINK("https://klasma.github.io/Logging_2303/tillsyn/A 49047-2023 tillsynsbegäran.docx", "A 49047-2023")</f>
        <v/>
      </c>
      <c r="Y1101">
        <f>HYPERLINK("https://klasma.github.io/Logging_2303/tillsynsmail/A 49047-2023 tillsynsbegäran mail.docx", "A 49047-2023")</f>
        <v/>
      </c>
    </row>
    <row r="1102" ht="15" customHeight="1">
      <c r="A1102" t="inlineStr">
        <is>
          <t>A 36504-2023</t>
        </is>
      </c>
      <c r="B1102" s="1" t="n">
        <v>45152</v>
      </c>
      <c r="C1102" s="1" t="n">
        <v>46045</v>
      </c>
      <c r="D1102" t="inlineStr">
        <is>
          <t>JÄMTLANDS LÄN</t>
        </is>
      </c>
      <c r="E1102" t="inlineStr">
        <is>
          <t>RAGUNDA</t>
        </is>
      </c>
      <c r="F1102" t="inlineStr">
        <is>
          <t>SCA</t>
        </is>
      </c>
      <c r="G1102" t="n">
        <v>2</v>
      </c>
      <c r="H1102" t="n">
        <v>0</v>
      </c>
      <c r="I1102" t="n">
        <v>0</v>
      </c>
      <c r="J1102" t="n">
        <v>3</v>
      </c>
      <c r="K1102" t="n">
        <v>0</v>
      </c>
      <c r="L1102" t="n">
        <v>0</v>
      </c>
      <c r="M1102" t="n">
        <v>0</v>
      </c>
      <c r="N1102" t="n">
        <v>0</v>
      </c>
      <c r="O1102" t="n">
        <v>3</v>
      </c>
      <c r="P1102" t="n">
        <v>0</v>
      </c>
      <c r="Q1102" t="n">
        <v>3</v>
      </c>
      <c r="R1102" s="2" t="inlineStr">
        <is>
          <t>Gammelgransskål
Garnlav
Granticka</t>
        </is>
      </c>
      <c r="S1102">
        <f>HYPERLINK("https://klasma.github.io/Logging_2303/artfynd/A 36504-2023 artfynd.xlsx", "A 36504-2023")</f>
        <v/>
      </c>
      <c r="T1102">
        <f>HYPERLINK("https://klasma.github.io/Logging_2303/kartor/A 36504-2023 karta.png", "A 36504-2023")</f>
        <v/>
      </c>
      <c r="V1102">
        <f>HYPERLINK("https://klasma.github.io/Logging_2303/klagomål/A 36504-2023 FSC-klagomål.docx", "A 36504-2023")</f>
        <v/>
      </c>
      <c r="W1102">
        <f>HYPERLINK("https://klasma.github.io/Logging_2303/klagomålsmail/A 36504-2023 FSC-klagomål mail.docx", "A 36504-2023")</f>
        <v/>
      </c>
      <c r="X1102">
        <f>HYPERLINK("https://klasma.github.io/Logging_2303/tillsyn/A 36504-2023 tillsynsbegäran.docx", "A 36504-2023")</f>
        <v/>
      </c>
      <c r="Y1102">
        <f>HYPERLINK("https://klasma.github.io/Logging_2303/tillsynsmail/A 36504-2023 tillsynsbegäran mail.docx", "A 36504-2023")</f>
        <v/>
      </c>
    </row>
    <row r="1103" ht="15" customHeight="1">
      <c r="A1103" t="inlineStr">
        <is>
          <t>A 32908-2023</t>
        </is>
      </c>
      <c r="B1103" s="1" t="n">
        <v>45124.95153935185</v>
      </c>
      <c r="C1103" s="1" t="n">
        <v>46045</v>
      </c>
      <c r="D1103" t="inlineStr">
        <is>
          <t>JÄMTLANDS LÄN</t>
        </is>
      </c>
      <c r="E1103" t="inlineStr">
        <is>
          <t>STRÖMSUND</t>
        </is>
      </c>
      <c r="F1103" t="inlineStr">
        <is>
          <t>SCA</t>
        </is>
      </c>
      <c r="G1103" t="n">
        <v>9.800000000000001</v>
      </c>
      <c r="H1103" t="n">
        <v>1</v>
      </c>
      <c r="I1103" t="n">
        <v>0</v>
      </c>
      <c r="J1103" t="n">
        <v>2</v>
      </c>
      <c r="K1103" t="n">
        <v>0</v>
      </c>
      <c r="L1103" t="n">
        <v>0</v>
      </c>
      <c r="M1103" t="n">
        <v>0</v>
      </c>
      <c r="N1103" t="n">
        <v>0</v>
      </c>
      <c r="O1103" t="n">
        <v>2</v>
      </c>
      <c r="P1103" t="n">
        <v>0</v>
      </c>
      <c r="Q1103" t="n">
        <v>3</v>
      </c>
      <c r="R1103" s="2" t="inlineStr">
        <is>
          <t>Garnlav
Rosenticka
Revlummer</t>
        </is>
      </c>
      <c r="S1103">
        <f>HYPERLINK("https://klasma.github.io/Logging_2313/artfynd/A 32908-2023 artfynd.xlsx", "A 32908-2023")</f>
        <v/>
      </c>
      <c r="T1103">
        <f>HYPERLINK("https://klasma.github.io/Logging_2313/kartor/A 32908-2023 karta.png", "A 32908-2023")</f>
        <v/>
      </c>
      <c r="V1103">
        <f>HYPERLINK("https://klasma.github.io/Logging_2313/klagomål/A 32908-2023 FSC-klagomål.docx", "A 32908-2023")</f>
        <v/>
      </c>
      <c r="W1103">
        <f>HYPERLINK("https://klasma.github.io/Logging_2313/klagomålsmail/A 32908-2023 FSC-klagomål mail.docx", "A 32908-2023")</f>
        <v/>
      </c>
      <c r="X1103">
        <f>HYPERLINK("https://klasma.github.io/Logging_2313/tillsyn/A 32908-2023 tillsynsbegäran.docx", "A 32908-2023")</f>
        <v/>
      </c>
      <c r="Y1103">
        <f>HYPERLINK("https://klasma.github.io/Logging_2313/tillsynsmail/A 32908-2023 tillsynsbegäran mail.docx", "A 32908-2023")</f>
        <v/>
      </c>
    </row>
    <row r="1104" ht="15" customHeight="1">
      <c r="A1104" t="inlineStr">
        <is>
          <t>A 48067-2023</t>
        </is>
      </c>
      <c r="B1104" s="1" t="n">
        <v>45204</v>
      </c>
      <c r="C1104" s="1" t="n">
        <v>46045</v>
      </c>
      <c r="D1104" t="inlineStr">
        <is>
          <t>JÄMTLANDS LÄN</t>
        </is>
      </c>
      <c r="E1104" t="inlineStr">
        <is>
          <t>BRÄCKE</t>
        </is>
      </c>
      <c r="F1104" t="inlineStr">
        <is>
          <t>SCA</t>
        </is>
      </c>
      <c r="G1104" t="n">
        <v>1.2</v>
      </c>
      <c r="H1104" t="n">
        <v>0</v>
      </c>
      <c r="I1104" t="n">
        <v>2</v>
      </c>
      <c r="J1104" t="n">
        <v>1</v>
      </c>
      <c r="K1104" t="n">
        <v>0</v>
      </c>
      <c r="L1104" t="n">
        <v>0</v>
      </c>
      <c r="M1104" t="n">
        <v>0</v>
      </c>
      <c r="N1104" t="n">
        <v>0</v>
      </c>
      <c r="O1104" t="n">
        <v>1</v>
      </c>
      <c r="P1104" t="n">
        <v>0</v>
      </c>
      <c r="Q1104" t="n">
        <v>3</v>
      </c>
      <c r="R1104" s="2" t="inlineStr">
        <is>
          <t>Lunglav
Gytterlav
Korallblylav</t>
        </is>
      </c>
      <c r="S1104">
        <f>HYPERLINK("https://klasma.github.io/Logging_2305/artfynd/A 48067-2023 artfynd.xlsx", "A 48067-2023")</f>
        <v/>
      </c>
      <c r="T1104">
        <f>HYPERLINK("https://klasma.github.io/Logging_2305/kartor/A 48067-2023 karta.png", "A 48067-2023")</f>
        <v/>
      </c>
      <c r="V1104">
        <f>HYPERLINK("https://klasma.github.io/Logging_2305/klagomål/A 48067-2023 FSC-klagomål.docx", "A 48067-2023")</f>
        <v/>
      </c>
      <c r="W1104">
        <f>HYPERLINK("https://klasma.github.io/Logging_2305/klagomålsmail/A 48067-2023 FSC-klagomål mail.docx", "A 48067-2023")</f>
        <v/>
      </c>
      <c r="X1104">
        <f>HYPERLINK("https://klasma.github.io/Logging_2305/tillsyn/A 48067-2023 tillsynsbegäran.docx", "A 48067-2023")</f>
        <v/>
      </c>
      <c r="Y1104">
        <f>HYPERLINK("https://klasma.github.io/Logging_2305/tillsynsmail/A 48067-2023 tillsynsbegäran mail.docx", "A 48067-2023")</f>
        <v/>
      </c>
    </row>
    <row r="1105" ht="15" customHeight="1">
      <c r="A1105" t="inlineStr">
        <is>
          <t>A 50345-2023</t>
        </is>
      </c>
      <c r="B1105" s="1" t="n">
        <v>45216</v>
      </c>
      <c r="C1105" s="1" t="n">
        <v>46045</v>
      </c>
      <c r="D1105" t="inlineStr">
        <is>
          <t>JÄMTLANDS LÄN</t>
        </is>
      </c>
      <c r="E1105" t="inlineStr">
        <is>
          <t>KROKOM</t>
        </is>
      </c>
      <c r="F1105" t="inlineStr">
        <is>
          <t>Övriga Aktiebolag</t>
        </is>
      </c>
      <c r="G1105" t="n">
        <v>0.6</v>
      </c>
      <c r="H1105" t="n">
        <v>2</v>
      </c>
      <c r="I1105" t="n">
        <v>0</v>
      </c>
      <c r="J1105" t="n">
        <v>3</v>
      </c>
      <c r="K1105" t="n">
        <v>0</v>
      </c>
      <c r="L1105" t="n">
        <v>0</v>
      </c>
      <c r="M1105" t="n">
        <v>0</v>
      </c>
      <c r="N1105" t="n">
        <v>0</v>
      </c>
      <c r="O1105" t="n">
        <v>3</v>
      </c>
      <c r="P1105" t="n">
        <v>0</v>
      </c>
      <c r="Q1105" t="n">
        <v>3</v>
      </c>
      <c r="R1105" s="2" t="inlineStr">
        <is>
          <t>Garnlav
Järpe
Tretåig hackspett</t>
        </is>
      </c>
      <c r="S1105">
        <f>HYPERLINK("https://klasma.github.io/Logging_2309/artfynd/A 50345-2023 artfynd.xlsx", "A 50345-2023")</f>
        <v/>
      </c>
      <c r="T1105">
        <f>HYPERLINK("https://klasma.github.io/Logging_2309/kartor/A 50345-2023 karta.png", "A 50345-2023")</f>
        <v/>
      </c>
      <c r="V1105">
        <f>HYPERLINK("https://klasma.github.io/Logging_2309/klagomål/A 50345-2023 FSC-klagomål.docx", "A 50345-2023")</f>
        <v/>
      </c>
      <c r="W1105">
        <f>HYPERLINK("https://klasma.github.io/Logging_2309/klagomålsmail/A 50345-2023 FSC-klagomål mail.docx", "A 50345-2023")</f>
        <v/>
      </c>
      <c r="X1105">
        <f>HYPERLINK("https://klasma.github.io/Logging_2309/tillsyn/A 50345-2023 tillsynsbegäran.docx", "A 50345-2023")</f>
        <v/>
      </c>
      <c r="Y1105">
        <f>HYPERLINK("https://klasma.github.io/Logging_2309/tillsynsmail/A 50345-2023 tillsynsbegäran mail.docx", "A 50345-2023")</f>
        <v/>
      </c>
      <c r="Z1105">
        <f>HYPERLINK("https://klasma.github.io/Logging_2309/fåglar/A 50345-2023 prioriterade fågelarter.docx", "A 50345-2023")</f>
        <v/>
      </c>
    </row>
    <row r="1106" ht="15" customHeight="1">
      <c r="A1106" t="inlineStr">
        <is>
          <t>A 19336-2024</t>
        </is>
      </c>
      <c r="B1106" s="1" t="n">
        <v>45428.97079861111</v>
      </c>
      <c r="C1106" s="1" t="n">
        <v>46045</v>
      </c>
      <c r="D1106" t="inlineStr">
        <is>
          <t>JÄMTLANDS LÄN</t>
        </is>
      </c>
      <c r="E1106" t="inlineStr">
        <is>
          <t>BRÄCKE</t>
        </is>
      </c>
      <c r="F1106" t="inlineStr">
        <is>
          <t>SCA</t>
        </is>
      </c>
      <c r="G1106" t="n">
        <v>5.8</v>
      </c>
      <c r="H1106" t="n">
        <v>1</v>
      </c>
      <c r="I1106" t="n">
        <v>0</v>
      </c>
      <c r="J1106" t="n">
        <v>3</v>
      </c>
      <c r="K1106" t="n">
        <v>0</v>
      </c>
      <c r="L1106" t="n">
        <v>0</v>
      </c>
      <c r="M1106" t="n">
        <v>0</v>
      </c>
      <c r="N1106" t="n">
        <v>0</v>
      </c>
      <c r="O1106" t="n">
        <v>3</v>
      </c>
      <c r="P1106" t="n">
        <v>0</v>
      </c>
      <c r="Q1106" t="n">
        <v>3</v>
      </c>
      <c r="R1106" s="2" t="inlineStr">
        <is>
          <t>Granticka
Lunglav
Spillkråka</t>
        </is>
      </c>
      <c r="S1106">
        <f>HYPERLINK("https://klasma.github.io/Logging_2305/artfynd/A 19336-2024 artfynd.xlsx", "A 19336-2024")</f>
        <v/>
      </c>
      <c r="T1106">
        <f>HYPERLINK("https://klasma.github.io/Logging_2305/kartor/A 19336-2024 karta.png", "A 19336-2024")</f>
        <v/>
      </c>
      <c r="V1106">
        <f>HYPERLINK("https://klasma.github.io/Logging_2305/klagomål/A 19336-2024 FSC-klagomål.docx", "A 19336-2024")</f>
        <v/>
      </c>
      <c r="W1106">
        <f>HYPERLINK("https://klasma.github.io/Logging_2305/klagomålsmail/A 19336-2024 FSC-klagomål mail.docx", "A 19336-2024")</f>
        <v/>
      </c>
      <c r="X1106">
        <f>HYPERLINK("https://klasma.github.io/Logging_2305/tillsyn/A 19336-2024 tillsynsbegäran.docx", "A 19336-2024")</f>
        <v/>
      </c>
      <c r="Y1106">
        <f>HYPERLINK("https://klasma.github.io/Logging_2305/tillsynsmail/A 19336-2024 tillsynsbegäran mail.docx", "A 19336-2024")</f>
        <v/>
      </c>
      <c r="Z1106">
        <f>HYPERLINK("https://klasma.github.io/Logging_2305/fåglar/A 19336-2024 prioriterade fågelarter.docx", "A 19336-2024")</f>
        <v/>
      </c>
    </row>
    <row r="1107" ht="15" customHeight="1">
      <c r="A1107" t="inlineStr">
        <is>
          <t>A 53043-2023</t>
        </is>
      </c>
      <c r="B1107" s="1" t="n">
        <v>45226</v>
      </c>
      <c r="C1107" s="1" t="n">
        <v>46045</v>
      </c>
      <c r="D1107" t="inlineStr">
        <is>
          <t>JÄMTLANDS LÄN</t>
        </is>
      </c>
      <c r="E1107" t="inlineStr">
        <is>
          <t>STRÖMSUND</t>
        </is>
      </c>
      <c r="F1107" t="inlineStr">
        <is>
          <t>SCA</t>
        </is>
      </c>
      <c r="G1107" t="n">
        <v>1.1</v>
      </c>
      <c r="H1107" t="n">
        <v>1</v>
      </c>
      <c r="I1107" t="n">
        <v>0</v>
      </c>
      <c r="J1107" t="n">
        <v>3</v>
      </c>
      <c r="K1107" t="n">
        <v>0</v>
      </c>
      <c r="L1107" t="n">
        <v>0</v>
      </c>
      <c r="M1107" t="n">
        <v>0</v>
      </c>
      <c r="N1107" t="n">
        <v>0</v>
      </c>
      <c r="O1107" t="n">
        <v>3</v>
      </c>
      <c r="P1107" t="n">
        <v>0</v>
      </c>
      <c r="Q1107" t="n">
        <v>3</v>
      </c>
      <c r="R1107" s="2" t="inlineStr">
        <is>
          <t>Blanksvart spiklav
Lunglav
Spillkråka</t>
        </is>
      </c>
      <c r="S1107">
        <f>HYPERLINK("https://klasma.github.io/Logging_2313/artfynd/A 53043-2023 artfynd.xlsx", "A 53043-2023")</f>
        <v/>
      </c>
      <c r="T1107">
        <f>HYPERLINK("https://klasma.github.io/Logging_2313/kartor/A 53043-2023 karta.png", "A 53043-2023")</f>
        <v/>
      </c>
      <c r="V1107">
        <f>HYPERLINK("https://klasma.github.io/Logging_2313/klagomål/A 53043-2023 FSC-klagomål.docx", "A 53043-2023")</f>
        <v/>
      </c>
      <c r="W1107">
        <f>HYPERLINK("https://klasma.github.io/Logging_2313/klagomålsmail/A 53043-2023 FSC-klagomål mail.docx", "A 53043-2023")</f>
        <v/>
      </c>
      <c r="X1107">
        <f>HYPERLINK("https://klasma.github.io/Logging_2313/tillsyn/A 53043-2023 tillsynsbegäran.docx", "A 53043-2023")</f>
        <v/>
      </c>
      <c r="Y1107">
        <f>HYPERLINK("https://klasma.github.io/Logging_2313/tillsynsmail/A 53043-2023 tillsynsbegäran mail.docx", "A 53043-2023")</f>
        <v/>
      </c>
      <c r="Z1107">
        <f>HYPERLINK("https://klasma.github.io/Logging_2313/fåglar/A 53043-2023 prioriterade fågelarter.docx", "A 53043-2023")</f>
        <v/>
      </c>
    </row>
    <row r="1108" ht="15" customHeight="1">
      <c r="A1108" t="inlineStr">
        <is>
          <t>A 40245-2023</t>
        </is>
      </c>
      <c r="B1108" s="1" t="n">
        <v>45167</v>
      </c>
      <c r="C1108" s="1" t="n">
        <v>46045</v>
      </c>
      <c r="D1108" t="inlineStr">
        <is>
          <t>JÄMTLANDS LÄN</t>
        </is>
      </c>
      <c r="E1108" t="inlineStr">
        <is>
          <t>ÅRE</t>
        </is>
      </c>
      <c r="G1108" t="n">
        <v>18.8</v>
      </c>
      <c r="H1108" t="n">
        <v>1</v>
      </c>
      <c r="I1108" t="n">
        <v>0</v>
      </c>
      <c r="J1108" t="n">
        <v>3</v>
      </c>
      <c r="K1108" t="n">
        <v>0</v>
      </c>
      <c r="L1108" t="n">
        <v>0</v>
      </c>
      <c r="M1108" t="n">
        <v>0</v>
      </c>
      <c r="N1108" t="n">
        <v>0</v>
      </c>
      <c r="O1108" t="n">
        <v>3</v>
      </c>
      <c r="P1108" t="n">
        <v>0</v>
      </c>
      <c r="Q1108" t="n">
        <v>3</v>
      </c>
      <c r="R1108" s="2" t="inlineStr">
        <is>
          <t>Lunglav
Skrovellav
Tretåig hackspett</t>
        </is>
      </c>
      <c r="S1108">
        <f>HYPERLINK("https://klasma.github.io/Logging_2321/artfynd/A 40245-2023 artfynd.xlsx", "A 40245-2023")</f>
        <v/>
      </c>
      <c r="T1108">
        <f>HYPERLINK("https://klasma.github.io/Logging_2321/kartor/A 40245-2023 karta.png", "A 40245-2023")</f>
        <v/>
      </c>
      <c r="V1108">
        <f>HYPERLINK("https://klasma.github.io/Logging_2321/klagomål/A 40245-2023 FSC-klagomål.docx", "A 40245-2023")</f>
        <v/>
      </c>
      <c r="W1108">
        <f>HYPERLINK("https://klasma.github.io/Logging_2321/klagomålsmail/A 40245-2023 FSC-klagomål mail.docx", "A 40245-2023")</f>
        <v/>
      </c>
      <c r="X1108">
        <f>HYPERLINK("https://klasma.github.io/Logging_2321/tillsyn/A 40245-2023 tillsynsbegäran.docx", "A 40245-2023")</f>
        <v/>
      </c>
      <c r="Y1108">
        <f>HYPERLINK("https://klasma.github.io/Logging_2321/tillsynsmail/A 40245-2023 tillsynsbegäran mail.docx", "A 40245-2023")</f>
        <v/>
      </c>
      <c r="Z1108">
        <f>HYPERLINK("https://klasma.github.io/Logging_2321/fåglar/A 40245-2023 prioriterade fågelarter.docx", "A 40245-2023")</f>
        <v/>
      </c>
    </row>
    <row r="1109" ht="15" customHeight="1">
      <c r="A1109" t="inlineStr">
        <is>
          <t>A 3846-2024</t>
        </is>
      </c>
      <c r="B1109" s="1" t="n">
        <v>45321</v>
      </c>
      <c r="C1109" s="1" t="n">
        <v>46045</v>
      </c>
      <c r="D1109" t="inlineStr">
        <is>
          <t>JÄMTLANDS LÄN</t>
        </is>
      </c>
      <c r="E1109" t="inlineStr">
        <is>
          <t>ÖSTERSUND</t>
        </is>
      </c>
      <c r="G1109" t="n">
        <v>2.2</v>
      </c>
      <c r="H1109" t="n">
        <v>0</v>
      </c>
      <c r="I1109" t="n">
        <v>2</v>
      </c>
      <c r="J1109" t="n">
        <v>1</v>
      </c>
      <c r="K1109" t="n">
        <v>0</v>
      </c>
      <c r="L1109" t="n">
        <v>0</v>
      </c>
      <c r="M1109" t="n">
        <v>0</v>
      </c>
      <c r="N1109" t="n">
        <v>0</v>
      </c>
      <c r="O1109" t="n">
        <v>1</v>
      </c>
      <c r="P1109" t="n">
        <v>0</v>
      </c>
      <c r="Q1109" t="n">
        <v>3</v>
      </c>
      <c r="R1109" s="2" t="inlineStr">
        <is>
          <t>Granticka
Olivspindling
Svavelriska</t>
        </is>
      </c>
      <c r="S1109">
        <f>HYPERLINK("https://klasma.github.io/Logging_2380/artfynd/A 3846-2024 artfynd.xlsx", "A 3846-2024")</f>
        <v/>
      </c>
      <c r="T1109">
        <f>HYPERLINK("https://klasma.github.io/Logging_2380/kartor/A 3846-2024 karta.png", "A 3846-2024")</f>
        <v/>
      </c>
      <c r="V1109">
        <f>HYPERLINK("https://klasma.github.io/Logging_2380/klagomål/A 3846-2024 FSC-klagomål.docx", "A 3846-2024")</f>
        <v/>
      </c>
      <c r="W1109">
        <f>HYPERLINK("https://klasma.github.io/Logging_2380/klagomålsmail/A 3846-2024 FSC-klagomål mail.docx", "A 3846-2024")</f>
        <v/>
      </c>
      <c r="X1109">
        <f>HYPERLINK("https://klasma.github.io/Logging_2380/tillsyn/A 3846-2024 tillsynsbegäran.docx", "A 3846-2024")</f>
        <v/>
      </c>
      <c r="Y1109">
        <f>HYPERLINK("https://klasma.github.io/Logging_2380/tillsynsmail/A 3846-2024 tillsynsbegäran mail.docx", "A 3846-2024")</f>
        <v/>
      </c>
    </row>
    <row r="1110" ht="15" customHeight="1">
      <c r="A1110" t="inlineStr">
        <is>
          <t>A 54999-2023</t>
        </is>
      </c>
      <c r="B1110" s="1" t="n">
        <v>45236</v>
      </c>
      <c r="C1110" s="1" t="n">
        <v>46045</v>
      </c>
      <c r="D1110" t="inlineStr">
        <is>
          <t>JÄMTLANDS LÄN</t>
        </is>
      </c>
      <c r="E1110" t="inlineStr">
        <is>
          <t>BERG</t>
        </is>
      </c>
      <c r="F1110" t="inlineStr">
        <is>
          <t>SCA</t>
        </is>
      </c>
      <c r="G1110" t="n">
        <v>2.6</v>
      </c>
      <c r="H1110" t="n">
        <v>0</v>
      </c>
      <c r="I1110" t="n">
        <v>0</v>
      </c>
      <c r="J1110" t="n">
        <v>2</v>
      </c>
      <c r="K1110" t="n">
        <v>1</v>
      </c>
      <c r="L1110" t="n">
        <v>0</v>
      </c>
      <c r="M1110" t="n">
        <v>0</v>
      </c>
      <c r="N1110" t="n">
        <v>0</v>
      </c>
      <c r="O1110" t="n">
        <v>3</v>
      </c>
      <c r="P1110" t="n">
        <v>1</v>
      </c>
      <c r="Q1110" t="n">
        <v>3</v>
      </c>
      <c r="R1110" s="2" t="inlineStr">
        <is>
          <t>Gräddporing
Blågrå svartspik
Dvärgbägarlav</t>
        </is>
      </c>
      <c r="S1110">
        <f>HYPERLINK("https://klasma.github.io/Logging_2326/artfynd/A 54999-2023 artfynd.xlsx", "A 54999-2023")</f>
        <v/>
      </c>
      <c r="T1110">
        <f>HYPERLINK("https://klasma.github.io/Logging_2326/kartor/A 54999-2023 karta.png", "A 54999-2023")</f>
        <v/>
      </c>
      <c r="V1110">
        <f>HYPERLINK("https://klasma.github.io/Logging_2326/klagomål/A 54999-2023 FSC-klagomål.docx", "A 54999-2023")</f>
        <v/>
      </c>
      <c r="W1110">
        <f>HYPERLINK("https://klasma.github.io/Logging_2326/klagomålsmail/A 54999-2023 FSC-klagomål mail.docx", "A 54999-2023")</f>
        <v/>
      </c>
      <c r="X1110">
        <f>HYPERLINK("https://klasma.github.io/Logging_2326/tillsyn/A 54999-2023 tillsynsbegäran.docx", "A 54999-2023")</f>
        <v/>
      </c>
      <c r="Y1110">
        <f>HYPERLINK("https://klasma.github.io/Logging_2326/tillsynsmail/A 54999-2023 tillsynsbegäran mail.docx", "A 54999-2023")</f>
        <v/>
      </c>
    </row>
    <row r="1111" ht="15" customHeight="1">
      <c r="A1111" t="inlineStr">
        <is>
          <t>A 16959-2025</t>
        </is>
      </c>
      <c r="B1111" s="1" t="n">
        <v>45755.44854166666</v>
      </c>
      <c r="C1111" s="1" t="n">
        <v>46045</v>
      </c>
      <c r="D1111" t="inlineStr">
        <is>
          <t>JÄMTLANDS LÄN</t>
        </is>
      </c>
      <c r="E1111" t="inlineStr">
        <is>
          <t>BRÄCKE</t>
        </is>
      </c>
      <c r="F1111" t="inlineStr">
        <is>
          <t>SCA</t>
        </is>
      </c>
      <c r="G1111" t="n">
        <v>4.6</v>
      </c>
      <c r="H1111" t="n">
        <v>3</v>
      </c>
      <c r="I1111" t="n">
        <v>0</v>
      </c>
      <c r="J1111" t="n">
        <v>1</v>
      </c>
      <c r="K1111" t="n">
        <v>1</v>
      </c>
      <c r="L1111" t="n">
        <v>0</v>
      </c>
      <c r="M1111" t="n">
        <v>0</v>
      </c>
      <c r="N1111" t="n">
        <v>0</v>
      </c>
      <c r="O1111" t="n">
        <v>2</v>
      </c>
      <c r="P1111" t="n">
        <v>1</v>
      </c>
      <c r="Q1111" t="n">
        <v>3</v>
      </c>
      <c r="R1111" s="2" t="inlineStr">
        <is>
          <t>Knärot
Talltita
Kungsfågel</t>
        </is>
      </c>
      <c r="S1111">
        <f>HYPERLINK("https://klasma.github.io/Logging_2305/artfynd/A 16959-2025 artfynd.xlsx", "A 16959-2025")</f>
        <v/>
      </c>
      <c r="T1111">
        <f>HYPERLINK("https://klasma.github.io/Logging_2305/kartor/A 16959-2025 karta.png", "A 16959-2025")</f>
        <v/>
      </c>
      <c r="U1111">
        <f>HYPERLINK("https://klasma.github.io/Logging_2305/knärot/A 16959-2025 karta knärot.png", "A 16959-2025")</f>
        <v/>
      </c>
      <c r="V1111">
        <f>HYPERLINK("https://klasma.github.io/Logging_2305/klagomål/A 16959-2025 FSC-klagomål.docx", "A 16959-2025")</f>
        <v/>
      </c>
      <c r="W1111">
        <f>HYPERLINK("https://klasma.github.io/Logging_2305/klagomålsmail/A 16959-2025 FSC-klagomål mail.docx", "A 16959-2025")</f>
        <v/>
      </c>
      <c r="X1111">
        <f>HYPERLINK("https://klasma.github.io/Logging_2305/tillsyn/A 16959-2025 tillsynsbegäran.docx", "A 16959-2025")</f>
        <v/>
      </c>
      <c r="Y1111">
        <f>HYPERLINK("https://klasma.github.io/Logging_2305/tillsynsmail/A 16959-2025 tillsynsbegäran mail.docx", "A 16959-2025")</f>
        <v/>
      </c>
      <c r="Z1111">
        <f>HYPERLINK("https://klasma.github.io/Logging_2305/fåglar/A 16959-2025 prioriterade fågelarter.docx", "A 16959-2025")</f>
        <v/>
      </c>
    </row>
    <row r="1112" ht="15" customHeight="1">
      <c r="A1112" t="inlineStr">
        <is>
          <t>A 33278-2022</t>
        </is>
      </c>
      <c r="B1112" s="1" t="n">
        <v>44788</v>
      </c>
      <c r="C1112" s="1" t="n">
        <v>46045</v>
      </c>
      <c r="D1112" t="inlineStr">
        <is>
          <t>JÄMTLANDS LÄN</t>
        </is>
      </c>
      <c r="E1112" t="inlineStr">
        <is>
          <t>RAGUNDA</t>
        </is>
      </c>
      <c r="G1112" t="n">
        <v>3.2</v>
      </c>
      <c r="H1112" t="n">
        <v>2</v>
      </c>
      <c r="I1112" t="n">
        <v>0</v>
      </c>
      <c r="J1112" t="n">
        <v>2</v>
      </c>
      <c r="K1112" t="n">
        <v>1</v>
      </c>
      <c r="L1112" t="n">
        <v>0</v>
      </c>
      <c r="M1112" t="n">
        <v>0</v>
      </c>
      <c r="N1112" t="n">
        <v>0</v>
      </c>
      <c r="O1112" t="n">
        <v>3</v>
      </c>
      <c r="P1112" t="n">
        <v>1</v>
      </c>
      <c r="Q1112" t="n">
        <v>3</v>
      </c>
      <c r="R1112" s="2" t="inlineStr">
        <is>
          <t>Knärot
Tretåig hackspett
Ullticka</t>
        </is>
      </c>
      <c r="S1112">
        <f>HYPERLINK("https://klasma.github.io/Logging_2303/artfynd/A 33278-2022 artfynd.xlsx", "A 33278-2022")</f>
        <v/>
      </c>
      <c r="T1112">
        <f>HYPERLINK("https://klasma.github.io/Logging_2303/kartor/A 33278-2022 karta.png", "A 33278-2022")</f>
        <v/>
      </c>
      <c r="U1112">
        <f>HYPERLINK("https://klasma.github.io/Logging_2303/knärot/A 33278-2022 karta knärot.png", "A 33278-2022")</f>
        <v/>
      </c>
      <c r="V1112">
        <f>HYPERLINK("https://klasma.github.io/Logging_2303/klagomål/A 33278-2022 FSC-klagomål.docx", "A 33278-2022")</f>
        <v/>
      </c>
      <c r="W1112">
        <f>HYPERLINK("https://klasma.github.io/Logging_2303/klagomålsmail/A 33278-2022 FSC-klagomål mail.docx", "A 33278-2022")</f>
        <v/>
      </c>
      <c r="X1112">
        <f>HYPERLINK("https://klasma.github.io/Logging_2303/tillsyn/A 33278-2022 tillsynsbegäran.docx", "A 33278-2022")</f>
        <v/>
      </c>
      <c r="Y1112">
        <f>HYPERLINK("https://klasma.github.io/Logging_2303/tillsynsmail/A 33278-2022 tillsynsbegäran mail.docx", "A 33278-2022")</f>
        <v/>
      </c>
      <c r="Z1112">
        <f>HYPERLINK("https://klasma.github.io/Logging_2303/fåglar/A 33278-2022 prioriterade fågelarter.docx", "A 33278-2022")</f>
        <v/>
      </c>
    </row>
    <row r="1113" ht="15" customHeight="1">
      <c r="A1113" t="inlineStr">
        <is>
          <t>A 2305-2025</t>
        </is>
      </c>
      <c r="B1113" s="1" t="n">
        <v>45673.5987037037</v>
      </c>
      <c r="C1113" s="1" t="n">
        <v>46045</v>
      </c>
      <c r="D1113" t="inlineStr">
        <is>
          <t>JÄMTLANDS LÄN</t>
        </is>
      </c>
      <c r="E1113" t="inlineStr">
        <is>
          <t>STRÖMSUND</t>
        </is>
      </c>
      <c r="G1113" t="n">
        <v>12.1</v>
      </c>
      <c r="H1113" t="n">
        <v>1</v>
      </c>
      <c r="I1113" t="n">
        <v>1</v>
      </c>
      <c r="J1113" t="n">
        <v>2</v>
      </c>
      <c r="K1113" t="n">
        <v>0</v>
      </c>
      <c r="L1113" t="n">
        <v>0</v>
      </c>
      <c r="M1113" t="n">
        <v>0</v>
      </c>
      <c r="N1113" t="n">
        <v>0</v>
      </c>
      <c r="O1113" t="n">
        <v>2</v>
      </c>
      <c r="P1113" t="n">
        <v>0</v>
      </c>
      <c r="Q1113" t="n">
        <v>3</v>
      </c>
      <c r="R1113" s="2" t="inlineStr">
        <is>
          <t>Garnlav
Granticka
Spindelblomster</t>
        </is>
      </c>
      <c r="S1113">
        <f>HYPERLINK("https://klasma.github.io/Logging_2313/artfynd/A 2305-2025 artfynd.xlsx", "A 2305-2025")</f>
        <v/>
      </c>
      <c r="T1113">
        <f>HYPERLINK("https://klasma.github.io/Logging_2313/kartor/A 2305-2025 karta.png", "A 2305-2025")</f>
        <v/>
      </c>
      <c r="V1113">
        <f>HYPERLINK("https://klasma.github.io/Logging_2313/klagomål/A 2305-2025 FSC-klagomål.docx", "A 2305-2025")</f>
        <v/>
      </c>
      <c r="W1113">
        <f>HYPERLINK("https://klasma.github.io/Logging_2313/klagomålsmail/A 2305-2025 FSC-klagomål mail.docx", "A 2305-2025")</f>
        <v/>
      </c>
      <c r="X1113">
        <f>HYPERLINK("https://klasma.github.io/Logging_2313/tillsyn/A 2305-2025 tillsynsbegäran.docx", "A 2305-2025")</f>
        <v/>
      </c>
      <c r="Y1113">
        <f>HYPERLINK("https://klasma.github.io/Logging_2313/tillsynsmail/A 2305-2025 tillsynsbegäran mail.docx", "A 2305-2025")</f>
        <v/>
      </c>
    </row>
    <row r="1114" ht="15" customHeight="1">
      <c r="A1114" t="inlineStr">
        <is>
          <t>A 53022-2022</t>
        </is>
      </c>
      <c r="B1114" s="1" t="n">
        <v>44875</v>
      </c>
      <c r="C1114" s="1" t="n">
        <v>46045</v>
      </c>
      <c r="D1114" t="inlineStr">
        <is>
          <t>JÄMTLANDS LÄN</t>
        </is>
      </c>
      <c r="E1114" t="inlineStr">
        <is>
          <t>RAGUNDA</t>
        </is>
      </c>
      <c r="F1114" t="inlineStr">
        <is>
          <t>SCA</t>
        </is>
      </c>
      <c r="G1114" t="n">
        <v>2.7</v>
      </c>
      <c r="H1114" t="n">
        <v>0</v>
      </c>
      <c r="I1114" t="n">
        <v>1</v>
      </c>
      <c r="J1114" t="n">
        <v>2</v>
      </c>
      <c r="K1114" t="n">
        <v>0</v>
      </c>
      <c r="L1114" t="n">
        <v>0</v>
      </c>
      <c r="M1114" t="n">
        <v>0</v>
      </c>
      <c r="N1114" t="n">
        <v>0</v>
      </c>
      <c r="O1114" t="n">
        <v>2</v>
      </c>
      <c r="P1114" t="n">
        <v>0</v>
      </c>
      <c r="Q1114" t="n">
        <v>3</v>
      </c>
      <c r="R1114" s="2" t="inlineStr">
        <is>
          <t>Garnlav
Lunglav
Dropptaggsvamp</t>
        </is>
      </c>
      <c r="S1114">
        <f>HYPERLINK("https://klasma.github.io/Logging_2303/artfynd/A 53022-2022 artfynd.xlsx", "A 53022-2022")</f>
        <v/>
      </c>
      <c r="T1114">
        <f>HYPERLINK("https://klasma.github.io/Logging_2303/kartor/A 53022-2022 karta.png", "A 53022-2022")</f>
        <v/>
      </c>
      <c r="V1114">
        <f>HYPERLINK("https://klasma.github.io/Logging_2303/klagomål/A 53022-2022 FSC-klagomål.docx", "A 53022-2022")</f>
        <v/>
      </c>
      <c r="W1114">
        <f>HYPERLINK("https://klasma.github.io/Logging_2303/klagomålsmail/A 53022-2022 FSC-klagomål mail.docx", "A 53022-2022")</f>
        <v/>
      </c>
      <c r="X1114">
        <f>HYPERLINK("https://klasma.github.io/Logging_2303/tillsyn/A 53022-2022 tillsynsbegäran.docx", "A 53022-2022")</f>
        <v/>
      </c>
      <c r="Y1114">
        <f>HYPERLINK("https://klasma.github.io/Logging_2303/tillsynsmail/A 53022-2022 tillsynsbegäran mail.docx", "A 53022-2022")</f>
        <v/>
      </c>
    </row>
    <row r="1115" ht="15" customHeight="1">
      <c r="A1115" t="inlineStr">
        <is>
          <t>A 30068-2022</t>
        </is>
      </c>
      <c r="B1115" s="1" t="n">
        <v>44757</v>
      </c>
      <c r="C1115" s="1" t="n">
        <v>46045</v>
      </c>
      <c r="D1115" t="inlineStr">
        <is>
          <t>JÄMTLANDS LÄN</t>
        </is>
      </c>
      <c r="E1115" t="inlineStr">
        <is>
          <t>KROKOM</t>
        </is>
      </c>
      <c r="G1115" t="n">
        <v>5</v>
      </c>
      <c r="H1115" t="n">
        <v>1</v>
      </c>
      <c r="I1115" t="n">
        <v>0</v>
      </c>
      <c r="J1115" t="n">
        <v>3</v>
      </c>
      <c r="K1115" t="n">
        <v>0</v>
      </c>
      <c r="L1115" t="n">
        <v>0</v>
      </c>
      <c r="M1115" t="n">
        <v>0</v>
      </c>
      <c r="N1115" t="n">
        <v>0</v>
      </c>
      <c r="O1115" t="n">
        <v>3</v>
      </c>
      <c r="P1115" t="n">
        <v>0</v>
      </c>
      <c r="Q1115" t="n">
        <v>3</v>
      </c>
      <c r="R1115" s="2" t="inlineStr">
        <is>
          <t>Gränsticka
Tretåig hackspett
Ullticka</t>
        </is>
      </c>
      <c r="S1115">
        <f>HYPERLINK("https://klasma.github.io/Logging_2309/artfynd/A 30068-2022 artfynd.xlsx", "A 30068-2022")</f>
        <v/>
      </c>
      <c r="T1115">
        <f>HYPERLINK("https://klasma.github.io/Logging_2309/kartor/A 30068-2022 karta.png", "A 30068-2022")</f>
        <v/>
      </c>
      <c r="V1115">
        <f>HYPERLINK("https://klasma.github.io/Logging_2309/klagomål/A 30068-2022 FSC-klagomål.docx", "A 30068-2022")</f>
        <v/>
      </c>
      <c r="W1115">
        <f>HYPERLINK("https://klasma.github.io/Logging_2309/klagomålsmail/A 30068-2022 FSC-klagomål mail.docx", "A 30068-2022")</f>
        <v/>
      </c>
      <c r="X1115">
        <f>HYPERLINK("https://klasma.github.io/Logging_2309/tillsyn/A 30068-2022 tillsynsbegäran.docx", "A 30068-2022")</f>
        <v/>
      </c>
      <c r="Y1115">
        <f>HYPERLINK("https://klasma.github.io/Logging_2309/tillsynsmail/A 30068-2022 tillsynsbegäran mail.docx", "A 30068-2022")</f>
        <v/>
      </c>
      <c r="Z1115">
        <f>HYPERLINK("https://klasma.github.io/Logging_2309/fåglar/A 30068-2022 prioriterade fågelarter.docx", "A 30068-2022")</f>
        <v/>
      </c>
    </row>
    <row r="1116" ht="15" customHeight="1">
      <c r="A1116" t="inlineStr">
        <is>
          <t>A 18616-2024</t>
        </is>
      </c>
      <c r="B1116" s="1" t="n">
        <v>45425.96285879629</v>
      </c>
      <c r="C1116" s="1" t="n">
        <v>46045</v>
      </c>
      <c r="D1116" t="inlineStr">
        <is>
          <t>JÄMTLANDS LÄN</t>
        </is>
      </c>
      <c r="E1116" t="inlineStr">
        <is>
          <t>RAGUNDA</t>
        </is>
      </c>
      <c r="F1116" t="inlineStr">
        <is>
          <t>SCA</t>
        </is>
      </c>
      <c r="G1116" t="n">
        <v>3.4</v>
      </c>
      <c r="H1116" t="n">
        <v>0</v>
      </c>
      <c r="I1116" t="n">
        <v>0</v>
      </c>
      <c r="J1116" t="n">
        <v>3</v>
      </c>
      <c r="K1116" t="n">
        <v>0</v>
      </c>
      <c r="L1116" t="n">
        <v>0</v>
      </c>
      <c r="M1116" t="n">
        <v>0</v>
      </c>
      <c r="N1116" t="n">
        <v>0</v>
      </c>
      <c r="O1116" t="n">
        <v>3</v>
      </c>
      <c r="P1116" t="n">
        <v>0</v>
      </c>
      <c r="Q1116" t="n">
        <v>3</v>
      </c>
      <c r="R1116" s="2" t="inlineStr">
        <is>
          <t>Granticka
Orange taggsvamp
Ullticka</t>
        </is>
      </c>
      <c r="S1116">
        <f>HYPERLINK("https://klasma.github.io/Logging_2303/artfynd/A 18616-2024 artfynd.xlsx", "A 18616-2024")</f>
        <v/>
      </c>
      <c r="T1116">
        <f>HYPERLINK("https://klasma.github.io/Logging_2303/kartor/A 18616-2024 karta.png", "A 18616-2024")</f>
        <v/>
      </c>
      <c r="V1116">
        <f>HYPERLINK("https://klasma.github.io/Logging_2303/klagomål/A 18616-2024 FSC-klagomål.docx", "A 18616-2024")</f>
        <v/>
      </c>
      <c r="W1116">
        <f>HYPERLINK("https://klasma.github.io/Logging_2303/klagomålsmail/A 18616-2024 FSC-klagomål mail.docx", "A 18616-2024")</f>
        <v/>
      </c>
      <c r="X1116">
        <f>HYPERLINK("https://klasma.github.io/Logging_2303/tillsyn/A 18616-2024 tillsynsbegäran.docx", "A 18616-2024")</f>
        <v/>
      </c>
      <c r="Y1116">
        <f>HYPERLINK("https://klasma.github.io/Logging_2303/tillsynsmail/A 18616-2024 tillsynsbegäran mail.docx", "A 18616-2024")</f>
        <v/>
      </c>
    </row>
    <row r="1117" ht="15" customHeight="1">
      <c r="A1117" t="inlineStr">
        <is>
          <t>A 11002-2022</t>
        </is>
      </c>
      <c r="B1117" s="1" t="n">
        <v>44628</v>
      </c>
      <c r="C1117" s="1" t="n">
        <v>46045</v>
      </c>
      <c r="D1117" t="inlineStr">
        <is>
          <t>JÄMTLANDS LÄN</t>
        </is>
      </c>
      <c r="E1117" t="inlineStr">
        <is>
          <t>BRÄCKE</t>
        </is>
      </c>
      <c r="G1117" t="n">
        <v>8.5</v>
      </c>
      <c r="H1117" t="n">
        <v>0</v>
      </c>
      <c r="I1117" t="n">
        <v>1</v>
      </c>
      <c r="J1117" t="n">
        <v>1</v>
      </c>
      <c r="K1117" t="n">
        <v>1</v>
      </c>
      <c r="L1117" t="n">
        <v>0</v>
      </c>
      <c r="M1117" t="n">
        <v>0</v>
      </c>
      <c r="N1117" t="n">
        <v>0</v>
      </c>
      <c r="O1117" t="n">
        <v>2</v>
      </c>
      <c r="P1117" t="n">
        <v>1</v>
      </c>
      <c r="Q1117" t="n">
        <v>3</v>
      </c>
      <c r="R1117" s="2" t="inlineStr">
        <is>
          <t>Rynkskinn
Vitgrynig nållav
Svavelriska</t>
        </is>
      </c>
      <c r="S1117">
        <f>HYPERLINK("https://klasma.github.io/Logging_2305/artfynd/A 11002-2022 artfynd.xlsx", "A 11002-2022")</f>
        <v/>
      </c>
      <c r="T1117">
        <f>HYPERLINK("https://klasma.github.io/Logging_2305/kartor/A 11002-2022 karta.png", "A 11002-2022")</f>
        <v/>
      </c>
      <c r="V1117">
        <f>HYPERLINK("https://klasma.github.io/Logging_2305/klagomål/A 11002-2022 FSC-klagomål.docx", "A 11002-2022")</f>
        <v/>
      </c>
      <c r="W1117">
        <f>HYPERLINK("https://klasma.github.io/Logging_2305/klagomålsmail/A 11002-2022 FSC-klagomål mail.docx", "A 11002-2022")</f>
        <v/>
      </c>
      <c r="X1117">
        <f>HYPERLINK("https://klasma.github.io/Logging_2305/tillsyn/A 11002-2022 tillsynsbegäran.docx", "A 11002-2022")</f>
        <v/>
      </c>
      <c r="Y1117">
        <f>HYPERLINK("https://klasma.github.io/Logging_2305/tillsynsmail/A 11002-2022 tillsynsbegäran mail.docx", "A 11002-2022")</f>
        <v/>
      </c>
    </row>
    <row r="1118" ht="15" customHeight="1">
      <c r="A1118" t="inlineStr">
        <is>
          <t>A 14198-2021</t>
        </is>
      </c>
      <c r="B1118" s="1" t="n">
        <v>44278</v>
      </c>
      <c r="C1118" s="1" t="n">
        <v>46045</v>
      </c>
      <c r="D1118" t="inlineStr">
        <is>
          <t>JÄMTLANDS LÄN</t>
        </is>
      </c>
      <c r="E1118" t="inlineStr">
        <is>
          <t>ÅRE</t>
        </is>
      </c>
      <c r="G1118" t="n">
        <v>28.4</v>
      </c>
      <c r="H1118" t="n">
        <v>1</v>
      </c>
      <c r="I1118" t="n">
        <v>1</v>
      </c>
      <c r="J1118" t="n">
        <v>2</v>
      </c>
      <c r="K1118" t="n">
        <v>0</v>
      </c>
      <c r="L1118" t="n">
        <v>0</v>
      </c>
      <c r="M1118" t="n">
        <v>0</v>
      </c>
      <c r="N1118" t="n">
        <v>0</v>
      </c>
      <c r="O1118" t="n">
        <v>2</v>
      </c>
      <c r="P1118" t="n">
        <v>0</v>
      </c>
      <c r="Q1118" t="n">
        <v>3</v>
      </c>
      <c r="R1118" s="2" t="inlineStr">
        <is>
          <t>Skrovellav
Tretåig hackspett
Stuplav</t>
        </is>
      </c>
      <c r="S1118">
        <f>HYPERLINK("https://klasma.github.io/Logging_2321/artfynd/A 14198-2021 artfynd.xlsx", "A 14198-2021")</f>
        <v/>
      </c>
      <c r="T1118">
        <f>HYPERLINK("https://klasma.github.io/Logging_2321/kartor/A 14198-2021 karta.png", "A 14198-2021")</f>
        <v/>
      </c>
      <c r="V1118">
        <f>HYPERLINK("https://klasma.github.io/Logging_2321/klagomål/A 14198-2021 FSC-klagomål.docx", "A 14198-2021")</f>
        <v/>
      </c>
      <c r="W1118">
        <f>HYPERLINK("https://klasma.github.io/Logging_2321/klagomålsmail/A 14198-2021 FSC-klagomål mail.docx", "A 14198-2021")</f>
        <v/>
      </c>
      <c r="X1118">
        <f>HYPERLINK("https://klasma.github.io/Logging_2321/tillsyn/A 14198-2021 tillsynsbegäran.docx", "A 14198-2021")</f>
        <v/>
      </c>
      <c r="Y1118">
        <f>HYPERLINK("https://klasma.github.io/Logging_2321/tillsynsmail/A 14198-2021 tillsynsbegäran mail.docx", "A 14198-2021")</f>
        <v/>
      </c>
      <c r="Z1118">
        <f>HYPERLINK("https://klasma.github.io/Logging_2321/fåglar/A 14198-2021 prioriterade fågelarter.docx", "A 14198-2021")</f>
        <v/>
      </c>
    </row>
    <row r="1119" ht="15" customHeight="1">
      <c r="A1119" t="inlineStr">
        <is>
          <t>A 19437-2023</t>
        </is>
      </c>
      <c r="B1119" s="1" t="n">
        <v>45049</v>
      </c>
      <c r="C1119" s="1" t="n">
        <v>46045</v>
      </c>
      <c r="D1119" t="inlineStr">
        <is>
          <t>JÄMTLANDS LÄN</t>
        </is>
      </c>
      <c r="E1119" t="inlineStr">
        <is>
          <t>BRÄCKE</t>
        </is>
      </c>
      <c r="G1119" t="n">
        <v>1.5</v>
      </c>
      <c r="H1119" t="n">
        <v>0</v>
      </c>
      <c r="I1119" t="n">
        <v>2</v>
      </c>
      <c r="J1119" t="n">
        <v>1</v>
      </c>
      <c r="K1119" t="n">
        <v>0</v>
      </c>
      <c r="L1119" t="n">
        <v>0</v>
      </c>
      <c r="M1119" t="n">
        <v>0</v>
      </c>
      <c r="N1119" t="n">
        <v>0</v>
      </c>
      <c r="O1119" t="n">
        <v>1</v>
      </c>
      <c r="P1119" t="n">
        <v>0</v>
      </c>
      <c r="Q1119" t="n">
        <v>3</v>
      </c>
      <c r="R1119" s="2" t="inlineStr">
        <is>
          <t>Ullticka
Stuplav
Svart trolldruva</t>
        </is>
      </c>
      <c r="S1119">
        <f>HYPERLINK("https://klasma.github.io/Logging_2305/artfynd/A 19437-2023 artfynd.xlsx", "A 19437-2023")</f>
        <v/>
      </c>
      <c r="T1119">
        <f>HYPERLINK("https://klasma.github.io/Logging_2305/kartor/A 19437-2023 karta.png", "A 19437-2023")</f>
        <v/>
      </c>
      <c r="U1119">
        <f>HYPERLINK("https://klasma.github.io/Logging_2305/knärot/A 19437-2023 karta knärot.png", "A 19437-2023")</f>
        <v/>
      </c>
      <c r="V1119">
        <f>HYPERLINK("https://klasma.github.io/Logging_2305/klagomål/A 19437-2023 FSC-klagomål.docx", "A 19437-2023")</f>
        <v/>
      </c>
      <c r="W1119">
        <f>HYPERLINK("https://klasma.github.io/Logging_2305/klagomålsmail/A 19437-2023 FSC-klagomål mail.docx", "A 19437-2023")</f>
        <v/>
      </c>
      <c r="X1119">
        <f>HYPERLINK("https://klasma.github.io/Logging_2305/tillsyn/A 19437-2023 tillsynsbegäran.docx", "A 19437-2023")</f>
        <v/>
      </c>
      <c r="Y1119">
        <f>HYPERLINK("https://klasma.github.io/Logging_2305/tillsynsmail/A 19437-2023 tillsynsbegäran mail.docx", "A 19437-2023")</f>
        <v/>
      </c>
    </row>
    <row r="1120" ht="15" customHeight="1">
      <c r="A1120" t="inlineStr">
        <is>
          <t>A 44869-2022</t>
        </is>
      </c>
      <c r="B1120" s="1" t="n">
        <v>44841</v>
      </c>
      <c r="C1120" s="1" t="n">
        <v>46045</v>
      </c>
      <c r="D1120" t="inlineStr">
        <is>
          <t>JÄMTLANDS LÄN</t>
        </is>
      </c>
      <c r="E1120" t="inlineStr">
        <is>
          <t>KROKOM</t>
        </is>
      </c>
      <c r="G1120" t="n">
        <v>4.5</v>
      </c>
      <c r="H1120" t="n">
        <v>1</v>
      </c>
      <c r="I1120" t="n">
        <v>0</v>
      </c>
      <c r="J1120" t="n">
        <v>1</v>
      </c>
      <c r="K1120" t="n">
        <v>2</v>
      </c>
      <c r="L1120" t="n">
        <v>0</v>
      </c>
      <c r="M1120" t="n">
        <v>0</v>
      </c>
      <c r="N1120" t="n">
        <v>0</v>
      </c>
      <c r="O1120" t="n">
        <v>3</v>
      </c>
      <c r="P1120" t="n">
        <v>2</v>
      </c>
      <c r="Q1120" t="n">
        <v>3</v>
      </c>
      <c r="R1120" s="2" t="inlineStr">
        <is>
          <t>Knärot
Ulltickeporing
Lunglav</t>
        </is>
      </c>
      <c r="S1120">
        <f>HYPERLINK("https://klasma.github.io/Logging_2309/artfynd/A 44869-2022 artfynd.xlsx", "A 44869-2022")</f>
        <v/>
      </c>
      <c r="T1120">
        <f>HYPERLINK("https://klasma.github.io/Logging_2309/kartor/A 44869-2022 karta.png", "A 44869-2022")</f>
        <v/>
      </c>
      <c r="U1120">
        <f>HYPERLINK("https://klasma.github.io/Logging_2309/knärot/A 44869-2022 karta knärot.png", "A 44869-2022")</f>
        <v/>
      </c>
      <c r="V1120">
        <f>HYPERLINK("https://klasma.github.io/Logging_2309/klagomål/A 44869-2022 FSC-klagomål.docx", "A 44869-2022")</f>
        <v/>
      </c>
      <c r="W1120">
        <f>HYPERLINK("https://klasma.github.io/Logging_2309/klagomålsmail/A 44869-2022 FSC-klagomål mail.docx", "A 44869-2022")</f>
        <v/>
      </c>
      <c r="X1120">
        <f>HYPERLINK("https://klasma.github.io/Logging_2309/tillsyn/A 44869-2022 tillsynsbegäran.docx", "A 44869-2022")</f>
        <v/>
      </c>
      <c r="Y1120">
        <f>HYPERLINK("https://klasma.github.io/Logging_2309/tillsynsmail/A 44869-2022 tillsynsbegäran mail.docx", "A 44869-2022")</f>
        <v/>
      </c>
    </row>
    <row r="1121" ht="15" customHeight="1">
      <c r="A1121" t="inlineStr">
        <is>
          <t>A 17043-2022</t>
        </is>
      </c>
      <c r="B1121" s="1" t="n">
        <v>44676</v>
      </c>
      <c r="C1121" s="1" t="n">
        <v>46045</v>
      </c>
      <c r="D1121" t="inlineStr">
        <is>
          <t>JÄMTLANDS LÄN</t>
        </is>
      </c>
      <c r="E1121" t="inlineStr">
        <is>
          <t>RAGUNDA</t>
        </is>
      </c>
      <c r="F1121" t="inlineStr">
        <is>
          <t>SCA</t>
        </is>
      </c>
      <c r="G1121" t="n">
        <v>3</v>
      </c>
      <c r="H1121" t="n">
        <v>0</v>
      </c>
      <c r="I1121" t="n">
        <v>2</v>
      </c>
      <c r="J1121" t="n">
        <v>0</v>
      </c>
      <c r="K1121" t="n">
        <v>0</v>
      </c>
      <c r="L1121" t="n">
        <v>0</v>
      </c>
      <c r="M1121" t="n">
        <v>0</v>
      </c>
      <c r="N1121" t="n">
        <v>0</v>
      </c>
      <c r="O1121" t="n">
        <v>0</v>
      </c>
      <c r="P1121" t="n">
        <v>0</v>
      </c>
      <c r="Q1121" t="n">
        <v>2</v>
      </c>
      <c r="R1121" s="2" t="inlineStr">
        <is>
          <t>Skinnlav
Vedticka</t>
        </is>
      </c>
      <c r="S1121">
        <f>HYPERLINK("https://klasma.github.io/Logging_2303/artfynd/A 17043-2022 artfynd.xlsx", "A 17043-2022")</f>
        <v/>
      </c>
      <c r="T1121">
        <f>HYPERLINK("https://klasma.github.io/Logging_2303/kartor/A 17043-2022 karta.png", "A 17043-2022")</f>
        <v/>
      </c>
      <c r="V1121">
        <f>HYPERLINK("https://klasma.github.io/Logging_2303/klagomål/A 17043-2022 FSC-klagomål.docx", "A 17043-2022")</f>
        <v/>
      </c>
      <c r="W1121">
        <f>HYPERLINK("https://klasma.github.io/Logging_2303/klagomålsmail/A 17043-2022 FSC-klagomål mail.docx", "A 17043-2022")</f>
        <v/>
      </c>
      <c r="X1121">
        <f>HYPERLINK("https://klasma.github.io/Logging_2303/tillsyn/A 17043-2022 tillsynsbegäran.docx", "A 17043-2022")</f>
        <v/>
      </c>
      <c r="Y1121">
        <f>HYPERLINK("https://klasma.github.io/Logging_2303/tillsynsmail/A 17043-2022 tillsynsbegäran mail.docx", "A 17043-2022")</f>
        <v/>
      </c>
    </row>
    <row r="1122" ht="15" customHeight="1">
      <c r="A1122" t="inlineStr">
        <is>
          <t>A 44604-2021</t>
        </is>
      </c>
      <c r="B1122" s="1" t="n">
        <v>44435</v>
      </c>
      <c r="C1122" s="1" t="n">
        <v>46045</v>
      </c>
      <c r="D1122" t="inlineStr">
        <is>
          <t>JÄMTLANDS LÄN</t>
        </is>
      </c>
      <c r="E1122" t="inlineStr">
        <is>
          <t>STRÖMSUND</t>
        </is>
      </c>
      <c r="F1122" t="inlineStr">
        <is>
          <t>SCA</t>
        </is>
      </c>
      <c r="G1122" t="n">
        <v>2.8</v>
      </c>
      <c r="H1122" t="n">
        <v>0</v>
      </c>
      <c r="I1122" t="n">
        <v>0</v>
      </c>
      <c r="J1122" t="n">
        <v>2</v>
      </c>
      <c r="K1122" t="n">
        <v>0</v>
      </c>
      <c r="L1122" t="n">
        <v>0</v>
      </c>
      <c r="M1122" t="n">
        <v>0</v>
      </c>
      <c r="N1122" t="n">
        <v>0</v>
      </c>
      <c r="O1122" t="n">
        <v>2</v>
      </c>
      <c r="P1122" t="n">
        <v>0</v>
      </c>
      <c r="Q1122" t="n">
        <v>2</v>
      </c>
      <c r="R1122" s="2" t="inlineStr">
        <is>
          <t>Brunpudrad nållav
Gammelgransskål</t>
        </is>
      </c>
      <c r="S1122">
        <f>HYPERLINK("https://klasma.github.io/Logging_2313/artfynd/A 44604-2021 artfynd.xlsx", "A 44604-2021")</f>
        <v/>
      </c>
      <c r="T1122">
        <f>HYPERLINK("https://klasma.github.io/Logging_2313/kartor/A 44604-2021 karta.png", "A 44604-2021")</f>
        <v/>
      </c>
      <c r="V1122">
        <f>HYPERLINK("https://klasma.github.io/Logging_2313/klagomål/A 44604-2021 FSC-klagomål.docx", "A 44604-2021")</f>
        <v/>
      </c>
      <c r="W1122">
        <f>HYPERLINK("https://klasma.github.io/Logging_2313/klagomålsmail/A 44604-2021 FSC-klagomål mail.docx", "A 44604-2021")</f>
        <v/>
      </c>
      <c r="X1122">
        <f>HYPERLINK("https://klasma.github.io/Logging_2313/tillsyn/A 44604-2021 tillsynsbegäran.docx", "A 44604-2021")</f>
        <v/>
      </c>
      <c r="Y1122">
        <f>HYPERLINK("https://klasma.github.io/Logging_2313/tillsynsmail/A 44604-2021 tillsynsbegäran mail.docx", "A 44604-2021")</f>
        <v/>
      </c>
    </row>
    <row r="1123" ht="15" customHeight="1">
      <c r="A1123" t="inlineStr">
        <is>
          <t>A 45633-2021</t>
        </is>
      </c>
      <c r="B1123" s="1" t="n">
        <v>44440</v>
      </c>
      <c r="C1123" s="1" t="n">
        <v>46045</v>
      </c>
      <c r="D1123" t="inlineStr">
        <is>
          <t>JÄMTLANDS LÄN</t>
        </is>
      </c>
      <c r="E1123" t="inlineStr">
        <is>
          <t>STRÖMSUND</t>
        </is>
      </c>
      <c r="F1123" t="inlineStr">
        <is>
          <t>SCA</t>
        </is>
      </c>
      <c r="G1123" t="n">
        <v>2.1</v>
      </c>
      <c r="H1123" t="n">
        <v>0</v>
      </c>
      <c r="I1123" t="n">
        <v>1</v>
      </c>
      <c r="J1123" t="n">
        <v>1</v>
      </c>
      <c r="K1123" t="n">
        <v>0</v>
      </c>
      <c r="L1123" t="n">
        <v>0</v>
      </c>
      <c r="M1123" t="n">
        <v>0</v>
      </c>
      <c r="N1123" t="n">
        <v>0</v>
      </c>
      <c r="O1123" t="n">
        <v>1</v>
      </c>
      <c r="P1123" t="n">
        <v>0</v>
      </c>
      <c r="Q1123" t="n">
        <v>2</v>
      </c>
      <c r="R1123" s="2" t="inlineStr">
        <is>
          <t>Garnlav
Källmossa</t>
        </is>
      </c>
      <c r="S1123">
        <f>HYPERLINK("https://klasma.github.io/Logging_2313/artfynd/A 45633-2021 artfynd.xlsx", "A 45633-2021")</f>
        <v/>
      </c>
      <c r="T1123">
        <f>HYPERLINK("https://klasma.github.io/Logging_2313/kartor/A 45633-2021 karta.png", "A 45633-2021")</f>
        <v/>
      </c>
      <c r="V1123">
        <f>HYPERLINK("https://klasma.github.io/Logging_2313/klagomål/A 45633-2021 FSC-klagomål.docx", "A 45633-2021")</f>
        <v/>
      </c>
      <c r="W1123">
        <f>HYPERLINK("https://klasma.github.io/Logging_2313/klagomålsmail/A 45633-2021 FSC-klagomål mail.docx", "A 45633-2021")</f>
        <v/>
      </c>
      <c r="X1123">
        <f>HYPERLINK("https://klasma.github.io/Logging_2313/tillsyn/A 45633-2021 tillsynsbegäran.docx", "A 45633-2021")</f>
        <v/>
      </c>
      <c r="Y1123">
        <f>HYPERLINK("https://klasma.github.io/Logging_2313/tillsynsmail/A 45633-2021 tillsynsbegäran mail.docx", "A 45633-2021")</f>
        <v/>
      </c>
    </row>
    <row r="1124" ht="15" customHeight="1">
      <c r="A1124" t="inlineStr">
        <is>
          <t>A 17082-2022</t>
        </is>
      </c>
      <c r="B1124" s="1" t="n">
        <v>44677</v>
      </c>
      <c r="C1124" s="1" t="n">
        <v>46045</v>
      </c>
      <c r="D1124" t="inlineStr">
        <is>
          <t>JÄMTLANDS LÄN</t>
        </is>
      </c>
      <c r="E1124" t="inlineStr">
        <is>
          <t>HÄRJEDALEN</t>
        </is>
      </c>
      <c r="F1124" t="inlineStr">
        <is>
          <t>Holmen skog AB</t>
        </is>
      </c>
      <c r="G1124" t="n">
        <v>18.1</v>
      </c>
      <c r="H1124" t="n">
        <v>0</v>
      </c>
      <c r="I1124" t="n">
        <v>0</v>
      </c>
      <c r="J1124" t="n">
        <v>2</v>
      </c>
      <c r="K1124" t="n">
        <v>0</v>
      </c>
      <c r="L1124" t="n">
        <v>0</v>
      </c>
      <c r="M1124" t="n">
        <v>0</v>
      </c>
      <c r="N1124" t="n">
        <v>0</v>
      </c>
      <c r="O1124" t="n">
        <v>2</v>
      </c>
      <c r="P1124" t="n">
        <v>0</v>
      </c>
      <c r="Q1124" t="n">
        <v>2</v>
      </c>
      <c r="R1124" s="2" t="inlineStr">
        <is>
          <t>Motaggsvamp
Orange taggsvamp</t>
        </is>
      </c>
      <c r="S1124">
        <f>HYPERLINK("https://klasma.github.io/Logging_2361/artfynd/A 17082-2022 artfynd.xlsx", "A 17082-2022")</f>
        <v/>
      </c>
      <c r="T1124">
        <f>HYPERLINK("https://klasma.github.io/Logging_2361/kartor/A 17082-2022 karta.png", "A 17082-2022")</f>
        <v/>
      </c>
      <c r="V1124">
        <f>HYPERLINK("https://klasma.github.io/Logging_2361/klagomål/A 17082-2022 FSC-klagomål.docx", "A 17082-2022")</f>
        <v/>
      </c>
      <c r="W1124">
        <f>HYPERLINK("https://klasma.github.io/Logging_2361/klagomålsmail/A 17082-2022 FSC-klagomål mail.docx", "A 17082-2022")</f>
        <v/>
      </c>
      <c r="X1124">
        <f>HYPERLINK("https://klasma.github.io/Logging_2361/tillsyn/A 17082-2022 tillsynsbegäran.docx", "A 17082-2022")</f>
        <v/>
      </c>
      <c r="Y1124">
        <f>HYPERLINK("https://klasma.github.io/Logging_2361/tillsynsmail/A 17082-2022 tillsynsbegäran mail.docx", "A 17082-2022")</f>
        <v/>
      </c>
    </row>
    <row r="1125" ht="15" customHeight="1">
      <c r="A1125" t="inlineStr">
        <is>
          <t>A 39686-2022</t>
        </is>
      </c>
      <c r="B1125" s="1" t="n">
        <v>44818</v>
      </c>
      <c r="C1125" s="1" t="n">
        <v>46045</v>
      </c>
      <c r="D1125" t="inlineStr">
        <is>
          <t>JÄMTLANDS LÄN</t>
        </is>
      </c>
      <c r="E1125" t="inlineStr">
        <is>
          <t>STRÖMSUND</t>
        </is>
      </c>
      <c r="F1125" t="inlineStr">
        <is>
          <t>SCA</t>
        </is>
      </c>
      <c r="G1125" t="n">
        <v>4.7</v>
      </c>
      <c r="H1125" t="n">
        <v>0</v>
      </c>
      <c r="I1125" t="n">
        <v>1</v>
      </c>
      <c r="J1125" t="n">
        <v>1</v>
      </c>
      <c r="K1125" t="n">
        <v>0</v>
      </c>
      <c r="L1125" t="n">
        <v>0</v>
      </c>
      <c r="M1125" t="n">
        <v>0</v>
      </c>
      <c r="N1125" t="n">
        <v>0</v>
      </c>
      <c r="O1125" t="n">
        <v>1</v>
      </c>
      <c r="P1125" t="n">
        <v>0</v>
      </c>
      <c r="Q1125" t="n">
        <v>2</v>
      </c>
      <c r="R1125" s="2" t="inlineStr">
        <is>
          <t>Skrovellav
Stuplav</t>
        </is>
      </c>
      <c r="S1125">
        <f>HYPERLINK("https://klasma.github.io/Logging_2313/artfynd/A 39686-2022 artfynd.xlsx", "A 39686-2022")</f>
        <v/>
      </c>
      <c r="T1125">
        <f>HYPERLINK("https://klasma.github.io/Logging_2313/kartor/A 39686-2022 karta.png", "A 39686-2022")</f>
        <v/>
      </c>
      <c r="V1125">
        <f>HYPERLINK("https://klasma.github.io/Logging_2313/klagomål/A 39686-2022 FSC-klagomål.docx", "A 39686-2022")</f>
        <v/>
      </c>
      <c r="W1125">
        <f>HYPERLINK("https://klasma.github.io/Logging_2313/klagomålsmail/A 39686-2022 FSC-klagomål mail.docx", "A 39686-2022")</f>
        <v/>
      </c>
      <c r="X1125">
        <f>HYPERLINK("https://klasma.github.io/Logging_2313/tillsyn/A 39686-2022 tillsynsbegäran.docx", "A 39686-2022")</f>
        <v/>
      </c>
      <c r="Y1125">
        <f>HYPERLINK("https://klasma.github.io/Logging_2313/tillsynsmail/A 39686-2022 tillsynsbegäran mail.docx", "A 39686-2022")</f>
        <v/>
      </c>
    </row>
    <row r="1126" ht="15" customHeight="1">
      <c r="A1126" t="inlineStr">
        <is>
          <t>A 31455-2022</t>
        </is>
      </c>
      <c r="B1126" s="1" t="n">
        <v>44774</v>
      </c>
      <c r="C1126" s="1" t="n">
        <v>46045</v>
      </c>
      <c r="D1126" t="inlineStr">
        <is>
          <t>JÄMTLANDS LÄN</t>
        </is>
      </c>
      <c r="E1126" t="inlineStr">
        <is>
          <t>BRÄCKE</t>
        </is>
      </c>
      <c r="F1126" t="inlineStr">
        <is>
          <t>SCA</t>
        </is>
      </c>
      <c r="G1126" t="n">
        <v>5.5</v>
      </c>
      <c r="H1126" t="n">
        <v>1</v>
      </c>
      <c r="I1126" t="n">
        <v>0</v>
      </c>
      <c r="J1126" t="n">
        <v>1</v>
      </c>
      <c r="K1126" t="n">
        <v>0</v>
      </c>
      <c r="L1126" t="n">
        <v>0</v>
      </c>
      <c r="M1126" t="n">
        <v>0</v>
      </c>
      <c r="N1126" t="n">
        <v>0</v>
      </c>
      <c r="O1126" t="n">
        <v>1</v>
      </c>
      <c r="P1126" t="n">
        <v>0</v>
      </c>
      <c r="Q1126" t="n">
        <v>2</v>
      </c>
      <c r="R1126" s="2" t="inlineStr">
        <is>
          <t>Lunglav
Revlummer</t>
        </is>
      </c>
      <c r="S1126">
        <f>HYPERLINK("https://klasma.github.io/Logging_2305/artfynd/A 31455-2022 artfynd.xlsx", "A 31455-2022")</f>
        <v/>
      </c>
      <c r="T1126">
        <f>HYPERLINK("https://klasma.github.io/Logging_2305/kartor/A 31455-2022 karta.png", "A 31455-2022")</f>
        <v/>
      </c>
      <c r="V1126">
        <f>HYPERLINK("https://klasma.github.io/Logging_2305/klagomål/A 31455-2022 FSC-klagomål.docx", "A 31455-2022")</f>
        <v/>
      </c>
      <c r="W1126">
        <f>HYPERLINK("https://klasma.github.io/Logging_2305/klagomålsmail/A 31455-2022 FSC-klagomål mail.docx", "A 31455-2022")</f>
        <v/>
      </c>
      <c r="X1126">
        <f>HYPERLINK("https://klasma.github.io/Logging_2305/tillsyn/A 31455-2022 tillsynsbegäran.docx", "A 31455-2022")</f>
        <v/>
      </c>
      <c r="Y1126">
        <f>HYPERLINK("https://klasma.github.io/Logging_2305/tillsynsmail/A 31455-2022 tillsynsbegäran mail.docx", "A 31455-2022")</f>
        <v/>
      </c>
    </row>
    <row r="1127" ht="15" customHeight="1">
      <c r="A1127" t="inlineStr">
        <is>
          <t>A 30607-2022</t>
        </is>
      </c>
      <c r="B1127" s="1" t="n">
        <v>44762</v>
      </c>
      <c r="C1127" s="1" t="n">
        <v>46045</v>
      </c>
      <c r="D1127" t="inlineStr">
        <is>
          <t>JÄMTLANDS LÄN</t>
        </is>
      </c>
      <c r="E1127" t="inlineStr">
        <is>
          <t>BRÄCKE</t>
        </is>
      </c>
      <c r="F1127" t="inlineStr">
        <is>
          <t>SCA</t>
        </is>
      </c>
      <c r="G1127" t="n">
        <v>1</v>
      </c>
      <c r="H1127" t="n">
        <v>0</v>
      </c>
      <c r="I1127" t="n">
        <v>0</v>
      </c>
      <c r="J1127" t="n">
        <v>2</v>
      </c>
      <c r="K1127" t="n">
        <v>0</v>
      </c>
      <c r="L1127" t="n">
        <v>0</v>
      </c>
      <c r="M1127" t="n">
        <v>0</v>
      </c>
      <c r="N1127" t="n">
        <v>0</v>
      </c>
      <c r="O1127" t="n">
        <v>2</v>
      </c>
      <c r="P1127" t="n">
        <v>0</v>
      </c>
      <c r="Q1127" t="n">
        <v>2</v>
      </c>
      <c r="R1127" s="2" t="inlineStr">
        <is>
          <t>Bredbrämad bastardsvärmare
Brunklöver</t>
        </is>
      </c>
      <c r="S1127">
        <f>HYPERLINK("https://klasma.github.io/Logging_2305/artfynd/A 30607-2022 artfynd.xlsx", "A 30607-2022")</f>
        <v/>
      </c>
      <c r="T1127">
        <f>HYPERLINK("https://klasma.github.io/Logging_2305/kartor/A 30607-2022 karta.png", "A 30607-2022")</f>
        <v/>
      </c>
      <c r="V1127">
        <f>HYPERLINK("https://klasma.github.io/Logging_2305/klagomål/A 30607-2022 FSC-klagomål.docx", "A 30607-2022")</f>
        <v/>
      </c>
      <c r="W1127">
        <f>HYPERLINK("https://klasma.github.io/Logging_2305/klagomålsmail/A 30607-2022 FSC-klagomål mail.docx", "A 30607-2022")</f>
        <v/>
      </c>
      <c r="X1127">
        <f>HYPERLINK("https://klasma.github.io/Logging_2305/tillsyn/A 30607-2022 tillsynsbegäran.docx", "A 30607-2022")</f>
        <v/>
      </c>
      <c r="Y1127">
        <f>HYPERLINK("https://klasma.github.io/Logging_2305/tillsynsmail/A 30607-2022 tillsynsbegäran mail.docx", "A 30607-2022")</f>
        <v/>
      </c>
    </row>
    <row r="1128" ht="15" customHeight="1">
      <c r="A1128" t="inlineStr">
        <is>
          <t>A 48930-2022</t>
        </is>
      </c>
      <c r="B1128" s="1" t="n">
        <v>44859</v>
      </c>
      <c r="C1128" s="1" t="n">
        <v>46045</v>
      </c>
      <c r="D1128" t="inlineStr">
        <is>
          <t>JÄMTLANDS LÄN</t>
        </is>
      </c>
      <c r="E1128" t="inlineStr">
        <is>
          <t>BRÄCKE</t>
        </is>
      </c>
      <c r="F1128" t="inlineStr">
        <is>
          <t>SCA</t>
        </is>
      </c>
      <c r="G1128" t="n">
        <v>1.2</v>
      </c>
      <c r="H1128" t="n">
        <v>0</v>
      </c>
      <c r="I1128" t="n">
        <v>1</v>
      </c>
      <c r="J1128" t="n">
        <v>1</v>
      </c>
      <c r="K1128" t="n">
        <v>0</v>
      </c>
      <c r="L1128" t="n">
        <v>0</v>
      </c>
      <c r="M1128" t="n">
        <v>0</v>
      </c>
      <c r="N1128" t="n">
        <v>0</v>
      </c>
      <c r="O1128" t="n">
        <v>1</v>
      </c>
      <c r="P1128" t="n">
        <v>0</v>
      </c>
      <c r="Q1128" t="n">
        <v>2</v>
      </c>
      <c r="R1128" s="2" t="inlineStr">
        <is>
          <t>Lunglav
Luddlav</t>
        </is>
      </c>
      <c r="S1128">
        <f>HYPERLINK("https://klasma.github.io/Logging_2305/artfynd/A 48930-2022 artfynd.xlsx", "A 48930-2022")</f>
        <v/>
      </c>
      <c r="T1128">
        <f>HYPERLINK("https://klasma.github.io/Logging_2305/kartor/A 48930-2022 karta.png", "A 48930-2022")</f>
        <v/>
      </c>
      <c r="V1128">
        <f>HYPERLINK("https://klasma.github.io/Logging_2305/klagomål/A 48930-2022 FSC-klagomål.docx", "A 48930-2022")</f>
        <v/>
      </c>
      <c r="W1128">
        <f>HYPERLINK("https://klasma.github.io/Logging_2305/klagomålsmail/A 48930-2022 FSC-klagomål mail.docx", "A 48930-2022")</f>
        <v/>
      </c>
      <c r="X1128">
        <f>HYPERLINK("https://klasma.github.io/Logging_2305/tillsyn/A 48930-2022 tillsynsbegäran.docx", "A 48930-2022")</f>
        <v/>
      </c>
      <c r="Y1128">
        <f>HYPERLINK("https://klasma.github.io/Logging_2305/tillsynsmail/A 48930-2022 tillsynsbegäran mail.docx", "A 48930-2022")</f>
        <v/>
      </c>
    </row>
    <row r="1129" ht="15" customHeight="1">
      <c r="A1129" t="inlineStr">
        <is>
          <t>A 54624-2022</t>
        </is>
      </c>
      <c r="B1129" s="1" t="n">
        <v>44883</v>
      </c>
      <c r="C1129" s="1" t="n">
        <v>46045</v>
      </c>
      <c r="D1129" t="inlineStr">
        <is>
          <t>JÄMTLANDS LÄN</t>
        </is>
      </c>
      <c r="E1129" t="inlineStr">
        <is>
          <t>BRÄCKE</t>
        </is>
      </c>
      <c r="G1129" t="n">
        <v>3.9</v>
      </c>
      <c r="H1129" t="n">
        <v>0</v>
      </c>
      <c r="I1129" t="n">
        <v>0</v>
      </c>
      <c r="J1129" t="n">
        <v>2</v>
      </c>
      <c r="K1129" t="n">
        <v>0</v>
      </c>
      <c r="L1129" t="n">
        <v>0</v>
      </c>
      <c r="M1129" t="n">
        <v>0</v>
      </c>
      <c r="N1129" t="n">
        <v>0</v>
      </c>
      <c r="O1129" t="n">
        <v>2</v>
      </c>
      <c r="P1129" t="n">
        <v>0</v>
      </c>
      <c r="Q1129" t="n">
        <v>2</v>
      </c>
      <c r="R1129" s="2" t="inlineStr">
        <is>
          <t>Granticka
Lunglav</t>
        </is>
      </c>
      <c r="S1129">
        <f>HYPERLINK("https://klasma.github.io/Logging_2305/artfynd/A 54624-2022 artfynd.xlsx", "A 54624-2022")</f>
        <v/>
      </c>
      <c r="T1129">
        <f>HYPERLINK("https://klasma.github.io/Logging_2305/kartor/A 54624-2022 karta.png", "A 54624-2022")</f>
        <v/>
      </c>
      <c r="V1129">
        <f>HYPERLINK("https://klasma.github.io/Logging_2305/klagomål/A 54624-2022 FSC-klagomål.docx", "A 54624-2022")</f>
        <v/>
      </c>
      <c r="W1129">
        <f>HYPERLINK("https://klasma.github.io/Logging_2305/klagomålsmail/A 54624-2022 FSC-klagomål mail.docx", "A 54624-2022")</f>
        <v/>
      </c>
      <c r="X1129">
        <f>HYPERLINK("https://klasma.github.io/Logging_2305/tillsyn/A 54624-2022 tillsynsbegäran.docx", "A 54624-2022")</f>
        <v/>
      </c>
      <c r="Y1129">
        <f>HYPERLINK("https://klasma.github.io/Logging_2305/tillsynsmail/A 54624-2022 tillsynsbegäran mail.docx", "A 54624-2022")</f>
        <v/>
      </c>
    </row>
    <row r="1130" ht="15" customHeight="1">
      <c r="A1130" t="inlineStr">
        <is>
          <t>A 48059-2022</t>
        </is>
      </c>
      <c r="B1130" s="1" t="n">
        <v>44855</v>
      </c>
      <c r="C1130" s="1" t="n">
        <v>46045</v>
      </c>
      <c r="D1130" t="inlineStr">
        <is>
          <t>JÄMTLANDS LÄN</t>
        </is>
      </c>
      <c r="E1130" t="inlineStr">
        <is>
          <t>RAGUNDA</t>
        </is>
      </c>
      <c r="F1130" t="inlineStr">
        <is>
          <t>SCA</t>
        </is>
      </c>
      <c r="G1130" t="n">
        <v>3.2</v>
      </c>
      <c r="H1130" t="n">
        <v>0</v>
      </c>
      <c r="I1130" t="n">
        <v>0</v>
      </c>
      <c r="J1130" t="n">
        <v>2</v>
      </c>
      <c r="K1130" t="n">
        <v>0</v>
      </c>
      <c r="L1130" t="n">
        <v>0</v>
      </c>
      <c r="M1130" t="n">
        <v>0</v>
      </c>
      <c r="N1130" t="n">
        <v>0</v>
      </c>
      <c r="O1130" t="n">
        <v>2</v>
      </c>
      <c r="P1130" t="n">
        <v>0</v>
      </c>
      <c r="Q1130" t="n">
        <v>2</v>
      </c>
      <c r="R1130" s="2" t="inlineStr">
        <is>
          <t>Garnlav
Lunglav</t>
        </is>
      </c>
      <c r="S1130">
        <f>HYPERLINK("https://klasma.github.io/Logging_2303/artfynd/A 48059-2022 artfynd.xlsx", "A 48059-2022")</f>
        <v/>
      </c>
      <c r="T1130">
        <f>HYPERLINK("https://klasma.github.io/Logging_2303/kartor/A 48059-2022 karta.png", "A 48059-2022")</f>
        <v/>
      </c>
      <c r="V1130">
        <f>HYPERLINK("https://klasma.github.io/Logging_2303/klagomål/A 48059-2022 FSC-klagomål.docx", "A 48059-2022")</f>
        <v/>
      </c>
      <c r="W1130">
        <f>HYPERLINK("https://klasma.github.io/Logging_2303/klagomålsmail/A 48059-2022 FSC-klagomål mail.docx", "A 48059-2022")</f>
        <v/>
      </c>
      <c r="X1130">
        <f>HYPERLINK("https://klasma.github.io/Logging_2303/tillsyn/A 48059-2022 tillsynsbegäran.docx", "A 48059-2022")</f>
        <v/>
      </c>
      <c r="Y1130">
        <f>HYPERLINK("https://klasma.github.io/Logging_2303/tillsynsmail/A 48059-2022 tillsynsbegäran mail.docx", "A 48059-2022")</f>
        <v/>
      </c>
    </row>
    <row r="1131" ht="15" customHeight="1">
      <c r="A1131" t="inlineStr">
        <is>
          <t>A 22526-2021</t>
        </is>
      </c>
      <c r="B1131" s="1" t="n">
        <v>44326</v>
      </c>
      <c r="C1131" s="1" t="n">
        <v>46045</v>
      </c>
      <c r="D1131" t="inlineStr">
        <is>
          <t>JÄMTLANDS LÄN</t>
        </is>
      </c>
      <c r="E1131" t="inlineStr">
        <is>
          <t>STRÖMSUND</t>
        </is>
      </c>
      <c r="F1131" t="inlineStr">
        <is>
          <t>SCA</t>
        </is>
      </c>
      <c r="G1131" t="n">
        <v>2.8</v>
      </c>
      <c r="H1131" t="n">
        <v>0</v>
      </c>
      <c r="I1131" t="n">
        <v>1</v>
      </c>
      <c r="J1131" t="n">
        <v>1</v>
      </c>
      <c r="K1131" t="n">
        <v>0</v>
      </c>
      <c r="L1131" t="n">
        <v>0</v>
      </c>
      <c r="M1131" t="n">
        <v>0</v>
      </c>
      <c r="N1131" t="n">
        <v>0</v>
      </c>
      <c r="O1131" t="n">
        <v>1</v>
      </c>
      <c r="P1131" t="n">
        <v>0</v>
      </c>
      <c r="Q1131" t="n">
        <v>2</v>
      </c>
      <c r="R1131" s="2" t="inlineStr">
        <is>
          <t>Lunglav
Stuplav</t>
        </is>
      </c>
      <c r="S1131">
        <f>HYPERLINK("https://klasma.github.io/Logging_2313/artfynd/A 22526-2021 artfynd.xlsx", "A 22526-2021")</f>
        <v/>
      </c>
      <c r="T1131">
        <f>HYPERLINK("https://klasma.github.io/Logging_2313/kartor/A 22526-2021 karta.png", "A 22526-2021")</f>
        <v/>
      </c>
      <c r="V1131">
        <f>HYPERLINK("https://klasma.github.io/Logging_2313/klagomål/A 22526-2021 FSC-klagomål.docx", "A 22526-2021")</f>
        <v/>
      </c>
      <c r="W1131">
        <f>HYPERLINK("https://klasma.github.io/Logging_2313/klagomålsmail/A 22526-2021 FSC-klagomål mail.docx", "A 22526-2021")</f>
        <v/>
      </c>
      <c r="X1131">
        <f>HYPERLINK("https://klasma.github.io/Logging_2313/tillsyn/A 22526-2021 tillsynsbegäran.docx", "A 22526-2021")</f>
        <v/>
      </c>
      <c r="Y1131">
        <f>HYPERLINK("https://klasma.github.io/Logging_2313/tillsynsmail/A 22526-2021 tillsynsbegäran mail.docx", "A 22526-2021")</f>
        <v/>
      </c>
    </row>
    <row r="1132" ht="15" customHeight="1">
      <c r="A1132" t="inlineStr">
        <is>
          <t>A 25696-2021</t>
        </is>
      </c>
      <c r="B1132" s="1" t="n">
        <v>44343</v>
      </c>
      <c r="C1132" s="1" t="n">
        <v>46045</v>
      </c>
      <c r="D1132" t="inlineStr">
        <is>
          <t>JÄMTLANDS LÄN</t>
        </is>
      </c>
      <c r="E1132" t="inlineStr">
        <is>
          <t>BRÄCKE</t>
        </is>
      </c>
      <c r="G1132" t="n">
        <v>13.4</v>
      </c>
      <c r="H1132" t="n">
        <v>0</v>
      </c>
      <c r="I1132" t="n">
        <v>0</v>
      </c>
      <c r="J1132" t="n">
        <v>2</v>
      </c>
      <c r="K1132" t="n">
        <v>0</v>
      </c>
      <c r="L1132" t="n">
        <v>0</v>
      </c>
      <c r="M1132" t="n">
        <v>0</v>
      </c>
      <c r="N1132" t="n">
        <v>0</v>
      </c>
      <c r="O1132" t="n">
        <v>2</v>
      </c>
      <c r="P1132" t="n">
        <v>0</v>
      </c>
      <c r="Q1132" t="n">
        <v>2</v>
      </c>
      <c r="R1132" s="2" t="inlineStr">
        <is>
          <t>Rosenticka
Ullticka</t>
        </is>
      </c>
      <c r="S1132">
        <f>HYPERLINK("https://klasma.github.io/Logging_2305/artfynd/A 25696-2021 artfynd.xlsx", "A 25696-2021")</f>
        <v/>
      </c>
      <c r="T1132">
        <f>HYPERLINK("https://klasma.github.io/Logging_2305/kartor/A 25696-2021 karta.png", "A 25696-2021")</f>
        <v/>
      </c>
      <c r="V1132">
        <f>HYPERLINK("https://klasma.github.io/Logging_2305/klagomål/A 25696-2021 FSC-klagomål.docx", "A 25696-2021")</f>
        <v/>
      </c>
      <c r="W1132">
        <f>HYPERLINK("https://klasma.github.io/Logging_2305/klagomålsmail/A 25696-2021 FSC-klagomål mail.docx", "A 25696-2021")</f>
        <v/>
      </c>
      <c r="X1132">
        <f>HYPERLINK("https://klasma.github.io/Logging_2305/tillsyn/A 25696-2021 tillsynsbegäran.docx", "A 25696-2021")</f>
        <v/>
      </c>
      <c r="Y1132">
        <f>HYPERLINK("https://klasma.github.io/Logging_2305/tillsynsmail/A 25696-2021 tillsynsbegäran mail.docx", "A 25696-2021")</f>
        <v/>
      </c>
    </row>
    <row r="1133" ht="15" customHeight="1">
      <c r="A1133" t="inlineStr">
        <is>
          <t>A 28151-2021</t>
        </is>
      </c>
      <c r="B1133" s="1" t="n">
        <v>44355</v>
      </c>
      <c r="C1133" s="1" t="n">
        <v>46045</v>
      </c>
      <c r="D1133" t="inlineStr">
        <is>
          <t>JÄMTLANDS LÄN</t>
        </is>
      </c>
      <c r="E1133" t="inlineStr">
        <is>
          <t>KROKOM</t>
        </is>
      </c>
      <c r="G1133" t="n">
        <v>19.6</v>
      </c>
      <c r="H1133" t="n">
        <v>0</v>
      </c>
      <c r="I1133" t="n">
        <v>0</v>
      </c>
      <c r="J1133" t="n">
        <v>2</v>
      </c>
      <c r="K1133" t="n">
        <v>0</v>
      </c>
      <c r="L1133" t="n">
        <v>0</v>
      </c>
      <c r="M1133" t="n">
        <v>0</v>
      </c>
      <c r="N1133" t="n">
        <v>0</v>
      </c>
      <c r="O1133" t="n">
        <v>2</v>
      </c>
      <c r="P1133" t="n">
        <v>0</v>
      </c>
      <c r="Q1133" t="n">
        <v>2</v>
      </c>
      <c r="R1133" s="2" t="inlineStr">
        <is>
          <t>Granticka
Lunglav</t>
        </is>
      </c>
      <c r="S1133">
        <f>HYPERLINK("https://klasma.github.io/Logging_2309/artfynd/A 28151-2021 artfynd.xlsx", "A 28151-2021")</f>
        <v/>
      </c>
      <c r="T1133">
        <f>HYPERLINK("https://klasma.github.io/Logging_2309/kartor/A 28151-2021 karta.png", "A 28151-2021")</f>
        <v/>
      </c>
      <c r="V1133">
        <f>HYPERLINK("https://klasma.github.io/Logging_2309/klagomål/A 28151-2021 FSC-klagomål.docx", "A 28151-2021")</f>
        <v/>
      </c>
      <c r="W1133">
        <f>HYPERLINK("https://klasma.github.io/Logging_2309/klagomålsmail/A 28151-2021 FSC-klagomål mail.docx", "A 28151-2021")</f>
        <v/>
      </c>
      <c r="X1133">
        <f>HYPERLINK("https://klasma.github.io/Logging_2309/tillsyn/A 28151-2021 tillsynsbegäran.docx", "A 28151-2021")</f>
        <v/>
      </c>
      <c r="Y1133">
        <f>HYPERLINK("https://klasma.github.io/Logging_2309/tillsynsmail/A 28151-2021 tillsynsbegäran mail.docx", "A 28151-2021")</f>
        <v/>
      </c>
    </row>
    <row r="1134" ht="15" customHeight="1">
      <c r="A1134" t="inlineStr">
        <is>
          <t>A 51950-2021</t>
        </is>
      </c>
      <c r="B1134" s="1" t="n">
        <v>44462.9562037037</v>
      </c>
      <c r="C1134" s="1" t="n">
        <v>46045</v>
      </c>
      <c r="D1134" t="inlineStr">
        <is>
          <t>JÄMTLANDS LÄN</t>
        </is>
      </c>
      <c r="E1134" t="inlineStr">
        <is>
          <t>BERG</t>
        </is>
      </c>
      <c r="F1134" t="inlineStr">
        <is>
          <t>SCA</t>
        </is>
      </c>
      <c r="G1134" t="n">
        <v>0.8</v>
      </c>
      <c r="H1134" t="n">
        <v>0</v>
      </c>
      <c r="I1134" t="n">
        <v>0</v>
      </c>
      <c r="J1134" t="n">
        <v>2</v>
      </c>
      <c r="K1134" t="n">
        <v>0</v>
      </c>
      <c r="L1134" t="n">
        <v>0</v>
      </c>
      <c r="M1134" t="n">
        <v>0</v>
      </c>
      <c r="N1134" t="n">
        <v>0</v>
      </c>
      <c r="O1134" t="n">
        <v>2</v>
      </c>
      <c r="P1134" t="n">
        <v>0</v>
      </c>
      <c r="Q1134" t="n">
        <v>2</v>
      </c>
      <c r="R1134" s="2" t="inlineStr">
        <is>
          <t>Garnlav
Vedflamlav</t>
        </is>
      </c>
      <c r="S1134">
        <f>HYPERLINK("https://klasma.github.io/Logging_2326/artfynd/A 51950-2021 artfynd.xlsx", "A 51950-2021")</f>
        <v/>
      </c>
      <c r="T1134">
        <f>HYPERLINK("https://klasma.github.io/Logging_2326/kartor/A 51950-2021 karta.png", "A 51950-2021")</f>
        <v/>
      </c>
      <c r="V1134">
        <f>HYPERLINK("https://klasma.github.io/Logging_2326/klagomål/A 51950-2021 FSC-klagomål.docx", "A 51950-2021")</f>
        <v/>
      </c>
      <c r="W1134">
        <f>HYPERLINK("https://klasma.github.io/Logging_2326/klagomålsmail/A 51950-2021 FSC-klagomål mail.docx", "A 51950-2021")</f>
        <v/>
      </c>
      <c r="X1134">
        <f>HYPERLINK("https://klasma.github.io/Logging_2326/tillsyn/A 51950-2021 tillsynsbegäran.docx", "A 51950-2021")</f>
        <v/>
      </c>
      <c r="Y1134">
        <f>HYPERLINK("https://klasma.github.io/Logging_2326/tillsynsmail/A 51950-2021 tillsynsbegäran mail.docx", "A 51950-2021")</f>
        <v/>
      </c>
    </row>
    <row r="1135" ht="15" customHeight="1">
      <c r="A1135" t="inlineStr">
        <is>
          <t>A 34271-2022</t>
        </is>
      </c>
      <c r="B1135" s="1" t="n">
        <v>44791.94581018519</v>
      </c>
      <c r="C1135" s="1" t="n">
        <v>46045</v>
      </c>
      <c r="D1135" t="inlineStr">
        <is>
          <t>JÄMTLANDS LÄN</t>
        </is>
      </c>
      <c r="E1135" t="inlineStr">
        <is>
          <t>BERG</t>
        </is>
      </c>
      <c r="F1135" t="inlineStr">
        <is>
          <t>SCA</t>
        </is>
      </c>
      <c r="G1135" t="n">
        <v>17</v>
      </c>
      <c r="H1135" t="n">
        <v>2</v>
      </c>
      <c r="I1135" t="n">
        <v>0</v>
      </c>
      <c r="J1135" t="n">
        <v>2</v>
      </c>
      <c r="K1135" t="n">
        <v>0</v>
      </c>
      <c r="L1135" t="n">
        <v>0</v>
      </c>
      <c r="M1135" t="n">
        <v>0</v>
      </c>
      <c r="N1135" t="n">
        <v>0</v>
      </c>
      <c r="O1135" t="n">
        <v>2</v>
      </c>
      <c r="P1135" t="n">
        <v>0</v>
      </c>
      <c r="Q1135" t="n">
        <v>2</v>
      </c>
      <c r="R1135" s="2" t="inlineStr">
        <is>
          <t>Mindre hackspett
Spillkråka</t>
        </is>
      </c>
      <c r="S1135">
        <f>HYPERLINK("https://klasma.github.io/Logging_2326/artfynd/A 34271-2022 artfynd.xlsx", "A 34271-2022")</f>
        <v/>
      </c>
      <c r="T1135">
        <f>HYPERLINK("https://klasma.github.io/Logging_2326/kartor/A 34271-2022 karta.png", "A 34271-2022")</f>
        <v/>
      </c>
      <c r="V1135">
        <f>HYPERLINK("https://klasma.github.io/Logging_2326/klagomål/A 34271-2022 FSC-klagomål.docx", "A 34271-2022")</f>
        <v/>
      </c>
      <c r="W1135">
        <f>HYPERLINK("https://klasma.github.io/Logging_2326/klagomålsmail/A 34271-2022 FSC-klagomål mail.docx", "A 34271-2022")</f>
        <v/>
      </c>
      <c r="X1135">
        <f>HYPERLINK("https://klasma.github.io/Logging_2326/tillsyn/A 34271-2022 tillsynsbegäran.docx", "A 34271-2022")</f>
        <v/>
      </c>
      <c r="Y1135">
        <f>HYPERLINK("https://klasma.github.io/Logging_2326/tillsynsmail/A 34271-2022 tillsynsbegäran mail.docx", "A 34271-2022")</f>
        <v/>
      </c>
      <c r="Z1135">
        <f>HYPERLINK("https://klasma.github.io/Logging_2326/fåglar/A 34271-2022 prioriterade fågelarter.docx", "A 34271-2022")</f>
        <v/>
      </c>
    </row>
    <row r="1136" ht="15" customHeight="1">
      <c r="A1136" t="inlineStr">
        <is>
          <t>A 15679-2021</t>
        </is>
      </c>
      <c r="B1136" s="1" t="n">
        <v>44286</v>
      </c>
      <c r="C1136" s="1" t="n">
        <v>46045</v>
      </c>
      <c r="D1136" t="inlineStr">
        <is>
          <t>JÄMTLANDS LÄN</t>
        </is>
      </c>
      <c r="E1136" t="inlineStr">
        <is>
          <t>HÄRJEDALEN</t>
        </is>
      </c>
      <c r="G1136" t="n">
        <v>20.9</v>
      </c>
      <c r="H1136" t="n">
        <v>0</v>
      </c>
      <c r="I1136" t="n">
        <v>0</v>
      </c>
      <c r="J1136" t="n">
        <v>2</v>
      </c>
      <c r="K1136" t="n">
        <v>0</v>
      </c>
      <c r="L1136" t="n">
        <v>0</v>
      </c>
      <c r="M1136" t="n">
        <v>0</v>
      </c>
      <c r="N1136" t="n">
        <v>0</v>
      </c>
      <c r="O1136" t="n">
        <v>2</v>
      </c>
      <c r="P1136" t="n">
        <v>0</v>
      </c>
      <c r="Q1136" t="n">
        <v>2</v>
      </c>
      <c r="R1136" s="2" t="inlineStr">
        <is>
          <t>Gränsticka
Hornvaxskinn</t>
        </is>
      </c>
      <c r="S1136">
        <f>HYPERLINK("https://klasma.github.io/Logging_2361/artfynd/A 15679-2021 artfynd.xlsx", "A 15679-2021")</f>
        <v/>
      </c>
      <c r="T1136">
        <f>HYPERLINK("https://klasma.github.io/Logging_2361/kartor/A 15679-2021 karta.png", "A 15679-2021")</f>
        <v/>
      </c>
      <c r="V1136">
        <f>HYPERLINK("https://klasma.github.io/Logging_2361/klagomål/A 15679-2021 FSC-klagomål.docx", "A 15679-2021")</f>
        <v/>
      </c>
      <c r="W1136">
        <f>HYPERLINK("https://klasma.github.io/Logging_2361/klagomålsmail/A 15679-2021 FSC-klagomål mail.docx", "A 15679-2021")</f>
        <v/>
      </c>
      <c r="X1136">
        <f>HYPERLINK("https://klasma.github.io/Logging_2361/tillsyn/A 15679-2021 tillsynsbegäran.docx", "A 15679-2021")</f>
        <v/>
      </c>
      <c r="Y1136">
        <f>HYPERLINK("https://klasma.github.io/Logging_2361/tillsynsmail/A 15679-2021 tillsynsbegäran mail.docx", "A 15679-2021")</f>
        <v/>
      </c>
    </row>
    <row r="1137" ht="15" customHeight="1">
      <c r="A1137" t="inlineStr">
        <is>
          <t>A 42291-2022</t>
        </is>
      </c>
      <c r="B1137" s="1" t="n">
        <v>44830</v>
      </c>
      <c r="C1137" s="1" t="n">
        <v>46045</v>
      </c>
      <c r="D1137" t="inlineStr">
        <is>
          <t>JÄMTLANDS LÄN</t>
        </is>
      </c>
      <c r="E1137" t="inlineStr">
        <is>
          <t>BRÄCKE</t>
        </is>
      </c>
      <c r="F1137" t="inlineStr">
        <is>
          <t>SCA</t>
        </is>
      </c>
      <c r="G1137" t="n">
        <v>4</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HYPERLINK("https://klasma.github.io/Logging_2305/artfynd/A 42291-2022 artfynd.xlsx", "A 42291-2022")</f>
        <v/>
      </c>
      <c r="T1137">
        <f>HYPERLINK("https://klasma.github.io/Logging_2305/kartor/A 42291-2022 karta.png", "A 42291-2022")</f>
        <v/>
      </c>
      <c r="V1137">
        <f>HYPERLINK("https://klasma.github.io/Logging_2305/klagomål/A 42291-2022 FSC-klagomål.docx", "A 42291-2022")</f>
        <v/>
      </c>
      <c r="W1137">
        <f>HYPERLINK("https://klasma.github.io/Logging_2305/klagomålsmail/A 42291-2022 FSC-klagomål mail.docx", "A 42291-2022")</f>
        <v/>
      </c>
      <c r="X1137">
        <f>HYPERLINK("https://klasma.github.io/Logging_2305/tillsyn/A 42291-2022 tillsynsbegäran.docx", "A 42291-2022")</f>
        <v/>
      </c>
      <c r="Y1137">
        <f>HYPERLINK("https://klasma.github.io/Logging_2305/tillsynsmail/A 42291-2022 tillsynsbegäran mail.docx", "A 42291-2022")</f>
        <v/>
      </c>
    </row>
    <row r="1138" ht="15" customHeight="1">
      <c r="A1138" t="inlineStr">
        <is>
          <t>A 30060-2022</t>
        </is>
      </c>
      <c r="B1138" s="1" t="n">
        <v>44757</v>
      </c>
      <c r="C1138" s="1" t="n">
        <v>46045</v>
      </c>
      <c r="D1138" t="inlineStr">
        <is>
          <t>JÄMTLANDS LÄN</t>
        </is>
      </c>
      <c r="E1138" t="inlineStr">
        <is>
          <t>KROKOM</t>
        </is>
      </c>
      <c r="G1138" t="n">
        <v>0.6</v>
      </c>
      <c r="H1138" t="n">
        <v>1</v>
      </c>
      <c r="I1138" t="n">
        <v>0</v>
      </c>
      <c r="J1138" t="n">
        <v>2</v>
      </c>
      <c r="K1138" t="n">
        <v>0</v>
      </c>
      <c r="L1138" t="n">
        <v>0</v>
      </c>
      <c r="M1138" t="n">
        <v>0</v>
      </c>
      <c r="N1138" t="n">
        <v>0</v>
      </c>
      <c r="O1138" t="n">
        <v>2</v>
      </c>
      <c r="P1138" t="n">
        <v>0</v>
      </c>
      <c r="Q1138" t="n">
        <v>2</v>
      </c>
      <c r="R1138" s="2" t="inlineStr">
        <is>
          <t>Tretåig hackspett
Ullticka</t>
        </is>
      </c>
      <c r="S1138">
        <f>HYPERLINK("https://klasma.github.io/Logging_2309/artfynd/A 30060-2022 artfynd.xlsx", "A 30060-2022")</f>
        <v/>
      </c>
      <c r="T1138">
        <f>HYPERLINK("https://klasma.github.io/Logging_2309/kartor/A 30060-2022 karta.png", "A 30060-2022")</f>
        <v/>
      </c>
      <c r="V1138">
        <f>HYPERLINK("https://klasma.github.io/Logging_2309/klagomål/A 30060-2022 FSC-klagomål.docx", "A 30060-2022")</f>
        <v/>
      </c>
      <c r="W1138">
        <f>HYPERLINK("https://klasma.github.io/Logging_2309/klagomålsmail/A 30060-2022 FSC-klagomål mail.docx", "A 30060-2022")</f>
        <v/>
      </c>
      <c r="X1138">
        <f>HYPERLINK("https://klasma.github.io/Logging_2309/tillsyn/A 30060-2022 tillsynsbegäran.docx", "A 30060-2022")</f>
        <v/>
      </c>
      <c r="Y1138">
        <f>HYPERLINK("https://klasma.github.io/Logging_2309/tillsynsmail/A 30060-2022 tillsynsbegäran mail.docx", "A 30060-2022")</f>
        <v/>
      </c>
      <c r="Z1138">
        <f>HYPERLINK("https://klasma.github.io/Logging_2309/fåglar/A 30060-2022 prioriterade fågelarter.docx", "A 30060-2022")</f>
        <v/>
      </c>
    </row>
    <row r="1139" ht="15" customHeight="1">
      <c r="A1139" t="inlineStr">
        <is>
          <t>A 47937-2021</t>
        </is>
      </c>
      <c r="B1139" s="1" t="n">
        <v>44448</v>
      </c>
      <c r="C1139" s="1" t="n">
        <v>46045</v>
      </c>
      <c r="D1139" t="inlineStr">
        <is>
          <t>JÄMTLANDS LÄN</t>
        </is>
      </c>
      <c r="E1139" t="inlineStr">
        <is>
          <t>STRÖMSUND</t>
        </is>
      </c>
      <c r="F1139" t="inlineStr">
        <is>
          <t>SCA</t>
        </is>
      </c>
      <c r="G1139" t="n">
        <v>1.9</v>
      </c>
      <c r="H1139" t="n">
        <v>1</v>
      </c>
      <c r="I1139" t="n">
        <v>0</v>
      </c>
      <c r="J1139" t="n">
        <v>1</v>
      </c>
      <c r="K1139" t="n">
        <v>1</v>
      </c>
      <c r="L1139" t="n">
        <v>0</v>
      </c>
      <c r="M1139" t="n">
        <v>0</v>
      </c>
      <c r="N1139" t="n">
        <v>0</v>
      </c>
      <c r="O1139" t="n">
        <v>2</v>
      </c>
      <c r="P1139" t="n">
        <v>1</v>
      </c>
      <c r="Q1139" t="n">
        <v>2</v>
      </c>
      <c r="R1139" s="2" t="inlineStr">
        <is>
          <t>Knärot
Granticka</t>
        </is>
      </c>
      <c r="S1139">
        <f>HYPERLINK("https://klasma.github.io/Logging_2313/artfynd/A 47937-2021 artfynd.xlsx", "A 47937-2021")</f>
        <v/>
      </c>
      <c r="T1139">
        <f>HYPERLINK("https://klasma.github.io/Logging_2313/kartor/A 47937-2021 karta.png", "A 47937-2021")</f>
        <v/>
      </c>
      <c r="U1139">
        <f>HYPERLINK("https://klasma.github.io/Logging_2313/knärot/A 47937-2021 karta knärot.png", "A 47937-2021")</f>
        <v/>
      </c>
      <c r="V1139">
        <f>HYPERLINK("https://klasma.github.io/Logging_2313/klagomål/A 47937-2021 FSC-klagomål.docx", "A 47937-2021")</f>
        <v/>
      </c>
      <c r="W1139">
        <f>HYPERLINK("https://klasma.github.io/Logging_2313/klagomålsmail/A 47937-2021 FSC-klagomål mail.docx", "A 47937-2021")</f>
        <v/>
      </c>
      <c r="X1139">
        <f>HYPERLINK("https://klasma.github.io/Logging_2313/tillsyn/A 47937-2021 tillsynsbegäran.docx", "A 47937-2021")</f>
        <v/>
      </c>
      <c r="Y1139">
        <f>HYPERLINK("https://klasma.github.io/Logging_2313/tillsynsmail/A 47937-2021 tillsynsbegäran mail.docx", "A 47937-2021")</f>
        <v/>
      </c>
    </row>
    <row r="1140" ht="15" customHeight="1">
      <c r="A1140" t="inlineStr">
        <is>
          <t>A 20981-2021</t>
        </is>
      </c>
      <c r="B1140" s="1" t="n">
        <v>44316</v>
      </c>
      <c r="C1140" s="1" t="n">
        <v>46045</v>
      </c>
      <c r="D1140" t="inlineStr">
        <is>
          <t>JÄMTLANDS LÄN</t>
        </is>
      </c>
      <c r="E1140" t="inlineStr">
        <is>
          <t>KROKOM</t>
        </is>
      </c>
      <c r="G1140" t="n">
        <v>27.4</v>
      </c>
      <c r="H1140" t="n">
        <v>0</v>
      </c>
      <c r="I1140" t="n">
        <v>1</v>
      </c>
      <c r="J1140" t="n">
        <v>1</v>
      </c>
      <c r="K1140" t="n">
        <v>0</v>
      </c>
      <c r="L1140" t="n">
        <v>0</v>
      </c>
      <c r="M1140" t="n">
        <v>0</v>
      </c>
      <c r="N1140" t="n">
        <v>0</v>
      </c>
      <c r="O1140" t="n">
        <v>1</v>
      </c>
      <c r="P1140" t="n">
        <v>0</v>
      </c>
      <c r="Q1140" t="n">
        <v>2</v>
      </c>
      <c r="R1140" s="2" t="inlineStr">
        <is>
          <t>Harticka
Trådticka</t>
        </is>
      </c>
      <c r="S1140">
        <f>HYPERLINK("https://klasma.github.io/Logging_2309/artfynd/A 20981-2021 artfynd.xlsx", "A 20981-2021")</f>
        <v/>
      </c>
      <c r="T1140">
        <f>HYPERLINK("https://klasma.github.io/Logging_2309/kartor/A 20981-2021 karta.png", "A 20981-2021")</f>
        <v/>
      </c>
      <c r="V1140">
        <f>HYPERLINK("https://klasma.github.io/Logging_2309/klagomål/A 20981-2021 FSC-klagomål.docx", "A 20981-2021")</f>
        <v/>
      </c>
      <c r="W1140">
        <f>HYPERLINK("https://klasma.github.io/Logging_2309/klagomålsmail/A 20981-2021 FSC-klagomål mail.docx", "A 20981-2021")</f>
        <v/>
      </c>
      <c r="X1140">
        <f>HYPERLINK("https://klasma.github.io/Logging_2309/tillsyn/A 20981-2021 tillsynsbegäran.docx", "A 20981-2021")</f>
        <v/>
      </c>
      <c r="Y1140">
        <f>HYPERLINK("https://klasma.github.io/Logging_2309/tillsynsmail/A 20981-2021 tillsynsbegäran mail.docx", "A 20981-2021")</f>
        <v/>
      </c>
    </row>
    <row r="1141" ht="15" customHeight="1">
      <c r="A1141" t="inlineStr">
        <is>
          <t>A 29302-2022</t>
        </is>
      </c>
      <c r="B1141" s="1" t="n">
        <v>44750</v>
      </c>
      <c r="C1141" s="1" t="n">
        <v>46045</v>
      </c>
      <c r="D1141" t="inlineStr">
        <is>
          <t>JÄMTLANDS LÄN</t>
        </is>
      </c>
      <c r="E1141" t="inlineStr">
        <is>
          <t>STRÖMSUND</t>
        </is>
      </c>
      <c r="F1141" t="inlineStr">
        <is>
          <t>SCA</t>
        </is>
      </c>
      <c r="G1141" t="n">
        <v>1.9</v>
      </c>
      <c r="H1141" t="n">
        <v>0</v>
      </c>
      <c r="I1141" t="n">
        <v>0</v>
      </c>
      <c r="J1141" t="n">
        <v>1</v>
      </c>
      <c r="K1141" t="n">
        <v>1</v>
      </c>
      <c r="L1141" t="n">
        <v>0</v>
      </c>
      <c r="M1141" t="n">
        <v>0</v>
      </c>
      <c r="N1141" t="n">
        <v>0</v>
      </c>
      <c r="O1141" t="n">
        <v>2</v>
      </c>
      <c r="P1141" t="n">
        <v>1</v>
      </c>
      <c r="Q1141" t="n">
        <v>2</v>
      </c>
      <c r="R1141" s="2" t="inlineStr">
        <is>
          <t>Ostticka
Garnlav</t>
        </is>
      </c>
      <c r="S1141">
        <f>HYPERLINK("https://klasma.github.io/Logging_2313/artfynd/A 29302-2022 artfynd.xlsx", "A 29302-2022")</f>
        <v/>
      </c>
      <c r="T1141">
        <f>HYPERLINK("https://klasma.github.io/Logging_2313/kartor/A 29302-2022 karta.png", "A 29302-2022")</f>
        <v/>
      </c>
      <c r="V1141">
        <f>HYPERLINK("https://klasma.github.io/Logging_2313/klagomål/A 29302-2022 FSC-klagomål.docx", "A 29302-2022")</f>
        <v/>
      </c>
      <c r="W1141">
        <f>HYPERLINK("https://klasma.github.io/Logging_2313/klagomålsmail/A 29302-2022 FSC-klagomål mail.docx", "A 29302-2022")</f>
        <v/>
      </c>
      <c r="X1141">
        <f>HYPERLINK("https://klasma.github.io/Logging_2313/tillsyn/A 29302-2022 tillsynsbegäran.docx", "A 29302-2022")</f>
        <v/>
      </c>
      <c r="Y1141">
        <f>HYPERLINK("https://klasma.github.io/Logging_2313/tillsynsmail/A 29302-2022 tillsynsbegäran mail.docx", "A 29302-2022")</f>
        <v/>
      </c>
    </row>
    <row r="1142" ht="15" customHeight="1">
      <c r="A1142" t="inlineStr">
        <is>
          <t>A 29301-2022</t>
        </is>
      </c>
      <c r="B1142" s="1" t="n">
        <v>44750</v>
      </c>
      <c r="C1142" s="1" t="n">
        <v>46045</v>
      </c>
      <c r="D1142" t="inlineStr">
        <is>
          <t>JÄMTLANDS LÄN</t>
        </is>
      </c>
      <c r="E1142" t="inlineStr">
        <is>
          <t>STRÖMSUND</t>
        </is>
      </c>
      <c r="F1142" t="inlineStr">
        <is>
          <t>SCA</t>
        </is>
      </c>
      <c r="G1142" t="n">
        <v>6.8</v>
      </c>
      <c r="H1142" t="n">
        <v>0</v>
      </c>
      <c r="I1142" t="n">
        <v>1</v>
      </c>
      <c r="J1142" t="n">
        <v>1</v>
      </c>
      <c r="K1142" t="n">
        <v>0</v>
      </c>
      <c r="L1142" t="n">
        <v>0</v>
      </c>
      <c r="M1142" t="n">
        <v>0</v>
      </c>
      <c r="N1142" t="n">
        <v>0</v>
      </c>
      <c r="O1142" t="n">
        <v>1</v>
      </c>
      <c r="P1142" t="n">
        <v>0</v>
      </c>
      <c r="Q1142" t="n">
        <v>2</v>
      </c>
      <c r="R1142" s="2" t="inlineStr">
        <is>
          <t>Vitgrynig nållav
Källmossa</t>
        </is>
      </c>
      <c r="S1142">
        <f>HYPERLINK("https://klasma.github.io/Logging_2313/artfynd/A 29301-2022 artfynd.xlsx", "A 29301-2022")</f>
        <v/>
      </c>
      <c r="T1142">
        <f>HYPERLINK("https://klasma.github.io/Logging_2313/kartor/A 29301-2022 karta.png", "A 29301-2022")</f>
        <v/>
      </c>
      <c r="V1142">
        <f>HYPERLINK("https://klasma.github.io/Logging_2313/klagomål/A 29301-2022 FSC-klagomål.docx", "A 29301-2022")</f>
        <v/>
      </c>
      <c r="W1142">
        <f>HYPERLINK("https://klasma.github.io/Logging_2313/klagomålsmail/A 29301-2022 FSC-klagomål mail.docx", "A 29301-2022")</f>
        <v/>
      </c>
      <c r="X1142">
        <f>HYPERLINK("https://klasma.github.io/Logging_2313/tillsyn/A 29301-2022 tillsynsbegäran.docx", "A 29301-2022")</f>
        <v/>
      </c>
      <c r="Y1142">
        <f>HYPERLINK("https://klasma.github.io/Logging_2313/tillsynsmail/A 29301-2022 tillsynsbegäran mail.docx", "A 29301-2022")</f>
        <v/>
      </c>
    </row>
    <row r="1143" ht="15" customHeight="1">
      <c r="A1143" t="inlineStr">
        <is>
          <t>A 5527-2021</t>
        </is>
      </c>
      <c r="B1143" s="1" t="n">
        <v>44230</v>
      </c>
      <c r="C1143" s="1" t="n">
        <v>46045</v>
      </c>
      <c r="D1143" t="inlineStr">
        <is>
          <t>JÄMTLANDS LÄN</t>
        </is>
      </c>
      <c r="E1143" t="inlineStr">
        <is>
          <t>KROKOM</t>
        </is>
      </c>
      <c r="G1143" t="n">
        <v>17.8</v>
      </c>
      <c r="H1143" t="n">
        <v>2</v>
      </c>
      <c r="I1143" t="n">
        <v>1</v>
      </c>
      <c r="J1143" t="n">
        <v>0</v>
      </c>
      <c r="K1143" t="n">
        <v>0</v>
      </c>
      <c r="L1143" t="n">
        <v>0</v>
      </c>
      <c r="M1143" t="n">
        <v>0</v>
      </c>
      <c r="N1143" t="n">
        <v>0</v>
      </c>
      <c r="O1143" t="n">
        <v>0</v>
      </c>
      <c r="P1143" t="n">
        <v>0</v>
      </c>
      <c r="Q1143" t="n">
        <v>2</v>
      </c>
      <c r="R1143" s="2" t="inlineStr">
        <is>
          <t>Guckusko
Hökuggla</t>
        </is>
      </c>
      <c r="S1143">
        <f>HYPERLINK("https://klasma.github.io/Logging_2309/artfynd/A 5527-2021 artfynd.xlsx", "A 5527-2021")</f>
        <v/>
      </c>
      <c r="T1143">
        <f>HYPERLINK("https://klasma.github.io/Logging_2309/kartor/A 5527-2021 karta.png", "A 5527-2021")</f>
        <v/>
      </c>
      <c r="V1143">
        <f>HYPERLINK("https://klasma.github.io/Logging_2309/klagomål/A 5527-2021 FSC-klagomål.docx", "A 5527-2021")</f>
        <v/>
      </c>
      <c r="W1143">
        <f>HYPERLINK("https://klasma.github.io/Logging_2309/klagomålsmail/A 5527-2021 FSC-klagomål mail.docx", "A 5527-2021")</f>
        <v/>
      </c>
      <c r="X1143">
        <f>HYPERLINK("https://klasma.github.io/Logging_2309/tillsyn/A 5527-2021 tillsynsbegäran.docx", "A 5527-2021")</f>
        <v/>
      </c>
      <c r="Y1143">
        <f>HYPERLINK("https://klasma.github.io/Logging_2309/tillsynsmail/A 5527-2021 tillsynsbegäran mail.docx", "A 5527-2021")</f>
        <v/>
      </c>
      <c r="Z1143">
        <f>HYPERLINK("https://klasma.github.io/Logging_2309/fåglar/A 5527-2021 prioriterade fågelarter.docx", "A 5527-2021")</f>
        <v/>
      </c>
    </row>
    <row r="1144" ht="15" customHeight="1">
      <c r="A1144" t="inlineStr">
        <is>
          <t>A 14556-2021</t>
        </is>
      </c>
      <c r="B1144" s="1" t="n">
        <v>44279</v>
      </c>
      <c r="C1144" s="1" t="n">
        <v>46045</v>
      </c>
      <c r="D1144" t="inlineStr">
        <is>
          <t>JÄMTLANDS LÄN</t>
        </is>
      </c>
      <c r="E1144" t="inlineStr">
        <is>
          <t>STRÖMSUND</t>
        </is>
      </c>
      <c r="F1144" t="inlineStr">
        <is>
          <t>SCA</t>
        </is>
      </c>
      <c r="G1144" t="n">
        <v>5.2</v>
      </c>
      <c r="H1144" t="n">
        <v>1</v>
      </c>
      <c r="I1144" t="n">
        <v>0</v>
      </c>
      <c r="J1144" t="n">
        <v>1</v>
      </c>
      <c r="K1144" t="n">
        <v>0</v>
      </c>
      <c r="L1144" t="n">
        <v>0</v>
      </c>
      <c r="M1144" t="n">
        <v>0</v>
      </c>
      <c r="N1144" t="n">
        <v>0</v>
      </c>
      <c r="O1144" t="n">
        <v>1</v>
      </c>
      <c r="P1144" t="n">
        <v>0</v>
      </c>
      <c r="Q1144" t="n">
        <v>2</v>
      </c>
      <c r="R1144" s="2" t="inlineStr">
        <is>
          <t>Garnlav
Revlummer</t>
        </is>
      </c>
      <c r="S1144">
        <f>HYPERLINK("https://klasma.github.io/Logging_2313/artfynd/A 14556-2021 artfynd.xlsx", "A 14556-2021")</f>
        <v/>
      </c>
      <c r="T1144">
        <f>HYPERLINK("https://klasma.github.io/Logging_2313/kartor/A 14556-2021 karta.png", "A 14556-2021")</f>
        <v/>
      </c>
      <c r="V1144">
        <f>HYPERLINK("https://klasma.github.io/Logging_2313/klagomål/A 14556-2021 FSC-klagomål.docx", "A 14556-2021")</f>
        <v/>
      </c>
      <c r="W1144">
        <f>HYPERLINK("https://klasma.github.io/Logging_2313/klagomålsmail/A 14556-2021 FSC-klagomål mail.docx", "A 14556-2021")</f>
        <v/>
      </c>
      <c r="X1144">
        <f>HYPERLINK("https://klasma.github.io/Logging_2313/tillsyn/A 14556-2021 tillsynsbegäran.docx", "A 14556-2021")</f>
        <v/>
      </c>
      <c r="Y1144">
        <f>HYPERLINK("https://klasma.github.io/Logging_2313/tillsynsmail/A 14556-2021 tillsynsbegäran mail.docx", "A 14556-2021")</f>
        <v/>
      </c>
    </row>
    <row r="1145" ht="15" customHeight="1">
      <c r="A1145" t="inlineStr">
        <is>
          <t>A 67738-2021</t>
        </is>
      </c>
      <c r="B1145" s="1" t="n">
        <v>44524</v>
      </c>
      <c r="C1145" s="1" t="n">
        <v>46045</v>
      </c>
      <c r="D1145" t="inlineStr">
        <is>
          <t>JÄMTLANDS LÄN</t>
        </is>
      </c>
      <c r="E1145" t="inlineStr">
        <is>
          <t>KROKOM</t>
        </is>
      </c>
      <c r="G1145" t="n">
        <v>3.1</v>
      </c>
      <c r="H1145" t="n">
        <v>1</v>
      </c>
      <c r="I1145" t="n">
        <v>0</v>
      </c>
      <c r="J1145" t="n">
        <v>2</v>
      </c>
      <c r="K1145" t="n">
        <v>0</v>
      </c>
      <c r="L1145" t="n">
        <v>0</v>
      </c>
      <c r="M1145" t="n">
        <v>0</v>
      </c>
      <c r="N1145" t="n">
        <v>0</v>
      </c>
      <c r="O1145" t="n">
        <v>2</v>
      </c>
      <c r="P1145" t="n">
        <v>0</v>
      </c>
      <c r="Q1145" t="n">
        <v>2</v>
      </c>
      <c r="R1145" s="2" t="inlineStr">
        <is>
          <t>Tretåig hackspett
Ullticka</t>
        </is>
      </c>
      <c r="S1145">
        <f>HYPERLINK("https://klasma.github.io/Logging_2309/artfynd/A 67738-2021 artfynd.xlsx", "A 67738-2021")</f>
        <v/>
      </c>
      <c r="T1145">
        <f>HYPERLINK("https://klasma.github.io/Logging_2309/kartor/A 67738-2021 karta.png", "A 67738-2021")</f>
        <v/>
      </c>
      <c r="V1145">
        <f>HYPERLINK("https://klasma.github.io/Logging_2309/klagomål/A 67738-2021 FSC-klagomål.docx", "A 67738-2021")</f>
        <v/>
      </c>
      <c r="W1145">
        <f>HYPERLINK("https://klasma.github.io/Logging_2309/klagomålsmail/A 67738-2021 FSC-klagomål mail.docx", "A 67738-2021")</f>
        <v/>
      </c>
      <c r="X1145">
        <f>HYPERLINK("https://klasma.github.io/Logging_2309/tillsyn/A 67738-2021 tillsynsbegäran.docx", "A 67738-2021")</f>
        <v/>
      </c>
      <c r="Y1145">
        <f>HYPERLINK("https://klasma.github.io/Logging_2309/tillsynsmail/A 67738-2021 tillsynsbegäran mail.docx", "A 67738-2021")</f>
        <v/>
      </c>
      <c r="Z1145">
        <f>HYPERLINK("https://klasma.github.io/Logging_2309/fåglar/A 67738-2021 prioriterade fågelarter.docx", "A 67738-2021")</f>
        <v/>
      </c>
    </row>
    <row r="1146" ht="15" customHeight="1">
      <c r="A1146" t="inlineStr">
        <is>
          <t>A 25038-2022</t>
        </is>
      </c>
      <c r="B1146" s="1" t="n">
        <v>44728</v>
      </c>
      <c r="C1146" s="1" t="n">
        <v>46045</v>
      </c>
      <c r="D1146" t="inlineStr">
        <is>
          <t>JÄMTLANDS LÄN</t>
        </is>
      </c>
      <c r="E1146" t="inlineStr">
        <is>
          <t>STRÖMSUND</t>
        </is>
      </c>
      <c r="F1146" t="inlineStr">
        <is>
          <t>SCA</t>
        </is>
      </c>
      <c r="G1146" t="n">
        <v>7.7</v>
      </c>
      <c r="H1146" t="n">
        <v>1</v>
      </c>
      <c r="I1146" t="n">
        <v>0</v>
      </c>
      <c r="J1146" t="n">
        <v>0</v>
      </c>
      <c r="K1146" t="n">
        <v>2</v>
      </c>
      <c r="L1146" t="n">
        <v>0</v>
      </c>
      <c r="M1146" t="n">
        <v>0</v>
      </c>
      <c r="N1146" t="n">
        <v>0</v>
      </c>
      <c r="O1146" t="n">
        <v>2</v>
      </c>
      <c r="P1146" t="n">
        <v>2</v>
      </c>
      <c r="Q1146" t="n">
        <v>2</v>
      </c>
      <c r="R1146" s="2" t="inlineStr">
        <is>
          <t>Gräddporing
Knärot</t>
        </is>
      </c>
      <c r="S1146">
        <f>HYPERLINK("https://klasma.github.io/Logging_2313/artfynd/A 25038-2022 artfynd.xlsx", "A 25038-2022")</f>
        <v/>
      </c>
      <c r="T1146">
        <f>HYPERLINK("https://klasma.github.io/Logging_2313/kartor/A 25038-2022 karta.png", "A 25038-2022")</f>
        <v/>
      </c>
      <c r="U1146">
        <f>HYPERLINK("https://klasma.github.io/Logging_2313/knärot/A 25038-2022 karta knärot.png", "A 25038-2022")</f>
        <v/>
      </c>
      <c r="V1146">
        <f>HYPERLINK("https://klasma.github.io/Logging_2313/klagomål/A 25038-2022 FSC-klagomål.docx", "A 25038-2022")</f>
        <v/>
      </c>
      <c r="W1146">
        <f>HYPERLINK("https://klasma.github.io/Logging_2313/klagomålsmail/A 25038-2022 FSC-klagomål mail.docx", "A 25038-2022")</f>
        <v/>
      </c>
      <c r="X1146">
        <f>HYPERLINK("https://klasma.github.io/Logging_2313/tillsyn/A 25038-2022 tillsynsbegäran.docx", "A 25038-2022")</f>
        <v/>
      </c>
      <c r="Y1146">
        <f>HYPERLINK("https://klasma.github.io/Logging_2313/tillsynsmail/A 25038-2022 tillsynsbegäran mail.docx", "A 25038-2022")</f>
        <v/>
      </c>
    </row>
    <row r="1147" ht="15" customHeight="1">
      <c r="A1147" t="inlineStr">
        <is>
          <t>A 33544-2021</t>
        </is>
      </c>
      <c r="B1147" s="1" t="n">
        <v>44377</v>
      </c>
      <c r="C1147" s="1" t="n">
        <v>46045</v>
      </c>
      <c r="D1147" t="inlineStr">
        <is>
          <t>JÄMTLANDS LÄN</t>
        </is>
      </c>
      <c r="E1147" t="inlineStr">
        <is>
          <t>STRÖMSUND</t>
        </is>
      </c>
      <c r="G1147" t="n">
        <v>5.8</v>
      </c>
      <c r="H1147" t="n">
        <v>0</v>
      </c>
      <c r="I1147" t="n">
        <v>1</v>
      </c>
      <c r="J1147" t="n">
        <v>1</v>
      </c>
      <c r="K1147" t="n">
        <v>0</v>
      </c>
      <c r="L1147" t="n">
        <v>0</v>
      </c>
      <c r="M1147" t="n">
        <v>0</v>
      </c>
      <c r="N1147" t="n">
        <v>0</v>
      </c>
      <c r="O1147" t="n">
        <v>1</v>
      </c>
      <c r="P1147" t="n">
        <v>0</v>
      </c>
      <c r="Q1147" t="n">
        <v>2</v>
      </c>
      <c r="R1147" s="2" t="inlineStr">
        <is>
          <t>Lunglav
Dvärgtufs</t>
        </is>
      </c>
      <c r="S1147">
        <f>HYPERLINK("https://klasma.github.io/Logging_2313/artfynd/A 33544-2021 artfynd.xlsx", "A 33544-2021")</f>
        <v/>
      </c>
      <c r="T1147">
        <f>HYPERLINK("https://klasma.github.io/Logging_2313/kartor/A 33544-2021 karta.png", "A 33544-2021")</f>
        <v/>
      </c>
      <c r="V1147">
        <f>HYPERLINK("https://klasma.github.io/Logging_2313/klagomål/A 33544-2021 FSC-klagomål.docx", "A 33544-2021")</f>
        <v/>
      </c>
      <c r="W1147">
        <f>HYPERLINK("https://klasma.github.io/Logging_2313/klagomålsmail/A 33544-2021 FSC-klagomål mail.docx", "A 33544-2021")</f>
        <v/>
      </c>
      <c r="X1147">
        <f>HYPERLINK("https://klasma.github.io/Logging_2313/tillsyn/A 33544-2021 tillsynsbegäran.docx", "A 33544-2021")</f>
        <v/>
      </c>
      <c r="Y1147">
        <f>HYPERLINK("https://klasma.github.io/Logging_2313/tillsynsmail/A 33544-2021 tillsynsbegäran mail.docx", "A 33544-2021")</f>
        <v/>
      </c>
    </row>
    <row r="1148" ht="15" customHeight="1">
      <c r="A1148" t="inlineStr">
        <is>
          <t>A 52129-2023</t>
        </is>
      </c>
      <c r="B1148" s="1" t="n">
        <v>45223</v>
      </c>
      <c r="C1148" s="1" t="n">
        <v>46045</v>
      </c>
      <c r="D1148" t="inlineStr">
        <is>
          <t>JÄMTLANDS LÄN</t>
        </is>
      </c>
      <c r="E1148" t="inlineStr">
        <is>
          <t>ÖSTERSUND</t>
        </is>
      </c>
      <c r="F1148" t="inlineStr">
        <is>
          <t>SCA</t>
        </is>
      </c>
      <c r="G1148" t="n">
        <v>2</v>
      </c>
      <c r="H1148" t="n">
        <v>0</v>
      </c>
      <c r="I1148" t="n">
        <v>0</v>
      </c>
      <c r="J1148" t="n">
        <v>2</v>
      </c>
      <c r="K1148" t="n">
        <v>0</v>
      </c>
      <c r="L1148" t="n">
        <v>0</v>
      </c>
      <c r="M1148" t="n">
        <v>0</v>
      </c>
      <c r="N1148" t="n">
        <v>0</v>
      </c>
      <c r="O1148" t="n">
        <v>2</v>
      </c>
      <c r="P1148" t="n">
        <v>0</v>
      </c>
      <c r="Q1148" t="n">
        <v>2</v>
      </c>
      <c r="R1148" s="2" t="inlineStr">
        <is>
          <t>Dvärgbägarlav
Kolflarnlav</t>
        </is>
      </c>
      <c r="S1148">
        <f>HYPERLINK("https://klasma.github.io/Logging_2380/artfynd/A 52129-2023 artfynd.xlsx", "A 52129-2023")</f>
        <v/>
      </c>
      <c r="T1148">
        <f>HYPERLINK("https://klasma.github.io/Logging_2380/kartor/A 52129-2023 karta.png", "A 52129-2023")</f>
        <v/>
      </c>
      <c r="V1148">
        <f>HYPERLINK("https://klasma.github.io/Logging_2380/klagomål/A 52129-2023 FSC-klagomål.docx", "A 52129-2023")</f>
        <v/>
      </c>
      <c r="W1148">
        <f>HYPERLINK("https://klasma.github.io/Logging_2380/klagomålsmail/A 52129-2023 FSC-klagomål mail.docx", "A 52129-2023")</f>
        <v/>
      </c>
      <c r="X1148">
        <f>HYPERLINK("https://klasma.github.io/Logging_2380/tillsyn/A 52129-2023 tillsynsbegäran.docx", "A 52129-2023")</f>
        <v/>
      </c>
      <c r="Y1148">
        <f>HYPERLINK("https://klasma.github.io/Logging_2380/tillsynsmail/A 52129-2023 tillsynsbegäran mail.docx", "A 52129-2023")</f>
        <v/>
      </c>
    </row>
    <row r="1149" ht="15" customHeight="1">
      <c r="A1149" t="inlineStr">
        <is>
          <t>A 14588-2021</t>
        </is>
      </c>
      <c r="B1149" s="1" t="n">
        <v>44279</v>
      </c>
      <c r="C1149" s="1" t="n">
        <v>46045</v>
      </c>
      <c r="D1149" t="inlineStr">
        <is>
          <t>JÄMTLANDS LÄN</t>
        </is>
      </c>
      <c r="E1149" t="inlineStr">
        <is>
          <t>BERG</t>
        </is>
      </c>
      <c r="G1149" t="n">
        <v>6.3</v>
      </c>
      <c r="H1149" t="n">
        <v>0</v>
      </c>
      <c r="I1149" t="n">
        <v>0</v>
      </c>
      <c r="J1149" t="n">
        <v>2</v>
      </c>
      <c r="K1149" t="n">
        <v>0</v>
      </c>
      <c r="L1149" t="n">
        <v>0</v>
      </c>
      <c r="M1149" t="n">
        <v>0</v>
      </c>
      <c r="N1149" t="n">
        <v>0</v>
      </c>
      <c r="O1149" t="n">
        <v>2</v>
      </c>
      <c r="P1149" t="n">
        <v>0</v>
      </c>
      <c r="Q1149" t="n">
        <v>2</v>
      </c>
      <c r="R1149" s="2" t="inlineStr">
        <is>
          <t>Garnlav
Harticka</t>
        </is>
      </c>
      <c r="S1149">
        <f>HYPERLINK("https://klasma.github.io/Logging_2326/artfynd/A 14588-2021 artfynd.xlsx", "A 14588-2021")</f>
        <v/>
      </c>
      <c r="T1149">
        <f>HYPERLINK("https://klasma.github.io/Logging_2326/kartor/A 14588-2021 karta.png", "A 14588-2021")</f>
        <v/>
      </c>
      <c r="V1149">
        <f>HYPERLINK("https://klasma.github.io/Logging_2326/klagomål/A 14588-2021 FSC-klagomål.docx", "A 14588-2021")</f>
        <v/>
      </c>
      <c r="W1149">
        <f>HYPERLINK("https://klasma.github.io/Logging_2326/klagomålsmail/A 14588-2021 FSC-klagomål mail.docx", "A 14588-2021")</f>
        <v/>
      </c>
      <c r="X1149">
        <f>HYPERLINK("https://klasma.github.io/Logging_2326/tillsyn/A 14588-2021 tillsynsbegäran.docx", "A 14588-2021")</f>
        <v/>
      </c>
      <c r="Y1149">
        <f>HYPERLINK("https://klasma.github.io/Logging_2326/tillsynsmail/A 14588-2021 tillsynsbegäran mail.docx", "A 14588-2021")</f>
        <v/>
      </c>
    </row>
    <row r="1150" ht="15" customHeight="1">
      <c r="A1150" t="inlineStr">
        <is>
          <t>A 55298-2024</t>
        </is>
      </c>
      <c r="B1150" s="1" t="n">
        <v>45621</v>
      </c>
      <c r="C1150" s="1" t="n">
        <v>46045</v>
      </c>
      <c r="D1150" t="inlineStr">
        <is>
          <t>JÄMTLANDS LÄN</t>
        </is>
      </c>
      <c r="E1150" t="inlineStr">
        <is>
          <t>HÄRJEDALEN</t>
        </is>
      </c>
      <c r="F1150" t="inlineStr">
        <is>
          <t>Sveaskog</t>
        </is>
      </c>
      <c r="G1150" t="n">
        <v>1.6</v>
      </c>
      <c r="H1150" t="n">
        <v>1</v>
      </c>
      <c r="I1150" t="n">
        <v>0</v>
      </c>
      <c r="J1150" t="n">
        <v>1</v>
      </c>
      <c r="K1150" t="n">
        <v>1</v>
      </c>
      <c r="L1150" t="n">
        <v>0</v>
      </c>
      <c r="M1150" t="n">
        <v>0</v>
      </c>
      <c r="N1150" t="n">
        <v>0</v>
      </c>
      <c r="O1150" t="n">
        <v>2</v>
      </c>
      <c r="P1150" t="n">
        <v>1</v>
      </c>
      <c r="Q1150" t="n">
        <v>2</v>
      </c>
      <c r="R1150" s="2" t="inlineStr">
        <is>
          <t>Knärot
Kolflarnlav</t>
        </is>
      </c>
      <c r="S1150">
        <f>HYPERLINK("https://klasma.github.io/Logging_2361/artfynd/A 55298-2024 artfynd.xlsx", "A 55298-2024")</f>
        <v/>
      </c>
      <c r="T1150">
        <f>HYPERLINK("https://klasma.github.io/Logging_2361/kartor/A 55298-2024 karta.png", "A 55298-2024")</f>
        <v/>
      </c>
      <c r="U1150">
        <f>HYPERLINK("https://klasma.github.io/Logging_2361/knärot/A 55298-2024 karta knärot.png", "A 55298-2024")</f>
        <v/>
      </c>
      <c r="V1150">
        <f>HYPERLINK("https://klasma.github.io/Logging_2361/klagomål/A 55298-2024 FSC-klagomål.docx", "A 55298-2024")</f>
        <v/>
      </c>
      <c r="W1150">
        <f>HYPERLINK("https://klasma.github.io/Logging_2361/klagomålsmail/A 55298-2024 FSC-klagomål mail.docx", "A 55298-2024")</f>
        <v/>
      </c>
      <c r="X1150">
        <f>HYPERLINK("https://klasma.github.io/Logging_2361/tillsyn/A 55298-2024 tillsynsbegäran.docx", "A 55298-2024")</f>
        <v/>
      </c>
      <c r="Y1150">
        <f>HYPERLINK("https://klasma.github.io/Logging_2361/tillsynsmail/A 55298-2024 tillsynsbegäran mail.docx", "A 55298-2024")</f>
        <v/>
      </c>
    </row>
    <row r="1151" ht="15" customHeight="1">
      <c r="A1151" t="inlineStr">
        <is>
          <t>A 62453-2023</t>
        </is>
      </c>
      <c r="B1151" s="1" t="n">
        <v>45268</v>
      </c>
      <c r="C1151" s="1" t="n">
        <v>46045</v>
      </c>
      <c r="D1151" t="inlineStr">
        <is>
          <t>JÄMTLANDS LÄN</t>
        </is>
      </c>
      <c r="E1151" t="inlineStr">
        <is>
          <t>KROKOM</t>
        </is>
      </c>
      <c r="F1151" t="inlineStr">
        <is>
          <t>Övriga Aktiebolag</t>
        </is>
      </c>
      <c r="G1151" t="n">
        <v>2.2</v>
      </c>
      <c r="H1151" t="n">
        <v>2</v>
      </c>
      <c r="I1151" t="n">
        <v>0</v>
      </c>
      <c r="J1151" t="n">
        <v>2</v>
      </c>
      <c r="K1151" t="n">
        <v>0</v>
      </c>
      <c r="L1151" t="n">
        <v>0</v>
      </c>
      <c r="M1151" t="n">
        <v>0</v>
      </c>
      <c r="N1151" t="n">
        <v>0</v>
      </c>
      <c r="O1151" t="n">
        <v>2</v>
      </c>
      <c r="P1151" t="n">
        <v>0</v>
      </c>
      <c r="Q1151" t="n">
        <v>2</v>
      </c>
      <c r="R1151" s="2" t="inlineStr">
        <is>
          <t>Spillkråka
Tretåig hackspett</t>
        </is>
      </c>
      <c r="S1151">
        <f>HYPERLINK("https://klasma.github.io/Logging_2309/artfynd/A 62453-2023 artfynd.xlsx", "A 62453-2023")</f>
        <v/>
      </c>
      <c r="T1151">
        <f>HYPERLINK("https://klasma.github.io/Logging_2309/kartor/A 62453-2023 karta.png", "A 62453-2023")</f>
        <v/>
      </c>
      <c r="V1151">
        <f>HYPERLINK("https://klasma.github.io/Logging_2309/klagomål/A 62453-2023 FSC-klagomål.docx", "A 62453-2023")</f>
        <v/>
      </c>
      <c r="W1151">
        <f>HYPERLINK("https://klasma.github.io/Logging_2309/klagomålsmail/A 62453-2023 FSC-klagomål mail.docx", "A 62453-2023")</f>
        <v/>
      </c>
      <c r="X1151">
        <f>HYPERLINK("https://klasma.github.io/Logging_2309/tillsyn/A 62453-2023 tillsynsbegäran.docx", "A 62453-2023")</f>
        <v/>
      </c>
      <c r="Y1151">
        <f>HYPERLINK("https://klasma.github.io/Logging_2309/tillsynsmail/A 62453-2023 tillsynsbegäran mail.docx", "A 62453-2023")</f>
        <v/>
      </c>
      <c r="Z1151">
        <f>HYPERLINK("https://klasma.github.io/Logging_2309/fåglar/A 62453-2023 prioriterade fågelarter.docx", "A 62453-2023")</f>
        <v/>
      </c>
    </row>
    <row r="1152" ht="15" customHeight="1">
      <c r="A1152" t="inlineStr">
        <is>
          <t>A 33874-2021</t>
        </is>
      </c>
      <c r="B1152" s="1" t="n">
        <v>44378</v>
      </c>
      <c r="C1152" s="1" t="n">
        <v>46045</v>
      </c>
      <c r="D1152" t="inlineStr">
        <is>
          <t>JÄMTLANDS LÄN</t>
        </is>
      </c>
      <c r="E1152" t="inlineStr">
        <is>
          <t>KROKOM</t>
        </is>
      </c>
      <c r="G1152" t="n">
        <v>5.9</v>
      </c>
      <c r="H1152" t="n">
        <v>1</v>
      </c>
      <c r="I1152" t="n">
        <v>2</v>
      </c>
      <c r="J1152" t="n">
        <v>0</v>
      </c>
      <c r="K1152" t="n">
        <v>0</v>
      </c>
      <c r="L1152" t="n">
        <v>0</v>
      </c>
      <c r="M1152" t="n">
        <v>0</v>
      </c>
      <c r="N1152" t="n">
        <v>0</v>
      </c>
      <c r="O1152" t="n">
        <v>0</v>
      </c>
      <c r="P1152" t="n">
        <v>0</v>
      </c>
      <c r="Q1152" t="n">
        <v>2</v>
      </c>
      <c r="R1152" s="2" t="inlineStr">
        <is>
          <t>Kransrams
Tvåblad</t>
        </is>
      </c>
      <c r="S1152">
        <f>HYPERLINK("https://klasma.github.io/Logging_2309/artfynd/A 33874-2021 artfynd.xlsx", "A 33874-2021")</f>
        <v/>
      </c>
      <c r="T1152">
        <f>HYPERLINK("https://klasma.github.io/Logging_2309/kartor/A 33874-2021 karta.png", "A 33874-2021")</f>
        <v/>
      </c>
      <c r="V1152">
        <f>HYPERLINK("https://klasma.github.io/Logging_2309/klagomål/A 33874-2021 FSC-klagomål.docx", "A 33874-2021")</f>
        <v/>
      </c>
      <c r="W1152">
        <f>HYPERLINK("https://klasma.github.io/Logging_2309/klagomålsmail/A 33874-2021 FSC-klagomål mail.docx", "A 33874-2021")</f>
        <v/>
      </c>
      <c r="X1152">
        <f>HYPERLINK("https://klasma.github.io/Logging_2309/tillsyn/A 33874-2021 tillsynsbegäran.docx", "A 33874-2021")</f>
        <v/>
      </c>
      <c r="Y1152">
        <f>HYPERLINK("https://klasma.github.io/Logging_2309/tillsynsmail/A 33874-2021 tillsynsbegäran mail.docx", "A 33874-2021")</f>
        <v/>
      </c>
    </row>
    <row r="1153" ht="15" customHeight="1">
      <c r="A1153" t="inlineStr">
        <is>
          <t>A 19916-2025</t>
        </is>
      </c>
      <c r="B1153" s="1" t="n">
        <v>45771.61515046296</v>
      </c>
      <c r="C1153" s="1" t="n">
        <v>46045</v>
      </c>
      <c r="D1153" t="inlineStr">
        <is>
          <t>JÄMTLANDS LÄN</t>
        </is>
      </c>
      <c r="E1153" t="inlineStr">
        <is>
          <t>BRÄCKE</t>
        </is>
      </c>
      <c r="F1153" t="inlineStr">
        <is>
          <t>SCA</t>
        </is>
      </c>
      <c r="G1153" t="n">
        <v>7.5</v>
      </c>
      <c r="H1153" t="n">
        <v>0</v>
      </c>
      <c r="I1153" t="n">
        <v>0</v>
      </c>
      <c r="J1153" t="n">
        <v>2</v>
      </c>
      <c r="K1153" t="n">
        <v>0</v>
      </c>
      <c r="L1153" t="n">
        <v>0</v>
      </c>
      <c r="M1153" t="n">
        <v>0</v>
      </c>
      <c r="N1153" t="n">
        <v>0</v>
      </c>
      <c r="O1153" t="n">
        <v>2</v>
      </c>
      <c r="P1153" t="n">
        <v>0</v>
      </c>
      <c r="Q1153" t="n">
        <v>2</v>
      </c>
      <c r="R1153" s="2" t="inlineStr">
        <is>
          <t>Lunglav
Skrovellav</t>
        </is>
      </c>
      <c r="S1153">
        <f>HYPERLINK("https://klasma.github.io/Logging_2305/artfynd/A 19916-2025 artfynd.xlsx", "A 19916-2025")</f>
        <v/>
      </c>
      <c r="T1153">
        <f>HYPERLINK("https://klasma.github.io/Logging_2305/kartor/A 19916-2025 karta.png", "A 19916-2025")</f>
        <v/>
      </c>
      <c r="U1153">
        <f>HYPERLINK("https://klasma.github.io/Logging_2305/knärot/A 19916-2025 karta knärot.png", "A 19916-2025")</f>
        <v/>
      </c>
      <c r="V1153">
        <f>HYPERLINK("https://klasma.github.io/Logging_2305/klagomål/A 19916-2025 FSC-klagomål.docx", "A 19916-2025")</f>
        <v/>
      </c>
      <c r="W1153">
        <f>HYPERLINK("https://klasma.github.io/Logging_2305/klagomålsmail/A 19916-2025 FSC-klagomål mail.docx", "A 19916-2025")</f>
        <v/>
      </c>
      <c r="X1153">
        <f>HYPERLINK("https://klasma.github.io/Logging_2305/tillsyn/A 19916-2025 tillsynsbegäran.docx", "A 19916-2025")</f>
        <v/>
      </c>
      <c r="Y1153">
        <f>HYPERLINK("https://klasma.github.io/Logging_2305/tillsynsmail/A 19916-2025 tillsynsbegäran mail.docx", "A 19916-2025")</f>
        <v/>
      </c>
    </row>
    <row r="1154" ht="15" customHeight="1">
      <c r="A1154" t="inlineStr">
        <is>
          <t>A 47295-2023</t>
        </is>
      </c>
      <c r="B1154" s="1" t="n">
        <v>45196</v>
      </c>
      <c r="C1154" s="1" t="n">
        <v>46045</v>
      </c>
      <c r="D1154" t="inlineStr">
        <is>
          <t>JÄMTLANDS LÄN</t>
        </is>
      </c>
      <c r="E1154" t="inlineStr">
        <is>
          <t>BRÄCKE</t>
        </is>
      </c>
      <c r="F1154" t="inlineStr">
        <is>
          <t>SCA</t>
        </is>
      </c>
      <c r="G1154" t="n">
        <v>11.4</v>
      </c>
      <c r="H1154" t="n">
        <v>1</v>
      </c>
      <c r="I1154" t="n">
        <v>0</v>
      </c>
      <c r="J1154" t="n">
        <v>1</v>
      </c>
      <c r="K1154" t="n">
        <v>1</v>
      </c>
      <c r="L1154" t="n">
        <v>0</v>
      </c>
      <c r="M1154" t="n">
        <v>0</v>
      </c>
      <c r="N1154" t="n">
        <v>0</v>
      </c>
      <c r="O1154" t="n">
        <v>2</v>
      </c>
      <c r="P1154" t="n">
        <v>1</v>
      </c>
      <c r="Q1154" t="n">
        <v>2</v>
      </c>
      <c r="R1154" s="2" t="inlineStr">
        <is>
          <t>Knärot
Lunglav</t>
        </is>
      </c>
      <c r="S1154">
        <f>HYPERLINK("https://klasma.github.io/Logging_2305/artfynd/A 47295-2023 artfynd.xlsx", "A 47295-2023")</f>
        <v/>
      </c>
      <c r="T1154">
        <f>HYPERLINK("https://klasma.github.io/Logging_2305/kartor/A 47295-2023 karta.png", "A 47295-2023")</f>
        <v/>
      </c>
      <c r="U1154">
        <f>HYPERLINK("https://klasma.github.io/Logging_2305/knärot/A 47295-2023 karta knärot.png", "A 47295-2023")</f>
        <v/>
      </c>
      <c r="V1154">
        <f>HYPERLINK("https://klasma.github.io/Logging_2305/klagomål/A 47295-2023 FSC-klagomål.docx", "A 47295-2023")</f>
        <v/>
      </c>
      <c r="W1154">
        <f>HYPERLINK("https://klasma.github.io/Logging_2305/klagomålsmail/A 47295-2023 FSC-klagomål mail.docx", "A 47295-2023")</f>
        <v/>
      </c>
      <c r="X1154">
        <f>HYPERLINK("https://klasma.github.io/Logging_2305/tillsyn/A 47295-2023 tillsynsbegäran.docx", "A 47295-2023")</f>
        <v/>
      </c>
      <c r="Y1154">
        <f>HYPERLINK("https://klasma.github.io/Logging_2305/tillsynsmail/A 47295-2023 tillsynsbegäran mail.docx", "A 47295-2023")</f>
        <v/>
      </c>
    </row>
    <row r="1155" ht="15" customHeight="1">
      <c r="A1155" t="inlineStr">
        <is>
          <t>A 46105-2021</t>
        </is>
      </c>
      <c r="B1155" s="1" t="n">
        <v>44441</v>
      </c>
      <c r="C1155" s="1" t="n">
        <v>46045</v>
      </c>
      <c r="D1155" t="inlineStr">
        <is>
          <t>JÄMTLANDS LÄN</t>
        </is>
      </c>
      <c r="E1155" t="inlineStr">
        <is>
          <t>ÖSTERSUND</t>
        </is>
      </c>
      <c r="G1155" t="n">
        <v>4.4</v>
      </c>
      <c r="H1155" t="n">
        <v>2</v>
      </c>
      <c r="I1155" t="n">
        <v>0</v>
      </c>
      <c r="J1155" t="n">
        <v>1</v>
      </c>
      <c r="K1155" t="n">
        <v>1</v>
      </c>
      <c r="L1155" t="n">
        <v>0</v>
      </c>
      <c r="M1155" t="n">
        <v>0</v>
      </c>
      <c r="N1155" t="n">
        <v>0</v>
      </c>
      <c r="O1155" t="n">
        <v>2</v>
      </c>
      <c r="P1155" t="n">
        <v>1</v>
      </c>
      <c r="Q1155" t="n">
        <v>2</v>
      </c>
      <c r="R1155" s="2" t="inlineStr">
        <is>
          <t>Tallbit
Tretåig hackspett</t>
        </is>
      </c>
      <c r="S1155">
        <f>HYPERLINK("https://klasma.github.io/Logging_2380/artfynd/A 46105-2021 artfynd.xlsx", "A 46105-2021")</f>
        <v/>
      </c>
      <c r="T1155">
        <f>HYPERLINK("https://klasma.github.io/Logging_2380/kartor/A 46105-2021 karta.png", "A 46105-2021")</f>
        <v/>
      </c>
      <c r="V1155">
        <f>HYPERLINK("https://klasma.github.io/Logging_2380/klagomål/A 46105-2021 FSC-klagomål.docx", "A 46105-2021")</f>
        <v/>
      </c>
      <c r="W1155">
        <f>HYPERLINK("https://klasma.github.io/Logging_2380/klagomålsmail/A 46105-2021 FSC-klagomål mail.docx", "A 46105-2021")</f>
        <v/>
      </c>
      <c r="X1155">
        <f>HYPERLINK("https://klasma.github.io/Logging_2380/tillsyn/A 46105-2021 tillsynsbegäran.docx", "A 46105-2021")</f>
        <v/>
      </c>
      <c r="Y1155">
        <f>HYPERLINK("https://klasma.github.io/Logging_2380/tillsynsmail/A 46105-2021 tillsynsbegäran mail.docx", "A 46105-2021")</f>
        <v/>
      </c>
      <c r="Z1155">
        <f>HYPERLINK("https://klasma.github.io/Logging_2380/fåglar/A 46105-2021 prioriterade fågelarter.docx", "A 46105-2021")</f>
        <v/>
      </c>
    </row>
    <row r="1156" ht="15" customHeight="1">
      <c r="A1156" t="inlineStr">
        <is>
          <t>A 36456-2021</t>
        </is>
      </c>
      <c r="B1156" s="1" t="n">
        <v>44390</v>
      </c>
      <c r="C1156" s="1" t="n">
        <v>46045</v>
      </c>
      <c r="D1156" t="inlineStr">
        <is>
          <t>JÄMTLANDS LÄN</t>
        </is>
      </c>
      <c r="E1156" t="inlineStr">
        <is>
          <t>BRÄCKE</t>
        </is>
      </c>
      <c r="F1156" t="inlineStr">
        <is>
          <t>SCA</t>
        </is>
      </c>
      <c r="G1156" t="n">
        <v>2.7</v>
      </c>
      <c r="H1156" t="n">
        <v>0</v>
      </c>
      <c r="I1156" t="n">
        <v>0</v>
      </c>
      <c r="J1156" t="n">
        <v>2</v>
      </c>
      <c r="K1156" t="n">
        <v>0</v>
      </c>
      <c r="L1156" t="n">
        <v>0</v>
      </c>
      <c r="M1156" t="n">
        <v>0</v>
      </c>
      <c r="N1156" t="n">
        <v>0</v>
      </c>
      <c r="O1156" t="n">
        <v>2</v>
      </c>
      <c r="P1156" t="n">
        <v>0</v>
      </c>
      <c r="Q1156" t="n">
        <v>2</v>
      </c>
      <c r="R1156" s="2" t="inlineStr">
        <is>
          <t>Garnlav
Kolflarnlav</t>
        </is>
      </c>
      <c r="S1156">
        <f>HYPERLINK("https://klasma.github.io/Logging_2305/artfynd/A 36456-2021 artfynd.xlsx", "A 36456-2021")</f>
        <v/>
      </c>
      <c r="T1156">
        <f>HYPERLINK("https://klasma.github.io/Logging_2305/kartor/A 36456-2021 karta.png", "A 36456-2021")</f>
        <v/>
      </c>
      <c r="V1156">
        <f>HYPERLINK("https://klasma.github.io/Logging_2305/klagomål/A 36456-2021 FSC-klagomål.docx", "A 36456-2021")</f>
        <v/>
      </c>
      <c r="W1156">
        <f>HYPERLINK("https://klasma.github.io/Logging_2305/klagomålsmail/A 36456-2021 FSC-klagomål mail.docx", "A 36456-2021")</f>
        <v/>
      </c>
      <c r="X1156">
        <f>HYPERLINK("https://klasma.github.io/Logging_2305/tillsyn/A 36456-2021 tillsynsbegäran.docx", "A 36456-2021")</f>
        <v/>
      </c>
      <c r="Y1156">
        <f>HYPERLINK("https://klasma.github.io/Logging_2305/tillsynsmail/A 36456-2021 tillsynsbegäran mail.docx", "A 36456-2021")</f>
        <v/>
      </c>
    </row>
    <row r="1157" ht="15" customHeight="1">
      <c r="A1157" t="inlineStr">
        <is>
          <t>A 36837-2024</t>
        </is>
      </c>
      <c r="B1157" s="1" t="n">
        <v>45538.52561342593</v>
      </c>
      <c r="C1157" s="1" t="n">
        <v>46045</v>
      </c>
      <c r="D1157" t="inlineStr">
        <is>
          <t>JÄMTLANDS LÄN</t>
        </is>
      </c>
      <c r="E1157" t="inlineStr">
        <is>
          <t>STRÖMSUND</t>
        </is>
      </c>
      <c r="F1157" t="inlineStr">
        <is>
          <t>SCA</t>
        </is>
      </c>
      <c r="G1157" t="n">
        <v>5</v>
      </c>
      <c r="H1157" t="n">
        <v>0</v>
      </c>
      <c r="I1157" t="n">
        <v>1</v>
      </c>
      <c r="J1157" t="n">
        <v>1</v>
      </c>
      <c r="K1157" t="n">
        <v>0</v>
      </c>
      <c r="L1157" t="n">
        <v>0</v>
      </c>
      <c r="M1157" t="n">
        <v>0</v>
      </c>
      <c r="N1157" t="n">
        <v>0</v>
      </c>
      <c r="O1157" t="n">
        <v>1</v>
      </c>
      <c r="P1157" t="n">
        <v>0</v>
      </c>
      <c r="Q1157" t="n">
        <v>2</v>
      </c>
      <c r="R1157" s="2" t="inlineStr">
        <is>
          <t>Skrovellav
Stuplav</t>
        </is>
      </c>
      <c r="S1157">
        <f>HYPERLINK("https://klasma.github.io/Logging_2313/artfynd/A 36837-2024 artfynd.xlsx", "A 36837-2024")</f>
        <v/>
      </c>
      <c r="T1157">
        <f>HYPERLINK("https://klasma.github.io/Logging_2313/kartor/A 36837-2024 karta.png", "A 36837-2024")</f>
        <v/>
      </c>
      <c r="V1157">
        <f>HYPERLINK("https://klasma.github.io/Logging_2313/klagomål/A 36837-2024 FSC-klagomål.docx", "A 36837-2024")</f>
        <v/>
      </c>
      <c r="W1157">
        <f>HYPERLINK("https://klasma.github.io/Logging_2313/klagomålsmail/A 36837-2024 FSC-klagomål mail.docx", "A 36837-2024")</f>
        <v/>
      </c>
      <c r="X1157">
        <f>HYPERLINK("https://klasma.github.io/Logging_2313/tillsyn/A 36837-2024 tillsynsbegäran.docx", "A 36837-2024")</f>
        <v/>
      </c>
      <c r="Y1157">
        <f>HYPERLINK("https://klasma.github.io/Logging_2313/tillsynsmail/A 36837-2024 tillsynsbegäran mail.docx", "A 36837-2024")</f>
        <v/>
      </c>
    </row>
    <row r="1158" ht="15" customHeight="1">
      <c r="A1158" t="inlineStr">
        <is>
          <t>A 49328-2023</t>
        </is>
      </c>
      <c r="B1158" s="1" t="n">
        <v>45210</v>
      </c>
      <c r="C1158" s="1" t="n">
        <v>46045</v>
      </c>
      <c r="D1158" t="inlineStr">
        <is>
          <t>JÄMTLANDS LÄN</t>
        </is>
      </c>
      <c r="E1158" t="inlineStr">
        <is>
          <t>BRÄCKE</t>
        </is>
      </c>
      <c r="F1158" t="inlineStr">
        <is>
          <t>SCA</t>
        </is>
      </c>
      <c r="G1158" t="n">
        <v>3.2</v>
      </c>
      <c r="H1158" t="n">
        <v>0</v>
      </c>
      <c r="I1158" t="n">
        <v>0</v>
      </c>
      <c r="J1158" t="n">
        <v>2</v>
      </c>
      <c r="K1158" t="n">
        <v>0</v>
      </c>
      <c r="L1158" t="n">
        <v>0</v>
      </c>
      <c r="M1158" t="n">
        <v>0</v>
      </c>
      <c r="N1158" t="n">
        <v>0</v>
      </c>
      <c r="O1158" t="n">
        <v>2</v>
      </c>
      <c r="P1158" t="n">
        <v>0</v>
      </c>
      <c r="Q1158" t="n">
        <v>2</v>
      </c>
      <c r="R1158" s="2" t="inlineStr">
        <is>
          <t>Rosenticka
Ullticka</t>
        </is>
      </c>
      <c r="S1158">
        <f>HYPERLINK("https://klasma.github.io/Logging_2305/artfynd/A 49328-2023 artfynd.xlsx", "A 49328-2023")</f>
        <v/>
      </c>
      <c r="T1158">
        <f>HYPERLINK("https://klasma.github.io/Logging_2305/kartor/A 49328-2023 karta.png", "A 49328-2023")</f>
        <v/>
      </c>
      <c r="V1158">
        <f>HYPERLINK("https://klasma.github.io/Logging_2305/klagomål/A 49328-2023 FSC-klagomål.docx", "A 49328-2023")</f>
        <v/>
      </c>
      <c r="W1158">
        <f>HYPERLINK("https://klasma.github.io/Logging_2305/klagomålsmail/A 49328-2023 FSC-klagomål mail.docx", "A 49328-2023")</f>
        <v/>
      </c>
      <c r="X1158">
        <f>HYPERLINK("https://klasma.github.io/Logging_2305/tillsyn/A 49328-2023 tillsynsbegäran.docx", "A 49328-2023")</f>
        <v/>
      </c>
      <c r="Y1158">
        <f>HYPERLINK("https://klasma.github.io/Logging_2305/tillsynsmail/A 49328-2023 tillsynsbegäran mail.docx", "A 49328-2023")</f>
        <v/>
      </c>
    </row>
    <row r="1159" ht="15" customHeight="1">
      <c r="A1159" t="inlineStr">
        <is>
          <t>A 55240-2021</t>
        </is>
      </c>
      <c r="B1159" s="1" t="n">
        <v>44475</v>
      </c>
      <c r="C1159" s="1" t="n">
        <v>46045</v>
      </c>
      <c r="D1159" t="inlineStr">
        <is>
          <t>JÄMTLANDS LÄN</t>
        </is>
      </c>
      <c r="E1159" t="inlineStr">
        <is>
          <t>HÄRJEDALEN</t>
        </is>
      </c>
      <c r="G1159" t="n">
        <v>3.5</v>
      </c>
      <c r="H1159" t="n">
        <v>1</v>
      </c>
      <c r="I1159" t="n">
        <v>0</v>
      </c>
      <c r="J1159" t="n">
        <v>1</v>
      </c>
      <c r="K1159" t="n">
        <v>1</v>
      </c>
      <c r="L1159" t="n">
        <v>0</v>
      </c>
      <c r="M1159" t="n">
        <v>0</v>
      </c>
      <c r="N1159" t="n">
        <v>0</v>
      </c>
      <c r="O1159" t="n">
        <v>2</v>
      </c>
      <c r="P1159" t="n">
        <v>1</v>
      </c>
      <c r="Q1159" t="n">
        <v>2</v>
      </c>
      <c r="R1159" s="2" t="inlineStr">
        <is>
          <t>Varglavsknöl
Varglav</t>
        </is>
      </c>
      <c r="S1159">
        <f>HYPERLINK("https://klasma.github.io/Logging_2361/artfynd/A 55240-2021 artfynd.xlsx", "A 55240-2021")</f>
        <v/>
      </c>
      <c r="T1159">
        <f>HYPERLINK("https://klasma.github.io/Logging_2361/kartor/A 55240-2021 karta.png", "A 55240-2021")</f>
        <v/>
      </c>
      <c r="V1159">
        <f>HYPERLINK("https://klasma.github.io/Logging_2361/klagomål/A 55240-2021 FSC-klagomål.docx", "A 55240-2021")</f>
        <v/>
      </c>
      <c r="W1159">
        <f>HYPERLINK("https://klasma.github.io/Logging_2361/klagomålsmail/A 55240-2021 FSC-klagomål mail.docx", "A 55240-2021")</f>
        <v/>
      </c>
      <c r="X1159">
        <f>HYPERLINK("https://klasma.github.io/Logging_2361/tillsyn/A 55240-2021 tillsynsbegäran.docx", "A 55240-2021")</f>
        <v/>
      </c>
      <c r="Y1159">
        <f>HYPERLINK("https://klasma.github.io/Logging_2361/tillsynsmail/A 55240-2021 tillsynsbegäran mail.docx", "A 55240-2021")</f>
        <v/>
      </c>
    </row>
    <row r="1160" ht="15" customHeight="1">
      <c r="A1160" t="inlineStr">
        <is>
          <t>A 12588-2024</t>
        </is>
      </c>
      <c r="B1160" s="1" t="n">
        <v>45379.93667824074</v>
      </c>
      <c r="C1160" s="1" t="n">
        <v>46045</v>
      </c>
      <c r="D1160" t="inlineStr">
        <is>
          <t>JÄMTLANDS LÄN</t>
        </is>
      </c>
      <c r="E1160" t="inlineStr">
        <is>
          <t>BRÄCKE</t>
        </is>
      </c>
      <c r="F1160" t="inlineStr">
        <is>
          <t>SCA</t>
        </is>
      </c>
      <c r="G1160" t="n">
        <v>5.1</v>
      </c>
      <c r="H1160" t="n">
        <v>0</v>
      </c>
      <c r="I1160" t="n">
        <v>0</v>
      </c>
      <c r="J1160" t="n">
        <v>2</v>
      </c>
      <c r="K1160" t="n">
        <v>0</v>
      </c>
      <c r="L1160" t="n">
        <v>0</v>
      </c>
      <c r="M1160" t="n">
        <v>0</v>
      </c>
      <c r="N1160" t="n">
        <v>0</v>
      </c>
      <c r="O1160" t="n">
        <v>2</v>
      </c>
      <c r="P1160" t="n">
        <v>0</v>
      </c>
      <c r="Q1160" t="n">
        <v>2</v>
      </c>
      <c r="R1160" s="2" t="inlineStr">
        <is>
          <t>Blå taggsvamp
Ullticka</t>
        </is>
      </c>
      <c r="S1160">
        <f>HYPERLINK("https://klasma.github.io/Logging_2305/artfynd/A 12588-2024 artfynd.xlsx", "A 12588-2024")</f>
        <v/>
      </c>
      <c r="T1160">
        <f>HYPERLINK("https://klasma.github.io/Logging_2305/kartor/A 12588-2024 karta.png", "A 12588-2024")</f>
        <v/>
      </c>
      <c r="V1160">
        <f>HYPERLINK("https://klasma.github.io/Logging_2305/klagomål/A 12588-2024 FSC-klagomål.docx", "A 12588-2024")</f>
        <v/>
      </c>
      <c r="W1160">
        <f>HYPERLINK("https://klasma.github.io/Logging_2305/klagomålsmail/A 12588-2024 FSC-klagomål mail.docx", "A 12588-2024")</f>
        <v/>
      </c>
      <c r="X1160">
        <f>HYPERLINK("https://klasma.github.io/Logging_2305/tillsyn/A 12588-2024 tillsynsbegäran.docx", "A 12588-2024")</f>
        <v/>
      </c>
      <c r="Y1160">
        <f>HYPERLINK("https://klasma.github.io/Logging_2305/tillsynsmail/A 12588-2024 tillsynsbegäran mail.docx", "A 12588-2024")</f>
        <v/>
      </c>
    </row>
    <row r="1161" ht="15" customHeight="1">
      <c r="A1161" t="inlineStr">
        <is>
          <t>A 23706-2023</t>
        </is>
      </c>
      <c r="B1161" s="1" t="n">
        <v>45072</v>
      </c>
      <c r="C1161" s="1" t="n">
        <v>46045</v>
      </c>
      <c r="D1161" t="inlineStr">
        <is>
          <t>JÄMTLANDS LÄN</t>
        </is>
      </c>
      <c r="E1161" t="inlineStr">
        <is>
          <t>ÅRE</t>
        </is>
      </c>
      <c r="G1161" t="n">
        <v>8.1</v>
      </c>
      <c r="H1161" t="n">
        <v>1</v>
      </c>
      <c r="I1161" t="n">
        <v>0</v>
      </c>
      <c r="J1161" t="n">
        <v>2</v>
      </c>
      <c r="K1161" t="n">
        <v>0</v>
      </c>
      <c r="L1161" t="n">
        <v>0</v>
      </c>
      <c r="M1161" t="n">
        <v>0</v>
      </c>
      <c r="N1161" t="n">
        <v>0</v>
      </c>
      <c r="O1161" t="n">
        <v>2</v>
      </c>
      <c r="P1161" t="n">
        <v>0</v>
      </c>
      <c r="Q1161" t="n">
        <v>2</v>
      </c>
      <c r="R1161" s="2" t="inlineStr">
        <is>
          <t>Granticka
Tretåig hackspett</t>
        </is>
      </c>
      <c r="S1161">
        <f>HYPERLINK("https://klasma.github.io/Logging_2321/artfynd/A 23706-2023 artfynd.xlsx", "A 23706-2023")</f>
        <v/>
      </c>
      <c r="T1161">
        <f>HYPERLINK("https://klasma.github.io/Logging_2321/kartor/A 23706-2023 karta.png", "A 23706-2023")</f>
        <v/>
      </c>
      <c r="V1161">
        <f>HYPERLINK("https://klasma.github.io/Logging_2321/klagomål/A 23706-2023 FSC-klagomål.docx", "A 23706-2023")</f>
        <v/>
      </c>
      <c r="W1161">
        <f>HYPERLINK("https://klasma.github.io/Logging_2321/klagomålsmail/A 23706-2023 FSC-klagomål mail.docx", "A 23706-2023")</f>
        <v/>
      </c>
      <c r="X1161">
        <f>HYPERLINK("https://klasma.github.io/Logging_2321/tillsyn/A 23706-2023 tillsynsbegäran.docx", "A 23706-2023")</f>
        <v/>
      </c>
      <c r="Y1161">
        <f>HYPERLINK("https://klasma.github.io/Logging_2321/tillsynsmail/A 23706-2023 tillsynsbegäran mail.docx", "A 23706-2023")</f>
        <v/>
      </c>
      <c r="Z1161">
        <f>HYPERLINK("https://klasma.github.io/Logging_2321/fåglar/A 23706-2023 prioriterade fågelarter.docx", "A 23706-2023")</f>
        <v/>
      </c>
    </row>
    <row r="1162" ht="15" customHeight="1">
      <c r="A1162" t="inlineStr">
        <is>
          <t>A 15700-2025</t>
        </is>
      </c>
      <c r="B1162" s="1" t="n">
        <v>45748.47314814815</v>
      </c>
      <c r="C1162" s="1" t="n">
        <v>46045</v>
      </c>
      <c r="D1162" t="inlineStr">
        <is>
          <t>JÄMTLANDS LÄN</t>
        </is>
      </c>
      <c r="E1162" t="inlineStr">
        <is>
          <t>ÖSTERSUND</t>
        </is>
      </c>
      <c r="G1162" t="n">
        <v>0.9</v>
      </c>
      <c r="H1162" t="n">
        <v>0</v>
      </c>
      <c r="I1162" t="n">
        <v>2</v>
      </c>
      <c r="J1162" t="n">
        <v>0</v>
      </c>
      <c r="K1162" t="n">
        <v>0</v>
      </c>
      <c r="L1162" t="n">
        <v>0</v>
      </c>
      <c r="M1162" t="n">
        <v>0</v>
      </c>
      <c r="N1162" t="n">
        <v>0</v>
      </c>
      <c r="O1162" t="n">
        <v>0</v>
      </c>
      <c r="P1162" t="n">
        <v>0</v>
      </c>
      <c r="Q1162" t="n">
        <v>2</v>
      </c>
      <c r="R1162" s="2" t="inlineStr">
        <is>
          <t>Brun klibbskivling
Droppklibbskivling</t>
        </is>
      </c>
      <c r="S1162">
        <f>HYPERLINK("https://klasma.github.io/Logging_2380/artfynd/A 15700-2025 artfynd.xlsx", "A 15700-2025")</f>
        <v/>
      </c>
      <c r="T1162">
        <f>HYPERLINK("https://klasma.github.io/Logging_2380/kartor/A 15700-2025 karta.png", "A 15700-2025")</f>
        <v/>
      </c>
      <c r="V1162">
        <f>HYPERLINK("https://klasma.github.io/Logging_2380/klagomål/A 15700-2025 FSC-klagomål.docx", "A 15700-2025")</f>
        <v/>
      </c>
      <c r="W1162">
        <f>HYPERLINK("https://klasma.github.io/Logging_2380/klagomålsmail/A 15700-2025 FSC-klagomål mail.docx", "A 15700-2025")</f>
        <v/>
      </c>
      <c r="X1162">
        <f>HYPERLINK("https://klasma.github.io/Logging_2380/tillsyn/A 15700-2025 tillsynsbegäran.docx", "A 15700-2025")</f>
        <v/>
      </c>
      <c r="Y1162">
        <f>HYPERLINK("https://klasma.github.io/Logging_2380/tillsynsmail/A 15700-2025 tillsynsbegäran mail.docx", "A 15700-2025")</f>
        <v/>
      </c>
    </row>
    <row r="1163" ht="15" customHeight="1">
      <c r="A1163" t="inlineStr">
        <is>
          <t>A 18719-2024</t>
        </is>
      </c>
      <c r="B1163" s="1" t="n">
        <v>45426</v>
      </c>
      <c r="C1163" s="1" t="n">
        <v>46045</v>
      </c>
      <c r="D1163" t="inlineStr">
        <is>
          <t>JÄMTLANDS LÄN</t>
        </is>
      </c>
      <c r="E1163" t="inlineStr">
        <is>
          <t>ÅRE</t>
        </is>
      </c>
      <c r="F1163" t="inlineStr">
        <is>
          <t>Övriga Aktiebolag</t>
        </is>
      </c>
      <c r="G1163" t="n">
        <v>6.6</v>
      </c>
      <c r="H1163" t="n">
        <v>1</v>
      </c>
      <c r="I1163" t="n">
        <v>0</v>
      </c>
      <c r="J1163" t="n">
        <v>2</v>
      </c>
      <c r="K1163" t="n">
        <v>0</v>
      </c>
      <c r="L1163" t="n">
        <v>0</v>
      </c>
      <c r="M1163" t="n">
        <v>0</v>
      </c>
      <c r="N1163" t="n">
        <v>0</v>
      </c>
      <c r="O1163" t="n">
        <v>2</v>
      </c>
      <c r="P1163" t="n">
        <v>0</v>
      </c>
      <c r="Q1163" t="n">
        <v>2</v>
      </c>
      <c r="R1163" s="2" t="inlineStr">
        <is>
          <t>Granticka
Tretåig hackspett</t>
        </is>
      </c>
      <c r="S1163">
        <f>HYPERLINK("https://klasma.github.io/Logging_2321/artfynd/A 18719-2024 artfynd.xlsx", "A 18719-2024")</f>
        <v/>
      </c>
      <c r="T1163">
        <f>HYPERLINK("https://klasma.github.io/Logging_2321/kartor/A 18719-2024 karta.png", "A 18719-2024")</f>
        <v/>
      </c>
      <c r="V1163">
        <f>HYPERLINK("https://klasma.github.io/Logging_2321/klagomål/A 18719-2024 FSC-klagomål.docx", "A 18719-2024")</f>
        <v/>
      </c>
      <c r="W1163">
        <f>HYPERLINK("https://klasma.github.io/Logging_2321/klagomålsmail/A 18719-2024 FSC-klagomål mail.docx", "A 18719-2024")</f>
        <v/>
      </c>
      <c r="X1163">
        <f>HYPERLINK("https://klasma.github.io/Logging_2321/tillsyn/A 18719-2024 tillsynsbegäran.docx", "A 18719-2024")</f>
        <v/>
      </c>
      <c r="Y1163">
        <f>HYPERLINK("https://klasma.github.io/Logging_2321/tillsynsmail/A 18719-2024 tillsynsbegäran mail.docx", "A 18719-2024")</f>
        <v/>
      </c>
      <c r="Z1163">
        <f>HYPERLINK("https://klasma.github.io/Logging_2321/fåglar/A 18719-2024 prioriterade fågelarter.docx", "A 18719-2024")</f>
        <v/>
      </c>
    </row>
    <row r="1164" ht="15" customHeight="1">
      <c r="A1164" t="inlineStr">
        <is>
          <t>A 2467-2025</t>
        </is>
      </c>
      <c r="B1164" s="1" t="n">
        <v>45674.46979166667</v>
      </c>
      <c r="C1164" s="1" t="n">
        <v>46045</v>
      </c>
      <c r="D1164" t="inlineStr">
        <is>
          <t>JÄMTLANDS LÄN</t>
        </is>
      </c>
      <c r="E1164" t="inlineStr">
        <is>
          <t>BRÄCKE</t>
        </is>
      </c>
      <c r="F1164" t="inlineStr">
        <is>
          <t>SCA</t>
        </is>
      </c>
      <c r="G1164" t="n">
        <v>5.6</v>
      </c>
      <c r="H1164" t="n">
        <v>1</v>
      </c>
      <c r="I1164" t="n">
        <v>0</v>
      </c>
      <c r="J1164" t="n">
        <v>2</v>
      </c>
      <c r="K1164" t="n">
        <v>0</v>
      </c>
      <c r="L1164" t="n">
        <v>0</v>
      </c>
      <c r="M1164" t="n">
        <v>0</v>
      </c>
      <c r="N1164" t="n">
        <v>0</v>
      </c>
      <c r="O1164" t="n">
        <v>2</v>
      </c>
      <c r="P1164" t="n">
        <v>0</v>
      </c>
      <c r="Q1164" t="n">
        <v>2</v>
      </c>
      <c r="R1164" s="2" t="inlineStr">
        <is>
          <t>Lunglav
Tretåig hackspett</t>
        </is>
      </c>
      <c r="S1164">
        <f>HYPERLINK("https://klasma.github.io/Logging_2305/artfynd/A 2467-2025 artfynd.xlsx", "A 2467-2025")</f>
        <v/>
      </c>
      <c r="T1164">
        <f>HYPERLINK("https://klasma.github.io/Logging_2305/kartor/A 2467-2025 karta.png", "A 2467-2025")</f>
        <v/>
      </c>
      <c r="V1164">
        <f>HYPERLINK("https://klasma.github.io/Logging_2305/klagomål/A 2467-2025 FSC-klagomål.docx", "A 2467-2025")</f>
        <v/>
      </c>
      <c r="W1164">
        <f>HYPERLINK("https://klasma.github.io/Logging_2305/klagomålsmail/A 2467-2025 FSC-klagomål mail.docx", "A 2467-2025")</f>
        <v/>
      </c>
      <c r="X1164">
        <f>HYPERLINK("https://klasma.github.io/Logging_2305/tillsyn/A 2467-2025 tillsynsbegäran.docx", "A 2467-2025")</f>
        <v/>
      </c>
      <c r="Y1164">
        <f>HYPERLINK("https://klasma.github.io/Logging_2305/tillsynsmail/A 2467-2025 tillsynsbegäran mail.docx", "A 2467-2025")</f>
        <v/>
      </c>
      <c r="Z1164">
        <f>HYPERLINK("https://klasma.github.io/Logging_2305/fåglar/A 2467-2025 prioriterade fågelarter.docx", "A 2467-2025")</f>
        <v/>
      </c>
    </row>
    <row r="1165" ht="15" customHeight="1">
      <c r="A1165" t="inlineStr">
        <is>
          <t>A 54128-2023</t>
        </is>
      </c>
      <c r="B1165" s="1" t="n">
        <v>45232</v>
      </c>
      <c r="C1165" s="1" t="n">
        <v>46045</v>
      </c>
      <c r="D1165" t="inlineStr">
        <is>
          <t>JÄMTLANDS LÄN</t>
        </is>
      </c>
      <c r="E1165" t="inlineStr">
        <is>
          <t>ÅRE</t>
        </is>
      </c>
      <c r="G1165" t="n">
        <v>3.9</v>
      </c>
      <c r="H1165" t="n">
        <v>1</v>
      </c>
      <c r="I1165" t="n">
        <v>0</v>
      </c>
      <c r="J1165" t="n">
        <v>2</v>
      </c>
      <c r="K1165" t="n">
        <v>0</v>
      </c>
      <c r="L1165" t="n">
        <v>0</v>
      </c>
      <c r="M1165" t="n">
        <v>0</v>
      </c>
      <c r="N1165" t="n">
        <v>0</v>
      </c>
      <c r="O1165" t="n">
        <v>2</v>
      </c>
      <c r="P1165" t="n">
        <v>0</v>
      </c>
      <c r="Q1165" t="n">
        <v>2</v>
      </c>
      <c r="R1165" s="2" t="inlineStr">
        <is>
          <t>Garnlav
Tretåig hackspett</t>
        </is>
      </c>
      <c r="S1165">
        <f>HYPERLINK("https://klasma.github.io/Logging_2321/artfynd/A 54128-2023 artfynd.xlsx", "A 54128-2023")</f>
        <v/>
      </c>
      <c r="T1165">
        <f>HYPERLINK("https://klasma.github.io/Logging_2321/kartor/A 54128-2023 karta.png", "A 54128-2023")</f>
        <v/>
      </c>
      <c r="V1165">
        <f>HYPERLINK("https://klasma.github.io/Logging_2321/klagomål/A 54128-2023 FSC-klagomål.docx", "A 54128-2023")</f>
        <v/>
      </c>
      <c r="W1165">
        <f>HYPERLINK("https://klasma.github.io/Logging_2321/klagomålsmail/A 54128-2023 FSC-klagomål mail.docx", "A 54128-2023")</f>
        <v/>
      </c>
      <c r="X1165">
        <f>HYPERLINK("https://klasma.github.io/Logging_2321/tillsyn/A 54128-2023 tillsynsbegäran.docx", "A 54128-2023")</f>
        <v/>
      </c>
      <c r="Y1165">
        <f>HYPERLINK("https://klasma.github.io/Logging_2321/tillsynsmail/A 54128-2023 tillsynsbegäran mail.docx", "A 54128-2023")</f>
        <v/>
      </c>
      <c r="Z1165">
        <f>HYPERLINK("https://klasma.github.io/Logging_2321/fåglar/A 54128-2023 prioriterade fågelarter.docx", "A 54128-2023")</f>
        <v/>
      </c>
    </row>
    <row r="1166" ht="15" customHeight="1">
      <c r="A1166" t="inlineStr">
        <is>
          <t>A 6108-2023</t>
        </is>
      </c>
      <c r="B1166" s="1" t="n">
        <v>44964</v>
      </c>
      <c r="C1166" s="1" t="n">
        <v>46045</v>
      </c>
      <c r="D1166" t="inlineStr">
        <is>
          <t>JÄMTLANDS LÄN</t>
        </is>
      </c>
      <c r="E1166" t="inlineStr">
        <is>
          <t>ÅRE</t>
        </is>
      </c>
      <c r="G1166" t="n">
        <v>15.4</v>
      </c>
      <c r="H1166" t="n">
        <v>1</v>
      </c>
      <c r="I1166" t="n">
        <v>0</v>
      </c>
      <c r="J1166" t="n">
        <v>2</v>
      </c>
      <c r="K1166" t="n">
        <v>0</v>
      </c>
      <c r="L1166" t="n">
        <v>0</v>
      </c>
      <c r="M1166" t="n">
        <v>0</v>
      </c>
      <c r="N1166" t="n">
        <v>0</v>
      </c>
      <c r="O1166" t="n">
        <v>2</v>
      </c>
      <c r="P1166" t="n">
        <v>0</v>
      </c>
      <c r="Q1166" t="n">
        <v>2</v>
      </c>
      <c r="R1166" s="2" t="inlineStr">
        <is>
          <t>Skrovellav
Tretåig hackspett</t>
        </is>
      </c>
      <c r="S1166">
        <f>HYPERLINK("https://klasma.github.io/Logging_2321/artfynd/A 6108-2023 artfynd.xlsx", "A 6108-2023")</f>
        <v/>
      </c>
      <c r="T1166">
        <f>HYPERLINK("https://klasma.github.io/Logging_2321/kartor/A 6108-2023 karta.png", "A 6108-2023")</f>
        <v/>
      </c>
      <c r="V1166">
        <f>HYPERLINK("https://klasma.github.io/Logging_2321/klagomål/A 6108-2023 FSC-klagomål.docx", "A 6108-2023")</f>
        <v/>
      </c>
      <c r="W1166">
        <f>HYPERLINK("https://klasma.github.io/Logging_2321/klagomålsmail/A 6108-2023 FSC-klagomål mail.docx", "A 6108-2023")</f>
        <v/>
      </c>
      <c r="X1166">
        <f>HYPERLINK("https://klasma.github.io/Logging_2321/tillsyn/A 6108-2023 tillsynsbegäran.docx", "A 6108-2023")</f>
        <v/>
      </c>
      <c r="Y1166">
        <f>HYPERLINK("https://klasma.github.io/Logging_2321/tillsynsmail/A 6108-2023 tillsynsbegäran mail.docx", "A 6108-2023")</f>
        <v/>
      </c>
      <c r="Z1166">
        <f>HYPERLINK("https://klasma.github.io/Logging_2321/fåglar/A 6108-2023 prioriterade fågelarter.docx", "A 6108-2023")</f>
        <v/>
      </c>
    </row>
    <row r="1167" ht="15" customHeight="1">
      <c r="A1167" t="inlineStr">
        <is>
          <t>A 2716-2025</t>
        </is>
      </c>
      <c r="B1167" s="1" t="n">
        <v>45677.4275</v>
      </c>
      <c r="C1167" s="1" t="n">
        <v>46045</v>
      </c>
      <c r="D1167" t="inlineStr">
        <is>
          <t>JÄMTLANDS LÄN</t>
        </is>
      </c>
      <c r="E1167" t="inlineStr">
        <is>
          <t>STRÖMSUND</t>
        </is>
      </c>
      <c r="F1167" t="inlineStr">
        <is>
          <t>SCA</t>
        </is>
      </c>
      <c r="G1167" t="n">
        <v>3.6</v>
      </c>
      <c r="H1167" t="n">
        <v>0</v>
      </c>
      <c r="I1167" t="n">
        <v>0</v>
      </c>
      <c r="J1167" t="n">
        <v>2</v>
      </c>
      <c r="K1167" t="n">
        <v>0</v>
      </c>
      <c r="L1167" t="n">
        <v>0</v>
      </c>
      <c r="M1167" t="n">
        <v>0</v>
      </c>
      <c r="N1167" t="n">
        <v>0</v>
      </c>
      <c r="O1167" t="n">
        <v>2</v>
      </c>
      <c r="P1167" t="n">
        <v>0</v>
      </c>
      <c r="Q1167" t="n">
        <v>2</v>
      </c>
      <c r="R1167" s="2" t="inlineStr">
        <is>
          <t>Vaddporing
Vedskivlav</t>
        </is>
      </c>
      <c r="S1167">
        <f>HYPERLINK("https://klasma.github.io/Logging_2313/artfynd/A 2716-2025 artfynd.xlsx", "A 2716-2025")</f>
        <v/>
      </c>
      <c r="T1167">
        <f>HYPERLINK("https://klasma.github.io/Logging_2313/kartor/A 2716-2025 karta.png", "A 2716-2025")</f>
        <v/>
      </c>
      <c r="V1167">
        <f>HYPERLINK("https://klasma.github.io/Logging_2313/klagomål/A 2716-2025 FSC-klagomål.docx", "A 2716-2025")</f>
        <v/>
      </c>
      <c r="W1167">
        <f>HYPERLINK("https://klasma.github.io/Logging_2313/klagomålsmail/A 2716-2025 FSC-klagomål mail.docx", "A 2716-2025")</f>
        <v/>
      </c>
      <c r="X1167">
        <f>HYPERLINK("https://klasma.github.io/Logging_2313/tillsyn/A 2716-2025 tillsynsbegäran.docx", "A 2716-2025")</f>
        <v/>
      </c>
      <c r="Y1167">
        <f>HYPERLINK("https://klasma.github.io/Logging_2313/tillsynsmail/A 2716-2025 tillsynsbegäran mail.docx", "A 2716-2025")</f>
        <v/>
      </c>
    </row>
    <row r="1168" ht="15" customHeight="1">
      <c r="A1168" t="inlineStr">
        <is>
          <t>A 60614-2022</t>
        </is>
      </c>
      <c r="B1168" s="1" t="n">
        <v>44911</v>
      </c>
      <c r="C1168" s="1" t="n">
        <v>46045</v>
      </c>
      <c r="D1168" t="inlineStr">
        <is>
          <t>JÄMTLANDS LÄN</t>
        </is>
      </c>
      <c r="E1168" t="inlineStr">
        <is>
          <t>ÖSTERSUND</t>
        </is>
      </c>
      <c r="G1168" t="n">
        <v>17.6</v>
      </c>
      <c r="H1168" t="n">
        <v>1</v>
      </c>
      <c r="I1168" t="n">
        <v>1</v>
      </c>
      <c r="J1168" t="n">
        <v>0</v>
      </c>
      <c r="K1168" t="n">
        <v>0</v>
      </c>
      <c r="L1168" t="n">
        <v>0</v>
      </c>
      <c r="M1168" t="n">
        <v>0</v>
      </c>
      <c r="N1168" t="n">
        <v>0</v>
      </c>
      <c r="O1168" t="n">
        <v>0</v>
      </c>
      <c r="P1168" t="n">
        <v>0</v>
      </c>
      <c r="Q1168" t="n">
        <v>2</v>
      </c>
      <c r="R1168" s="2" t="inlineStr">
        <is>
          <t>Dropptaggsvamp
Blåsippa</t>
        </is>
      </c>
      <c r="S1168">
        <f>HYPERLINK("https://klasma.github.io/Logging_2380/artfynd/A 60614-2022 artfynd.xlsx", "A 60614-2022")</f>
        <v/>
      </c>
      <c r="T1168">
        <f>HYPERLINK("https://klasma.github.io/Logging_2380/kartor/A 60614-2022 karta.png", "A 60614-2022")</f>
        <v/>
      </c>
      <c r="V1168">
        <f>HYPERLINK("https://klasma.github.io/Logging_2380/klagomål/A 60614-2022 FSC-klagomål.docx", "A 60614-2022")</f>
        <v/>
      </c>
      <c r="W1168">
        <f>HYPERLINK("https://klasma.github.io/Logging_2380/klagomålsmail/A 60614-2022 FSC-klagomål mail.docx", "A 60614-2022")</f>
        <v/>
      </c>
      <c r="X1168">
        <f>HYPERLINK("https://klasma.github.io/Logging_2380/tillsyn/A 60614-2022 tillsynsbegäran.docx", "A 60614-2022")</f>
        <v/>
      </c>
      <c r="Y1168">
        <f>HYPERLINK("https://klasma.github.io/Logging_2380/tillsynsmail/A 60614-2022 tillsynsbegäran mail.docx", "A 60614-2022")</f>
        <v/>
      </c>
    </row>
    <row r="1169" ht="15" customHeight="1">
      <c r="A1169" t="inlineStr">
        <is>
          <t>A 3838-2024</t>
        </is>
      </c>
      <c r="B1169" s="1" t="n">
        <v>45321</v>
      </c>
      <c r="C1169" s="1" t="n">
        <v>46045</v>
      </c>
      <c r="D1169" t="inlineStr">
        <is>
          <t>JÄMTLANDS LÄN</t>
        </is>
      </c>
      <c r="E1169" t="inlineStr">
        <is>
          <t>RAGUNDA</t>
        </is>
      </c>
      <c r="F1169" t="inlineStr">
        <is>
          <t>SCA</t>
        </is>
      </c>
      <c r="G1169" t="n">
        <v>2</v>
      </c>
      <c r="H1169" t="n">
        <v>1</v>
      </c>
      <c r="I1169" t="n">
        <v>1</v>
      </c>
      <c r="J1169" t="n">
        <v>1</v>
      </c>
      <c r="K1169" t="n">
        <v>0</v>
      </c>
      <c r="L1169" t="n">
        <v>0</v>
      </c>
      <c r="M1169" t="n">
        <v>0</v>
      </c>
      <c r="N1169" t="n">
        <v>0</v>
      </c>
      <c r="O1169" t="n">
        <v>1</v>
      </c>
      <c r="P1169" t="n">
        <v>0</v>
      </c>
      <c r="Q1169" t="n">
        <v>2</v>
      </c>
      <c r="R1169" s="2" t="inlineStr">
        <is>
          <t>Garnlav
Guckusko</t>
        </is>
      </c>
      <c r="S1169">
        <f>HYPERLINK("https://klasma.github.io/Logging_2303/artfynd/A 3838-2024 artfynd.xlsx", "A 3838-2024")</f>
        <v/>
      </c>
      <c r="T1169">
        <f>HYPERLINK("https://klasma.github.io/Logging_2303/kartor/A 3838-2024 karta.png", "A 3838-2024")</f>
        <v/>
      </c>
      <c r="V1169">
        <f>HYPERLINK("https://klasma.github.io/Logging_2303/klagomål/A 3838-2024 FSC-klagomål.docx", "A 3838-2024")</f>
        <v/>
      </c>
      <c r="W1169">
        <f>HYPERLINK("https://klasma.github.io/Logging_2303/klagomålsmail/A 3838-2024 FSC-klagomål mail.docx", "A 3838-2024")</f>
        <v/>
      </c>
      <c r="X1169">
        <f>HYPERLINK("https://klasma.github.io/Logging_2303/tillsyn/A 3838-2024 tillsynsbegäran.docx", "A 3838-2024")</f>
        <v/>
      </c>
      <c r="Y1169">
        <f>HYPERLINK("https://klasma.github.io/Logging_2303/tillsynsmail/A 3838-2024 tillsynsbegäran mail.docx", "A 3838-2024")</f>
        <v/>
      </c>
    </row>
    <row r="1170" ht="15" customHeight="1">
      <c r="A1170" t="inlineStr">
        <is>
          <t>A 10133-2023</t>
        </is>
      </c>
      <c r="B1170" s="1" t="n">
        <v>44986</v>
      </c>
      <c r="C1170" s="1" t="n">
        <v>46045</v>
      </c>
      <c r="D1170" t="inlineStr">
        <is>
          <t>JÄMTLANDS LÄN</t>
        </is>
      </c>
      <c r="E1170" t="inlineStr">
        <is>
          <t>BERG</t>
        </is>
      </c>
      <c r="F1170" t="inlineStr">
        <is>
          <t>Holmen skog AB</t>
        </is>
      </c>
      <c r="G1170" t="n">
        <v>3</v>
      </c>
      <c r="H1170" t="n">
        <v>0</v>
      </c>
      <c r="I1170" t="n">
        <v>0</v>
      </c>
      <c r="J1170" t="n">
        <v>2</v>
      </c>
      <c r="K1170" t="n">
        <v>0</v>
      </c>
      <c r="L1170" t="n">
        <v>0</v>
      </c>
      <c r="M1170" t="n">
        <v>0</v>
      </c>
      <c r="N1170" t="n">
        <v>0</v>
      </c>
      <c r="O1170" t="n">
        <v>2</v>
      </c>
      <c r="P1170" t="n">
        <v>0</v>
      </c>
      <c r="Q1170" t="n">
        <v>2</v>
      </c>
      <c r="R1170" s="2" t="inlineStr">
        <is>
          <t>Garnlav
Vitgrynig nållav</t>
        </is>
      </c>
      <c r="S1170">
        <f>HYPERLINK("https://klasma.github.io/Logging_2326/artfynd/A 10133-2023 artfynd.xlsx", "A 10133-2023")</f>
        <v/>
      </c>
      <c r="T1170">
        <f>HYPERLINK("https://klasma.github.io/Logging_2326/kartor/A 10133-2023 karta.png", "A 10133-2023")</f>
        <v/>
      </c>
      <c r="V1170">
        <f>HYPERLINK("https://klasma.github.io/Logging_2326/klagomål/A 10133-2023 FSC-klagomål.docx", "A 10133-2023")</f>
        <v/>
      </c>
      <c r="W1170">
        <f>HYPERLINK("https://klasma.github.io/Logging_2326/klagomålsmail/A 10133-2023 FSC-klagomål mail.docx", "A 10133-2023")</f>
        <v/>
      </c>
      <c r="X1170">
        <f>HYPERLINK("https://klasma.github.io/Logging_2326/tillsyn/A 10133-2023 tillsynsbegäran.docx", "A 10133-2023")</f>
        <v/>
      </c>
      <c r="Y1170">
        <f>HYPERLINK("https://klasma.github.io/Logging_2326/tillsynsmail/A 10133-2023 tillsynsbegäran mail.docx", "A 10133-2023")</f>
        <v/>
      </c>
    </row>
    <row r="1171" ht="15" customHeight="1">
      <c r="A1171" t="inlineStr">
        <is>
          <t>A 7575-2024</t>
        </is>
      </c>
      <c r="B1171" s="1" t="n">
        <v>45348</v>
      </c>
      <c r="C1171" s="1" t="n">
        <v>46045</v>
      </c>
      <c r="D1171" t="inlineStr">
        <is>
          <t>JÄMTLANDS LÄN</t>
        </is>
      </c>
      <c r="E1171" t="inlineStr">
        <is>
          <t>KROKOM</t>
        </is>
      </c>
      <c r="G1171" t="n">
        <v>25.1</v>
      </c>
      <c r="H1171" t="n">
        <v>2</v>
      </c>
      <c r="I1171" t="n">
        <v>0</v>
      </c>
      <c r="J1171" t="n">
        <v>1</v>
      </c>
      <c r="K1171" t="n">
        <v>0</v>
      </c>
      <c r="L1171" t="n">
        <v>0</v>
      </c>
      <c r="M1171" t="n">
        <v>0</v>
      </c>
      <c r="N1171" t="n">
        <v>0</v>
      </c>
      <c r="O1171" t="n">
        <v>1</v>
      </c>
      <c r="P1171" t="n">
        <v>0</v>
      </c>
      <c r="Q1171" t="n">
        <v>2</v>
      </c>
      <c r="R1171" s="2" t="inlineStr">
        <is>
          <t>Tretåig hackspett
Fläcknycklar</t>
        </is>
      </c>
      <c r="S1171">
        <f>HYPERLINK("https://klasma.github.io/Logging_2309/artfynd/A 7575-2024 artfynd.xlsx", "A 7575-2024")</f>
        <v/>
      </c>
      <c r="T1171">
        <f>HYPERLINK("https://klasma.github.io/Logging_2309/kartor/A 7575-2024 karta.png", "A 7575-2024")</f>
        <v/>
      </c>
      <c r="V1171">
        <f>HYPERLINK("https://klasma.github.io/Logging_2309/klagomål/A 7575-2024 FSC-klagomål.docx", "A 7575-2024")</f>
        <v/>
      </c>
      <c r="W1171">
        <f>HYPERLINK("https://klasma.github.io/Logging_2309/klagomålsmail/A 7575-2024 FSC-klagomål mail.docx", "A 7575-2024")</f>
        <v/>
      </c>
      <c r="X1171">
        <f>HYPERLINK("https://klasma.github.io/Logging_2309/tillsyn/A 7575-2024 tillsynsbegäran.docx", "A 7575-2024")</f>
        <v/>
      </c>
      <c r="Y1171">
        <f>HYPERLINK("https://klasma.github.io/Logging_2309/tillsynsmail/A 7575-2024 tillsynsbegäran mail.docx", "A 7575-2024")</f>
        <v/>
      </c>
      <c r="Z1171">
        <f>HYPERLINK("https://klasma.github.io/Logging_2309/fåglar/A 7575-2024 prioriterade fågelarter.docx", "A 7575-2024")</f>
        <v/>
      </c>
    </row>
    <row r="1172" ht="15" customHeight="1">
      <c r="A1172" t="inlineStr">
        <is>
          <t>A 14589-2021</t>
        </is>
      </c>
      <c r="B1172" s="1" t="n">
        <v>44279</v>
      </c>
      <c r="C1172" s="1" t="n">
        <v>46045</v>
      </c>
      <c r="D1172" t="inlineStr">
        <is>
          <t>JÄMTLANDS LÄN</t>
        </is>
      </c>
      <c r="E1172" t="inlineStr">
        <is>
          <t>KROKOM</t>
        </is>
      </c>
      <c r="G1172" t="n">
        <v>8.800000000000001</v>
      </c>
      <c r="H1172" t="n">
        <v>2</v>
      </c>
      <c r="I1172" t="n">
        <v>0</v>
      </c>
      <c r="J1172" t="n">
        <v>1</v>
      </c>
      <c r="K1172" t="n">
        <v>0</v>
      </c>
      <c r="L1172" t="n">
        <v>0</v>
      </c>
      <c r="M1172" t="n">
        <v>0</v>
      </c>
      <c r="N1172" t="n">
        <v>0</v>
      </c>
      <c r="O1172" t="n">
        <v>1</v>
      </c>
      <c r="P1172" t="n">
        <v>0</v>
      </c>
      <c r="Q1172" t="n">
        <v>2</v>
      </c>
      <c r="R1172" s="2" t="inlineStr">
        <is>
          <t>Utter
Fläcknycklar</t>
        </is>
      </c>
      <c r="S1172">
        <f>HYPERLINK("https://klasma.github.io/Logging_2309/artfynd/A 14589-2021 artfynd.xlsx", "A 14589-2021")</f>
        <v/>
      </c>
      <c r="T1172">
        <f>HYPERLINK("https://klasma.github.io/Logging_2309/kartor/A 14589-2021 karta.png", "A 14589-2021")</f>
        <v/>
      </c>
      <c r="V1172">
        <f>HYPERLINK("https://klasma.github.io/Logging_2309/klagomål/A 14589-2021 FSC-klagomål.docx", "A 14589-2021")</f>
        <v/>
      </c>
      <c r="W1172">
        <f>HYPERLINK("https://klasma.github.io/Logging_2309/klagomålsmail/A 14589-2021 FSC-klagomål mail.docx", "A 14589-2021")</f>
        <v/>
      </c>
      <c r="X1172">
        <f>HYPERLINK("https://klasma.github.io/Logging_2309/tillsyn/A 14589-2021 tillsynsbegäran.docx", "A 14589-2021")</f>
        <v/>
      </c>
      <c r="Y1172">
        <f>HYPERLINK("https://klasma.github.io/Logging_2309/tillsynsmail/A 14589-2021 tillsynsbegäran mail.docx", "A 14589-2021")</f>
        <v/>
      </c>
    </row>
    <row r="1173" ht="15" customHeight="1">
      <c r="A1173" t="inlineStr">
        <is>
          <t>A 42385-2024</t>
        </is>
      </c>
      <c r="B1173" s="1" t="n">
        <v>45562</v>
      </c>
      <c r="C1173" s="1" t="n">
        <v>46045</v>
      </c>
      <c r="D1173" t="inlineStr">
        <is>
          <t>JÄMTLANDS LÄN</t>
        </is>
      </c>
      <c r="E1173" t="inlineStr">
        <is>
          <t>STRÖMSUND</t>
        </is>
      </c>
      <c r="F1173" t="inlineStr">
        <is>
          <t>Övriga statliga verk och myndigheter</t>
        </is>
      </c>
      <c r="G1173" t="n">
        <v>5</v>
      </c>
      <c r="H1173" t="n">
        <v>0</v>
      </c>
      <c r="I1173" t="n">
        <v>1</v>
      </c>
      <c r="J1173" t="n">
        <v>1</v>
      </c>
      <c r="K1173" t="n">
        <v>0</v>
      </c>
      <c r="L1173" t="n">
        <v>0</v>
      </c>
      <c r="M1173" t="n">
        <v>0</v>
      </c>
      <c r="N1173" t="n">
        <v>0</v>
      </c>
      <c r="O1173" t="n">
        <v>1</v>
      </c>
      <c r="P1173" t="n">
        <v>0</v>
      </c>
      <c r="Q1173" t="n">
        <v>2</v>
      </c>
      <c r="R1173" s="2" t="inlineStr">
        <is>
          <t>Granticka
Trådticka</t>
        </is>
      </c>
      <c r="S1173">
        <f>HYPERLINK("https://klasma.github.io/Logging_2313/artfynd/A 42385-2024 artfynd.xlsx", "A 42385-2024")</f>
        <v/>
      </c>
      <c r="T1173">
        <f>HYPERLINK("https://klasma.github.io/Logging_2313/kartor/A 42385-2024 karta.png", "A 42385-2024")</f>
        <v/>
      </c>
      <c r="V1173">
        <f>HYPERLINK("https://klasma.github.io/Logging_2313/klagomål/A 42385-2024 FSC-klagomål.docx", "A 42385-2024")</f>
        <v/>
      </c>
      <c r="W1173">
        <f>HYPERLINK("https://klasma.github.io/Logging_2313/klagomålsmail/A 42385-2024 FSC-klagomål mail.docx", "A 42385-2024")</f>
        <v/>
      </c>
      <c r="X1173">
        <f>HYPERLINK("https://klasma.github.io/Logging_2313/tillsyn/A 42385-2024 tillsynsbegäran.docx", "A 42385-2024")</f>
        <v/>
      </c>
      <c r="Y1173">
        <f>HYPERLINK("https://klasma.github.io/Logging_2313/tillsynsmail/A 42385-2024 tillsynsbegäran mail.docx", "A 42385-2024")</f>
        <v/>
      </c>
    </row>
    <row r="1174" ht="15" customHeight="1">
      <c r="A1174" t="inlineStr">
        <is>
          <t>A 26482-2023</t>
        </is>
      </c>
      <c r="B1174" s="1" t="n">
        <v>45089</v>
      </c>
      <c r="C1174" s="1" t="n">
        <v>46045</v>
      </c>
      <c r="D1174" t="inlineStr">
        <is>
          <t>JÄMTLANDS LÄN</t>
        </is>
      </c>
      <c r="E1174" t="inlineStr">
        <is>
          <t>RAGUNDA</t>
        </is>
      </c>
      <c r="G1174" t="n">
        <v>2</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HYPERLINK("https://klasma.github.io/Logging_2303/artfynd/A 26482-2023 artfynd.xlsx", "A 26482-2023")</f>
        <v/>
      </c>
      <c r="T1174">
        <f>HYPERLINK("https://klasma.github.io/Logging_2303/kartor/A 26482-2023 karta.png", "A 26482-2023")</f>
        <v/>
      </c>
      <c r="V1174">
        <f>HYPERLINK("https://klasma.github.io/Logging_2303/klagomål/A 26482-2023 FSC-klagomål.docx", "A 26482-2023")</f>
        <v/>
      </c>
      <c r="W1174">
        <f>HYPERLINK("https://klasma.github.io/Logging_2303/klagomålsmail/A 26482-2023 FSC-klagomål mail.docx", "A 26482-2023")</f>
        <v/>
      </c>
      <c r="X1174">
        <f>HYPERLINK("https://klasma.github.io/Logging_2303/tillsyn/A 26482-2023 tillsynsbegäran.docx", "A 26482-2023")</f>
        <v/>
      </c>
      <c r="Y1174">
        <f>HYPERLINK("https://klasma.github.io/Logging_2303/tillsynsmail/A 26482-2023 tillsynsbegäran mail.docx", "A 26482-2023")</f>
        <v/>
      </c>
      <c r="Z1174">
        <f>HYPERLINK("https://klasma.github.io/Logging_2303/fåglar/A 26482-2023 prioriterade fågelarter.docx", "A 26482-2023")</f>
        <v/>
      </c>
    </row>
    <row r="1175" ht="15" customHeight="1">
      <c r="A1175" t="inlineStr">
        <is>
          <t>A 17368-2023</t>
        </is>
      </c>
      <c r="B1175" s="1" t="n">
        <v>45035</v>
      </c>
      <c r="C1175" s="1" t="n">
        <v>46045</v>
      </c>
      <c r="D1175" t="inlineStr">
        <is>
          <t>JÄMTLANDS LÄN</t>
        </is>
      </c>
      <c r="E1175" t="inlineStr">
        <is>
          <t>HÄRJEDALEN</t>
        </is>
      </c>
      <c r="F1175" t="inlineStr">
        <is>
          <t>Kyrkan</t>
        </is>
      </c>
      <c r="G1175" t="n">
        <v>1.3</v>
      </c>
      <c r="H1175" t="n">
        <v>1</v>
      </c>
      <c r="I1175" t="n">
        <v>0</v>
      </c>
      <c r="J1175" t="n">
        <v>1</v>
      </c>
      <c r="K1175" t="n">
        <v>1</v>
      </c>
      <c r="L1175" t="n">
        <v>0</v>
      </c>
      <c r="M1175" t="n">
        <v>0</v>
      </c>
      <c r="N1175" t="n">
        <v>0</v>
      </c>
      <c r="O1175" t="n">
        <v>2</v>
      </c>
      <c r="P1175" t="n">
        <v>1</v>
      </c>
      <c r="Q1175" t="n">
        <v>2</v>
      </c>
      <c r="R1175" s="2" t="inlineStr">
        <is>
          <t>Knärot
Mörk kolflarnlav</t>
        </is>
      </c>
      <c r="S1175">
        <f>HYPERLINK("https://klasma.github.io/Logging_2361/artfynd/A 17368-2023 artfynd.xlsx", "A 17368-2023")</f>
        <v/>
      </c>
      <c r="T1175">
        <f>HYPERLINK("https://klasma.github.io/Logging_2361/kartor/A 17368-2023 karta.png", "A 17368-2023")</f>
        <v/>
      </c>
      <c r="U1175">
        <f>HYPERLINK("https://klasma.github.io/Logging_2361/knärot/A 17368-2023 karta knärot.png", "A 17368-2023")</f>
        <v/>
      </c>
      <c r="V1175">
        <f>HYPERLINK("https://klasma.github.io/Logging_2361/klagomål/A 17368-2023 FSC-klagomål.docx", "A 17368-2023")</f>
        <v/>
      </c>
      <c r="W1175">
        <f>HYPERLINK("https://klasma.github.io/Logging_2361/klagomålsmail/A 17368-2023 FSC-klagomål mail.docx", "A 17368-2023")</f>
        <v/>
      </c>
      <c r="X1175">
        <f>HYPERLINK("https://klasma.github.io/Logging_2361/tillsyn/A 17368-2023 tillsynsbegäran.docx", "A 17368-2023")</f>
        <v/>
      </c>
      <c r="Y1175">
        <f>HYPERLINK("https://klasma.github.io/Logging_2361/tillsynsmail/A 17368-2023 tillsynsbegäran mail.docx", "A 17368-2023")</f>
        <v/>
      </c>
    </row>
    <row r="1176" ht="15" customHeight="1">
      <c r="A1176" t="inlineStr">
        <is>
          <t>A 55343-2023</t>
        </is>
      </c>
      <c r="B1176" s="1" t="n">
        <v>45237</v>
      </c>
      <c r="C1176" s="1" t="n">
        <v>46045</v>
      </c>
      <c r="D1176" t="inlineStr">
        <is>
          <t>JÄMTLANDS LÄN</t>
        </is>
      </c>
      <c r="E1176" t="inlineStr">
        <is>
          <t>BRÄCKE</t>
        </is>
      </c>
      <c r="F1176" t="inlineStr">
        <is>
          <t>Kyrkan</t>
        </is>
      </c>
      <c r="G1176" t="n">
        <v>12</v>
      </c>
      <c r="H1176" t="n">
        <v>1</v>
      </c>
      <c r="I1176" t="n">
        <v>0</v>
      </c>
      <c r="J1176" t="n">
        <v>1</v>
      </c>
      <c r="K1176" t="n">
        <v>1</v>
      </c>
      <c r="L1176" t="n">
        <v>0</v>
      </c>
      <c r="M1176" t="n">
        <v>0</v>
      </c>
      <c r="N1176" t="n">
        <v>0</v>
      </c>
      <c r="O1176" t="n">
        <v>2</v>
      </c>
      <c r="P1176" t="n">
        <v>1</v>
      </c>
      <c r="Q1176" t="n">
        <v>2</v>
      </c>
      <c r="R1176" s="2" t="inlineStr">
        <is>
          <t>Doftticka
Lunglav</t>
        </is>
      </c>
      <c r="S1176">
        <f>HYPERLINK("https://klasma.github.io/Logging_2305/artfynd/A 55343-2023 artfynd.xlsx", "A 55343-2023")</f>
        <v/>
      </c>
      <c r="T1176">
        <f>HYPERLINK("https://klasma.github.io/Logging_2305/kartor/A 55343-2023 karta.png", "A 55343-2023")</f>
        <v/>
      </c>
      <c r="V1176">
        <f>HYPERLINK("https://klasma.github.io/Logging_2305/klagomål/A 55343-2023 FSC-klagomål.docx", "A 55343-2023")</f>
        <v/>
      </c>
      <c r="W1176">
        <f>HYPERLINK("https://klasma.github.io/Logging_2305/klagomålsmail/A 55343-2023 FSC-klagomål mail.docx", "A 55343-2023")</f>
        <v/>
      </c>
      <c r="X1176">
        <f>HYPERLINK("https://klasma.github.io/Logging_2305/tillsyn/A 55343-2023 tillsynsbegäran.docx", "A 55343-2023")</f>
        <v/>
      </c>
      <c r="Y1176">
        <f>HYPERLINK("https://klasma.github.io/Logging_2305/tillsynsmail/A 55343-2023 tillsynsbegäran mail.docx", "A 55343-2023")</f>
        <v/>
      </c>
    </row>
    <row r="1177" ht="15" customHeight="1">
      <c r="A1177" t="inlineStr">
        <is>
          <t>A 44773-2021</t>
        </is>
      </c>
      <c r="B1177" s="1" t="n">
        <v>44438</v>
      </c>
      <c r="C1177" s="1" t="n">
        <v>46045</v>
      </c>
      <c r="D1177" t="inlineStr">
        <is>
          <t>JÄMTLANDS LÄN</t>
        </is>
      </c>
      <c r="E1177" t="inlineStr">
        <is>
          <t>STRÖMSUND</t>
        </is>
      </c>
      <c r="G1177" t="n">
        <v>12.3</v>
      </c>
      <c r="H1177" t="n">
        <v>0</v>
      </c>
      <c r="I1177" t="n">
        <v>0</v>
      </c>
      <c r="J1177" t="n">
        <v>1</v>
      </c>
      <c r="K1177" t="n">
        <v>1</v>
      </c>
      <c r="L1177" t="n">
        <v>0</v>
      </c>
      <c r="M1177" t="n">
        <v>0</v>
      </c>
      <c r="N1177" t="n">
        <v>0</v>
      </c>
      <c r="O1177" t="n">
        <v>2</v>
      </c>
      <c r="P1177" t="n">
        <v>1</v>
      </c>
      <c r="Q1177" t="n">
        <v>2</v>
      </c>
      <c r="R1177" s="2" t="inlineStr">
        <is>
          <t>Allékantlav
Lunglav</t>
        </is>
      </c>
      <c r="S1177">
        <f>HYPERLINK("https://klasma.github.io/Logging_2313/artfynd/A 44773-2021 artfynd.xlsx", "A 44773-2021")</f>
        <v/>
      </c>
      <c r="T1177">
        <f>HYPERLINK("https://klasma.github.io/Logging_2313/kartor/A 44773-2021 karta.png", "A 44773-2021")</f>
        <v/>
      </c>
      <c r="V1177">
        <f>HYPERLINK("https://klasma.github.io/Logging_2313/klagomål/A 44773-2021 FSC-klagomål.docx", "A 44773-2021")</f>
        <v/>
      </c>
      <c r="W1177">
        <f>HYPERLINK("https://klasma.github.io/Logging_2313/klagomålsmail/A 44773-2021 FSC-klagomål mail.docx", "A 44773-2021")</f>
        <v/>
      </c>
      <c r="X1177">
        <f>HYPERLINK("https://klasma.github.io/Logging_2313/tillsyn/A 44773-2021 tillsynsbegäran.docx", "A 44773-2021")</f>
        <v/>
      </c>
      <c r="Y1177">
        <f>HYPERLINK("https://klasma.github.io/Logging_2313/tillsynsmail/A 44773-2021 tillsynsbegäran mail.docx", "A 44773-2021")</f>
        <v/>
      </c>
    </row>
    <row r="1178" ht="15" customHeight="1">
      <c r="A1178" t="inlineStr">
        <is>
          <t>A 63930-2023</t>
        </is>
      </c>
      <c r="B1178" s="1" t="n">
        <v>45278</v>
      </c>
      <c r="C1178" s="1" t="n">
        <v>46045</v>
      </c>
      <c r="D1178" t="inlineStr">
        <is>
          <t>JÄMTLANDS LÄN</t>
        </is>
      </c>
      <c r="E1178" t="inlineStr">
        <is>
          <t>ÖSTERSUND</t>
        </is>
      </c>
      <c r="G1178" t="n">
        <v>2.1</v>
      </c>
      <c r="H1178" t="n">
        <v>0</v>
      </c>
      <c r="I1178" t="n">
        <v>2</v>
      </c>
      <c r="J1178" t="n">
        <v>0</v>
      </c>
      <c r="K1178" t="n">
        <v>0</v>
      </c>
      <c r="L1178" t="n">
        <v>0</v>
      </c>
      <c r="M1178" t="n">
        <v>0</v>
      </c>
      <c r="N1178" t="n">
        <v>0</v>
      </c>
      <c r="O1178" t="n">
        <v>0</v>
      </c>
      <c r="P1178" t="n">
        <v>0</v>
      </c>
      <c r="Q1178" t="n">
        <v>2</v>
      </c>
      <c r="R1178" s="2" t="inlineStr">
        <is>
          <t>Strimspindling
Svavelriska</t>
        </is>
      </c>
      <c r="S1178">
        <f>HYPERLINK("https://klasma.github.io/Logging_2380/artfynd/A 63930-2023 artfynd.xlsx", "A 63930-2023")</f>
        <v/>
      </c>
      <c r="T1178">
        <f>HYPERLINK("https://klasma.github.io/Logging_2380/kartor/A 63930-2023 karta.png", "A 63930-2023")</f>
        <v/>
      </c>
      <c r="V1178">
        <f>HYPERLINK("https://klasma.github.io/Logging_2380/klagomål/A 63930-2023 FSC-klagomål.docx", "A 63930-2023")</f>
        <v/>
      </c>
      <c r="W1178">
        <f>HYPERLINK("https://klasma.github.io/Logging_2380/klagomålsmail/A 63930-2023 FSC-klagomål mail.docx", "A 63930-2023")</f>
        <v/>
      </c>
      <c r="X1178">
        <f>HYPERLINK("https://klasma.github.io/Logging_2380/tillsyn/A 63930-2023 tillsynsbegäran.docx", "A 63930-2023")</f>
        <v/>
      </c>
      <c r="Y1178">
        <f>HYPERLINK("https://klasma.github.io/Logging_2380/tillsynsmail/A 63930-2023 tillsynsbegäran mail.docx", "A 63930-2023")</f>
        <v/>
      </c>
    </row>
    <row r="1179" ht="15" customHeight="1">
      <c r="A1179" t="inlineStr">
        <is>
          <t>A 12271-2024</t>
        </is>
      </c>
      <c r="B1179" s="1" t="n">
        <v>45378</v>
      </c>
      <c r="C1179" s="1" t="n">
        <v>46045</v>
      </c>
      <c r="D1179" t="inlineStr">
        <is>
          <t>JÄMTLANDS LÄN</t>
        </is>
      </c>
      <c r="E1179" t="inlineStr">
        <is>
          <t>RAGUNDA</t>
        </is>
      </c>
      <c r="F1179" t="inlineStr">
        <is>
          <t>Kommuner</t>
        </is>
      </c>
      <c r="G1179" t="n">
        <v>6.1</v>
      </c>
      <c r="H1179" t="n">
        <v>0</v>
      </c>
      <c r="I1179" t="n">
        <v>0</v>
      </c>
      <c r="J1179" t="n">
        <v>2</v>
      </c>
      <c r="K1179" t="n">
        <v>0</v>
      </c>
      <c r="L1179" t="n">
        <v>0</v>
      </c>
      <c r="M1179" t="n">
        <v>0</v>
      </c>
      <c r="N1179" t="n">
        <v>0</v>
      </c>
      <c r="O1179" t="n">
        <v>2</v>
      </c>
      <c r="P1179" t="n">
        <v>0</v>
      </c>
      <c r="Q1179" t="n">
        <v>2</v>
      </c>
      <c r="R1179" s="2" t="inlineStr">
        <is>
          <t>Garnlav
Lunglav</t>
        </is>
      </c>
      <c r="S1179">
        <f>HYPERLINK("https://klasma.github.io/Logging_2303/artfynd/A 12271-2024 artfynd.xlsx", "A 12271-2024")</f>
        <v/>
      </c>
      <c r="T1179">
        <f>HYPERLINK("https://klasma.github.io/Logging_2303/kartor/A 12271-2024 karta.png", "A 12271-2024")</f>
        <v/>
      </c>
      <c r="V1179">
        <f>HYPERLINK("https://klasma.github.io/Logging_2303/klagomål/A 12271-2024 FSC-klagomål.docx", "A 12271-2024")</f>
        <v/>
      </c>
      <c r="W1179">
        <f>HYPERLINK("https://klasma.github.io/Logging_2303/klagomålsmail/A 12271-2024 FSC-klagomål mail.docx", "A 12271-2024")</f>
        <v/>
      </c>
      <c r="X1179">
        <f>HYPERLINK("https://klasma.github.io/Logging_2303/tillsyn/A 12271-2024 tillsynsbegäran.docx", "A 12271-2024")</f>
        <v/>
      </c>
      <c r="Y1179">
        <f>HYPERLINK("https://klasma.github.io/Logging_2303/tillsynsmail/A 12271-2024 tillsynsbegäran mail.docx", "A 12271-2024")</f>
        <v/>
      </c>
    </row>
    <row r="1180" ht="15" customHeight="1">
      <c r="A1180" t="inlineStr">
        <is>
          <t>A 8248-2024</t>
        </is>
      </c>
      <c r="B1180" s="1" t="n">
        <v>45351</v>
      </c>
      <c r="C1180" s="1" t="n">
        <v>46045</v>
      </c>
      <c r="D1180" t="inlineStr">
        <is>
          <t>JÄMTLANDS LÄN</t>
        </is>
      </c>
      <c r="E1180" t="inlineStr">
        <is>
          <t>BRÄCKE</t>
        </is>
      </c>
      <c r="F1180" t="inlineStr">
        <is>
          <t>SCA</t>
        </is>
      </c>
      <c r="G1180" t="n">
        <v>1.8</v>
      </c>
      <c r="H1180" t="n">
        <v>0</v>
      </c>
      <c r="I1180" t="n">
        <v>0</v>
      </c>
      <c r="J1180" t="n">
        <v>2</v>
      </c>
      <c r="K1180" t="n">
        <v>0</v>
      </c>
      <c r="L1180" t="n">
        <v>0</v>
      </c>
      <c r="M1180" t="n">
        <v>0</v>
      </c>
      <c r="N1180" t="n">
        <v>0</v>
      </c>
      <c r="O1180" t="n">
        <v>2</v>
      </c>
      <c r="P1180" t="n">
        <v>0</v>
      </c>
      <c r="Q1180" t="n">
        <v>2</v>
      </c>
      <c r="R1180" s="2" t="inlineStr">
        <is>
          <t>Rosenticka
Ullticka</t>
        </is>
      </c>
      <c r="S1180">
        <f>HYPERLINK("https://klasma.github.io/Logging_2305/artfynd/A 8248-2024 artfynd.xlsx", "A 8248-2024")</f>
        <v/>
      </c>
      <c r="T1180">
        <f>HYPERLINK("https://klasma.github.io/Logging_2305/kartor/A 8248-2024 karta.png", "A 8248-2024")</f>
        <v/>
      </c>
      <c r="V1180">
        <f>HYPERLINK("https://klasma.github.io/Logging_2305/klagomål/A 8248-2024 FSC-klagomål.docx", "A 8248-2024")</f>
        <v/>
      </c>
      <c r="W1180">
        <f>HYPERLINK("https://klasma.github.io/Logging_2305/klagomålsmail/A 8248-2024 FSC-klagomål mail.docx", "A 8248-2024")</f>
        <v/>
      </c>
      <c r="X1180">
        <f>HYPERLINK("https://klasma.github.io/Logging_2305/tillsyn/A 8248-2024 tillsynsbegäran.docx", "A 8248-2024")</f>
        <v/>
      </c>
      <c r="Y1180">
        <f>HYPERLINK("https://klasma.github.io/Logging_2305/tillsynsmail/A 8248-2024 tillsynsbegäran mail.docx", "A 8248-2024")</f>
        <v/>
      </c>
    </row>
    <row r="1181" ht="15" customHeight="1">
      <c r="A1181" t="inlineStr">
        <is>
          <t>A 37387-2022</t>
        </is>
      </c>
      <c r="B1181" s="1" t="n">
        <v>44806</v>
      </c>
      <c r="C1181" s="1" t="n">
        <v>46045</v>
      </c>
      <c r="D1181" t="inlineStr">
        <is>
          <t>JÄMTLANDS LÄN</t>
        </is>
      </c>
      <c r="E1181" t="inlineStr">
        <is>
          <t>BERG</t>
        </is>
      </c>
      <c r="G1181" t="n">
        <v>20.2</v>
      </c>
      <c r="H1181" t="n">
        <v>1</v>
      </c>
      <c r="I1181" t="n">
        <v>0</v>
      </c>
      <c r="J1181" t="n">
        <v>2</v>
      </c>
      <c r="K1181" t="n">
        <v>0</v>
      </c>
      <c r="L1181" t="n">
        <v>0</v>
      </c>
      <c r="M1181" t="n">
        <v>0</v>
      </c>
      <c r="N1181" t="n">
        <v>0</v>
      </c>
      <c r="O1181" t="n">
        <v>2</v>
      </c>
      <c r="P1181" t="n">
        <v>0</v>
      </c>
      <c r="Q1181" t="n">
        <v>2</v>
      </c>
      <c r="R1181" s="2" t="inlineStr">
        <is>
          <t>Garnlav
Tretåig hackspett</t>
        </is>
      </c>
      <c r="S1181">
        <f>HYPERLINK("https://klasma.github.io/Logging_2326/artfynd/A 37387-2022 artfynd.xlsx", "A 37387-2022")</f>
        <v/>
      </c>
      <c r="T1181">
        <f>HYPERLINK("https://klasma.github.io/Logging_2326/kartor/A 37387-2022 karta.png", "A 37387-2022")</f>
        <v/>
      </c>
      <c r="V1181">
        <f>HYPERLINK("https://klasma.github.io/Logging_2326/klagomål/A 37387-2022 FSC-klagomål.docx", "A 37387-2022")</f>
        <v/>
      </c>
      <c r="W1181">
        <f>HYPERLINK("https://klasma.github.io/Logging_2326/klagomålsmail/A 37387-2022 FSC-klagomål mail.docx", "A 37387-2022")</f>
        <v/>
      </c>
      <c r="X1181">
        <f>HYPERLINK("https://klasma.github.io/Logging_2326/tillsyn/A 37387-2022 tillsynsbegäran.docx", "A 37387-2022")</f>
        <v/>
      </c>
      <c r="Y1181">
        <f>HYPERLINK("https://klasma.github.io/Logging_2326/tillsynsmail/A 37387-2022 tillsynsbegäran mail.docx", "A 37387-2022")</f>
        <v/>
      </c>
      <c r="Z1181">
        <f>HYPERLINK("https://klasma.github.io/Logging_2326/fåglar/A 37387-2022 prioriterade fågelarter.docx", "A 37387-2022")</f>
        <v/>
      </c>
    </row>
    <row r="1182" ht="15" customHeight="1">
      <c r="A1182" t="inlineStr">
        <is>
          <t>A 47-2023</t>
        </is>
      </c>
      <c r="B1182" s="1" t="n">
        <v>44928</v>
      </c>
      <c r="C1182" s="1" t="n">
        <v>46045</v>
      </c>
      <c r="D1182" t="inlineStr">
        <is>
          <t>JÄMTLANDS LÄN</t>
        </is>
      </c>
      <c r="E1182" t="inlineStr">
        <is>
          <t>BERG</t>
        </is>
      </c>
      <c r="F1182" t="inlineStr">
        <is>
          <t>Naturvårdsverket</t>
        </is>
      </c>
      <c r="G1182" t="n">
        <v>1.5</v>
      </c>
      <c r="H1182" t="n">
        <v>1</v>
      </c>
      <c r="I1182" t="n">
        <v>0</v>
      </c>
      <c r="J1182" t="n">
        <v>1</v>
      </c>
      <c r="K1182" t="n">
        <v>1</v>
      </c>
      <c r="L1182" t="n">
        <v>0</v>
      </c>
      <c r="M1182" t="n">
        <v>0</v>
      </c>
      <c r="N1182" t="n">
        <v>0</v>
      </c>
      <c r="O1182" t="n">
        <v>2</v>
      </c>
      <c r="P1182" t="n">
        <v>1</v>
      </c>
      <c r="Q1182" t="n">
        <v>2</v>
      </c>
      <c r="R1182" s="2" t="inlineStr">
        <is>
          <t>Knärot
Violettgrå tagellav</t>
        </is>
      </c>
      <c r="S1182">
        <f>HYPERLINK("https://klasma.github.io/Logging_2326/artfynd/A 47-2023 artfynd.xlsx", "A 47-2023")</f>
        <v/>
      </c>
      <c r="T1182">
        <f>HYPERLINK("https://klasma.github.io/Logging_2326/kartor/A 47-2023 karta.png", "A 47-2023")</f>
        <v/>
      </c>
      <c r="U1182">
        <f>HYPERLINK("https://klasma.github.io/Logging_2326/knärot/A 47-2023 karta knärot.png", "A 47-2023")</f>
        <v/>
      </c>
      <c r="V1182">
        <f>HYPERLINK("https://klasma.github.io/Logging_2326/klagomål/A 47-2023 FSC-klagomål.docx", "A 47-2023")</f>
        <v/>
      </c>
      <c r="W1182">
        <f>HYPERLINK("https://klasma.github.io/Logging_2326/klagomålsmail/A 47-2023 FSC-klagomål mail.docx", "A 47-2023")</f>
        <v/>
      </c>
      <c r="X1182">
        <f>HYPERLINK("https://klasma.github.io/Logging_2326/tillsyn/A 47-2023 tillsynsbegäran.docx", "A 47-2023")</f>
        <v/>
      </c>
      <c r="Y1182">
        <f>HYPERLINK("https://klasma.github.io/Logging_2326/tillsynsmail/A 47-2023 tillsynsbegäran mail.docx", "A 47-2023")</f>
        <v/>
      </c>
    </row>
    <row r="1183" ht="15" customHeight="1">
      <c r="A1183" t="inlineStr">
        <is>
          <t>A 15146-2024</t>
        </is>
      </c>
      <c r="B1183" s="1" t="n">
        <v>45399.94361111111</v>
      </c>
      <c r="C1183" s="1" t="n">
        <v>46045</v>
      </c>
      <c r="D1183" t="inlineStr">
        <is>
          <t>JÄMTLANDS LÄN</t>
        </is>
      </c>
      <c r="E1183" t="inlineStr">
        <is>
          <t>BRÄCKE</t>
        </is>
      </c>
      <c r="F1183" t="inlineStr">
        <is>
          <t>Naturvårdsverket</t>
        </is>
      </c>
      <c r="G1183" t="n">
        <v>2.2</v>
      </c>
      <c r="H1183" t="n">
        <v>0</v>
      </c>
      <c r="I1183" t="n">
        <v>0</v>
      </c>
      <c r="J1183" t="n">
        <v>2</v>
      </c>
      <c r="K1183" t="n">
        <v>0</v>
      </c>
      <c r="L1183" t="n">
        <v>0</v>
      </c>
      <c r="M1183" t="n">
        <v>0</v>
      </c>
      <c r="N1183" t="n">
        <v>0</v>
      </c>
      <c r="O1183" t="n">
        <v>2</v>
      </c>
      <c r="P1183" t="n">
        <v>0</v>
      </c>
      <c r="Q1183" t="n">
        <v>2</v>
      </c>
      <c r="R1183" s="2" t="inlineStr">
        <is>
          <t>Garnlav
Ullticka</t>
        </is>
      </c>
      <c r="S1183">
        <f>HYPERLINK("https://klasma.github.io/Logging_2305/artfynd/A 15146-2024 artfynd.xlsx", "A 15146-2024")</f>
        <v/>
      </c>
      <c r="T1183">
        <f>HYPERLINK("https://klasma.github.io/Logging_2305/kartor/A 15146-2024 karta.png", "A 15146-2024")</f>
        <v/>
      </c>
      <c r="V1183">
        <f>HYPERLINK("https://klasma.github.io/Logging_2305/klagomål/A 15146-2024 FSC-klagomål.docx", "A 15146-2024")</f>
        <v/>
      </c>
      <c r="W1183">
        <f>HYPERLINK("https://klasma.github.io/Logging_2305/klagomålsmail/A 15146-2024 FSC-klagomål mail.docx", "A 15146-2024")</f>
        <v/>
      </c>
      <c r="X1183">
        <f>HYPERLINK("https://klasma.github.io/Logging_2305/tillsyn/A 15146-2024 tillsynsbegäran.docx", "A 15146-2024")</f>
        <v/>
      </c>
      <c r="Y1183">
        <f>HYPERLINK("https://klasma.github.io/Logging_2305/tillsynsmail/A 15146-2024 tillsynsbegäran mail.docx", "A 15146-2024")</f>
        <v/>
      </c>
    </row>
    <row r="1184" ht="15" customHeight="1">
      <c r="A1184" t="inlineStr">
        <is>
          <t>A 36750-2023</t>
        </is>
      </c>
      <c r="B1184" s="1" t="n">
        <v>45153</v>
      </c>
      <c r="C1184" s="1" t="n">
        <v>46045</v>
      </c>
      <c r="D1184" t="inlineStr">
        <is>
          <t>JÄMTLANDS LÄN</t>
        </is>
      </c>
      <c r="E1184" t="inlineStr">
        <is>
          <t>HÄRJEDALEN</t>
        </is>
      </c>
      <c r="G1184" t="n">
        <v>8.199999999999999</v>
      </c>
      <c r="H1184" t="n">
        <v>1</v>
      </c>
      <c r="I1184" t="n">
        <v>0</v>
      </c>
      <c r="J1184" t="n">
        <v>2</v>
      </c>
      <c r="K1184" t="n">
        <v>0</v>
      </c>
      <c r="L1184" t="n">
        <v>0</v>
      </c>
      <c r="M1184" t="n">
        <v>0</v>
      </c>
      <c r="N1184" t="n">
        <v>0</v>
      </c>
      <c r="O1184" t="n">
        <v>2</v>
      </c>
      <c r="P1184" t="n">
        <v>0</v>
      </c>
      <c r="Q1184" t="n">
        <v>2</v>
      </c>
      <c r="R1184" s="2" t="inlineStr">
        <is>
          <t>Järpe
Lunglav</t>
        </is>
      </c>
      <c r="S1184">
        <f>HYPERLINK("https://klasma.github.io/Logging_2361/artfynd/A 36750-2023 artfynd.xlsx", "A 36750-2023")</f>
        <v/>
      </c>
      <c r="T1184">
        <f>HYPERLINK("https://klasma.github.io/Logging_2361/kartor/A 36750-2023 karta.png", "A 36750-2023")</f>
        <v/>
      </c>
      <c r="V1184">
        <f>HYPERLINK("https://klasma.github.io/Logging_2361/klagomål/A 36750-2023 FSC-klagomål.docx", "A 36750-2023")</f>
        <v/>
      </c>
      <c r="W1184">
        <f>HYPERLINK("https://klasma.github.io/Logging_2361/klagomålsmail/A 36750-2023 FSC-klagomål mail.docx", "A 36750-2023")</f>
        <v/>
      </c>
      <c r="X1184">
        <f>HYPERLINK("https://klasma.github.io/Logging_2361/tillsyn/A 36750-2023 tillsynsbegäran.docx", "A 36750-2023")</f>
        <v/>
      </c>
      <c r="Y1184">
        <f>HYPERLINK("https://klasma.github.io/Logging_2361/tillsynsmail/A 36750-2023 tillsynsbegäran mail.docx", "A 36750-2023")</f>
        <v/>
      </c>
      <c r="Z1184">
        <f>HYPERLINK("https://klasma.github.io/Logging_2361/fåglar/A 36750-2023 prioriterade fågelarter.docx", "A 36750-2023")</f>
        <v/>
      </c>
    </row>
    <row r="1185" ht="15" customHeight="1">
      <c r="A1185" t="inlineStr">
        <is>
          <t>A 36756-2023</t>
        </is>
      </c>
      <c r="B1185" s="1" t="n">
        <v>45153</v>
      </c>
      <c r="C1185" s="1" t="n">
        <v>46045</v>
      </c>
      <c r="D1185" t="inlineStr">
        <is>
          <t>JÄMTLANDS LÄN</t>
        </is>
      </c>
      <c r="E1185" t="inlineStr">
        <is>
          <t>RAGUNDA</t>
        </is>
      </c>
      <c r="G1185" t="n">
        <v>3.5</v>
      </c>
      <c r="H1185" t="n">
        <v>1</v>
      </c>
      <c r="I1185" t="n">
        <v>0</v>
      </c>
      <c r="J1185" t="n">
        <v>2</v>
      </c>
      <c r="K1185" t="n">
        <v>0</v>
      </c>
      <c r="L1185" t="n">
        <v>0</v>
      </c>
      <c r="M1185" t="n">
        <v>0</v>
      </c>
      <c r="N1185" t="n">
        <v>0</v>
      </c>
      <c r="O1185" t="n">
        <v>2</v>
      </c>
      <c r="P1185" t="n">
        <v>0</v>
      </c>
      <c r="Q1185" t="n">
        <v>2</v>
      </c>
      <c r="R1185" s="2" t="inlineStr">
        <is>
          <t>Granticka
Tretåig hackspett</t>
        </is>
      </c>
      <c r="S1185">
        <f>HYPERLINK("https://klasma.github.io/Logging_2303/artfynd/A 36756-2023 artfynd.xlsx", "A 36756-2023")</f>
        <v/>
      </c>
      <c r="T1185">
        <f>HYPERLINK("https://klasma.github.io/Logging_2303/kartor/A 36756-2023 karta.png", "A 36756-2023")</f>
        <v/>
      </c>
      <c r="V1185">
        <f>HYPERLINK("https://klasma.github.io/Logging_2303/klagomål/A 36756-2023 FSC-klagomål.docx", "A 36756-2023")</f>
        <v/>
      </c>
      <c r="W1185">
        <f>HYPERLINK("https://klasma.github.io/Logging_2303/klagomålsmail/A 36756-2023 FSC-klagomål mail.docx", "A 36756-2023")</f>
        <v/>
      </c>
      <c r="X1185">
        <f>HYPERLINK("https://klasma.github.io/Logging_2303/tillsyn/A 36756-2023 tillsynsbegäran.docx", "A 36756-2023")</f>
        <v/>
      </c>
      <c r="Y1185">
        <f>HYPERLINK("https://klasma.github.io/Logging_2303/tillsynsmail/A 36756-2023 tillsynsbegäran mail.docx", "A 36756-2023")</f>
        <v/>
      </c>
      <c r="Z1185">
        <f>HYPERLINK("https://klasma.github.io/Logging_2303/fåglar/A 36756-2023 prioriterade fågelarter.docx", "A 36756-2023")</f>
        <v/>
      </c>
    </row>
    <row r="1186" ht="15" customHeight="1">
      <c r="A1186" t="inlineStr">
        <is>
          <t>A 43141-2022</t>
        </is>
      </c>
      <c r="B1186" s="1" t="n">
        <v>44833</v>
      </c>
      <c r="C1186" s="1" t="n">
        <v>46045</v>
      </c>
      <c r="D1186" t="inlineStr">
        <is>
          <t>JÄMTLANDS LÄN</t>
        </is>
      </c>
      <c r="E1186" t="inlineStr">
        <is>
          <t>BRÄCKE</t>
        </is>
      </c>
      <c r="F1186" t="inlineStr">
        <is>
          <t>SCA</t>
        </is>
      </c>
      <c r="G1186" t="n">
        <v>2</v>
      </c>
      <c r="H1186" t="n">
        <v>1</v>
      </c>
      <c r="I1186" t="n">
        <v>0</v>
      </c>
      <c r="J1186" t="n">
        <v>0</v>
      </c>
      <c r="K1186" t="n">
        <v>2</v>
      </c>
      <c r="L1186" t="n">
        <v>0</v>
      </c>
      <c r="M1186" t="n">
        <v>0</v>
      </c>
      <c r="N1186" t="n">
        <v>0</v>
      </c>
      <c r="O1186" t="n">
        <v>2</v>
      </c>
      <c r="P1186" t="n">
        <v>2</v>
      </c>
      <c r="Q1186" t="n">
        <v>2</v>
      </c>
      <c r="R1186" s="2" t="inlineStr">
        <is>
          <t>Frösöstarr
Knärot</t>
        </is>
      </c>
      <c r="S1186">
        <f>HYPERLINK("https://klasma.github.io/Logging_2305/artfynd/A 43141-2022 artfynd.xlsx", "A 43141-2022")</f>
        <v/>
      </c>
      <c r="T1186">
        <f>HYPERLINK("https://klasma.github.io/Logging_2305/kartor/A 43141-2022 karta.png", "A 43141-2022")</f>
        <v/>
      </c>
      <c r="U1186">
        <f>HYPERLINK("https://klasma.github.io/Logging_2305/knärot/A 43141-2022 karta knärot.png", "A 43141-2022")</f>
        <v/>
      </c>
      <c r="V1186">
        <f>HYPERLINK("https://klasma.github.io/Logging_2305/klagomål/A 43141-2022 FSC-klagomål.docx", "A 43141-2022")</f>
        <v/>
      </c>
      <c r="W1186">
        <f>HYPERLINK("https://klasma.github.io/Logging_2305/klagomålsmail/A 43141-2022 FSC-klagomål mail.docx", "A 43141-2022")</f>
        <v/>
      </c>
      <c r="X1186">
        <f>HYPERLINK("https://klasma.github.io/Logging_2305/tillsyn/A 43141-2022 tillsynsbegäran.docx", "A 43141-2022")</f>
        <v/>
      </c>
      <c r="Y1186">
        <f>HYPERLINK("https://klasma.github.io/Logging_2305/tillsynsmail/A 43141-2022 tillsynsbegäran mail.docx", "A 43141-2022")</f>
        <v/>
      </c>
    </row>
    <row r="1187" ht="15" customHeight="1">
      <c r="A1187" t="inlineStr">
        <is>
          <t>A 46984-2021</t>
        </is>
      </c>
      <c r="B1187" s="1" t="n">
        <v>44446</v>
      </c>
      <c r="C1187" s="1" t="n">
        <v>46045</v>
      </c>
      <c r="D1187" t="inlineStr">
        <is>
          <t>JÄMTLANDS LÄN</t>
        </is>
      </c>
      <c r="E1187" t="inlineStr">
        <is>
          <t>ÅRE</t>
        </is>
      </c>
      <c r="G1187" t="n">
        <v>0.2</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HYPERLINK("https://klasma.github.io/Logging_2321/artfynd/A 46984-2021 artfynd.xlsx", "A 46984-2021")</f>
        <v/>
      </c>
      <c r="T1187">
        <f>HYPERLINK("https://klasma.github.io/Logging_2321/kartor/A 46984-2021 karta.png", "A 46984-2021")</f>
        <v/>
      </c>
      <c r="V1187">
        <f>HYPERLINK("https://klasma.github.io/Logging_2321/klagomål/A 46984-2021 FSC-klagomål.docx", "A 46984-2021")</f>
        <v/>
      </c>
      <c r="W1187">
        <f>HYPERLINK("https://klasma.github.io/Logging_2321/klagomålsmail/A 46984-2021 FSC-klagomål mail.docx", "A 46984-2021")</f>
        <v/>
      </c>
      <c r="X1187">
        <f>HYPERLINK("https://klasma.github.io/Logging_2321/tillsyn/A 46984-2021 tillsynsbegäran.docx", "A 46984-2021")</f>
        <v/>
      </c>
      <c r="Y1187">
        <f>HYPERLINK("https://klasma.github.io/Logging_2321/tillsynsmail/A 46984-2021 tillsynsbegäran mail.docx", "A 46984-2021")</f>
        <v/>
      </c>
      <c r="Z1187">
        <f>HYPERLINK("https://klasma.github.io/Logging_2321/fåglar/A 46984-2021 prioriterade fågelarter.docx", "A 46984-2021")</f>
        <v/>
      </c>
    </row>
    <row r="1188" ht="15" customHeight="1">
      <c r="A1188" t="inlineStr">
        <is>
          <t>A 46771-2024</t>
        </is>
      </c>
      <c r="B1188" s="1" t="n">
        <v>45583.49642361111</v>
      </c>
      <c r="C1188" s="1" t="n">
        <v>46045</v>
      </c>
      <c r="D1188" t="inlineStr">
        <is>
          <t>JÄMTLANDS LÄN</t>
        </is>
      </c>
      <c r="E1188" t="inlineStr">
        <is>
          <t>RAGUNDA</t>
        </is>
      </c>
      <c r="F1188" t="inlineStr">
        <is>
          <t>SCA</t>
        </is>
      </c>
      <c r="G1188" t="n">
        <v>3.1</v>
      </c>
      <c r="H1188" t="n">
        <v>0</v>
      </c>
      <c r="I1188" t="n">
        <v>0</v>
      </c>
      <c r="J1188" t="n">
        <v>2</v>
      </c>
      <c r="K1188" t="n">
        <v>0</v>
      </c>
      <c r="L1188" t="n">
        <v>0</v>
      </c>
      <c r="M1188" t="n">
        <v>0</v>
      </c>
      <c r="N1188" t="n">
        <v>0</v>
      </c>
      <c r="O1188" t="n">
        <v>2</v>
      </c>
      <c r="P1188" t="n">
        <v>0</v>
      </c>
      <c r="Q1188" t="n">
        <v>2</v>
      </c>
      <c r="R1188" s="2" t="inlineStr">
        <is>
          <t>Doftskinn
Gammelgransskål</t>
        </is>
      </c>
      <c r="S1188">
        <f>HYPERLINK("https://klasma.github.io/Logging_2303/artfynd/A 46771-2024 artfynd.xlsx", "A 46771-2024")</f>
        <v/>
      </c>
      <c r="T1188">
        <f>HYPERLINK("https://klasma.github.io/Logging_2303/kartor/A 46771-2024 karta.png", "A 46771-2024")</f>
        <v/>
      </c>
      <c r="V1188">
        <f>HYPERLINK("https://klasma.github.io/Logging_2303/klagomål/A 46771-2024 FSC-klagomål.docx", "A 46771-2024")</f>
        <v/>
      </c>
      <c r="W1188">
        <f>HYPERLINK("https://klasma.github.io/Logging_2303/klagomålsmail/A 46771-2024 FSC-klagomål mail.docx", "A 46771-2024")</f>
        <v/>
      </c>
      <c r="X1188">
        <f>HYPERLINK("https://klasma.github.io/Logging_2303/tillsyn/A 46771-2024 tillsynsbegäran.docx", "A 46771-2024")</f>
        <v/>
      </c>
      <c r="Y1188">
        <f>HYPERLINK("https://klasma.github.io/Logging_2303/tillsynsmail/A 46771-2024 tillsynsbegäran mail.docx", "A 46771-2024")</f>
        <v/>
      </c>
    </row>
    <row r="1189" ht="15" customHeight="1">
      <c r="A1189" t="inlineStr">
        <is>
          <t>A 59742-2024</t>
        </is>
      </c>
      <c r="B1189" s="1" t="n">
        <v>45639.53158564815</v>
      </c>
      <c r="C1189" s="1" t="n">
        <v>46045</v>
      </c>
      <c r="D1189" t="inlineStr">
        <is>
          <t>JÄMTLANDS LÄN</t>
        </is>
      </c>
      <c r="E1189" t="inlineStr">
        <is>
          <t>STRÖMSUND</t>
        </is>
      </c>
      <c r="F1189" t="inlineStr">
        <is>
          <t>SCA</t>
        </is>
      </c>
      <c r="G1189" t="n">
        <v>6.2</v>
      </c>
      <c r="H1189" t="n">
        <v>1</v>
      </c>
      <c r="I1189" t="n">
        <v>0</v>
      </c>
      <c r="J1189" t="n">
        <v>2</v>
      </c>
      <c r="K1189" t="n">
        <v>0</v>
      </c>
      <c r="L1189" t="n">
        <v>0</v>
      </c>
      <c r="M1189" t="n">
        <v>0</v>
      </c>
      <c r="N1189" t="n">
        <v>0</v>
      </c>
      <c r="O1189" t="n">
        <v>2</v>
      </c>
      <c r="P1189" t="n">
        <v>0</v>
      </c>
      <c r="Q1189" t="n">
        <v>2</v>
      </c>
      <c r="R1189" s="2" t="inlineStr">
        <is>
          <t>Doftskinn
Tretåig hackspett</t>
        </is>
      </c>
      <c r="S1189">
        <f>HYPERLINK("https://klasma.github.io/Logging_2313/artfynd/A 59742-2024 artfynd.xlsx", "A 59742-2024")</f>
        <v/>
      </c>
      <c r="T1189">
        <f>HYPERLINK("https://klasma.github.io/Logging_2313/kartor/A 59742-2024 karta.png", "A 59742-2024")</f>
        <v/>
      </c>
      <c r="V1189">
        <f>HYPERLINK("https://klasma.github.io/Logging_2313/klagomål/A 59742-2024 FSC-klagomål.docx", "A 59742-2024")</f>
        <v/>
      </c>
      <c r="W1189">
        <f>HYPERLINK("https://klasma.github.io/Logging_2313/klagomålsmail/A 59742-2024 FSC-klagomål mail.docx", "A 59742-2024")</f>
        <v/>
      </c>
      <c r="X1189">
        <f>HYPERLINK("https://klasma.github.io/Logging_2313/tillsyn/A 59742-2024 tillsynsbegäran.docx", "A 59742-2024")</f>
        <v/>
      </c>
      <c r="Y1189">
        <f>HYPERLINK("https://klasma.github.io/Logging_2313/tillsynsmail/A 59742-2024 tillsynsbegäran mail.docx", "A 59742-2024")</f>
        <v/>
      </c>
      <c r="Z1189">
        <f>HYPERLINK("https://klasma.github.io/Logging_2313/fåglar/A 59742-2024 prioriterade fågelarter.docx", "A 59742-2024")</f>
        <v/>
      </c>
    </row>
    <row r="1190" ht="15" customHeight="1">
      <c r="A1190" t="inlineStr">
        <is>
          <t>A 20781-2024</t>
        </is>
      </c>
      <c r="B1190" s="1" t="n">
        <v>45436.94723379629</v>
      </c>
      <c r="C1190" s="1" t="n">
        <v>46045</v>
      </c>
      <c r="D1190" t="inlineStr">
        <is>
          <t>JÄMTLANDS LÄN</t>
        </is>
      </c>
      <c r="E1190" t="inlineStr">
        <is>
          <t>STRÖMSUND</t>
        </is>
      </c>
      <c r="F1190" t="inlineStr">
        <is>
          <t>SCA</t>
        </is>
      </c>
      <c r="G1190" t="n">
        <v>3</v>
      </c>
      <c r="H1190" t="n">
        <v>1</v>
      </c>
      <c r="I1190" t="n">
        <v>0</v>
      </c>
      <c r="J1190" t="n">
        <v>1</v>
      </c>
      <c r="K1190" t="n">
        <v>0</v>
      </c>
      <c r="L1190" t="n">
        <v>1</v>
      </c>
      <c r="M1190" t="n">
        <v>0</v>
      </c>
      <c r="N1190" t="n">
        <v>0</v>
      </c>
      <c r="O1190" t="n">
        <v>2</v>
      </c>
      <c r="P1190" t="n">
        <v>1</v>
      </c>
      <c r="Q1190" t="n">
        <v>2</v>
      </c>
      <c r="R1190" s="2" t="inlineStr">
        <is>
          <t>Storspov
Majviva</t>
        </is>
      </c>
      <c r="S1190">
        <f>HYPERLINK("https://klasma.github.io/Logging_2313/artfynd/A 20781-2024 artfynd.xlsx", "A 20781-2024")</f>
        <v/>
      </c>
      <c r="T1190">
        <f>HYPERLINK("https://klasma.github.io/Logging_2313/kartor/A 20781-2024 karta.png", "A 20781-2024")</f>
        <v/>
      </c>
      <c r="V1190">
        <f>HYPERLINK("https://klasma.github.io/Logging_2313/klagomål/A 20781-2024 FSC-klagomål.docx", "A 20781-2024")</f>
        <v/>
      </c>
      <c r="W1190">
        <f>HYPERLINK("https://klasma.github.io/Logging_2313/klagomålsmail/A 20781-2024 FSC-klagomål mail.docx", "A 20781-2024")</f>
        <v/>
      </c>
      <c r="X1190">
        <f>HYPERLINK("https://klasma.github.io/Logging_2313/tillsyn/A 20781-2024 tillsynsbegäran.docx", "A 20781-2024")</f>
        <v/>
      </c>
      <c r="Y1190">
        <f>HYPERLINK("https://klasma.github.io/Logging_2313/tillsynsmail/A 20781-2024 tillsynsbegäran mail.docx", "A 20781-2024")</f>
        <v/>
      </c>
    </row>
    <row r="1191" ht="15" customHeight="1">
      <c r="A1191" t="inlineStr">
        <is>
          <t>A 39495-2024</t>
        </is>
      </c>
      <c r="B1191" s="1" t="n">
        <v>45551.65726851852</v>
      </c>
      <c r="C1191" s="1" t="n">
        <v>46045</v>
      </c>
      <c r="D1191" t="inlineStr">
        <is>
          <t>JÄMTLANDS LÄN</t>
        </is>
      </c>
      <c r="E1191" t="inlineStr">
        <is>
          <t>RAGUNDA</t>
        </is>
      </c>
      <c r="F1191" t="inlineStr">
        <is>
          <t>SCA</t>
        </is>
      </c>
      <c r="G1191" t="n">
        <v>6.6</v>
      </c>
      <c r="H1191" t="n">
        <v>0</v>
      </c>
      <c r="I1191" t="n">
        <v>0</v>
      </c>
      <c r="J1191" t="n">
        <v>2</v>
      </c>
      <c r="K1191" t="n">
        <v>0</v>
      </c>
      <c r="L1191" t="n">
        <v>0</v>
      </c>
      <c r="M1191" t="n">
        <v>0</v>
      </c>
      <c r="N1191" t="n">
        <v>0</v>
      </c>
      <c r="O1191" t="n">
        <v>2</v>
      </c>
      <c r="P1191" t="n">
        <v>0</v>
      </c>
      <c r="Q1191" t="n">
        <v>2</v>
      </c>
      <c r="R1191" s="2" t="inlineStr">
        <is>
          <t>Garnlav
Ullticka</t>
        </is>
      </c>
      <c r="S1191">
        <f>HYPERLINK("https://klasma.github.io/Logging_2303/artfynd/A 39495-2024 artfynd.xlsx", "A 39495-2024")</f>
        <v/>
      </c>
      <c r="T1191">
        <f>HYPERLINK("https://klasma.github.io/Logging_2303/kartor/A 39495-2024 karta.png", "A 39495-2024")</f>
        <v/>
      </c>
      <c r="V1191">
        <f>HYPERLINK("https://klasma.github.io/Logging_2303/klagomål/A 39495-2024 FSC-klagomål.docx", "A 39495-2024")</f>
        <v/>
      </c>
      <c r="W1191">
        <f>HYPERLINK("https://klasma.github.io/Logging_2303/klagomålsmail/A 39495-2024 FSC-klagomål mail.docx", "A 39495-2024")</f>
        <v/>
      </c>
      <c r="X1191">
        <f>HYPERLINK("https://klasma.github.io/Logging_2303/tillsyn/A 39495-2024 tillsynsbegäran.docx", "A 39495-2024")</f>
        <v/>
      </c>
      <c r="Y1191">
        <f>HYPERLINK("https://klasma.github.io/Logging_2303/tillsynsmail/A 39495-2024 tillsynsbegäran mail.docx", "A 39495-2024")</f>
        <v/>
      </c>
    </row>
    <row r="1192" ht="15" customHeight="1">
      <c r="A1192" t="inlineStr">
        <is>
          <t>A 47267-2022</t>
        </is>
      </c>
      <c r="B1192" s="1" t="n">
        <v>44852</v>
      </c>
      <c r="C1192" s="1" t="n">
        <v>46045</v>
      </c>
      <c r="D1192" t="inlineStr">
        <is>
          <t>JÄMTLANDS LÄN</t>
        </is>
      </c>
      <c r="E1192" t="inlineStr">
        <is>
          <t>RAGUNDA</t>
        </is>
      </c>
      <c r="F1192" t="inlineStr">
        <is>
          <t>SCA</t>
        </is>
      </c>
      <c r="G1192" t="n">
        <v>82.8</v>
      </c>
      <c r="H1192" t="n">
        <v>0</v>
      </c>
      <c r="I1192" t="n">
        <v>0</v>
      </c>
      <c r="J1192" t="n">
        <v>2</v>
      </c>
      <c r="K1192" t="n">
        <v>0</v>
      </c>
      <c r="L1192" t="n">
        <v>0</v>
      </c>
      <c r="M1192" t="n">
        <v>0</v>
      </c>
      <c r="N1192" t="n">
        <v>0</v>
      </c>
      <c r="O1192" t="n">
        <v>2</v>
      </c>
      <c r="P1192" t="n">
        <v>0</v>
      </c>
      <c r="Q1192" t="n">
        <v>2</v>
      </c>
      <c r="R1192" s="2" t="inlineStr">
        <is>
          <t>Dvärgbägarlav
Garnlav</t>
        </is>
      </c>
      <c r="S1192">
        <f>HYPERLINK("https://klasma.github.io/Logging_2303/artfynd/A 47267-2022 artfynd.xlsx", "A 47267-2022")</f>
        <v/>
      </c>
      <c r="T1192">
        <f>HYPERLINK("https://klasma.github.io/Logging_2303/kartor/A 47267-2022 karta.png", "A 47267-2022")</f>
        <v/>
      </c>
      <c r="V1192">
        <f>HYPERLINK("https://klasma.github.io/Logging_2303/klagomål/A 47267-2022 FSC-klagomål.docx", "A 47267-2022")</f>
        <v/>
      </c>
      <c r="W1192">
        <f>HYPERLINK("https://klasma.github.io/Logging_2303/klagomålsmail/A 47267-2022 FSC-klagomål mail.docx", "A 47267-2022")</f>
        <v/>
      </c>
      <c r="X1192">
        <f>HYPERLINK("https://klasma.github.io/Logging_2303/tillsyn/A 47267-2022 tillsynsbegäran.docx", "A 47267-2022")</f>
        <v/>
      </c>
      <c r="Y1192">
        <f>HYPERLINK("https://klasma.github.io/Logging_2303/tillsynsmail/A 47267-2022 tillsynsbegäran mail.docx", "A 47267-2022")</f>
        <v/>
      </c>
    </row>
    <row r="1193" ht="15" customHeight="1">
      <c r="A1193" t="inlineStr">
        <is>
          <t>A 35891-2025</t>
        </is>
      </c>
      <c r="B1193" s="1" t="n">
        <v>45862</v>
      </c>
      <c r="C1193" s="1" t="n">
        <v>46045</v>
      </c>
      <c r="D1193" t="inlineStr">
        <is>
          <t>JÄMTLANDS LÄN</t>
        </is>
      </c>
      <c r="E1193" t="inlineStr">
        <is>
          <t>KROKOM</t>
        </is>
      </c>
      <c r="G1193" t="n">
        <v>10.1</v>
      </c>
      <c r="H1193" t="n">
        <v>0</v>
      </c>
      <c r="I1193" t="n">
        <v>0</v>
      </c>
      <c r="J1193" t="n">
        <v>2</v>
      </c>
      <c r="K1193" t="n">
        <v>0</v>
      </c>
      <c r="L1193" t="n">
        <v>0</v>
      </c>
      <c r="M1193" t="n">
        <v>0</v>
      </c>
      <c r="N1193" t="n">
        <v>0</v>
      </c>
      <c r="O1193" t="n">
        <v>2</v>
      </c>
      <c r="P1193" t="n">
        <v>0</v>
      </c>
      <c r="Q1193" t="n">
        <v>2</v>
      </c>
      <c r="R1193" s="2" t="inlineStr">
        <is>
          <t>Vaddporing
Vedskivlav</t>
        </is>
      </c>
      <c r="S1193">
        <f>HYPERLINK("https://klasma.github.io/Logging_2309/artfynd/A 35891-2025 artfynd.xlsx", "A 35891-2025")</f>
        <v/>
      </c>
      <c r="T1193">
        <f>HYPERLINK("https://klasma.github.io/Logging_2309/kartor/A 35891-2025 karta.png", "A 35891-2025")</f>
        <v/>
      </c>
      <c r="V1193">
        <f>HYPERLINK("https://klasma.github.io/Logging_2309/klagomål/A 35891-2025 FSC-klagomål.docx", "A 35891-2025")</f>
        <v/>
      </c>
      <c r="W1193">
        <f>HYPERLINK("https://klasma.github.io/Logging_2309/klagomålsmail/A 35891-2025 FSC-klagomål mail.docx", "A 35891-2025")</f>
        <v/>
      </c>
      <c r="X1193">
        <f>HYPERLINK("https://klasma.github.io/Logging_2309/tillsyn/A 35891-2025 tillsynsbegäran.docx", "A 35891-2025")</f>
        <v/>
      </c>
      <c r="Y1193">
        <f>HYPERLINK("https://klasma.github.io/Logging_2309/tillsynsmail/A 35891-2025 tillsynsbegäran mail.docx", "A 35891-2025")</f>
        <v/>
      </c>
    </row>
    <row r="1194" ht="15" customHeight="1">
      <c r="A1194" t="inlineStr">
        <is>
          <t>A 40207-2025</t>
        </is>
      </c>
      <c r="B1194" s="1" t="n">
        <v>45894.67988425926</v>
      </c>
      <c r="C1194" s="1" t="n">
        <v>46045</v>
      </c>
      <c r="D1194" t="inlineStr">
        <is>
          <t>JÄMTLANDS LÄN</t>
        </is>
      </c>
      <c r="E1194" t="inlineStr">
        <is>
          <t>ÖSTERSUND</t>
        </is>
      </c>
      <c r="G1194" t="n">
        <v>5.4</v>
      </c>
      <c r="H1194" t="n">
        <v>0</v>
      </c>
      <c r="I1194" t="n">
        <v>1</v>
      </c>
      <c r="J1194" t="n">
        <v>0</v>
      </c>
      <c r="K1194" t="n">
        <v>0</v>
      </c>
      <c r="L1194" t="n">
        <v>1</v>
      </c>
      <c r="M1194" t="n">
        <v>0</v>
      </c>
      <c r="N1194" t="n">
        <v>0</v>
      </c>
      <c r="O1194" t="n">
        <v>1</v>
      </c>
      <c r="P1194" t="n">
        <v>1</v>
      </c>
      <c r="Q1194" t="n">
        <v>2</v>
      </c>
      <c r="R1194" s="2" t="inlineStr">
        <is>
          <t>Trolldruvemätare
Tibast</t>
        </is>
      </c>
      <c r="S1194">
        <f>HYPERLINK("https://klasma.github.io/Logging_2380/artfynd/A 40207-2025 artfynd.xlsx", "A 40207-2025")</f>
        <v/>
      </c>
      <c r="T1194">
        <f>HYPERLINK("https://klasma.github.io/Logging_2380/kartor/A 40207-2025 karta.png", "A 40207-2025")</f>
        <v/>
      </c>
      <c r="V1194">
        <f>HYPERLINK("https://klasma.github.io/Logging_2380/klagomål/A 40207-2025 FSC-klagomål.docx", "A 40207-2025")</f>
        <v/>
      </c>
      <c r="W1194">
        <f>HYPERLINK("https://klasma.github.io/Logging_2380/klagomålsmail/A 40207-2025 FSC-klagomål mail.docx", "A 40207-2025")</f>
        <v/>
      </c>
      <c r="X1194">
        <f>HYPERLINK("https://klasma.github.io/Logging_2380/tillsyn/A 40207-2025 tillsynsbegäran.docx", "A 40207-2025")</f>
        <v/>
      </c>
      <c r="Y1194">
        <f>HYPERLINK("https://klasma.github.io/Logging_2380/tillsynsmail/A 40207-2025 tillsynsbegäran mail.docx", "A 40207-2025")</f>
        <v/>
      </c>
    </row>
    <row r="1195" ht="15" customHeight="1">
      <c r="A1195" t="inlineStr">
        <is>
          <t>A 40010-2025</t>
        </is>
      </c>
      <c r="B1195" s="1" t="n">
        <v>45894.34471064815</v>
      </c>
      <c r="C1195" s="1" t="n">
        <v>46045</v>
      </c>
      <c r="D1195" t="inlineStr">
        <is>
          <t>JÄMTLANDS LÄN</t>
        </is>
      </c>
      <c r="E1195" t="inlineStr">
        <is>
          <t>STRÖMSUND</t>
        </is>
      </c>
      <c r="F1195" t="inlineStr">
        <is>
          <t>SCA</t>
        </is>
      </c>
      <c r="G1195" t="n">
        <v>1.9</v>
      </c>
      <c r="H1195" t="n">
        <v>1</v>
      </c>
      <c r="I1195" t="n">
        <v>0</v>
      </c>
      <c r="J1195" t="n">
        <v>2</v>
      </c>
      <c r="K1195" t="n">
        <v>0</v>
      </c>
      <c r="L1195" t="n">
        <v>0</v>
      </c>
      <c r="M1195" t="n">
        <v>0</v>
      </c>
      <c r="N1195" t="n">
        <v>0</v>
      </c>
      <c r="O1195" t="n">
        <v>2</v>
      </c>
      <c r="P1195" t="n">
        <v>0</v>
      </c>
      <c r="Q1195" t="n">
        <v>2</v>
      </c>
      <c r="R1195" s="2" t="inlineStr">
        <is>
          <t>Tretåig hackspett
Vitgrynig nållav</t>
        </is>
      </c>
      <c r="S1195">
        <f>HYPERLINK("https://klasma.github.io/Logging_2313/artfynd/A 40010-2025 artfynd.xlsx", "A 40010-2025")</f>
        <v/>
      </c>
      <c r="T1195">
        <f>HYPERLINK("https://klasma.github.io/Logging_2313/kartor/A 40010-2025 karta.png", "A 40010-2025")</f>
        <v/>
      </c>
      <c r="V1195">
        <f>HYPERLINK("https://klasma.github.io/Logging_2313/klagomål/A 40010-2025 FSC-klagomål.docx", "A 40010-2025")</f>
        <v/>
      </c>
      <c r="W1195">
        <f>HYPERLINK("https://klasma.github.io/Logging_2313/klagomålsmail/A 40010-2025 FSC-klagomål mail.docx", "A 40010-2025")</f>
        <v/>
      </c>
      <c r="X1195">
        <f>HYPERLINK("https://klasma.github.io/Logging_2313/tillsyn/A 40010-2025 tillsynsbegäran.docx", "A 40010-2025")</f>
        <v/>
      </c>
      <c r="Y1195">
        <f>HYPERLINK("https://klasma.github.io/Logging_2313/tillsynsmail/A 40010-2025 tillsynsbegäran mail.docx", "A 40010-2025")</f>
        <v/>
      </c>
      <c r="Z1195">
        <f>HYPERLINK("https://klasma.github.io/Logging_2313/fåglar/A 40010-2025 prioriterade fågelarter.docx", "A 40010-2025")</f>
        <v/>
      </c>
    </row>
    <row r="1196" ht="15" customHeight="1">
      <c r="A1196" t="inlineStr">
        <is>
          <t>A 22382-2024</t>
        </is>
      </c>
      <c r="B1196" s="1" t="n">
        <v>45446</v>
      </c>
      <c r="C1196" s="1" t="n">
        <v>46045</v>
      </c>
      <c r="D1196" t="inlineStr">
        <is>
          <t>JÄMTLANDS LÄN</t>
        </is>
      </c>
      <c r="E1196" t="inlineStr">
        <is>
          <t>BRÄCKE</t>
        </is>
      </c>
      <c r="G1196" t="n">
        <v>5.2</v>
      </c>
      <c r="H1196" t="n">
        <v>1</v>
      </c>
      <c r="I1196" t="n">
        <v>0</v>
      </c>
      <c r="J1196" t="n">
        <v>1</v>
      </c>
      <c r="K1196" t="n">
        <v>1</v>
      </c>
      <c r="L1196" t="n">
        <v>0</v>
      </c>
      <c r="M1196" t="n">
        <v>0</v>
      </c>
      <c r="N1196" t="n">
        <v>0</v>
      </c>
      <c r="O1196" t="n">
        <v>2</v>
      </c>
      <c r="P1196" t="n">
        <v>1</v>
      </c>
      <c r="Q1196" t="n">
        <v>2</v>
      </c>
      <c r="R1196" s="2" t="inlineStr">
        <is>
          <t>Knärot
Garnlav</t>
        </is>
      </c>
      <c r="S1196">
        <f>HYPERLINK("https://klasma.github.io/Logging_2305/artfynd/A 22382-2024 artfynd.xlsx", "A 22382-2024")</f>
        <v/>
      </c>
      <c r="T1196">
        <f>HYPERLINK("https://klasma.github.io/Logging_2305/kartor/A 22382-2024 karta.png", "A 22382-2024")</f>
        <v/>
      </c>
      <c r="U1196">
        <f>HYPERLINK("https://klasma.github.io/Logging_2305/knärot/A 22382-2024 karta knärot.png", "A 22382-2024")</f>
        <v/>
      </c>
      <c r="V1196">
        <f>HYPERLINK("https://klasma.github.io/Logging_2305/klagomål/A 22382-2024 FSC-klagomål.docx", "A 22382-2024")</f>
        <v/>
      </c>
      <c r="W1196">
        <f>HYPERLINK("https://klasma.github.io/Logging_2305/klagomålsmail/A 22382-2024 FSC-klagomål mail.docx", "A 22382-2024")</f>
        <v/>
      </c>
      <c r="X1196">
        <f>HYPERLINK("https://klasma.github.io/Logging_2305/tillsyn/A 22382-2024 tillsynsbegäran.docx", "A 22382-2024")</f>
        <v/>
      </c>
      <c r="Y1196">
        <f>HYPERLINK("https://klasma.github.io/Logging_2305/tillsynsmail/A 22382-2024 tillsynsbegäran mail.docx", "A 22382-2024")</f>
        <v/>
      </c>
    </row>
    <row r="1197" ht="15" customHeight="1">
      <c r="A1197" t="inlineStr">
        <is>
          <t>A 30351-2024</t>
        </is>
      </c>
      <c r="B1197" s="1" t="n">
        <v>45490</v>
      </c>
      <c r="C1197" s="1" t="n">
        <v>46045</v>
      </c>
      <c r="D1197" t="inlineStr">
        <is>
          <t>JÄMTLANDS LÄN</t>
        </is>
      </c>
      <c r="E1197" t="inlineStr">
        <is>
          <t>STRÖMSUND</t>
        </is>
      </c>
      <c r="F1197" t="inlineStr">
        <is>
          <t>SCA</t>
        </is>
      </c>
      <c r="G1197" t="n">
        <v>4.8</v>
      </c>
      <c r="H1197" t="n">
        <v>0</v>
      </c>
      <c r="I1197" t="n">
        <v>0</v>
      </c>
      <c r="J1197" t="n">
        <v>1</v>
      </c>
      <c r="K1197" t="n">
        <v>1</v>
      </c>
      <c r="L1197" t="n">
        <v>0</v>
      </c>
      <c r="M1197" t="n">
        <v>0</v>
      </c>
      <c r="N1197" t="n">
        <v>0</v>
      </c>
      <c r="O1197" t="n">
        <v>2</v>
      </c>
      <c r="P1197" t="n">
        <v>1</v>
      </c>
      <c r="Q1197" t="n">
        <v>2</v>
      </c>
      <c r="R1197" s="2" t="inlineStr">
        <is>
          <t>Rynkskinn
Gammelgransskål</t>
        </is>
      </c>
      <c r="S1197">
        <f>HYPERLINK("https://klasma.github.io/Logging_2313/artfynd/A 30351-2024 artfynd.xlsx", "A 30351-2024")</f>
        <v/>
      </c>
      <c r="T1197">
        <f>HYPERLINK("https://klasma.github.io/Logging_2313/kartor/A 30351-2024 karta.png", "A 30351-2024")</f>
        <v/>
      </c>
      <c r="V1197">
        <f>HYPERLINK("https://klasma.github.io/Logging_2313/klagomål/A 30351-2024 FSC-klagomål.docx", "A 30351-2024")</f>
        <v/>
      </c>
      <c r="W1197">
        <f>HYPERLINK("https://klasma.github.io/Logging_2313/klagomålsmail/A 30351-2024 FSC-klagomål mail.docx", "A 30351-2024")</f>
        <v/>
      </c>
      <c r="X1197">
        <f>HYPERLINK("https://klasma.github.io/Logging_2313/tillsyn/A 30351-2024 tillsynsbegäran.docx", "A 30351-2024")</f>
        <v/>
      </c>
      <c r="Y1197">
        <f>HYPERLINK("https://klasma.github.io/Logging_2313/tillsynsmail/A 30351-2024 tillsynsbegäran mail.docx", "A 30351-2024")</f>
        <v/>
      </c>
    </row>
    <row r="1198" ht="15" customHeight="1">
      <c r="A1198" t="inlineStr">
        <is>
          <t>A 40508-2025</t>
        </is>
      </c>
      <c r="B1198" s="1" t="n">
        <v>45896.34465277778</v>
      </c>
      <c r="C1198" s="1" t="n">
        <v>46045</v>
      </c>
      <c r="D1198" t="inlineStr">
        <is>
          <t>JÄMTLANDS LÄN</t>
        </is>
      </c>
      <c r="E1198" t="inlineStr">
        <is>
          <t>KROKOM</t>
        </is>
      </c>
      <c r="F1198" t="inlineStr">
        <is>
          <t>SCA</t>
        </is>
      </c>
      <c r="G1198" t="n">
        <v>16.4</v>
      </c>
      <c r="H1198" t="n">
        <v>0</v>
      </c>
      <c r="I1198" t="n">
        <v>1</v>
      </c>
      <c r="J1198" t="n">
        <v>1</v>
      </c>
      <c r="K1198" t="n">
        <v>0</v>
      </c>
      <c r="L1198" t="n">
        <v>0</v>
      </c>
      <c r="M1198" t="n">
        <v>0</v>
      </c>
      <c r="N1198" t="n">
        <v>0</v>
      </c>
      <c r="O1198" t="n">
        <v>1</v>
      </c>
      <c r="P1198" t="n">
        <v>0</v>
      </c>
      <c r="Q1198" t="n">
        <v>2</v>
      </c>
      <c r="R1198" s="2" t="inlineStr">
        <is>
          <t>Gammelgransskål
Stuplav</t>
        </is>
      </c>
      <c r="S1198">
        <f>HYPERLINK("https://klasma.github.io/Logging_2309/artfynd/A 40508-2025 artfynd.xlsx", "A 40508-2025")</f>
        <v/>
      </c>
      <c r="T1198">
        <f>HYPERLINK("https://klasma.github.io/Logging_2309/kartor/A 40508-2025 karta.png", "A 40508-2025")</f>
        <v/>
      </c>
      <c r="V1198">
        <f>HYPERLINK("https://klasma.github.io/Logging_2309/klagomål/A 40508-2025 FSC-klagomål.docx", "A 40508-2025")</f>
        <v/>
      </c>
      <c r="W1198">
        <f>HYPERLINK("https://klasma.github.io/Logging_2309/klagomålsmail/A 40508-2025 FSC-klagomål mail.docx", "A 40508-2025")</f>
        <v/>
      </c>
      <c r="X1198">
        <f>HYPERLINK("https://klasma.github.io/Logging_2309/tillsyn/A 40508-2025 tillsynsbegäran.docx", "A 40508-2025")</f>
        <v/>
      </c>
      <c r="Y1198">
        <f>HYPERLINK("https://klasma.github.io/Logging_2309/tillsynsmail/A 40508-2025 tillsynsbegäran mail.docx", "A 40508-2025")</f>
        <v/>
      </c>
    </row>
    <row r="1199" ht="15" customHeight="1">
      <c r="A1199" t="inlineStr">
        <is>
          <t>A 30988-2024</t>
        </is>
      </c>
      <c r="B1199" s="1" t="n">
        <v>45499.54738425926</v>
      </c>
      <c r="C1199" s="1" t="n">
        <v>46045</v>
      </c>
      <c r="D1199" t="inlineStr">
        <is>
          <t>JÄMTLANDS LÄN</t>
        </is>
      </c>
      <c r="E1199" t="inlineStr">
        <is>
          <t>BRÄCKE</t>
        </is>
      </c>
      <c r="F1199" t="inlineStr">
        <is>
          <t>Sveaskog</t>
        </is>
      </c>
      <c r="G1199" t="n">
        <v>4.8</v>
      </c>
      <c r="H1199" t="n">
        <v>1</v>
      </c>
      <c r="I1199" t="n">
        <v>1</v>
      </c>
      <c r="J1199" t="n">
        <v>1</v>
      </c>
      <c r="K1199" t="n">
        <v>0</v>
      </c>
      <c r="L1199" t="n">
        <v>0</v>
      </c>
      <c r="M1199" t="n">
        <v>0</v>
      </c>
      <c r="N1199" t="n">
        <v>0</v>
      </c>
      <c r="O1199" t="n">
        <v>1</v>
      </c>
      <c r="P1199" t="n">
        <v>0</v>
      </c>
      <c r="Q1199" t="n">
        <v>2</v>
      </c>
      <c r="R1199" s="2" t="inlineStr">
        <is>
          <t>Lunglav
Tvåblad</t>
        </is>
      </c>
      <c r="S1199">
        <f>HYPERLINK("https://klasma.github.io/Logging_2305/artfynd/A 30988-2024 artfynd.xlsx", "A 30988-2024")</f>
        <v/>
      </c>
      <c r="T1199">
        <f>HYPERLINK("https://klasma.github.io/Logging_2305/kartor/A 30988-2024 karta.png", "A 30988-2024")</f>
        <v/>
      </c>
      <c r="V1199">
        <f>HYPERLINK("https://klasma.github.io/Logging_2305/klagomål/A 30988-2024 FSC-klagomål.docx", "A 30988-2024")</f>
        <v/>
      </c>
      <c r="W1199">
        <f>HYPERLINK("https://klasma.github.io/Logging_2305/klagomålsmail/A 30988-2024 FSC-klagomål mail.docx", "A 30988-2024")</f>
        <v/>
      </c>
      <c r="X1199">
        <f>HYPERLINK("https://klasma.github.io/Logging_2305/tillsyn/A 30988-2024 tillsynsbegäran.docx", "A 30988-2024")</f>
        <v/>
      </c>
      <c r="Y1199">
        <f>HYPERLINK("https://klasma.github.io/Logging_2305/tillsynsmail/A 30988-2024 tillsynsbegäran mail.docx", "A 30988-2024")</f>
        <v/>
      </c>
    </row>
    <row r="1200" ht="15" customHeight="1">
      <c r="A1200" t="inlineStr">
        <is>
          <t>A 41178-2025</t>
        </is>
      </c>
      <c r="B1200" s="1" t="n">
        <v>45898.55261574074</v>
      </c>
      <c r="C1200" s="1" t="n">
        <v>46045</v>
      </c>
      <c r="D1200" t="inlineStr">
        <is>
          <t>JÄMTLANDS LÄN</t>
        </is>
      </c>
      <c r="E1200" t="inlineStr">
        <is>
          <t>BRÄCKE</t>
        </is>
      </c>
      <c r="F1200" t="inlineStr">
        <is>
          <t>SCA</t>
        </is>
      </c>
      <c r="G1200" t="n">
        <v>3.3</v>
      </c>
      <c r="H1200" t="n">
        <v>0</v>
      </c>
      <c r="I1200" t="n">
        <v>0</v>
      </c>
      <c r="J1200" t="n">
        <v>2</v>
      </c>
      <c r="K1200" t="n">
        <v>0</v>
      </c>
      <c r="L1200" t="n">
        <v>0</v>
      </c>
      <c r="M1200" t="n">
        <v>0</v>
      </c>
      <c r="N1200" t="n">
        <v>0</v>
      </c>
      <c r="O1200" t="n">
        <v>2</v>
      </c>
      <c r="P1200" t="n">
        <v>0</v>
      </c>
      <c r="Q1200" t="n">
        <v>2</v>
      </c>
      <c r="R1200" s="2" t="inlineStr">
        <is>
          <t>Lunglav
Skrovellav</t>
        </is>
      </c>
      <c r="S1200">
        <f>HYPERLINK("https://klasma.github.io/Logging_2305/artfynd/A 41178-2025 artfynd.xlsx", "A 41178-2025")</f>
        <v/>
      </c>
      <c r="T1200">
        <f>HYPERLINK("https://klasma.github.io/Logging_2305/kartor/A 41178-2025 karta.png", "A 41178-2025")</f>
        <v/>
      </c>
      <c r="V1200">
        <f>HYPERLINK("https://klasma.github.io/Logging_2305/klagomål/A 41178-2025 FSC-klagomål.docx", "A 41178-2025")</f>
        <v/>
      </c>
      <c r="W1200">
        <f>HYPERLINK("https://klasma.github.io/Logging_2305/klagomålsmail/A 41178-2025 FSC-klagomål mail.docx", "A 41178-2025")</f>
        <v/>
      </c>
      <c r="X1200">
        <f>HYPERLINK("https://klasma.github.io/Logging_2305/tillsyn/A 41178-2025 tillsynsbegäran.docx", "A 41178-2025")</f>
        <v/>
      </c>
      <c r="Y1200">
        <f>HYPERLINK("https://klasma.github.io/Logging_2305/tillsynsmail/A 41178-2025 tillsynsbegäran mail.docx", "A 41178-2025")</f>
        <v/>
      </c>
    </row>
    <row r="1201" ht="15" customHeight="1">
      <c r="A1201" t="inlineStr">
        <is>
          <t>A 13189-2023</t>
        </is>
      </c>
      <c r="B1201" s="1" t="n">
        <v>45002</v>
      </c>
      <c r="C1201" s="1" t="n">
        <v>46045</v>
      </c>
      <c r="D1201" t="inlineStr">
        <is>
          <t>JÄMTLANDS LÄN</t>
        </is>
      </c>
      <c r="E1201" t="inlineStr">
        <is>
          <t>STRÖMSUND</t>
        </is>
      </c>
      <c r="G1201" t="n">
        <v>14.9</v>
      </c>
      <c r="H1201" t="n">
        <v>1</v>
      </c>
      <c r="I1201" t="n">
        <v>1</v>
      </c>
      <c r="J1201" t="n">
        <v>1</v>
      </c>
      <c r="K1201" t="n">
        <v>0</v>
      </c>
      <c r="L1201" t="n">
        <v>0</v>
      </c>
      <c r="M1201" t="n">
        <v>0</v>
      </c>
      <c r="N1201" t="n">
        <v>0</v>
      </c>
      <c r="O1201" t="n">
        <v>1</v>
      </c>
      <c r="P1201" t="n">
        <v>0</v>
      </c>
      <c r="Q1201" t="n">
        <v>2</v>
      </c>
      <c r="R1201" s="2" t="inlineStr">
        <is>
          <t>Lunglav
Guckusko</t>
        </is>
      </c>
      <c r="S1201">
        <f>HYPERLINK("https://klasma.github.io/Logging_2313/artfynd/A 13189-2023 artfynd.xlsx", "A 13189-2023")</f>
        <v/>
      </c>
      <c r="T1201">
        <f>HYPERLINK("https://klasma.github.io/Logging_2313/kartor/A 13189-2023 karta.png", "A 13189-2023")</f>
        <v/>
      </c>
      <c r="V1201">
        <f>HYPERLINK("https://klasma.github.io/Logging_2313/klagomål/A 13189-2023 FSC-klagomål.docx", "A 13189-2023")</f>
        <v/>
      </c>
      <c r="W1201">
        <f>HYPERLINK("https://klasma.github.io/Logging_2313/klagomålsmail/A 13189-2023 FSC-klagomål mail.docx", "A 13189-2023")</f>
        <v/>
      </c>
      <c r="X1201">
        <f>HYPERLINK("https://klasma.github.io/Logging_2313/tillsyn/A 13189-2023 tillsynsbegäran.docx", "A 13189-2023")</f>
        <v/>
      </c>
      <c r="Y1201">
        <f>HYPERLINK("https://klasma.github.io/Logging_2313/tillsynsmail/A 13189-2023 tillsynsbegäran mail.docx", "A 13189-2023")</f>
        <v/>
      </c>
    </row>
    <row r="1202" ht="15" customHeight="1">
      <c r="A1202" t="inlineStr">
        <is>
          <t>A 49190-2024</t>
        </is>
      </c>
      <c r="B1202" s="1" t="n">
        <v>45595.34515046296</v>
      </c>
      <c r="C1202" s="1" t="n">
        <v>46045</v>
      </c>
      <c r="D1202" t="inlineStr">
        <is>
          <t>JÄMTLANDS LÄN</t>
        </is>
      </c>
      <c r="E1202" t="inlineStr">
        <is>
          <t>STRÖMSUND</t>
        </is>
      </c>
      <c r="F1202" t="inlineStr">
        <is>
          <t>SCA</t>
        </is>
      </c>
      <c r="G1202" t="n">
        <v>8</v>
      </c>
      <c r="H1202" t="n">
        <v>0</v>
      </c>
      <c r="I1202" t="n">
        <v>0</v>
      </c>
      <c r="J1202" t="n">
        <v>2</v>
      </c>
      <c r="K1202" t="n">
        <v>0</v>
      </c>
      <c r="L1202" t="n">
        <v>0</v>
      </c>
      <c r="M1202" t="n">
        <v>0</v>
      </c>
      <c r="N1202" t="n">
        <v>0</v>
      </c>
      <c r="O1202" t="n">
        <v>2</v>
      </c>
      <c r="P1202" t="n">
        <v>0</v>
      </c>
      <c r="Q1202" t="n">
        <v>2</v>
      </c>
      <c r="R1202" s="2" t="inlineStr">
        <is>
          <t>Gammelgransskål
Ullticka</t>
        </is>
      </c>
      <c r="S1202">
        <f>HYPERLINK("https://klasma.github.io/Logging_2313/artfynd/A 49190-2024 artfynd.xlsx", "A 49190-2024")</f>
        <v/>
      </c>
      <c r="T1202">
        <f>HYPERLINK("https://klasma.github.io/Logging_2313/kartor/A 49190-2024 karta.png", "A 49190-2024")</f>
        <v/>
      </c>
      <c r="V1202">
        <f>HYPERLINK("https://klasma.github.io/Logging_2313/klagomål/A 49190-2024 FSC-klagomål.docx", "A 49190-2024")</f>
        <v/>
      </c>
      <c r="W1202">
        <f>HYPERLINK("https://klasma.github.io/Logging_2313/klagomålsmail/A 49190-2024 FSC-klagomål mail.docx", "A 49190-2024")</f>
        <v/>
      </c>
      <c r="X1202">
        <f>HYPERLINK("https://klasma.github.io/Logging_2313/tillsyn/A 49190-2024 tillsynsbegäran.docx", "A 49190-2024")</f>
        <v/>
      </c>
      <c r="Y1202">
        <f>HYPERLINK("https://klasma.github.io/Logging_2313/tillsynsmail/A 49190-2024 tillsynsbegäran mail.docx", "A 49190-2024")</f>
        <v/>
      </c>
    </row>
    <row r="1203" ht="15" customHeight="1">
      <c r="A1203" t="inlineStr">
        <is>
          <t>A 30990-2024</t>
        </is>
      </c>
      <c r="B1203" s="1" t="n">
        <v>45499.54975694444</v>
      </c>
      <c r="C1203" s="1" t="n">
        <v>46045</v>
      </c>
      <c r="D1203" t="inlineStr">
        <is>
          <t>JÄMTLANDS LÄN</t>
        </is>
      </c>
      <c r="E1203" t="inlineStr">
        <is>
          <t>BRÄCKE</t>
        </is>
      </c>
      <c r="F1203" t="inlineStr">
        <is>
          <t>Sveaskog</t>
        </is>
      </c>
      <c r="G1203" t="n">
        <v>4.9</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30990-2024 artfynd.xlsx", "A 30990-2024")</f>
        <v/>
      </c>
      <c r="T1203">
        <f>HYPERLINK("https://klasma.github.io/Logging_2305/kartor/A 30990-2024 karta.png", "A 30990-2024")</f>
        <v/>
      </c>
      <c r="U1203">
        <f>HYPERLINK("https://klasma.github.io/Logging_2305/knärot/A 30990-2024 karta knärot.png", "A 30990-2024")</f>
        <v/>
      </c>
      <c r="V1203">
        <f>HYPERLINK("https://klasma.github.io/Logging_2305/klagomål/A 30990-2024 FSC-klagomål.docx", "A 30990-2024")</f>
        <v/>
      </c>
      <c r="W1203">
        <f>HYPERLINK("https://klasma.github.io/Logging_2305/klagomålsmail/A 30990-2024 FSC-klagomål mail.docx", "A 30990-2024")</f>
        <v/>
      </c>
      <c r="X1203">
        <f>HYPERLINK("https://klasma.github.io/Logging_2305/tillsyn/A 30990-2024 tillsynsbegäran.docx", "A 30990-2024")</f>
        <v/>
      </c>
      <c r="Y1203">
        <f>HYPERLINK("https://klasma.github.io/Logging_2305/tillsynsmail/A 30990-2024 tillsynsbegäran mail.docx", "A 30990-2024")</f>
        <v/>
      </c>
    </row>
    <row r="1204" ht="15" customHeight="1">
      <c r="A1204" t="inlineStr">
        <is>
          <t>A 48065-2021</t>
        </is>
      </c>
      <c r="B1204" s="1" t="n">
        <v>44449</v>
      </c>
      <c r="C1204" s="1" t="n">
        <v>46045</v>
      </c>
      <c r="D1204" t="inlineStr">
        <is>
          <t>JÄMTLANDS LÄN</t>
        </is>
      </c>
      <c r="E1204" t="inlineStr">
        <is>
          <t>HÄRJEDALEN</t>
        </is>
      </c>
      <c r="G1204" t="n">
        <v>24.8</v>
      </c>
      <c r="H1204" t="n">
        <v>0</v>
      </c>
      <c r="I1204" t="n">
        <v>0</v>
      </c>
      <c r="J1204" t="n">
        <v>2</v>
      </c>
      <c r="K1204" t="n">
        <v>0</v>
      </c>
      <c r="L1204" t="n">
        <v>0</v>
      </c>
      <c r="M1204" t="n">
        <v>0</v>
      </c>
      <c r="N1204" t="n">
        <v>0</v>
      </c>
      <c r="O1204" t="n">
        <v>2</v>
      </c>
      <c r="P1204" t="n">
        <v>0</v>
      </c>
      <c r="Q1204" t="n">
        <v>2</v>
      </c>
      <c r="R1204" s="2" t="inlineStr">
        <is>
          <t>Garnlav
Vitplätt</t>
        </is>
      </c>
      <c r="S1204">
        <f>HYPERLINK("https://klasma.github.io/Logging_2361/artfynd/A 48065-2021 artfynd.xlsx", "A 48065-2021")</f>
        <v/>
      </c>
      <c r="T1204">
        <f>HYPERLINK("https://klasma.github.io/Logging_2361/kartor/A 48065-2021 karta.png", "A 48065-2021")</f>
        <v/>
      </c>
      <c r="V1204">
        <f>HYPERLINK("https://klasma.github.io/Logging_2361/klagomål/A 48065-2021 FSC-klagomål.docx", "A 48065-2021")</f>
        <v/>
      </c>
      <c r="W1204">
        <f>HYPERLINK("https://klasma.github.io/Logging_2361/klagomålsmail/A 48065-2021 FSC-klagomål mail.docx", "A 48065-2021")</f>
        <v/>
      </c>
      <c r="X1204">
        <f>HYPERLINK("https://klasma.github.io/Logging_2361/tillsyn/A 48065-2021 tillsynsbegäran.docx", "A 48065-2021")</f>
        <v/>
      </c>
      <c r="Y1204">
        <f>HYPERLINK("https://klasma.github.io/Logging_2361/tillsynsmail/A 48065-2021 tillsynsbegäran mail.docx", "A 48065-2021")</f>
        <v/>
      </c>
    </row>
    <row r="1205" ht="15" customHeight="1">
      <c r="A1205" t="inlineStr">
        <is>
          <t>A 40789-2025</t>
        </is>
      </c>
      <c r="B1205" s="1" t="n">
        <v>45897.44645833333</v>
      </c>
      <c r="C1205" s="1" t="n">
        <v>46045</v>
      </c>
      <c r="D1205" t="inlineStr">
        <is>
          <t>JÄMTLANDS LÄN</t>
        </is>
      </c>
      <c r="E1205" t="inlineStr">
        <is>
          <t>HÄRJEDALEN</t>
        </is>
      </c>
      <c r="F1205" t="inlineStr">
        <is>
          <t>Holmen skog AB</t>
        </is>
      </c>
      <c r="G1205" t="n">
        <v>3.4</v>
      </c>
      <c r="H1205" t="n">
        <v>1</v>
      </c>
      <c r="I1205" t="n">
        <v>0</v>
      </c>
      <c r="J1205" t="n">
        <v>1</v>
      </c>
      <c r="K1205" t="n">
        <v>1</v>
      </c>
      <c r="L1205" t="n">
        <v>0</v>
      </c>
      <c r="M1205" t="n">
        <v>0</v>
      </c>
      <c r="N1205" t="n">
        <v>0</v>
      </c>
      <c r="O1205" t="n">
        <v>2</v>
      </c>
      <c r="P1205" t="n">
        <v>1</v>
      </c>
      <c r="Q1205" t="n">
        <v>2</v>
      </c>
      <c r="R1205" s="2" t="inlineStr">
        <is>
          <t>Knärot
Garnlav</t>
        </is>
      </c>
      <c r="S1205">
        <f>HYPERLINK("https://klasma.github.io/Logging_2361/artfynd/A 40789-2025 artfynd.xlsx", "A 40789-2025")</f>
        <v/>
      </c>
      <c r="T1205">
        <f>HYPERLINK("https://klasma.github.io/Logging_2361/kartor/A 40789-2025 karta.png", "A 40789-2025")</f>
        <v/>
      </c>
      <c r="U1205">
        <f>HYPERLINK("https://klasma.github.io/Logging_2361/knärot/A 40789-2025 karta knärot.png", "A 40789-2025")</f>
        <v/>
      </c>
      <c r="V1205">
        <f>HYPERLINK("https://klasma.github.io/Logging_2361/klagomål/A 40789-2025 FSC-klagomål.docx", "A 40789-2025")</f>
        <v/>
      </c>
      <c r="W1205">
        <f>HYPERLINK("https://klasma.github.io/Logging_2361/klagomålsmail/A 40789-2025 FSC-klagomål mail.docx", "A 40789-2025")</f>
        <v/>
      </c>
      <c r="X1205">
        <f>HYPERLINK("https://klasma.github.io/Logging_2361/tillsyn/A 40789-2025 tillsynsbegäran.docx", "A 40789-2025")</f>
        <v/>
      </c>
      <c r="Y1205">
        <f>HYPERLINK("https://klasma.github.io/Logging_2361/tillsynsmail/A 40789-2025 tillsynsbegäran mail.docx", "A 40789-2025")</f>
        <v/>
      </c>
    </row>
    <row r="1206" ht="15" customHeight="1">
      <c r="A1206" t="inlineStr">
        <is>
          <t>A 11086-2025</t>
        </is>
      </c>
      <c r="B1206" s="1" t="n">
        <v>45723.57329861111</v>
      </c>
      <c r="C1206" s="1" t="n">
        <v>46045</v>
      </c>
      <c r="D1206" t="inlineStr">
        <is>
          <t>JÄMTLANDS LÄN</t>
        </is>
      </c>
      <c r="E1206" t="inlineStr">
        <is>
          <t>RAGUNDA</t>
        </is>
      </c>
      <c r="F1206" t="inlineStr">
        <is>
          <t>SCA</t>
        </is>
      </c>
      <c r="G1206" t="n">
        <v>10.8</v>
      </c>
      <c r="H1206" t="n">
        <v>0</v>
      </c>
      <c r="I1206" t="n">
        <v>0</v>
      </c>
      <c r="J1206" t="n">
        <v>1</v>
      </c>
      <c r="K1206" t="n">
        <v>1</v>
      </c>
      <c r="L1206" t="n">
        <v>0</v>
      </c>
      <c r="M1206" t="n">
        <v>0</v>
      </c>
      <c r="N1206" t="n">
        <v>0</v>
      </c>
      <c r="O1206" t="n">
        <v>2</v>
      </c>
      <c r="P1206" t="n">
        <v>1</v>
      </c>
      <c r="Q1206" t="n">
        <v>2</v>
      </c>
      <c r="R1206" s="2" t="inlineStr">
        <is>
          <t>Gräddporing
Dvärgbägarlav</t>
        </is>
      </c>
      <c r="S1206">
        <f>HYPERLINK("https://klasma.github.io/Logging_2303/artfynd/A 11086-2025 artfynd.xlsx", "A 11086-2025")</f>
        <v/>
      </c>
      <c r="T1206">
        <f>HYPERLINK("https://klasma.github.io/Logging_2303/kartor/A 11086-2025 karta.png", "A 11086-2025")</f>
        <v/>
      </c>
      <c r="V1206">
        <f>HYPERLINK("https://klasma.github.io/Logging_2303/klagomål/A 11086-2025 FSC-klagomål.docx", "A 11086-2025")</f>
        <v/>
      </c>
      <c r="W1206">
        <f>HYPERLINK("https://klasma.github.io/Logging_2303/klagomålsmail/A 11086-2025 FSC-klagomål mail.docx", "A 11086-2025")</f>
        <v/>
      </c>
      <c r="X1206">
        <f>HYPERLINK("https://klasma.github.io/Logging_2303/tillsyn/A 11086-2025 tillsynsbegäran.docx", "A 11086-2025")</f>
        <v/>
      </c>
      <c r="Y1206">
        <f>HYPERLINK("https://klasma.github.io/Logging_2303/tillsynsmail/A 11086-2025 tillsynsbegäran mail.docx", "A 11086-2025")</f>
        <v/>
      </c>
    </row>
    <row r="1207" ht="15" customHeight="1">
      <c r="A1207" t="inlineStr">
        <is>
          <t>A 8734-2025</t>
        </is>
      </c>
      <c r="B1207" s="1" t="n">
        <v>45712.53209490741</v>
      </c>
      <c r="C1207" s="1" t="n">
        <v>46045</v>
      </c>
      <c r="D1207" t="inlineStr">
        <is>
          <t>JÄMTLANDS LÄN</t>
        </is>
      </c>
      <c r="E1207" t="inlineStr">
        <is>
          <t>BERG</t>
        </is>
      </c>
      <c r="F1207" t="inlineStr">
        <is>
          <t>SCA</t>
        </is>
      </c>
      <c r="G1207" t="n">
        <v>4.2</v>
      </c>
      <c r="H1207" t="n">
        <v>1</v>
      </c>
      <c r="I1207" t="n">
        <v>0</v>
      </c>
      <c r="J1207" t="n">
        <v>1</v>
      </c>
      <c r="K1207" t="n">
        <v>0</v>
      </c>
      <c r="L1207" t="n">
        <v>0</v>
      </c>
      <c r="M1207" t="n">
        <v>0</v>
      </c>
      <c r="N1207" t="n">
        <v>0</v>
      </c>
      <c r="O1207" t="n">
        <v>1</v>
      </c>
      <c r="P1207" t="n">
        <v>0</v>
      </c>
      <c r="Q1207" t="n">
        <v>2</v>
      </c>
      <c r="R1207" s="2" t="inlineStr">
        <is>
          <t>Brunklöver
Gullviva</t>
        </is>
      </c>
      <c r="S1207">
        <f>HYPERLINK("https://klasma.github.io/Logging_2326/artfynd/A 8734-2025 artfynd.xlsx", "A 8734-2025")</f>
        <v/>
      </c>
      <c r="T1207">
        <f>HYPERLINK("https://klasma.github.io/Logging_2326/kartor/A 8734-2025 karta.png", "A 8734-2025")</f>
        <v/>
      </c>
      <c r="V1207">
        <f>HYPERLINK("https://klasma.github.io/Logging_2326/klagomål/A 8734-2025 FSC-klagomål.docx", "A 8734-2025")</f>
        <v/>
      </c>
      <c r="W1207">
        <f>HYPERLINK("https://klasma.github.io/Logging_2326/klagomålsmail/A 8734-2025 FSC-klagomål mail.docx", "A 8734-2025")</f>
        <v/>
      </c>
      <c r="X1207">
        <f>HYPERLINK("https://klasma.github.io/Logging_2326/tillsyn/A 8734-2025 tillsynsbegäran.docx", "A 8734-2025")</f>
        <v/>
      </c>
      <c r="Y1207">
        <f>HYPERLINK("https://klasma.github.io/Logging_2326/tillsynsmail/A 8734-2025 tillsynsbegäran mail.docx", "A 8734-2025")</f>
        <v/>
      </c>
    </row>
    <row r="1208" ht="15" customHeight="1">
      <c r="A1208" t="inlineStr">
        <is>
          <t>A 54189-2022</t>
        </is>
      </c>
      <c r="B1208" s="1" t="n">
        <v>44879</v>
      </c>
      <c r="C1208" s="1" t="n">
        <v>46045</v>
      </c>
      <c r="D1208" t="inlineStr">
        <is>
          <t>JÄMTLANDS LÄN</t>
        </is>
      </c>
      <c r="E1208" t="inlineStr">
        <is>
          <t>KROKOM</t>
        </is>
      </c>
      <c r="G1208" t="n">
        <v>24.1</v>
      </c>
      <c r="H1208" t="n">
        <v>0</v>
      </c>
      <c r="I1208" t="n">
        <v>0</v>
      </c>
      <c r="J1208" t="n">
        <v>1</v>
      </c>
      <c r="K1208" t="n">
        <v>1</v>
      </c>
      <c r="L1208" t="n">
        <v>0</v>
      </c>
      <c r="M1208" t="n">
        <v>0</v>
      </c>
      <c r="N1208" t="n">
        <v>0</v>
      </c>
      <c r="O1208" t="n">
        <v>2</v>
      </c>
      <c r="P1208" t="n">
        <v>1</v>
      </c>
      <c r="Q1208" t="n">
        <v>2</v>
      </c>
      <c r="R1208" s="2" t="inlineStr">
        <is>
          <t>Ulltickeporing
Ullticka</t>
        </is>
      </c>
      <c r="S1208">
        <f>HYPERLINK("https://klasma.github.io/Logging_2309/artfynd/A 54189-2022 artfynd.xlsx", "A 54189-2022")</f>
        <v/>
      </c>
      <c r="T1208">
        <f>HYPERLINK("https://klasma.github.io/Logging_2309/kartor/A 54189-2022 karta.png", "A 54189-2022")</f>
        <v/>
      </c>
      <c r="V1208">
        <f>HYPERLINK("https://klasma.github.io/Logging_2309/klagomål/A 54189-2022 FSC-klagomål.docx", "A 54189-2022")</f>
        <v/>
      </c>
      <c r="W1208">
        <f>HYPERLINK("https://klasma.github.io/Logging_2309/klagomålsmail/A 54189-2022 FSC-klagomål mail.docx", "A 54189-2022")</f>
        <v/>
      </c>
      <c r="X1208">
        <f>HYPERLINK("https://klasma.github.io/Logging_2309/tillsyn/A 54189-2022 tillsynsbegäran.docx", "A 54189-2022")</f>
        <v/>
      </c>
      <c r="Y1208">
        <f>HYPERLINK("https://klasma.github.io/Logging_2309/tillsynsmail/A 54189-2022 tillsynsbegäran mail.docx", "A 54189-2022")</f>
        <v/>
      </c>
    </row>
    <row r="1209" ht="15" customHeight="1">
      <c r="A1209" t="inlineStr">
        <is>
          <t>A 29729-2024</t>
        </is>
      </c>
      <c r="B1209" s="1" t="n">
        <v>45485</v>
      </c>
      <c r="C1209" s="1" t="n">
        <v>46045</v>
      </c>
      <c r="D1209" t="inlineStr">
        <is>
          <t>JÄMTLANDS LÄN</t>
        </is>
      </c>
      <c r="E1209" t="inlineStr">
        <is>
          <t>HÄRJEDALEN</t>
        </is>
      </c>
      <c r="F1209" t="inlineStr">
        <is>
          <t>Holmen skog AB</t>
        </is>
      </c>
      <c r="G1209" t="n">
        <v>3.7</v>
      </c>
      <c r="H1209" t="n">
        <v>0</v>
      </c>
      <c r="I1209" t="n">
        <v>0</v>
      </c>
      <c r="J1209" t="n">
        <v>2</v>
      </c>
      <c r="K1209" t="n">
        <v>0</v>
      </c>
      <c r="L1209" t="n">
        <v>0</v>
      </c>
      <c r="M1209" t="n">
        <v>0</v>
      </c>
      <c r="N1209" t="n">
        <v>0</v>
      </c>
      <c r="O1209" t="n">
        <v>2</v>
      </c>
      <c r="P1209" t="n">
        <v>0</v>
      </c>
      <c r="Q1209" t="n">
        <v>2</v>
      </c>
      <c r="R1209" s="2" t="inlineStr">
        <is>
          <t>Kolflarnlav
Lunglav</t>
        </is>
      </c>
      <c r="S1209">
        <f>HYPERLINK("https://klasma.github.io/Logging_2361/artfynd/A 29729-2024 artfynd.xlsx", "A 29729-2024")</f>
        <v/>
      </c>
      <c r="T1209">
        <f>HYPERLINK("https://klasma.github.io/Logging_2361/kartor/A 29729-2024 karta.png", "A 29729-2024")</f>
        <v/>
      </c>
      <c r="V1209">
        <f>HYPERLINK("https://klasma.github.io/Logging_2361/klagomål/A 29729-2024 FSC-klagomål.docx", "A 29729-2024")</f>
        <v/>
      </c>
      <c r="W1209">
        <f>HYPERLINK("https://klasma.github.io/Logging_2361/klagomålsmail/A 29729-2024 FSC-klagomål mail.docx", "A 29729-2024")</f>
        <v/>
      </c>
      <c r="X1209">
        <f>HYPERLINK("https://klasma.github.io/Logging_2361/tillsyn/A 29729-2024 tillsynsbegäran.docx", "A 29729-2024")</f>
        <v/>
      </c>
      <c r="Y1209">
        <f>HYPERLINK("https://klasma.github.io/Logging_2361/tillsynsmail/A 29729-2024 tillsynsbegäran mail.docx", "A 29729-2024")</f>
        <v/>
      </c>
    </row>
    <row r="1210" ht="15" customHeight="1">
      <c r="A1210" t="inlineStr">
        <is>
          <t>A 22974-2022</t>
        </is>
      </c>
      <c r="B1210" s="1" t="n">
        <v>44716</v>
      </c>
      <c r="C1210" s="1" t="n">
        <v>46045</v>
      </c>
      <c r="D1210" t="inlineStr">
        <is>
          <t>JÄMTLANDS LÄN</t>
        </is>
      </c>
      <c r="E1210" t="inlineStr">
        <is>
          <t>ÅRE</t>
        </is>
      </c>
      <c r="G1210" t="n">
        <v>8.300000000000001</v>
      </c>
      <c r="H1210" t="n">
        <v>1</v>
      </c>
      <c r="I1210" t="n">
        <v>2</v>
      </c>
      <c r="J1210" t="n">
        <v>0</v>
      </c>
      <c r="K1210" t="n">
        <v>0</v>
      </c>
      <c r="L1210" t="n">
        <v>0</v>
      </c>
      <c r="M1210" t="n">
        <v>0</v>
      </c>
      <c r="N1210" t="n">
        <v>0</v>
      </c>
      <c r="O1210" t="n">
        <v>0</v>
      </c>
      <c r="P1210" t="n">
        <v>0</v>
      </c>
      <c r="Q1210" t="n">
        <v>2</v>
      </c>
      <c r="R1210" s="2" t="inlineStr">
        <is>
          <t>Spindelblomster
Ögonpyrola</t>
        </is>
      </c>
      <c r="S1210">
        <f>HYPERLINK("https://klasma.github.io/Logging_2321/artfynd/A 22974-2022 artfynd.xlsx", "A 22974-2022")</f>
        <v/>
      </c>
      <c r="T1210">
        <f>HYPERLINK("https://klasma.github.io/Logging_2321/kartor/A 22974-2022 karta.png", "A 22974-2022")</f>
        <v/>
      </c>
      <c r="V1210">
        <f>HYPERLINK("https://klasma.github.io/Logging_2321/klagomål/A 22974-2022 FSC-klagomål.docx", "A 22974-2022")</f>
        <v/>
      </c>
      <c r="W1210">
        <f>HYPERLINK("https://klasma.github.io/Logging_2321/klagomålsmail/A 22974-2022 FSC-klagomål mail.docx", "A 22974-2022")</f>
        <v/>
      </c>
      <c r="X1210">
        <f>HYPERLINK("https://klasma.github.io/Logging_2321/tillsyn/A 22974-2022 tillsynsbegäran.docx", "A 22974-2022")</f>
        <v/>
      </c>
      <c r="Y1210">
        <f>HYPERLINK("https://klasma.github.io/Logging_2321/tillsynsmail/A 22974-2022 tillsynsbegäran mail.docx", "A 22974-2022")</f>
        <v/>
      </c>
    </row>
    <row r="1211" ht="15" customHeight="1">
      <c r="A1211" t="inlineStr">
        <is>
          <t>A 23566-2021</t>
        </is>
      </c>
      <c r="B1211" s="1" t="n">
        <v>44334</v>
      </c>
      <c r="C1211" s="1" t="n">
        <v>46045</v>
      </c>
      <c r="D1211" t="inlineStr">
        <is>
          <t>JÄMTLANDS LÄN</t>
        </is>
      </c>
      <c r="E1211" t="inlineStr">
        <is>
          <t>ÅRE</t>
        </is>
      </c>
      <c r="G1211" t="n">
        <v>20</v>
      </c>
      <c r="H1211" t="n">
        <v>1</v>
      </c>
      <c r="I1211" t="n">
        <v>1</v>
      </c>
      <c r="J1211" t="n">
        <v>1</v>
      </c>
      <c r="K1211" t="n">
        <v>0</v>
      </c>
      <c r="L1211" t="n">
        <v>0</v>
      </c>
      <c r="M1211" t="n">
        <v>0</v>
      </c>
      <c r="N1211" t="n">
        <v>0</v>
      </c>
      <c r="O1211" t="n">
        <v>1</v>
      </c>
      <c r="P1211" t="n">
        <v>0</v>
      </c>
      <c r="Q1211" t="n">
        <v>2</v>
      </c>
      <c r="R1211" s="2" t="inlineStr">
        <is>
          <t>Skrovellav
Spindelblomster</t>
        </is>
      </c>
      <c r="S1211">
        <f>HYPERLINK("https://klasma.github.io/Logging_2321/artfynd/A 23566-2021 artfynd.xlsx", "A 23566-2021")</f>
        <v/>
      </c>
      <c r="T1211">
        <f>HYPERLINK("https://klasma.github.io/Logging_2321/kartor/A 23566-2021 karta.png", "A 23566-2021")</f>
        <v/>
      </c>
      <c r="V1211">
        <f>HYPERLINK("https://klasma.github.io/Logging_2321/klagomål/A 23566-2021 FSC-klagomål.docx", "A 23566-2021")</f>
        <v/>
      </c>
      <c r="W1211">
        <f>HYPERLINK("https://klasma.github.io/Logging_2321/klagomålsmail/A 23566-2021 FSC-klagomål mail.docx", "A 23566-2021")</f>
        <v/>
      </c>
      <c r="X1211">
        <f>HYPERLINK("https://klasma.github.io/Logging_2321/tillsyn/A 23566-2021 tillsynsbegäran.docx", "A 23566-2021")</f>
        <v/>
      </c>
      <c r="Y1211">
        <f>HYPERLINK("https://klasma.github.io/Logging_2321/tillsynsmail/A 23566-2021 tillsynsbegäran mail.docx", "A 23566-2021")</f>
        <v/>
      </c>
    </row>
    <row r="1212" ht="15" customHeight="1">
      <c r="A1212" t="inlineStr">
        <is>
          <t>A 10105-2025</t>
        </is>
      </c>
      <c r="B1212" s="1" t="n">
        <v>45719.58310185185</v>
      </c>
      <c r="C1212" s="1" t="n">
        <v>46045</v>
      </c>
      <c r="D1212" t="inlineStr">
        <is>
          <t>JÄMTLANDS LÄN</t>
        </is>
      </c>
      <c r="E1212" t="inlineStr">
        <is>
          <t>BRÄCKE</t>
        </is>
      </c>
      <c r="G1212" t="n">
        <v>0.6</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HYPERLINK("https://klasma.github.io/Logging_2305/artfynd/A 10105-2025 artfynd.xlsx", "A 10105-2025")</f>
        <v/>
      </c>
      <c r="T1212">
        <f>HYPERLINK("https://klasma.github.io/Logging_2305/kartor/A 10105-2025 karta.png", "A 10105-2025")</f>
        <v/>
      </c>
      <c r="V1212">
        <f>HYPERLINK("https://klasma.github.io/Logging_2305/klagomål/A 10105-2025 FSC-klagomål.docx", "A 10105-2025")</f>
        <v/>
      </c>
      <c r="W1212">
        <f>HYPERLINK("https://klasma.github.io/Logging_2305/klagomålsmail/A 10105-2025 FSC-klagomål mail.docx", "A 10105-2025")</f>
        <v/>
      </c>
      <c r="X1212">
        <f>HYPERLINK("https://klasma.github.io/Logging_2305/tillsyn/A 10105-2025 tillsynsbegäran.docx", "A 10105-2025")</f>
        <v/>
      </c>
      <c r="Y1212">
        <f>HYPERLINK("https://klasma.github.io/Logging_2305/tillsynsmail/A 10105-2025 tillsynsbegäran mail.docx", "A 10105-2025")</f>
        <v/>
      </c>
    </row>
    <row r="1213" ht="15" customHeight="1">
      <c r="A1213" t="inlineStr">
        <is>
          <t>A 5531-2023</t>
        </is>
      </c>
      <c r="B1213" s="1" t="n">
        <v>44957</v>
      </c>
      <c r="C1213" s="1" t="n">
        <v>46045</v>
      </c>
      <c r="D1213" t="inlineStr">
        <is>
          <t>JÄMTLANDS LÄN</t>
        </is>
      </c>
      <c r="E1213" t="inlineStr">
        <is>
          <t>ÅRE</t>
        </is>
      </c>
      <c r="G1213" t="n">
        <v>3.8</v>
      </c>
      <c r="H1213" t="n">
        <v>1</v>
      </c>
      <c r="I1213" t="n">
        <v>0</v>
      </c>
      <c r="J1213" t="n">
        <v>2</v>
      </c>
      <c r="K1213" t="n">
        <v>0</v>
      </c>
      <c r="L1213" t="n">
        <v>0</v>
      </c>
      <c r="M1213" t="n">
        <v>0</v>
      </c>
      <c r="N1213" t="n">
        <v>0</v>
      </c>
      <c r="O1213" t="n">
        <v>2</v>
      </c>
      <c r="P1213" t="n">
        <v>0</v>
      </c>
      <c r="Q1213" t="n">
        <v>2</v>
      </c>
      <c r="R1213" s="2" t="inlineStr">
        <is>
          <t>Granticka
Tretåig hackspett</t>
        </is>
      </c>
      <c r="S1213">
        <f>HYPERLINK("https://klasma.github.io/Logging_2321/artfynd/A 5531-2023 artfynd.xlsx", "A 5531-2023")</f>
        <v/>
      </c>
      <c r="T1213">
        <f>HYPERLINK("https://klasma.github.io/Logging_2321/kartor/A 5531-2023 karta.png", "A 5531-2023")</f>
        <v/>
      </c>
      <c r="V1213">
        <f>HYPERLINK("https://klasma.github.io/Logging_2321/klagomål/A 5531-2023 FSC-klagomål.docx", "A 5531-2023")</f>
        <v/>
      </c>
      <c r="W1213">
        <f>HYPERLINK("https://klasma.github.io/Logging_2321/klagomålsmail/A 5531-2023 FSC-klagomål mail.docx", "A 5531-2023")</f>
        <v/>
      </c>
      <c r="X1213">
        <f>HYPERLINK("https://klasma.github.io/Logging_2321/tillsyn/A 5531-2023 tillsynsbegäran.docx", "A 5531-2023")</f>
        <v/>
      </c>
      <c r="Y1213">
        <f>HYPERLINK("https://klasma.github.io/Logging_2321/tillsynsmail/A 5531-2023 tillsynsbegäran mail.docx", "A 5531-2023")</f>
        <v/>
      </c>
      <c r="Z1213">
        <f>HYPERLINK("https://klasma.github.io/Logging_2321/fåglar/A 5531-2023 prioriterade fågelarter.docx", "A 5531-2023")</f>
        <v/>
      </c>
    </row>
    <row r="1214" ht="15" customHeight="1">
      <c r="A1214" t="inlineStr">
        <is>
          <t>A 42120-2025</t>
        </is>
      </c>
      <c r="B1214" s="1" t="n">
        <v>45904.34236111111</v>
      </c>
      <c r="C1214" s="1" t="n">
        <v>46045</v>
      </c>
      <c r="D1214" t="inlineStr">
        <is>
          <t>JÄMTLANDS LÄN</t>
        </is>
      </c>
      <c r="E1214" t="inlineStr">
        <is>
          <t>BERG</t>
        </is>
      </c>
      <c r="F1214" t="inlineStr">
        <is>
          <t>Sveaskog</t>
        </is>
      </c>
      <c r="G1214" t="n">
        <v>4.5</v>
      </c>
      <c r="H1214" t="n">
        <v>0</v>
      </c>
      <c r="I1214" t="n">
        <v>0</v>
      </c>
      <c r="J1214" t="n">
        <v>2</v>
      </c>
      <c r="K1214" t="n">
        <v>0</v>
      </c>
      <c r="L1214" t="n">
        <v>0</v>
      </c>
      <c r="M1214" t="n">
        <v>0</v>
      </c>
      <c r="N1214" t="n">
        <v>0</v>
      </c>
      <c r="O1214" t="n">
        <v>2</v>
      </c>
      <c r="P1214" t="n">
        <v>0</v>
      </c>
      <c r="Q1214" t="n">
        <v>2</v>
      </c>
      <c r="R1214" s="2" t="inlineStr">
        <is>
          <t>Garnlav
Kolflarnlav</t>
        </is>
      </c>
      <c r="S1214">
        <f>HYPERLINK("https://klasma.github.io/Logging_2326/artfynd/A 42120-2025 artfynd.xlsx", "A 42120-2025")</f>
        <v/>
      </c>
      <c r="T1214">
        <f>HYPERLINK("https://klasma.github.io/Logging_2326/kartor/A 42120-2025 karta.png", "A 42120-2025")</f>
        <v/>
      </c>
      <c r="V1214">
        <f>HYPERLINK("https://klasma.github.io/Logging_2326/klagomål/A 42120-2025 FSC-klagomål.docx", "A 42120-2025")</f>
        <v/>
      </c>
      <c r="W1214">
        <f>HYPERLINK("https://klasma.github.io/Logging_2326/klagomålsmail/A 42120-2025 FSC-klagomål mail.docx", "A 42120-2025")</f>
        <v/>
      </c>
      <c r="X1214">
        <f>HYPERLINK("https://klasma.github.io/Logging_2326/tillsyn/A 42120-2025 tillsynsbegäran.docx", "A 42120-2025")</f>
        <v/>
      </c>
      <c r="Y1214">
        <f>HYPERLINK("https://klasma.github.io/Logging_2326/tillsynsmail/A 42120-2025 tillsynsbegäran mail.docx", "A 42120-2025")</f>
        <v/>
      </c>
    </row>
    <row r="1215" ht="15" customHeight="1">
      <c r="A1215" t="inlineStr">
        <is>
          <t>A 42239-2021</t>
        </is>
      </c>
      <c r="B1215" s="1" t="n">
        <v>44426</v>
      </c>
      <c r="C1215" s="1" t="n">
        <v>46045</v>
      </c>
      <c r="D1215" t="inlineStr">
        <is>
          <t>JÄMTLANDS LÄN</t>
        </is>
      </c>
      <c r="E1215" t="inlineStr">
        <is>
          <t>STRÖMSUND</t>
        </is>
      </c>
      <c r="F1215" t="inlineStr">
        <is>
          <t>SCA</t>
        </is>
      </c>
      <c r="G1215" t="n">
        <v>9.300000000000001</v>
      </c>
      <c r="H1215" t="n">
        <v>0</v>
      </c>
      <c r="I1215" t="n">
        <v>0</v>
      </c>
      <c r="J1215" t="n">
        <v>2</v>
      </c>
      <c r="K1215" t="n">
        <v>0</v>
      </c>
      <c r="L1215" t="n">
        <v>0</v>
      </c>
      <c r="M1215" t="n">
        <v>0</v>
      </c>
      <c r="N1215" t="n">
        <v>0</v>
      </c>
      <c r="O1215" t="n">
        <v>2</v>
      </c>
      <c r="P1215" t="n">
        <v>0</v>
      </c>
      <c r="Q1215" t="n">
        <v>2</v>
      </c>
      <c r="R1215" s="2" t="inlineStr">
        <is>
          <t>Lunglav
Ullticka</t>
        </is>
      </c>
      <c r="S1215">
        <f>HYPERLINK("https://klasma.github.io/Logging_2313/artfynd/A 42239-2021 artfynd.xlsx", "A 42239-2021")</f>
        <v/>
      </c>
      <c r="T1215">
        <f>HYPERLINK("https://klasma.github.io/Logging_2313/kartor/A 42239-2021 karta.png", "A 42239-2021")</f>
        <v/>
      </c>
      <c r="V1215">
        <f>HYPERLINK("https://klasma.github.io/Logging_2313/klagomål/A 42239-2021 FSC-klagomål.docx", "A 42239-2021")</f>
        <v/>
      </c>
      <c r="W1215">
        <f>HYPERLINK("https://klasma.github.io/Logging_2313/klagomålsmail/A 42239-2021 FSC-klagomål mail.docx", "A 42239-2021")</f>
        <v/>
      </c>
      <c r="X1215">
        <f>HYPERLINK("https://klasma.github.io/Logging_2313/tillsyn/A 42239-2021 tillsynsbegäran.docx", "A 42239-2021")</f>
        <v/>
      </c>
      <c r="Y1215">
        <f>HYPERLINK("https://klasma.github.io/Logging_2313/tillsynsmail/A 42239-2021 tillsynsbegäran mail.docx", "A 42239-2021")</f>
        <v/>
      </c>
    </row>
    <row r="1216" ht="15" customHeight="1">
      <c r="A1216" t="inlineStr">
        <is>
          <t>A 4134-2025</t>
        </is>
      </c>
      <c r="B1216" s="1" t="n">
        <v>45685.34582175926</v>
      </c>
      <c r="C1216" s="1" t="n">
        <v>46045</v>
      </c>
      <c r="D1216" t="inlineStr">
        <is>
          <t>JÄMTLANDS LÄN</t>
        </is>
      </c>
      <c r="E1216" t="inlineStr">
        <is>
          <t>BRÄCKE</t>
        </is>
      </c>
      <c r="F1216" t="inlineStr">
        <is>
          <t>SCA</t>
        </is>
      </c>
      <c r="G1216" t="n">
        <v>5.6</v>
      </c>
      <c r="H1216" t="n">
        <v>0</v>
      </c>
      <c r="I1216" t="n">
        <v>1</v>
      </c>
      <c r="J1216" t="n">
        <v>1</v>
      </c>
      <c r="K1216" t="n">
        <v>0</v>
      </c>
      <c r="L1216" t="n">
        <v>0</v>
      </c>
      <c r="M1216" t="n">
        <v>0</v>
      </c>
      <c r="N1216" t="n">
        <v>0</v>
      </c>
      <c r="O1216" t="n">
        <v>1</v>
      </c>
      <c r="P1216" t="n">
        <v>0</v>
      </c>
      <c r="Q1216" t="n">
        <v>2</v>
      </c>
      <c r="R1216" s="2" t="inlineStr">
        <is>
          <t>Vedflamlav
Stor aspticka</t>
        </is>
      </c>
      <c r="S1216">
        <f>HYPERLINK("https://klasma.github.io/Logging_2305/artfynd/A 4134-2025 artfynd.xlsx", "A 4134-2025")</f>
        <v/>
      </c>
      <c r="T1216">
        <f>HYPERLINK("https://klasma.github.io/Logging_2305/kartor/A 4134-2025 karta.png", "A 4134-2025")</f>
        <v/>
      </c>
      <c r="V1216">
        <f>HYPERLINK("https://klasma.github.io/Logging_2305/klagomål/A 4134-2025 FSC-klagomål.docx", "A 4134-2025")</f>
        <v/>
      </c>
      <c r="W1216">
        <f>HYPERLINK("https://klasma.github.io/Logging_2305/klagomålsmail/A 4134-2025 FSC-klagomål mail.docx", "A 4134-2025")</f>
        <v/>
      </c>
      <c r="X1216">
        <f>HYPERLINK("https://klasma.github.io/Logging_2305/tillsyn/A 4134-2025 tillsynsbegäran.docx", "A 4134-2025")</f>
        <v/>
      </c>
      <c r="Y1216">
        <f>HYPERLINK("https://klasma.github.io/Logging_2305/tillsynsmail/A 4134-2025 tillsynsbegäran mail.docx", "A 4134-2025")</f>
        <v/>
      </c>
    </row>
    <row r="1217" ht="15" customHeight="1">
      <c r="A1217" t="inlineStr">
        <is>
          <t>A 41490-2022</t>
        </is>
      </c>
      <c r="B1217" s="1" t="n">
        <v>44826.94976851852</v>
      </c>
      <c r="C1217" s="1" t="n">
        <v>46045</v>
      </c>
      <c r="D1217" t="inlineStr">
        <is>
          <t>JÄMTLANDS LÄN</t>
        </is>
      </c>
      <c r="E1217" t="inlineStr">
        <is>
          <t>RAGUNDA</t>
        </is>
      </c>
      <c r="F1217" t="inlineStr">
        <is>
          <t>SCA</t>
        </is>
      </c>
      <c r="G1217" t="n">
        <v>2.7</v>
      </c>
      <c r="H1217" t="n">
        <v>0</v>
      </c>
      <c r="I1217" t="n">
        <v>1</v>
      </c>
      <c r="J1217" t="n">
        <v>1</v>
      </c>
      <c r="K1217" t="n">
        <v>0</v>
      </c>
      <c r="L1217" t="n">
        <v>0</v>
      </c>
      <c r="M1217" t="n">
        <v>0</v>
      </c>
      <c r="N1217" t="n">
        <v>0</v>
      </c>
      <c r="O1217" t="n">
        <v>1</v>
      </c>
      <c r="P1217" t="n">
        <v>0</v>
      </c>
      <c r="Q1217" t="n">
        <v>2</v>
      </c>
      <c r="R1217" s="2" t="inlineStr">
        <is>
          <t>Lunglav
Skinnlav</t>
        </is>
      </c>
      <c r="S1217">
        <f>HYPERLINK("https://klasma.github.io/Logging_2303/artfynd/A 41490-2022 artfynd.xlsx", "A 41490-2022")</f>
        <v/>
      </c>
      <c r="T1217">
        <f>HYPERLINK("https://klasma.github.io/Logging_2303/kartor/A 41490-2022 karta.png", "A 41490-2022")</f>
        <v/>
      </c>
      <c r="V1217">
        <f>HYPERLINK("https://klasma.github.io/Logging_2303/klagomål/A 41490-2022 FSC-klagomål.docx", "A 41490-2022")</f>
        <v/>
      </c>
      <c r="W1217">
        <f>HYPERLINK("https://klasma.github.io/Logging_2303/klagomålsmail/A 41490-2022 FSC-klagomål mail.docx", "A 41490-2022")</f>
        <v/>
      </c>
      <c r="X1217">
        <f>HYPERLINK("https://klasma.github.io/Logging_2303/tillsyn/A 41490-2022 tillsynsbegäran.docx", "A 41490-2022")</f>
        <v/>
      </c>
      <c r="Y1217">
        <f>HYPERLINK("https://klasma.github.io/Logging_2303/tillsynsmail/A 41490-2022 tillsynsbegäran mail.docx", "A 41490-2022")</f>
        <v/>
      </c>
    </row>
    <row r="1218" ht="15" customHeight="1">
      <c r="A1218" t="inlineStr">
        <is>
          <t>A 71571-2021</t>
        </is>
      </c>
      <c r="B1218" s="1" t="n">
        <v>44540</v>
      </c>
      <c r="C1218" s="1" t="n">
        <v>46045</v>
      </c>
      <c r="D1218" t="inlineStr">
        <is>
          <t>JÄMTLANDS LÄN</t>
        </is>
      </c>
      <c r="E1218" t="inlineStr">
        <is>
          <t>KROKOM</t>
        </is>
      </c>
      <c r="G1218" t="n">
        <v>0.7</v>
      </c>
      <c r="H1218" t="n">
        <v>0</v>
      </c>
      <c r="I1218" t="n">
        <v>1</v>
      </c>
      <c r="J1218" t="n">
        <v>1</v>
      </c>
      <c r="K1218" t="n">
        <v>0</v>
      </c>
      <c r="L1218" t="n">
        <v>0</v>
      </c>
      <c r="M1218" t="n">
        <v>0</v>
      </c>
      <c r="N1218" t="n">
        <v>0</v>
      </c>
      <c r="O1218" t="n">
        <v>1</v>
      </c>
      <c r="P1218" t="n">
        <v>0</v>
      </c>
      <c r="Q1218" t="n">
        <v>2</v>
      </c>
      <c r="R1218" s="2" t="inlineStr">
        <is>
          <t>Skrovellav
Kryddspindling</t>
        </is>
      </c>
      <c r="S1218">
        <f>HYPERLINK("https://klasma.github.io/Logging_2309/artfynd/A 71571-2021 artfynd.xlsx", "A 71571-2021")</f>
        <v/>
      </c>
      <c r="T1218">
        <f>HYPERLINK("https://klasma.github.io/Logging_2309/kartor/A 71571-2021 karta.png", "A 71571-2021")</f>
        <v/>
      </c>
      <c r="V1218">
        <f>HYPERLINK("https://klasma.github.io/Logging_2309/klagomål/A 71571-2021 FSC-klagomål.docx", "A 71571-2021")</f>
        <v/>
      </c>
      <c r="W1218">
        <f>HYPERLINK("https://klasma.github.io/Logging_2309/klagomålsmail/A 71571-2021 FSC-klagomål mail.docx", "A 71571-2021")</f>
        <v/>
      </c>
      <c r="X1218">
        <f>HYPERLINK("https://klasma.github.io/Logging_2309/tillsyn/A 71571-2021 tillsynsbegäran.docx", "A 71571-2021")</f>
        <v/>
      </c>
      <c r="Y1218">
        <f>HYPERLINK("https://klasma.github.io/Logging_2309/tillsynsmail/A 71571-2021 tillsynsbegäran mail.docx", "A 71571-2021")</f>
        <v/>
      </c>
    </row>
    <row r="1219" ht="15" customHeight="1">
      <c r="A1219" t="inlineStr">
        <is>
          <t>A 39055-2023</t>
        </is>
      </c>
      <c r="B1219" s="1" t="n">
        <v>45163</v>
      </c>
      <c r="C1219" s="1" t="n">
        <v>46045</v>
      </c>
      <c r="D1219" t="inlineStr">
        <is>
          <t>JÄMTLANDS LÄN</t>
        </is>
      </c>
      <c r="E1219" t="inlineStr">
        <is>
          <t>STRÖMSUND</t>
        </is>
      </c>
      <c r="F1219" t="inlineStr">
        <is>
          <t>SCA</t>
        </is>
      </c>
      <c r="G1219" t="n">
        <v>7</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HYPERLINK("https://klasma.github.io/Logging_2313/artfynd/A 39055-2023 artfynd.xlsx", "A 39055-2023")</f>
        <v/>
      </c>
      <c r="T1219">
        <f>HYPERLINK("https://klasma.github.io/Logging_2313/kartor/A 39055-2023 karta.png", "A 39055-2023")</f>
        <v/>
      </c>
      <c r="V1219">
        <f>HYPERLINK("https://klasma.github.io/Logging_2313/klagomål/A 39055-2023 FSC-klagomål.docx", "A 39055-2023")</f>
        <v/>
      </c>
      <c r="W1219">
        <f>HYPERLINK("https://klasma.github.io/Logging_2313/klagomålsmail/A 39055-2023 FSC-klagomål mail.docx", "A 39055-2023")</f>
        <v/>
      </c>
      <c r="X1219">
        <f>HYPERLINK("https://klasma.github.io/Logging_2313/tillsyn/A 39055-2023 tillsynsbegäran.docx", "A 39055-2023")</f>
        <v/>
      </c>
      <c r="Y1219">
        <f>HYPERLINK("https://klasma.github.io/Logging_2313/tillsynsmail/A 39055-2023 tillsynsbegäran mail.docx", "A 39055-2023")</f>
        <v/>
      </c>
    </row>
    <row r="1220" ht="15" customHeight="1">
      <c r="A1220" t="inlineStr">
        <is>
          <t>A 11787-2025</t>
        </is>
      </c>
      <c r="B1220" s="1" t="n">
        <v>45727.72017361111</v>
      </c>
      <c r="C1220" s="1" t="n">
        <v>46045</v>
      </c>
      <c r="D1220" t="inlineStr">
        <is>
          <t>JÄMTLANDS LÄN</t>
        </is>
      </c>
      <c r="E1220" t="inlineStr">
        <is>
          <t>BRÄCKE</t>
        </is>
      </c>
      <c r="F1220" t="inlineStr">
        <is>
          <t>SCA</t>
        </is>
      </c>
      <c r="G1220" t="n">
        <v>1.9</v>
      </c>
      <c r="H1220" t="n">
        <v>0</v>
      </c>
      <c r="I1220" t="n">
        <v>0</v>
      </c>
      <c r="J1220" t="n">
        <v>2</v>
      </c>
      <c r="K1220" t="n">
        <v>0</v>
      </c>
      <c r="L1220" t="n">
        <v>0</v>
      </c>
      <c r="M1220" t="n">
        <v>0</v>
      </c>
      <c r="N1220" t="n">
        <v>0</v>
      </c>
      <c r="O1220" t="n">
        <v>2</v>
      </c>
      <c r="P1220" t="n">
        <v>0</v>
      </c>
      <c r="Q1220" t="n">
        <v>2</v>
      </c>
      <c r="R1220" s="2" t="inlineStr">
        <is>
          <t>Stiftgelélav
Ullticka</t>
        </is>
      </c>
      <c r="S1220">
        <f>HYPERLINK("https://klasma.github.io/Logging_2305/artfynd/A 11787-2025 artfynd.xlsx", "A 11787-2025")</f>
        <v/>
      </c>
      <c r="T1220">
        <f>HYPERLINK("https://klasma.github.io/Logging_2305/kartor/A 11787-2025 karta.png", "A 11787-2025")</f>
        <v/>
      </c>
      <c r="V1220">
        <f>HYPERLINK("https://klasma.github.io/Logging_2305/klagomål/A 11787-2025 FSC-klagomål.docx", "A 11787-2025")</f>
        <v/>
      </c>
      <c r="W1220">
        <f>HYPERLINK("https://klasma.github.io/Logging_2305/klagomålsmail/A 11787-2025 FSC-klagomål mail.docx", "A 11787-2025")</f>
        <v/>
      </c>
      <c r="X1220">
        <f>HYPERLINK("https://klasma.github.io/Logging_2305/tillsyn/A 11787-2025 tillsynsbegäran.docx", "A 11787-2025")</f>
        <v/>
      </c>
      <c r="Y1220">
        <f>HYPERLINK("https://klasma.github.io/Logging_2305/tillsynsmail/A 11787-2025 tillsynsbegäran mail.docx", "A 11787-2025")</f>
        <v/>
      </c>
    </row>
    <row r="1221" ht="15" customHeight="1">
      <c r="A1221" t="inlineStr">
        <is>
          <t>A 10866-2025</t>
        </is>
      </c>
      <c r="B1221" s="1" t="n">
        <v>45722.61543981481</v>
      </c>
      <c r="C1221" s="1" t="n">
        <v>46045</v>
      </c>
      <c r="D1221" t="inlineStr">
        <is>
          <t>JÄMTLANDS LÄN</t>
        </is>
      </c>
      <c r="E1221" t="inlineStr">
        <is>
          <t>RAGUNDA</t>
        </is>
      </c>
      <c r="F1221" t="inlineStr">
        <is>
          <t>SCA</t>
        </is>
      </c>
      <c r="G1221" t="n">
        <v>15.9</v>
      </c>
      <c r="H1221" t="n">
        <v>0</v>
      </c>
      <c r="I1221" t="n">
        <v>1</v>
      </c>
      <c r="J1221" t="n">
        <v>1</v>
      </c>
      <c r="K1221" t="n">
        <v>0</v>
      </c>
      <c r="L1221" t="n">
        <v>0</v>
      </c>
      <c r="M1221" t="n">
        <v>0</v>
      </c>
      <c r="N1221" t="n">
        <v>0</v>
      </c>
      <c r="O1221" t="n">
        <v>1</v>
      </c>
      <c r="P1221" t="n">
        <v>0</v>
      </c>
      <c r="Q1221" t="n">
        <v>2</v>
      </c>
      <c r="R1221" s="2" t="inlineStr">
        <is>
          <t>Garnlav
Norrlandslav</t>
        </is>
      </c>
      <c r="S1221">
        <f>HYPERLINK("https://klasma.github.io/Logging_2303/artfynd/A 10866-2025 artfynd.xlsx", "A 10866-2025")</f>
        <v/>
      </c>
      <c r="T1221">
        <f>HYPERLINK("https://klasma.github.io/Logging_2303/kartor/A 10866-2025 karta.png", "A 10866-2025")</f>
        <v/>
      </c>
      <c r="V1221">
        <f>HYPERLINK("https://klasma.github.io/Logging_2303/klagomål/A 10866-2025 FSC-klagomål.docx", "A 10866-2025")</f>
        <v/>
      </c>
      <c r="W1221">
        <f>HYPERLINK("https://klasma.github.io/Logging_2303/klagomålsmail/A 10866-2025 FSC-klagomål mail.docx", "A 10866-2025")</f>
        <v/>
      </c>
      <c r="X1221">
        <f>HYPERLINK("https://klasma.github.io/Logging_2303/tillsyn/A 10866-2025 tillsynsbegäran.docx", "A 10866-2025")</f>
        <v/>
      </c>
      <c r="Y1221">
        <f>HYPERLINK("https://klasma.github.io/Logging_2303/tillsynsmail/A 10866-2025 tillsynsbegäran mail.docx", "A 10866-2025")</f>
        <v/>
      </c>
    </row>
    <row r="1222" ht="15" customHeight="1">
      <c r="A1222" t="inlineStr">
        <is>
          <t>A 30053-2024</t>
        </is>
      </c>
      <c r="B1222" s="1" t="n">
        <v>45488.94747685185</v>
      </c>
      <c r="C1222" s="1" t="n">
        <v>46045</v>
      </c>
      <c r="D1222" t="inlineStr">
        <is>
          <t>JÄMTLANDS LÄN</t>
        </is>
      </c>
      <c r="E1222" t="inlineStr">
        <is>
          <t>RAGUNDA</t>
        </is>
      </c>
      <c r="F1222" t="inlineStr">
        <is>
          <t>SCA</t>
        </is>
      </c>
      <c r="G1222" t="n">
        <v>9.6</v>
      </c>
      <c r="H1222" t="n">
        <v>0</v>
      </c>
      <c r="I1222" t="n">
        <v>1</v>
      </c>
      <c r="J1222" t="n">
        <v>1</v>
      </c>
      <c r="K1222" t="n">
        <v>0</v>
      </c>
      <c r="L1222" t="n">
        <v>0</v>
      </c>
      <c r="M1222" t="n">
        <v>0</v>
      </c>
      <c r="N1222" t="n">
        <v>0</v>
      </c>
      <c r="O1222" t="n">
        <v>1</v>
      </c>
      <c r="P1222" t="n">
        <v>0</v>
      </c>
      <c r="Q1222" t="n">
        <v>2</v>
      </c>
      <c r="R1222" s="2" t="inlineStr">
        <is>
          <t>Lunglav
Korallblylav</t>
        </is>
      </c>
      <c r="S1222">
        <f>HYPERLINK("https://klasma.github.io/Logging_2303/artfynd/A 30053-2024 artfynd.xlsx", "A 30053-2024")</f>
        <v/>
      </c>
      <c r="T1222">
        <f>HYPERLINK("https://klasma.github.io/Logging_2303/kartor/A 30053-2024 karta.png", "A 30053-2024")</f>
        <v/>
      </c>
      <c r="V1222">
        <f>HYPERLINK("https://klasma.github.io/Logging_2303/klagomål/A 30053-2024 FSC-klagomål.docx", "A 30053-2024")</f>
        <v/>
      </c>
      <c r="W1222">
        <f>HYPERLINK("https://klasma.github.io/Logging_2303/klagomålsmail/A 30053-2024 FSC-klagomål mail.docx", "A 30053-2024")</f>
        <v/>
      </c>
      <c r="X1222">
        <f>HYPERLINK("https://klasma.github.io/Logging_2303/tillsyn/A 30053-2024 tillsynsbegäran.docx", "A 30053-2024")</f>
        <v/>
      </c>
      <c r="Y1222">
        <f>HYPERLINK("https://klasma.github.io/Logging_2303/tillsynsmail/A 30053-2024 tillsynsbegäran mail.docx", "A 30053-2024")</f>
        <v/>
      </c>
    </row>
    <row r="1223" ht="15" customHeight="1">
      <c r="A1223" t="inlineStr">
        <is>
          <t>A 42600-2025</t>
        </is>
      </c>
      <c r="B1223" s="1" t="n">
        <v>45905.66966435185</v>
      </c>
      <c r="C1223" s="1" t="n">
        <v>46045</v>
      </c>
      <c r="D1223" t="inlineStr">
        <is>
          <t>JÄMTLANDS LÄN</t>
        </is>
      </c>
      <c r="E1223" t="inlineStr">
        <is>
          <t>HÄRJEDALEN</t>
        </is>
      </c>
      <c r="F1223" t="inlineStr">
        <is>
          <t>Holmen skog AB</t>
        </is>
      </c>
      <c r="G1223" t="n">
        <v>3.8</v>
      </c>
      <c r="H1223" t="n">
        <v>0</v>
      </c>
      <c r="I1223" t="n">
        <v>2</v>
      </c>
      <c r="J1223" t="n">
        <v>0</v>
      </c>
      <c r="K1223" t="n">
        <v>0</v>
      </c>
      <c r="L1223" t="n">
        <v>0</v>
      </c>
      <c r="M1223" t="n">
        <v>0</v>
      </c>
      <c r="N1223" t="n">
        <v>0</v>
      </c>
      <c r="O1223" t="n">
        <v>0</v>
      </c>
      <c r="P1223" t="n">
        <v>0</v>
      </c>
      <c r="Q1223" t="n">
        <v>2</v>
      </c>
      <c r="R1223" s="2" t="inlineStr">
        <is>
          <t>Dropptaggsvamp
Skarp dropptaggsvamp</t>
        </is>
      </c>
      <c r="S1223">
        <f>HYPERLINK("https://klasma.github.io/Logging_2361/artfynd/A 42600-2025 artfynd.xlsx", "A 42600-2025")</f>
        <v/>
      </c>
      <c r="T1223">
        <f>HYPERLINK("https://klasma.github.io/Logging_2361/kartor/A 42600-2025 karta.png", "A 42600-2025")</f>
        <v/>
      </c>
      <c r="V1223">
        <f>HYPERLINK("https://klasma.github.io/Logging_2361/klagomål/A 42600-2025 FSC-klagomål.docx", "A 42600-2025")</f>
        <v/>
      </c>
      <c r="W1223">
        <f>HYPERLINK("https://klasma.github.io/Logging_2361/klagomålsmail/A 42600-2025 FSC-klagomål mail.docx", "A 42600-2025")</f>
        <v/>
      </c>
      <c r="X1223">
        <f>HYPERLINK("https://klasma.github.io/Logging_2361/tillsyn/A 42600-2025 tillsynsbegäran.docx", "A 42600-2025")</f>
        <v/>
      </c>
      <c r="Y1223">
        <f>HYPERLINK("https://klasma.github.io/Logging_2361/tillsynsmail/A 42600-2025 tillsynsbegäran mail.docx", "A 42600-2025")</f>
        <v/>
      </c>
    </row>
    <row r="1224" ht="15" customHeight="1">
      <c r="A1224" t="inlineStr">
        <is>
          <t>A 22706-2025</t>
        </is>
      </c>
      <c r="B1224" s="1" t="n">
        <v>45789.55290509259</v>
      </c>
      <c r="C1224" s="1" t="n">
        <v>46045</v>
      </c>
      <c r="D1224" t="inlineStr">
        <is>
          <t>JÄMTLANDS LÄN</t>
        </is>
      </c>
      <c r="E1224" t="inlineStr">
        <is>
          <t>BRÄCKE</t>
        </is>
      </c>
      <c r="F1224" t="inlineStr">
        <is>
          <t>SCA</t>
        </is>
      </c>
      <c r="G1224" t="n">
        <v>2.7</v>
      </c>
      <c r="H1224" t="n">
        <v>0</v>
      </c>
      <c r="I1224" t="n">
        <v>0</v>
      </c>
      <c r="J1224" t="n">
        <v>2</v>
      </c>
      <c r="K1224" t="n">
        <v>0</v>
      </c>
      <c r="L1224" t="n">
        <v>0</v>
      </c>
      <c r="M1224" t="n">
        <v>0</v>
      </c>
      <c r="N1224" t="n">
        <v>0</v>
      </c>
      <c r="O1224" t="n">
        <v>2</v>
      </c>
      <c r="P1224" t="n">
        <v>0</v>
      </c>
      <c r="Q1224" t="n">
        <v>2</v>
      </c>
      <c r="R1224" s="2" t="inlineStr">
        <is>
          <t>Kolflarnlav
Stiftgelélav</t>
        </is>
      </c>
      <c r="S1224">
        <f>HYPERLINK("https://klasma.github.io/Logging_2305/artfynd/A 22706-2025 artfynd.xlsx", "A 22706-2025")</f>
        <v/>
      </c>
      <c r="T1224">
        <f>HYPERLINK("https://klasma.github.io/Logging_2305/kartor/A 22706-2025 karta.png", "A 22706-2025")</f>
        <v/>
      </c>
      <c r="V1224">
        <f>HYPERLINK("https://klasma.github.io/Logging_2305/klagomål/A 22706-2025 FSC-klagomål.docx", "A 22706-2025")</f>
        <v/>
      </c>
      <c r="W1224">
        <f>HYPERLINK("https://klasma.github.io/Logging_2305/klagomålsmail/A 22706-2025 FSC-klagomål mail.docx", "A 22706-2025")</f>
        <v/>
      </c>
      <c r="X1224">
        <f>HYPERLINK("https://klasma.github.io/Logging_2305/tillsyn/A 22706-2025 tillsynsbegäran.docx", "A 22706-2025")</f>
        <v/>
      </c>
      <c r="Y1224">
        <f>HYPERLINK("https://klasma.github.io/Logging_2305/tillsynsmail/A 22706-2025 tillsynsbegäran mail.docx", "A 22706-2025")</f>
        <v/>
      </c>
    </row>
    <row r="1225" ht="15" customHeight="1">
      <c r="A1225" t="inlineStr">
        <is>
          <t>A 38281-2024</t>
        </is>
      </c>
      <c r="B1225" s="1" t="n">
        <v>45545.61533564814</v>
      </c>
      <c r="C1225" s="1" t="n">
        <v>46045</v>
      </c>
      <c r="D1225" t="inlineStr">
        <is>
          <t>JÄMTLANDS LÄN</t>
        </is>
      </c>
      <c r="E1225" t="inlineStr">
        <is>
          <t>STRÖMSUND</t>
        </is>
      </c>
      <c r="F1225" t="inlineStr">
        <is>
          <t>SCA</t>
        </is>
      </c>
      <c r="G1225" t="n">
        <v>1.7</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HYPERLINK("https://klasma.github.io/Logging_2313/artfynd/A 38281-2024 artfynd.xlsx", "A 38281-2024")</f>
        <v/>
      </c>
      <c r="T1225">
        <f>HYPERLINK("https://klasma.github.io/Logging_2313/kartor/A 38281-2024 karta.png", "A 38281-2024")</f>
        <v/>
      </c>
      <c r="V1225">
        <f>HYPERLINK("https://klasma.github.io/Logging_2313/klagomål/A 38281-2024 FSC-klagomål.docx", "A 38281-2024")</f>
        <v/>
      </c>
      <c r="W1225">
        <f>HYPERLINK("https://klasma.github.io/Logging_2313/klagomålsmail/A 38281-2024 FSC-klagomål mail.docx", "A 38281-2024")</f>
        <v/>
      </c>
      <c r="X1225">
        <f>HYPERLINK("https://klasma.github.io/Logging_2313/tillsyn/A 38281-2024 tillsynsbegäran.docx", "A 38281-2024")</f>
        <v/>
      </c>
      <c r="Y1225">
        <f>HYPERLINK("https://klasma.github.io/Logging_2313/tillsynsmail/A 38281-2024 tillsynsbegäran mail.docx", "A 38281-2024")</f>
        <v/>
      </c>
    </row>
    <row r="1226" ht="15" customHeight="1">
      <c r="A1226" t="inlineStr">
        <is>
          <t>A 42807-2025</t>
        </is>
      </c>
      <c r="B1226" s="1" t="n">
        <v>45908.55247685185</v>
      </c>
      <c r="C1226" s="1" t="n">
        <v>46045</v>
      </c>
      <c r="D1226" t="inlineStr">
        <is>
          <t>JÄMTLANDS LÄN</t>
        </is>
      </c>
      <c r="E1226" t="inlineStr">
        <is>
          <t>BRÄCKE</t>
        </is>
      </c>
      <c r="F1226" t="inlineStr">
        <is>
          <t>SCA</t>
        </is>
      </c>
      <c r="G1226" t="n">
        <v>2.5</v>
      </c>
      <c r="H1226" t="n">
        <v>0</v>
      </c>
      <c r="I1226" t="n">
        <v>1</v>
      </c>
      <c r="J1226" t="n">
        <v>1</v>
      </c>
      <c r="K1226" t="n">
        <v>0</v>
      </c>
      <c r="L1226" t="n">
        <v>0</v>
      </c>
      <c r="M1226" t="n">
        <v>0</v>
      </c>
      <c r="N1226" t="n">
        <v>0</v>
      </c>
      <c r="O1226" t="n">
        <v>1</v>
      </c>
      <c r="P1226" t="n">
        <v>0</v>
      </c>
      <c r="Q1226" t="n">
        <v>2</v>
      </c>
      <c r="R1226" s="2" t="inlineStr">
        <is>
          <t>Lunglav
Luddlav</t>
        </is>
      </c>
      <c r="S1226">
        <f>HYPERLINK("https://klasma.github.io/Logging_2305/artfynd/A 42807-2025 artfynd.xlsx", "A 42807-2025")</f>
        <v/>
      </c>
      <c r="T1226">
        <f>HYPERLINK("https://klasma.github.io/Logging_2305/kartor/A 42807-2025 karta.png", "A 42807-2025")</f>
        <v/>
      </c>
      <c r="V1226">
        <f>HYPERLINK("https://klasma.github.io/Logging_2305/klagomål/A 42807-2025 FSC-klagomål.docx", "A 42807-2025")</f>
        <v/>
      </c>
      <c r="W1226">
        <f>HYPERLINK("https://klasma.github.io/Logging_2305/klagomålsmail/A 42807-2025 FSC-klagomål mail.docx", "A 42807-2025")</f>
        <v/>
      </c>
      <c r="X1226">
        <f>HYPERLINK("https://klasma.github.io/Logging_2305/tillsyn/A 42807-2025 tillsynsbegäran.docx", "A 42807-2025")</f>
        <v/>
      </c>
      <c r="Y1226">
        <f>HYPERLINK("https://klasma.github.io/Logging_2305/tillsynsmail/A 42807-2025 tillsynsbegäran mail.docx", "A 42807-2025")</f>
        <v/>
      </c>
    </row>
    <row r="1227" ht="15" customHeight="1">
      <c r="A1227" t="inlineStr">
        <is>
          <t>A 10884-2025</t>
        </is>
      </c>
      <c r="B1227" s="1" t="n">
        <v>45722.65670138889</v>
      </c>
      <c r="C1227" s="1" t="n">
        <v>46045</v>
      </c>
      <c r="D1227" t="inlineStr">
        <is>
          <t>JÄMTLANDS LÄN</t>
        </is>
      </c>
      <c r="E1227" t="inlineStr">
        <is>
          <t>RAGUNDA</t>
        </is>
      </c>
      <c r="F1227" t="inlineStr">
        <is>
          <t>SCA</t>
        </is>
      </c>
      <c r="G1227" t="n">
        <v>5.4</v>
      </c>
      <c r="H1227" t="n">
        <v>0</v>
      </c>
      <c r="I1227" t="n">
        <v>1</v>
      </c>
      <c r="J1227" t="n">
        <v>1</v>
      </c>
      <c r="K1227" t="n">
        <v>0</v>
      </c>
      <c r="L1227" t="n">
        <v>0</v>
      </c>
      <c r="M1227" t="n">
        <v>0</v>
      </c>
      <c r="N1227" t="n">
        <v>0</v>
      </c>
      <c r="O1227" t="n">
        <v>1</v>
      </c>
      <c r="P1227" t="n">
        <v>0</v>
      </c>
      <c r="Q1227" t="n">
        <v>2</v>
      </c>
      <c r="R1227" s="2" t="inlineStr">
        <is>
          <t>Vitgrynig nållav
Dropptaggsvamp</t>
        </is>
      </c>
      <c r="S1227">
        <f>HYPERLINK("https://klasma.github.io/Logging_2303/artfynd/A 10884-2025 artfynd.xlsx", "A 10884-2025")</f>
        <v/>
      </c>
      <c r="T1227">
        <f>HYPERLINK("https://klasma.github.io/Logging_2303/kartor/A 10884-2025 karta.png", "A 10884-2025")</f>
        <v/>
      </c>
      <c r="V1227">
        <f>HYPERLINK("https://klasma.github.io/Logging_2303/klagomål/A 10884-2025 FSC-klagomål.docx", "A 10884-2025")</f>
        <v/>
      </c>
      <c r="W1227">
        <f>HYPERLINK("https://klasma.github.io/Logging_2303/klagomålsmail/A 10884-2025 FSC-klagomål mail.docx", "A 10884-2025")</f>
        <v/>
      </c>
      <c r="X1227">
        <f>HYPERLINK("https://klasma.github.io/Logging_2303/tillsyn/A 10884-2025 tillsynsbegäran.docx", "A 10884-2025")</f>
        <v/>
      </c>
      <c r="Y1227">
        <f>HYPERLINK("https://klasma.github.io/Logging_2303/tillsynsmail/A 10884-2025 tillsynsbegäran mail.docx", "A 10884-2025")</f>
        <v/>
      </c>
    </row>
    <row r="1228" ht="15" customHeight="1">
      <c r="A1228" t="inlineStr">
        <is>
          <t>A 59793-2022</t>
        </is>
      </c>
      <c r="B1228" s="1" t="n">
        <v>44908</v>
      </c>
      <c r="C1228" s="1" t="n">
        <v>46045</v>
      </c>
      <c r="D1228" t="inlineStr">
        <is>
          <t>JÄMTLANDS LÄN</t>
        </is>
      </c>
      <c r="E1228" t="inlineStr">
        <is>
          <t>ÖSTERSUND</t>
        </is>
      </c>
      <c r="G1228" t="n">
        <v>23.3</v>
      </c>
      <c r="H1228" t="n">
        <v>1</v>
      </c>
      <c r="I1228" t="n">
        <v>1</v>
      </c>
      <c r="J1228" t="n">
        <v>1</v>
      </c>
      <c r="K1228" t="n">
        <v>0</v>
      </c>
      <c r="L1228" t="n">
        <v>0</v>
      </c>
      <c r="M1228" t="n">
        <v>0</v>
      </c>
      <c r="N1228" t="n">
        <v>0</v>
      </c>
      <c r="O1228" t="n">
        <v>1</v>
      </c>
      <c r="P1228" t="n">
        <v>0</v>
      </c>
      <c r="Q1228" t="n">
        <v>2</v>
      </c>
      <c r="R1228" s="2" t="inlineStr">
        <is>
          <t>Majviva
Spindelblomster</t>
        </is>
      </c>
      <c r="S1228">
        <f>HYPERLINK("https://klasma.github.io/Logging_2380/artfynd/A 59793-2022 artfynd.xlsx", "A 59793-2022")</f>
        <v/>
      </c>
      <c r="T1228">
        <f>HYPERLINK("https://klasma.github.io/Logging_2380/kartor/A 59793-2022 karta.png", "A 59793-2022")</f>
        <v/>
      </c>
      <c r="V1228">
        <f>HYPERLINK("https://klasma.github.io/Logging_2380/klagomål/A 59793-2022 FSC-klagomål.docx", "A 59793-2022")</f>
        <v/>
      </c>
      <c r="W1228">
        <f>HYPERLINK("https://klasma.github.io/Logging_2380/klagomålsmail/A 59793-2022 FSC-klagomål mail.docx", "A 59793-2022")</f>
        <v/>
      </c>
      <c r="X1228">
        <f>HYPERLINK("https://klasma.github.io/Logging_2380/tillsyn/A 59793-2022 tillsynsbegäran.docx", "A 59793-2022")</f>
        <v/>
      </c>
      <c r="Y1228">
        <f>HYPERLINK("https://klasma.github.io/Logging_2380/tillsynsmail/A 59793-2022 tillsynsbegäran mail.docx", "A 59793-2022")</f>
        <v/>
      </c>
    </row>
    <row r="1229" ht="15" customHeight="1">
      <c r="A1229" t="inlineStr">
        <is>
          <t>A 37786-2022</t>
        </is>
      </c>
      <c r="B1229" s="1" t="n">
        <v>44810</v>
      </c>
      <c r="C1229" s="1" t="n">
        <v>46045</v>
      </c>
      <c r="D1229" t="inlineStr">
        <is>
          <t>JÄMTLANDS LÄN</t>
        </is>
      </c>
      <c r="E1229" t="inlineStr">
        <is>
          <t>STRÖMSUND</t>
        </is>
      </c>
      <c r="G1229" t="n">
        <v>2.3</v>
      </c>
      <c r="H1229" t="n">
        <v>0</v>
      </c>
      <c r="I1229" t="n">
        <v>1</v>
      </c>
      <c r="J1229" t="n">
        <v>1</v>
      </c>
      <c r="K1229" t="n">
        <v>0</v>
      </c>
      <c r="L1229" t="n">
        <v>0</v>
      </c>
      <c r="M1229" t="n">
        <v>0</v>
      </c>
      <c r="N1229" t="n">
        <v>0</v>
      </c>
      <c r="O1229" t="n">
        <v>1</v>
      </c>
      <c r="P1229" t="n">
        <v>0</v>
      </c>
      <c r="Q1229" t="n">
        <v>2</v>
      </c>
      <c r="R1229" s="2" t="inlineStr">
        <is>
          <t>Orange taggsvamp
Svart trolldruva</t>
        </is>
      </c>
      <c r="S1229">
        <f>HYPERLINK("https://klasma.github.io/Logging_2313/artfynd/A 37786-2022 artfynd.xlsx", "A 37786-2022")</f>
        <v/>
      </c>
      <c r="T1229">
        <f>HYPERLINK("https://klasma.github.io/Logging_2313/kartor/A 37786-2022 karta.png", "A 37786-2022")</f>
        <v/>
      </c>
      <c r="V1229">
        <f>HYPERLINK("https://klasma.github.io/Logging_2313/klagomål/A 37786-2022 FSC-klagomål.docx", "A 37786-2022")</f>
        <v/>
      </c>
      <c r="W1229">
        <f>HYPERLINK("https://klasma.github.io/Logging_2313/klagomålsmail/A 37786-2022 FSC-klagomål mail.docx", "A 37786-2022")</f>
        <v/>
      </c>
      <c r="X1229">
        <f>HYPERLINK("https://klasma.github.io/Logging_2313/tillsyn/A 37786-2022 tillsynsbegäran.docx", "A 37786-2022")</f>
        <v/>
      </c>
      <c r="Y1229">
        <f>HYPERLINK("https://klasma.github.io/Logging_2313/tillsynsmail/A 37786-2022 tillsynsbegäran mail.docx", "A 37786-2022")</f>
        <v/>
      </c>
    </row>
    <row r="1230" ht="15" customHeight="1">
      <c r="A1230" t="inlineStr">
        <is>
          <t>A 47385-2022</t>
        </is>
      </c>
      <c r="B1230" s="1" t="n">
        <v>44853</v>
      </c>
      <c r="C1230" s="1" t="n">
        <v>46045</v>
      </c>
      <c r="D1230" t="inlineStr">
        <is>
          <t>JÄMTLANDS LÄN</t>
        </is>
      </c>
      <c r="E1230" t="inlineStr">
        <is>
          <t>ÖSTERSUND</t>
        </is>
      </c>
      <c r="G1230" t="n">
        <v>0.9</v>
      </c>
      <c r="H1230" t="n">
        <v>0</v>
      </c>
      <c r="I1230" t="n">
        <v>0</v>
      </c>
      <c r="J1230" t="n">
        <v>2</v>
      </c>
      <c r="K1230" t="n">
        <v>0</v>
      </c>
      <c r="L1230" t="n">
        <v>0</v>
      </c>
      <c r="M1230" t="n">
        <v>0</v>
      </c>
      <c r="N1230" t="n">
        <v>0</v>
      </c>
      <c r="O1230" t="n">
        <v>2</v>
      </c>
      <c r="P1230" t="n">
        <v>0</v>
      </c>
      <c r="Q1230" t="n">
        <v>2</v>
      </c>
      <c r="R1230" s="2" t="inlineStr">
        <is>
          <t>Garnlav
Ullticka</t>
        </is>
      </c>
      <c r="S1230">
        <f>HYPERLINK("https://klasma.github.io/Logging_2380/artfynd/A 47385-2022 artfynd.xlsx", "A 47385-2022")</f>
        <v/>
      </c>
      <c r="T1230">
        <f>HYPERLINK("https://klasma.github.io/Logging_2380/kartor/A 47385-2022 karta.png", "A 47385-2022")</f>
        <v/>
      </c>
      <c r="U1230">
        <f>HYPERLINK("https://klasma.github.io/Logging_2380/knärot/A 47385-2022 karta knärot.png", "A 47385-2022")</f>
        <v/>
      </c>
      <c r="V1230">
        <f>HYPERLINK("https://klasma.github.io/Logging_2380/klagomål/A 47385-2022 FSC-klagomål.docx", "A 47385-2022")</f>
        <v/>
      </c>
      <c r="W1230">
        <f>HYPERLINK("https://klasma.github.io/Logging_2380/klagomålsmail/A 47385-2022 FSC-klagomål mail.docx", "A 47385-2022")</f>
        <v/>
      </c>
      <c r="X1230">
        <f>HYPERLINK("https://klasma.github.io/Logging_2380/tillsyn/A 47385-2022 tillsynsbegäran.docx", "A 47385-2022")</f>
        <v/>
      </c>
      <c r="Y1230">
        <f>HYPERLINK("https://klasma.github.io/Logging_2380/tillsynsmail/A 47385-2022 tillsynsbegäran mail.docx", "A 47385-2022")</f>
        <v/>
      </c>
    </row>
    <row r="1231" ht="15" customHeight="1">
      <c r="A1231" t="inlineStr">
        <is>
          <t>A 58391-2024</t>
        </is>
      </c>
      <c r="B1231" s="1" t="n">
        <v>45633.76444444444</v>
      </c>
      <c r="C1231" s="1" t="n">
        <v>46045</v>
      </c>
      <c r="D1231" t="inlineStr">
        <is>
          <t>JÄMTLANDS LÄN</t>
        </is>
      </c>
      <c r="E1231" t="inlineStr">
        <is>
          <t>STRÖMSUND</t>
        </is>
      </c>
      <c r="G1231" t="n">
        <v>14.7</v>
      </c>
      <c r="H1231" t="n">
        <v>0</v>
      </c>
      <c r="I1231" t="n">
        <v>0</v>
      </c>
      <c r="J1231" t="n">
        <v>2</v>
      </c>
      <c r="K1231" t="n">
        <v>0</v>
      </c>
      <c r="L1231" t="n">
        <v>0</v>
      </c>
      <c r="M1231" t="n">
        <v>0</v>
      </c>
      <c r="N1231" t="n">
        <v>0</v>
      </c>
      <c r="O1231" t="n">
        <v>2</v>
      </c>
      <c r="P1231" t="n">
        <v>0</v>
      </c>
      <c r="Q1231" t="n">
        <v>2</v>
      </c>
      <c r="R1231" s="2" t="inlineStr">
        <is>
          <t>Lunglav
Violmussling</t>
        </is>
      </c>
      <c r="S1231">
        <f>HYPERLINK("https://klasma.github.io/Logging_2313/artfynd/A 58391-2024 artfynd.xlsx", "A 58391-2024")</f>
        <v/>
      </c>
      <c r="T1231">
        <f>HYPERLINK("https://klasma.github.io/Logging_2313/kartor/A 58391-2024 karta.png", "A 58391-2024")</f>
        <v/>
      </c>
      <c r="V1231">
        <f>HYPERLINK("https://klasma.github.io/Logging_2313/klagomål/A 58391-2024 FSC-klagomål.docx", "A 58391-2024")</f>
        <v/>
      </c>
      <c r="W1231">
        <f>HYPERLINK("https://klasma.github.io/Logging_2313/klagomålsmail/A 58391-2024 FSC-klagomål mail.docx", "A 58391-2024")</f>
        <v/>
      </c>
      <c r="X1231">
        <f>HYPERLINK("https://klasma.github.io/Logging_2313/tillsyn/A 58391-2024 tillsynsbegäran.docx", "A 58391-2024")</f>
        <v/>
      </c>
      <c r="Y1231">
        <f>HYPERLINK("https://klasma.github.io/Logging_2313/tillsynsmail/A 58391-2024 tillsynsbegäran mail.docx", "A 58391-2024")</f>
        <v/>
      </c>
    </row>
    <row r="1232" ht="15" customHeight="1">
      <c r="A1232" t="inlineStr">
        <is>
          <t>A 11544-2024</t>
        </is>
      </c>
      <c r="B1232" s="1" t="n">
        <v>45372.95680555556</v>
      </c>
      <c r="C1232" s="1" t="n">
        <v>46045</v>
      </c>
      <c r="D1232" t="inlineStr">
        <is>
          <t>JÄMTLANDS LÄN</t>
        </is>
      </c>
      <c r="E1232" t="inlineStr">
        <is>
          <t>RAGUNDA</t>
        </is>
      </c>
      <c r="F1232" t="inlineStr">
        <is>
          <t>SCA</t>
        </is>
      </c>
      <c r="G1232" t="n">
        <v>15.5</v>
      </c>
      <c r="H1232" t="n">
        <v>0</v>
      </c>
      <c r="I1232" t="n">
        <v>0</v>
      </c>
      <c r="J1232" t="n">
        <v>2</v>
      </c>
      <c r="K1232" t="n">
        <v>0</v>
      </c>
      <c r="L1232" t="n">
        <v>0</v>
      </c>
      <c r="M1232" t="n">
        <v>0</v>
      </c>
      <c r="N1232" t="n">
        <v>0</v>
      </c>
      <c r="O1232" t="n">
        <v>2</v>
      </c>
      <c r="P1232" t="n">
        <v>0</v>
      </c>
      <c r="Q1232" t="n">
        <v>2</v>
      </c>
      <c r="R1232" s="2" t="inlineStr">
        <is>
          <t>Granticka
Mörk kolflarnlav</t>
        </is>
      </c>
      <c r="S1232">
        <f>HYPERLINK("https://klasma.github.io/Logging_2303/artfynd/A 11544-2024 artfynd.xlsx", "A 11544-2024")</f>
        <v/>
      </c>
      <c r="T1232">
        <f>HYPERLINK("https://klasma.github.io/Logging_2303/kartor/A 11544-2024 karta.png", "A 11544-2024")</f>
        <v/>
      </c>
      <c r="V1232">
        <f>HYPERLINK("https://klasma.github.io/Logging_2303/klagomål/A 11544-2024 FSC-klagomål.docx", "A 11544-2024")</f>
        <v/>
      </c>
      <c r="W1232">
        <f>HYPERLINK("https://klasma.github.io/Logging_2303/klagomålsmail/A 11544-2024 FSC-klagomål mail.docx", "A 11544-2024")</f>
        <v/>
      </c>
      <c r="X1232">
        <f>HYPERLINK("https://klasma.github.io/Logging_2303/tillsyn/A 11544-2024 tillsynsbegäran.docx", "A 11544-2024")</f>
        <v/>
      </c>
      <c r="Y1232">
        <f>HYPERLINK("https://klasma.github.io/Logging_2303/tillsynsmail/A 11544-2024 tillsynsbegäran mail.docx", "A 11544-2024")</f>
        <v/>
      </c>
    </row>
    <row r="1233" ht="15" customHeight="1">
      <c r="A1233" t="inlineStr">
        <is>
          <t>A 43178-2025</t>
        </is>
      </c>
      <c r="B1233" s="1" t="n">
        <v>45910.40681712963</v>
      </c>
      <c r="C1233" s="1" t="n">
        <v>46045</v>
      </c>
      <c r="D1233" t="inlineStr">
        <is>
          <t>JÄMTLANDS LÄN</t>
        </is>
      </c>
      <c r="E1233" t="inlineStr">
        <is>
          <t>BRÄCKE</t>
        </is>
      </c>
      <c r="F1233" t="inlineStr">
        <is>
          <t>SCA</t>
        </is>
      </c>
      <c r="G1233" t="n">
        <v>4.6</v>
      </c>
      <c r="H1233" t="n">
        <v>0</v>
      </c>
      <c r="I1233" t="n">
        <v>1</v>
      </c>
      <c r="J1233" t="n">
        <v>1</v>
      </c>
      <c r="K1233" t="n">
        <v>0</v>
      </c>
      <c r="L1233" t="n">
        <v>0</v>
      </c>
      <c r="M1233" t="n">
        <v>0</v>
      </c>
      <c r="N1233" t="n">
        <v>0</v>
      </c>
      <c r="O1233" t="n">
        <v>1</v>
      </c>
      <c r="P1233" t="n">
        <v>0</v>
      </c>
      <c r="Q1233" t="n">
        <v>2</v>
      </c>
      <c r="R1233" s="2" t="inlineStr">
        <is>
          <t>Lunglav
Stuplav</t>
        </is>
      </c>
      <c r="S1233">
        <f>HYPERLINK("https://klasma.github.io/Logging_2305/artfynd/A 43178-2025 artfynd.xlsx", "A 43178-2025")</f>
        <v/>
      </c>
      <c r="T1233">
        <f>HYPERLINK("https://klasma.github.io/Logging_2305/kartor/A 43178-2025 karta.png", "A 43178-2025")</f>
        <v/>
      </c>
      <c r="V1233">
        <f>HYPERLINK("https://klasma.github.io/Logging_2305/klagomål/A 43178-2025 FSC-klagomål.docx", "A 43178-2025")</f>
        <v/>
      </c>
      <c r="W1233">
        <f>HYPERLINK("https://klasma.github.io/Logging_2305/klagomålsmail/A 43178-2025 FSC-klagomål mail.docx", "A 43178-2025")</f>
        <v/>
      </c>
      <c r="X1233">
        <f>HYPERLINK("https://klasma.github.io/Logging_2305/tillsyn/A 43178-2025 tillsynsbegäran.docx", "A 43178-2025")</f>
        <v/>
      </c>
      <c r="Y1233">
        <f>HYPERLINK("https://klasma.github.io/Logging_2305/tillsynsmail/A 43178-2025 tillsynsbegäran mail.docx", "A 43178-2025")</f>
        <v/>
      </c>
    </row>
    <row r="1234" ht="15" customHeight="1">
      <c r="A1234" t="inlineStr">
        <is>
          <t>A 22231-2022</t>
        </is>
      </c>
      <c r="B1234" s="1" t="n">
        <v>44712</v>
      </c>
      <c r="C1234" s="1" t="n">
        <v>46045</v>
      </c>
      <c r="D1234" t="inlineStr">
        <is>
          <t>JÄMTLANDS LÄN</t>
        </is>
      </c>
      <c r="E1234" t="inlineStr">
        <is>
          <t>ÅRE</t>
        </is>
      </c>
      <c r="G1234" t="n">
        <v>15</v>
      </c>
      <c r="H1234" t="n">
        <v>0</v>
      </c>
      <c r="I1234" t="n">
        <v>0</v>
      </c>
      <c r="J1234" t="n">
        <v>2</v>
      </c>
      <c r="K1234" t="n">
        <v>0</v>
      </c>
      <c r="L1234" t="n">
        <v>0</v>
      </c>
      <c r="M1234" t="n">
        <v>0</v>
      </c>
      <c r="N1234" t="n">
        <v>0</v>
      </c>
      <c r="O1234" t="n">
        <v>2</v>
      </c>
      <c r="P1234" t="n">
        <v>0</v>
      </c>
      <c r="Q1234" t="n">
        <v>2</v>
      </c>
      <c r="R1234" s="2" t="inlineStr">
        <is>
          <t>Gammelgransskål
Granticka</t>
        </is>
      </c>
      <c r="S1234">
        <f>HYPERLINK("https://klasma.github.io/Logging_2321/artfynd/A 22231-2022 artfynd.xlsx", "A 22231-2022")</f>
        <v/>
      </c>
      <c r="T1234">
        <f>HYPERLINK("https://klasma.github.io/Logging_2321/kartor/A 22231-2022 karta.png", "A 22231-2022")</f>
        <v/>
      </c>
      <c r="V1234">
        <f>HYPERLINK("https://klasma.github.io/Logging_2321/klagomål/A 22231-2022 FSC-klagomål.docx", "A 22231-2022")</f>
        <v/>
      </c>
      <c r="W1234">
        <f>HYPERLINK("https://klasma.github.io/Logging_2321/klagomålsmail/A 22231-2022 FSC-klagomål mail.docx", "A 22231-2022")</f>
        <v/>
      </c>
      <c r="X1234">
        <f>HYPERLINK("https://klasma.github.io/Logging_2321/tillsyn/A 22231-2022 tillsynsbegäran.docx", "A 22231-2022")</f>
        <v/>
      </c>
      <c r="Y1234">
        <f>HYPERLINK("https://klasma.github.io/Logging_2321/tillsynsmail/A 22231-2022 tillsynsbegäran mail.docx", "A 22231-2022")</f>
        <v/>
      </c>
    </row>
    <row r="1235" ht="15" customHeight="1">
      <c r="A1235" t="inlineStr">
        <is>
          <t>A 33009-2024</t>
        </is>
      </c>
      <c r="B1235" s="1" t="n">
        <v>45517.50332175926</v>
      </c>
      <c r="C1235" s="1" t="n">
        <v>46045</v>
      </c>
      <c r="D1235" t="inlineStr">
        <is>
          <t>JÄMTLANDS LÄN</t>
        </is>
      </c>
      <c r="E1235" t="inlineStr">
        <is>
          <t>BERG</t>
        </is>
      </c>
      <c r="G1235" t="n">
        <v>2.7</v>
      </c>
      <c r="H1235" t="n">
        <v>1</v>
      </c>
      <c r="I1235" t="n">
        <v>0</v>
      </c>
      <c r="J1235" t="n">
        <v>2</v>
      </c>
      <c r="K1235" t="n">
        <v>0</v>
      </c>
      <c r="L1235" t="n">
        <v>0</v>
      </c>
      <c r="M1235" t="n">
        <v>0</v>
      </c>
      <c r="N1235" t="n">
        <v>0</v>
      </c>
      <c r="O1235" t="n">
        <v>2</v>
      </c>
      <c r="P1235" t="n">
        <v>0</v>
      </c>
      <c r="Q1235" t="n">
        <v>2</v>
      </c>
      <c r="R1235" s="2" t="inlineStr">
        <is>
          <t>Garnlav
Talltita</t>
        </is>
      </c>
      <c r="S1235">
        <f>HYPERLINK("https://klasma.github.io/Logging_2326/artfynd/A 33009-2024 artfynd.xlsx", "A 33009-2024")</f>
        <v/>
      </c>
      <c r="T1235">
        <f>HYPERLINK("https://klasma.github.io/Logging_2326/kartor/A 33009-2024 karta.png", "A 33009-2024")</f>
        <v/>
      </c>
      <c r="V1235">
        <f>HYPERLINK("https://klasma.github.io/Logging_2326/klagomål/A 33009-2024 FSC-klagomål.docx", "A 33009-2024")</f>
        <v/>
      </c>
      <c r="W1235">
        <f>HYPERLINK("https://klasma.github.io/Logging_2326/klagomålsmail/A 33009-2024 FSC-klagomål mail.docx", "A 33009-2024")</f>
        <v/>
      </c>
      <c r="X1235">
        <f>HYPERLINK("https://klasma.github.io/Logging_2326/tillsyn/A 33009-2024 tillsynsbegäran.docx", "A 33009-2024")</f>
        <v/>
      </c>
      <c r="Y1235">
        <f>HYPERLINK("https://klasma.github.io/Logging_2326/tillsynsmail/A 33009-2024 tillsynsbegäran mail.docx", "A 33009-2024")</f>
        <v/>
      </c>
      <c r="Z1235">
        <f>HYPERLINK("https://klasma.github.io/Logging_2326/fåglar/A 33009-2024 prioriterade fågelarter.docx", "A 33009-2024")</f>
        <v/>
      </c>
    </row>
    <row r="1236" ht="15" customHeight="1">
      <c r="A1236" t="inlineStr">
        <is>
          <t>A 6903-2024</t>
        </is>
      </c>
      <c r="B1236" s="1" t="n">
        <v>45342</v>
      </c>
      <c r="C1236" s="1" t="n">
        <v>46045</v>
      </c>
      <c r="D1236" t="inlineStr">
        <is>
          <t>JÄMTLANDS LÄN</t>
        </is>
      </c>
      <c r="E1236" t="inlineStr">
        <is>
          <t>BRÄCKE</t>
        </is>
      </c>
      <c r="F1236" t="inlineStr">
        <is>
          <t>SCA</t>
        </is>
      </c>
      <c r="G1236" t="n">
        <v>5.9</v>
      </c>
      <c r="H1236" t="n">
        <v>1</v>
      </c>
      <c r="I1236" t="n">
        <v>0</v>
      </c>
      <c r="J1236" t="n">
        <v>1</v>
      </c>
      <c r="K1236" t="n">
        <v>1</v>
      </c>
      <c r="L1236" t="n">
        <v>0</v>
      </c>
      <c r="M1236" t="n">
        <v>0</v>
      </c>
      <c r="N1236" t="n">
        <v>0</v>
      </c>
      <c r="O1236" t="n">
        <v>2</v>
      </c>
      <c r="P1236" t="n">
        <v>1</v>
      </c>
      <c r="Q1236" t="n">
        <v>2</v>
      </c>
      <c r="R1236" s="2" t="inlineStr">
        <is>
          <t>Knärot
Lunglav</t>
        </is>
      </c>
      <c r="S1236">
        <f>HYPERLINK("https://klasma.github.io/Logging_2305/artfynd/A 6903-2024 artfynd.xlsx", "A 6903-2024")</f>
        <v/>
      </c>
      <c r="T1236">
        <f>HYPERLINK("https://klasma.github.io/Logging_2305/kartor/A 6903-2024 karta.png", "A 6903-2024")</f>
        <v/>
      </c>
      <c r="U1236">
        <f>HYPERLINK("https://klasma.github.io/Logging_2305/knärot/A 6903-2024 karta knärot.png", "A 6903-2024")</f>
        <v/>
      </c>
      <c r="V1236">
        <f>HYPERLINK("https://klasma.github.io/Logging_2305/klagomål/A 6903-2024 FSC-klagomål.docx", "A 6903-2024")</f>
        <v/>
      </c>
      <c r="W1236">
        <f>HYPERLINK("https://klasma.github.io/Logging_2305/klagomålsmail/A 6903-2024 FSC-klagomål mail.docx", "A 6903-2024")</f>
        <v/>
      </c>
      <c r="X1236">
        <f>HYPERLINK("https://klasma.github.io/Logging_2305/tillsyn/A 6903-2024 tillsynsbegäran.docx", "A 6903-2024")</f>
        <v/>
      </c>
      <c r="Y1236">
        <f>HYPERLINK("https://klasma.github.io/Logging_2305/tillsynsmail/A 6903-2024 tillsynsbegäran mail.docx", "A 6903-2024")</f>
        <v/>
      </c>
    </row>
    <row r="1237" ht="15" customHeight="1">
      <c r="A1237" t="inlineStr">
        <is>
          <t>A 6906-2024</t>
        </is>
      </c>
      <c r="B1237" s="1" t="n">
        <v>45342</v>
      </c>
      <c r="C1237" s="1" t="n">
        <v>46045</v>
      </c>
      <c r="D1237" t="inlineStr">
        <is>
          <t>JÄMTLANDS LÄN</t>
        </is>
      </c>
      <c r="E1237" t="inlineStr">
        <is>
          <t>BRÄCKE</t>
        </is>
      </c>
      <c r="F1237" t="inlineStr">
        <is>
          <t>SCA</t>
        </is>
      </c>
      <c r="G1237" t="n">
        <v>4.1</v>
      </c>
      <c r="H1237" t="n">
        <v>1</v>
      </c>
      <c r="I1237" t="n">
        <v>0</v>
      </c>
      <c r="J1237" t="n">
        <v>1</v>
      </c>
      <c r="K1237" t="n">
        <v>1</v>
      </c>
      <c r="L1237" t="n">
        <v>0</v>
      </c>
      <c r="M1237" t="n">
        <v>0</v>
      </c>
      <c r="N1237" t="n">
        <v>0</v>
      </c>
      <c r="O1237" t="n">
        <v>2</v>
      </c>
      <c r="P1237" t="n">
        <v>1</v>
      </c>
      <c r="Q1237" t="n">
        <v>2</v>
      </c>
      <c r="R1237" s="2" t="inlineStr">
        <is>
          <t>Knärot
Lunglav</t>
        </is>
      </c>
      <c r="S1237">
        <f>HYPERLINK("https://klasma.github.io/Logging_2305/artfynd/A 6906-2024 artfynd.xlsx", "A 6906-2024")</f>
        <v/>
      </c>
      <c r="T1237">
        <f>HYPERLINK("https://klasma.github.io/Logging_2305/kartor/A 6906-2024 karta.png", "A 6906-2024")</f>
        <v/>
      </c>
      <c r="U1237">
        <f>HYPERLINK("https://klasma.github.io/Logging_2305/knärot/A 6906-2024 karta knärot.png", "A 6906-2024")</f>
        <v/>
      </c>
      <c r="V1237">
        <f>HYPERLINK("https://klasma.github.io/Logging_2305/klagomål/A 6906-2024 FSC-klagomål.docx", "A 6906-2024")</f>
        <v/>
      </c>
      <c r="W1237">
        <f>HYPERLINK("https://klasma.github.io/Logging_2305/klagomålsmail/A 6906-2024 FSC-klagomål mail.docx", "A 6906-2024")</f>
        <v/>
      </c>
      <c r="X1237">
        <f>HYPERLINK("https://klasma.github.io/Logging_2305/tillsyn/A 6906-2024 tillsynsbegäran.docx", "A 6906-2024")</f>
        <v/>
      </c>
      <c r="Y1237">
        <f>HYPERLINK("https://klasma.github.io/Logging_2305/tillsynsmail/A 6906-2024 tillsynsbegäran mail.docx", "A 6906-2024")</f>
        <v/>
      </c>
    </row>
    <row r="1238" ht="15" customHeight="1">
      <c r="A1238" t="inlineStr">
        <is>
          <t>A 29672-2024</t>
        </is>
      </c>
      <c r="B1238" s="1" t="n">
        <v>45484.94189814815</v>
      </c>
      <c r="C1238" s="1" t="n">
        <v>46045</v>
      </c>
      <c r="D1238" t="inlineStr">
        <is>
          <t>JÄMTLANDS LÄN</t>
        </is>
      </c>
      <c r="E1238" t="inlineStr">
        <is>
          <t>BRÄCKE</t>
        </is>
      </c>
      <c r="F1238" t="inlineStr">
        <is>
          <t>SCA</t>
        </is>
      </c>
      <c r="G1238" t="n">
        <v>1.2</v>
      </c>
      <c r="H1238" t="n">
        <v>0</v>
      </c>
      <c r="I1238" t="n">
        <v>0</v>
      </c>
      <c r="J1238" t="n">
        <v>2</v>
      </c>
      <c r="K1238" t="n">
        <v>0</v>
      </c>
      <c r="L1238" t="n">
        <v>0</v>
      </c>
      <c r="M1238" t="n">
        <v>0</v>
      </c>
      <c r="N1238" t="n">
        <v>0</v>
      </c>
      <c r="O1238" t="n">
        <v>2</v>
      </c>
      <c r="P1238" t="n">
        <v>0</v>
      </c>
      <c r="Q1238" t="n">
        <v>2</v>
      </c>
      <c r="R1238" s="2" t="inlineStr">
        <is>
          <t>Vedflikmossa
Vedtrappmossa</t>
        </is>
      </c>
      <c r="S1238">
        <f>HYPERLINK("https://klasma.github.io/Logging_2305/artfynd/A 29672-2024 artfynd.xlsx", "A 29672-2024")</f>
        <v/>
      </c>
      <c r="T1238">
        <f>HYPERLINK("https://klasma.github.io/Logging_2305/kartor/A 29672-2024 karta.png", "A 29672-2024")</f>
        <v/>
      </c>
      <c r="V1238">
        <f>HYPERLINK("https://klasma.github.io/Logging_2305/klagomål/A 29672-2024 FSC-klagomål.docx", "A 29672-2024")</f>
        <v/>
      </c>
      <c r="W1238">
        <f>HYPERLINK("https://klasma.github.io/Logging_2305/klagomålsmail/A 29672-2024 FSC-klagomål mail.docx", "A 29672-2024")</f>
        <v/>
      </c>
      <c r="X1238">
        <f>HYPERLINK("https://klasma.github.io/Logging_2305/tillsyn/A 29672-2024 tillsynsbegäran.docx", "A 29672-2024")</f>
        <v/>
      </c>
      <c r="Y1238">
        <f>HYPERLINK("https://klasma.github.io/Logging_2305/tillsynsmail/A 29672-2024 tillsynsbegäran mail.docx", "A 29672-2024")</f>
        <v/>
      </c>
    </row>
    <row r="1239" ht="15" customHeight="1">
      <c r="A1239" t="inlineStr">
        <is>
          <t>A 48084-2022</t>
        </is>
      </c>
      <c r="B1239" s="1" t="n">
        <v>44855</v>
      </c>
      <c r="C1239" s="1" t="n">
        <v>46045</v>
      </c>
      <c r="D1239" t="inlineStr">
        <is>
          <t>JÄMTLANDS LÄN</t>
        </is>
      </c>
      <c r="E1239" t="inlineStr">
        <is>
          <t>RAGUNDA</t>
        </is>
      </c>
      <c r="F1239" t="inlineStr">
        <is>
          <t>SCA</t>
        </is>
      </c>
      <c r="G1239" t="n">
        <v>4.7</v>
      </c>
      <c r="H1239" t="n">
        <v>1</v>
      </c>
      <c r="I1239" t="n">
        <v>0</v>
      </c>
      <c r="J1239" t="n">
        <v>2</v>
      </c>
      <c r="K1239" t="n">
        <v>0</v>
      </c>
      <c r="L1239" t="n">
        <v>0</v>
      </c>
      <c r="M1239" t="n">
        <v>0</v>
      </c>
      <c r="N1239" t="n">
        <v>0</v>
      </c>
      <c r="O1239" t="n">
        <v>2</v>
      </c>
      <c r="P1239" t="n">
        <v>0</v>
      </c>
      <c r="Q1239" t="n">
        <v>2</v>
      </c>
      <c r="R1239" s="2" t="inlineStr">
        <is>
          <t>Rosenticka
Tretåig hackspett</t>
        </is>
      </c>
      <c r="S1239">
        <f>HYPERLINK("https://klasma.github.io/Logging_2303/artfynd/A 48084-2022 artfynd.xlsx", "A 48084-2022")</f>
        <v/>
      </c>
      <c r="T1239">
        <f>HYPERLINK("https://klasma.github.io/Logging_2303/kartor/A 48084-2022 karta.png", "A 48084-2022")</f>
        <v/>
      </c>
      <c r="V1239">
        <f>HYPERLINK("https://klasma.github.io/Logging_2303/klagomål/A 48084-2022 FSC-klagomål.docx", "A 48084-2022")</f>
        <v/>
      </c>
      <c r="W1239">
        <f>HYPERLINK("https://klasma.github.io/Logging_2303/klagomålsmail/A 48084-2022 FSC-klagomål mail.docx", "A 48084-2022")</f>
        <v/>
      </c>
      <c r="X1239">
        <f>HYPERLINK("https://klasma.github.io/Logging_2303/tillsyn/A 48084-2022 tillsynsbegäran.docx", "A 48084-2022")</f>
        <v/>
      </c>
      <c r="Y1239">
        <f>HYPERLINK("https://klasma.github.io/Logging_2303/tillsynsmail/A 48084-2022 tillsynsbegäran mail.docx", "A 48084-2022")</f>
        <v/>
      </c>
      <c r="Z1239">
        <f>HYPERLINK("https://klasma.github.io/Logging_2303/fåglar/A 48084-2022 prioriterade fågelarter.docx", "A 48084-2022")</f>
        <v/>
      </c>
    </row>
    <row r="1240" ht="15" customHeight="1">
      <c r="A1240" t="inlineStr">
        <is>
          <t>A 39968-2024</t>
        </is>
      </c>
      <c r="B1240" s="1" t="n">
        <v>45553.59296296296</v>
      </c>
      <c r="C1240" s="1" t="n">
        <v>46045</v>
      </c>
      <c r="D1240" t="inlineStr">
        <is>
          <t>JÄMTLANDS LÄN</t>
        </is>
      </c>
      <c r="E1240" t="inlineStr">
        <is>
          <t>ÖSTERSUND</t>
        </is>
      </c>
      <c r="G1240" t="n">
        <v>1.8</v>
      </c>
      <c r="H1240" t="n">
        <v>2</v>
      </c>
      <c r="I1240" t="n">
        <v>1</v>
      </c>
      <c r="J1240" t="n">
        <v>0</v>
      </c>
      <c r="K1240" t="n">
        <v>1</v>
      </c>
      <c r="L1240" t="n">
        <v>0</v>
      </c>
      <c r="M1240" t="n">
        <v>0</v>
      </c>
      <c r="N1240" t="n">
        <v>0</v>
      </c>
      <c r="O1240" t="n">
        <v>1</v>
      </c>
      <c r="P1240" t="n">
        <v>1</v>
      </c>
      <c r="Q1240" t="n">
        <v>2</v>
      </c>
      <c r="R1240" s="2" t="inlineStr">
        <is>
          <t>Knärot
Spindelblomster</t>
        </is>
      </c>
      <c r="S1240">
        <f>HYPERLINK("https://klasma.github.io/Logging_2380/artfynd/A 39968-2024 artfynd.xlsx", "A 39968-2024")</f>
        <v/>
      </c>
      <c r="T1240">
        <f>HYPERLINK("https://klasma.github.io/Logging_2380/kartor/A 39968-2024 karta.png", "A 39968-2024")</f>
        <v/>
      </c>
      <c r="U1240">
        <f>HYPERLINK("https://klasma.github.io/Logging_2380/knärot/A 39968-2024 karta knärot.png", "A 39968-2024")</f>
        <v/>
      </c>
      <c r="V1240">
        <f>HYPERLINK("https://klasma.github.io/Logging_2380/klagomål/A 39968-2024 FSC-klagomål.docx", "A 39968-2024")</f>
        <v/>
      </c>
      <c r="W1240">
        <f>HYPERLINK("https://klasma.github.io/Logging_2380/klagomålsmail/A 39968-2024 FSC-klagomål mail.docx", "A 39968-2024")</f>
        <v/>
      </c>
      <c r="X1240">
        <f>HYPERLINK("https://klasma.github.io/Logging_2380/tillsyn/A 39968-2024 tillsynsbegäran.docx", "A 39968-2024")</f>
        <v/>
      </c>
      <c r="Y1240">
        <f>HYPERLINK("https://klasma.github.io/Logging_2380/tillsynsmail/A 39968-2024 tillsynsbegäran mail.docx", "A 39968-2024")</f>
        <v/>
      </c>
    </row>
    <row r="1241" ht="15" customHeight="1">
      <c r="A1241" t="inlineStr">
        <is>
          <t>A 52021-2023</t>
        </is>
      </c>
      <c r="B1241" s="1" t="n">
        <v>45223</v>
      </c>
      <c r="C1241" s="1" t="n">
        <v>46045</v>
      </c>
      <c r="D1241" t="inlineStr">
        <is>
          <t>JÄMTLANDS LÄN</t>
        </is>
      </c>
      <c r="E1241" t="inlineStr">
        <is>
          <t>KROKOM</t>
        </is>
      </c>
      <c r="F1241" t="inlineStr">
        <is>
          <t>Övriga Aktiebolag</t>
        </is>
      </c>
      <c r="G1241" t="n">
        <v>1.5</v>
      </c>
      <c r="H1241" t="n">
        <v>1</v>
      </c>
      <c r="I1241" t="n">
        <v>0</v>
      </c>
      <c r="J1241" t="n">
        <v>2</v>
      </c>
      <c r="K1241" t="n">
        <v>0</v>
      </c>
      <c r="L1241" t="n">
        <v>0</v>
      </c>
      <c r="M1241" t="n">
        <v>0</v>
      </c>
      <c r="N1241" t="n">
        <v>0</v>
      </c>
      <c r="O1241" t="n">
        <v>2</v>
      </c>
      <c r="P1241" t="n">
        <v>0</v>
      </c>
      <c r="Q1241" t="n">
        <v>2</v>
      </c>
      <c r="R1241" s="2" t="inlineStr">
        <is>
          <t>Granticka
Tretåig hackspett</t>
        </is>
      </c>
      <c r="S1241">
        <f>HYPERLINK("https://klasma.github.io/Logging_2309/artfynd/A 52021-2023 artfynd.xlsx", "A 52021-2023")</f>
        <v/>
      </c>
      <c r="T1241">
        <f>HYPERLINK("https://klasma.github.io/Logging_2309/kartor/A 52021-2023 karta.png", "A 52021-2023")</f>
        <v/>
      </c>
      <c r="V1241">
        <f>HYPERLINK("https://klasma.github.io/Logging_2309/klagomål/A 52021-2023 FSC-klagomål.docx", "A 52021-2023")</f>
        <v/>
      </c>
      <c r="W1241">
        <f>HYPERLINK("https://klasma.github.io/Logging_2309/klagomålsmail/A 52021-2023 FSC-klagomål mail.docx", "A 52021-2023")</f>
        <v/>
      </c>
      <c r="X1241">
        <f>HYPERLINK("https://klasma.github.io/Logging_2309/tillsyn/A 52021-2023 tillsynsbegäran.docx", "A 52021-2023")</f>
        <v/>
      </c>
      <c r="Y1241">
        <f>HYPERLINK("https://klasma.github.io/Logging_2309/tillsynsmail/A 52021-2023 tillsynsbegäran mail.docx", "A 52021-2023")</f>
        <v/>
      </c>
      <c r="Z1241">
        <f>HYPERLINK("https://klasma.github.io/Logging_2309/fåglar/A 52021-2023 prioriterade fågelarter.docx", "A 52021-2023")</f>
        <v/>
      </c>
    </row>
    <row r="1242" ht="15" customHeight="1">
      <c r="A1242" t="inlineStr">
        <is>
          <t>A 54055-2023</t>
        </is>
      </c>
      <c r="B1242" s="1" t="n">
        <v>45231</v>
      </c>
      <c r="C1242" s="1" t="n">
        <v>46045</v>
      </c>
      <c r="D1242" t="inlineStr">
        <is>
          <t>JÄMTLANDS LÄN</t>
        </is>
      </c>
      <c r="E1242" t="inlineStr">
        <is>
          <t>ÅRE</t>
        </is>
      </c>
      <c r="F1242" t="inlineStr">
        <is>
          <t>Övriga Aktiebolag</t>
        </is>
      </c>
      <c r="G1242" t="n">
        <v>14.1</v>
      </c>
      <c r="H1242" t="n">
        <v>1</v>
      </c>
      <c r="I1242" t="n">
        <v>0</v>
      </c>
      <c r="J1242" t="n">
        <v>2</v>
      </c>
      <c r="K1242" t="n">
        <v>0</v>
      </c>
      <c r="L1242" t="n">
        <v>0</v>
      </c>
      <c r="M1242" t="n">
        <v>0</v>
      </c>
      <c r="N1242" t="n">
        <v>0</v>
      </c>
      <c r="O1242" t="n">
        <v>2</v>
      </c>
      <c r="P1242" t="n">
        <v>0</v>
      </c>
      <c r="Q1242" t="n">
        <v>2</v>
      </c>
      <c r="R1242" s="2" t="inlineStr">
        <is>
          <t>Tretåig hackspett
Ullticka</t>
        </is>
      </c>
      <c r="S1242">
        <f>HYPERLINK("https://klasma.github.io/Logging_2321/artfynd/A 54055-2023 artfynd.xlsx", "A 54055-2023")</f>
        <v/>
      </c>
      <c r="T1242">
        <f>HYPERLINK("https://klasma.github.io/Logging_2321/kartor/A 54055-2023 karta.png", "A 54055-2023")</f>
        <v/>
      </c>
      <c r="V1242">
        <f>HYPERLINK("https://klasma.github.io/Logging_2321/klagomål/A 54055-2023 FSC-klagomål.docx", "A 54055-2023")</f>
        <v/>
      </c>
      <c r="W1242">
        <f>HYPERLINK("https://klasma.github.io/Logging_2321/klagomålsmail/A 54055-2023 FSC-klagomål mail.docx", "A 54055-2023")</f>
        <v/>
      </c>
      <c r="X1242">
        <f>HYPERLINK("https://klasma.github.io/Logging_2321/tillsyn/A 54055-2023 tillsynsbegäran.docx", "A 54055-2023")</f>
        <v/>
      </c>
      <c r="Y1242">
        <f>HYPERLINK("https://klasma.github.io/Logging_2321/tillsynsmail/A 54055-2023 tillsynsbegäran mail.docx", "A 54055-2023")</f>
        <v/>
      </c>
      <c r="Z1242">
        <f>HYPERLINK("https://klasma.github.io/Logging_2321/fåglar/A 54055-2023 prioriterade fågelarter.docx", "A 54055-2023")</f>
        <v/>
      </c>
    </row>
    <row r="1243" ht="15" customHeight="1">
      <c r="A1243" t="inlineStr">
        <is>
          <t>A 45073-2025</t>
        </is>
      </c>
      <c r="B1243" s="1" t="n">
        <v>45919.36067129629</v>
      </c>
      <c r="C1243" s="1" t="n">
        <v>46045</v>
      </c>
      <c r="D1243" t="inlineStr">
        <is>
          <t>JÄMTLANDS LÄN</t>
        </is>
      </c>
      <c r="E1243" t="inlineStr">
        <is>
          <t>STRÖMSUND</t>
        </is>
      </c>
      <c r="F1243" t="inlineStr">
        <is>
          <t>Holmen skog AB</t>
        </is>
      </c>
      <c r="G1243" t="n">
        <v>12.7</v>
      </c>
      <c r="H1243" t="n">
        <v>0</v>
      </c>
      <c r="I1243" t="n">
        <v>1</v>
      </c>
      <c r="J1243" t="n">
        <v>1</v>
      </c>
      <c r="K1243" t="n">
        <v>0</v>
      </c>
      <c r="L1243" t="n">
        <v>0</v>
      </c>
      <c r="M1243" t="n">
        <v>0</v>
      </c>
      <c r="N1243" t="n">
        <v>0</v>
      </c>
      <c r="O1243" t="n">
        <v>1</v>
      </c>
      <c r="P1243" t="n">
        <v>0</v>
      </c>
      <c r="Q1243" t="n">
        <v>2</v>
      </c>
      <c r="R1243" s="2" t="inlineStr">
        <is>
          <t>Lunglav
Bårdlav</t>
        </is>
      </c>
      <c r="S1243">
        <f>HYPERLINK("https://klasma.github.io/Logging_2313/artfynd/A 45073-2025 artfynd.xlsx", "A 45073-2025")</f>
        <v/>
      </c>
      <c r="T1243">
        <f>HYPERLINK("https://klasma.github.io/Logging_2313/kartor/A 45073-2025 karta.png", "A 45073-2025")</f>
        <v/>
      </c>
      <c r="V1243">
        <f>HYPERLINK("https://klasma.github.io/Logging_2313/klagomål/A 45073-2025 FSC-klagomål.docx", "A 45073-2025")</f>
        <v/>
      </c>
      <c r="W1243">
        <f>HYPERLINK("https://klasma.github.io/Logging_2313/klagomålsmail/A 45073-2025 FSC-klagomål mail.docx", "A 45073-2025")</f>
        <v/>
      </c>
      <c r="X1243">
        <f>HYPERLINK("https://klasma.github.io/Logging_2313/tillsyn/A 45073-2025 tillsynsbegäran.docx", "A 45073-2025")</f>
        <v/>
      </c>
      <c r="Y1243">
        <f>HYPERLINK("https://klasma.github.io/Logging_2313/tillsynsmail/A 45073-2025 tillsynsbegäran mail.docx", "A 45073-2025")</f>
        <v/>
      </c>
    </row>
    <row r="1244" ht="15" customHeight="1">
      <c r="A1244" t="inlineStr">
        <is>
          <t>A 27919-2024</t>
        </is>
      </c>
      <c r="B1244" s="1" t="n">
        <v>45475.94865740741</v>
      </c>
      <c r="C1244" s="1" t="n">
        <v>46045</v>
      </c>
      <c r="D1244" t="inlineStr">
        <is>
          <t>JÄMTLANDS LÄN</t>
        </is>
      </c>
      <c r="E1244" t="inlineStr">
        <is>
          <t>BERG</t>
        </is>
      </c>
      <c r="F1244" t="inlineStr">
        <is>
          <t>SCA</t>
        </is>
      </c>
      <c r="G1244" t="n">
        <v>17.2</v>
      </c>
      <c r="H1244" t="n">
        <v>0</v>
      </c>
      <c r="I1244" t="n">
        <v>1</v>
      </c>
      <c r="J1244" t="n">
        <v>1</v>
      </c>
      <c r="K1244" t="n">
        <v>0</v>
      </c>
      <c r="L1244" t="n">
        <v>0</v>
      </c>
      <c r="M1244" t="n">
        <v>0</v>
      </c>
      <c r="N1244" t="n">
        <v>0</v>
      </c>
      <c r="O1244" t="n">
        <v>1</v>
      </c>
      <c r="P1244" t="n">
        <v>0</v>
      </c>
      <c r="Q1244" t="n">
        <v>2</v>
      </c>
      <c r="R1244" s="2" t="inlineStr">
        <is>
          <t>Reliktbock
Dropptaggsvamp</t>
        </is>
      </c>
      <c r="S1244">
        <f>HYPERLINK("https://klasma.github.io/Logging_2326/artfynd/A 27919-2024 artfynd.xlsx", "A 27919-2024")</f>
        <v/>
      </c>
      <c r="T1244">
        <f>HYPERLINK("https://klasma.github.io/Logging_2326/kartor/A 27919-2024 karta.png", "A 27919-2024")</f>
        <v/>
      </c>
      <c r="V1244">
        <f>HYPERLINK("https://klasma.github.io/Logging_2326/klagomål/A 27919-2024 FSC-klagomål.docx", "A 27919-2024")</f>
        <v/>
      </c>
      <c r="W1244">
        <f>HYPERLINK("https://klasma.github.io/Logging_2326/klagomålsmail/A 27919-2024 FSC-klagomål mail.docx", "A 27919-2024")</f>
        <v/>
      </c>
      <c r="X1244">
        <f>HYPERLINK("https://klasma.github.io/Logging_2326/tillsyn/A 27919-2024 tillsynsbegäran.docx", "A 27919-2024")</f>
        <v/>
      </c>
      <c r="Y1244">
        <f>HYPERLINK("https://klasma.github.io/Logging_2326/tillsynsmail/A 27919-2024 tillsynsbegäran mail.docx", "A 27919-2024")</f>
        <v/>
      </c>
    </row>
    <row r="1245" ht="15" customHeight="1">
      <c r="A1245" t="inlineStr">
        <is>
          <t>A 45237-2025</t>
        </is>
      </c>
      <c r="B1245" s="1" t="n">
        <v>45919.59467592592</v>
      </c>
      <c r="C1245" s="1" t="n">
        <v>46045</v>
      </c>
      <c r="D1245" t="inlineStr">
        <is>
          <t>JÄMTLANDS LÄN</t>
        </is>
      </c>
      <c r="E1245" t="inlineStr">
        <is>
          <t>ÖSTERSUND</t>
        </is>
      </c>
      <c r="F1245" t="inlineStr">
        <is>
          <t>SCA</t>
        </is>
      </c>
      <c r="G1245" t="n">
        <v>1.5</v>
      </c>
      <c r="H1245" t="n">
        <v>0</v>
      </c>
      <c r="I1245" t="n">
        <v>0</v>
      </c>
      <c r="J1245" t="n">
        <v>2</v>
      </c>
      <c r="K1245" t="n">
        <v>0</v>
      </c>
      <c r="L1245" t="n">
        <v>0</v>
      </c>
      <c r="M1245" t="n">
        <v>0</v>
      </c>
      <c r="N1245" t="n">
        <v>0</v>
      </c>
      <c r="O1245" t="n">
        <v>2</v>
      </c>
      <c r="P1245" t="n">
        <v>0</v>
      </c>
      <c r="Q1245" t="n">
        <v>2</v>
      </c>
      <c r="R1245" s="2" t="inlineStr">
        <is>
          <t>Dvärgbägarlav
Mörk kolflarnlav</t>
        </is>
      </c>
      <c r="S1245">
        <f>HYPERLINK("https://klasma.github.io/Logging_2380/artfynd/A 45237-2025 artfynd.xlsx", "A 45237-2025")</f>
        <v/>
      </c>
      <c r="T1245">
        <f>HYPERLINK("https://klasma.github.io/Logging_2380/kartor/A 45237-2025 karta.png", "A 45237-2025")</f>
        <v/>
      </c>
      <c r="V1245">
        <f>HYPERLINK("https://klasma.github.io/Logging_2380/klagomål/A 45237-2025 FSC-klagomål.docx", "A 45237-2025")</f>
        <v/>
      </c>
      <c r="W1245">
        <f>HYPERLINK("https://klasma.github.io/Logging_2380/klagomålsmail/A 45237-2025 FSC-klagomål mail.docx", "A 45237-2025")</f>
        <v/>
      </c>
      <c r="X1245">
        <f>HYPERLINK("https://klasma.github.io/Logging_2380/tillsyn/A 45237-2025 tillsynsbegäran.docx", "A 45237-2025")</f>
        <v/>
      </c>
      <c r="Y1245">
        <f>HYPERLINK("https://klasma.github.io/Logging_2380/tillsynsmail/A 45237-2025 tillsynsbegäran mail.docx", "A 45237-2025")</f>
        <v/>
      </c>
    </row>
    <row r="1246" ht="15" customHeight="1">
      <c r="A1246" t="inlineStr">
        <is>
          <t>A 35216-2025</t>
        </is>
      </c>
      <c r="B1246" s="1" t="n">
        <v>45853.49005787037</v>
      </c>
      <c r="C1246" s="1" t="n">
        <v>46045</v>
      </c>
      <c r="D1246" t="inlineStr">
        <is>
          <t>JÄMTLANDS LÄN</t>
        </is>
      </c>
      <c r="E1246" t="inlineStr">
        <is>
          <t>BRÄCKE</t>
        </is>
      </c>
      <c r="F1246" t="inlineStr">
        <is>
          <t>SCA</t>
        </is>
      </c>
      <c r="G1246" t="n">
        <v>1.5</v>
      </c>
      <c r="H1246" t="n">
        <v>2</v>
      </c>
      <c r="I1246" t="n">
        <v>0</v>
      </c>
      <c r="J1246" t="n">
        <v>1</v>
      </c>
      <c r="K1246" t="n">
        <v>1</v>
      </c>
      <c r="L1246" t="n">
        <v>0</v>
      </c>
      <c r="M1246" t="n">
        <v>0</v>
      </c>
      <c r="N1246" t="n">
        <v>0</v>
      </c>
      <c r="O1246" t="n">
        <v>2</v>
      </c>
      <c r="P1246" t="n">
        <v>1</v>
      </c>
      <c r="Q1246" t="n">
        <v>2</v>
      </c>
      <c r="R1246" s="2" t="inlineStr">
        <is>
          <t>Knärot
Talltita</t>
        </is>
      </c>
      <c r="S1246">
        <f>HYPERLINK("https://klasma.github.io/Logging_2305/artfynd/A 35216-2025 artfynd.xlsx", "A 35216-2025")</f>
        <v/>
      </c>
      <c r="T1246">
        <f>HYPERLINK("https://klasma.github.io/Logging_2305/kartor/A 35216-2025 karta.png", "A 35216-2025")</f>
        <v/>
      </c>
      <c r="U1246">
        <f>HYPERLINK("https://klasma.github.io/Logging_2305/knärot/A 35216-2025 karta knärot.png", "A 35216-2025")</f>
        <v/>
      </c>
      <c r="V1246">
        <f>HYPERLINK("https://klasma.github.io/Logging_2305/klagomål/A 35216-2025 FSC-klagomål.docx", "A 35216-2025")</f>
        <v/>
      </c>
      <c r="W1246">
        <f>HYPERLINK("https://klasma.github.io/Logging_2305/klagomålsmail/A 35216-2025 FSC-klagomål mail.docx", "A 35216-2025")</f>
        <v/>
      </c>
      <c r="X1246">
        <f>HYPERLINK("https://klasma.github.io/Logging_2305/tillsyn/A 35216-2025 tillsynsbegäran.docx", "A 35216-2025")</f>
        <v/>
      </c>
      <c r="Y1246">
        <f>HYPERLINK("https://klasma.github.io/Logging_2305/tillsynsmail/A 35216-2025 tillsynsbegäran mail.docx", "A 35216-2025")</f>
        <v/>
      </c>
      <c r="Z1246">
        <f>HYPERLINK("https://klasma.github.io/Logging_2305/fåglar/A 35216-2025 prioriterade fågelarter.docx", "A 35216-2025")</f>
        <v/>
      </c>
    </row>
    <row r="1247" ht="15" customHeight="1">
      <c r="A1247" t="inlineStr">
        <is>
          <t>A 45613-2025</t>
        </is>
      </c>
      <c r="B1247" s="1" t="n">
        <v>45922.71922453704</v>
      </c>
      <c r="C1247" s="1" t="n">
        <v>46045</v>
      </c>
      <c r="D1247" t="inlineStr">
        <is>
          <t>JÄMTLANDS LÄN</t>
        </is>
      </c>
      <c r="E1247" t="inlineStr">
        <is>
          <t>STRÖMSUND</t>
        </is>
      </c>
      <c r="F1247" t="inlineStr">
        <is>
          <t>SCA</t>
        </is>
      </c>
      <c r="G1247" t="n">
        <v>3</v>
      </c>
      <c r="H1247" t="n">
        <v>0</v>
      </c>
      <c r="I1247" t="n">
        <v>0</v>
      </c>
      <c r="J1247" t="n">
        <v>2</v>
      </c>
      <c r="K1247" t="n">
        <v>0</v>
      </c>
      <c r="L1247" t="n">
        <v>0</v>
      </c>
      <c r="M1247" t="n">
        <v>0</v>
      </c>
      <c r="N1247" t="n">
        <v>0</v>
      </c>
      <c r="O1247" t="n">
        <v>2</v>
      </c>
      <c r="P1247" t="n">
        <v>0</v>
      </c>
      <c r="Q1247" t="n">
        <v>2</v>
      </c>
      <c r="R1247" s="2" t="inlineStr">
        <is>
          <t>Gammelgransskål
Ullticka</t>
        </is>
      </c>
      <c r="S1247">
        <f>HYPERLINK("https://klasma.github.io/Logging_2313/artfynd/A 45613-2025 artfynd.xlsx", "A 45613-2025")</f>
        <v/>
      </c>
      <c r="T1247">
        <f>HYPERLINK("https://klasma.github.io/Logging_2313/kartor/A 45613-2025 karta.png", "A 45613-2025")</f>
        <v/>
      </c>
      <c r="V1247">
        <f>HYPERLINK("https://klasma.github.io/Logging_2313/klagomål/A 45613-2025 FSC-klagomål.docx", "A 45613-2025")</f>
        <v/>
      </c>
      <c r="W1247">
        <f>HYPERLINK("https://klasma.github.io/Logging_2313/klagomålsmail/A 45613-2025 FSC-klagomål mail.docx", "A 45613-2025")</f>
        <v/>
      </c>
      <c r="X1247">
        <f>HYPERLINK("https://klasma.github.io/Logging_2313/tillsyn/A 45613-2025 tillsynsbegäran.docx", "A 45613-2025")</f>
        <v/>
      </c>
      <c r="Y1247">
        <f>HYPERLINK("https://klasma.github.io/Logging_2313/tillsynsmail/A 45613-2025 tillsynsbegäran mail.docx", "A 45613-2025")</f>
        <v/>
      </c>
    </row>
    <row r="1248" ht="15" customHeight="1">
      <c r="A1248" t="inlineStr">
        <is>
          <t>A 45795-2025</t>
        </is>
      </c>
      <c r="B1248" s="1" t="n">
        <v>45923.57403935185</v>
      </c>
      <c r="C1248" s="1" t="n">
        <v>46045</v>
      </c>
      <c r="D1248" t="inlineStr">
        <is>
          <t>JÄMTLANDS LÄN</t>
        </is>
      </c>
      <c r="E1248" t="inlineStr">
        <is>
          <t>BRÄCKE</t>
        </is>
      </c>
      <c r="F1248" t="inlineStr">
        <is>
          <t>SCA</t>
        </is>
      </c>
      <c r="G1248" t="n">
        <v>10.9</v>
      </c>
      <c r="H1248" t="n">
        <v>0</v>
      </c>
      <c r="I1248" t="n">
        <v>1</v>
      </c>
      <c r="J1248" t="n">
        <v>1</v>
      </c>
      <c r="K1248" t="n">
        <v>0</v>
      </c>
      <c r="L1248" t="n">
        <v>0</v>
      </c>
      <c r="M1248" t="n">
        <v>0</v>
      </c>
      <c r="N1248" t="n">
        <v>0</v>
      </c>
      <c r="O1248" t="n">
        <v>1</v>
      </c>
      <c r="P1248" t="n">
        <v>0</v>
      </c>
      <c r="Q1248" t="n">
        <v>2</v>
      </c>
      <c r="R1248" s="2" t="inlineStr">
        <is>
          <t>Lunglav
Skinnlav</t>
        </is>
      </c>
      <c r="S1248">
        <f>HYPERLINK("https://klasma.github.io/Logging_2305/artfynd/A 45795-2025 artfynd.xlsx", "A 45795-2025")</f>
        <v/>
      </c>
      <c r="T1248">
        <f>HYPERLINK("https://klasma.github.io/Logging_2305/kartor/A 45795-2025 karta.png", "A 45795-2025")</f>
        <v/>
      </c>
      <c r="V1248">
        <f>HYPERLINK("https://klasma.github.io/Logging_2305/klagomål/A 45795-2025 FSC-klagomål.docx", "A 45795-2025")</f>
        <v/>
      </c>
      <c r="W1248">
        <f>HYPERLINK("https://klasma.github.io/Logging_2305/klagomålsmail/A 45795-2025 FSC-klagomål mail.docx", "A 45795-2025")</f>
        <v/>
      </c>
      <c r="X1248">
        <f>HYPERLINK("https://klasma.github.io/Logging_2305/tillsyn/A 45795-2025 tillsynsbegäran.docx", "A 45795-2025")</f>
        <v/>
      </c>
      <c r="Y1248">
        <f>HYPERLINK("https://klasma.github.io/Logging_2305/tillsynsmail/A 45795-2025 tillsynsbegäran mail.docx", "A 45795-2025")</f>
        <v/>
      </c>
    </row>
    <row r="1249" ht="15" customHeight="1">
      <c r="A1249" t="inlineStr">
        <is>
          <t>A 40818-2024</t>
        </is>
      </c>
      <c r="B1249" s="1" t="n">
        <v>45558.55251157407</v>
      </c>
      <c r="C1249" s="1" t="n">
        <v>46045</v>
      </c>
      <c r="D1249" t="inlineStr">
        <is>
          <t>JÄMTLANDS LÄN</t>
        </is>
      </c>
      <c r="E1249" t="inlineStr">
        <is>
          <t>BRÄCKE</t>
        </is>
      </c>
      <c r="G1249" t="n">
        <v>2.7</v>
      </c>
      <c r="H1249" t="n">
        <v>0</v>
      </c>
      <c r="I1249" t="n">
        <v>0</v>
      </c>
      <c r="J1249" t="n">
        <v>2</v>
      </c>
      <c r="K1249" t="n">
        <v>0</v>
      </c>
      <c r="L1249" t="n">
        <v>0</v>
      </c>
      <c r="M1249" t="n">
        <v>0</v>
      </c>
      <c r="N1249" t="n">
        <v>0</v>
      </c>
      <c r="O1249" t="n">
        <v>2</v>
      </c>
      <c r="P1249" t="n">
        <v>0</v>
      </c>
      <c r="Q1249" t="n">
        <v>2</v>
      </c>
      <c r="R1249" s="2" t="inlineStr">
        <is>
          <t>Skrovlig taggsvamp
Svart taggsvamp</t>
        </is>
      </c>
      <c r="S1249">
        <f>HYPERLINK("https://klasma.github.io/Logging_2305/artfynd/A 40818-2024 artfynd.xlsx", "A 40818-2024")</f>
        <v/>
      </c>
      <c r="T1249">
        <f>HYPERLINK("https://klasma.github.io/Logging_2305/kartor/A 40818-2024 karta.png", "A 40818-2024")</f>
        <v/>
      </c>
      <c r="V1249">
        <f>HYPERLINK("https://klasma.github.io/Logging_2305/klagomål/A 40818-2024 FSC-klagomål.docx", "A 40818-2024")</f>
        <v/>
      </c>
      <c r="W1249">
        <f>HYPERLINK("https://klasma.github.io/Logging_2305/klagomålsmail/A 40818-2024 FSC-klagomål mail.docx", "A 40818-2024")</f>
        <v/>
      </c>
      <c r="X1249">
        <f>HYPERLINK("https://klasma.github.io/Logging_2305/tillsyn/A 40818-2024 tillsynsbegäran.docx", "A 40818-2024")</f>
        <v/>
      </c>
      <c r="Y1249">
        <f>HYPERLINK("https://klasma.github.io/Logging_2305/tillsynsmail/A 40818-2024 tillsynsbegäran mail.docx", "A 40818-2024")</f>
        <v/>
      </c>
    </row>
    <row r="1250" ht="15" customHeight="1">
      <c r="A1250" t="inlineStr">
        <is>
          <t>A 18987-2023</t>
        </is>
      </c>
      <c r="B1250" s="1" t="n">
        <v>45044</v>
      </c>
      <c r="C1250" s="1" t="n">
        <v>46045</v>
      </c>
      <c r="D1250" t="inlineStr">
        <is>
          <t>JÄMTLANDS LÄN</t>
        </is>
      </c>
      <c r="E1250" t="inlineStr">
        <is>
          <t>STRÖMSUND</t>
        </is>
      </c>
      <c r="F1250" t="inlineStr">
        <is>
          <t>SCA</t>
        </is>
      </c>
      <c r="G1250" t="n">
        <v>4.4</v>
      </c>
      <c r="H1250" t="n">
        <v>0</v>
      </c>
      <c r="I1250" t="n">
        <v>1</v>
      </c>
      <c r="J1250" t="n">
        <v>1</v>
      </c>
      <c r="K1250" t="n">
        <v>0</v>
      </c>
      <c r="L1250" t="n">
        <v>0</v>
      </c>
      <c r="M1250" t="n">
        <v>0</v>
      </c>
      <c r="N1250" t="n">
        <v>0</v>
      </c>
      <c r="O1250" t="n">
        <v>1</v>
      </c>
      <c r="P1250" t="n">
        <v>0</v>
      </c>
      <c r="Q1250" t="n">
        <v>2</v>
      </c>
      <c r="R1250" s="2" t="inlineStr">
        <is>
          <t>Skrovellav
Mörk husmossa</t>
        </is>
      </c>
      <c r="S1250">
        <f>HYPERLINK("https://klasma.github.io/Logging_2313/artfynd/A 18987-2023 artfynd.xlsx", "A 18987-2023")</f>
        <v/>
      </c>
      <c r="T1250">
        <f>HYPERLINK("https://klasma.github.io/Logging_2313/kartor/A 18987-2023 karta.png", "A 18987-2023")</f>
        <v/>
      </c>
      <c r="V1250">
        <f>HYPERLINK("https://klasma.github.io/Logging_2313/klagomål/A 18987-2023 FSC-klagomål.docx", "A 18987-2023")</f>
        <v/>
      </c>
      <c r="W1250">
        <f>HYPERLINK("https://klasma.github.io/Logging_2313/klagomålsmail/A 18987-2023 FSC-klagomål mail.docx", "A 18987-2023")</f>
        <v/>
      </c>
      <c r="X1250">
        <f>HYPERLINK("https://klasma.github.io/Logging_2313/tillsyn/A 18987-2023 tillsynsbegäran.docx", "A 18987-2023")</f>
        <v/>
      </c>
      <c r="Y1250">
        <f>HYPERLINK("https://klasma.github.io/Logging_2313/tillsynsmail/A 18987-2023 tillsynsbegäran mail.docx", "A 18987-2023")</f>
        <v/>
      </c>
    </row>
    <row r="1251" ht="15" customHeight="1">
      <c r="A1251" t="inlineStr">
        <is>
          <t>A 55040-2025</t>
        </is>
      </c>
      <c r="B1251" s="1" t="n">
        <v>45967.65667824074</v>
      </c>
      <c r="C1251" s="1" t="n">
        <v>46045</v>
      </c>
      <c r="D1251" t="inlineStr">
        <is>
          <t>JÄMTLANDS LÄN</t>
        </is>
      </c>
      <c r="E1251" t="inlineStr">
        <is>
          <t>KROKOM</t>
        </is>
      </c>
      <c r="F1251" t="inlineStr">
        <is>
          <t>SCA</t>
        </is>
      </c>
      <c r="G1251" t="n">
        <v>2</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HYPERLINK("https://klasma.github.io/Logging_2309/artfynd/A 55040-2025 artfynd.xlsx", "A 55040-2025")</f>
        <v/>
      </c>
      <c r="T1251">
        <f>HYPERLINK("https://klasma.github.io/Logging_2309/kartor/A 55040-2025 karta.png", "A 55040-2025")</f>
        <v/>
      </c>
      <c r="V1251">
        <f>HYPERLINK("https://klasma.github.io/Logging_2309/klagomål/A 55040-2025 FSC-klagomål.docx", "A 55040-2025")</f>
        <v/>
      </c>
      <c r="W1251">
        <f>HYPERLINK("https://klasma.github.io/Logging_2309/klagomålsmail/A 55040-2025 FSC-klagomål mail.docx", "A 55040-2025")</f>
        <v/>
      </c>
      <c r="X1251">
        <f>HYPERLINK("https://klasma.github.io/Logging_2309/tillsyn/A 55040-2025 tillsynsbegäran.docx", "A 55040-2025")</f>
        <v/>
      </c>
      <c r="Y1251">
        <f>HYPERLINK("https://klasma.github.io/Logging_2309/tillsynsmail/A 55040-2025 tillsynsbegäran mail.docx", "A 55040-2025")</f>
        <v/>
      </c>
    </row>
    <row r="1252" ht="15" customHeight="1">
      <c r="A1252" t="inlineStr">
        <is>
          <t>A 45012-2023</t>
        </is>
      </c>
      <c r="B1252" s="1" t="n">
        <v>45190</v>
      </c>
      <c r="C1252" s="1" t="n">
        <v>46045</v>
      </c>
      <c r="D1252" t="inlineStr">
        <is>
          <t>JÄMTLANDS LÄN</t>
        </is>
      </c>
      <c r="E1252" t="inlineStr">
        <is>
          <t>BRÄCKE</t>
        </is>
      </c>
      <c r="G1252" t="n">
        <v>2.6</v>
      </c>
      <c r="H1252" t="n">
        <v>0</v>
      </c>
      <c r="I1252" t="n">
        <v>1</v>
      </c>
      <c r="J1252" t="n">
        <v>1</v>
      </c>
      <c r="K1252" t="n">
        <v>0</v>
      </c>
      <c r="L1252" t="n">
        <v>0</v>
      </c>
      <c r="M1252" t="n">
        <v>0</v>
      </c>
      <c r="N1252" t="n">
        <v>0</v>
      </c>
      <c r="O1252" t="n">
        <v>1</v>
      </c>
      <c r="P1252" t="n">
        <v>0</v>
      </c>
      <c r="Q1252" t="n">
        <v>2</v>
      </c>
      <c r="R1252" s="2" t="inlineStr">
        <is>
          <t>Dvärgbägarlav
Skinnlav</t>
        </is>
      </c>
      <c r="S1252">
        <f>HYPERLINK("https://klasma.github.io/Logging_2305/artfynd/A 45012-2023 artfynd.xlsx", "A 45012-2023")</f>
        <v/>
      </c>
      <c r="T1252">
        <f>HYPERLINK("https://klasma.github.io/Logging_2305/kartor/A 45012-2023 karta.png", "A 45012-2023")</f>
        <v/>
      </c>
      <c r="V1252">
        <f>HYPERLINK("https://klasma.github.io/Logging_2305/klagomål/A 45012-2023 FSC-klagomål.docx", "A 45012-2023")</f>
        <v/>
      </c>
      <c r="W1252">
        <f>HYPERLINK("https://klasma.github.io/Logging_2305/klagomålsmail/A 45012-2023 FSC-klagomål mail.docx", "A 45012-2023")</f>
        <v/>
      </c>
      <c r="X1252">
        <f>HYPERLINK("https://klasma.github.io/Logging_2305/tillsyn/A 45012-2023 tillsynsbegäran.docx", "A 45012-2023")</f>
        <v/>
      </c>
      <c r="Y1252">
        <f>HYPERLINK("https://klasma.github.io/Logging_2305/tillsynsmail/A 45012-2023 tillsynsbegäran mail.docx", "A 45012-2023")</f>
        <v/>
      </c>
    </row>
    <row r="1253" ht="15" customHeight="1">
      <c r="A1253" t="inlineStr">
        <is>
          <t>A 60419-2024</t>
        </is>
      </c>
      <c r="B1253" s="1" t="n">
        <v>45643.53393518519</v>
      </c>
      <c r="C1253" s="1" t="n">
        <v>46045</v>
      </c>
      <c r="D1253" t="inlineStr">
        <is>
          <t>JÄMTLANDS LÄN</t>
        </is>
      </c>
      <c r="E1253" t="inlineStr">
        <is>
          <t>KROKOM</t>
        </is>
      </c>
      <c r="G1253" t="n">
        <v>7.9</v>
      </c>
      <c r="H1253" t="n">
        <v>1</v>
      </c>
      <c r="I1253" t="n">
        <v>2</v>
      </c>
      <c r="J1253" t="n">
        <v>0</v>
      </c>
      <c r="K1253" t="n">
        <v>0</v>
      </c>
      <c r="L1253" t="n">
        <v>0</v>
      </c>
      <c r="M1253" t="n">
        <v>0</v>
      </c>
      <c r="N1253" t="n">
        <v>0</v>
      </c>
      <c r="O1253" t="n">
        <v>0</v>
      </c>
      <c r="P1253" t="n">
        <v>0</v>
      </c>
      <c r="Q1253" t="n">
        <v>2</v>
      </c>
      <c r="R1253" s="2" t="inlineStr">
        <is>
          <t>Grönkulla
Kransrams</t>
        </is>
      </c>
      <c r="S1253">
        <f>HYPERLINK("https://klasma.github.io/Logging_2309/artfynd/A 60419-2024 artfynd.xlsx", "A 60419-2024")</f>
        <v/>
      </c>
      <c r="T1253">
        <f>HYPERLINK("https://klasma.github.io/Logging_2309/kartor/A 60419-2024 karta.png", "A 60419-2024")</f>
        <v/>
      </c>
      <c r="V1253">
        <f>HYPERLINK("https://klasma.github.io/Logging_2309/klagomål/A 60419-2024 FSC-klagomål.docx", "A 60419-2024")</f>
        <v/>
      </c>
      <c r="W1253">
        <f>HYPERLINK("https://klasma.github.io/Logging_2309/klagomålsmail/A 60419-2024 FSC-klagomål mail.docx", "A 60419-2024")</f>
        <v/>
      </c>
      <c r="X1253">
        <f>HYPERLINK("https://klasma.github.io/Logging_2309/tillsyn/A 60419-2024 tillsynsbegäran.docx", "A 60419-2024")</f>
        <v/>
      </c>
      <c r="Y1253">
        <f>HYPERLINK("https://klasma.github.io/Logging_2309/tillsynsmail/A 60419-2024 tillsynsbegäran mail.docx", "A 60419-2024")</f>
        <v/>
      </c>
    </row>
    <row r="1254" ht="15" customHeight="1">
      <c r="A1254" t="inlineStr">
        <is>
          <t>A 60446-2024</t>
        </is>
      </c>
      <c r="B1254" s="1" t="n">
        <v>45643.59420138889</v>
      </c>
      <c r="C1254" s="1" t="n">
        <v>46045</v>
      </c>
      <c r="D1254" t="inlineStr">
        <is>
          <t>JÄMTLANDS LÄN</t>
        </is>
      </c>
      <c r="E1254" t="inlineStr">
        <is>
          <t>ÖSTERSUND</t>
        </is>
      </c>
      <c r="F1254" t="inlineStr">
        <is>
          <t>SCA</t>
        </is>
      </c>
      <c r="G1254" t="n">
        <v>3.6</v>
      </c>
      <c r="H1254" t="n">
        <v>0</v>
      </c>
      <c r="I1254" t="n">
        <v>1</v>
      </c>
      <c r="J1254" t="n">
        <v>1</v>
      </c>
      <c r="K1254" t="n">
        <v>0</v>
      </c>
      <c r="L1254" t="n">
        <v>0</v>
      </c>
      <c r="M1254" t="n">
        <v>0</v>
      </c>
      <c r="N1254" t="n">
        <v>0</v>
      </c>
      <c r="O1254" t="n">
        <v>1</v>
      </c>
      <c r="P1254" t="n">
        <v>0</v>
      </c>
      <c r="Q1254" t="n">
        <v>2</v>
      </c>
      <c r="R1254" s="2" t="inlineStr">
        <is>
          <t>Ullticka
Vedticka</t>
        </is>
      </c>
      <c r="S1254">
        <f>HYPERLINK("https://klasma.github.io/Logging_2380/artfynd/A 60446-2024 artfynd.xlsx", "A 60446-2024")</f>
        <v/>
      </c>
      <c r="T1254">
        <f>HYPERLINK("https://klasma.github.io/Logging_2380/kartor/A 60446-2024 karta.png", "A 60446-2024")</f>
        <v/>
      </c>
      <c r="V1254">
        <f>HYPERLINK("https://klasma.github.io/Logging_2380/klagomål/A 60446-2024 FSC-klagomål.docx", "A 60446-2024")</f>
        <v/>
      </c>
      <c r="W1254">
        <f>HYPERLINK("https://klasma.github.io/Logging_2380/klagomålsmail/A 60446-2024 FSC-klagomål mail.docx", "A 60446-2024")</f>
        <v/>
      </c>
      <c r="X1254">
        <f>HYPERLINK("https://klasma.github.io/Logging_2380/tillsyn/A 60446-2024 tillsynsbegäran.docx", "A 60446-2024")</f>
        <v/>
      </c>
      <c r="Y1254">
        <f>HYPERLINK("https://klasma.github.io/Logging_2380/tillsynsmail/A 60446-2024 tillsynsbegäran mail.docx", "A 60446-2024")</f>
        <v/>
      </c>
    </row>
    <row r="1255" ht="15" customHeight="1">
      <c r="A1255" t="inlineStr">
        <is>
          <t>A 21615-2024</t>
        </is>
      </c>
      <c r="B1255" s="1" t="n">
        <v>45441.95357638889</v>
      </c>
      <c r="C1255" s="1" t="n">
        <v>46045</v>
      </c>
      <c r="D1255" t="inlineStr">
        <is>
          <t>JÄMTLANDS LÄN</t>
        </is>
      </c>
      <c r="E1255" t="inlineStr">
        <is>
          <t>ÖSTERSUND</t>
        </is>
      </c>
      <c r="F1255" t="inlineStr">
        <is>
          <t>SCA</t>
        </is>
      </c>
      <c r="G1255" t="n">
        <v>4.9</v>
      </c>
      <c r="H1255" t="n">
        <v>2</v>
      </c>
      <c r="I1255" t="n">
        <v>0</v>
      </c>
      <c r="J1255" t="n">
        <v>0</v>
      </c>
      <c r="K1255" t="n">
        <v>1</v>
      </c>
      <c r="L1255" t="n">
        <v>0</v>
      </c>
      <c r="M1255" t="n">
        <v>0</v>
      </c>
      <c r="N1255" t="n">
        <v>0</v>
      </c>
      <c r="O1255" t="n">
        <v>1</v>
      </c>
      <c r="P1255" t="n">
        <v>1</v>
      </c>
      <c r="Q1255" t="n">
        <v>2</v>
      </c>
      <c r="R1255" s="2" t="inlineStr">
        <is>
          <t>Lappuggla
Blåsippa</t>
        </is>
      </c>
      <c r="S1255">
        <f>HYPERLINK("https://klasma.github.io/Logging_2380/artfynd/A 21615-2024 artfynd.xlsx", "A 21615-2024")</f>
        <v/>
      </c>
      <c r="T1255">
        <f>HYPERLINK("https://klasma.github.io/Logging_2380/kartor/A 21615-2024 karta.png", "A 21615-2024")</f>
        <v/>
      </c>
      <c r="V1255">
        <f>HYPERLINK("https://klasma.github.io/Logging_2380/klagomål/A 21615-2024 FSC-klagomål.docx", "A 21615-2024")</f>
        <v/>
      </c>
      <c r="W1255">
        <f>HYPERLINK("https://klasma.github.io/Logging_2380/klagomålsmail/A 21615-2024 FSC-klagomål mail.docx", "A 21615-2024")</f>
        <v/>
      </c>
      <c r="X1255">
        <f>HYPERLINK("https://klasma.github.io/Logging_2380/tillsyn/A 21615-2024 tillsynsbegäran.docx", "A 21615-2024")</f>
        <v/>
      </c>
      <c r="Y1255">
        <f>HYPERLINK("https://klasma.github.io/Logging_2380/tillsynsmail/A 21615-2024 tillsynsbegäran mail.docx", "A 21615-2024")</f>
        <v/>
      </c>
      <c r="Z1255">
        <f>HYPERLINK("https://klasma.github.io/Logging_2380/fåglar/A 21615-2024 prioriterade fågelarter.docx", "A 21615-2024")</f>
        <v/>
      </c>
    </row>
    <row r="1256" ht="15" customHeight="1">
      <c r="A1256" t="inlineStr">
        <is>
          <t>A 21629-2024</t>
        </is>
      </c>
      <c r="B1256" s="1" t="n">
        <v>45442.32594907407</v>
      </c>
      <c r="C1256" s="1" t="n">
        <v>46045</v>
      </c>
      <c r="D1256" t="inlineStr">
        <is>
          <t>JÄMTLANDS LÄN</t>
        </is>
      </c>
      <c r="E1256" t="inlineStr">
        <is>
          <t>STRÖMSUND</t>
        </is>
      </c>
      <c r="F1256" t="inlineStr">
        <is>
          <t>Holmen skog AB</t>
        </is>
      </c>
      <c r="G1256" t="n">
        <v>1.1</v>
      </c>
      <c r="H1256" t="n">
        <v>0</v>
      </c>
      <c r="I1256" t="n">
        <v>0</v>
      </c>
      <c r="J1256" t="n">
        <v>2</v>
      </c>
      <c r="K1256" t="n">
        <v>0</v>
      </c>
      <c r="L1256" t="n">
        <v>0</v>
      </c>
      <c r="M1256" t="n">
        <v>0</v>
      </c>
      <c r="N1256" t="n">
        <v>0</v>
      </c>
      <c r="O1256" t="n">
        <v>2</v>
      </c>
      <c r="P1256" t="n">
        <v>0</v>
      </c>
      <c r="Q1256" t="n">
        <v>2</v>
      </c>
      <c r="R1256" s="2" t="inlineStr">
        <is>
          <t>Blå taggsvamp
Talltaggsvamp</t>
        </is>
      </c>
      <c r="S1256">
        <f>HYPERLINK("https://klasma.github.io/Logging_2313/artfynd/A 21629-2024 artfynd.xlsx", "A 21629-2024")</f>
        <v/>
      </c>
      <c r="T1256">
        <f>HYPERLINK("https://klasma.github.io/Logging_2313/kartor/A 21629-2024 karta.png", "A 21629-2024")</f>
        <v/>
      </c>
      <c r="V1256">
        <f>HYPERLINK("https://klasma.github.io/Logging_2313/klagomål/A 21629-2024 FSC-klagomål.docx", "A 21629-2024")</f>
        <v/>
      </c>
      <c r="W1256">
        <f>HYPERLINK("https://klasma.github.io/Logging_2313/klagomålsmail/A 21629-2024 FSC-klagomål mail.docx", "A 21629-2024")</f>
        <v/>
      </c>
      <c r="X1256">
        <f>HYPERLINK("https://klasma.github.io/Logging_2313/tillsyn/A 21629-2024 tillsynsbegäran.docx", "A 21629-2024")</f>
        <v/>
      </c>
      <c r="Y1256">
        <f>HYPERLINK("https://klasma.github.io/Logging_2313/tillsynsmail/A 21629-2024 tillsynsbegäran mail.docx", "A 21629-2024")</f>
        <v/>
      </c>
    </row>
    <row r="1257" ht="15" customHeight="1">
      <c r="A1257" t="inlineStr">
        <is>
          <t>A 21245-2025</t>
        </is>
      </c>
      <c r="B1257" s="1" t="n">
        <v>45779.57350694444</v>
      </c>
      <c r="C1257" s="1" t="n">
        <v>46045</v>
      </c>
      <c r="D1257" t="inlineStr">
        <is>
          <t>JÄMTLANDS LÄN</t>
        </is>
      </c>
      <c r="E1257" t="inlineStr">
        <is>
          <t>RAGUNDA</t>
        </is>
      </c>
      <c r="F1257" t="inlineStr">
        <is>
          <t>SCA</t>
        </is>
      </c>
      <c r="G1257" t="n">
        <v>3.7</v>
      </c>
      <c r="H1257" t="n">
        <v>1</v>
      </c>
      <c r="I1257" t="n">
        <v>0</v>
      </c>
      <c r="J1257" t="n">
        <v>1</v>
      </c>
      <c r="K1257" t="n">
        <v>0</v>
      </c>
      <c r="L1257" t="n">
        <v>0</v>
      </c>
      <c r="M1257" t="n">
        <v>0</v>
      </c>
      <c r="N1257" t="n">
        <v>0</v>
      </c>
      <c r="O1257" t="n">
        <v>1</v>
      </c>
      <c r="P1257" t="n">
        <v>0</v>
      </c>
      <c r="Q1257" t="n">
        <v>2</v>
      </c>
      <c r="R1257" s="2" t="inlineStr">
        <is>
          <t>Garnlav
Tjäder</t>
        </is>
      </c>
      <c r="S1257">
        <f>HYPERLINK("https://klasma.github.io/Logging_2303/artfynd/A 21245-2025 artfynd.xlsx", "A 21245-2025")</f>
        <v/>
      </c>
      <c r="T1257">
        <f>HYPERLINK("https://klasma.github.io/Logging_2303/kartor/A 21245-2025 karta.png", "A 21245-2025")</f>
        <v/>
      </c>
      <c r="V1257">
        <f>HYPERLINK("https://klasma.github.io/Logging_2303/klagomål/A 21245-2025 FSC-klagomål.docx", "A 21245-2025")</f>
        <v/>
      </c>
      <c r="W1257">
        <f>HYPERLINK("https://klasma.github.io/Logging_2303/klagomålsmail/A 21245-2025 FSC-klagomål mail.docx", "A 21245-2025")</f>
        <v/>
      </c>
      <c r="X1257">
        <f>HYPERLINK("https://klasma.github.io/Logging_2303/tillsyn/A 21245-2025 tillsynsbegäran.docx", "A 21245-2025")</f>
        <v/>
      </c>
      <c r="Y1257">
        <f>HYPERLINK("https://klasma.github.io/Logging_2303/tillsynsmail/A 21245-2025 tillsynsbegäran mail.docx", "A 21245-2025")</f>
        <v/>
      </c>
      <c r="Z1257">
        <f>HYPERLINK("https://klasma.github.io/Logging_2303/fåglar/A 21245-2025 prioriterade fågelarter.docx", "A 21245-2025")</f>
        <v/>
      </c>
    </row>
    <row r="1258" ht="15" customHeight="1">
      <c r="A1258" t="inlineStr">
        <is>
          <t>A 55228-2021</t>
        </is>
      </c>
      <c r="B1258" s="1" t="n">
        <v>44475</v>
      </c>
      <c r="C1258" s="1" t="n">
        <v>46045</v>
      </c>
      <c r="D1258" t="inlineStr">
        <is>
          <t>JÄMTLANDS LÄN</t>
        </is>
      </c>
      <c r="E1258" t="inlineStr">
        <is>
          <t>HÄRJEDALEN</t>
        </is>
      </c>
      <c r="G1258" t="n">
        <v>1.7</v>
      </c>
      <c r="H1258" t="n">
        <v>1</v>
      </c>
      <c r="I1258" t="n">
        <v>0</v>
      </c>
      <c r="J1258" t="n">
        <v>2</v>
      </c>
      <c r="K1258" t="n">
        <v>0</v>
      </c>
      <c r="L1258" t="n">
        <v>0</v>
      </c>
      <c r="M1258" t="n">
        <v>0</v>
      </c>
      <c r="N1258" t="n">
        <v>0</v>
      </c>
      <c r="O1258" t="n">
        <v>2</v>
      </c>
      <c r="P1258" t="n">
        <v>0</v>
      </c>
      <c r="Q1258" t="n">
        <v>2</v>
      </c>
      <c r="R1258" s="2" t="inlineStr">
        <is>
          <t>Varglav
Vedflamlav</t>
        </is>
      </c>
      <c r="S1258">
        <f>HYPERLINK("https://klasma.github.io/Logging_2361/artfynd/A 55228-2021 artfynd.xlsx", "A 55228-2021")</f>
        <v/>
      </c>
      <c r="T1258">
        <f>HYPERLINK("https://klasma.github.io/Logging_2361/kartor/A 55228-2021 karta.png", "A 55228-2021")</f>
        <v/>
      </c>
      <c r="V1258">
        <f>HYPERLINK("https://klasma.github.io/Logging_2361/klagomål/A 55228-2021 FSC-klagomål.docx", "A 55228-2021")</f>
        <v/>
      </c>
      <c r="W1258">
        <f>HYPERLINK("https://klasma.github.io/Logging_2361/klagomålsmail/A 55228-2021 FSC-klagomål mail.docx", "A 55228-2021")</f>
        <v/>
      </c>
      <c r="X1258">
        <f>HYPERLINK("https://klasma.github.io/Logging_2361/tillsyn/A 55228-2021 tillsynsbegäran.docx", "A 55228-2021")</f>
        <v/>
      </c>
      <c r="Y1258">
        <f>HYPERLINK("https://klasma.github.io/Logging_2361/tillsynsmail/A 55228-2021 tillsynsbegäran mail.docx", "A 55228-2021")</f>
        <v/>
      </c>
    </row>
    <row r="1259" ht="15" customHeight="1">
      <c r="A1259" t="inlineStr">
        <is>
          <t>A 21408-2025</t>
        </is>
      </c>
      <c r="B1259" s="1" t="n">
        <v>45782.4906712963</v>
      </c>
      <c r="C1259" s="1" t="n">
        <v>46045</v>
      </c>
      <c r="D1259" t="inlineStr">
        <is>
          <t>JÄMTLANDS LÄN</t>
        </is>
      </c>
      <c r="E1259" t="inlineStr">
        <is>
          <t>BRÄCKE</t>
        </is>
      </c>
      <c r="F1259" t="inlineStr">
        <is>
          <t>SCA</t>
        </is>
      </c>
      <c r="G1259" t="n">
        <v>1.2</v>
      </c>
      <c r="H1259" t="n">
        <v>1</v>
      </c>
      <c r="I1259" t="n">
        <v>1</v>
      </c>
      <c r="J1259" t="n">
        <v>0</v>
      </c>
      <c r="K1259" t="n">
        <v>0</v>
      </c>
      <c r="L1259" t="n">
        <v>0</v>
      </c>
      <c r="M1259" t="n">
        <v>0</v>
      </c>
      <c r="N1259" t="n">
        <v>0</v>
      </c>
      <c r="O1259" t="n">
        <v>0</v>
      </c>
      <c r="P1259" t="n">
        <v>0</v>
      </c>
      <c r="Q1259" t="n">
        <v>2</v>
      </c>
      <c r="R1259" s="2" t="inlineStr">
        <is>
          <t>Underviol
Blåsippa</t>
        </is>
      </c>
      <c r="S1259">
        <f>HYPERLINK("https://klasma.github.io/Logging_2305/artfynd/A 21408-2025 artfynd.xlsx", "A 21408-2025")</f>
        <v/>
      </c>
      <c r="T1259">
        <f>HYPERLINK("https://klasma.github.io/Logging_2305/kartor/A 21408-2025 karta.png", "A 21408-2025")</f>
        <v/>
      </c>
      <c r="V1259">
        <f>HYPERLINK("https://klasma.github.io/Logging_2305/klagomål/A 21408-2025 FSC-klagomål.docx", "A 21408-2025")</f>
        <v/>
      </c>
      <c r="W1259">
        <f>HYPERLINK("https://klasma.github.io/Logging_2305/klagomålsmail/A 21408-2025 FSC-klagomål mail.docx", "A 21408-2025")</f>
        <v/>
      </c>
      <c r="X1259">
        <f>HYPERLINK("https://klasma.github.io/Logging_2305/tillsyn/A 21408-2025 tillsynsbegäran.docx", "A 21408-2025")</f>
        <v/>
      </c>
      <c r="Y1259">
        <f>HYPERLINK("https://klasma.github.io/Logging_2305/tillsynsmail/A 21408-2025 tillsynsbegäran mail.docx", "A 21408-2025")</f>
        <v/>
      </c>
    </row>
    <row r="1260" ht="15" customHeight="1">
      <c r="A1260" t="inlineStr">
        <is>
          <t>A 39172-2021</t>
        </is>
      </c>
      <c r="B1260" s="1" t="n">
        <v>44412</v>
      </c>
      <c r="C1260" s="1" t="n">
        <v>46045</v>
      </c>
      <c r="D1260" t="inlineStr">
        <is>
          <t>JÄMTLANDS LÄN</t>
        </is>
      </c>
      <c r="E1260" t="inlineStr">
        <is>
          <t>BRÄCKE</t>
        </is>
      </c>
      <c r="F1260" t="inlineStr">
        <is>
          <t>SCA</t>
        </is>
      </c>
      <c r="G1260" t="n">
        <v>9</v>
      </c>
      <c r="H1260" t="n">
        <v>0</v>
      </c>
      <c r="I1260" t="n">
        <v>1</v>
      </c>
      <c r="J1260" t="n">
        <v>1</v>
      </c>
      <c r="K1260" t="n">
        <v>0</v>
      </c>
      <c r="L1260" t="n">
        <v>0</v>
      </c>
      <c r="M1260" t="n">
        <v>0</v>
      </c>
      <c r="N1260" t="n">
        <v>0</v>
      </c>
      <c r="O1260" t="n">
        <v>1</v>
      </c>
      <c r="P1260" t="n">
        <v>0</v>
      </c>
      <c r="Q1260" t="n">
        <v>2</v>
      </c>
      <c r="R1260" s="2" t="inlineStr">
        <is>
          <t>Lunglav
Bårdlav</t>
        </is>
      </c>
      <c r="S1260">
        <f>HYPERLINK("https://klasma.github.io/Logging_2305/artfynd/A 39172-2021 artfynd.xlsx", "A 39172-2021")</f>
        <v/>
      </c>
      <c r="T1260">
        <f>HYPERLINK("https://klasma.github.io/Logging_2305/kartor/A 39172-2021 karta.png", "A 39172-2021")</f>
        <v/>
      </c>
      <c r="V1260">
        <f>HYPERLINK("https://klasma.github.io/Logging_2305/klagomål/A 39172-2021 FSC-klagomål.docx", "A 39172-2021")</f>
        <v/>
      </c>
      <c r="W1260">
        <f>HYPERLINK("https://klasma.github.io/Logging_2305/klagomålsmail/A 39172-2021 FSC-klagomål mail.docx", "A 39172-2021")</f>
        <v/>
      </c>
      <c r="X1260">
        <f>HYPERLINK("https://klasma.github.io/Logging_2305/tillsyn/A 39172-2021 tillsynsbegäran.docx", "A 39172-2021")</f>
        <v/>
      </c>
      <c r="Y1260">
        <f>HYPERLINK("https://klasma.github.io/Logging_2305/tillsynsmail/A 39172-2021 tillsynsbegäran mail.docx", "A 39172-2021")</f>
        <v/>
      </c>
    </row>
    <row r="1261" ht="15" customHeight="1">
      <c r="A1261" t="inlineStr">
        <is>
          <t>A 21518-2025</t>
        </is>
      </c>
      <c r="B1261" s="1" t="n">
        <v>45782</v>
      </c>
      <c r="C1261" s="1" t="n">
        <v>46045</v>
      </c>
      <c r="D1261" t="inlineStr">
        <is>
          <t>JÄMTLANDS LÄN</t>
        </is>
      </c>
      <c r="E1261" t="inlineStr">
        <is>
          <t>BERG</t>
        </is>
      </c>
      <c r="F1261" t="inlineStr">
        <is>
          <t>SCA</t>
        </is>
      </c>
      <c r="G1261" t="n">
        <v>3.6</v>
      </c>
      <c r="H1261" t="n">
        <v>0</v>
      </c>
      <c r="I1261" t="n">
        <v>1</v>
      </c>
      <c r="J1261" t="n">
        <v>1</v>
      </c>
      <c r="K1261" t="n">
        <v>0</v>
      </c>
      <c r="L1261" t="n">
        <v>0</v>
      </c>
      <c r="M1261" t="n">
        <v>0</v>
      </c>
      <c r="N1261" t="n">
        <v>0</v>
      </c>
      <c r="O1261" t="n">
        <v>1</v>
      </c>
      <c r="P1261" t="n">
        <v>0</v>
      </c>
      <c r="Q1261" t="n">
        <v>2</v>
      </c>
      <c r="R1261" s="2" t="inlineStr">
        <is>
          <t>Dvärgbägarlav
Skarp dropptaggsvamp</t>
        </is>
      </c>
      <c r="S1261">
        <f>HYPERLINK("https://klasma.github.io/Logging_2326/artfynd/A 21518-2025 artfynd.xlsx", "A 21518-2025")</f>
        <v/>
      </c>
      <c r="T1261">
        <f>HYPERLINK("https://klasma.github.io/Logging_2326/kartor/A 21518-2025 karta.png", "A 21518-2025")</f>
        <v/>
      </c>
      <c r="V1261">
        <f>HYPERLINK("https://klasma.github.io/Logging_2326/klagomål/A 21518-2025 FSC-klagomål.docx", "A 21518-2025")</f>
        <v/>
      </c>
      <c r="W1261">
        <f>HYPERLINK("https://klasma.github.io/Logging_2326/klagomålsmail/A 21518-2025 FSC-klagomål mail.docx", "A 21518-2025")</f>
        <v/>
      </c>
      <c r="X1261">
        <f>HYPERLINK("https://klasma.github.io/Logging_2326/tillsyn/A 21518-2025 tillsynsbegäran.docx", "A 21518-2025")</f>
        <v/>
      </c>
      <c r="Y1261">
        <f>HYPERLINK("https://klasma.github.io/Logging_2326/tillsynsmail/A 21518-2025 tillsynsbegäran mail.docx", "A 21518-2025")</f>
        <v/>
      </c>
    </row>
    <row r="1262" ht="15" customHeight="1">
      <c r="A1262" t="inlineStr">
        <is>
          <t>A 3699-2021</t>
        </is>
      </c>
      <c r="B1262" s="1" t="n">
        <v>44221</v>
      </c>
      <c r="C1262" s="1" t="n">
        <v>46045</v>
      </c>
      <c r="D1262" t="inlineStr">
        <is>
          <t>JÄMTLANDS LÄN</t>
        </is>
      </c>
      <c r="E1262" t="inlineStr">
        <is>
          <t>HÄRJEDALEN</t>
        </is>
      </c>
      <c r="G1262" t="n">
        <v>10.1</v>
      </c>
      <c r="H1262" t="n">
        <v>0</v>
      </c>
      <c r="I1262" t="n">
        <v>0</v>
      </c>
      <c r="J1262" t="n">
        <v>0</v>
      </c>
      <c r="K1262" t="n">
        <v>2</v>
      </c>
      <c r="L1262" t="n">
        <v>0</v>
      </c>
      <c r="M1262" t="n">
        <v>0</v>
      </c>
      <c r="N1262" t="n">
        <v>0</v>
      </c>
      <c r="O1262" t="n">
        <v>2</v>
      </c>
      <c r="P1262" t="n">
        <v>2</v>
      </c>
      <c r="Q1262" t="n">
        <v>2</v>
      </c>
      <c r="R1262" s="2" t="inlineStr">
        <is>
          <t>Fläckporing
Gräddporing</t>
        </is>
      </c>
      <c r="S1262">
        <f>HYPERLINK("https://klasma.github.io/Logging_2361/artfynd/A 3699-2021 artfynd.xlsx", "A 3699-2021")</f>
        <v/>
      </c>
      <c r="T1262">
        <f>HYPERLINK("https://klasma.github.io/Logging_2361/kartor/A 3699-2021 karta.png", "A 3699-2021")</f>
        <v/>
      </c>
      <c r="V1262">
        <f>HYPERLINK("https://klasma.github.io/Logging_2361/klagomål/A 3699-2021 FSC-klagomål.docx", "A 3699-2021")</f>
        <v/>
      </c>
      <c r="W1262">
        <f>HYPERLINK("https://klasma.github.io/Logging_2361/klagomålsmail/A 3699-2021 FSC-klagomål mail.docx", "A 3699-2021")</f>
        <v/>
      </c>
      <c r="X1262">
        <f>HYPERLINK("https://klasma.github.io/Logging_2361/tillsyn/A 3699-2021 tillsynsbegäran.docx", "A 3699-2021")</f>
        <v/>
      </c>
      <c r="Y1262">
        <f>HYPERLINK("https://klasma.github.io/Logging_2361/tillsynsmail/A 3699-2021 tillsynsbegäran mail.docx", "A 3699-2021")</f>
        <v/>
      </c>
    </row>
    <row r="1263" ht="15" customHeight="1">
      <c r="A1263" t="inlineStr">
        <is>
          <t>A 60333-2024</t>
        </is>
      </c>
      <c r="B1263" s="1" t="n">
        <v>45643</v>
      </c>
      <c r="C1263" s="1" t="n">
        <v>46045</v>
      </c>
      <c r="D1263" t="inlineStr">
        <is>
          <t>JÄMTLANDS LÄN</t>
        </is>
      </c>
      <c r="E1263" t="inlineStr">
        <is>
          <t>BERG</t>
        </is>
      </c>
      <c r="G1263" t="n">
        <v>25.5</v>
      </c>
      <c r="H1263" t="n">
        <v>0</v>
      </c>
      <c r="I1263" t="n">
        <v>2</v>
      </c>
      <c r="J1263" t="n">
        <v>0</v>
      </c>
      <c r="K1263" t="n">
        <v>0</v>
      </c>
      <c r="L1263" t="n">
        <v>0</v>
      </c>
      <c r="M1263" t="n">
        <v>0</v>
      </c>
      <c r="N1263" t="n">
        <v>0</v>
      </c>
      <c r="O1263" t="n">
        <v>0</v>
      </c>
      <c r="P1263" t="n">
        <v>0</v>
      </c>
      <c r="Q1263" t="n">
        <v>2</v>
      </c>
      <c r="R1263" s="2" t="inlineStr">
        <is>
          <t>Honungsvaxing
Ängsvaxskivling</t>
        </is>
      </c>
      <c r="S1263">
        <f>HYPERLINK("https://klasma.github.io/Logging_2326/artfynd/A 60333-2024 artfynd.xlsx", "A 60333-2024")</f>
        <v/>
      </c>
      <c r="T1263">
        <f>HYPERLINK("https://klasma.github.io/Logging_2326/kartor/A 60333-2024 karta.png", "A 60333-2024")</f>
        <v/>
      </c>
      <c r="V1263">
        <f>HYPERLINK("https://klasma.github.io/Logging_2326/klagomål/A 60333-2024 FSC-klagomål.docx", "A 60333-2024")</f>
        <v/>
      </c>
      <c r="W1263">
        <f>HYPERLINK("https://klasma.github.io/Logging_2326/klagomålsmail/A 60333-2024 FSC-klagomål mail.docx", "A 60333-2024")</f>
        <v/>
      </c>
      <c r="X1263">
        <f>HYPERLINK("https://klasma.github.io/Logging_2326/tillsyn/A 60333-2024 tillsynsbegäran.docx", "A 60333-2024")</f>
        <v/>
      </c>
      <c r="Y1263">
        <f>HYPERLINK("https://klasma.github.io/Logging_2326/tillsynsmail/A 60333-2024 tillsynsbegäran mail.docx", "A 60333-2024")</f>
        <v/>
      </c>
    </row>
    <row r="1264" ht="15" customHeight="1">
      <c r="A1264" t="inlineStr">
        <is>
          <t>A 46828-2025</t>
        </is>
      </c>
      <c r="B1264" s="1" t="n">
        <v>45927.34478009259</v>
      </c>
      <c r="C1264" s="1" t="n">
        <v>46045</v>
      </c>
      <c r="D1264" t="inlineStr">
        <is>
          <t>JÄMTLANDS LÄN</t>
        </is>
      </c>
      <c r="E1264" t="inlineStr">
        <is>
          <t>KROKOM</t>
        </is>
      </c>
      <c r="F1264" t="inlineStr">
        <is>
          <t>SCA</t>
        </is>
      </c>
      <c r="G1264" t="n">
        <v>3.8</v>
      </c>
      <c r="H1264" t="n">
        <v>0</v>
      </c>
      <c r="I1264" t="n">
        <v>0</v>
      </c>
      <c r="J1264" t="n">
        <v>2</v>
      </c>
      <c r="K1264" t="n">
        <v>0</v>
      </c>
      <c r="L1264" t="n">
        <v>0</v>
      </c>
      <c r="M1264" t="n">
        <v>0</v>
      </c>
      <c r="N1264" t="n">
        <v>0</v>
      </c>
      <c r="O1264" t="n">
        <v>2</v>
      </c>
      <c r="P1264" t="n">
        <v>0</v>
      </c>
      <c r="Q1264" t="n">
        <v>2</v>
      </c>
      <c r="R1264" s="2" t="inlineStr">
        <is>
          <t>Kolflarnlav
Skrovellav</t>
        </is>
      </c>
      <c r="S1264">
        <f>HYPERLINK("https://klasma.github.io/Logging_2309/artfynd/A 46828-2025 artfynd.xlsx", "A 46828-2025")</f>
        <v/>
      </c>
      <c r="T1264">
        <f>HYPERLINK("https://klasma.github.io/Logging_2309/kartor/A 46828-2025 karta.png", "A 46828-2025")</f>
        <v/>
      </c>
      <c r="V1264">
        <f>HYPERLINK("https://klasma.github.io/Logging_2309/klagomål/A 46828-2025 FSC-klagomål.docx", "A 46828-2025")</f>
        <v/>
      </c>
      <c r="W1264">
        <f>HYPERLINK("https://klasma.github.io/Logging_2309/klagomålsmail/A 46828-2025 FSC-klagomål mail.docx", "A 46828-2025")</f>
        <v/>
      </c>
      <c r="X1264">
        <f>HYPERLINK("https://klasma.github.io/Logging_2309/tillsyn/A 46828-2025 tillsynsbegäran.docx", "A 46828-2025")</f>
        <v/>
      </c>
      <c r="Y1264">
        <f>HYPERLINK("https://klasma.github.io/Logging_2309/tillsynsmail/A 46828-2025 tillsynsbegäran mail.docx", "A 46828-2025")</f>
        <v/>
      </c>
    </row>
    <row r="1265" ht="15" customHeight="1">
      <c r="A1265" t="inlineStr">
        <is>
          <t>A 47850-2025</t>
        </is>
      </c>
      <c r="B1265" s="1" t="n">
        <v>45932.38626157407</v>
      </c>
      <c r="C1265" s="1" t="n">
        <v>46045</v>
      </c>
      <c r="D1265" t="inlineStr">
        <is>
          <t>JÄMTLANDS LÄN</t>
        </is>
      </c>
      <c r="E1265" t="inlineStr">
        <is>
          <t>RAGUNDA</t>
        </is>
      </c>
      <c r="F1265" t="inlineStr">
        <is>
          <t>SCA</t>
        </is>
      </c>
      <c r="G1265" t="n">
        <v>2.4</v>
      </c>
      <c r="H1265" t="n">
        <v>1</v>
      </c>
      <c r="I1265" t="n">
        <v>0</v>
      </c>
      <c r="J1265" t="n">
        <v>1</v>
      </c>
      <c r="K1265" t="n">
        <v>0</v>
      </c>
      <c r="L1265" t="n">
        <v>0</v>
      </c>
      <c r="M1265" t="n">
        <v>0</v>
      </c>
      <c r="N1265" t="n">
        <v>0</v>
      </c>
      <c r="O1265" t="n">
        <v>1</v>
      </c>
      <c r="P1265" t="n">
        <v>0</v>
      </c>
      <c r="Q1265" t="n">
        <v>2</v>
      </c>
      <c r="R1265" s="2" t="inlineStr">
        <is>
          <t>Kolflarnlav
Blåsippa</t>
        </is>
      </c>
      <c r="S1265">
        <f>HYPERLINK("https://klasma.github.io/Logging_2303/artfynd/A 47850-2025 artfynd.xlsx", "A 47850-2025")</f>
        <v/>
      </c>
      <c r="T1265">
        <f>HYPERLINK("https://klasma.github.io/Logging_2303/kartor/A 47850-2025 karta.png", "A 47850-2025")</f>
        <v/>
      </c>
      <c r="V1265">
        <f>HYPERLINK("https://klasma.github.io/Logging_2303/klagomål/A 47850-2025 FSC-klagomål.docx", "A 47850-2025")</f>
        <v/>
      </c>
      <c r="W1265">
        <f>HYPERLINK("https://klasma.github.io/Logging_2303/klagomålsmail/A 47850-2025 FSC-klagomål mail.docx", "A 47850-2025")</f>
        <v/>
      </c>
      <c r="X1265">
        <f>HYPERLINK("https://klasma.github.io/Logging_2303/tillsyn/A 47850-2025 tillsynsbegäran.docx", "A 47850-2025")</f>
        <v/>
      </c>
      <c r="Y1265">
        <f>HYPERLINK("https://klasma.github.io/Logging_2303/tillsynsmail/A 47850-2025 tillsynsbegäran mail.docx", "A 47850-2025")</f>
        <v/>
      </c>
    </row>
    <row r="1266" ht="15" customHeight="1">
      <c r="A1266" t="inlineStr">
        <is>
          <t>A 47858-2025</t>
        </is>
      </c>
      <c r="B1266" s="1" t="n">
        <v>45932.40699074074</v>
      </c>
      <c r="C1266" s="1" t="n">
        <v>46045</v>
      </c>
      <c r="D1266" t="inlineStr">
        <is>
          <t>JÄMTLANDS LÄN</t>
        </is>
      </c>
      <c r="E1266" t="inlineStr">
        <is>
          <t>BERG</t>
        </is>
      </c>
      <c r="F1266" t="inlineStr">
        <is>
          <t>SCA</t>
        </is>
      </c>
      <c r="G1266" t="n">
        <v>1.5</v>
      </c>
      <c r="H1266" t="n">
        <v>0</v>
      </c>
      <c r="I1266" t="n">
        <v>1</v>
      </c>
      <c r="J1266" t="n">
        <v>1</v>
      </c>
      <c r="K1266" t="n">
        <v>0</v>
      </c>
      <c r="L1266" t="n">
        <v>0</v>
      </c>
      <c r="M1266" t="n">
        <v>0</v>
      </c>
      <c r="N1266" t="n">
        <v>0</v>
      </c>
      <c r="O1266" t="n">
        <v>1</v>
      </c>
      <c r="P1266" t="n">
        <v>0</v>
      </c>
      <c r="Q1266" t="n">
        <v>2</v>
      </c>
      <c r="R1266" s="2" t="inlineStr">
        <is>
          <t>Blanksvart spiklav
Stuplav</t>
        </is>
      </c>
      <c r="S1266">
        <f>HYPERLINK("https://klasma.github.io/Logging_2326/artfynd/A 47858-2025 artfynd.xlsx", "A 47858-2025")</f>
        <v/>
      </c>
      <c r="T1266">
        <f>HYPERLINK("https://klasma.github.io/Logging_2326/kartor/A 47858-2025 karta.png", "A 47858-2025")</f>
        <v/>
      </c>
      <c r="V1266">
        <f>HYPERLINK("https://klasma.github.io/Logging_2326/klagomål/A 47858-2025 FSC-klagomål.docx", "A 47858-2025")</f>
        <v/>
      </c>
      <c r="W1266">
        <f>HYPERLINK("https://klasma.github.io/Logging_2326/klagomålsmail/A 47858-2025 FSC-klagomål mail.docx", "A 47858-2025")</f>
        <v/>
      </c>
      <c r="X1266">
        <f>HYPERLINK("https://klasma.github.io/Logging_2326/tillsyn/A 47858-2025 tillsynsbegäran.docx", "A 47858-2025")</f>
        <v/>
      </c>
      <c r="Y1266">
        <f>HYPERLINK("https://klasma.github.io/Logging_2326/tillsynsmail/A 47858-2025 tillsynsbegäran mail.docx", "A 47858-2025")</f>
        <v/>
      </c>
    </row>
    <row r="1267" ht="15" customHeight="1">
      <c r="A1267" t="inlineStr">
        <is>
          <t>A 62125-2024</t>
        </is>
      </c>
      <c r="B1267" s="1" t="n">
        <v>45656.59703703703</v>
      </c>
      <c r="C1267" s="1" t="n">
        <v>46045</v>
      </c>
      <c r="D1267" t="inlineStr">
        <is>
          <t>JÄMTLANDS LÄN</t>
        </is>
      </c>
      <c r="E1267" t="inlineStr">
        <is>
          <t>KROKOM</t>
        </is>
      </c>
      <c r="F1267" t="inlineStr">
        <is>
          <t>Övriga Aktiebolag</t>
        </is>
      </c>
      <c r="G1267" t="n">
        <v>15.9</v>
      </c>
      <c r="H1267" t="n">
        <v>2</v>
      </c>
      <c r="I1267" t="n">
        <v>0</v>
      </c>
      <c r="J1267" t="n">
        <v>2</v>
      </c>
      <c r="K1267" t="n">
        <v>0</v>
      </c>
      <c r="L1267" t="n">
        <v>0</v>
      </c>
      <c r="M1267" t="n">
        <v>0</v>
      </c>
      <c r="N1267" t="n">
        <v>0</v>
      </c>
      <c r="O1267" t="n">
        <v>2</v>
      </c>
      <c r="P1267" t="n">
        <v>0</v>
      </c>
      <c r="Q1267" t="n">
        <v>2</v>
      </c>
      <c r="R1267" s="2" t="inlineStr">
        <is>
          <t>Spillkråka
Tretåig hackspett</t>
        </is>
      </c>
      <c r="S1267">
        <f>HYPERLINK("https://klasma.github.io/Logging_2309/artfynd/A 62125-2024 artfynd.xlsx", "A 62125-2024")</f>
        <v/>
      </c>
      <c r="T1267">
        <f>HYPERLINK("https://klasma.github.io/Logging_2309/kartor/A 62125-2024 karta.png", "A 62125-2024")</f>
        <v/>
      </c>
      <c r="V1267">
        <f>HYPERLINK("https://klasma.github.io/Logging_2309/klagomål/A 62125-2024 FSC-klagomål.docx", "A 62125-2024")</f>
        <v/>
      </c>
      <c r="W1267">
        <f>HYPERLINK("https://klasma.github.io/Logging_2309/klagomålsmail/A 62125-2024 FSC-klagomål mail.docx", "A 62125-2024")</f>
        <v/>
      </c>
      <c r="X1267">
        <f>HYPERLINK("https://klasma.github.io/Logging_2309/tillsyn/A 62125-2024 tillsynsbegäran.docx", "A 62125-2024")</f>
        <v/>
      </c>
      <c r="Y1267">
        <f>HYPERLINK("https://klasma.github.io/Logging_2309/tillsynsmail/A 62125-2024 tillsynsbegäran mail.docx", "A 62125-2024")</f>
        <v/>
      </c>
      <c r="Z1267">
        <f>HYPERLINK("https://klasma.github.io/Logging_2309/fåglar/A 62125-2024 prioriterade fågelarter.docx", "A 62125-2024")</f>
        <v/>
      </c>
    </row>
    <row r="1268" ht="15" customHeight="1">
      <c r="A1268" t="inlineStr">
        <is>
          <t>A 60534-2022</t>
        </is>
      </c>
      <c r="B1268" s="1" t="n">
        <v>44904</v>
      </c>
      <c r="C1268" s="1" t="n">
        <v>46045</v>
      </c>
      <c r="D1268" t="inlineStr">
        <is>
          <t>JÄMTLANDS LÄN</t>
        </is>
      </c>
      <c r="E1268" t="inlineStr">
        <is>
          <t>ÖSTERSUND</t>
        </is>
      </c>
      <c r="G1268" t="n">
        <v>9.9</v>
      </c>
      <c r="H1268" t="n">
        <v>0</v>
      </c>
      <c r="I1268" t="n">
        <v>0</v>
      </c>
      <c r="J1268" t="n">
        <v>2</v>
      </c>
      <c r="K1268" t="n">
        <v>0</v>
      </c>
      <c r="L1268" t="n">
        <v>0</v>
      </c>
      <c r="M1268" t="n">
        <v>0</v>
      </c>
      <c r="N1268" t="n">
        <v>0</v>
      </c>
      <c r="O1268" t="n">
        <v>2</v>
      </c>
      <c r="P1268" t="n">
        <v>0</v>
      </c>
      <c r="Q1268" t="n">
        <v>2</v>
      </c>
      <c r="R1268" s="2" t="inlineStr">
        <is>
          <t>Rosenticka
Ullticka</t>
        </is>
      </c>
      <c r="S1268">
        <f>HYPERLINK("https://klasma.github.io/Logging_2380/artfynd/A 60534-2022 artfynd.xlsx", "A 60534-2022")</f>
        <v/>
      </c>
      <c r="T1268">
        <f>HYPERLINK("https://klasma.github.io/Logging_2380/kartor/A 60534-2022 karta.png", "A 60534-2022")</f>
        <v/>
      </c>
      <c r="V1268">
        <f>HYPERLINK("https://klasma.github.io/Logging_2380/klagomål/A 60534-2022 FSC-klagomål.docx", "A 60534-2022")</f>
        <v/>
      </c>
      <c r="W1268">
        <f>HYPERLINK("https://klasma.github.io/Logging_2380/klagomålsmail/A 60534-2022 FSC-klagomål mail.docx", "A 60534-2022")</f>
        <v/>
      </c>
      <c r="X1268">
        <f>HYPERLINK("https://klasma.github.io/Logging_2380/tillsyn/A 60534-2022 tillsynsbegäran.docx", "A 60534-2022")</f>
        <v/>
      </c>
      <c r="Y1268">
        <f>HYPERLINK("https://klasma.github.io/Logging_2380/tillsynsmail/A 60534-2022 tillsynsbegäran mail.docx", "A 60534-2022")</f>
        <v/>
      </c>
    </row>
    <row r="1269" ht="15" customHeight="1">
      <c r="A1269" t="inlineStr">
        <is>
          <t>A 29710-2024</t>
        </is>
      </c>
      <c r="B1269" s="1" t="n">
        <v>45485</v>
      </c>
      <c r="C1269" s="1" t="n">
        <v>46045</v>
      </c>
      <c r="D1269" t="inlineStr">
        <is>
          <t>JÄMTLANDS LÄN</t>
        </is>
      </c>
      <c r="E1269" t="inlineStr">
        <is>
          <t>HÄRJEDALEN</t>
        </is>
      </c>
      <c r="F1269" t="inlineStr">
        <is>
          <t>Holmen skog AB</t>
        </is>
      </c>
      <c r="G1269" t="n">
        <v>4</v>
      </c>
      <c r="H1269" t="n">
        <v>0</v>
      </c>
      <c r="I1269" t="n">
        <v>0</v>
      </c>
      <c r="J1269" t="n">
        <v>2</v>
      </c>
      <c r="K1269" t="n">
        <v>0</v>
      </c>
      <c r="L1269" t="n">
        <v>0</v>
      </c>
      <c r="M1269" t="n">
        <v>0</v>
      </c>
      <c r="N1269" t="n">
        <v>0</v>
      </c>
      <c r="O1269" t="n">
        <v>2</v>
      </c>
      <c r="P1269" t="n">
        <v>0</v>
      </c>
      <c r="Q1269" t="n">
        <v>2</v>
      </c>
      <c r="R1269" s="2" t="inlineStr">
        <is>
          <t>Kolflarnlav
Lunglav</t>
        </is>
      </c>
      <c r="S1269">
        <f>HYPERLINK("https://klasma.github.io/Logging_2361/artfynd/A 29710-2024 artfynd.xlsx", "A 29710-2024")</f>
        <v/>
      </c>
      <c r="T1269">
        <f>HYPERLINK("https://klasma.github.io/Logging_2361/kartor/A 29710-2024 karta.png", "A 29710-2024")</f>
        <v/>
      </c>
      <c r="V1269">
        <f>HYPERLINK("https://klasma.github.io/Logging_2361/klagomål/A 29710-2024 FSC-klagomål.docx", "A 29710-2024")</f>
        <v/>
      </c>
      <c r="W1269">
        <f>HYPERLINK("https://klasma.github.io/Logging_2361/klagomålsmail/A 29710-2024 FSC-klagomål mail.docx", "A 29710-2024")</f>
        <v/>
      </c>
      <c r="X1269">
        <f>HYPERLINK("https://klasma.github.io/Logging_2361/tillsyn/A 29710-2024 tillsynsbegäran.docx", "A 29710-2024")</f>
        <v/>
      </c>
      <c r="Y1269">
        <f>HYPERLINK("https://klasma.github.io/Logging_2361/tillsynsmail/A 29710-2024 tillsynsbegäran mail.docx", "A 29710-2024")</f>
        <v/>
      </c>
    </row>
    <row r="1270" ht="15" customHeight="1">
      <c r="A1270" t="inlineStr">
        <is>
          <t>A 29717-2024</t>
        </is>
      </c>
      <c r="B1270" s="1" t="n">
        <v>45485</v>
      </c>
      <c r="C1270" s="1" t="n">
        <v>46045</v>
      </c>
      <c r="D1270" t="inlineStr">
        <is>
          <t>JÄMTLANDS LÄN</t>
        </is>
      </c>
      <c r="E1270" t="inlineStr">
        <is>
          <t>HÄRJEDALEN</t>
        </is>
      </c>
      <c r="F1270" t="inlineStr">
        <is>
          <t>Holmen skog AB</t>
        </is>
      </c>
      <c r="G1270" t="n">
        <v>25.7</v>
      </c>
      <c r="H1270" t="n">
        <v>0</v>
      </c>
      <c r="I1270" t="n">
        <v>0</v>
      </c>
      <c r="J1270" t="n">
        <v>2</v>
      </c>
      <c r="K1270" t="n">
        <v>0</v>
      </c>
      <c r="L1270" t="n">
        <v>0</v>
      </c>
      <c r="M1270" t="n">
        <v>0</v>
      </c>
      <c r="N1270" t="n">
        <v>0</v>
      </c>
      <c r="O1270" t="n">
        <v>2</v>
      </c>
      <c r="P1270" t="n">
        <v>0</v>
      </c>
      <c r="Q1270" t="n">
        <v>2</v>
      </c>
      <c r="R1270" s="2" t="inlineStr">
        <is>
          <t>Kolflarnlav
Mörk kolflarnlav</t>
        </is>
      </c>
      <c r="S1270">
        <f>HYPERLINK("https://klasma.github.io/Logging_2361/artfynd/A 29717-2024 artfynd.xlsx", "A 29717-2024")</f>
        <v/>
      </c>
      <c r="T1270">
        <f>HYPERLINK("https://klasma.github.io/Logging_2361/kartor/A 29717-2024 karta.png", "A 29717-2024")</f>
        <v/>
      </c>
      <c r="V1270">
        <f>HYPERLINK("https://klasma.github.io/Logging_2361/klagomål/A 29717-2024 FSC-klagomål.docx", "A 29717-2024")</f>
        <v/>
      </c>
      <c r="W1270">
        <f>HYPERLINK("https://klasma.github.io/Logging_2361/klagomålsmail/A 29717-2024 FSC-klagomål mail.docx", "A 29717-2024")</f>
        <v/>
      </c>
      <c r="X1270">
        <f>HYPERLINK("https://klasma.github.io/Logging_2361/tillsyn/A 29717-2024 tillsynsbegäran.docx", "A 29717-2024")</f>
        <v/>
      </c>
      <c r="Y1270">
        <f>HYPERLINK("https://klasma.github.io/Logging_2361/tillsynsmail/A 29717-2024 tillsynsbegäran mail.docx", "A 29717-2024")</f>
        <v/>
      </c>
    </row>
    <row r="1271" ht="15" customHeight="1">
      <c r="A1271" t="inlineStr">
        <is>
          <t>A 48303-2025</t>
        </is>
      </c>
      <c r="B1271" s="1" t="n">
        <v>45933.61240740741</v>
      </c>
      <c r="C1271" s="1" t="n">
        <v>46045</v>
      </c>
      <c r="D1271" t="inlineStr">
        <is>
          <t>JÄMTLANDS LÄN</t>
        </is>
      </c>
      <c r="E1271" t="inlineStr">
        <is>
          <t>HÄRJEDALEN</t>
        </is>
      </c>
      <c r="F1271" t="inlineStr">
        <is>
          <t>Sveaskog</t>
        </is>
      </c>
      <c r="G1271" t="n">
        <v>3.7</v>
      </c>
      <c r="H1271" t="n">
        <v>0</v>
      </c>
      <c r="I1271" t="n">
        <v>0</v>
      </c>
      <c r="J1271" t="n">
        <v>2</v>
      </c>
      <c r="K1271" t="n">
        <v>0</v>
      </c>
      <c r="L1271" t="n">
        <v>0</v>
      </c>
      <c r="M1271" t="n">
        <v>0</v>
      </c>
      <c r="N1271" t="n">
        <v>0</v>
      </c>
      <c r="O1271" t="n">
        <v>2</v>
      </c>
      <c r="P1271" t="n">
        <v>0</v>
      </c>
      <c r="Q1271" t="n">
        <v>2</v>
      </c>
      <c r="R1271" s="2" t="inlineStr">
        <is>
          <t>Garnlav
Kolflarnlav</t>
        </is>
      </c>
      <c r="S1271">
        <f>HYPERLINK("https://klasma.github.io/Logging_2361/artfynd/A 48303-2025 artfynd.xlsx", "A 48303-2025")</f>
        <v/>
      </c>
      <c r="T1271">
        <f>HYPERLINK("https://klasma.github.io/Logging_2361/kartor/A 48303-2025 karta.png", "A 48303-2025")</f>
        <v/>
      </c>
      <c r="V1271">
        <f>HYPERLINK("https://klasma.github.io/Logging_2361/klagomål/A 48303-2025 FSC-klagomål.docx", "A 48303-2025")</f>
        <v/>
      </c>
      <c r="W1271">
        <f>HYPERLINK("https://klasma.github.io/Logging_2361/klagomålsmail/A 48303-2025 FSC-klagomål mail.docx", "A 48303-2025")</f>
        <v/>
      </c>
      <c r="X1271">
        <f>HYPERLINK("https://klasma.github.io/Logging_2361/tillsyn/A 48303-2025 tillsynsbegäran.docx", "A 48303-2025")</f>
        <v/>
      </c>
      <c r="Y1271">
        <f>HYPERLINK("https://klasma.github.io/Logging_2361/tillsynsmail/A 48303-2025 tillsynsbegäran mail.docx", "A 48303-2025")</f>
        <v/>
      </c>
    </row>
    <row r="1272" ht="15" customHeight="1">
      <c r="A1272" t="inlineStr">
        <is>
          <t>A 22501-2025</t>
        </is>
      </c>
      <c r="B1272" s="1" t="n">
        <v>45786.6590625</v>
      </c>
      <c r="C1272" s="1" t="n">
        <v>46045</v>
      </c>
      <c r="D1272" t="inlineStr">
        <is>
          <t>JÄMTLANDS LÄN</t>
        </is>
      </c>
      <c r="E1272" t="inlineStr">
        <is>
          <t>HÄRJEDALEN</t>
        </is>
      </c>
      <c r="F1272" t="inlineStr">
        <is>
          <t>Sveaskog</t>
        </is>
      </c>
      <c r="G1272" t="n">
        <v>10.7</v>
      </c>
      <c r="H1272" t="n">
        <v>0</v>
      </c>
      <c r="I1272" t="n">
        <v>0</v>
      </c>
      <c r="J1272" t="n">
        <v>2</v>
      </c>
      <c r="K1272" t="n">
        <v>0</v>
      </c>
      <c r="L1272" t="n">
        <v>0</v>
      </c>
      <c r="M1272" t="n">
        <v>0</v>
      </c>
      <c r="N1272" t="n">
        <v>0</v>
      </c>
      <c r="O1272" t="n">
        <v>2</v>
      </c>
      <c r="P1272" t="n">
        <v>0</v>
      </c>
      <c r="Q1272" t="n">
        <v>2</v>
      </c>
      <c r="R1272" s="2" t="inlineStr">
        <is>
          <t>Kolflarnlav
Mörk kolflarnlav</t>
        </is>
      </c>
      <c r="S1272">
        <f>HYPERLINK("https://klasma.github.io/Logging_2361/artfynd/A 22501-2025 artfynd.xlsx", "A 22501-2025")</f>
        <v/>
      </c>
      <c r="T1272">
        <f>HYPERLINK("https://klasma.github.io/Logging_2361/kartor/A 22501-2025 karta.png", "A 22501-2025")</f>
        <v/>
      </c>
      <c r="V1272">
        <f>HYPERLINK("https://klasma.github.io/Logging_2361/klagomål/A 22501-2025 FSC-klagomål.docx", "A 22501-2025")</f>
        <v/>
      </c>
      <c r="W1272">
        <f>HYPERLINK("https://klasma.github.io/Logging_2361/klagomålsmail/A 22501-2025 FSC-klagomål mail.docx", "A 22501-2025")</f>
        <v/>
      </c>
      <c r="X1272">
        <f>HYPERLINK("https://klasma.github.io/Logging_2361/tillsyn/A 22501-2025 tillsynsbegäran.docx", "A 22501-2025")</f>
        <v/>
      </c>
      <c r="Y1272">
        <f>HYPERLINK("https://klasma.github.io/Logging_2361/tillsynsmail/A 22501-2025 tillsynsbegäran mail.docx", "A 22501-2025")</f>
        <v/>
      </c>
    </row>
    <row r="1273" ht="15" customHeight="1">
      <c r="A1273" t="inlineStr">
        <is>
          <t>A 22508-2025</t>
        </is>
      </c>
      <c r="B1273" s="1" t="n">
        <v>45786.66594907407</v>
      </c>
      <c r="C1273" s="1" t="n">
        <v>46045</v>
      </c>
      <c r="D1273" t="inlineStr">
        <is>
          <t>JÄMTLANDS LÄN</t>
        </is>
      </c>
      <c r="E1273" t="inlineStr">
        <is>
          <t>HÄRJEDALEN</t>
        </is>
      </c>
      <c r="F1273" t="inlineStr">
        <is>
          <t>Sveaskog</t>
        </is>
      </c>
      <c r="G1273" t="n">
        <v>27.9</v>
      </c>
      <c r="H1273" t="n">
        <v>0</v>
      </c>
      <c r="I1273" t="n">
        <v>0</v>
      </c>
      <c r="J1273" t="n">
        <v>2</v>
      </c>
      <c r="K1273" t="n">
        <v>0</v>
      </c>
      <c r="L1273" t="n">
        <v>0</v>
      </c>
      <c r="M1273" t="n">
        <v>0</v>
      </c>
      <c r="N1273" t="n">
        <v>0</v>
      </c>
      <c r="O1273" t="n">
        <v>2</v>
      </c>
      <c r="P1273" t="n">
        <v>0</v>
      </c>
      <c r="Q1273" t="n">
        <v>2</v>
      </c>
      <c r="R1273" s="2" t="inlineStr">
        <is>
          <t>Kolflarnlav
Vedflamlav</t>
        </is>
      </c>
      <c r="S1273">
        <f>HYPERLINK("https://klasma.github.io/Logging_2361/artfynd/A 22508-2025 artfynd.xlsx", "A 22508-2025")</f>
        <v/>
      </c>
      <c r="T1273">
        <f>HYPERLINK("https://klasma.github.io/Logging_2361/kartor/A 22508-2025 karta.png", "A 22508-2025")</f>
        <v/>
      </c>
      <c r="V1273">
        <f>HYPERLINK("https://klasma.github.io/Logging_2361/klagomål/A 22508-2025 FSC-klagomål.docx", "A 22508-2025")</f>
        <v/>
      </c>
      <c r="W1273">
        <f>HYPERLINK("https://klasma.github.io/Logging_2361/klagomålsmail/A 22508-2025 FSC-klagomål mail.docx", "A 22508-2025")</f>
        <v/>
      </c>
      <c r="X1273">
        <f>HYPERLINK("https://klasma.github.io/Logging_2361/tillsyn/A 22508-2025 tillsynsbegäran.docx", "A 22508-2025")</f>
        <v/>
      </c>
      <c r="Y1273">
        <f>HYPERLINK("https://klasma.github.io/Logging_2361/tillsynsmail/A 22508-2025 tillsynsbegäran mail.docx", "A 22508-2025")</f>
        <v/>
      </c>
    </row>
    <row r="1274" ht="15" customHeight="1">
      <c r="A1274" t="inlineStr">
        <is>
          <t>A 14502-2024</t>
        </is>
      </c>
      <c r="B1274" s="1" t="n">
        <v>45394</v>
      </c>
      <c r="C1274" s="1" t="n">
        <v>46045</v>
      </c>
      <c r="D1274" t="inlineStr">
        <is>
          <t>JÄMTLANDS LÄN</t>
        </is>
      </c>
      <c r="E1274" t="inlineStr">
        <is>
          <t>RAGUNDA</t>
        </is>
      </c>
      <c r="G1274" t="n">
        <v>11.6</v>
      </c>
      <c r="H1274" t="n">
        <v>0</v>
      </c>
      <c r="I1274" t="n">
        <v>0</v>
      </c>
      <c r="J1274" t="n">
        <v>2</v>
      </c>
      <c r="K1274" t="n">
        <v>0</v>
      </c>
      <c r="L1274" t="n">
        <v>0</v>
      </c>
      <c r="M1274" t="n">
        <v>0</v>
      </c>
      <c r="N1274" t="n">
        <v>0</v>
      </c>
      <c r="O1274" t="n">
        <v>2</v>
      </c>
      <c r="P1274" t="n">
        <v>0</v>
      </c>
      <c r="Q1274" t="n">
        <v>2</v>
      </c>
      <c r="R1274" s="2" t="inlineStr">
        <is>
          <t>Garnlav
Stjärntagging</t>
        </is>
      </c>
      <c r="S1274">
        <f>HYPERLINK("https://klasma.github.io/Logging_2303/artfynd/A 14502-2024 artfynd.xlsx", "A 14502-2024")</f>
        <v/>
      </c>
      <c r="T1274">
        <f>HYPERLINK("https://klasma.github.io/Logging_2303/kartor/A 14502-2024 karta.png", "A 14502-2024")</f>
        <v/>
      </c>
      <c r="V1274">
        <f>HYPERLINK("https://klasma.github.io/Logging_2303/klagomål/A 14502-2024 FSC-klagomål.docx", "A 14502-2024")</f>
        <v/>
      </c>
      <c r="W1274">
        <f>HYPERLINK("https://klasma.github.io/Logging_2303/klagomålsmail/A 14502-2024 FSC-klagomål mail.docx", "A 14502-2024")</f>
        <v/>
      </c>
      <c r="X1274">
        <f>HYPERLINK("https://klasma.github.io/Logging_2303/tillsyn/A 14502-2024 tillsynsbegäran.docx", "A 14502-2024")</f>
        <v/>
      </c>
      <c r="Y1274">
        <f>HYPERLINK("https://klasma.github.io/Logging_2303/tillsynsmail/A 14502-2024 tillsynsbegäran mail.docx", "A 14502-2024")</f>
        <v/>
      </c>
    </row>
    <row r="1275" ht="15" customHeight="1">
      <c r="A1275" t="inlineStr">
        <is>
          <t>A 13795-2025</t>
        </is>
      </c>
      <c r="B1275" s="1" t="n">
        <v>45737</v>
      </c>
      <c r="C1275" s="1" t="n">
        <v>46045</v>
      </c>
      <c r="D1275" t="inlineStr">
        <is>
          <t>JÄMTLANDS LÄN</t>
        </is>
      </c>
      <c r="E1275" t="inlineStr">
        <is>
          <t>ÖSTERSUND</t>
        </is>
      </c>
      <c r="G1275" t="n">
        <v>13.4</v>
      </c>
      <c r="H1275" t="n">
        <v>1</v>
      </c>
      <c r="I1275" t="n">
        <v>0</v>
      </c>
      <c r="J1275" t="n">
        <v>1</v>
      </c>
      <c r="K1275" t="n">
        <v>1</v>
      </c>
      <c r="L1275" t="n">
        <v>0</v>
      </c>
      <c r="M1275" t="n">
        <v>0</v>
      </c>
      <c r="N1275" t="n">
        <v>0</v>
      </c>
      <c r="O1275" t="n">
        <v>2</v>
      </c>
      <c r="P1275" t="n">
        <v>1</v>
      </c>
      <c r="Q1275" t="n">
        <v>2</v>
      </c>
      <c r="R1275" s="2" t="inlineStr">
        <is>
          <t>Knärot
Lunglav</t>
        </is>
      </c>
      <c r="S1275">
        <f>HYPERLINK("https://klasma.github.io/Logging_2380/artfynd/A 13795-2025 artfynd.xlsx", "A 13795-2025")</f>
        <v/>
      </c>
      <c r="T1275">
        <f>HYPERLINK("https://klasma.github.io/Logging_2380/kartor/A 13795-2025 karta.png", "A 13795-2025")</f>
        <v/>
      </c>
      <c r="U1275">
        <f>HYPERLINK("https://klasma.github.io/Logging_2380/knärot/A 13795-2025 karta knärot.png", "A 13795-2025")</f>
        <v/>
      </c>
      <c r="V1275">
        <f>HYPERLINK("https://klasma.github.io/Logging_2380/klagomål/A 13795-2025 FSC-klagomål.docx", "A 13795-2025")</f>
        <v/>
      </c>
      <c r="W1275">
        <f>HYPERLINK("https://klasma.github.io/Logging_2380/klagomålsmail/A 13795-2025 FSC-klagomål mail.docx", "A 13795-2025")</f>
        <v/>
      </c>
      <c r="X1275">
        <f>HYPERLINK("https://klasma.github.io/Logging_2380/tillsyn/A 13795-2025 tillsynsbegäran.docx", "A 13795-2025")</f>
        <v/>
      </c>
      <c r="Y1275">
        <f>HYPERLINK("https://klasma.github.io/Logging_2380/tillsynsmail/A 13795-2025 tillsynsbegäran mail.docx", "A 13795-2025")</f>
        <v/>
      </c>
    </row>
    <row r="1276" ht="15" customHeight="1">
      <c r="A1276" t="inlineStr">
        <is>
          <t>A 22494-2025</t>
        </is>
      </c>
      <c r="B1276" s="1" t="n">
        <v>45786.65452546296</v>
      </c>
      <c r="C1276" s="1" t="n">
        <v>46045</v>
      </c>
      <c r="D1276" t="inlineStr">
        <is>
          <t>JÄMTLANDS LÄN</t>
        </is>
      </c>
      <c r="E1276" t="inlineStr">
        <is>
          <t>HÄRJEDALEN</t>
        </is>
      </c>
      <c r="F1276" t="inlineStr">
        <is>
          <t>Sveaskog</t>
        </is>
      </c>
      <c r="G1276" t="n">
        <v>10.7</v>
      </c>
      <c r="H1276" t="n">
        <v>0</v>
      </c>
      <c r="I1276" t="n">
        <v>0</v>
      </c>
      <c r="J1276" t="n">
        <v>2</v>
      </c>
      <c r="K1276" t="n">
        <v>0</v>
      </c>
      <c r="L1276" t="n">
        <v>0</v>
      </c>
      <c r="M1276" t="n">
        <v>0</v>
      </c>
      <c r="N1276" t="n">
        <v>0</v>
      </c>
      <c r="O1276" t="n">
        <v>2</v>
      </c>
      <c r="P1276" t="n">
        <v>0</v>
      </c>
      <c r="Q1276" t="n">
        <v>2</v>
      </c>
      <c r="R1276" s="2" t="inlineStr">
        <is>
          <t>Kolflarnlav
Mörk kolflarnlav</t>
        </is>
      </c>
      <c r="S1276">
        <f>HYPERLINK("https://klasma.github.io/Logging_2361/artfynd/A 22494-2025 artfynd.xlsx", "A 22494-2025")</f>
        <v/>
      </c>
      <c r="T1276">
        <f>HYPERLINK("https://klasma.github.io/Logging_2361/kartor/A 22494-2025 karta.png", "A 22494-2025")</f>
        <v/>
      </c>
      <c r="V1276">
        <f>HYPERLINK("https://klasma.github.io/Logging_2361/klagomål/A 22494-2025 FSC-klagomål.docx", "A 22494-2025")</f>
        <v/>
      </c>
      <c r="W1276">
        <f>HYPERLINK("https://klasma.github.io/Logging_2361/klagomålsmail/A 22494-2025 FSC-klagomål mail.docx", "A 22494-2025")</f>
        <v/>
      </c>
      <c r="X1276">
        <f>HYPERLINK("https://klasma.github.io/Logging_2361/tillsyn/A 22494-2025 tillsynsbegäran.docx", "A 22494-2025")</f>
        <v/>
      </c>
      <c r="Y1276">
        <f>HYPERLINK("https://klasma.github.io/Logging_2361/tillsynsmail/A 22494-2025 tillsynsbegäran mail.docx", "A 22494-2025")</f>
        <v/>
      </c>
    </row>
    <row r="1277" ht="15" customHeight="1">
      <c r="A1277" t="inlineStr">
        <is>
          <t>A 22513-2025</t>
        </is>
      </c>
      <c r="B1277" s="1" t="n">
        <v>45786.6768287037</v>
      </c>
      <c r="C1277" s="1" t="n">
        <v>46045</v>
      </c>
      <c r="D1277" t="inlineStr">
        <is>
          <t>JÄMTLANDS LÄN</t>
        </is>
      </c>
      <c r="E1277" t="inlineStr">
        <is>
          <t>HÄRJEDALEN</t>
        </is>
      </c>
      <c r="F1277" t="inlineStr">
        <is>
          <t>Sveaskog</t>
        </is>
      </c>
      <c r="G1277" t="n">
        <v>27.9</v>
      </c>
      <c r="H1277" t="n">
        <v>0</v>
      </c>
      <c r="I1277" t="n">
        <v>0</v>
      </c>
      <c r="J1277" t="n">
        <v>2</v>
      </c>
      <c r="K1277" t="n">
        <v>0</v>
      </c>
      <c r="L1277" t="n">
        <v>0</v>
      </c>
      <c r="M1277" t="n">
        <v>0</v>
      </c>
      <c r="N1277" t="n">
        <v>0</v>
      </c>
      <c r="O1277" t="n">
        <v>2</v>
      </c>
      <c r="P1277" t="n">
        <v>0</v>
      </c>
      <c r="Q1277" t="n">
        <v>2</v>
      </c>
      <c r="R1277" s="2" t="inlineStr">
        <is>
          <t>Kolflarnlav
Vedflamlav</t>
        </is>
      </c>
      <c r="S1277">
        <f>HYPERLINK("https://klasma.github.io/Logging_2361/artfynd/A 22513-2025 artfynd.xlsx", "A 22513-2025")</f>
        <v/>
      </c>
      <c r="T1277">
        <f>HYPERLINK("https://klasma.github.io/Logging_2361/kartor/A 22513-2025 karta.png", "A 22513-2025")</f>
        <v/>
      </c>
      <c r="V1277">
        <f>HYPERLINK("https://klasma.github.io/Logging_2361/klagomål/A 22513-2025 FSC-klagomål.docx", "A 22513-2025")</f>
        <v/>
      </c>
      <c r="W1277">
        <f>HYPERLINK("https://klasma.github.io/Logging_2361/klagomålsmail/A 22513-2025 FSC-klagomål mail.docx", "A 22513-2025")</f>
        <v/>
      </c>
      <c r="X1277">
        <f>HYPERLINK("https://klasma.github.io/Logging_2361/tillsyn/A 22513-2025 tillsynsbegäran.docx", "A 22513-2025")</f>
        <v/>
      </c>
      <c r="Y1277">
        <f>HYPERLINK("https://klasma.github.io/Logging_2361/tillsynsmail/A 22513-2025 tillsynsbegäran mail.docx", "A 22513-2025")</f>
        <v/>
      </c>
    </row>
    <row r="1278" ht="15" customHeight="1">
      <c r="A1278" t="inlineStr">
        <is>
          <t>A 5858-2025</t>
        </is>
      </c>
      <c r="B1278" s="1" t="n">
        <v>45695.34447916667</v>
      </c>
      <c r="C1278" s="1" t="n">
        <v>46045</v>
      </c>
      <c r="D1278" t="inlineStr">
        <is>
          <t>JÄMTLANDS LÄN</t>
        </is>
      </c>
      <c r="E1278" t="inlineStr">
        <is>
          <t>BRÄCKE</t>
        </is>
      </c>
      <c r="G1278" t="n">
        <v>2.7</v>
      </c>
      <c r="H1278" t="n">
        <v>1</v>
      </c>
      <c r="I1278" t="n">
        <v>0</v>
      </c>
      <c r="J1278" t="n">
        <v>0</v>
      </c>
      <c r="K1278" t="n">
        <v>0</v>
      </c>
      <c r="L1278" t="n">
        <v>2</v>
      </c>
      <c r="M1278" t="n">
        <v>0</v>
      </c>
      <c r="N1278" t="n">
        <v>0</v>
      </c>
      <c r="O1278" t="n">
        <v>2</v>
      </c>
      <c r="P1278" t="n">
        <v>2</v>
      </c>
      <c r="Q1278" t="n">
        <v>2</v>
      </c>
      <c r="R1278" s="2" t="inlineStr">
        <is>
          <t>Bredgentiana
Fältgentiana</t>
        </is>
      </c>
      <c r="S1278">
        <f>HYPERLINK("https://klasma.github.io/Logging_2305/artfynd/A 5858-2025 artfynd.xlsx", "A 5858-2025")</f>
        <v/>
      </c>
      <c r="T1278">
        <f>HYPERLINK("https://klasma.github.io/Logging_2305/kartor/A 5858-2025 karta.png", "A 5858-2025")</f>
        <v/>
      </c>
      <c r="V1278">
        <f>HYPERLINK("https://klasma.github.io/Logging_2305/klagomål/A 5858-2025 FSC-klagomål.docx", "A 5858-2025")</f>
        <v/>
      </c>
      <c r="W1278">
        <f>HYPERLINK("https://klasma.github.io/Logging_2305/klagomålsmail/A 5858-2025 FSC-klagomål mail.docx", "A 5858-2025")</f>
        <v/>
      </c>
      <c r="X1278">
        <f>HYPERLINK("https://klasma.github.io/Logging_2305/tillsyn/A 5858-2025 tillsynsbegäran.docx", "A 5858-2025")</f>
        <v/>
      </c>
      <c r="Y1278">
        <f>HYPERLINK("https://klasma.github.io/Logging_2305/tillsynsmail/A 5858-2025 tillsynsbegäran mail.docx", "A 5858-2025")</f>
        <v/>
      </c>
    </row>
    <row r="1279" ht="15" customHeight="1">
      <c r="A1279" t="inlineStr">
        <is>
          <t>A 32207-2022</t>
        </is>
      </c>
      <c r="B1279" s="1" t="n">
        <v>44781</v>
      </c>
      <c r="C1279" s="1" t="n">
        <v>46045</v>
      </c>
      <c r="D1279" t="inlineStr">
        <is>
          <t>JÄMTLANDS LÄN</t>
        </is>
      </c>
      <c r="E1279" t="inlineStr">
        <is>
          <t>ÅRE</t>
        </is>
      </c>
      <c r="G1279" t="n">
        <v>5.5</v>
      </c>
      <c r="H1279" t="n">
        <v>1</v>
      </c>
      <c r="I1279" t="n">
        <v>2</v>
      </c>
      <c r="J1279" t="n">
        <v>0</v>
      </c>
      <c r="K1279" t="n">
        <v>0</v>
      </c>
      <c r="L1279" t="n">
        <v>0</v>
      </c>
      <c r="M1279" t="n">
        <v>0</v>
      </c>
      <c r="N1279" t="n">
        <v>0</v>
      </c>
      <c r="O1279" t="n">
        <v>0</v>
      </c>
      <c r="P1279" t="n">
        <v>0</v>
      </c>
      <c r="Q1279" t="n">
        <v>2</v>
      </c>
      <c r="R1279" s="2" t="inlineStr">
        <is>
          <t>Korallrot
Ögonpyrola</t>
        </is>
      </c>
      <c r="S1279">
        <f>HYPERLINK("https://klasma.github.io/Logging_2321/artfynd/A 32207-2022 artfynd.xlsx", "A 32207-2022")</f>
        <v/>
      </c>
      <c r="T1279">
        <f>HYPERLINK("https://klasma.github.io/Logging_2321/kartor/A 32207-2022 karta.png", "A 32207-2022")</f>
        <v/>
      </c>
      <c r="V1279">
        <f>HYPERLINK("https://klasma.github.io/Logging_2321/klagomål/A 32207-2022 FSC-klagomål.docx", "A 32207-2022")</f>
        <v/>
      </c>
      <c r="W1279">
        <f>HYPERLINK("https://klasma.github.io/Logging_2321/klagomålsmail/A 32207-2022 FSC-klagomål mail.docx", "A 32207-2022")</f>
        <v/>
      </c>
      <c r="X1279">
        <f>HYPERLINK("https://klasma.github.io/Logging_2321/tillsyn/A 32207-2022 tillsynsbegäran.docx", "A 32207-2022")</f>
        <v/>
      </c>
      <c r="Y1279">
        <f>HYPERLINK("https://klasma.github.io/Logging_2321/tillsynsmail/A 32207-2022 tillsynsbegäran mail.docx", "A 32207-2022")</f>
        <v/>
      </c>
    </row>
    <row r="1280" ht="15" customHeight="1">
      <c r="A1280" t="inlineStr">
        <is>
          <t>A 49043-2025</t>
        </is>
      </c>
      <c r="B1280" s="1" t="n">
        <v>45937.63622685185</v>
      </c>
      <c r="C1280" s="1" t="n">
        <v>46045</v>
      </c>
      <c r="D1280" t="inlineStr">
        <is>
          <t>JÄMTLANDS LÄN</t>
        </is>
      </c>
      <c r="E1280" t="inlineStr">
        <is>
          <t>STRÖMSUND</t>
        </is>
      </c>
      <c r="F1280" t="inlineStr">
        <is>
          <t>SCA</t>
        </is>
      </c>
      <c r="G1280" t="n">
        <v>4</v>
      </c>
      <c r="H1280" t="n">
        <v>0</v>
      </c>
      <c r="I1280" t="n">
        <v>0</v>
      </c>
      <c r="J1280" t="n">
        <v>2</v>
      </c>
      <c r="K1280" t="n">
        <v>0</v>
      </c>
      <c r="L1280" t="n">
        <v>0</v>
      </c>
      <c r="M1280" t="n">
        <v>0</v>
      </c>
      <c r="N1280" t="n">
        <v>0</v>
      </c>
      <c r="O1280" t="n">
        <v>2</v>
      </c>
      <c r="P1280" t="n">
        <v>0</v>
      </c>
      <c r="Q1280" t="n">
        <v>2</v>
      </c>
      <c r="R1280" s="2" t="inlineStr">
        <is>
          <t>Kolflarnlav
Mörk kolflarnlav</t>
        </is>
      </c>
      <c r="S1280">
        <f>HYPERLINK("https://klasma.github.io/Logging_2313/artfynd/A 49043-2025 artfynd.xlsx", "A 49043-2025")</f>
        <v/>
      </c>
      <c r="T1280">
        <f>HYPERLINK("https://klasma.github.io/Logging_2313/kartor/A 49043-2025 karta.png", "A 49043-2025")</f>
        <v/>
      </c>
      <c r="V1280">
        <f>HYPERLINK("https://klasma.github.io/Logging_2313/klagomål/A 49043-2025 FSC-klagomål.docx", "A 49043-2025")</f>
        <v/>
      </c>
      <c r="W1280">
        <f>HYPERLINK("https://klasma.github.io/Logging_2313/klagomålsmail/A 49043-2025 FSC-klagomål mail.docx", "A 49043-2025")</f>
        <v/>
      </c>
      <c r="X1280">
        <f>HYPERLINK("https://klasma.github.io/Logging_2313/tillsyn/A 49043-2025 tillsynsbegäran.docx", "A 49043-2025")</f>
        <v/>
      </c>
      <c r="Y1280">
        <f>HYPERLINK("https://klasma.github.io/Logging_2313/tillsynsmail/A 49043-2025 tillsynsbegäran mail.docx", "A 49043-2025")</f>
        <v/>
      </c>
    </row>
    <row r="1281" ht="15" customHeight="1">
      <c r="A1281" t="inlineStr">
        <is>
          <t>A 22512-2025</t>
        </is>
      </c>
      <c r="B1281" s="1" t="n">
        <v>45786.67261574074</v>
      </c>
      <c r="C1281" s="1" t="n">
        <v>46045</v>
      </c>
      <c r="D1281" t="inlineStr">
        <is>
          <t>JÄMTLANDS LÄN</t>
        </is>
      </c>
      <c r="E1281" t="inlineStr">
        <is>
          <t>HÄRJEDALEN</t>
        </is>
      </c>
      <c r="F1281" t="inlineStr">
        <is>
          <t>Sveaskog</t>
        </is>
      </c>
      <c r="G1281" t="n">
        <v>27.9</v>
      </c>
      <c r="H1281" t="n">
        <v>0</v>
      </c>
      <c r="I1281" t="n">
        <v>0</v>
      </c>
      <c r="J1281" t="n">
        <v>2</v>
      </c>
      <c r="K1281" t="n">
        <v>0</v>
      </c>
      <c r="L1281" t="n">
        <v>0</v>
      </c>
      <c r="M1281" t="n">
        <v>0</v>
      </c>
      <c r="N1281" t="n">
        <v>0</v>
      </c>
      <c r="O1281" t="n">
        <v>2</v>
      </c>
      <c r="P1281" t="n">
        <v>0</v>
      </c>
      <c r="Q1281" t="n">
        <v>2</v>
      </c>
      <c r="R1281" s="2" t="inlineStr">
        <is>
          <t>Kolflarnlav
Vedflamlav</t>
        </is>
      </c>
      <c r="S1281">
        <f>HYPERLINK("https://klasma.github.io/Logging_2361/artfynd/A 22512-2025 artfynd.xlsx", "A 22512-2025")</f>
        <v/>
      </c>
      <c r="T1281">
        <f>HYPERLINK("https://klasma.github.io/Logging_2361/kartor/A 22512-2025 karta.png", "A 22512-2025")</f>
        <v/>
      </c>
      <c r="V1281">
        <f>HYPERLINK("https://klasma.github.io/Logging_2361/klagomål/A 22512-2025 FSC-klagomål.docx", "A 22512-2025")</f>
        <v/>
      </c>
      <c r="W1281">
        <f>HYPERLINK("https://klasma.github.io/Logging_2361/klagomålsmail/A 22512-2025 FSC-klagomål mail.docx", "A 22512-2025")</f>
        <v/>
      </c>
      <c r="X1281">
        <f>HYPERLINK("https://klasma.github.io/Logging_2361/tillsyn/A 22512-2025 tillsynsbegäran.docx", "A 22512-2025")</f>
        <v/>
      </c>
      <c r="Y1281">
        <f>HYPERLINK("https://klasma.github.io/Logging_2361/tillsynsmail/A 22512-2025 tillsynsbegäran mail.docx", "A 22512-2025")</f>
        <v/>
      </c>
    </row>
    <row r="1282" ht="15" customHeight="1">
      <c r="A1282" t="inlineStr">
        <is>
          <t>A 55331-2023</t>
        </is>
      </c>
      <c r="B1282" s="1" t="n">
        <v>45237</v>
      </c>
      <c r="C1282" s="1" t="n">
        <v>46045</v>
      </c>
      <c r="D1282" t="inlineStr">
        <is>
          <t>JÄMTLANDS LÄN</t>
        </is>
      </c>
      <c r="E1282" t="inlineStr">
        <is>
          <t>BERG</t>
        </is>
      </c>
      <c r="F1282" t="inlineStr">
        <is>
          <t>SCA</t>
        </is>
      </c>
      <c r="G1282" t="n">
        <v>8.800000000000001</v>
      </c>
      <c r="H1282" t="n">
        <v>1</v>
      </c>
      <c r="I1282" t="n">
        <v>1</v>
      </c>
      <c r="J1282" t="n">
        <v>0</v>
      </c>
      <c r="K1282" t="n">
        <v>0</v>
      </c>
      <c r="L1282" t="n">
        <v>0</v>
      </c>
      <c r="M1282" t="n">
        <v>0</v>
      </c>
      <c r="N1282" t="n">
        <v>0</v>
      </c>
      <c r="O1282" t="n">
        <v>0</v>
      </c>
      <c r="P1282" t="n">
        <v>0</v>
      </c>
      <c r="Q1282" t="n">
        <v>2</v>
      </c>
      <c r="R1282" s="2" t="inlineStr">
        <is>
          <t>Tibast
Fläcknycklar</t>
        </is>
      </c>
      <c r="S1282">
        <f>HYPERLINK("https://klasma.github.io/Logging_2326/artfynd/A 55331-2023 artfynd.xlsx", "A 55331-2023")</f>
        <v/>
      </c>
      <c r="T1282">
        <f>HYPERLINK("https://klasma.github.io/Logging_2326/kartor/A 55331-2023 karta.png", "A 55331-2023")</f>
        <v/>
      </c>
      <c r="V1282">
        <f>HYPERLINK("https://klasma.github.io/Logging_2326/klagomål/A 55331-2023 FSC-klagomål.docx", "A 55331-2023")</f>
        <v/>
      </c>
      <c r="W1282">
        <f>HYPERLINK("https://klasma.github.io/Logging_2326/klagomålsmail/A 55331-2023 FSC-klagomål mail.docx", "A 55331-2023")</f>
        <v/>
      </c>
      <c r="X1282">
        <f>HYPERLINK("https://klasma.github.io/Logging_2326/tillsyn/A 55331-2023 tillsynsbegäran.docx", "A 55331-2023")</f>
        <v/>
      </c>
      <c r="Y1282">
        <f>HYPERLINK("https://klasma.github.io/Logging_2326/tillsynsmail/A 55331-2023 tillsynsbegäran mail.docx", "A 55331-2023")</f>
        <v/>
      </c>
    </row>
    <row r="1283" ht="15" customHeight="1">
      <c r="A1283" t="inlineStr">
        <is>
          <t>A 22511-2025</t>
        </is>
      </c>
      <c r="B1283" s="1" t="n">
        <v>45786.67016203704</v>
      </c>
      <c r="C1283" s="1" t="n">
        <v>46045</v>
      </c>
      <c r="D1283" t="inlineStr">
        <is>
          <t>JÄMTLANDS LÄN</t>
        </is>
      </c>
      <c r="E1283" t="inlineStr">
        <is>
          <t>HÄRJEDALEN</t>
        </is>
      </c>
      <c r="F1283" t="inlineStr">
        <is>
          <t>Sveaskog</t>
        </is>
      </c>
      <c r="G1283" t="n">
        <v>27.9</v>
      </c>
      <c r="H1283" t="n">
        <v>0</v>
      </c>
      <c r="I1283" t="n">
        <v>0</v>
      </c>
      <c r="J1283" t="n">
        <v>2</v>
      </c>
      <c r="K1283" t="n">
        <v>0</v>
      </c>
      <c r="L1283" t="n">
        <v>0</v>
      </c>
      <c r="M1283" t="n">
        <v>0</v>
      </c>
      <c r="N1283" t="n">
        <v>0</v>
      </c>
      <c r="O1283" t="n">
        <v>2</v>
      </c>
      <c r="P1283" t="n">
        <v>0</v>
      </c>
      <c r="Q1283" t="n">
        <v>2</v>
      </c>
      <c r="R1283" s="2" t="inlineStr">
        <is>
          <t>Kolflarnlav
Vedflamlav</t>
        </is>
      </c>
      <c r="S1283">
        <f>HYPERLINK("https://klasma.github.io/Logging_2361/artfynd/A 22511-2025 artfynd.xlsx", "A 22511-2025")</f>
        <v/>
      </c>
      <c r="T1283">
        <f>HYPERLINK("https://klasma.github.io/Logging_2361/kartor/A 22511-2025 karta.png", "A 22511-2025")</f>
        <v/>
      </c>
      <c r="V1283">
        <f>HYPERLINK("https://klasma.github.io/Logging_2361/klagomål/A 22511-2025 FSC-klagomål.docx", "A 22511-2025")</f>
        <v/>
      </c>
      <c r="W1283">
        <f>HYPERLINK("https://klasma.github.io/Logging_2361/klagomålsmail/A 22511-2025 FSC-klagomål mail.docx", "A 22511-2025")</f>
        <v/>
      </c>
      <c r="X1283">
        <f>HYPERLINK("https://klasma.github.io/Logging_2361/tillsyn/A 22511-2025 tillsynsbegäran.docx", "A 22511-2025")</f>
        <v/>
      </c>
      <c r="Y1283">
        <f>HYPERLINK("https://klasma.github.io/Logging_2361/tillsynsmail/A 22511-2025 tillsynsbegäran mail.docx", "A 22511-2025")</f>
        <v/>
      </c>
    </row>
    <row r="1284" ht="15" customHeight="1">
      <c r="A1284" t="inlineStr">
        <is>
          <t>A 50389-2025</t>
        </is>
      </c>
      <c r="B1284" s="1" t="n">
        <v>45944.61539351852</v>
      </c>
      <c r="C1284" s="1" t="n">
        <v>46045</v>
      </c>
      <c r="D1284" t="inlineStr">
        <is>
          <t>JÄMTLANDS LÄN</t>
        </is>
      </c>
      <c r="E1284" t="inlineStr">
        <is>
          <t>BERG</t>
        </is>
      </c>
      <c r="F1284" t="inlineStr">
        <is>
          <t>SCA</t>
        </is>
      </c>
      <c r="G1284" t="n">
        <v>11.4</v>
      </c>
      <c r="H1284" t="n">
        <v>1</v>
      </c>
      <c r="I1284" t="n">
        <v>0</v>
      </c>
      <c r="J1284" t="n">
        <v>0</v>
      </c>
      <c r="K1284" t="n">
        <v>0</v>
      </c>
      <c r="L1284" t="n">
        <v>0</v>
      </c>
      <c r="M1284" t="n">
        <v>0</v>
      </c>
      <c r="N1284" t="n">
        <v>0</v>
      </c>
      <c r="O1284" t="n">
        <v>1</v>
      </c>
      <c r="P1284" t="n">
        <v>0</v>
      </c>
      <c r="Q1284" t="n">
        <v>2</v>
      </c>
      <c r="R1284" s="2" t="inlineStr">
        <is>
          <t>Halsfibbla
Fläcknycklar</t>
        </is>
      </c>
      <c r="S1284">
        <f>HYPERLINK("https://klasma.github.io/Logging_2326/artfynd/A 50389-2025 artfynd.xlsx", "A 50389-2025")</f>
        <v/>
      </c>
      <c r="T1284">
        <f>HYPERLINK("https://klasma.github.io/Logging_2326/kartor/A 50389-2025 karta.png", "A 50389-2025")</f>
        <v/>
      </c>
      <c r="V1284">
        <f>HYPERLINK("https://klasma.github.io/Logging_2326/klagomål/A 50389-2025 FSC-klagomål.docx", "A 50389-2025")</f>
        <v/>
      </c>
      <c r="W1284">
        <f>HYPERLINK("https://klasma.github.io/Logging_2326/klagomålsmail/A 50389-2025 FSC-klagomål mail.docx", "A 50389-2025")</f>
        <v/>
      </c>
      <c r="X1284">
        <f>HYPERLINK("https://klasma.github.io/Logging_2326/tillsyn/A 50389-2025 tillsynsbegäran.docx", "A 50389-2025")</f>
        <v/>
      </c>
      <c r="Y1284">
        <f>HYPERLINK("https://klasma.github.io/Logging_2326/tillsynsmail/A 50389-2025 tillsynsbegäran mail.docx", "A 50389-2025")</f>
        <v/>
      </c>
    </row>
    <row r="1285" ht="15" customHeight="1">
      <c r="A1285" t="inlineStr">
        <is>
          <t>A 50485-2025</t>
        </is>
      </c>
      <c r="B1285" s="1" t="n">
        <v>45945.38582175926</v>
      </c>
      <c r="C1285" s="1" t="n">
        <v>46045</v>
      </c>
      <c r="D1285" t="inlineStr">
        <is>
          <t>JÄMTLANDS LÄN</t>
        </is>
      </c>
      <c r="E1285" t="inlineStr">
        <is>
          <t>BRÄCKE</t>
        </is>
      </c>
      <c r="F1285" t="inlineStr">
        <is>
          <t>SCA</t>
        </is>
      </c>
      <c r="G1285" t="n">
        <v>2.1</v>
      </c>
      <c r="H1285" t="n">
        <v>0</v>
      </c>
      <c r="I1285" t="n">
        <v>0</v>
      </c>
      <c r="J1285" t="n">
        <v>2</v>
      </c>
      <c r="K1285" t="n">
        <v>0</v>
      </c>
      <c r="L1285" t="n">
        <v>0</v>
      </c>
      <c r="M1285" t="n">
        <v>0</v>
      </c>
      <c r="N1285" t="n">
        <v>0</v>
      </c>
      <c r="O1285" t="n">
        <v>2</v>
      </c>
      <c r="P1285" t="n">
        <v>0</v>
      </c>
      <c r="Q1285" t="n">
        <v>2</v>
      </c>
      <c r="R1285" s="2" t="inlineStr">
        <is>
          <t>Granticka
Gränsticka</t>
        </is>
      </c>
      <c r="S1285">
        <f>HYPERLINK("https://klasma.github.io/Logging_2305/artfynd/A 50485-2025 artfynd.xlsx", "A 50485-2025")</f>
        <v/>
      </c>
      <c r="T1285">
        <f>HYPERLINK("https://klasma.github.io/Logging_2305/kartor/A 50485-2025 karta.png", "A 50485-2025")</f>
        <v/>
      </c>
      <c r="V1285">
        <f>HYPERLINK("https://klasma.github.io/Logging_2305/klagomål/A 50485-2025 FSC-klagomål.docx", "A 50485-2025")</f>
        <v/>
      </c>
      <c r="W1285">
        <f>HYPERLINK("https://klasma.github.io/Logging_2305/klagomålsmail/A 50485-2025 FSC-klagomål mail.docx", "A 50485-2025")</f>
        <v/>
      </c>
      <c r="X1285">
        <f>HYPERLINK("https://klasma.github.io/Logging_2305/tillsyn/A 50485-2025 tillsynsbegäran.docx", "A 50485-2025")</f>
        <v/>
      </c>
      <c r="Y1285">
        <f>HYPERLINK("https://klasma.github.io/Logging_2305/tillsynsmail/A 50485-2025 tillsynsbegäran mail.docx", "A 50485-2025")</f>
        <v/>
      </c>
    </row>
    <row r="1286" ht="15" customHeight="1">
      <c r="A1286" t="inlineStr">
        <is>
          <t>A 50974-2025</t>
        </is>
      </c>
      <c r="B1286" s="1" t="n">
        <v>45947.31434027778</v>
      </c>
      <c r="C1286" s="1" t="n">
        <v>46045</v>
      </c>
      <c r="D1286" t="inlineStr">
        <is>
          <t>JÄMTLANDS LÄN</t>
        </is>
      </c>
      <c r="E1286" t="inlineStr">
        <is>
          <t>STRÖMSUND</t>
        </is>
      </c>
      <c r="F1286" t="inlineStr">
        <is>
          <t>Övriga statliga verk och myndigheter</t>
        </is>
      </c>
      <c r="G1286" t="n">
        <v>3.8</v>
      </c>
      <c r="H1286" t="n">
        <v>0</v>
      </c>
      <c r="I1286" t="n">
        <v>0</v>
      </c>
      <c r="J1286" t="n">
        <v>2</v>
      </c>
      <c r="K1286" t="n">
        <v>0</v>
      </c>
      <c r="L1286" t="n">
        <v>0</v>
      </c>
      <c r="M1286" t="n">
        <v>0</v>
      </c>
      <c r="N1286" t="n">
        <v>0</v>
      </c>
      <c r="O1286" t="n">
        <v>2</v>
      </c>
      <c r="P1286" t="n">
        <v>0</v>
      </c>
      <c r="Q1286" t="n">
        <v>2</v>
      </c>
      <c r="R1286" s="2" t="inlineStr">
        <is>
          <t>Garnlav
Liten svartspik</t>
        </is>
      </c>
      <c r="S1286">
        <f>HYPERLINK("https://klasma.github.io/Logging_2313/artfynd/A 50974-2025 artfynd.xlsx", "A 50974-2025")</f>
        <v/>
      </c>
      <c r="T1286">
        <f>HYPERLINK("https://klasma.github.io/Logging_2313/kartor/A 50974-2025 karta.png", "A 50974-2025")</f>
        <v/>
      </c>
      <c r="V1286">
        <f>HYPERLINK("https://klasma.github.io/Logging_2313/klagomål/A 50974-2025 FSC-klagomål.docx", "A 50974-2025")</f>
        <v/>
      </c>
      <c r="W1286">
        <f>HYPERLINK("https://klasma.github.io/Logging_2313/klagomålsmail/A 50974-2025 FSC-klagomål mail.docx", "A 50974-2025")</f>
        <v/>
      </c>
      <c r="X1286">
        <f>HYPERLINK("https://klasma.github.io/Logging_2313/tillsyn/A 50974-2025 tillsynsbegäran.docx", "A 50974-2025")</f>
        <v/>
      </c>
      <c r="Y1286">
        <f>HYPERLINK("https://klasma.github.io/Logging_2313/tillsynsmail/A 50974-2025 tillsynsbegäran mail.docx", "A 50974-2025")</f>
        <v/>
      </c>
    </row>
    <row r="1287" ht="15" customHeight="1">
      <c r="A1287" t="inlineStr">
        <is>
          <t>A 23730-2025</t>
        </is>
      </c>
      <c r="B1287" s="1" t="n">
        <v>45793.4189699074</v>
      </c>
      <c r="C1287" s="1" t="n">
        <v>46045</v>
      </c>
      <c r="D1287" t="inlineStr">
        <is>
          <t>JÄMTLANDS LÄN</t>
        </is>
      </c>
      <c r="E1287" t="inlineStr">
        <is>
          <t>KROKOM</t>
        </is>
      </c>
      <c r="G1287" t="n">
        <v>10.2</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HYPERLINK("https://klasma.github.io/Logging_2309/artfynd/A 23730-2025 artfynd.xlsx", "A 23730-2025")</f>
        <v/>
      </c>
      <c r="T1287">
        <f>HYPERLINK("https://klasma.github.io/Logging_2309/kartor/A 23730-2025 karta.png", "A 23730-2025")</f>
        <v/>
      </c>
      <c r="V1287">
        <f>HYPERLINK("https://klasma.github.io/Logging_2309/klagomål/A 23730-2025 FSC-klagomål.docx", "A 23730-2025")</f>
        <v/>
      </c>
      <c r="W1287">
        <f>HYPERLINK("https://klasma.github.io/Logging_2309/klagomålsmail/A 23730-2025 FSC-klagomål mail.docx", "A 23730-2025")</f>
        <v/>
      </c>
      <c r="X1287">
        <f>HYPERLINK("https://klasma.github.io/Logging_2309/tillsyn/A 23730-2025 tillsynsbegäran.docx", "A 23730-2025")</f>
        <v/>
      </c>
      <c r="Y1287">
        <f>HYPERLINK("https://klasma.github.io/Logging_2309/tillsynsmail/A 23730-2025 tillsynsbegäran mail.docx", "A 23730-2025")</f>
        <v/>
      </c>
      <c r="Z1287">
        <f>HYPERLINK("https://klasma.github.io/Logging_2309/fåglar/A 23730-2025 prioriterade fågelarter.docx", "A 23730-2025")</f>
        <v/>
      </c>
    </row>
    <row r="1288" ht="15" customHeight="1">
      <c r="A1288" t="inlineStr">
        <is>
          <t>A 49386-2024</t>
        </is>
      </c>
      <c r="B1288" s="1" t="n">
        <v>45595</v>
      </c>
      <c r="C1288" s="1" t="n">
        <v>46045</v>
      </c>
      <c r="D1288" t="inlineStr">
        <is>
          <t>JÄMTLANDS LÄN</t>
        </is>
      </c>
      <c r="E1288" t="inlineStr">
        <is>
          <t>KROKOM</t>
        </is>
      </c>
      <c r="G1288" t="n">
        <v>6.8</v>
      </c>
      <c r="H1288" t="n">
        <v>1</v>
      </c>
      <c r="I1288" t="n">
        <v>0</v>
      </c>
      <c r="J1288" t="n">
        <v>2</v>
      </c>
      <c r="K1288" t="n">
        <v>0</v>
      </c>
      <c r="L1288" t="n">
        <v>0</v>
      </c>
      <c r="M1288" t="n">
        <v>0</v>
      </c>
      <c r="N1288" t="n">
        <v>0</v>
      </c>
      <c r="O1288" t="n">
        <v>2</v>
      </c>
      <c r="P1288" t="n">
        <v>0</v>
      </c>
      <c r="Q1288" t="n">
        <v>2</v>
      </c>
      <c r="R1288" s="2" t="inlineStr">
        <is>
          <t>Granticka
Tretåig hackspett</t>
        </is>
      </c>
      <c r="S1288">
        <f>HYPERLINK("https://klasma.github.io/Logging_2309/artfynd/A 49386-2024 artfynd.xlsx", "A 49386-2024")</f>
        <v/>
      </c>
      <c r="T1288">
        <f>HYPERLINK("https://klasma.github.io/Logging_2309/kartor/A 49386-2024 karta.png", "A 49386-2024")</f>
        <v/>
      </c>
      <c r="V1288">
        <f>HYPERLINK("https://klasma.github.io/Logging_2309/klagomål/A 49386-2024 FSC-klagomål.docx", "A 49386-2024")</f>
        <v/>
      </c>
      <c r="W1288">
        <f>HYPERLINK("https://klasma.github.io/Logging_2309/klagomålsmail/A 49386-2024 FSC-klagomål mail.docx", "A 49386-2024")</f>
        <v/>
      </c>
      <c r="X1288">
        <f>HYPERLINK("https://klasma.github.io/Logging_2309/tillsyn/A 49386-2024 tillsynsbegäran.docx", "A 49386-2024")</f>
        <v/>
      </c>
      <c r="Y1288">
        <f>HYPERLINK("https://klasma.github.io/Logging_2309/tillsynsmail/A 49386-2024 tillsynsbegäran mail.docx", "A 49386-2024")</f>
        <v/>
      </c>
      <c r="Z1288">
        <f>HYPERLINK("https://klasma.github.io/Logging_2309/fåglar/A 49386-2024 prioriterade fågelarter.docx", "A 49386-2024")</f>
        <v/>
      </c>
    </row>
    <row r="1289" ht="15" customHeight="1">
      <c r="A1289" t="inlineStr">
        <is>
          <t>A 23625-2024</t>
        </is>
      </c>
      <c r="B1289" s="1" t="n">
        <v>45454</v>
      </c>
      <c r="C1289" s="1" t="n">
        <v>46045</v>
      </c>
      <c r="D1289" t="inlineStr">
        <is>
          <t>JÄMTLANDS LÄN</t>
        </is>
      </c>
      <c r="E1289" t="inlineStr">
        <is>
          <t>ÅRE</t>
        </is>
      </c>
      <c r="G1289" t="n">
        <v>15.2</v>
      </c>
      <c r="H1289" t="n">
        <v>2</v>
      </c>
      <c r="I1289" t="n">
        <v>0</v>
      </c>
      <c r="J1289" t="n">
        <v>1</v>
      </c>
      <c r="K1289" t="n">
        <v>0</v>
      </c>
      <c r="L1289" t="n">
        <v>0</v>
      </c>
      <c r="M1289" t="n">
        <v>0</v>
      </c>
      <c r="N1289" t="n">
        <v>0</v>
      </c>
      <c r="O1289" t="n">
        <v>1</v>
      </c>
      <c r="P1289" t="n">
        <v>0</v>
      </c>
      <c r="Q1289" t="n">
        <v>2</v>
      </c>
      <c r="R1289" s="2" t="inlineStr">
        <is>
          <t>Tretåig hackspett
Lavskrika</t>
        </is>
      </c>
      <c r="S1289">
        <f>HYPERLINK("https://klasma.github.io/Logging_2321/artfynd/A 23625-2024 artfynd.xlsx", "A 23625-2024")</f>
        <v/>
      </c>
      <c r="T1289">
        <f>HYPERLINK("https://klasma.github.io/Logging_2321/kartor/A 23625-2024 karta.png", "A 23625-2024")</f>
        <v/>
      </c>
      <c r="V1289">
        <f>HYPERLINK("https://klasma.github.io/Logging_2321/klagomål/A 23625-2024 FSC-klagomål.docx", "A 23625-2024")</f>
        <v/>
      </c>
      <c r="W1289">
        <f>HYPERLINK("https://klasma.github.io/Logging_2321/klagomålsmail/A 23625-2024 FSC-klagomål mail.docx", "A 23625-2024")</f>
        <v/>
      </c>
      <c r="X1289">
        <f>HYPERLINK("https://klasma.github.io/Logging_2321/tillsyn/A 23625-2024 tillsynsbegäran.docx", "A 23625-2024")</f>
        <v/>
      </c>
      <c r="Y1289">
        <f>HYPERLINK("https://klasma.github.io/Logging_2321/tillsynsmail/A 23625-2024 tillsynsbegäran mail.docx", "A 23625-2024")</f>
        <v/>
      </c>
      <c r="Z1289">
        <f>HYPERLINK("https://klasma.github.io/Logging_2321/fåglar/A 23625-2024 prioriterade fågelarter.docx", "A 23625-2024")</f>
        <v/>
      </c>
    </row>
    <row r="1290" ht="15" customHeight="1">
      <c r="A1290" t="inlineStr">
        <is>
          <t>A 19384-2025</t>
        </is>
      </c>
      <c r="B1290" s="1" t="n">
        <v>45769.65692129629</v>
      </c>
      <c r="C1290" s="1" t="n">
        <v>46045</v>
      </c>
      <c r="D1290" t="inlineStr">
        <is>
          <t>JÄMTLANDS LÄN</t>
        </is>
      </c>
      <c r="E1290" t="inlineStr">
        <is>
          <t>RAGUNDA</t>
        </is>
      </c>
      <c r="F1290" t="inlineStr">
        <is>
          <t>SCA</t>
        </is>
      </c>
      <c r="G1290" t="n">
        <v>2.8</v>
      </c>
      <c r="H1290" t="n">
        <v>1</v>
      </c>
      <c r="I1290" t="n">
        <v>0</v>
      </c>
      <c r="J1290" t="n">
        <v>2</v>
      </c>
      <c r="K1290" t="n">
        <v>0</v>
      </c>
      <c r="L1290" t="n">
        <v>0</v>
      </c>
      <c r="M1290" t="n">
        <v>0</v>
      </c>
      <c r="N1290" t="n">
        <v>0</v>
      </c>
      <c r="O1290" t="n">
        <v>2</v>
      </c>
      <c r="P1290" t="n">
        <v>0</v>
      </c>
      <c r="Q1290" t="n">
        <v>2</v>
      </c>
      <c r="R1290" s="2" t="inlineStr">
        <is>
          <t>Tretåig hackspett
Ullticka</t>
        </is>
      </c>
      <c r="S1290">
        <f>HYPERLINK("https://klasma.github.io/Logging_2303/artfynd/A 19384-2025 artfynd.xlsx", "A 19384-2025")</f>
        <v/>
      </c>
      <c r="T1290">
        <f>HYPERLINK("https://klasma.github.io/Logging_2303/kartor/A 19384-2025 karta.png", "A 19384-2025")</f>
        <v/>
      </c>
      <c r="V1290">
        <f>HYPERLINK("https://klasma.github.io/Logging_2303/klagomål/A 19384-2025 FSC-klagomål.docx", "A 19384-2025")</f>
        <v/>
      </c>
      <c r="W1290">
        <f>HYPERLINK("https://klasma.github.io/Logging_2303/klagomålsmail/A 19384-2025 FSC-klagomål mail.docx", "A 19384-2025")</f>
        <v/>
      </c>
      <c r="X1290">
        <f>HYPERLINK("https://klasma.github.io/Logging_2303/tillsyn/A 19384-2025 tillsynsbegäran.docx", "A 19384-2025")</f>
        <v/>
      </c>
      <c r="Y1290">
        <f>HYPERLINK("https://klasma.github.io/Logging_2303/tillsynsmail/A 19384-2025 tillsynsbegäran mail.docx", "A 19384-2025")</f>
        <v/>
      </c>
      <c r="Z1290">
        <f>HYPERLINK("https://klasma.github.io/Logging_2303/fåglar/A 19384-2025 prioriterade fågelarter.docx", "A 19384-2025")</f>
        <v/>
      </c>
    </row>
    <row r="1291" ht="15" customHeight="1">
      <c r="A1291" t="inlineStr">
        <is>
          <t>A 17489-2024</t>
        </is>
      </c>
      <c r="B1291" s="1" t="n">
        <v>45415</v>
      </c>
      <c r="C1291" s="1" t="n">
        <v>46045</v>
      </c>
      <c r="D1291" t="inlineStr">
        <is>
          <t>JÄMTLANDS LÄN</t>
        </is>
      </c>
      <c r="E1291" t="inlineStr">
        <is>
          <t>ÅRE</t>
        </is>
      </c>
      <c r="G1291" t="n">
        <v>12.9</v>
      </c>
      <c r="H1291" t="n">
        <v>1</v>
      </c>
      <c r="I1291" t="n">
        <v>0</v>
      </c>
      <c r="J1291" t="n">
        <v>2</v>
      </c>
      <c r="K1291" t="n">
        <v>0</v>
      </c>
      <c r="L1291" t="n">
        <v>0</v>
      </c>
      <c r="M1291" t="n">
        <v>0</v>
      </c>
      <c r="N1291" t="n">
        <v>0</v>
      </c>
      <c r="O1291" t="n">
        <v>2</v>
      </c>
      <c r="P1291" t="n">
        <v>0</v>
      </c>
      <c r="Q1291" t="n">
        <v>2</v>
      </c>
      <c r="R1291" s="2" t="inlineStr">
        <is>
          <t>Garnlav
Tretåig hackspett</t>
        </is>
      </c>
      <c r="S1291">
        <f>HYPERLINK("https://klasma.github.io/Logging_2321/artfynd/A 17489-2024 artfynd.xlsx", "A 17489-2024")</f>
        <v/>
      </c>
      <c r="T1291">
        <f>HYPERLINK("https://klasma.github.io/Logging_2321/kartor/A 17489-2024 karta.png", "A 17489-2024")</f>
        <v/>
      </c>
      <c r="V1291">
        <f>HYPERLINK("https://klasma.github.io/Logging_2321/klagomål/A 17489-2024 FSC-klagomål.docx", "A 17489-2024")</f>
        <v/>
      </c>
      <c r="W1291">
        <f>HYPERLINK("https://klasma.github.io/Logging_2321/klagomålsmail/A 17489-2024 FSC-klagomål mail.docx", "A 17489-2024")</f>
        <v/>
      </c>
      <c r="X1291">
        <f>HYPERLINK("https://klasma.github.io/Logging_2321/tillsyn/A 17489-2024 tillsynsbegäran.docx", "A 17489-2024")</f>
        <v/>
      </c>
      <c r="Y1291">
        <f>HYPERLINK("https://klasma.github.io/Logging_2321/tillsynsmail/A 17489-2024 tillsynsbegäran mail.docx", "A 17489-2024")</f>
        <v/>
      </c>
      <c r="Z1291">
        <f>HYPERLINK("https://klasma.github.io/Logging_2321/fåglar/A 17489-2024 prioriterade fågelarter.docx", "A 17489-2024")</f>
        <v/>
      </c>
    </row>
    <row r="1292" ht="15" customHeight="1">
      <c r="A1292" t="inlineStr">
        <is>
          <t>A 24747-2025</t>
        </is>
      </c>
      <c r="B1292" s="1" t="n">
        <v>45799.34675925926</v>
      </c>
      <c r="C1292" s="1" t="n">
        <v>46045</v>
      </c>
      <c r="D1292" t="inlineStr">
        <is>
          <t>JÄMTLANDS LÄN</t>
        </is>
      </c>
      <c r="E1292" t="inlineStr">
        <is>
          <t>BRÄCKE</t>
        </is>
      </c>
      <c r="F1292" t="inlineStr">
        <is>
          <t>SCA</t>
        </is>
      </c>
      <c r="G1292" t="n">
        <v>6.9</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HYPERLINK("https://klasma.github.io/Logging_2305/artfynd/A 24747-2025 artfynd.xlsx", "A 24747-2025")</f>
        <v/>
      </c>
      <c r="T1292">
        <f>HYPERLINK("https://klasma.github.io/Logging_2305/kartor/A 24747-2025 karta.png", "A 24747-2025")</f>
        <v/>
      </c>
      <c r="V1292">
        <f>HYPERLINK("https://klasma.github.io/Logging_2305/klagomål/A 24747-2025 FSC-klagomål.docx", "A 24747-2025")</f>
        <v/>
      </c>
      <c r="W1292">
        <f>HYPERLINK("https://klasma.github.io/Logging_2305/klagomålsmail/A 24747-2025 FSC-klagomål mail.docx", "A 24747-2025")</f>
        <v/>
      </c>
      <c r="X1292">
        <f>HYPERLINK("https://klasma.github.io/Logging_2305/tillsyn/A 24747-2025 tillsynsbegäran.docx", "A 24747-2025")</f>
        <v/>
      </c>
      <c r="Y1292">
        <f>HYPERLINK("https://klasma.github.io/Logging_2305/tillsynsmail/A 24747-2025 tillsynsbegäran mail.docx", "A 24747-2025")</f>
        <v/>
      </c>
    </row>
    <row r="1293" ht="15" customHeight="1">
      <c r="A1293" t="inlineStr">
        <is>
          <t>A 52611-2025</t>
        </is>
      </c>
      <c r="B1293" s="1" t="n">
        <v>45954.66971064815</v>
      </c>
      <c r="C1293" s="1" t="n">
        <v>46045</v>
      </c>
      <c r="D1293" t="inlineStr">
        <is>
          <t>JÄMTLANDS LÄN</t>
        </is>
      </c>
      <c r="E1293" t="inlineStr">
        <is>
          <t>BERG</t>
        </is>
      </c>
      <c r="F1293" t="inlineStr">
        <is>
          <t>Kyrkan</t>
        </is>
      </c>
      <c r="G1293" t="n">
        <v>6.3</v>
      </c>
      <c r="H1293" t="n">
        <v>1</v>
      </c>
      <c r="I1293" t="n">
        <v>0</v>
      </c>
      <c r="J1293" t="n">
        <v>1</v>
      </c>
      <c r="K1293" t="n">
        <v>0</v>
      </c>
      <c r="L1293" t="n">
        <v>0</v>
      </c>
      <c r="M1293" t="n">
        <v>0</v>
      </c>
      <c r="N1293" t="n">
        <v>0</v>
      </c>
      <c r="O1293" t="n">
        <v>1</v>
      </c>
      <c r="P1293" t="n">
        <v>0</v>
      </c>
      <c r="Q1293" t="n">
        <v>2</v>
      </c>
      <c r="R1293" s="2" t="inlineStr">
        <is>
          <t>Garnlav
Revlummer</t>
        </is>
      </c>
      <c r="S1293">
        <f>HYPERLINK("https://klasma.github.io/Logging_2326/artfynd/A 52611-2025 artfynd.xlsx", "A 52611-2025")</f>
        <v/>
      </c>
      <c r="T1293">
        <f>HYPERLINK("https://klasma.github.io/Logging_2326/kartor/A 52611-2025 karta.png", "A 52611-2025")</f>
        <v/>
      </c>
      <c r="V1293">
        <f>HYPERLINK("https://klasma.github.io/Logging_2326/klagomål/A 52611-2025 FSC-klagomål.docx", "A 52611-2025")</f>
        <v/>
      </c>
      <c r="W1293">
        <f>HYPERLINK("https://klasma.github.io/Logging_2326/klagomålsmail/A 52611-2025 FSC-klagomål mail.docx", "A 52611-2025")</f>
        <v/>
      </c>
      <c r="X1293">
        <f>HYPERLINK("https://klasma.github.io/Logging_2326/tillsyn/A 52611-2025 tillsynsbegäran.docx", "A 52611-2025")</f>
        <v/>
      </c>
      <c r="Y1293">
        <f>HYPERLINK("https://klasma.github.io/Logging_2326/tillsynsmail/A 52611-2025 tillsynsbegäran mail.docx", "A 52611-2025")</f>
        <v/>
      </c>
    </row>
    <row r="1294" ht="15" customHeight="1">
      <c r="A1294" t="inlineStr">
        <is>
          <t>A 52600-2025</t>
        </is>
      </c>
      <c r="B1294" s="1" t="n">
        <v>45954.65657407408</v>
      </c>
      <c r="C1294" s="1" t="n">
        <v>46045</v>
      </c>
      <c r="D1294" t="inlineStr">
        <is>
          <t>JÄMTLANDS LÄN</t>
        </is>
      </c>
      <c r="E1294" t="inlineStr">
        <is>
          <t>BERG</t>
        </is>
      </c>
      <c r="F1294" t="inlineStr">
        <is>
          <t>Kyrkan</t>
        </is>
      </c>
      <c r="G1294" t="n">
        <v>5.8</v>
      </c>
      <c r="H1294" t="n">
        <v>0</v>
      </c>
      <c r="I1294" t="n">
        <v>0</v>
      </c>
      <c r="J1294" t="n">
        <v>2</v>
      </c>
      <c r="K1294" t="n">
        <v>0</v>
      </c>
      <c r="L1294" t="n">
        <v>0</v>
      </c>
      <c r="M1294" t="n">
        <v>0</v>
      </c>
      <c r="N1294" t="n">
        <v>0</v>
      </c>
      <c r="O1294" t="n">
        <v>2</v>
      </c>
      <c r="P1294" t="n">
        <v>0</v>
      </c>
      <c r="Q1294" t="n">
        <v>2</v>
      </c>
      <c r="R1294" s="2" t="inlineStr">
        <is>
          <t>Garnlav
Lunglav</t>
        </is>
      </c>
      <c r="S1294">
        <f>HYPERLINK("https://klasma.github.io/Logging_2326/artfynd/A 52600-2025 artfynd.xlsx", "A 52600-2025")</f>
        <v/>
      </c>
      <c r="T1294">
        <f>HYPERLINK("https://klasma.github.io/Logging_2326/kartor/A 52600-2025 karta.png", "A 52600-2025")</f>
        <v/>
      </c>
      <c r="V1294">
        <f>HYPERLINK("https://klasma.github.io/Logging_2326/klagomål/A 52600-2025 FSC-klagomål.docx", "A 52600-2025")</f>
        <v/>
      </c>
      <c r="W1294">
        <f>HYPERLINK("https://klasma.github.io/Logging_2326/klagomålsmail/A 52600-2025 FSC-klagomål mail.docx", "A 52600-2025")</f>
        <v/>
      </c>
      <c r="X1294">
        <f>HYPERLINK("https://klasma.github.io/Logging_2326/tillsyn/A 52600-2025 tillsynsbegäran.docx", "A 52600-2025")</f>
        <v/>
      </c>
      <c r="Y1294">
        <f>HYPERLINK("https://klasma.github.io/Logging_2326/tillsynsmail/A 52600-2025 tillsynsbegäran mail.docx", "A 52600-2025")</f>
        <v/>
      </c>
    </row>
    <row r="1295" ht="15" customHeight="1">
      <c r="A1295" t="inlineStr">
        <is>
          <t>A 25155-2025</t>
        </is>
      </c>
      <c r="B1295" s="1" t="n">
        <v>45800.42782407408</v>
      </c>
      <c r="C1295" s="1" t="n">
        <v>46045</v>
      </c>
      <c r="D1295" t="inlineStr">
        <is>
          <t>JÄMTLANDS LÄN</t>
        </is>
      </c>
      <c r="E1295" t="inlineStr">
        <is>
          <t>RAGUNDA</t>
        </is>
      </c>
      <c r="F1295" t="inlineStr">
        <is>
          <t>SCA</t>
        </is>
      </c>
      <c r="G1295" t="n">
        <v>1.7</v>
      </c>
      <c r="H1295" t="n">
        <v>1</v>
      </c>
      <c r="I1295" t="n">
        <v>0</v>
      </c>
      <c r="J1295" t="n">
        <v>1</v>
      </c>
      <c r="K1295" t="n">
        <v>0</v>
      </c>
      <c r="L1295" t="n">
        <v>0</v>
      </c>
      <c r="M1295" t="n">
        <v>0</v>
      </c>
      <c r="N1295" t="n">
        <v>0</v>
      </c>
      <c r="O1295" t="n">
        <v>1</v>
      </c>
      <c r="P1295" t="n">
        <v>0</v>
      </c>
      <c r="Q1295" t="n">
        <v>2</v>
      </c>
      <c r="R1295" s="2" t="inlineStr">
        <is>
          <t>Leptoporus mollis
Fläcknycklar</t>
        </is>
      </c>
      <c r="S1295">
        <f>HYPERLINK("https://klasma.github.io/Logging_2303/artfynd/A 25155-2025 artfynd.xlsx", "A 25155-2025")</f>
        <v/>
      </c>
      <c r="T1295">
        <f>HYPERLINK("https://klasma.github.io/Logging_2303/kartor/A 25155-2025 karta.png", "A 25155-2025")</f>
        <v/>
      </c>
      <c r="V1295">
        <f>HYPERLINK("https://klasma.github.io/Logging_2303/klagomål/A 25155-2025 FSC-klagomål.docx", "A 25155-2025")</f>
        <v/>
      </c>
      <c r="W1295">
        <f>HYPERLINK("https://klasma.github.io/Logging_2303/klagomålsmail/A 25155-2025 FSC-klagomål mail.docx", "A 25155-2025")</f>
        <v/>
      </c>
      <c r="X1295">
        <f>HYPERLINK("https://klasma.github.io/Logging_2303/tillsyn/A 25155-2025 tillsynsbegäran.docx", "A 25155-2025")</f>
        <v/>
      </c>
      <c r="Y1295">
        <f>HYPERLINK("https://klasma.github.io/Logging_2303/tillsynsmail/A 25155-2025 tillsynsbegäran mail.docx", "A 25155-2025")</f>
        <v/>
      </c>
    </row>
    <row r="1296" ht="15" customHeight="1">
      <c r="A1296" t="inlineStr">
        <is>
          <t>A 53312-2025</t>
        </is>
      </c>
      <c r="B1296" s="1" t="n">
        <v>45959.34450231482</v>
      </c>
      <c r="C1296" s="1" t="n">
        <v>46045</v>
      </c>
      <c r="D1296" t="inlineStr">
        <is>
          <t>JÄMTLANDS LÄN</t>
        </is>
      </c>
      <c r="E1296" t="inlineStr">
        <is>
          <t>KROKOM</t>
        </is>
      </c>
      <c r="F1296" t="inlineStr">
        <is>
          <t>SCA</t>
        </is>
      </c>
      <c r="G1296" t="n">
        <v>3.7</v>
      </c>
      <c r="H1296" t="n">
        <v>1</v>
      </c>
      <c r="I1296" t="n">
        <v>0</v>
      </c>
      <c r="J1296" t="n">
        <v>2</v>
      </c>
      <c r="K1296" t="n">
        <v>0</v>
      </c>
      <c r="L1296" t="n">
        <v>0</v>
      </c>
      <c r="M1296" t="n">
        <v>0</v>
      </c>
      <c r="N1296" t="n">
        <v>0</v>
      </c>
      <c r="O1296" t="n">
        <v>2</v>
      </c>
      <c r="P1296" t="n">
        <v>0</v>
      </c>
      <c r="Q1296" t="n">
        <v>2</v>
      </c>
      <c r="R1296" s="2" t="inlineStr">
        <is>
          <t>Harticka
Tretåig hackspett</t>
        </is>
      </c>
      <c r="S1296">
        <f>HYPERLINK("https://klasma.github.io/Logging_2309/artfynd/A 53312-2025 artfynd.xlsx", "A 53312-2025")</f>
        <v/>
      </c>
      <c r="T1296">
        <f>HYPERLINK("https://klasma.github.io/Logging_2309/kartor/A 53312-2025 karta.png", "A 53312-2025")</f>
        <v/>
      </c>
      <c r="V1296">
        <f>HYPERLINK("https://klasma.github.io/Logging_2309/klagomål/A 53312-2025 FSC-klagomål.docx", "A 53312-2025")</f>
        <v/>
      </c>
      <c r="W1296">
        <f>HYPERLINK("https://klasma.github.io/Logging_2309/klagomålsmail/A 53312-2025 FSC-klagomål mail.docx", "A 53312-2025")</f>
        <v/>
      </c>
      <c r="X1296">
        <f>HYPERLINK("https://klasma.github.io/Logging_2309/tillsyn/A 53312-2025 tillsynsbegäran.docx", "A 53312-2025")</f>
        <v/>
      </c>
      <c r="Y1296">
        <f>HYPERLINK("https://klasma.github.io/Logging_2309/tillsynsmail/A 53312-2025 tillsynsbegäran mail.docx", "A 53312-2025")</f>
        <v/>
      </c>
      <c r="Z1296">
        <f>HYPERLINK("https://klasma.github.io/Logging_2309/fåglar/A 53312-2025 prioriterade fågelarter.docx", "A 53312-2025")</f>
        <v/>
      </c>
    </row>
    <row r="1297" ht="15" customHeight="1">
      <c r="A1297" t="inlineStr">
        <is>
          <t>A 25952-2025</t>
        </is>
      </c>
      <c r="B1297" s="1" t="n">
        <v>45804.60005787037</v>
      </c>
      <c r="C1297" s="1" t="n">
        <v>46045</v>
      </c>
      <c r="D1297" t="inlineStr">
        <is>
          <t>JÄMTLANDS LÄN</t>
        </is>
      </c>
      <c r="E1297" t="inlineStr">
        <is>
          <t>KROKOM</t>
        </is>
      </c>
      <c r="G1297" t="n">
        <v>18.7</v>
      </c>
      <c r="H1297" t="n">
        <v>0</v>
      </c>
      <c r="I1297" t="n">
        <v>0</v>
      </c>
      <c r="J1297" t="n">
        <v>2</v>
      </c>
      <c r="K1297" t="n">
        <v>0</v>
      </c>
      <c r="L1297" t="n">
        <v>0</v>
      </c>
      <c r="M1297" t="n">
        <v>0</v>
      </c>
      <c r="N1297" t="n">
        <v>0</v>
      </c>
      <c r="O1297" t="n">
        <v>2</v>
      </c>
      <c r="P1297" t="n">
        <v>0</v>
      </c>
      <c r="Q1297" t="n">
        <v>2</v>
      </c>
      <c r="R1297" s="2" t="inlineStr">
        <is>
          <t>Garnlav
Skrovellav</t>
        </is>
      </c>
      <c r="S1297">
        <f>HYPERLINK("https://klasma.github.io/Logging_2309/artfynd/A 25952-2025 artfynd.xlsx", "A 25952-2025")</f>
        <v/>
      </c>
      <c r="T1297">
        <f>HYPERLINK("https://klasma.github.io/Logging_2309/kartor/A 25952-2025 karta.png", "A 25952-2025")</f>
        <v/>
      </c>
      <c r="V1297">
        <f>HYPERLINK("https://klasma.github.io/Logging_2309/klagomål/A 25952-2025 FSC-klagomål.docx", "A 25952-2025")</f>
        <v/>
      </c>
      <c r="W1297">
        <f>HYPERLINK("https://klasma.github.io/Logging_2309/klagomålsmail/A 25952-2025 FSC-klagomål mail.docx", "A 25952-2025")</f>
        <v/>
      </c>
      <c r="X1297">
        <f>HYPERLINK("https://klasma.github.io/Logging_2309/tillsyn/A 25952-2025 tillsynsbegäran.docx", "A 25952-2025")</f>
        <v/>
      </c>
      <c r="Y1297">
        <f>HYPERLINK("https://klasma.github.io/Logging_2309/tillsynsmail/A 25952-2025 tillsynsbegäran mail.docx", "A 25952-2025")</f>
        <v/>
      </c>
    </row>
    <row r="1298" ht="15" customHeight="1">
      <c r="A1298" t="inlineStr">
        <is>
          <t>A 57940-2024</t>
        </is>
      </c>
      <c r="B1298" s="1" t="n">
        <v>45631</v>
      </c>
      <c r="C1298" s="1" t="n">
        <v>46045</v>
      </c>
      <c r="D1298" t="inlineStr">
        <is>
          <t>JÄMTLANDS LÄN</t>
        </is>
      </c>
      <c r="E1298" t="inlineStr">
        <is>
          <t>RAGUNDA</t>
        </is>
      </c>
      <c r="F1298" t="inlineStr">
        <is>
          <t>SCA</t>
        </is>
      </c>
      <c r="G1298" t="n">
        <v>1.9</v>
      </c>
      <c r="H1298" t="n">
        <v>1</v>
      </c>
      <c r="I1298" t="n">
        <v>0</v>
      </c>
      <c r="J1298" t="n">
        <v>2</v>
      </c>
      <c r="K1298" t="n">
        <v>0</v>
      </c>
      <c r="L1298" t="n">
        <v>0</v>
      </c>
      <c r="M1298" t="n">
        <v>0</v>
      </c>
      <c r="N1298" t="n">
        <v>0</v>
      </c>
      <c r="O1298" t="n">
        <v>2</v>
      </c>
      <c r="P1298" t="n">
        <v>0</v>
      </c>
      <c r="Q1298" t="n">
        <v>2</v>
      </c>
      <c r="R1298" s="2" t="inlineStr">
        <is>
          <t>Lunglav
Tretåig hackspett</t>
        </is>
      </c>
      <c r="S1298">
        <f>HYPERLINK("https://klasma.github.io/Logging_2303/artfynd/A 57940-2024 artfynd.xlsx", "A 57940-2024")</f>
        <v/>
      </c>
      <c r="T1298">
        <f>HYPERLINK("https://klasma.github.io/Logging_2303/kartor/A 57940-2024 karta.png", "A 57940-2024")</f>
        <v/>
      </c>
      <c r="V1298">
        <f>HYPERLINK("https://klasma.github.io/Logging_2303/klagomål/A 57940-2024 FSC-klagomål.docx", "A 57940-2024")</f>
        <v/>
      </c>
      <c r="W1298">
        <f>HYPERLINK("https://klasma.github.io/Logging_2303/klagomålsmail/A 57940-2024 FSC-klagomål mail.docx", "A 57940-2024")</f>
        <v/>
      </c>
      <c r="X1298">
        <f>HYPERLINK("https://klasma.github.io/Logging_2303/tillsyn/A 57940-2024 tillsynsbegäran.docx", "A 57940-2024")</f>
        <v/>
      </c>
      <c r="Y1298">
        <f>HYPERLINK("https://klasma.github.io/Logging_2303/tillsynsmail/A 57940-2024 tillsynsbegäran mail.docx", "A 57940-2024")</f>
        <v/>
      </c>
      <c r="Z1298">
        <f>HYPERLINK("https://klasma.github.io/Logging_2303/fåglar/A 57940-2024 prioriterade fågelarter.docx", "A 57940-2024")</f>
        <v/>
      </c>
    </row>
    <row r="1299" ht="15" customHeight="1">
      <c r="A1299" t="inlineStr">
        <is>
          <t>A 26178-2025</t>
        </is>
      </c>
      <c r="B1299" s="1" t="n">
        <v>45805.46917824074</v>
      </c>
      <c r="C1299" s="1" t="n">
        <v>46045</v>
      </c>
      <c r="D1299" t="inlineStr">
        <is>
          <t>JÄMTLANDS LÄN</t>
        </is>
      </c>
      <c r="E1299" t="inlineStr">
        <is>
          <t>BRÄCKE</t>
        </is>
      </c>
      <c r="G1299" t="n">
        <v>6.9</v>
      </c>
      <c r="H1299" t="n">
        <v>1</v>
      </c>
      <c r="I1299" t="n">
        <v>1</v>
      </c>
      <c r="J1299" t="n">
        <v>0</v>
      </c>
      <c r="K1299" t="n">
        <v>0</v>
      </c>
      <c r="L1299" t="n">
        <v>0</v>
      </c>
      <c r="M1299" t="n">
        <v>0</v>
      </c>
      <c r="N1299" t="n">
        <v>0</v>
      </c>
      <c r="O1299" t="n">
        <v>0</v>
      </c>
      <c r="P1299" t="n">
        <v>0</v>
      </c>
      <c r="Q1299" t="n">
        <v>2</v>
      </c>
      <c r="R1299" s="2" t="inlineStr">
        <is>
          <t>Vårärt
Blåsippa</t>
        </is>
      </c>
      <c r="S1299">
        <f>HYPERLINK("https://klasma.github.io/Logging_2305/artfynd/A 26178-2025 artfynd.xlsx", "A 26178-2025")</f>
        <v/>
      </c>
      <c r="T1299">
        <f>HYPERLINK("https://klasma.github.io/Logging_2305/kartor/A 26178-2025 karta.png", "A 26178-2025")</f>
        <v/>
      </c>
      <c r="V1299">
        <f>HYPERLINK("https://klasma.github.io/Logging_2305/klagomål/A 26178-2025 FSC-klagomål.docx", "A 26178-2025")</f>
        <v/>
      </c>
      <c r="W1299">
        <f>HYPERLINK("https://klasma.github.io/Logging_2305/klagomålsmail/A 26178-2025 FSC-klagomål mail.docx", "A 26178-2025")</f>
        <v/>
      </c>
      <c r="X1299">
        <f>HYPERLINK("https://klasma.github.io/Logging_2305/tillsyn/A 26178-2025 tillsynsbegäran.docx", "A 26178-2025")</f>
        <v/>
      </c>
      <c r="Y1299">
        <f>HYPERLINK("https://klasma.github.io/Logging_2305/tillsynsmail/A 26178-2025 tillsynsbegäran mail.docx", "A 26178-2025")</f>
        <v/>
      </c>
    </row>
    <row r="1300" ht="15" customHeight="1">
      <c r="A1300" t="inlineStr">
        <is>
          <t>A 26346-2025</t>
        </is>
      </c>
      <c r="B1300" s="1" t="n">
        <v>45805.73822916667</v>
      </c>
      <c r="C1300" s="1" t="n">
        <v>46045</v>
      </c>
      <c r="D1300" t="inlineStr">
        <is>
          <t>JÄMTLANDS LÄN</t>
        </is>
      </c>
      <c r="E1300" t="inlineStr">
        <is>
          <t>HÄRJEDALEN</t>
        </is>
      </c>
      <c r="F1300" t="inlineStr">
        <is>
          <t>Sveaskog</t>
        </is>
      </c>
      <c r="G1300" t="n">
        <v>3.6</v>
      </c>
      <c r="H1300" t="n">
        <v>0</v>
      </c>
      <c r="I1300" t="n">
        <v>0</v>
      </c>
      <c r="J1300" t="n">
        <v>2</v>
      </c>
      <c r="K1300" t="n">
        <v>0</v>
      </c>
      <c r="L1300" t="n">
        <v>0</v>
      </c>
      <c r="M1300" t="n">
        <v>0</v>
      </c>
      <c r="N1300" t="n">
        <v>0</v>
      </c>
      <c r="O1300" t="n">
        <v>2</v>
      </c>
      <c r="P1300" t="n">
        <v>0</v>
      </c>
      <c r="Q1300" t="n">
        <v>2</v>
      </c>
      <c r="R1300" s="2" t="inlineStr">
        <is>
          <t>Garnlav
Lunglav</t>
        </is>
      </c>
      <c r="S1300">
        <f>HYPERLINK("https://klasma.github.io/Logging_2361/artfynd/A 26346-2025 artfynd.xlsx", "A 26346-2025")</f>
        <v/>
      </c>
      <c r="T1300">
        <f>HYPERLINK("https://klasma.github.io/Logging_2361/kartor/A 26346-2025 karta.png", "A 26346-2025")</f>
        <v/>
      </c>
      <c r="V1300">
        <f>HYPERLINK("https://klasma.github.io/Logging_2361/klagomål/A 26346-2025 FSC-klagomål.docx", "A 26346-2025")</f>
        <v/>
      </c>
      <c r="W1300">
        <f>HYPERLINK("https://klasma.github.io/Logging_2361/klagomålsmail/A 26346-2025 FSC-klagomål mail.docx", "A 26346-2025")</f>
        <v/>
      </c>
      <c r="X1300">
        <f>HYPERLINK("https://klasma.github.io/Logging_2361/tillsyn/A 26346-2025 tillsynsbegäran.docx", "A 26346-2025")</f>
        <v/>
      </c>
      <c r="Y1300">
        <f>HYPERLINK("https://klasma.github.io/Logging_2361/tillsynsmail/A 26346-2025 tillsynsbegäran mail.docx", "A 26346-2025")</f>
        <v/>
      </c>
    </row>
    <row r="1301" ht="15" customHeight="1">
      <c r="A1301" t="inlineStr">
        <is>
          <t>A 50438-2022</t>
        </is>
      </c>
      <c r="B1301" s="1" t="n">
        <v>44866.46503472222</v>
      </c>
      <c r="C1301" s="1" t="n">
        <v>46045</v>
      </c>
      <c r="D1301" t="inlineStr">
        <is>
          <t>JÄMTLANDS LÄN</t>
        </is>
      </c>
      <c r="E1301" t="inlineStr">
        <is>
          <t>HÄRJEDALEN</t>
        </is>
      </c>
      <c r="F1301" t="inlineStr">
        <is>
          <t>Bergvik skog väst AB</t>
        </is>
      </c>
      <c r="G1301" t="n">
        <v>4.6</v>
      </c>
      <c r="H1301" t="n">
        <v>1</v>
      </c>
      <c r="I1301" t="n">
        <v>0</v>
      </c>
      <c r="J1301" t="n">
        <v>1</v>
      </c>
      <c r="K1301" t="n">
        <v>1</v>
      </c>
      <c r="L1301" t="n">
        <v>0</v>
      </c>
      <c r="M1301" t="n">
        <v>0</v>
      </c>
      <c r="N1301" t="n">
        <v>0</v>
      </c>
      <c r="O1301" t="n">
        <v>2</v>
      </c>
      <c r="P1301" t="n">
        <v>1</v>
      </c>
      <c r="Q1301" t="n">
        <v>2</v>
      </c>
      <c r="R1301" s="2" t="inlineStr">
        <is>
          <t>Knärot
Skrovellav</t>
        </is>
      </c>
      <c r="S1301">
        <f>HYPERLINK("https://klasma.github.io/Logging_2361/artfynd/A 50438-2022 artfynd.xlsx", "A 50438-2022")</f>
        <v/>
      </c>
      <c r="T1301">
        <f>HYPERLINK("https://klasma.github.io/Logging_2361/kartor/A 50438-2022 karta.png", "A 50438-2022")</f>
        <v/>
      </c>
      <c r="U1301">
        <f>HYPERLINK("https://klasma.github.io/Logging_2361/knärot/A 50438-2022 karta knärot.png", "A 50438-2022")</f>
        <v/>
      </c>
      <c r="V1301">
        <f>HYPERLINK("https://klasma.github.io/Logging_2361/klagomål/A 50438-2022 FSC-klagomål.docx", "A 50438-2022")</f>
        <v/>
      </c>
      <c r="W1301">
        <f>HYPERLINK("https://klasma.github.io/Logging_2361/klagomålsmail/A 50438-2022 FSC-klagomål mail.docx", "A 50438-2022")</f>
        <v/>
      </c>
      <c r="X1301">
        <f>HYPERLINK("https://klasma.github.io/Logging_2361/tillsyn/A 50438-2022 tillsynsbegäran.docx", "A 50438-2022")</f>
        <v/>
      </c>
      <c r="Y1301">
        <f>HYPERLINK("https://klasma.github.io/Logging_2361/tillsynsmail/A 50438-2022 tillsynsbegäran mail.docx", "A 50438-2022")</f>
        <v/>
      </c>
    </row>
    <row r="1302" ht="15" customHeight="1">
      <c r="A1302" t="inlineStr">
        <is>
          <t>A 62161-2025</t>
        </is>
      </c>
      <c r="B1302" s="1" t="n">
        <v>46006.49113425926</v>
      </c>
      <c r="C1302" s="1" t="n">
        <v>46045</v>
      </c>
      <c r="D1302" t="inlineStr">
        <is>
          <t>JÄMTLANDS LÄN</t>
        </is>
      </c>
      <c r="E1302" t="inlineStr">
        <is>
          <t>BERG</t>
        </is>
      </c>
      <c r="F1302" t="inlineStr">
        <is>
          <t>SCA</t>
        </is>
      </c>
      <c r="G1302" t="n">
        <v>2.6</v>
      </c>
      <c r="H1302" t="n">
        <v>1</v>
      </c>
      <c r="I1302" t="n">
        <v>0</v>
      </c>
      <c r="J1302" t="n">
        <v>2</v>
      </c>
      <c r="K1302" t="n">
        <v>0</v>
      </c>
      <c r="L1302" t="n">
        <v>0</v>
      </c>
      <c r="M1302" t="n">
        <v>0</v>
      </c>
      <c r="N1302" t="n">
        <v>0</v>
      </c>
      <c r="O1302" t="n">
        <v>2</v>
      </c>
      <c r="P1302" t="n">
        <v>0</v>
      </c>
      <c r="Q1302" t="n">
        <v>2</v>
      </c>
      <c r="R1302" s="2" t="inlineStr">
        <is>
          <t>Granticka
Tretåig hackspett</t>
        </is>
      </c>
      <c r="S1302">
        <f>HYPERLINK("https://klasma.github.io/Logging_2326/artfynd/A 62161-2025 artfynd.xlsx", "A 62161-2025")</f>
        <v/>
      </c>
      <c r="T1302">
        <f>HYPERLINK("https://klasma.github.io/Logging_2326/kartor/A 62161-2025 karta.png", "A 62161-2025")</f>
        <v/>
      </c>
      <c r="V1302">
        <f>HYPERLINK("https://klasma.github.io/Logging_2326/klagomål/A 62161-2025 FSC-klagomål.docx", "A 62161-2025")</f>
        <v/>
      </c>
      <c r="W1302">
        <f>HYPERLINK("https://klasma.github.io/Logging_2326/klagomålsmail/A 62161-2025 FSC-klagomål mail.docx", "A 62161-2025")</f>
        <v/>
      </c>
      <c r="X1302">
        <f>HYPERLINK("https://klasma.github.io/Logging_2326/tillsyn/A 62161-2025 tillsynsbegäran.docx", "A 62161-2025")</f>
        <v/>
      </c>
      <c r="Y1302">
        <f>HYPERLINK("https://klasma.github.io/Logging_2326/tillsynsmail/A 62161-2025 tillsynsbegäran mail.docx", "A 62161-2025")</f>
        <v/>
      </c>
      <c r="Z1302">
        <f>HYPERLINK("https://klasma.github.io/Logging_2326/fåglar/A 62161-2025 prioriterade fågelarter.docx", "A 62161-2025")</f>
        <v/>
      </c>
    </row>
    <row r="1303" ht="15" customHeight="1">
      <c r="A1303" t="inlineStr">
        <is>
          <t>A 60503-2023</t>
        </is>
      </c>
      <c r="B1303" s="1" t="n">
        <v>45258</v>
      </c>
      <c r="C1303" s="1" t="n">
        <v>46045</v>
      </c>
      <c r="D1303" t="inlineStr">
        <is>
          <t>JÄMTLANDS LÄN</t>
        </is>
      </c>
      <c r="E1303" t="inlineStr">
        <is>
          <t>STRÖMSUND</t>
        </is>
      </c>
      <c r="G1303" t="n">
        <v>5.7</v>
      </c>
      <c r="H1303" t="n">
        <v>1</v>
      </c>
      <c r="I1303" t="n">
        <v>0</v>
      </c>
      <c r="J1303" t="n">
        <v>2</v>
      </c>
      <c r="K1303" t="n">
        <v>0</v>
      </c>
      <c r="L1303" t="n">
        <v>0</v>
      </c>
      <c r="M1303" t="n">
        <v>0</v>
      </c>
      <c r="N1303" t="n">
        <v>0</v>
      </c>
      <c r="O1303" t="n">
        <v>2</v>
      </c>
      <c r="P1303" t="n">
        <v>0</v>
      </c>
      <c r="Q1303" t="n">
        <v>2</v>
      </c>
      <c r="R1303" s="2" t="inlineStr">
        <is>
          <t>Garnlav
Tretåig hackspett</t>
        </is>
      </c>
      <c r="S1303">
        <f>HYPERLINK("https://klasma.github.io/Logging_2313/artfynd/A 60503-2023 artfynd.xlsx", "A 60503-2023")</f>
        <v/>
      </c>
      <c r="T1303">
        <f>HYPERLINK("https://klasma.github.io/Logging_2313/kartor/A 60503-2023 karta.png", "A 60503-2023")</f>
        <v/>
      </c>
      <c r="V1303">
        <f>HYPERLINK("https://klasma.github.io/Logging_2313/klagomål/A 60503-2023 FSC-klagomål.docx", "A 60503-2023")</f>
        <v/>
      </c>
      <c r="W1303">
        <f>HYPERLINK("https://klasma.github.io/Logging_2313/klagomålsmail/A 60503-2023 FSC-klagomål mail.docx", "A 60503-2023")</f>
        <v/>
      </c>
      <c r="X1303">
        <f>HYPERLINK("https://klasma.github.io/Logging_2313/tillsyn/A 60503-2023 tillsynsbegäran.docx", "A 60503-2023")</f>
        <v/>
      </c>
      <c r="Y1303">
        <f>HYPERLINK("https://klasma.github.io/Logging_2313/tillsynsmail/A 60503-2023 tillsynsbegäran mail.docx", "A 60503-2023")</f>
        <v/>
      </c>
      <c r="Z1303">
        <f>HYPERLINK("https://klasma.github.io/Logging_2313/fåglar/A 60503-2023 prioriterade fågelarter.docx", "A 60503-2023")</f>
        <v/>
      </c>
    </row>
    <row r="1304" ht="15" customHeight="1">
      <c r="A1304" t="inlineStr">
        <is>
          <t>A 62159-2025</t>
        </is>
      </c>
      <c r="B1304" s="1" t="n">
        <v>46006.49081018518</v>
      </c>
      <c r="C1304" s="1" t="n">
        <v>46045</v>
      </c>
      <c r="D1304" t="inlineStr">
        <is>
          <t>JÄMTLANDS LÄN</t>
        </is>
      </c>
      <c r="E1304" t="inlineStr">
        <is>
          <t>BERG</t>
        </is>
      </c>
      <c r="F1304" t="inlineStr">
        <is>
          <t>SCA</t>
        </is>
      </c>
      <c r="G1304" t="n">
        <v>3.8</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HYPERLINK("https://klasma.github.io/Logging_2326/artfynd/A 62159-2025 artfynd.xlsx", "A 62159-2025")</f>
        <v/>
      </c>
      <c r="T1304">
        <f>HYPERLINK("https://klasma.github.io/Logging_2326/kartor/A 62159-2025 karta.png", "A 62159-2025")</f>
        <v/>
      </c>
      <c r="V1304">
        <f>HYPERLINK("https://klasma.github.io/Logging_2326/klagomål/A 62159-2025 FSC-klagomål.docx", "A 62159-2025")</f>
        <v/>
      </c>
      <c r="W1304">
        <f>HYPERLINK("https://klasma.github.io/Logging_2326/klagomålsmail/A 62159-2025 FSC-klagomål mail.docx", "A 62159-2025")</f>
        <v/>
      </c>
      <c r="X1304">
        <f>HYPERLINK("https://klasma.github.io/Logging_2326/tillsyn/A 62159-2025 tillsynsbegäran.docx", "A 62159-2025")</f>
        <v/>
      </c>
      <c r="Y1304">
        <f>HYPERLINK("https://klasma.github.io/Logging_2326/tillsynsmail/A 62159-2025 tillsynsbegäran mail.docx", "A 62159-2025")</f>
        <v/>
      </c>
      <c r="Z1304">
        <f>HYPERLINK("https://klasma.github.io/Logging_2326/fåglar/A 62159-2025 prioriterade fågelarter.docx", "A 62159-2025")</f>
        <v/>
      </c>
    </row>
    <row r="1305" ht="15" customHeight="1">
      <c r="A1305" t="inlineStr">
        <is>
          <t>A 52427-2021</t>
        </is>
      </c>
      <c r="B1305" s="1" t="n">
        <v>44466.34178240741</v>
      </c>
      <c r="C1305" s="1" t="n">
        <v>46045</v>
      </c>
      <c r="D1305" t="inlineStr">
        <is>
          <t>JÄMTLANDS LÄN</t>
        </is>
      </c>
      <c r="E1305" t="inlineStr">
        <is>
          <t>ÅRE</t>
        </is>
      </c>
      <c r="G1305" t="n">
        <v>4</v>
      </c>
      <c r="H1305" t="n">
        <v>1</v>
      </c>
      <c r="I1305" t="n">
        <v>0</v>
      </c>
      <c r="J1305" t="n">
        <v>2</v>
      </c>
      <c r="K1305" t="n">
        <v>0</v>
      </c>
      <c r="L1305" t="n">
        <v>0</v>
      </c>
      <c r="M1305" t="n">
        <v>0</v>
      </c>
      <c r="N1305" t="n">
        <v>0</v>
      </c>
      <c r="O1305" t="n">
        <v>2</v>
      </c>
      <c r="P1305" t="n">
        <v>0</v>
      </c>
      <c r="Q1305" t="n">
        <v>2</v>
      </c>
      <c r="R1305" s="2" t="inlineStr">
        <is>
          <t>Harticka
Tretåig hackspett</t>
        </is>
      </c>
      <c r="S1305">
        <f>HYPERLINK("https://klasma.github.io/Logging_2321/artfynd/A 52427-2021 artfynd.xlsx", "A 52427-2021")</f>
        <v/>
      </c>
      <c r="T1305">
        <f>HYPERLINK("https://klasma.github.io/Logging_2321/kartor/A 52427-2021 karta.png", "A 52427-2021")</f>
        <v/>
      </c>
      <c r="V1305">
        <f>HYPERLINK("https://klasma.github.io/Logging_2321/klagomål/A 52427-2021 FSC-klagomål.docx", "A 52427-2021")</f>
        <v/>
      </c>
      <c r="W1305">
        <f>HYPERLINK("https://klasma.github.io/Logging_2321/klagomålsmail/A 52427-2021 FSC-klagomål mail.docx", "A 52427-2021")</f>
        <v/>
      </c>
      <c r="X1305">
        <f>HYPERLINK("https://klasma.github.io/Logging_2321/tillsyn/A 52427-2021 tillsynsbegäran.docx", "A 52427-2021")</f>
        <v/>
      </c>
      <c r="Y1305">
        <f>HYPERLINK("https://klasma.github.io/Logging_2321/tillsynsmail/A 52427-2021 tillsynsbegäran mail.docx", "A 52427-2021")</f>
        <v/>
      </c>
      <c r="Z1305">
        <f>HYPERLINK("https://klasma.github.io/Logging_2321/fåglar/A 52427-2021 prioriterade fågelarter.docx", "A 52427-2021")</f>
        <v/>
      </c>
    </row>
    <row r="1306" ht="15" customHeight="1">
      <c r="A1306" t="inlineStr">
        <is>
          <t>A 26612-2025</t>
        </is>
      </c>
      <c r="B1306" s="1" t="n">
        <v>45810</v>
      </c>
      <c r="C1306" s="1" t="n">
        <v>46045</v>
      </c>
      <c r="D1306" t="inlineStr">
        <is>
          <t>JÄMTLANDS LÄN</t>
        </is>
      </c>
      <c r="E1306" t="inlineStr">
        <is>
          <t>ÖSTERSUND</t>
        </is>
      </c>
      <c r="G1306" t="n">
        <v>20.6</v>
      </c>
      <c r="H1306" t="n">
        <v>1</v>
      </c>
      <c r="I1306" t="n">
        <v>0</v>
      </c>
      <c r="J1306" t="n">
        <v>0</v>
      </c>
      <c r="K1306" t="n">
        <v>1</v>
      </c>
      <c r="L1306" t="n">
        <v>1</v>
      </c>
      <c r="M1306" t="n">
        <v>0</v>
      </c>
      <c r="N1306" t="n">
        <v>0</v>
      </c>
      <c r="O1306" t="n">
        <v>2</v>
      </c>
      <c r="P1306" t="n">
        <v>2</v>
      </c>
      <c r="Q1306" t="n">
        <v>2</v>
      </c>
      <c r="R1306" s="2" t="inlineStr">
        <is>
          <t>Violett guldvinge
Turkos blåvinge</t>
        </is>
      </c>
      <c r="S1306">
        <f>HYPERLINK("https://klasma.github.io/Logging_2380/artfynd/A 26612-2025 artfynd.xlsx", "A 26612-2025")</f>
        <v/>
      </c>
      <c r="T1306">
        <f>HYPERLINK("https://klasma.github.io/Logging_2380/kartor/A 26612-2025 karta.png", "A 26612-2025")</f>
        <v/>
      </c>
      <c r="V1306">
        <f>HYPERLINK("https://klasma.github.io/Logging_2380/klagomål/A 26612-2025 FSC-klagomål.docx", "A 26612-2025")</f>
        <v/>
      </c>
      <c r="W1306">
        <f>HYPERLINK("https://klasma.github.io/Logging_2380/klagomålsmail/A 26612-2025 FSC-klagomål mail.docx", "A 26612-2025")</f>
        <v/>
      </c>
      <c r="X1306">
        <f>HYPERLINK("https://klasma.github.io/Logging_2380/tillsyn/A 26612-2025 tillsynsbegäran.docx", "A 26612-2025")</f>
        <v/>
      </c>
      <c r="Y1306">
        <f>HYPERLINK("https://klasma.github.io/Logging_2380/tillsynsmail/A 26612-2025 tillsynsbegäran mail.docx", "A 26612-2025")</f>
        <v/>
      </c>
    </row>
    <row r="1307" ht="15" customHeight="1">
      <c r="A1307" t="inlineStr">
        <is>
          <t>A 26748-2025</t>
        </is>
      </c>
      <c r="B1307" s="1" t="n">
        <v>45810.53988425926</v>
      </c>
      <c r="C1307" s="1" t="n">
        <v>46045</v>
      </c>
      <c r="D1307" t="inlineStr">
        <is>
          <t>JÄMTLANDS LÄN</t>
        </is>
      </c>
      <c r="E1307" t="inlineStr">
        <is>
          <t>BERG</t>
        </is>
      </c>
      <c r="G1307" t="n">
        <v>17.4</v>
      </c>
      <c r="H1307" t="n">
        <v>1</v>
      </c>
      <c r="I1307" t="n">
        <v>0</v>
      </c>
      <c r="J1307" t="n">
        <v>2</v>
      </c>
      <c r="K1307" t="n">
        <v>0</v>
      </c>
      <c r="L1307" t="n">
        <v>0</v>
      </c>
      <c r="M1307" t="n">
        <v>0</v>
      </c>
      <c r="N1307" t="n">
        <v>0</v>
      </c>
      <c r="O1307" t="n">
        <v>2</v>
      </c>
      <c r="P1307" t="n">
        <v>0</v>
      </c>
      <c r="Q1307" t="n">
        <v>2</v>
      </c>
      <c r="R1307" s="2" t="inlineStr">
        <is>
          <t>Lunglav
Tretåig hackspett</t>
        </is>
      </c>
      <c r="S1307">
        <f>HYPERLINK("https://klasma.github.io/Logging_2326/artfynd/A 26748-2025 artfynd.xlsx", "A 26748-2025")</f>
        <v/>
      </c>
      <c r="T1307">
        <f>HYPERLINK("https://klasma.github.io/Logging_2326/kartor/A 26748-2025 karta.png", "A 26748-2025")</f>
        <v/>
      </c>
      <c r="V1307">
        <f>HYPERLINK("https://klasma.github.io/Logging_2326/klagomål/A 26748-2025 FSC-klagomål.docx", "A 26748-2025")</f>
        <v/>
      </c>
      <c r="W1307">
        <f>HYPERLINK("https://klasma.github.io/Logging_2326/klagomålsmail/A 26748-2025 FSC-klagomål mail.docx", "A 26748-2025")</f>
        <v/>
      </c>
      <c r="X1307">
        <f>HYPERLINK("https://klasma.github.io/Logging_2326/tillsyn/A 26748-2025 tillsynsbegäran.docx", "A 26748-2025")</f>
        <v/>
      </c>
      <c r="Y1307">
        <f>HYPERLINK("https://klasma.github.io/Logging_2326/tillsynsmail/A 26748-2025 tillsynsbegäran mail.docx", "A 26748-2025")</f>
        <v/>
      </c>
      <c r="Z1307">
        <f>HYPERLINK("https://klasma.github.io/Logging_2326/fåglar/A 26748-2025 prioriterade fågelarter.docx", "A 26748-2025")</f>
        <v/>
      </c>
    </row>
    <row r="1308" ht="15" customHeight="1">
      <c r="A1308" t="inlineStr">
        <is>
          <t>A 62636-2025</t>
        </is>
      </c>
      <c r="B1308" s="1" t="n">
        <v>46008.3653587963</v>
      </c>
      <c r="C1308" s="1" t="n">
        <v>46045</v>
      </c>
      <c r="D1308" t="inlineStr">
        <is>
          <t>JÄMTLANDS LÄN</t>
        </is>
      </c>
      <c r="E1308" t="inlineStr">
        <is>
          <t>RAGUNDA</t>
        </is>
      </c>
      <c r="G1308" t="n">
        <v>3.1</v>
      </c>
      <c r="H1308" t="n">
        <v>1</v>
      </c>
      <c r="I1308" t="n">
        <v>0</v>
      </c>
      <c r="J1308" t="n">
        <v>2</v>
      </c>
      <c r="K1308" t="n">
        <v>0</v>
      </c>
      <c r="L1308" t="n">
        <v>0</v>
      </c>
      <c r="M1308" t="n">
        <v>0</v>
      </c>
      <c r="N1308" t="n">
        <v>0</v>
      </c>
      <c r="O1308" t="n">
        <v>2</v>
      </c>
      <c r="P1308" t="n">
        <v>0</v>
      </c>
      <c r="Q1308" t="n">
        <v>2</v>
      </c>
      <c r="R1308" s="2" t="inlineStr">
        <is>
          <t>Garnlav
Talltita</t>
        </is>
      </c>
      <c r="S1308">
        <f>HYPERLINK("https://klasma.github.io/Logging_2303/artfynd/A 62636-2025 artfynd.xlsx", "A 62636-2025")</f>
        <v/>
      </c>
      <c r="T1308">
        <f>HYPERLINK("https://klasma.github.io/Logging_2303/kartor/A 62636-2025 karta.png", "A 62636-2025")</f>
        <v/>
      </c>
      <c r="V1308">
        <f>HYPERLINK("https://klasma.github.io/Logging_2303/klagomål/A 62636-2025 FSC-klagomål.docx", "A 62636-2025")</f>
        <v/>
      </c>
      <c r="W1308">
        <f>HYPERLINK("https://klasma.github.io/Logging_2303/klagomålsmail/A 62636-2025 FSC-klagomål mail.docx", "A 62636-2025")</f>
        <v/>
      </c>
      <c r="X1308">
        <f>HYPERLINK("https://klasma.github.io/Logging_2303/tillsyn/A 62636-2025 tillsynsbegäran.docx", "A 62636-2025")</f>
        <v/>
      </c>
      <c r="Y1308">
        <f>HYPERLINK("https://klasma.github.io/Logging_2303/tillsynsmail/A 62636-2025 tillsynsbegäran mail.docx", "A 62636-2025")</f>
        <v/>
      </c>
      <c r="Z1308">
        <f>HYPERLINK("https://klasma.github.io/Logging_2303/fåglar/A 62636-2025 prioriterade fågelarter.docx", "A 62636-2025")</f>
        <v/>
      </c>
    </row>
    <row r="1309" ht="15" customHeight="1">
      <c r="A1309" t="inlineStr">
        <is>
          <t>A 54663-2025</t>
        </is>
      </c>
      <c r="B1309" s="1" t="n">
        <v>45966.40726851852</v>
      </c>
      <c r="C1309" s="1" t="n">
        <v>46045</v>
      </c>
      <c r="D1309" t="inlineStr">
        <is>
          <t>JÄMTLANDS LÄN</t>
        </is>
      </c>
      <c r="E1309" t="inlineStr">
        <is>
          <t>STRÖMSUND</t>
        </is>
      </c>
      <c r="F1309" t="inlineStr">
        <is>
          <t>SCA</t>
        </is>
      </c>
      <c r="G1309" t="n">
        <v>6.9</v>
      </c>
      <c r="H1309" t="n">
        <v>0</v>
      </c>
      <c r="I1309" t="n">
        <v>0</v>
      </c>
      <c r="J1309" t="n">
        <v>2</v>
      </c>
      <c r="K1309" t="n">
        <v>0</v>
      </c>
      <c r="L1309" t="n">
        <v>0</v>
      </c>
      <c r="M1309" t="n">
        <v>0</v>
      </c>
      <c r="N1309" t="n">
        <v>0</v>
      </c>
      <c r="O1309" t="n">
        <v>2</v>
      </c>
      <c r="P1309" t="n">
        <v>0</v>
      </c>
      <c r="Q1309" t="n">
        <v>2</v>
      </c>
      <c r="R1309" s="2" t="inlineStr">
        <is>
          <t>Harticka
Ullticka</t>
        </is>
      </c>
      <c r="S1309">
        <f>HYPERLINK("https://klasma.github.io/Logging_2313/artfynd/A 54663-2025 artfynd.xlsx", "A 54663-2025")</f>
        <v/>
      </c>
      <c r="T1309">
        <f>HYPERLINK("https://klasma.github.io/Logging_2313/kartor/A 54663-2025 karta.png", "A 54663-2025")</f>
        <v/>
      </c>
      <c r="V1309">
        <f>HYPERLINK("https://klasma.github.io/Logging_2313/klagomål/A 54663-2025 FSC-klagomål.docx", "A 54663-2025")</f>
        <v/>
      </c>
      <c r="W1309">
        <f>HYPERLINK("https://klasma.github.io/Logging_2313/klagomålsmail/A 54663-2025 FSC-klagomål mail.docx", "A 54663-2025")</f>
        <v/>
      </c>
      <c r="X1309">
        <f>HYPERLINK("https://klasma.github.io/Logging_2313/tillsyn/A 54663-2025 tillsynsbegäran.docx", "A 54663-2025")</f>
        <v/>
      </c>
      <c r="Y1309">
        <f>HYPERLINK("https://klasma.github.io/Logging_2313/tillsynsmail/A 54663-2025 tillsynsbegäran mail.docx", "A 54663-2025")</f>
        <v/>
      </c>
    </row>
    <row r="1310" ht="15" customHeight="1">
      <c r="A1310" t="inlineStr">
        <is>
          <t>A 54573-2025</t>
        </is>
      </c>
      <c r="B1310" s="1" t="n">
        <v>45965</v>
      </c>
      <c r="C1310" s="1" t="n">
        <v>46045</v>
      </c>
      <c r="D1310" t="inlineStr">
        <is>
          <t>JÄMTLANDS LÄN</t>
        </is>
      </c>
      <c r="E1310" t="inlineStr">
        <is>
          <t>STRÖMSUND</t>
        </is>
      </c>
      <c r="G1310" t="n">
        <v>5.3</v>
      </c>
      <c r="H1310" t="n">
        <v>0</v>
      </c>
      <c r="I1310" t="n">
        <v>2</v>
      </c>
      <c r="J1310" t="n">
        <v>0</v>
      </c>
      <c r="K1310" t="n">
        <v>0</v>
      </c>
      <c r="L1310" t="n">
        <v>0</v>
      </c>
      <c r="M1310" t="n">
        <v>0</v>
      </c>
      <c r="N1310" t="n">
        <v>0</v>
      </c>
      <c r="O1310" t="n">
        <v>0</v>
      </c>
      <c r="P1310" t="n">
        <v>0</v>
      </c>
      <c r="Q1310" t="n">
        <v>2</v>
      </c>
      <c r="R1310" s="2" t="inlineStr">
        <is>
          <t>Kransrams
Stuplav</t>
        </is>
      </c>
      <c r="S1310">
        <f>HYPERLINK("https://klasma.github.io/Logging_2313/artfynd/A 54573-2025 artfynd.xlsx", "A 54573-2025")</f>
        <v/>
      </c>
      <c r="T1310">
        <f>HYPERLINK("https://klasma.github.io/Logging_2313/kartor/A 54573-2025 karta.png", "A 54573-2025")</f>
        <v/>
      </c>
      <c r="V1310">
        <f>HYPERLINK("https://klasma.github.io/Logging_2313/klagomål/A 54573-2025 FSC-klagomål.docx", "A 54573-2025")</f>
        <v/>
      </c>
      <c r="W1310">
        <f>HYPERLINK("https://klasma.github.io/Logging_2313/klagomålsmail/A 54573-2025 FSC-klagomål mail.docx", "A 54573-2025")</f>
        <v/>
      </c>
      <c r="X1310">
        <f>HYPERLINK("https://klasma.github.io/Logging_2313/tillsyn/A 54573-2025 tillsynsbegäran.docx", "A 54573-2025")</f>
        <v/>
      </c>
      <c r="Y1310">
        <f>HYPERLINK("https://klasma.github.io/Logging_2313/tillsynsmail/A 54573-2025 tillsynsbegäran mail.docx", "A 54573-2025")</f>
        <v/>
      </c>
    </row>
    <row r="1311" ht="15" customHeight="1">
      <c r="A1311" t="inlineStr">
        <is>
          <t>A 27062-2025</t>
        </is>
      </c>
      <c r="B1311" s="1" t="n">
        <v>45811.63614583333</v>
      </c>
      <c r="C1311" s="1" t="n">
        <v>46045</v>
      </c>
      <c r="D1311" t="inlineStr">
        <is>
          <t>JÄMTLANDS LÄN</t>
        </is>
      </c>
      <c r="E1311" t="inlineStr">
        <is>
          <t>BRÄCKE</t>
        </is>
      </c>
      <c r="F1311" t="inlineStr">
        <is>
          <t>SCA</t>
        </is>
      </c>
      <c r="G1311" t="n">
        <v>19.8</v>
      </c>
      <c r="H1311" t="n">
        <v>0</v>
      </c>
      <c r="I1311" t="n">
        <v>2</v>
      </c>
      <c r="J1311" t="n">
        <v>0</v>
      </c>
      <c r="K1311" t="n">
        <v>0</v>
      </c>
      <c r="L1311" t="n">
        <v>0</v>
      </c>
      <c r="M1311" t="n">
        <v>0</v>
      </c>
      <c r="N1311" t="n">
        <v>0</v>
      </c>
      <c r="O1311" t="n">
        <v>0</v>
      </c>
      <c r="P1311" t="n">
        <v>0</v>
      </c>
      <c r="Q1311" t="n">
        <v>2</v>
      </c>
      <c r="R1311" s="2" t="inlineStr">
        <is>
          <t>Dropptaggsvamp
Skinnlav</t>
        </is>
      </c>
      <c r="S1311">
        <f>HYPERLINK("https://klasma.github.io/Logging_2305/artfynd/A 27062-2025 artfynd.xlsx", "A 27062-2025")</f>
        <v/>
      </c>
      <c r="T1311">
        <f>HYPERLINK("https://klasma.github.io/Logging_2305/kartor/A 27062-2025 karta.png", "A 27062-2025")</f>
        <v/>
      </c>
      <c r="V1311">
        <f>HYPERLINK("https://klasma.github.io/Logging_2305/klagomål/A 27062-2025 FSC-klagomål.docx", "A 27062-2025")</f>
        <v/>
      </c>
      <c r="W1311">
        <f>HYPERLINK("https://klasma.github.io/Logging_2305/klagomålsmail/A 27062-2025 FSC-klagomål mail.docx", "A 27062-2025")</f>
        <v/>
      </c>
      <c r="X1311">
        <f>HYPERLINK("https://klasma.github.io/Logging_2305/tillsyn/A 27062-2025 tillsynsbegäran.docx", "A 27062-2025")</f>
        <v/>
      </c>
      <c r="Y1311">
        <f>HYPERLINK("https://klasma.github.io/Logging_2305/tillsynsmail/A 27062-2025 tillsynsbegäran mail.docx", "A 27062-2025")</f>
        <v/>
      </c>
    </row>
    <row r="1312" ht="15" customHeight="1">
      <c r="A1312" t="inlineStr">
        <is>
          <t>A 27022-2025</t>
        </is>
      </c>
      <c r="B1312" s="1" t="n">
        <v>45811.57333333333</v>
      </c>
      <c r="C1312" s="1" t="n">
        <v>46045</v>
      </c>
      <c r="D1312" t="inlineStr">
        <is>
          <t>JÄMTLANDS LÄN</t>
        </is>
      </c>
      <c r="E1312" t="inlineStr">
        <is>
          <t>STRÖMSUND</t>
        </is>
      </c>
      <c r="F1312" t="inlineStr">
        <is>
          <t>SCA</t>
        </is>
      </c>
      <c r="G1312" t="n">
        <v>4.9</v>
      </c>
      <c r="H1312" t="n">
        <v>0</v>
      </c>
      <c r="I1312" t="n">
        <v>1</v>
      </c>
      <c r="J1312" t="n">
        <v>1</v>
      </c>
      <c r="K1312" t="n">
        <v>0</v>
      </c>
      <c r="L1312" t="n">
        <v>0</v>
      </c>
      <c r="M1312" t="n">
        <v>0</v>
      </c>
      <c r="N1312" t="n">
        <v>0</v>
      </c>
      <c r="O1312" t="n">
        <v>1</v>
      </c>
      <c r="P1312" t="n">
        <v>0</v>
      </c>
      <c r="Q1312" t="n">
        <v>2</v>
      </c>
      <c r="R1312" s="2" t="inlineStr">
        <is>
          <t>Granticka
Dropptaggsvamp</t>
        </is>
      </c>
      <c r="S1312">
        <f>HYPERLINK("https://klasma.github.io/Logging_2313/artfynd/A 27022-2025 artfynd.xlsx", "A 27022-2025")</f>
        <v/>
      </c>
      <c r="T1312">
        <f>HYPERLINK("https://klasma.github.io/Logging_2313/kartor/A 27022-2025 karta.png", "A 27022-2025")</f>
        <v/>
      </c>
      <c r="V1312">
        <f>HYPERLINK("https://klasma.github.io/Logging_2313/klagomål/A 27022-2025 FSC-klagomål.docx", "A 27022-2025")</f>
        <v/>
      </c>
      <c r="W1312">
        <f>HYPERLINK("https://klasma.github.io/Logging_2313/klagomålsmail/A 27022-2025 FSC-klagomål mail.docx", "A 27022-2025")</f>
        <v/>
      </c>
      <c r="X1312">
        <f>HYPERLINK("https://klasma.github.io/Logging_2313/tillsyn/A 27022-2025 tillsynsbegäran.docx", "A 27022-2025")</f>
        <v/>
      </c>
      <c r="Y1312">
        <f>HYPERLINK("https://klasma.github.io/Logging_2313/tillsynsmail/A 27022-2025 tillsynsbegäran mail.docx", "A 27022-2025")</f>
        <v/>
      </c>
    </row>
    <row r="1313" ht="15" customHeight="1">
      <c r="A1313" t="inlineStr">
        <is>
          <t>A 27163-2025</t>
        </is>
      </c>
      <c r="B1313" s="1" t="n">
        <v>45812.34414351852</v>
      </c>
      <c r="C1313" s="1" t="n">
        <v>46045</v>
      </c>
      <c r="D1313" t="inlineStr">
        <is>
          <t>JÄMTLANDS LÄN</t>
        </is>
      </c>
      <c r="E1313" t="inlineStr">
        <is>
          <t>STRÖMSUND</t>
        </is>
      </c>
      <c r="F1313" t="inlineStr">
        <is>
          <t>SCA</t>
        </is>
      </c>
      <c r="G1313" t="n">
        <v>8.199999999999999</v>
      </c>
      <c r="H1313" t="n">
        <v>0</v>
      </c>
      <c r="I1313" t="n">
        <v>0</v>
      </c>
      <c r="J1313" t="n">
        <v>2</v>
      </c>
      <c r="K1313" t="n">
        <v>0</v>
      </c>
      <c r="L1313" t="n">
        <v>0</v>
      </c>
      <c r="M1313" t="n">
        <v>0</v>
      </c>
      <c r="N1313" t="n">
        <v>0</v>
      </c>
      <c r="O1313" t="n">
        <v>2</v>
      </c>
      <c r="P1313" t="n">
        <v>0</v>
      </c>
      <c r="Q1313" t="n">
        <v>2</v>
      </c>
      <c r="R1313" s="2" t="inlineStr">
        <is>
          <t>Garnlav
Ullticka</t>
        </is>
      </c>
      <c r="S1313">
        <f>HYPERLINK("https://klasma.github.io/Logging_2313/artfynd/A 27163-2025 artfynd.xlsx", "A 27163-2025")</f>
        <v/>
      </c>
      <c r="T1313">
        <f>HYPERLINK("https://klasma.github.io/Logging_2313/kartor/A 27163-2025 karta.png", "A 27163-2025")</f>
        <v/>
      </c>
      <c r="V1313">
        <f>HYPERLINK("https://klasma.github.io/Logging_2313/klagomål/A 27163-2025 FSC-klagomål.docx", "A 27163-2025")</f>
        <v/>
      </c>
      <c r="W1313">
        <f>HYPERLINK("https://klasma.github.io/Logging_2313/klagomålsmail/A 27163-2025 FSC-klagomål mail.docx", "A 27163-2025")</f>
        <v/>
      </c>
      <c r="X1313">
        <f>HYPERLINK("https://klasma.github.io/Logging_2313/tillsyn/A 27163-2025 tillsynsbegäran.docx", "A 27163-2025")</f>
        <v/>
      </c>
      <c r="Y1313">
        <f>HYPERLINK("https://klasma.github.io/Logging_2313/tillsynsmail/A 27163-2025 tillsynsbegäran mail.docx", "A 27163-2025")</f>
        <v/>
      </c>
    </row>
    <row r="1314" ht="15" customHeight="1">
      <c r="A1314" t="inlineStr">
        <is>
          <t>A 27279-2025</t>
        </is>
      </c>
      <c r="B1314" s="1" t="n">
        <v>45812.53172453704</v>
      </c>
      <c r="C1314" s="1" t="n">
        <v>46045</v>
      </c>
      <c r="D1314" t="inlineStr">
        <is>
          <t>JÄMTLANDS LÄN</t>
        </is>
      </c>
      <c r="E1314" t="inlineStr">
        <is>
          <t>BRÄCKE</t>
        </is>
      </c>
      <c r="F1314" t="inlineStr">
        <is>
          <t>SCA</t>
        </is>
      </c>
      <c r="G1314" t="n">
        <v>1.2</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HYPERLINK("https://klasma.github.io/Logging_2305/artfynd/A 27279-2025 artfynd.xlsx", "A 27279-2025")</f>
        <v/>
      </c>
      <c r="T1314">
        <f>HYPERLINK("https://klasma.github.io/Logging_2305/kartor/A 27279-2025 karta.png", "A 27279-2025")</f>
        <v/>
      </c>
      <c r="V1314">
        <f>HYPERLINK("https://klasma.github.io/Logging_2305/klagomål/A 27279-2025 FSC-klagomål.docx", "A 27279-2025")</f>
        <v/>
      </c>
      <c r="W1314">
        <f>HYPERLINK("https://klasma.github.io/Logging_2305/klagomålsmail/A 27279-2025 FSC-klagomål mail.docx", "A 27279-2025")</f>
        <v/>
      </c>
      <c r="X1314">
        <f>HYPERLINK("https://klasma.github.io/Logging_2305/tillsyn/A 27279-2025 tillsynsbegäran.docx", "A 27279-2025")</f>
        <v/>
      </c>
      <c r="Y1314">
        <f>HYPERLINK("https://klasma.github.io/Logging_2305/tillsynsmail/A 27279-2025 tillsynsbegäran mail.docx", "A 27279-2025")</f>
        <v/>
      </c>
    </row>
    <row r="1315" ht="15" customHeight="1">
      <c r="A1315" t="inlineStr">
        <is>
          <t>A 27647-2025</t>
        </is>
      </c>
      <c r="B1315" s="1" t="n">
        <v>45813.59454861111</v>
      </c>
      <c r="C1315" s="1" t="n">
        <v>46045</v>
      </c>
      <c r="D1315" t="inlineStr">
        <is>
          <t>JÄMTLANDS LÄN</t>
        </is>
      </c>
      <c r="E1315" t="inlineStr">
        <is>
          <t>BERG</t>
        </is>
      </c>
      <c r="F1315" t="inlineStr">
        <is>
          <t>SCA</t>
        </is>
      </c>
      <c r="G1315" t="n">
        <v>3.1</v>
      </c>
      <c r="H1315" t="n">
        <v>0</v>
      </c>
      <c r="I1315" t="n">
        <v>0</v>
      </c>
      <c r="J1315" t="n">
        <v>1</v>
      </c>
      <c r="K1315" t="n">
        <v>1</v>
      </c>
      <c r="L1315" t="n">
        <v>0</v>
      </c>
      <c r="M1315" t="n">
        <v>0</v>
      </c>
      <c r="N1315" t="n">
        <v>0</v>
      </c>
      <c r="O1315" t="n">
        <v>2</v>
      </c>
      <c r="P1315" t="n">
        <v>1</v>
      </c>
      <c r="Q1315" t="n">
        <v>2</v>
      </c>
      <c r="R1315" s="2" t="inlineStr">
        <is>
          <t>Gräddporing
Dvärgbägarlav</t>
        </is>
      </c>
      <c r="S1315">
        <f>HYPERLINK("https://klasma.github.io/Logging_2326/artfynd/A 27647-2025 artfynd.xlsx", "A 27647-2025")</f>
        <v/>
      </c>
      <c r="T1315">
        <f>HYPERLINK("https://klasma.github.io/Logging_2326/kartor/A 27647-2025 karta.png", "A 27647-2025")</f>
        <v/>
      </c>
      <c r="V1315">
        <f>HYPERLINK("https://klasma.github.io/Logging_2326/klagomål/A 27647-2025 FSC-klagomål.docx", "A 27647-2025")</f>
        <v/>
      </c>
      <c r="W1315">
        <f>HYPERLINK("https://klasma.github.io/Logging_2326/klagomålsmail/A 27647-2025 FSC-klagomål mail.docx", "A 27647-2025")</f>
        <v/>
      </c>
      <c r="X1315">
        <f>HYPERLINK("https://klasma.github.io/Logging_2326/tillsyn/A 27647-2025 tillsynsbegäran.docx", "A 27647-2025")</f>
        <v/>
      </c>
      <c r="Y1315">
        <f>HYPERLINK("https://klasma.github.io/Logging_2326/tillsynsmail/A 27647-2025 tillsynsbegäran mail.docx", "A 27647-2025")</f>
        <v/>
      </c>
    </row>
    <row r="1316" ht="15" customHeight="1">
      <c r="A1316" t="inlineStr">
        <is>
          <t>A 27622-2025</t>
        </is>
      </c>
      <c r="B1316" s="1" t="n">
        <v>45813.55273148148</v>
      </c>
      <c r="C1316" s="1" t="n">
        <v>46045</v>
      </c>
      <c r="D1316" t="inlineStr">
        <is>
          <t>JÄMTLANDS LÄN</t>
        </is>
      </c>
      <c r="E1316" t="inlineStr">
        <is>
          <t>STRÖMSUND</t>
        </is>
      </c>
      <c r="F1316" t="inlineStr">
        <is>
          <t>SCA</t>
        </is>
      </c>
      <c r="G1316" t="n">
        <v>2.4</v>
      </c>
      <c r="H1316" t="n">
        <v>0</v>
      </c>
      <c r="I1316" t="n">
        <v>1</v>
      </c>
      <c r="J1316" t="n">
        <v>1</v>
      </c>
      <c r="K1316" t="n">
        <v>0</v>
      </c>
      <c r="L1316" t="n">
        <v>0</v>
      </c>
      <c r="M1316" t="n">
        <v>0</v>
      </c>
      <c r="N1316" t="n">
        <v>0</v>
      </c>
      <c r="O1316" t="n">
        <v>1</v>
      </c>
      <c r="P1316" t="n">
        <v>0</v>
      </c>
      <c r="Q1316" t="n">
        <v>2</v>
      </c>
      <c r="R1316" s="2" t="inlineStr">
        <is>
          <t>Vaddporing
Svart trolldruva</t>
        </is>
      </c>
      <c r="S1316">
        <f>HYPERLINK("https://klasma.github.io/Logging_2313/artfynd/A 27622-2025 artfynd.xlsx", "A 27622-2025")</f>
        <v/>
      </c>
      <c r="T1316">
        <f>HYPERLINK("https://klasma.github.io/Logging_2313/kartor/A 27622-2025 karta.png", "A 27622-2025")</f>
        <v/>
      </c>
      <c r="V1316">
        <f>HYPERLINK("https://klasma.github.io/Logging_2313/klagomål/A 27622-2025 FSC-klagomål.docx", "A 27622-2025")</f>
        <v/>
      </c>
      <c r="W1316">
        <f>HYPERLINK("https://klasma.github.io/Logging_2313/klagomålsmail/A 27622-2025 FSC-klagomål mail.docx", "A 27622-2025")</f>
        <v/>
      </c>
      <c r="X1316">
        <f>HYPERLINK("https://klasma.github.io/Logging_2313/tillsyn/A 27622-2025 tillsynsbegäran.docx", "A 27622-2025")</f>
        <v/>
      </c>
      <c r="Y1316">
        <f>HYPERLINK("https://klasma.github.io/Logging_2313/tillsynsmail/A 27622-2025 tillsynsbegäran mail.docx", "A 27622-2025")</f>
        <v/>
      </c>
    </row>
    <row r="1317" ht="15" customHeight="1">
      <c r="A1317" t="inlineStr">
        <is>
          <t>A 17992-2025</t>
        </is>
      </c>
      <c r="B1317" s="1" t="n">
        <v>45761.40657407408</v>
      </c>
      <c r="C1317" s="1" t="n">
        <v>46045</v>
      </c>
      <c r="D1317" t="inlineStr">
        <is>
          <t>JÄMTLANDS LÄN</t>
        </is>
      </c>
      <c r="E1317" t="inlineStr">
        <is>
          <t>BRÄCKE</t>
        </is>
      </c>
      <c r="F1317" t="inlineStr">
        <is>
          <t>SCA</t>
        </is>
      </c>
      <c r="G1317" t="n">
        <v>1.4</v>
      </c>
      <c r="H1317" t="n">
        <v>0</v>
      </c>
      <c r="I1317" t="n">
        <v>0</v>
      </c>
      <c r="J1317" t="n">
        <v>2</v>
      </c>
      <c r="K1317" t="n">
        <v>0</v>
      </c>
      <c r="L1317" t="n">
        <v>0</v>
      </c>
      <c r="M1317" t="n">
        <v>0</v>
      </c>
      <c r="N1317" t="n">
        <v>0</v>
      </c>
      <c r="O1317" t="n">
        <v>2</v>
      </c>
      <c r="P1317" t="n">
        <v>0</v>
      </c>
      <c r="Q1317" t="n">
        <v>2</v>
      </c>
      <c r="R1317" s="2" t="inlineStr">
        <is>
          <t>Lunglav
Skrovellav</t>
        </is>
      </c>
      <c r="S1317">
        <f>HYPERLINK("https://klasma.github.io/Logging_2305/artfynd/A 17992-2025 artfynd.xlsx", "A 17992-2025")</f>
        <v/>
      </c>
      <c r="T1317">
        <f>HYPERLINK("https://klasma.github.io/Logging_2305/kartor/A 17992-2025 karta.png", "A 17992-2025")</f>
        <v/>
      </c>
      <c r="V1317">
        <f>HYPERLINK("https://klasma.github.io/Logging_2305/klagomål/A 17992-2025 FSC-klagomål.docx", "A 17992-2025")</f>
        <v/>
      </c>
      <c r="W1317">
        <f>HYPERLINK("https://klasma.github.io/Logging_2305/klagomålsmail/A 17992-2025 FSC-klagomål mail.docx", "A 17992-2025")</f>
        <v/>
      </c>
      <c r="X1317">
        <f>HYPERLINK("https://klasma.github.io/Logging_2305/tillsyn/A 17992-2025 tillsynsbegäran.docx", "A 17992-2025")</f>
        <v/>
      </c>
      <c r="Y1317">
        <f>HYPERLINK("https://klasma.github.io/Logging_2305/tillsynsmail/A 17992-2025 tillsynsbegäran mail.docx", "A 17992-2025")</f>
        <v/>
      </c>
    </row>
    <row r="1318" ht="15" customHeight="1">
      <c r="A1318" t="inlineStr">
        <is>
          <t>A 48880-2023</t>
        </is>
      </c>
      <c r="B1318" s="1" t="n">
        <v>45209</v>
      </c>
      <c r="C1318" s="1" t="n">
        <v>46045</v>
      </c>
      <c r="D1318" t="inlineStr">
        <is>
          <t>JÄMTLANDS LÄN</t>
        </is>
      </c>
      <c r="E1318" t="inlineStr">
        <is>
          <t>BERG</t>
        </is>
      </c>
      <c r="F1318" t="inlineStr">
        <is>
          <t>Naturvårdsverket</t>
        </is>
      </c>
      <c r="G1318" t="n">
        <v>5.5</v>
      </c>
      <c r="H1318" t="n">
        <v>0</v>
      </c>
      <c r="I1318" t="n">
        <v>0</v>
      </c>
      <c r="J1318" t="n">
        <v>2</v>
      </c>
      <c r="K1318" t="n">
        <v>0</v>
      </c>
      <c r="L1318" t="n">
        <v>0</v>
      </c>
      <c r="M1318" t="n">
        <v>0</v>
      </c>
      <c r="N1318" t="n">
        <v>0</v>
      </c>
      <c r="O1318" t="n">
        <v>2</v>
      </c>
      <c r="P1318" t="n">
        <v>0</v>
      </c>
      <c r="Q1318" t="n">
        <v>2</v>
      </c>
      <c r="R1318" s="2" t="inlineStr">
        <is>
          <t>Garnlav
Lunglav</t>
        </is>
      </c>
      <c r="S1318">
        <f>HYPERLINK("https://klasma.github.io/Logging_2326/artfynd/A 48880-2023 artfynd.xlsx", "A 48880-2023")</f>
        <v/>
      </c>
      <c r="T1318">
        <f>HYPERLINK("https://klasma.github.io/Logging_2326/kartor/A 48880-2023 karta.png", "A 48880-2023")</f>
        <v/>
      </c>
      <c r="U1318">
        <f>HYPERLINK("https://klasma.github.io/Logging_2326/knärot/A 48880-2023 karta knärot.png", "A 48880-2023")</f>
        <v/>
      </c>
      <c r="V1318">
        <f>HYPERLINK("https://klasma.github.io/Logging_2326/klagomål/A 48880-2023 FSC-klagomål.docx", "A 48880-2023")</f>
        <v/>
      </c>
      <c r="W1318">
        <f>HYPERLINK("https://klasma.github.io/Logging_2326/klagomålsmail/A 48880-2023 FSC-klagomål mail.docx", "A 48880-2023")</f>
        <v/>
      </c>
      <c r="X1318">
        <f>HYPERLINK("https://klasma.github.io/Logging_2326/tillsyn/A 48880-2023 tillsynsbegäran.docx", "A 48880-2023")</f>
        <v/>
      </c>
      <c r="Y1318">
        <f>HYPERLINK("https://klasma.github.io/Logging_2326/tillsynsmail/A 48880-2023 tillsynsbegäran mail.docx", "A 48880-2023")</f>
        <v/>
      </c>
    </row>
    <row r="1319" ht="15" customHeight="1">
      <c r="A1319" t="inlineStr">
        <is>
          <t>A 54872-2025</t>
        </is>
      </c>
      <c r="B1319" s="1" t="n">
        <v>45966.94104166667</v>
      </c>
      <c r="C1319" s="1" t="n">
        <v>46045</v>
      </c>
      <c r="D1319" t="inlineStr">
        <is>
          <t>JÄMTLANDS LÄN</t>
        </is>
      </c>
      <c r="E1319" t="inlineStr">
        <is>
          <t>ÖSTERSUND</t>
        </is>
      </c>
      <c r="G1319" t="n">
        <v>2.4</v>
      </c>
      <c r="H1319" t="n">
        <v>1</v>
      </c>
      <c r="I1319" t="n">
        <v>1</v>
      </c>
      <c r="J1319" t="n">
        <v>1</v>
      </c>
      <c r="K1319" t="n">
        <v>0</v>
      </c>
      <c r="L1319" t="n">
        <v>0</v>
      </c>
      <c r="M1319" t="n">
        <v>0</v>
      </c>
      <c r="N1319" t="n">
        <v>0</v>
      </c>
      <c r="O1319" t="n">
        <v>1</v>
      </c>
      <c r="P1319" t="n">
        <v>0</v>
      </c>
      <c r="Q1319" t="n">
        <v>2</v>
      </c>
      <c r="R1319" s="2" t="inlineStr">
        <is>
          <t>Slåtterfibbla
Korallrot</t>
        </is>
      </c>
      <c r="S1319">
        <f>HYPERLINK("https://klasma.github.io/Logging_2380/artfynd/A 54872-2025 artfynd.xlsx", "A 54872-2025")</f>
        <v/>
      </c>
      <c r="T1319">
        <f>HYPERLINK("https://klasma.github.io/Logging_2380/kartor/A 54872-2025 karta.png", "A 54872-2025")</f>
        <v/>
      </c>
      <c r="V1319">
        <f>HYPERLINK("https://klasma.github.io/Logging_2380/klagomål/A 54872-2025 FSC-klagomål.docx", "A 54872-2025")</f>
        <v/>
      </c>
      <c r="W1319">
        <f>HYPERLINK("https://klasma.github.io/Logging_2380/klagomålsmail/A 54872-2025 FSC-klagomål mail.docx", "A 54872-2025")</f>
        <v/>
      </c>
      <c r="X1319">
        <f>HYPERLINK("https://klasma.github.io/Logging_2380/tillsyn/A 54872-2025 tillsynsbegäran.docx", "A 54872-2025")</f>
        <v/>
      </c>
      <c r="Y1319">
        <f>HYPERLINK("https://klasma.github.io/Logging_2380/tillsynsmail/A 54872-2025 tillsynsbegäran mail.docx", "A 54872-2025")</f>
        <v/>
      </c>
    </row>
    <row r="1320" ht="15" customHeight="1">
      <c r="A1320" t="inlineStr">
        <is>
          <t>A 59324-2021</t>
        </is>
      </c>
      <c r="B1320" s="1" t="n">
        <v>44490</v>
      </c>
      <c r="C1320" s="1" t="n">
        <v>46045</v>
      </c>
      <c r="D1320" t="inlineStr">
        <is>
          <t>JÄMTLANDS LÄN</t>
        </is>
      </c>
      <c r="E1320" t="inlineStr">
        <is>
          <t>BRÄCKE</t>
        </is>
      </c>
      <c r="F1320" t="inlineStr">
        <is>
          <t>SCA</t>
        </is>
      </c>
      <c r="G1320" t="n">
        <v>8.6</v>
      </c>
      <c r="H1320" t="n">
        <v>0</v>
      </c>
      <c r="I1320" t="n">
        <v>0</v>
      </c>
      <c r="J1320" t="n">
        <v>2</v>
      </c>
      <c r="K1320" t="n">
        <v>0</v>
      </c>
      <c r="L1320" t="n">
        <v>0</v>
      </c>
      <c r="M1320" t="n">
        <v>0</v>
      </c>
      <c r="N1320" t="n">
        <v>0</v>
      </c>
      <c r="O1320" t="n">
        <v>2</v>
      </c>
      <c r="P1320" t="n">
        <v>0</v>
      </c>
      <c r="Q1320" t="n">
        <v>2</v>
      </c>
      <c r="R1320" s="2" t="inlineStr">
        <is>
          <t>Ullticka
Veckticka</t>
        </is>
      </c>
      <c r="S1320">
        <f>HYPERLINK("https://klasma.github.io/Logging_2305/artfynd/A 59324-2021 artfynd.xlsx", "A 59324-2021")</f>
        <v/>
      </c>
      <c r="T1320">
        <f>HYPERLINK("https://klasma.github.io/Logging_2305/kartor/A 59324-2021 karta.png", "A 59324-2021")</f>
        <v/>
      </c>
      <c r="V1320">
        <f>HYPERLINK("https://klasma.github.io/Logging_2305/klagomål/A 59324-2021 FSC-klagomål.docx", "A 59324-2021")</f>
        <v/>
      </c>
      <c r="W1320">
        <f>HYPERLINK("https://klasma.github.io/Logging_2305/klagomålsmail/A 59324-2021 FSC-klagomål mail.docx", "A 59324-2021")</f>
        <v/>
      </c>
      <c r="X1320">
        <f>HYPERLINK("https://klasma.github.io/Logging_2305/tillsyn/A 59324-2021 tillsynsbegäran.docx", "A 59324-2021")</f>
        <v/>
      </c>
      <c r="Y1320">
        <f>HYPERLINK("https://klasma.github.io/Logging_2305/tillsynsmail/A 59324-2021 tillsynsbegäran mail.docx", "A 59324-2021")</f>
        <v/>
      </c>
    </row>
    <row r="1321" ht="15" customHeight="1">
      <c r="A1321" t="inlineStr">
        <is>
          <t>A 55647-2023</t>
        </is>
      </c>
      <c r="B1321" s="1" t="n">
        <v>45238</v>
      </c>
      <c r="C1321" s="1" t="n">
        <v>46045</v>
      </c>
      <c r="D1321" t="inlineStr">
        <is>
          <t>JÄMTLANDS LÄN</t>
        </is>
      </c>
      <c r="E1321" t="inlineStr">
        <is>
          <t>RAGUNDA</t>
        </is>
      </c>
      <c r="F1321" t="inlineStr">
        <is>
          <t>SCA</t>
        </is>
      </c>
      <c r="G1321" t="n">
        <v>3.7</v>
      </c>
      <c r="H1321" t="n">
        <v>0</v>
      </c>
      <c r="I1321" t="n">
        <v>1</v>
      </c>
      <c r="J1321" t="n">
        <v>1</v>
      </c>
      <c r="K1321" t="n">
        <v>0</v>
      </c>
      <c r="L1321" t="n">
        <v>0</v>
      </c>
      <c r="M1321" t="n">
        <v>0</v>
      </c>
      <c r="N1321" t="n">
        <v>0</v>
      </c>
      <c r="O1321" t="n">
        <v>1</v>
      </c>
      <c r="P1321" t="n">
        <v>0</v>
      </c>
      <c r="Q1321" t="n">
        <v>2</v>
      </c>
      <c r="R1321" s="2" t="inlineStr">
        <is>
          <t>Granticka
Trådticka</t>
        </is>
      </c>
      <c r="S1321">
        <f>HYPERLINK("https://klasma.github.io/Logging_2303/artfynd/A 55647-2023 artfynd.xlsx", "A 55647-2023")</f>
        <v/>
      </c>
      <c r="T1321">
        <f>HYPERLINK("https://klasma.github.io/Logging_2303/kartor/A 55647-2023 karta.png", "A 55647-2023")</f>
        <v/>
      </c>
      <c r="V1321">
        <f>HYPERLINK("https://klasma.github.io/Logging_2303/klagomål/A 55647-2023 FSC-klagomål.docx", "A 55647-2023")</f>
        <v/>
      </c>
      <c r="W1321">
        <f>HYPERLINK("https://klasma.github.io/Logging_2303/klagomålsmail/A 55647-2023 FSC-klagomål mail.docx", "A 55647-2023")</f>
        <v/>
      </c>
      <c r="X1321">
        <f>HYPERLINK("https://klasma.github.io/Logging_2303/tillsyn/A 55647-2023 tillsynsbegäran.docx", "A 55647-2023")</f>
        <v/>
      </c>
      <c r="Y1321">
        <f>HYPERLINK("https://klasma.github.io/Logging_2303/tillsynsmail/A 55647-2023 tillsynsbegäran mail.docx", "A 55647-2023")</f>
        <v/>
      </c>
    </row>
    <row r="1322" ht="15" customHeight="1">
      <c r="A1322" t="inlineStr">
        <is>
          <t>A 17489-2025</t>
        </is>
      </c>
      <c r="B1322" s="1" t="n">
        <v>45757.51074074074</v>
      </c>
      <c r="C1322" s="1" t="n">
        <v>46045</v>
      </c>
      <c r="D1322" t="inlineStr">
        <is>
          <t>JÄMTLANDS LÄN</t>
        </is>
      </c>
      <c r="E1322" t="inlineStr">
        <is>
          <t>BRÄCKE</t>
        </is>
      </c>
      <c r="F1322" t="inlineStr">
        <is>
          <t>SCA</t>
        </is>
      </c>
      <c r="G1322" t="n">
        <v>4.6</v>
      </c>
      <c r="H1322" t="n">
        <v>0</v>
      </c>
      <c r="I1322" t="n">
        <v>0</v>
      </c>
      <c r="J1322" t="n">
        <v>2</v>
      </c>
      <c r="K1322" t="n">
        <v>0</v>
      </c>
      <c r="L1322" t="n">
        <v>0</v>
      </c>
      <c r="M1322" t="n">
        <v>0</v>
      </c>
      <c r="N1322" t="n">
        <v>0</v>
      </c>
      <c r="O1322" t="n">
        <v>2</v>
      </c>
      <c r="P1322" t="n">
        <v>0</v>
      </c>
      <c r="Q1322" t="n">
        <v>2</v>
      </c>
      <c r="R1322" s="2" t="inlineStr">
        <is>
          <t>Garnlav
Lunglav</t>
        </is>
      </c>
      <c r="S1322">
        <f>HYPERLINK("https://klasma.github.io/Logging_2305/artfynd/A 17489-2025 artfynd.xlsx", "A 17489-2025")</f>
        <v/>
      </c>
      <c r="T1322">
        <f>HYPERLINK("https://klasma.github.io/Logging_2305/kartor/A 17489-2025 karta.png", "A 17489-2025")</f>
        <v/>
      </c>
      <c r="V1322">
        <f>HYPERLINK("https://klasma.github.io/Logging_2305/klagomål/A 17489-2025 FSC-klagomål.docx", "A 17489-2025")</f>
        <v/>
      </c>
      <c r="W1322">
        <f>HYPERLINK("https://klasma.github.io/Logging_2305/klagomålsmail/A 17489-2025 FSC-klagomål mail.docx", "A 17489-2025")</f>
        <v/>
      </c>
      <c r="X1322">
        <f>HYPERLINK("https://klasma.github.io/Logging_2305/tillsyn/A 17489-2025 tillsynsbegäran.docx", "A 17489-2025")</f>
        <v/>
      </c>
      <c r="Y1322">
        <f>HYPERLINK("https://klasma.github.io/Logging_2305/tillsynsmail/A 17489-2025 tillsynsbegäran mail.docx", "A 17489-2025")</f>
        <v/>
      </c>
    </row>
    <row r="1323" ht="15" customHeight="1">
      <c r="A1323" t="inlineStr">
        <is>
          <t>A 4372-2023</t>
        </is>
      </c>
      <c r="B1323" s="1" t="n">
        <v>44955</v>
      </c>
      <c r="C1323" s="1" t="n">
        <v>46045</v>
      </c>
      <c r="D1323" t="inlineStr">
        <is>
          <t>JÄMTLANDS LÄN</t>
        </is>
      </c>
      <c r="E1323" t="inlineStr">
        <is>
          <t>HÄRJEDALEN</t>
        </is>
      </c>
      <c r="G1323" t="n">
        <v>10.1</v>
      </c>
      <c r="H1323" t="n">
        <v>2</v>
      </c>
      <c r="I1323" t="n">
        <v>0</v>
      </c>
      <c r="J1323" t="n">
        <v>2</v>
      </c>
      <c r="K1323" t="n">
        <v>0</v>
      </c>
      <c r="L1323" t="n">
        <v>0</v>
      </c>
      <c r="M1323" t="n">
        <v>0</v>
      </c>
      <c r="N1323" t="n">
        <v>0</v>
      </c>
      <c r="O1323" t="n">
        <v>2</v>
      </c>
      <c r="P1323" t="n">
        <v>0</v>
      </c>
      <c r="Q1323" t="n">
        <v>2</v>
      </c>
      <c r="R1323" s="2" t="inlineStr">
        <is>
          <t>Spillkråka
Tretåig hackspett</t>
        </is>
      </c>
      <c r="S1323">
        <f>HYPERLINK("https://klasma.github.io/Logging_2361/artfynd/A 4372-2023 artfynd.xlsx", "A 4372-2023")</f>
        <v/>
      </c>
      <c r="T1323">
        <f>HYPERLINK("https://klasma.github.io/Logging_2361/kartor/A 4372-2023 karta.png", "A 4372-2023")</f>
        <v/>
      </c>
      <c r="V1323">
        <f>HYPERLINK("https://klasma.github.io/Logging_2361/klagomål/A 4372-2023 FSC-klagomål.docx", "A 4372-2023")</f>
        <v/>
      </c>
      <c r="W1323">
        <f>HYPERLINK("https://klasma.github.io/Logging_2361/klagomålsmail/A 4372-2023 FSC-klagomål mail.docx", "A 4372-2023")</f>
        <v/>
      </c>
      <c r="X1323">
        <f>HYPERLINK("https://klasma.github.io/Logging_2361/tillsyn/A 4372-2023 tillsynsbegäran.docx", "A 4372-2023")</f>
        <v/>
      </c>
      <c r="Y1323">
        <f>HYPERLINK("https://klasma.github.io/Logging_2361/tillsynsmail/A 4372-2023 tillsynsbegäran mail.docx", "A 4372-2023")</f>
        <v/>
      </c>
      <c r="Z1323">
        <f>HYPERLINK("https://klasma.github.io/Logging_2361/fåglar/A 4372-2023 prioriterade fågelarter.docx", "A 4372-2023")</f>
        <v/>
      </c>
    </row>
    <row r="1324" ht="15" customHeight="1">
      <c r="A1324" t="inlineStr">
        <is>
          <t>A 29071-2023</t>
        </is>
      </c>
      <c r="B1324" s="1" t="n">
        <v>45104</v>
      </c>
      <c r="C1324" s="1" t="n">
        <v>46045</v>
      </c>
      <c r="D1324" t="inlineStr">
        <is>
          <t>JÄMTLANDS LÄN</t>
        </is>
      </c>
      <c r="E1324" t="inlineStr">
        <is>
          <t>STRÖMSUND</t>
        </is>
      </c>
      <c r="F1324" t="inlineStr">
        <is>
          <t>SCA</t>
        </is>
      </c>
      <c r="G1324" t="n">
        <v>6.9</v>
      </c>
      <c r="H1324" t="n">
        <v>0</v>
      </c>
      <c r="I1324" t="n">
        <v>0</v>
      </c>
      <c r="J1324" t="n">
        <v>2</v>
      </c>
      <c r="K1324" t="n">
        <v>0</v>
      </c>
      <c r="L1324" t="n">
        <v>0</v>
      </c>
      <c r="M1324" t="n">
        <v>0</v>
      </c>
      <c r="N1324" t="n">
        <v>0</v>
      </c>
      <c r="O1324" t="n">
        <v>2</v>
      </c>
      <c r="P1324" t="n">
        <v>0</v>
      </c>
      <c r="Q1324" t="n">
        <v>2</v>
      </c>
      <c r="R1324" s="2" t="inlineStr">
        <is>
          <t>Dvärgbägarlav
Kortskaftad ärgspik</t>
        </is>
      </c>
      <c r="S1324">
        <f>HYPERLINK("https://klasma.github.io/Logging_2313/artfynd/A 29071-2023 artfynd.xlsx", "A 29071-2023")</f>
        <v/>
      </c>
      <c r="T1324">
        <f>HYPERLINK("https://klasma.github.io/Logging_2313/kartor/A 29071-2023 karta.png", "A 29071-2023")</f>
        <v/>
      </c>
      <c r="V1324">
        <f>HYPERLINK("https://klasma.github.io/Logging_2313/klagomål/A 29071-2023 FSC-klagomål.docx", "A 29071-2023")</f>
        <v/>
      </c>
      <c r="W1324">
        <f>HYPERLINK("https://klasma.github.io/Logging_2313/klagomålsmail/A 29071-2023 FSC-klagomål mail.docx", "A 29071-2023")</f>
        <v/>
      </c>
      <c r="X1324">
        <f>HYPERLINK("https://klasma.github.io/Logging_2313/tillsyn/A 29071-2023 tillsynsbegäran.docx", "A 29071-2023")</f>
        <v/>
      </c>
      <c r="Y1324">
        <f>HYPERLINK("https://klasma.github.io/Logging_2313/tillsynsmail/A 29071-2023 tillsynsbegäran mail.docx", "A 29071-2023")</f>
        <v/>
      </c>
    </row>
    <row r="1325" ht="15" customHeight="1">
      <c r="A1325" t="inlineStr">
        <is>
          <t>A 49329-2024</t>
        </is>
      </c>
      <c r="B1325" s="1" t="n">
        <v>45595.58056712963</v>
      </c>
      <c r="C1325" s="1" t="n">
        <v>46045</v>
      </c>
      <c r="D1325" t="inlineStr">
        <is>
          <t>JÄMTLANDS LÄN</t>
        </is>
      </c>
      <c r="E1325" t="inlineStr">
        <is>
          <t>HÄRJEDALEN</t>
        </is>
      </c>
      <c r="F1325" t="inlineStr">
        <is>
          <t>Bergvik skog väst AB</t>
        </is>
      </c>
      <c r="G1325" t="n">
        <v>6.1</v>
      </c>
      <c r="H1325" t="n">
        <v>0</v>
      </c>
      <c r="I1325" t="n">
        <v>0</v>
      </c>
      <c r="J1325" t="n">
        <v>2</v>
      </c>
      <c r="K1325" t="n">
        <v>0</v>
      </c>
      <c r="L1325" t="n">
        <v>0</v>
      </c>
      <c r="M1325" t="n">
        <v>0</v>
      </c>
      <c r="N1325" t="n">
        <v>0</v>
      </c>
      <c r="O1325" t="n">
        <v>2</v>
      </c>
      <c r="P1325" t="n">
        <v>0</v>
      </c>
      <c r="Q1325" t="n">
        <v>2</v>
      </c>
      <c r="R1325" s="2" t="inlineStr">
        <is>
          <t>Dvärgbägarlav
Vedflamlav</t>
        </is>
      </c>
      <c r="S1325">
        <f>HYPERLINK("https://klasma.github.io/Logging_2361/artfynd/A 49329-2024 artfynd.xlsx", "A 49329-2024")</f>
        <v/>
      </c>
      <c r="T1325">
        <f>HYPERLINK("https://klasma.github.io/Logging_2361/kartor/A 49329-2024 karta.png", "A 49329-2024")</f>
        <v/>
      </c>
      <c r="V1325">
        <f>HYPERLINK("https://klasma.github.io/Logging_2361/klagomål/A 49329-2024 FSC-klagomål.docx", "A 49329-2024")</f>
        <v/>
      </c>
      <c r="W1325">
        <f>HYPERLINK("https://klasma.github.io/Logging_2361/klagomålsmail/A 49329-2024 FSC-klagomål mail.docx", "A 49329-2024")</f>
        <v/>
      </c>
      <c r="X1325">
        <f>HYPERLINK("https://klasma.github.io/Logging_2361/tillsyn/A 49329-2024 tillsynsbegäran.docx", "A 49329-2024")</f>
        <v/>
      </c>
      <c r="Y1325">
        <f>HYPERLINK("https://klasma.github.io/Logging_2361/tillsynsmail/A 49329-2024 tillsynsbegäran mail.docx", "A 49329-2024")</f>
        <v/>
      </c>
    </row>
    <row r="1326" ht="15" customHeight="1">
      <c r="A1326" t="inlineStr">
        <is>
          <t>A 29119-2025</t>
        </is>
      </c>
      <c r="B1326" s="1" t="n">
        <v>45821.59407407408</v>
      </c>
      <c r="C1326" s="1" t="n">
        <v>46045</v>
      </c>
      <c r="D1326" t="inlineStr">
        <is>
          <t>JÄMTLANDS LÄN</t>
        </is>
      </c>
      <c r="E1326" t="inlineStr">
        <is>
          <t>BRÄCKE</t>
        </is>
      </c>
      <c r="F1326" t="inlineStr">
        <is>
          <t>SCA</t>
        </is>
      </c>
      <c r="G1326" t="n">
        <v>2.4</v>
      </c>
      <c r="H1326" t="n">
        <v>0</v>
      </c>
      <c r="I1326" t="n">
        <v>0</v>
      </c>
      <c r="J1326" t="n">
        <v>2</v>
      </c>
      <c r="K1326" t="n">
        <v>0</v>
      </c>
      <c r="L1326" t="n">
        <v>0</v>
      </c>
      <c r="M1326" t="n">
        <v>0</v>
      </c>
      <c r="N1326" t="n">
        <v>0</v>
      </c>
      <c r="O1326" t="n">
        <v>2</v>
      </c>
      <c r="P1326" t="n">
        <v>0</v>
      </c>
      <c r="Q1326" t="n">
        <v>2</v>
      </c>
      <c r="R1326" s="2" t="inlineStr">
        <is>
          <t>Garnlav
Lunglav</t>
        </is>
      </c>
      <c r="S1326">
        <f>HYPERLINK("https://klasma.github.io/Logging_2305/artfynd/A 29119-2025 artfynd.xlsx", "A 29119-2025")</f>
        <v/>
      </c>
      <c r="T1326">
        <f>HYPERLINK("https://klasma.github.io/Logging_2305/kartor/A 29119-2025 karta.png", "A 29119-2025")</f>
        <v/>
      </c>
      <c r="V1326">
        <f>HYPERLINK("https://klasma.github.io/Logging_2305/klagomål/A 29119-2025 FSC-klagomål.docx", "A 29119-2025")</f>
        <v/>
      </c>
      <c r="W1326">
        <f>HYPERLINK("https://klasma.github.io/Logging_2305/klagomålsmail/A 29119-2025 FSC-klagomål mail.docx", "A 29119-2025")</f>
        <v/>
      </c>
      <c r="X1326">
        <f>HYPERLINK("https://klasma.github.io/Logging_2305/tillsyn/A 29119-2025 tillsynsbegäran.docx", "A 29119-2025")</f>
        <v/>
      </c>
      <c r="Y1326">
        <f>HYPERLINK("https://klasma.github.io/Logging_2305/tillsynsmail/A 29119-2025 tillsynsbegäran mail.docx", "A 29119-2025")</f>
        <v/>
      </c>
    </row>
    <row r="1327" ht="15" customHeight="1">
      <c r="A1327" t="inlineStr">
        <is>
          <t>A 63108-2025</t>
        </is>
      </c>
      <c r="B1327" s="1" t="n">
        <v>46009.74135416667</v>
      </c>
      <c r="C1327" s="1" t="n">
        <v>46045</v>
      </c>
      <c r="D1327" t="inlineStr">
        <is>
          <t>JÄMTLANDS LÄN</t>
        </is>
      </c>
      <c r="E1327" t="inlineStr">
        <is>
          <t>STRÖMSUND</t>
        </is>
      </c>
      <c r="G1327" t="n">
        <v>22.9</v>
      </c>
      <c r="H1327" t="n">
        <v>1</v>
      </c>
      <c r="I1327" t="n">
        <v>0</v>
      </c>
      <c r="J1327" t="n">
        <v>2</v>
      </c>
      <c r="K1327" t="n">
        <v>0</v>
      </c>
      <c r="L1327" t="n">
        <v>0</v>
      </c>
      <c r="M1327" t="n">
        <v>0</v>
      </c>
      <c r="N1327" t="n">
        <v>0</v>
      </c>
      <c r="O1327" t="n">
        <v>2</v>
      </c>
      <c r="P1327" t="n">
        <v>0</v>
      </c>
      <c r="Q1327" t="n">
        <v>2</v>
      </c>
      <c r="R1327" s="2" t="inlineStr">
        <is>
          <t>Brunklöver
Tretåig hackspett</t>
        </is>
      </c>
      <c r="S1327">
        <f>HYPERLINK("https://klasma.github.io/Logging_2313/artfynd/A 63108-2025 artfynd.xlsx", "A 63108-2025")</f>
        <v/>
      </c>
      <c r="T1327">
        <f>HYPERLINK("https://klasma.github.io/Logging_2313/kartor/A 63108-2025 karta.png", "A 63108-2025")</f>
        <v/>
      </c>
      <c r="V1327">
        <f>HYPERLINK("https://klasma.github.io/Logging_2313/klagomål/A 63108-2025 FSC-klagomål.docx", "A 63108-2025")</f>
        <v/>
      </c>
      <c r="W1327">
        <f>HYPERLINK("https://klasma.github.io/Logging_2313/klagomålsmail/A 63108-2025 FSC-klagomål mail.docx", "A 63108-2025")</f>
        <v/>
      </c>
      <c r="X1327">
        <f>HYPERLINK("https://klasma.github.io/Logging_2313/tillsyn/A 63108-2025 tillsynsbegäran.docx", "A 63108-2025")</f>
        <v/>
      </c>
      <c r="Y1327">
        <f>HYPERLINK("https://klasma.github.io/Logging_2313/tillsynsmail/A 63108-2025 tillsynsbegäran mail.docx", "A 63108-2025")</f>
        <v/>
      </c>
      <c r="Z1327">
        <f>HYPERLINK("https://klasma.github.io/Logging_2313/fåglar/A 63108-2025 prioriterade fågelarter.docx", "A 63108-2025")</f>
        <v/>
      </c>
    </row>
    <row r="1328" ht="15" customHeight="1">
      <c r="A1328" t="inlineStr">
        <is>
          <t>A 56634-2025</t>
        </is>
      </c>
      <c r="B1328" s="1" t="n">
        <v>45975.61619212963</v>
      </c>
      <c r="C1328" s="1" t="n">
        <v>46045</v>
      </c>
      <c r="D1328" t="inlineStr">
        <is>
          <t>JÄMTLANDS LÄN</t>
        </is>
      </c>
      <c r="E1328" t="inlineStr">
        <is>
          <t>RAGUNDA</t>
        </is>
      </c>
      <c r="F1328" t="inlineStr">
        <is>
          <t>SCA</t>
        </is>
      </c>
      <c r="G1328" t="n">
        <v>86.59999999999999</v>
      </c>
      <c r="H1328" t="n">
        <v>0</v>
      </c>
      <c r="I1328" t="n">
        <v>1</v>
      </c>
      <c r="J1328" t="n">
        <v>1</v>
      </c>
      <c r="K1328" t="n">
        <v>0</v>
      </c>
      <c r="L1328" t="n">
        <v>0</v>
      </c>
      <c r="M1328" t="n">
        <v>0</v>
      </c>
      <c r="N1328" t="n">
        <v>0</v>
      </c>
      <c r="O1328" t="n">
        <v>1</v>
      </c>
      <c r="P1328" t="n">
        <v>0</v>
      </c>
      <c r="Q1328" t="n">
        <v>2</v>
      </c>
      <c r="R1328" s="2" t="inlineStr">
        <is>
          <t>Garnlav
Skuggblåslav</t>
        </is>
      </c>
      <c r="S1328">
        <f>HYPERLINK("https://klasma.github.io/Logging_2303/artfynd/A 56634-2025 artfynd.xlsx", "A 56634-2025")</f>
        <v/>
      </c>
      <c r="T1328">
        <f>HYPERLINK("https://klasma.github.io/Logging_2303/kartor/A 56634-2025 karta.png", "A 56634-2025")</f>
        <v/>
      </c>
      <c r="V1328">
        <f>HYPERLINK("https://klasma.github.io/Logging_2303/klagomål/A 56634-2025 FSC-klagomål.docx", "A 56634-2025")</f>
        <v/>
      </c>
      <c r="W1328">
        <f>HYPERLINK("https://klasma.github.io/Logging_2303/klagomålsmail/A 56634-2025 FSC-klagomål mail.docx", "A 56634-2025")</f>
        <v/>
      </c>
      <c r="X1328">
        <f>HYPERLINK("https://klasma.github.io/Logging_2303/tillsyn/A 56634-2025 tillsynsbegäran.docx", "A 56634-2025")</f>
        <v/>
      </c>
      <c r="Y1328">
        <f>HYPERLINK("https://klasma.github.io/Logging_2303/tillsynsmail/A 56634-2025 tillsynsbegäran mail.docx", "A 56634-2025")</f>
        <v/>
      </c>
    </row>
    <row r="1329" ht="15" customHeight="1">
      <c r="A1329" t="inlineStr">
        <is>
          <t>A 56616-2025</t>
        </is>
      </c>
      <c r="B1329" s="1" t="n">
        <v>45975.59357638889</v>
      </c>
      <c r="C1329" s="1" t="n">
        <v>46045</v>
      </c>
      <c r="D1329" t="inlineStr">
        <is>
          <t>JÄMTLANDS LÄN</t>
        </is>
      </c>
      <c r="E1329" t="inlineStr">
        <is>
          <t>HÄRJEDALEN</t>
        </is>
      </c>
      <c r="F1329" t="inlineStr">
        <is>
          <t>Bergvik skog väst AB</t>
        </is>
      </c>
      <c r="G1329" t="n">
        <v>6.6</v>
      </c>
      <c r="H1329" t="n">
        <v>1</v>
      </c>
      <c r="I1329" t="n">
        <v>0</v>
      </c>
      <c r="J1329" t="n">
        <v>1</v>
      </c>
      <c r="K1329" t="n">
        <v>1</v>
      </c>
      <c r="L1329" t="n">
        <v>0</v>
      </c>
      <c r="M1329" t="n">
        <v>0</v>
      </c>
      <c r="N1329" t="n">
        <v>0</v>
      </c>
      <c r="O1329" t="n">
        <v>2</v>
      </c>
      <c r="P1329" t="n">
        <v>1</v>
      </c>
      <c r="Q1329" t="n">
        <v>2</v>
      </c>
      <c r="R1329" s="2" t="inlineStr">
        <is>
          <t>Knärot
Lunglav</t>
        </is>
      </c>
      <c r="S1329">
        <f>HYPERLINK("https://klasma.github.io/Logging_2361/artfynd/A 56616-2025 artfynd.xlsx", "A 56616-2025")</f>
        <v/>
      </c>
      <c r="T1329">
        <f>HYPERLINK("https://klasma.github.io/Logging_2361/kartor/A 56616-2025 karta.png", "A 56616-2025")</f>
        <v/>
      </c>
      <c r="U1329">
        <f>HYPERLINK("https://klasma.github.io/Logging_2361/knärot/A 56616-2025 karta knärot.png", "A 56616-2025")</f>
        <v/>
      </c>
      <c r="V1329">
        <f>HYPERLINK("https://klasma.github.io/Logging_2361/klagomål/A 56616-2025 FSC-klagomål.docx", "A 56616-2025")</f>
        <v/>
      </c>
      <c r="W1329">
        <f>HYPERLINK("https://klasma.github.io/Logging_2361/klagomålsmail/A 56616-2025 FSC-klagomål mail.docx", "A 56616-2025")</f>
        <v/>
      </c>
      <c r="X1329">
        <f>HYPERLINK("https://klasma.github.io/Logging_2361/tillsyn/A 56616-2025 tillsynsbegäran.docx", "A 56616-2025")</f>
        <v/>
      </c>
      <c r="Y1329">
        <f>HYPERLINK("https://klasma.github.io/Logging_2361/tillsynsmail/A 56616-2025 tillsynsbegäran mail.docx", "A 56616-2025")</f>
        <v/>
      </c>
    </row>
    <row r="1330" ht="15" customHeight="1">
      <c r="A1330" t="inlineStr">
        <is>
          <t>A 19948-2025</t>
        </is>
      </c>
      <c r="B1330" s="1" t="n">
        <v>45771</v>
      </c>
      <c r="C1330" s="1" t="n">
        <v>46045</v>
      </c>
      <c r="D1330" t="inlineStr">
        <is>
          <t>JÄMTLANDS LÄN</t>
        </is>
      </c>
      <c r="E1330" t="inlineStr">
        <is>
          <t>BERG</t>
        </is>
      </c>
      <c r="F1330" t="inlineStr">
        <is>
          <t>SCA</t>
        </is>
      </c>
      <c r="G1330" t="n">
        <v>23.3</v>
      </c>
      <c r="H1330" t="n">
        <v>2</v>
      </c>
      <c r="I1330" t="n">
        <v>1</v>
      </c>
      <c r="J1330" t="n">
        <v>1</v>
      </c>
      <c r="K1330" t="n">
        <v>0</v>
      </c>
      <c r="L1330" t="n">
        <v>0</v>
      </c>
      <c r="M1330" t="n">
        <v>0</v>
      </c>
      <c r="N1330" t="n">
        <v>0</v>
      </c>
      <c r="O1330" t="n">
        <v>1</v>
      </c>
      <c r="P1330" t="n">
        <v>0</v>
      </c>
      <c r="Q1330" t="n">
        <v>2</v>
      </c>
      <c r="R1330" s="2" t="inlineStr">
        <is>
          <t>Tretåig hackspett
Plattlummer</t>
        </is>
      </c>
      <c r="S1330">
        <f>HYPERLINK("https://klasma.github.io/Logging_2326/artfynd/A 19948-2025 artfynd.xlsx", "A 19948-2025")</f>
        <v/>
      </c>
      <c r="T1330">
        <f>HYPERLINK("https://klasma.github.io/Logging_2326/kartor/A 19948-2025 karta.png", "A 19948-2025")</f>
        <v/>
      </c>
      <c r="V1330">
        <f>HYPERLINK("https://klasma.github.io/Logging_2326/klagomål/A 19948-2025 FSC-klagomål.docx", "A 19948-2025")</f>
        <v/>
      </c>
      <c r="W1330">
        <f>HYPERLINK("https://klasma.github.io/Logging_2326/klagomålsmail/A 19948-2025 FSC-klagomål mail.docx", "A 19948-2025")</f>
        <v/>
      </c>
      <c r="X1330">
        <f>HYPERLINK("https://klasma.github.io/Logging_2326/tillsyn/A 19948-2025 tillsynsbegäran.docx", "A 19948-2025")</f>
        <v/>
      </c>
      <c r="Y1330">
        <f>HYPERLINK("https://klasma.github.io/Logging_2326/tillsynsmail/A 19948-2025 tillsynsbegäran mail.docx", "A 19948-2025")</f>
        <v/>
      </c>
      <c r="Z1330">
        <f>HYPERLINK("https://klasma.github.io/Logging_2326/fåglar/A 19948-2025 prioriterade fågelarter.docx", "A 19948-2025")</f>
        <v/>
      </c>
    </row>
    <row r="1331" ht="15" customHeight="1">
      <c r="A1331" t="inlineStr">
        <is>
          <t>A 29537-2025</t>
        </is>
      </c>
      <c r="B1331" s="1" t="n">
        <v>45825.34508101852</v>
      </c>
      <c r="C1331" s="1" t="n">
        <v>46045</v>
      </c>
      <c r="D1331" t="inlineStr">
        <is>
          <t>JÄMTLANDS LÄN</t>
        </is>
      </c>
      <c r="E1331" t="inlineStr">
        <is>
          <t>STRÖMSUND</t>
        </is>
      </c>
      <c r="F1331" t="inlineStr">
        <is>
          <t>SCA</t>
        </is>
      </c>
      <c r="G1331" t="n">
        <v>5.4</v>
      </c>
      <c r="H1331" t="n">
        <v>0</v>
      </c>
      <c r="I1331" t="n">
        <v>0</v>
      </c>
      <c r="J1331" t="n">
        <v>1</v>
      </c>
      <c r="K1331" t="n">
        <v>1</v>
      </c>
      <c r="L1331" t="n">
        <v>0</v>
      </c>
      <c r="M1331" t="n">
        <v>0</v>
      </c>
      <c r="N1331" t="n">
        <v>0</v>
      </c>
      <c r="O1331" t="n">
        <v>2</v>
      </c>
      <c r="P1331" t="n">
        <v>1</v>
      </c>
      <c r="Q1331" t="n">
        <v>2</v>
      </c>
      <c r="R1331" s="2" t="inlineStr">
        <is>
          <t>Läderdoftande fingersvamp
Mörk kolflarnlav</t>
        </is>
      </c>
      <c r="S1331">
        <f>HYPERLINK("https://klasma.github.io/Logging_2313/artfynd/A 29537-2025 artfynd.xlsx", "A 29537-2025")</f>
        <v/>
      </c>
      <c r="T1331">
        <f>HYPERLINK("https://klasma.github.io/Logging_2313/kartor/A 29537-2025 karta.png", "A 29537-2025")</f>
        <v/>
      </c>
      <c r="V1331">
        <f>HYPERLINK("https://klasma.github.io/Logging_2313/klagomål/A 29537-2025 FSC-klagomål.docx", "A 29537-2025")</f>
        <v/>
      </c>
      <c r="W1331">
        <f>HYPERLINK("https://klasma.github.io/Logging_2313/klagomålsmail/A 29537-2025 FSC-klagomål mail.docx", "A 29537-2025")</f>
        <v/>
      </c>
      <c r="X1331">
        <f>HYPERLINK("https://klasma.github.io/Logging_2313/tillsyn/A 29537-2025 tillsynsbegäran.docx", "A 29537-2025")</f>
        <v/>
      </c>
      <c r="Y1331">
        <f>HYPERLINK("https://klasma.github.io/Logging_2313/tillsynsmail/A 29537-2025 tillsynsbegäran mail.docx", "A 29537-2025")</f>
        <v/>
      </c>
    </row>
    <row r="1332" ht="15" customHeight="1">
      <c r="A1332" t="inlineStr">
        <is>
          <t>A 56750-2025</t>
        </is>
      </c>
      <c r="B1332" s="1" t="n">
        <v>45975</v>
      </c>
      <c r="C1332" s="1" t="n">
        <v>46045</v>
      </c>
      <c r="D1332" t="inlineStr">
        <is>
          <t>JÄMTLANDS LÄN</t>
        </is>
      </c>
      <c r="E1332" t="inlineStr">
        <is>
          <t>ÖSTERSUND</t>
        </is>
      </c>
      <c r="G1332" t="n">
        <v>5.1</v>
      </c>
      <c r="H1332" t="n">
        <v>1</v>
      </c>
      <c r="I1332" t="n">
        <v>0</v>
      </c>
      <c r="J1332" t="n">
        <v>1</v>
      </c>
      <c r="K1332" t="n">
        <v>0</v>
      </c>
      <c r="L1332" t="n">
        <v>0</v>
      </c>
      <c r="M1332" t="n">
        <v>0</v>
      </c>
      <c r="N1332" t="n">
        <v>0</v>
      </c>
      <c r="O1332" t="n">
        <v>1</v>
      </c>
      <c r="P1332" t="n">
        <v>0</v>
      </c>
      <c r="Q1332" t="n">
        <v>2</v>
      </c>
      <c r="R1332" s="2" t="inlineStr">
        <is>
          <t>Garnlav
Revlummer</t>
        </is>
      </c>
      <c r="S1332">
        <f>HYPERLINK("https://klasma.github.io/Logging_2380/artfynd/A 56750-2025 artfynd.xlsx", "A 56750-2025")</f>
        <v/>
      </c>
      <c r="T1332">
        <f>HYPERLINK("https://klasma.github.io/Logging_2380/kartor/A 56750-2025 karta.png", "A 56750-2025")</f>
        <v/>
      </c>
      <c r="V1332">
        <f>HYPERLINK("https://klasma.github.io/Logging_2380/klagomål/A 56750-2025 FSC-klagomål.docx", "A 56750-2025")</f>
        <v/>
      </c>
      <c r="W1332">
        <f>HYPERLINK("https://klasma.github.io/Logging_2380/klagomålsmail/A 56750-2025 FSC-klagomål mail.docx", "A 56750-2025")</f>
        <v/>
      </c>
      <c r="X1332">
        <f>HYPERLINK("https://klasma.github.io/Logging_2380/tillsyn/A 56750-2025 tillsynsbegäran.docx", "A 56750-2025")</f>
        <v/>
      </c>
      <c r="Y1332">
        <f>HYPERLINK("https://klasma.github.io/Logging_2380/tillsynsmail/A 56750-2025 tillsynsbegäran mail.docx", "A 56750-2025")</f>
        <v/>
      </c>
    </row>
    <row r="1333" ht="15" customHeight="1">
      <c r="A1333" t="inlineStr">
        <is>
          <t>A 64668-2021</t>
        </is>
      </c>
      <c r="B1333" s="1" t="n">
        <v>44512</v>
      </c>
      <c r="C1333" s="1" t="n">
        <v>46045</v>
      </c>
      <c r="D1333" t="inlineStr">
        <is>
          <t>JÄMTLANDS LÄN</t>
        </is>
      </c>
      <c r="E1333" t="inlineStr">
        <is>
          <t>ÅRE</t>
        </is>
      </c>
      <c r="G1333" t="n">
        <v>1.9</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HYPERLINK("https://klasma.github.io/Logging_2321/artfynd/A 64668-2021 artfynd.xlsx", "A 64668-2021")</f>
        <v/>
      </c>
      <c r="T1333">
        <f>HYPERLINK("https://klasma.github.io/Logging_2321/kartor/A 64668-2021 karta.png", "A 64668-2021")</f>
        <v/>
      </c>
      <c r="V1333">
        <f>HYPERLINK("https://klasma.github.io/Logging_2321/klagomål/A 64668-2021 FSC-klagomål.docx", "A 64668-2021")</f>
        <v/>
      </c>
      <c r="W1333">
        <f>HYPERLINK("https://klasma.github.io/Logging_2321/klagomålsmail/A 64668-2021 FSC-klagomål mail.docx", "A 64668-2021")</f>
        <v/>
      </c>
      <c r="X1333">
        <f>HYPERLINK("https://klasma.github.io/Logging_2321/tillsyn/A 64668-2021 tillsynsbegäran.docx", "A 64668-2021")</f>
        <v/>
      </c>
      <c r="Y1333">
        <f>HYPERLINK("https://klasma.github.io/Logging_2321/tillsynsmail/A 64668-2021 tillsynsbegäran mail.docx", "A 64668-2021")</f>
        <v/>
      </c>
      <c r="Z1333">
        <f>HYPERLINK("https://klasma.github.io/Logging_2321/fåglar/A 64668-2021 prioriterade fågelarter.docx", "A 64668-2021")</f>
        <v/>
      </c>
    </row>
    <row r="1334" ht="15" customHeight="1">
      <c r="A1334" t="inlineStr">
        <is>
          <t>A 5418-2023</t>
        </is>
      </c>
      <c r="B1334" s="1" t="n">
        <v>44957</v>
      </c>
      <c r="C1334" s="1" t="n">
        <v>46045</v>
      </c>
      <c r="D1334" t="inlineStr">
        <is>
          <t>JÄMTLANDS LÄN</t>
        </is>
      </c>
      <c r="E1334" t="inlineStr">
        <is>
          <t>ÅRE</t>
        </is>
      </c>
      <c r="G1334" t="n">
        <v>5</v>
      </c>
      <c r="H1334" t="n">
        <v>1</v>
      </c>
      <c r="I1334" t="n">
        <v>0</v>
      </c>
      <c r="J1334" t="n">
        <v>2</v>
      </c>
      <c r="K1334" t="n">
        <v>0</v>
      </c>
      <c r="L1334" t="n">
        <v>0</v>
      </c>
      <c r="M1334" t="n">
        <v>0</v>
      </c>
      <c r="N1334" t="n">
        <v>0</v>
      </c>
      <c r="O1334" t="n">
        <v>2</v>
      </c>
      <c r="P1334" t="n">
        <v>0</v>
      </c>
      <c r="Q1334" t="n">
        <v>2</v>
      </c>
      <c r="R1334" s="2" t="inlineStr">
        <is>
          <t>Garnlav
Tretåig hackspett</t>
        </is>
      </c>
      <c r="S1334">
        <f>HYPERLINK("https://klasma.github.io/Logging_2321/artfynd/A 5418-2023 artfynd.xlsx", "A 5418-2023")</f>
        <v/>
      </c>
      <c r="T1334">
        <f>HYPERLINK("https://klasma.github.io/Logging_2321/kartor/A 5418-2023 karta.png", "A 5418-2023")</f>
        <v/>
      </c>
      <c r="V1334">
        <f>HYPERLINK("https://klasma.github.io/Logging_2321/klagomål/A 5418-2023 FSC-klagomål.docx", "A 5418-2023")</f>
        <v/>
      </c>
      <c r="W1334">
        <f>HYPERLINK("https://klasma.github.io/Logging_2321/klagomålsmail/A 5418-2023 FSC-klagomål mail.docx", "A 5418-2023")</f>
        <v/>
      </c>
      <c r="X1334">
        <f>HYPERLINK("https://klasma.github.io/Logging_2321/tillsyn/A 5418-2023 tillsynsbegäran.docx", "A 5418-2023")</f>
        <v/>
      </c>
      <c r="Y1334">
        <f>HYPERLINK("https://klasma.github.io/Logging_2321/tillsynsmail/A 5418-2023 tillsynsbegäran mail.docx", "A 5418-2023")</f>
        <v/>
      </c>
      <c r="Z1334">
        <f>HYPERLINK("https://klasma.github.io/Logging_2321/fåglar/A 5418-2023 prioriterade fågelarter.docx", "A 5418-2023")</f>
        <v/>
      </c>
    </row>
    <row r="1335" ht="15" customHeight="1">
      <c r="A1335" t="inlineStr">
        <is>
          <t>A 20132-2025</t>
        </is>
      </c>
      <c r="B1335" s="1" t="n">
        <v>45772.51070601852</v>
      </c>
      <c r="C1335" s="1" t="n">
        <v>46045</v>
      </c>
      <c r="D1335" t="inlineStr">
        <is>
          <t>JÄMTLANDS LÄN</t>
        </is>
      </c>
      <c r="E1335" t="inlineStr">
        <is>
          <t>HÄRJEDALEN</t>
        </is>
      </c>
      <c r="F1335" t="inlineStr">
        <is>
          <t>SCA</t>
        </is>
      </c>
      <c r="G1335" t="n">
        <v>5.9</v>
      </c>
      <c r="H1335" t="n">
        <v>0</v>
      </c>
      <c r="I1335" t="n">
        <v>0</v>
      </c>
      <c r="J1335" t="n">
        <v>2</v>
      </c>
      <c r="K1335" t="n">
        <v>0</v>
      </c>
      <c r="L1335" t="n">
        <v>0</v>
      </c>
      <c r="M1335" t="n">
        <v>0</v>
      </c>
      <c r="N1335" t="n">
        <v>0</v>
      </c>
      <c r="O1335" t="n">
        <v>2</v>
      </c>
      <c r="P1335" t="n">
        <v>0</v>
      </c>
      <c r="Q1335" t="n">
        <v>2</v>
      </c>
      <c r="R1335" s="2" t="inlineStr">
        <is>
          <t>Dofttaggsvamp
Orange taggsvamp</t>
        </is>
      </c>
      <c r="S1335">
        <f>HYPERLINK("https://klasma.github.io/Logging_2361/artfynd/A 20132-2025 artfynd.xlsx", "A 20132-2025")</f>
        <v/>
      </c>
      <c r="T1335">
        <f>HYPERLINK("https://klasma.github.io/Logging_2361/kartor/A 20132-2025 karta.png", "A 20132-2025")</f>
        <v/>
      </c>
      <c r="V1335">
        <f>HYPERLINK("https://klasma.github.io/Logging_2361/klagomål/A 20132-2025 FSC-klagomål.docx", "A 20132-2025")</f>
        <v/>
      </c>
      <c r="W1335">
        <f>HYPERLINK("https://klasma.github.io/Logging_2361/klagomålsmail/A 20132-2025 FSC-klagomål mail.docx", "A 20132-2025")</f>
        <v/>
      </c>
      <c r="X1335">
        <f>HYPERLINK("https://klasma.github.io/Logging_2361/tillsyn/A 20132-2025 tillsynsbegäran.docx", "A 20132-2025")</f>
        <v/>
      </c>
      <c r="Y1335">
        <f>HYPERLINK("https://klasma.github.io/Logging_2361/tillsynsmail/A 20132-2025 tillsynsbegäran mail.docx", "A 20132-2025")</f>
        <v/>
      </c>
    </row>
    <row r="1336" ht="15" customHeight="1">
      <c r="A1336" t="inlineStr">
        <is>
          <t>A 57329-2025</t>
        </is>
      </c>
      <c r="B1336" s="1" t="n">
        <v>45980.34434027778</v>
      </c>
      <c r="C1336" s="1" t="n">
        <v>46045</v>
      </c>
      <c r="D1336" t="inlineStr">
        <is>
          <t>JÄMTLANDS LÄN</t>
        </is>
      </c>
      <c r="E1336" t="inlineStr">
        <is>
          <t>BRÄCKE</t>
        </is>
      </c>
      <c r="F1336" t="inlineStr">
        <is>
          <t>SCA</t>
        </is>
      </c>
      <c r="G1336" t="n">
        <v>1.2</v>
      </c>
      <c r="H1336" t="n">
        <v>2</v>
      </c>
      <c r="I1336" t="n">
        <v>0</v>
      </c>
      <c r="J1336" t="n">
        <v>2</v>
      </c>
      <c r="K1336" t="n">
        <v>0</v>
      </c>
      <c r="L1336" t="n">
        <v>0</v>
      </c>
      <c r="M1336" t="n">
        <v>0</v>
      </c>
      <c r="N1336" t="n">
        <v>0</v>
      </c>
      <c r="O1336" t="n">
        <v>2</v>
      </c>
      <c r="P1336" t="n">
        <v>0</v>
      </c>
      <c r="Q1336" t="n">
        <v>2</v>
      </c>
      <c r="R1336" s="2" t="inlineStr">
        <is>
          <t>Talltita
Tretåig hackspett</t>
        </is>
      </c>
      <c r="S1336">
        <f>HYPERLINK("https://klasma.github.io/Logging_2305/artfynd/A 57329-2025 artfynd.xlsx", "A 57329-2025")</f>
        <v/>
      </c>
      <c r="T1336">
        <f>HYPERLINK("https://klasma.github.io/Logging_2305/kartor/A 57329-2025 karta.png", "A 57329-2025")</f>
        <v/>
      </c>
      <c r="V1336">
        <f>HYPERLINK("https://klasma.github.io/Logging_2305/klagomål/A 57329-2025 FSC-klagomål.docx", "A 57329-2025")</f>
        <v/>
      </c>
      <c r="W1336">
        <f>HYPERLINK("https://klasma.github.io/Logging_2305/klagomålsmail/A 57329-2025 FSC-klagomål mail.docx", "A 57329-2025")</f>
        <v/>
      </c>
      <c r="X1336">
        <f>HYPERLINK("https://klasma.github.io/Logging_2305/tillsyn/A 57329-2025 tillsynsbegäran.docx", "A 57329-2025")</f>
        <v/>
      </c>
      <c r="Y1336">
        <f>HYPERLINK("https://klasma.github.io/Logging_2305/tillsynsmail/A 57329-2025 tillsynsbegäran mail.docx", "A 57329-2025")</f>
        <v/>
      </c>
      <c r="Z1336">
        <f>HYPERLINK("https://klasma.github.io/Logging_2305/fåglar/A 57329-2025 prioriterade fågelarter.docx", "A 57329-2025")</f>
        <v/>
      </c>
    </row>
    <row r="1337" ht="15" customHeight="1">
      <c r="A1337" t="inlineStr">
        <is>
          <t>A 57333-2025</t>
        </is>
      </c>
      <c r="B1337" s="1" t="n">
        <v>45980.34482638889</v>
      </c>
      <c r="C1337" s="1" t="n">
        <v>46045</v>
      </c>
      <c r="D1337" t="inlineStr">
        <is>
          <t>JÄMTLANDS LÄN</t>
        </is>
      </c>
      <c r="E1337" t="inlineStr">
        <is>
          <t>STRÖMSUND</t>
        </is>
      </c>
      <c r="F1337" t="inlineStr">
        <is>
          <t>SCA</t>
        </is>
      </c>
      <c r="G1337" t="n">
        <v>3.6</v>
      </c>
      <c r="H1337" t="n">
        <v>0</v>
      </c>
      <c r="I1337" t="n">
        <v>1</v>
      </c>
      <c r="J1337" t="n">
        <v>1</v>
      </c>
      <c r="K1337" t="n">
        <v>0</v>
      </c>
      <c r="L1337" t="n">
        <v>0</v>
      </c>
      <c r="M1337" t="n">
        <v>0</v>
      </c>
      <c r="N1337" t="n">
        <v>0</v>
      </c>
      <c r="O1337" t="n">
        <v>1</v>
      </c>
      <c r="P1337" t="n">
        <v>0</v>
      </c>
      <c r="Q1337" t="n">
        <v>2</v>
      </c>
      <c r="R1337" s="2" t="inlineStr">
        <is>
          <t>Lunglav
Stuplav</t>
        </is>
      </c>
      <c r="S1337">
        <f>HYPERLINK("https://klasma.github.io/Logging_2313/artfynd/A 57333-2025 artfynd.xlsx", "A 57333-2025")</f>
        <v/>
      </c>
      <c r="T1337">
        <f>HYPERLINK("https://klasma.github.io/Logging_2313/kartor/A 57333-2025 karta.png", "A 57333-2025")</f>
        <v/>
      </c>
      <c r="V1337">
        <f>HYPERLINK("https://klasma.github.io/Logging_2313/klagomål/A 57333-2025 FSC-klagomål.docx", "A 57333-2025")</f>
        <v/>
      </c>
      <c r="W1337">
        <f>HYPERLINK("https://klasma.github.io/Logging_2313/klagomålsmail/A 57333-2025 FSC-klagomål mail.docx", "A 57333-2025")</f>
        <v/>
      </c>
      <c r="X1337">
        <f>HYPERLINK("https://klasma.github.io/Logging_2313/tillsyn/A 57333-2025 tillsynsbegäran.docx", "A 57333-2025")</f>
        <v/>
      </c>
      <c r="Y1337">
        <f>HYPERLINK("https://klasma.github.io/Logging_2313/tillsynsmail/A 57333-2025 tillsynsbegäran mail.docx", "A 57333-2025")</f>
        <v/>
      </c>
    </row>
    <row r="1338" ht="15" customHeight="1">
      <c r="A1338" t="inlineStr">
        <is>
          <t>A 48427-2023</t>
        </is>
      </c>
      <c r="B1338" s="1" t="n">
        <v>45205</v>
      </c>
      <c r="C1338" s="1" t="n">
        <v>46045</v>
      </c>
      <c r="D1338" t="inlineStr">
        <is>
          <t>JÄMTLANDS LÄN</t>
        </is>
      </c>
      <c r="E1338" t="inlineStr">
        <is>
          <t>RAGUNDA</t>
        </is>
      </c>
      <c r="F1338" t="inlineStr">
        <is>
          <t>SCA</t>
        </is>
      </c>
      <c r="G1338" t="n">
        <v>10.1</v>
      </c>
      <c r="H1338" t="n">
        <v>0</v>
      </c>
      <c r="I1338" t="n">
        <v>1</v>
      </c>
      <c r="J1338" t="n">
        <v>1</v>
      </c>
      <c r="K1338" t="n">
        <v>0</v>
      </c>
      <c r="L1338" t="n">
        <v>0</v>
      </c>
      <c r="M1338" t="n">
        <v>0</v>
      </c>
      <c r="N1338" t="n">
        <v>0</v>
      </c>
      <c r="O1338" t="n">
        <v>1</v>
      </c>
      <c r="P1338" t="n">
        <v>0</v>
      </c>
      <c r="Q1338" t="n">
        <v>2</v>
      </c>
      <c r="R1338" s="2" t="inlineStr">
        <is>
          <t>Lunglav
Luddlav</t>
        </is>
      </c>
      <c r="S1338">
        <f>HYPERLINK("https://klasma.github.io/Logging_2303/artfynd/A 48427-2023 artfynd.xlsx", "A 48427-2023")</f>
        <v/>
      </c>
      <c r="T1338">
        <f>HYPERLINK("https://klasma.github.io/Logging_2303/kartor/A 48427-2023 karta.png", "A 48427-2023")</f>
        <v/>
      </c>
      <c r="V1338">
        <f>HYPERLINK("https://klasma.github.io/Logging_2303/klagomål/A 48427-2023 FSC-klagomål.docx", "A 48427-2023")</f>
        <v/>
      </c>
      <c r="W1338">
        <f>HYPERLINK("https://klasma.github.io/Logging_2303/klagomålsmail/A 48427-2023 FSC-klagomål mail.docx", "A 48427-2023")</f>
        <v/>
      </c>
      <c r="X1338">
        <f>HYPERLINK("https://klasma.github.io/Logging_2303/tillsyn/A 48427-2023 tillsynsbegäran.docx", "A 48427-2023")</f>
        <v/>
      </c>
      <c r="Y1338">
        <f>HYPERLINK("https://klasma.github.io/Logging_2303/tillsynsmail/A 48427-2023 tillsynsbegäran mail.docx", "A 48427-2023")</f>
        <v/>
      </c>
    </row>
    <row r="1339" ht="15" customHeight="1">
      <c r="A1339" t="inlineStr">
        <is>
          <t>A 64110-2025</t>
        </is>
      </c>
      <c r="B1339" s="1" t="n">
        <v>46013</v>
      </c>
      <c r="C1339" s="1" t="n">
        <v>46045</v>
      </c>
      <c r="D1339" t="inlineStr">
        <is>
          <t>JÄMTLANDS LÄN</t>
        </is>
      </c>
      <c r="E1339" t="inlineStr">
        <is>
          <t>HÄRJEDALEN</t>
        </is>
      </c>
      <c r="G1339" t="n">
        <v>3.6</v>
      </c>
      <c r="H1339" t="n">
        <v>0</v>
      </c>
      <c r="I1339" t="n">
        <v>0</v>
      </c>
      <c r="J1339" t="n">
        <v>2</v>
      </c>
      <c r="K1339" t="n">
        <v>0</v>
      </c>
      <c r="L1339" t="n">
        <v>0</v>
      </c>
      <c r="M1339" t="n">
        <v>0</v>
      </c>
      <c r="N1339" t="n">
        <v>0</v>
      </c>
      <c r="O1339" t="n">
        <v>2</v>
      </c>
      <c r="P1339" t="n">
        <v>0</v>
      </c>
      <c r="Q1339" t="n">
        <v>2</v>
      </c>
      <c r="R1339" s="2" t="inlineStr">
        <is>
          <t>Knottrig blåslav
Lunglav</t>
        </is>
      </c>
      <c r="S1339">
        <f>HYPERLINK("https://klasma.github.io/Logging_2361/artfynd/A 64110-2025 artfynd.xlsx", "A 64110-2025")</f>
        <v/>
      </c>
      <c r="T1339">
        <f>HYPERLINK("https://klasma.github.io/Logging_2361/kartor/A 64110-2025 karta.png", "A 64110-2025")</f>
        <v/>
      </c>
      <c r="V1339">
        <f>HYPERLINK("https://klasma.github.io/Logging_2361/klagomål/A 64110-2025 FSC-klagomål.docx", "A 64110-2025")</f>
        <v/>
      </c>
      <c r="W1339">
        <f>HYPERLINK("https://klasma.github.io/Logging_2361/klagomålsmail/A 64110-2025 FSC-klagomål mail.docx", "A 64110-2025")</f>
        <v/>
      </c>
      <c r="X1339">
        <f>HYPERLINK("https://klasma.github.io/Logging_2361/tillsyn/A 64110-2025 tillsynsbegäran.docx", "A 64110-2025")</f>
        <v/>
      </c>
      <c r="Y1339">
        <f>HYPERLINK("https://klasma.github.io/Logging_2361/tillsynsmail/A 64110-2025 tillsynsbegäran mail.docx", "A 64110-2025")</f>
        <v/>
      </c>
    </row>
    <row r="1340" ht="15" customHeight="1">
      <c r="A1340" t="inlineStr">
        <is>
          <t>A 36924-2024</t>
        </is>
      </c>
      <c r="B1340" s="1" t="n">
        <v>45538</v>
      </c>
      <c r="C1340" s="1" t="n">
        <v>46045</v>
      </c>
      <c r="D1340" t="inlineStr">
        <is>
          <t>JÄMTLANDS LÄN</t>
        </is>
      </c>
      <c r="E1340" t="inlineStr">
        <is>
          <t>HÄRJEDALEN</t>
        </is>
      </c>
      <c r="F1340" t="inlineStr">
        <is>
          <t>Holmen skog AB</t>
        </is>
      </c>
      <c r="G1340" t="n">
        <v>4.3</v>
      </c>
      <c r="H1340" t="n">
        <v>1</v>
      </c>
      <c r="I1340" t="n">
        <v>1</v>
      </c>
      <c r="J1340" t="n">
        <v>0</v>
      </c>
      <c r="K1340" t="n">
        <v>0</v>
      </c>
      <c r="L1340" t="n">
        <v>0</v>
      </c>
      <c r="M1340" t="n">
        <v>0</v>
      </c>
      <c r="N1340" t="n">
        <v>0</v>
      </c>
      <c r="O1340" t="n">
        <v>0</v>
      </c>
      <c r="P1340" t="n">
        <v>0</v>
      </c>
      <c r="Q1340" t="n">
        <v>2</v>
      </c>
      <c r="R1340" s="2" t="inlineStr">
        <is>
          <t>Dvärgtufs
Nattviol</t>
        </is>
      </c>
      <c r="S1340">
        <f>HYPERLINK("https://klasma.github.io/Logging_2361/artfynd/A 36924-2024 artfynd.xlsx", "A 36924-2024")</f>
        <v/>
      </c>
      <c r="T1340">
        <f>HYPERLINK("https://klasma.github.io/Logging_2361/kartor/A 36924-2024 karta.png", "A 36924-2024")</f>
        <v/>
      </c>
      <c r="V1340">
        <f>HYPERLINK("https://klasma.github.io/Logging_2361/klagomål/A 36924-2024 FSC-klagomål.docx", "A 36924-2024")</f>
        <v/>
      </c>
      <c r="W1340">
        <f>HYPERLINK("https://klasma.github.io/Logging_2361/klagomålsmail/A 36924-2024 FSC-klagomål mail.docx", "A 36924-2024")</f>
        <v/>
      </c>
      <c r="X1340">
        <f>HYPERLINK("https://klasma.github.io/Logging_2361/tillsyn/A 36924-2024 tillsynsbegäran.docx", "A 36924-2024")</f>
        <v/>
      </c>
      <c r="Y1340">
        <f>HYPERLINK("https://klasma.github.io/Logging_2361/tillsynsmail/A 36924-2024 tillsynsbegäran mail.docx", "A 36924-2024")</f>
        <v/>
      </c>
    </row>
    <row r="1341" ht="15" customHeight="1">
      <c r="A1341" t="inlineStr">
        <is>
          <t>A 31709-2025</t>
        </is>
      </c>
      <c r="B1341" s="1" t="n">
        <v>45834.42543981481</v>
      </c>
      <c r="C1341" s="1" t="n">
        <v>46045</v>
      </c>
      <c r="D1341" t="inlineStr">
        <is>
          <t>JÄMTLANDS LÄN</t>
        </is>
      </c>
      <c r="E1341" t="inlineStr">
        <is>
          <t>BERG</t>
        </is>
      </c>
      <c r="G1341" t="n">
        <v>22.2</v>
      </c>
      <c r="H1341" t="n">
        <v>1</v>
      </c>
      <c r="I1341" t="n">
        <v>0</v>
      </c>
      <c r="J1341" t="n">
        <v>1</v>
      </c>
      <c r="K1341" t="n">
        <v>0</v>
      </c>
      <c r="L1341" t="n">
        <v>1</v>
      </c>
      <c r="M1341" t="n">
        <v>0</v>
      </c>
      <c r="N1341" t="n">
        <v>0</v>
      </c>
      <c r="O1341" t="n">
        <v>2</v>
      </c>
      <c r="P1341" t="n">
        <v>1</v>
      </c>
      <c r="Q1341" t="n">
        <v>2</v>
      </c>
      <c r="R1341" s="2" t="inlineStr">
        <is>
          <t>Mikroskapania
Platt spretmossa</t>
        </is>
      </c>
      <c r="S1341">
        <f>HYPERLINK("https://klasma.github.io/Logging_2326/artfynd/A 31709-2025 artfynd.xlsx", "A 31709-2025")</f>
        <v/>
      </c>
      <c r="T1341">
        <f>HYPERLINK("https://klasma.github.io/Logging_2326/kartor/A 31709-2025 karta.png", "A 31709-2025")</f>
        <v/>
      </c>
      <c r="V1341">
        <f>HYPERLINK("https://klasma.github.io/Logging_2326/klagomål/A 31709-2025 FSC-klagomål.docx", "A 31709-2025")</f>
        <v/>
      </c>
      <c r="W1341">
        <f>HYPERLINK("https://klasma.github.io/Logging_2326/klagomålsmail/A 31709-2025 FSC-klagomål mail.docx", "A 31709-2025")</f>
        <v/>
      </c>
      <c r="X1341">
        <f>HYPERLINK("https://klasma.github.io/Logging_2326/tillsyn/A 31709-2025 tillsynsbegäran.docx", "A 31709-2025")</f>
        <v/>
      </c>
      <c r="Y1341">
        <f>HYPERLINK("https://klasma.github.io/Logging_2326/tillsynsmail/A 31709-2025 tillsynsbegäran mail.docx", "A 31709-2025")</f>
        <v/>
      </c>
    </row>
    <row r="1342" ht="15" customHeight="1">
      <c r="A1342" t="inlineStr">
        <is>
          <t>A 60533-2022</t>
        </is>
      </c>
      <c r="B1342" s="1" t="n">
        <v>44904</v>
      </c>
      <c r="C1342" s="1" t="n">
        <v>46045</v>
      </c>
      <c r="D1342" t="inlineStr">
        <is>
          <t>JÄMTLANDS LÄN</t>
        </is>
      </c>
      <c r="E1342" t="inlineStr">
        <is>
          <t>ÅRE</t>
        </is>
      </c>
      <c r="G1342" t="n">
        <v>3.6</v>
      </c>
      <c r="H1342" t="n">
        <v>2</v>
      </c>
      <c r="I1342" t="n">
        <v>0</v>
      </c>
      <c r="J1342" t="n">
        <v>2</v>
      </c>
      <c r="K1342" t="n">
        <v>0</v>
      </c>
      <c r="L1342" t="n">
        <v>0</v>
      </c>
      <c r="M1342" t="n">
        <v>0</v>
      </c>
      <c r="N1342" t="n">
        <v>0</v>
      </c>
      <c r="O1342" t="n">
        <v>2</v>
      </c>
      <c r="P1342" t="n">
        <v>0</v>
      </c>
      <c r="Q1342" t="n">
        <v>2</v>
      </c>
      <c r="R1342" s="2" t="inlineStr">
        <is>
          <t>Talltita
Tretåig hackspett</t>
        </is>
      </c>
      <c r="S1342">
        <f>HYPERLINK("https://klasma.github.io/Logging_2321/artfynd/A 60533-2022 artfynd.xlsx", "A 60533-2022")</f>
        <v/>
      </c>
      <c r="T1342">
        <f>HYPERLINK("https://klasma.github.io/Logging_2321/kartor/A 60533-2022 karta.png", "A 60533-2022")</f>
        <v/>
      </c>
      <c r="V1342">
        <f>HYPERLINK("https://klasma.github.io/Logging_2321/klagomål/A 60533-2022 FSC-klagomål.docx", "A 60533-2022")</f>
        <v/>
      </c>
      <c r="W1342">
        <f>HYPERLINK("https://klasma.github.io/Logging_2321/klagomålsmail/A 60533-2022 FSC-klagomål mail.docx", "A 60533-2022")</f>
        <v/>
      </c>
      <c r="X1342">
        <f>HYPERLINK("https://klasma.github.io/Logging_2321/tillsyn/A 60533-2022 tillsynsbegäran.docx", "A 60533-2022")</f>
        <v/>
      </c>
      <c r="Y1342">
        <f>HYPERLINK("https://klasma.github.io/Logging_2321/tillsynsmail/A 60533-2022 tillsynsbegäran mail.docx", "A 60533-2022")</f>
        <v/>
      </c>
      <c r="Z1342">
        <f>HYPERLINK("https://klasma.github.io/Logging_2321/fåglar/A 60533-2022 prioriterade fågelarter.docx", "A 60533-2022")</f>
        <v/>
      </c>
    </row>
    <row r="1343" ht="15" customHeight="1">
      <c r="A1343" t="inlineStr">
        <is>
          <t>A 313-2026</t>
        </is>
      </c>
      <c r="B1343" s="1" t="n">
        <v>46027.55914351852</v>
      </c>
      <c r="C1343" s="1" t="n">
        <v>46045</v>
      </c>
      <c r="D1343" t="inlineStr">
        <is>
          <t>JÄMTLANDS LÄN</t>
        </is>
      </c>
      <c r="E1343" t="inlineStr">
        <is>
          <t>HÄRJEDALEN</t>
        </is>
      </c>
      <c r="F1343" t="inlineStr">
        <is>
          <t>Holmen skog AB</t>
        </is>
      </c>
      <c r="G1343" t="n">
        <v>7.8</v>
      </c>
      <c r="H1343" t="n">
        <v>0</v>
      </c>
      <c r="I1343" t="n">
        <v>0</v>
      </c>
      <c r="J1343" t="n">
        <v>2</v>
      </c>
      <c r="K1343" t="n">
        <v>0</v>
      </c>
      <c r="L1343" t="n">
        <v>0</v>
      </c>
      <c r="M1343" t="n">
        <v>0</v>
      </c>
      <c r="N1343" t="n">
        <v>0</v>
      </c>
      <c r="O1343" t="n">
        <v>2</v>
      </c>
      <c r="P1343" t="n">
        <v>0</v>
      </c>
      <c r="Q1343" t="n">
        <v>2</v>
      </c>
      <c r="R1343" s="2" t="inlineStr">
        <is>
          <t>Kolflarnlav
Mörk kolflarnlav</t>
        </is>
      </c>
      <c r="S1343">
        <f>HYPERLINK("https://klasma.github.io/Logging_2361/artfynd/A 313-2026 artfynd.xlsx", "A 313-2026")</f>
        <v/>
      </c>
      <c r="T1343">
        <f>HYPERLINK("https://klasma.github.io/Logging_2361/kartor/A 313-2026 karta.png", "A 313-2026")</f>
        <v/>
      </c>
      <c r="V1343">
        <f>HYPERLINK("https://klasma.github.io/Logging_2361/klagomål/A 313-2026 FSC-klagomål.docx", "A 313-2026")</f>
        <v/>
      </c>
      <c r="W1343">
        <f>HYPERLINK("https://klasma.github.io/Logging_2361/klagomålsmail/A 313-2026 FSC-klagomål mail.docx", "A 313-2026")</f>
        <v/>
      </c>
      <c r="X1343">
        <f>HYPERLINK("https://klasma.github.io/Logging_2361/tillsyn/A 313-2026 tillsynsbegäran.docx", "A 313-2026")</f>
        <v/>
      </c>
      <c r="Y1343">
        <f>HYPERLINK("https://klasma.github.io/Logging_2361/tillsynsmail/A 313-2026 tillsynsbegäran mail.docx", "A 313-2026")</f>
        <v/>
      </c>
    </row>
    <row r="1344" ht="15" customHeight="1">
      <c r="A1344" t="inlineStr">
        <is>
          <t>A 32100-2025</t>
        </is>
      </c>
      <c r="B1344" s="1" t="n">
        <v>45835.468125</v>
      </c>
      <c r="C1344" s="1" t="n">
        <v>46045</v>
      </c>
      <c r="D1344" t="inlineStr">
        <is>
          <t>JÄMTLANDS LÄN</t>
        </is>
      </c>
      <c r="E1344" t="inlineStr">
        <is>
          <t>STRÖMSUND</t>
        </is>
      </c>
      <c r="F1344" t="inlineStr">
        <is>
          <t>Holmen skog AB</t>
        </is>
      </c>
      <c r="G1344" t="n">
        <v>2.2</v>
      </c>
      <c r="H1344" t="n">
        <v>0</v>
      </c>
      <c r="I1344" t="n">
        <v>1</v>
      </c>
      <c r="J1344" t="n">
        <v>1</v>
      </c>
      <c r="K1344" t="n">
        <v>0</v>
      </c>
      <c r="L1344" t="n">
        <v>0</v>
      </c>
      <c r="M1344" t="n">
        <v>0</v>
      </c>
      <c r="N1344" t="n">
        <v>0</v>
      </c>
      <c r="O1344" t="n">
        <v>1</v>
      </c>
      <c r="P1344" t="n">
        <v>0</v>
      </c>
      <c r="Q1344" t="n">
        <v>2</v>
      </c>
      <c r="R1344" s="2" t="inlineStr">
        <is>
          <t>Skrovellav
Stuplav</t>
        </is>
      </c>
      <c r="S1344">
        <f>HYPERLINK("https://klasma.github.io/Logging_2313/artfynd/A 32100-2025 artfynd.xlsx", "A 32100-2025")</f>
        <v/>
      </c>
      <c r="T1344">
        <f>HYPERLINK("https://klasma.github.io/Logging_2313/kartor/A 32100-2025 karta.png", "A 32100-2025")</f>
        <v/>
      </c>
      <c r="V1344">
        <f>HYPERLINK("https://klasma.github.io/Logging_2313/klagomål/A 32100-2025 FSC-klagomål.docx", "A 32100-2025")</f>
        <v/>
      </c>
      <c r="W1344">
        <f>HYPERLINK("https://klasma.github.io/Logging_2313/klagomålsmail/A 32100-2025 FSC-klagomål mail.docx", "A 32100-2025")</f>
        <v/>
      </c>
      <c r="X1344">
        <f>HYPERLINK("https://klasma.github.io/Logging_2313/tillsyn/A 32100-2025 tillsynsbegäran.docx", "A 32100-2025")</f>
        <v/>
      </c>
      <c r="Y1344">
        <f>HYPERLINK("https://klasma.github.io/Logging_2313/tillsynsmail/A 32100-2025 tillsynsbegäran mail.docx", "A 32100-2025")</f>
        <v/>
      </c>
    </row>
    <row r="1345" ht="15" customHeight="1">
      <c r="A1345" t="inlineStr">
        <is>
          <t>A 58239-2025</t>
        </is>
      </c>
      <c r="B1345" s="1" t="n">
        <v>45985.38788194444</v>
      </c>
      <c r="C1345" s="1" t="n">
        <v>46045</v>
      </c>
      <c r="D1345" t="inlineStr">
        <is>
          <t>JÄMTLANDS LÄN</t>
        </is>
      </c>
      <c r="E1345" t="inlineStr">
        <is>
          <t>STRÖMSUND</t>
        </is>
      </c>
      <c r="F1345" t="inlineStr">
        <is>
          <t>SCA</t>
        </is>
      </c>
      <c r="G1345" t="n">
        <v>1.3</v>
      </c>
      <c r="H1345" t="n">
        <v>0</v>
      </c>
      <c r="I1345" t="n">
        <v>0</v>
      </c>
      <c r="J1345" t="n">
        <v>2</v>
      </c>
      <c r="K1345" t="n">
        <v>0</v>
      </c>
      <c r="L1345" t="n">
        <v>0</v>
      </c>
      <c r="M1345" t="n">
        <v>0</v>
      </c>
      <c r="N1345" t="n">
        <v>0</v>
      </c>
      <c r="O1345" t="n">
        <v>2</v>
      </c>
      <c r="P1345" t="n">
        <v>0</v>
      </c>
      <c r="Q1345" t="n">
        <v>2</v>
      </c>
      <c r="R1345" s="2" t="inlineStr">
        <is>
          <t>Gammelgransskål
Garnlav</t>
        </is>
      </c>
      <c r="S1345">
        <f>HYPERLINK("https://klasma.github.io/Logging_2313/artfynd/A 58239-2025 artfynd.xlsx", "A 58239-2025")</f>
        <v/>
      </c>
      <c r="T1345">
        <f>HYPERLINK("https://klasma.github.io/Logging_2313/kartor/A 58239-2025 karta.png", "A 58239-2025")</f>
        <v/>
      </c>
      <c r="V1345">
        <f>HYPERLINK("https://klasma.github.io/Logging_2313/klagomål/A 58239-2025 FSC-klagomål.docx", "A 58239-2025")</f>
        <v/>
      </c>
      <c r="W1345">
        <f>HYPERLINK("https://klasma.github.io/Logging_2313/klagomålsmail/A 58239-2025 FSC-klagomål mail.docx", "A 58239-2025")</f>
        <v/>
      </c>
      <c r="X1345">
        <f>HYPERLINK("https://klasma.github.io/Logging_2313/tillsyn/A 58239-2025 tillsynsbegäran.docx", "A 58239-2025")</f>
        <v/>
      </c>
      <c r="Y1345">
        <f>HYPERLINK("https://klasma.github.io/Logging_2313/tillsynsmail/A 58239-2025 tillsynsbegäran mail.docx", "A 58239-2025")</f>
        <v/>
      </c>
    </row>
    <row r="1346" ht="15" customHeight="1">
      <c r="A1346" t="inlineStr">
        <is>
          <t>A 31960-2025</t>
        </is>
      </c>
      <c r="B1346" s="1" t="n">
        <v>45835.344375</v>
      </c>
      <c r="C1346" s="1" t="n">
        <v>46045</v>
      </c>
      <c r="D1346" t="inlineStr">
        <is>
          <t>JÄMTLANDS LÄN</t>
        </is>
      </c>
      <c r="E1346" t="inlineStr">
        <is>
          <t>RAGUNDA</t>
        </is>
      </c>
      <c r="F1346" t="inlineStr">
        <is>
          <t>SCA</t>
        </is>
      </c>
      <c r="G1346" t="n">
        <v>1.6</v>
      </c>
      <c r="H1346" t="n">
        <v>0</v>
      </c>
      <c r="I1346" t="n">
        <v>0</v>
      </c>
      <c r="J1346" t="n">
        <v>2</v>
      </c>
      <c r="K1346" t="n">
        <v>0</v>
      </c>
      <c r="L1346" t="n">
        <v>0</v>
      </c>
      <c r="M1346" t="n">
        <v>0</v>
      </c>
      <c r="N1346" t="n">
        <v>0</v>
      </c>
      <c r="O1346" t="n">
        <v>2</v>
      </c>
      <c r="P1346" t="n">
        <v>0</v>
      </c>
      <c r="Q1346" t="n">
        <v>2</v>
      </c>
      <c r="R1346" s="2" t="inlineStr">
        <is>
          <t>Gammelgransskål
Garnlav</t>
        </is>
      </c>
      <c r="S1346">
        <f>HYPERLINK("https://klasma.github.io/Logging_2303/artfynd/A 31960-2025 artfynd.xlsx", "A 31960-2025")</f>
        <v/>
      </c>
      <c r="T1346">
        <f>HYPERLINK("https://klasma.github.io/Logging_2303/kartor/A 31960-2025 karta.png", "A 31960-2025")</f>
        <v/>
      </c>
      <c r="V1346">
        <f>HYPERLINK("https://klasma.github.io/Logging_2303/klagomål/A 31960-2025 FSC-klagomål.docx", "A 31960-2025")</f>
        <v/>
      </c>
      <c r="W1346">
        <f>HYPERLINK("https://klasma.github.io/Logging_2303/klagomålsmail/A 31960-2025 FSC-klagomål mail.docx", "A 31960-2025")</f>
        <v/>
      </c>
      <c r="X1346">
        <f>HYPERLINK("https://klasma.github.io/Logging_2303/tillsyn/A 31960-2025 tillsynsbegäran.docx", "A 31960-2025")</f>
        <v/>
      </c>
      <c r="Y1346">
        <f>HYPERLINK("https://klasma.github.io/Logging_2303/tillsynsmail/A 31960-2025 tillsynsbegäran mail.docx", "A 31960-2025")</f>
        <v/>
      </c>
    </row>
    <row r="1347" ht="15" customHeight="1">
      <c r="A1347" t="inlineStr">
        <is>
          <t>A 32566-2025</t>
        </is>
      </c>
      <c r="B1347" s="1" t="n">
        <v>45838.57354166666</v>
      </c>
      <c r="C1347" s="1" t="n">
        <v>46045</v>
      </c>
      <c r="D1347" t="inlineStr">
        <is>
          <t>JÄMTLANDS LÄN</t>
        </is>
      </c>
      <c r="E1347" t="inlineStr">
        <is>
          <t>BRÄCKE</t>
        </is>
      </c>
      <c r="F1347" t="inlineStr">
        <is>
          <t>SCA</t>
        </is>
      </c>
      <c r="G1347" t="n">
        <v>1.6</v>
      </c>
      <c r="H1347" t="n">
        <v>0</v>
      </c>
      <c r="I1347" t="n">
        <v>2</v>
      </c>
      <c r="J1347" t="n">
        <v>0</v>
      </c>
      <c r="K1347" t="n">
        <v>0</v>
      </c>
      <c r="L1347" t="n">
        <v>0</v>
      </c>
      <c r="M1347" t="n">
        <v>0</v>
      </c>
      <c r="N1347" t="n">
        <v>0</v>
      </c>
      <c r="O1347" t="n">
        <v>0</v>
      </c>
      <c r="P1347" t="n">
        <v>0</v>
      </c>
      <c r="Q1347" t="n">
        <v>2</v>
      </c>
      <c r="R1347" s="2" t="inlineStr">
        <is>
          <t>Skinnlav
Vedticka</t>
        </is>
      </c>
      <c r="S1347">
        <f>HYPERLINK("https://klasma.github.io/Logging_2305/artfynd/A 32566-2025 artfynd.xlsx", "A 32566-2025")</f>
        <v/>
      </c>
      <c r="T1347">
        <f>HYPERLINK("https://klasma.github.io/Logging_2305/kartor/A 32566-2025 karta.png", "A 32566-2025")</f>
        <v/>
      </c>
      <c r="V1347">
        <f>HYPERLINK("https://klasma.github.io/Logging_2305/klagomål/A 32566-2025 FSC-klagomål.docx", "A 32566-2025")</f>
        <v/>
      </c>
      <c r="W1347">
        <f>HYPERLINK("https://klasma.github.io/Logging_2305/klagomålsmail/A 32566-2025 FSC-klagomål mail.docx", "A 32566-2025")</f>
        <v/>
      </c>
      <c r="X1347">
        <f>HYPERLINK("https://klasma.github.io/Logging_2305/tillsyn/A 32566-2025 tillsynsbegäran.docx", "A 32566-2025")</f>
        <v/>
      </c>
      <c r="Y1347">
        <f>HYPERLINK("https://klasma.github.io/Logging_2305/tillsynsmail/A 32566-2025 tillsynsbegäran mail.docx", "A 32566-2025")</f>
        <v/>
      </c>
    </row>
    <row r="1348" ht="15" customHeight="1">
      <c r="A1348" t="inlineStr">
        <is>
          <t>A 32428-2025</t>
        </is>
      </c>
      <c r="B1348" s="1" t="n">
        <v>45838.36509259259</v>
      </c>
      <c r="C1348" s="1" t="n">
        <v>46045</v>
      </c>
      <c r="D1348" t="inlineStr">
        <is>
          <t>JÄMTLANDS LÄN</t>
        </is>
      </c>
      <c r="E1348" t="inlineStr">
        <is>
          <t>STRÖMSUND</t>
        </is>
      </c>
      <c r="F1348" t="inlineStr">
        <is>
          <t>SCA</t>
        </is>
      </c>
      <c r="G1348" t="n">
        <v>1.1</v>
      </c>
      <c r="H1348" t="n">
        <v>0</v>
      </c>
      <c r="I1348" t="n">
        <v>1</v>
      </c>
      <c r="J1348" t="n">
        <v>1</v>
      </c>
      <c r="K1348" t="n">
        <v>0</v>
      </c>
      <c r="L1348" t="n">
        <v>0</v>
      </c>
      <c r="M1348" t="n">
        <v>0</v>
      </c>
      <c r="N1348" t="n">
        <v>0</v>
      </c>
      <c r="O1348" t="n">
        <v>1</v>
      </c>
      <c r="P1348" t="n">
        <v>0</v>
      </c>
      <c r="Q1348" t="n">
        <v>2</v>
      </c>
      <c r="R1348" s="2" t="inlineStr">
        <is>
          <t>Lunglav
Skinnlav</t>
        </is>
      </c>
      <c r="S1348">
        <f>HYPERLINK("https://klasma.github.io/Logging_2313/artfynd/A 32428-2025 artfynd.xlsx", "A 32428-2025")</f>
        <v/>
      </c>
      <c r="T1348">
        <f>HYPERLINK("https://klasma.github.io/Logging_2313/kartor/A 32428-2025 karta.png", "A 32428-2025")</f>
        <v/>
      </c>
      <c r="V1348">
        <f>HYPERLINK("https://klasma.github.io/Logging_2313/klagomål/A 32428-2025 FSC-klagomål.docx", "A 32428-2025")</f>
        <v/>
      </c>
      <c r="W1348">
        <f>HYPERLINK("https://klasma.github.io/Logging_2313/klagomålsmail/A 32428-2025 FSC-klagomål mail.docx", "A 32428-2025")</f>
        <v/>
      </c>
      <c r="X1348">
        <f>HYPERLINK("https://klasma.github.io/Logging_2313/tillsyn/A 32428-2025 tillsynsbegäran.docx", "A 32428-2025")</f>
        <v/>
      </c>
      <c r="Y1348">
        <f>HYPERLINK("https://klasma.github.io/Logging_2313/tillsynsmail/A 32428-2025 tillsynsbegäran mail.docx", "A 32428-2025")</f>
        <v/>
      </c>
    </row>
    <row r="1349" ht="15" customHeight="1">
      <c r="A1349" t="inlineStr">
        <is>
          <t>A 32114-2025</t>
        </is>
      </c>
      <c r="B1349" s="1" t="n">
        <v>45835.48488425926</v>
      </c>
      <c r="C1349" s="1" t="n">
        <v>46045</v>
      </c>
      <c r="D1349" t="inlineStr">
        <is>
          <t>JÄMTLANDS LÄN</t>
        </is>
      </c>
      <c r="E1349" t="inlineStr">
        <is>
          <t>ÅRE</t>
        </is>
      </c>
      <c r="G1349" t="n">
        <v>1.6</v>
      </c>
      <c r="H1349" t="n">
        <v>0</v>
      </c>
      <c r="I1349" t="n">
        <v>0</v>
      </c>
      <c r="J1349" t="n">
        <v>2</v>
      </c>
      <c r="K1349" t="n">
        <v>0</v>
      </c>
      <c r="L1349" t="n">
        <v>0</v>
      </c>
      <c r="M1349" t="n">
        <v>0</v>
      </c>
      <c r="N1349" t="n">
        <v>0</v>
      </c>
      <c r="O1349" t="n">
        <v>2</v>
      </c>
      <c r="P1349" t="n">
        <v>0</v>
      </c>
      <c r="Q1349" t="n">
        <v>2</v>
      </c>
      <c r="R1349" s="2" t="inlineStr">
        <is>
          <t>Kolflarnlav
Rosenticka</t>
        </is>
      </c>
      <c r="S1349">
        <f>HYPERLINK("https://klasma.github.io/Logging_2321/artfynd/A 32114-2025 artfynd.xlsx", "A 32114-2025")</f>
        <v/>
      </c>
      <c r="T1349">
        <f>HYPERLINK("https://klasma.github.io/Logging_2321/kartor/A 32114-2025 karta.png", "A 32114-2025")</f>
        <v/>
      </c>
      <c r="V1349">
        <f>HYPERLINK("https://klasma.github.io/Logging_2321/klagomål/A 32114-2025 FSC-klagomål.docx", "A 32114-2025")</f>
        <v/>
      </c>
      <c r="W1349">
        <f>HYPERLINK("https://klasma.github.io/Logging_2321/klagomålsmail/A 32114-2025 FSC-klagomål mail.docx", "A 32114-2025")</f>
        <v/>
      </c>
      <c r="X1349">
        <f>HYPERLINK("https://klasma.github.io/Logging_2321/tillsyn/A 32114-2025 tillsynsbegäran.docx", "A 32114-2025")</f>
        <v/>
      </c>
      <c r="Y1349">
        <f>HYPERLINK("https://klasma.github.io/Logging_2321/tillsynsmail/A 32114-2025 tillsynsbegäran mail.docx", "A 32114-2025")</f>
        <v/>
      </c>
    </row>
    <row r="1350" ht="15" customHeight="1">
      <c r="A1350" t="inlineStr">
        <is>
          <t>A 954-2026</t>
        </is>
      </c>
      <c r="B1350" s="1" t="n">
        <v>46030.54424768518</v>
      </c>
      <c r="C1350" s="1" t="n">
        <v>46045</v>
      </c>
      <c r="D1350" t="inlineStr">
        <is>
          <t>JÄMTLANDS LÄN</t>
        </is>
      </c>
      <c r="E1350" t="inlineStr">
        <is>
          <t>BRÄCKE</t>
        </is>
      </c>
      <c r="G1350" t="n">
        <v>11.1</v>
      </c>
      <c r="H1350" t="n">
        <v>0</v>
      </c>
      <c r="I1350" t="n">
        <v>1</v>
      </c>
      <c r="J1350" t="n">
        <v>1</v>
      </c>
      <c r="K1350" t="n">
        <v>0</v>
      </c>
      <c r="L1350" t="n">
        <v>0</v>
      </c>
      <c r="M1350" t="n">
        <v>0</v>
      </c>
      <c r="N1350" t="n">
        <v>0</v>
      </c>
      <c r="O1350" t="n">
        <v>1</v>
      </c>
      <c r="P1350" t="n">
        <v>0</v>
      </c>
      <c r="Q1350" t="n">
        <v>2</v>
      </c>
      <c r="R1350" s="2" t="inlineStr">
        <is>
          <t>Kolflarnlav
Rödgul trumpetsvamp</t>
        </is>
      </c>
      <c r="S1350">
        <f>HYPERLINK("https://klasma.github.io/Logging_2305/artfynd/A 954-2026 artfynd.xlsx", "A 954-2026")</f>
        <v/>
      </c>
      <c r="T1350">
        <f>HYPERLINK("https://klasma.github.io/Logging_2305/kartor/A 954-2026 karta.png", "A 954-2026")</f>
        <v/>
      </c>
      <c r="V1350">
        <f>HYPERLINK("https://klasma.github.io/Logging_2305/klagomål/A 954-2026 FSC-klagomål.docx", "A 954-2026")</f>
        <v/>
      </c>
      <c r="W1350">
        <f>HYPERLINK("https://klasma.github.io/Logging_2305/klagomålsmail/A 954-2026 FSC-klagomål mail.docx", "A 954-2026")</f>
        <v/>
      </c>
      <c r="X1350">
        <f>HYPERLINK("https://klasma.github.io/Logging_2305/tillsyn/A 954-2026 tillsynsbegäran.docx", "A 954-2026")</f>
        <v/>
      </c>
      <c r="Y1350">
        <f>HYPERLINK("https://klasma.github.io/Logging_2305/tillsynsmail/A 954-2026 tillsynsbegäran mail.docx", "A 954-2026")</f>
        <v/>
      </c>
    </row>
    <row r="1351" ht="15" customHeight="1">
      <c r="A1351" t="inlineStr">
        <is>
          <t>A 59119-2025</t>
        </is>
      </c>
      <c r="B1351" s="1" t="n">
        <v>45988.49024305555</v>
      </c>
      <c r="C1351" s="1" t="n">
        <v>46045</v>
      </c>
      <c r="D1351" t="inlineStr">
        <is>
          <t>JÄMTLANDS LÄN</t>
        </is>
      </c>
      <c r="E1351" t="inlineStr">
        <is>
          <t>HÄRJEDALEN</t>
        </is>
      </c>
      <c r="G1351" t="n">
        <v>8.5</v>
      </c>
      <c r="H1351" t="n">
        <v>1</v>
      </c>
      <c r="I1351" t="n">
        <v>0</v>
      </c>
      <c r="J1351" t="n">
        <v>1</v>
      </c>
      <c r="K1351" t="n">
        <v>1</v>
      </c>
      <c r="L1351" t="n">
        <v>0</v>
      </c>
      <c r="M1351" t="n">
        <v>0</v>
      </c>
      <c r="N1351" t="n">
        <v>0</v>
      </c>
      <c r="O1351" t="n">
        <v>2</v>
      </c>
      <c r="P1351" t="n">
        <v>1</v>
      </c>
      <c r="Q1351" t="n">
        <v>2</v>
      </c>
      <c r="R1351" s="2" t="inlineStr">
        <is>
          <t>Topplåsbräken
Månlåsbräken</t>
        </is>
      </c>
      <c r="S1351">
        <f>HYPERLINK("https://klasma.github.io/Logging_2361/artfynd/A 59119-2025 artfynd.xlsx", "A 59119-2025")</f>
        <v/>
      </c>
      <c r="T1351">
        <f>HYPERLINK("https://klasma.github.io/Logging_2361/kartor/A 59119-2025 karta.png", "A 59119-2025")</f>
        <v/>
      </c>
      <c r="V1351">
        <f>HYPERLINK("https://klasma.github.io/Logging_2361/klagomål/A 59119-2025 FSC-klagomål.docx", "A 59119-2025")</f>
        <v/>
      </c>
      <c r="W1351">
        <f>HYPERLINK("https://klasma.github.io/Logging_2361/klagomålsmail/A 59119-2025 FSC-klagomål mail.docx", "A 59119-2025")</f>
        <v/>
      </c>
      <c r="X1351">
        <f>HYPERLINK("https://klasma.github.io/Logging_2361/tillsyn/A 59119-2025 tillsynsbegäran.docx", "A 59119-2025")</f>
        <v/>
      </c>
      <c r="Y1351">
        <f>HYPERLINK("https://klasma.github.io/Logging_2361/tillsynsmail/A 59119-2025 tillsynsbegäran mail.docx", "A 59119-2025")</f>
        <v/>
      </c>
    </row>
    <row r="1352" ht="15" customHeight="1">
      <c r="A1352" t="inlineStr">
        <is>
          <t>A 58931-2025</t>
        </is>
      </c>
      <c r="B1352" s="1" t="n">
        <v>45987.55831018519</v>
      </c>
      <c r="C1352" s="1" t="n">
        <v>46045</v>
      </c>
      <c r="D1352" t="inlineStr">
        <is>
          <t>JÄMTLANDS LÄN</t>
        </is>
      </c>
      <c r="E1352" t="inlineStr">
        <is>
          <t>ÖSTERSUND</t>
        </is>
      </c>
      <c r="G1352" t="n">
        <v>3.9</v>
      </c>
      <c r="H1352" t="n">
        <v>2</v>
      </c>
      <c r="I1352" t="n">
        <v>0</v>
      </c>
      <c r="J1352" t="n">
        <v>0</v>
      </c>
      <c r="K1352" t="n">
        <v>0</v>
      </c>
      <c r="L1352" t="n">
        <v>0</v>
      </c>
      <c r="M1352" t="n">
        <v>0</v>
      </c>
      <c r="N1352" t="n">
        <v>0</v>
      </c>
      <c r="O1352" t="n">
        <v>0</v>
      </c>
      <c r="P1352" t="n">
        <v>0</v>
      </c>
      <c r="Q1352" t="n">
        <v>2</v>
      </c>
      <c r="R1352" s="2" t="inlineStr">
        <is>
          <t>Blåsippa
Revlummer</t>
        </is>
      </c>
      <c r="S1352">
        <f>HYPERLINK("https://klasma.github.io/Logging_2380/artfynd/A 58931-2025 artfynd.xlsx", "A 58931-2025")</f>
        <v/>
      </c>
      <c r="T1352">
        <f>HYPERLINK("https://klasma.github.io/Logging_2380/kartor/A 58931-2025 karta.png", "A 58931-2025")</f>
        <v/>
      </c>
      <c r="V1352">
        <f>HYPERLINK("https://klasma.github.io/Logging_2380/klagomål/A 58931-2025 FSC-klagomål.docx", "A 58931-2025")</f>
        <v/>
      </c>
      <c r="W1352">
        <f>HYPERLINK("https://klasma.github.io/Logging_2380/klagomålsmail/A 58931-2025 FSC-klagomål mail.docx", "A 58931-2025")</f>
        <v/>
      </c>
      <c r="X1352">
        <f>HYPERLINK("https://klasma.github.io/Logging_2380/tillsyn/A 58931-2025 tillsynsbegäran.docx", "A 58931-2025")</f>
        <v/>
      </c>
      <c r="Y1352">
        <f>HYPERLINK("https://klasma.github.io/Logging_2380/tillsynsmail/A 58931-2025 tillsynsbegäran mail.docx", "A 58931-2025")</f>
        <v/>
      </c>
    </row>
    <row r="1353" ht="15" customHeight="1">
      <c r="A1353" t="inlineStr">
        <is>
          <t>A 27367-2023</t>
        </is>
      </c>
      <c r="B1353" s="1" t="n">
        <v>45096</v>
      </c>
      <c r="C1353" s="1" t="n">
        <v>46045</v>
      </c>
      <c r="D1353" t="inlineStr">
        <is>
          <t>JÄMTLANDS LÄN</t>
        </is>
      </c>
      <c r="E1353" t="inlineStr">
        <is>
          <t>STRÖMSUND</t>
        </is>
      </c>
      <c r="F1353" t="inlineStr">
        <is>
          <t>SCA</t>
        </is>
      </c>
      <c r="G1353" t="n">
        <v>2.8</v>
      </c>
      <c r="H1353" t="n">
        <v>0</v>
      </c>
      <c r="I1353" t="n">
        <v>2</v>
      </c>
      <c r="J1353" t="n">
        <v>0</v>
      </c>
      <c r="K1353" t="n">
        <v>0</v>
      </c>
      <c r="L1353" t="n">
        <v>0</v>
      </c>
      <c r="M1353" t="n">
        <v>0</v>
      </c>
      <c r="N1353" t="n">
        <v>0</v>
      </c>
      <c r="O1353" t="n">
        <v>0</v>
      </c>
      <c r="P1353" t="n">
        <v>0</v>
      </c>
      <c r="Q1353" t="n">
        <v>2</v>
      </c>
      <c r="R1353" s="2" t="inlineStr">
        <is>
          <t>Bollvitmossa
Skinnlav</t>
        </is>
      </c>
      <c r="S1353">
        <f>HYPERLINK("https://klasma.github.io/Logging_2313/artfynd/A 27367-2023 artfynd.xlsx", "A 27367-2023")</f>
        <v/>
      </c>
      <c r="T1353">
        <f>HYPERLINK("https://klasma.github.io/Logging_2313/kartor/A 27367-2023 karta.png", "A 27367-2023")</f>
        <v/>
      </c>
      <c r="V1353">
        <f>HYPERLINK("https://klasma.github.io/Logging_2313/klagomål/A 27367-2023 FSC-klagomål.docx", "A 27367-2023")</f>
        <v/>
      </c>
      <c r="W1353">
        <f>HYPERLINK("https://klasma.github.io/Logging_2313/klagomålsmail/A 27367-2023 FSC-klagomål mail.docx", "A 27367-2023")</f>
        <v/>
      </c>
      <c r="X1353">
        <f>HYPERLINK("https://klasma.github.io/Logging_2313/tillsyn/A 27367-2023 tillsynsbegäran.docx", "A 27367-2023")</f>
        <v/>
      </c>
      <c r="Y1353">
        <f>HYPERLINK("https://klasma.github.io/Logging_2313/tillsynsmail/A 27367-2023 tillsynsbegäran mail.docx", "A 27367-2023")</f>
        <v/>
      </c>
    </row>
    <row r="1354" ht="15" customHeight="1">
      <c r="A1354" t="inlineStr">
        <is>
          <t>A 30334-2024</t>
        </is>
      </c>
      <c r="B1354" s="1" t="n">
        <v>45490.95396990741</v>
      </c>
      <c r="C1354" s="1" t="n">
        <v>46045</v>
      </c>
      <c r="D1354" t="inlineStr">
        <is>
          <t>JÄMTLANDS LÄN</t>
        </is>
      </c>
      <c r="E1354" t="inlineStr">
        <is>
          <t>BERG</t>
        </is>
      </c>
      <c r="F1354" t="inlineStr">
        <is>
          <t>SCA</t>
        </is>
      </c>
      <c r="G1354" t="n">
        <v>1.8</v>
      </c>
      <c r="H1354" t="n">
        <v>0</v>
      </c>
      <c r="I1354" t="n">
        <v>0</v>
      </c>
      <c r="J1354" t="n">
        <v>1</v>
      </c>
      <c r="K1354" t="n">
        <v>1</v>
      </c>
      <c r="L1354" t="n">
        <v>0</v>
      </c>
      <c r="M1354" t="n">
        <v>0</v>
      </c>
      <c r="N1354" t="n">
        <v>0</v>
      </c>
      <c r="O1354" t="n">
        <v>2</v>
      </c>
      <c r="P1354" t="n">
        <v>1</v>
      </c>
      <c r="Q1354" t="n">
        <v>2</v>
      </c>
      <c r="R1354" s="2" t="inlineStr">
        <is>
          <t>Gräddporing
Dvärgbägarlav</t>
        </is>
      </c>
      <c r="S1354">
        <f>HYPERLINK("https://klasma.github.io/Logging_2326/artfynd/A 30334-2024 artfynd.xlsx", "A 30334-2024")</f>
        <v/>
      </c>
      <c r="T1354">
        <f>HYPERLINK("https://klasma.github.io/Logging_2326/kartor/A 30334-2024 karta.png", "A 30334-2024")</f>
        <v/>
      </c>
      <c r="V1354">
        <f>HYPERLINK("https://klasma.github.io/Logging_2326/klagomål/A 30334-2024 FSC-klagomål.docx", "A 30334-2024")</f>
        <v/>
      </c>
      <c r="W1354">
        <f>HYPERLINK("https://klasma.github.io/Logging_2326/klagomålsmail/A 30334-2024 FSC-klagomål mail.docx", "A 30334-2024")</f>
        <v/>
      </c>
      <c r="X1354">
        <f>HYPERLINK("https://klasma.github.io/Logging_2326/tillsyn/A 30334-2024 tillsynsbegäran.docx", "A 30334-2024")</f>
        <v/>
      </c>
      <c r="Y1354">
        <f>HYPERLINK("https://klasma.github.io/Logging_2326/tillsynsmail/A 30334-2024 tillsynsbegäran mail.docx", "A 30334-2024")</f>
        <v/>
      </c>
    </row>
    <row r="1355" ht="15" customHeight="1">
      <c r="A1355" t="inlineStr">
        <is>
          <t>A 11984-2024</t>
        </is>
      </c>
      <c r="B1355" s="1" t="n">
        <v>45376</v>
      </c>
      <c r="C1355" s="1" t="n">
        <v>46045</v>
      </c>
      <c r="D1355" t="inlineStr">
        <is>
          <t>JÄMTLANDS LÄN</t>
        </is>
      </c>
      <c r="E1355" t="inlineStr">
        <is>
          <t>KROKOM</t>
        </is>
      </c>
      <c r="F1355" t="inlineStr">
        <is>
          <t>SCA</t>
        </is>
      </c>
      <c r="G1355" t="n">
        <v>11.8</v>
      </c>
      <c r="H1355" t="n">
        <v>0</v>
      </c>
      <c r="I1355" t="n">
        <v>0</v>
      </c>
      <c r="J1355" t="n">
        <v>2</v>
      </c>
      <c r="K1355" t="n">
        <v>0</v>
      </c>
      <c r="L1355" t="n">
        <v>0</v>
      </c>
      <c r="M1355" t="n">
        <v>0</v>
      </c>
      <c r="N1355" t="n">
        <v>0</v>
      </c>
      <c r="O1355" t="n">
        <v>2</v>
      </c>
      <c r="P1355" t="n">
        <v>0</v>
      </c>
      <c r="Q1355" t="n">
        <v>2</v>
      </c>
      <c r="R1355" s="2" t="inlineStr">
        <is>
          <t>Garnlav
Granticka</t>
        </is>
      </c>
      <c r="S1355">
        <f>HYPERLINK("https://klasma.github.io/Logging_2309/artfynd/A 11984-2024 artfynd.xlsx", "A 11984-2024")</f>
        <v/>
      </c>
      <c r="T1355">
        <f>HYPERLINK("https://klasma.github.io/Logging_2309/kartor/A 11984-2024 karta.png", "A 11984-2024")</f>
        <v/>
      </c>
      <c r="V1355">
        <f>HYPERLINK("https://klasma.github.io/Logging_2309/klagomål/A 11984-2024 FSC-klagomål.docx", "A 11984-2024")</f>
        <v/>
      </c>
      <c r="W1355">
        <f>HYPERLINK("https://klasma.github.io/Logging_2309/klagomålsmail/A 11984-2024 FSC-klagomål mail.docx", "A 11984-2024")</f>
        <v/>
      </c>
      <c r="X1355">
        <f>HYPERLINK("https://klasma.github.io/Logging_2309/tillsyn/A 11984-2024 tillsynsbegäran.docx", "A 11984-2024")</f>
        <v/>
      </c>
      <c r="Y1355">
        <f>HYPERLINK("https://klasma.github.io/Logging_2309/tillsynsmail/A 11984-2024 tillsynsbegäran mail.docx", "A 11984-2024")</f>
        <v/>
      </c>
    </row>
    <row r="1356" ht="15" customHeight="1">
      <c r="A1356" t="inlineStr">
        <is>
          <t>A 34541-2025</t>
        </is>
      </c>
      <c r="B1356" s="1" t="n">
        <v>45847.53196759259</v>
      </c>
      <c r="C1356" s="1" t="n">
        <v>46045</v>
      </c>
      <c r="D1356" t="inlineStr">
        <is>
          <t>JÄMTLANDS LÄN</t>
        </is>
      </c>
      <c r="E1356" t="inlineStr">
        <is>
          <t>BRÄCKE</t>
        </is>
      </c>
      <c r="G1356" t="n">
        <v>3.8</v>
      </c>
      <c r="H1356" t="n">
        <v>0</v>
      </c>
      <c r="I1356" t="n">
        <v>2</v>
      </c>
      <c r="J1356" t="n">
        <v>0</v>
      </c>
      <c r="K1356" t="n">
        <v>0</v>
      </c>
      <c r="L1356" t="n">
        <v>0</v>
      </c>
      <c r="M1356" t="n">
        <v>0</v>
      </c>
      <c r="N1356" t="n">
        <v>0</v>
      </c>
      <c r="O1356" t="n">
        <v>0</v>
      </c>
      <c r="P1356" t="n">
        <v>0</v>
      </c>
      <c r="Q1356" t="n">
        <v>2</v>
      </c>
      <c r="R1356" s="2" t="inlineStr">
        <is>
          <t>Dropptaggsvamp
Skinnlav</t>
        </is>
      </c>
      <c r="S1356">
        <f>HYPERLINK("https://klasma.github.io/Logging_2305/artfynd/A 34541-2025 artfynd.xlsx", "A 34541-2025")</f>
        <v/>
      </c>
      <c r="T1356">
        <f>HYPERLINK("https://klasma.github.io/Logging_2305/kartor/A 34541-2025 karta.png", "A 34541-2025")</f>
        <v/>
      </c>
      <c r="V1356">
        <f>HYPERLINK("https://klasma.github.io/Logging_2305/klagomål/A 34541-2025 FSC-klagomål.docx", "A 34541-2025")</f>
        <v/>
      </c>
      <c r="W1356">
        <f>HYPERLINK("https://klasma.github.io/Logging_2305/klagomålsmail/A 34541-2025 FSC-klagomål mail.docx", "A 34541-2025")</f>
        <v/>
      </c>
      <c r="X1356">
        <f>HYPERLINK("https://klasma.github.io/Logging_2305/tillsyn/A 34541-2025 tillsynsbegäran.docx", "A 34541-2025")</f>
        <v/>
      </c>
      <c r="Y1356">
        <f>HYPERLINK("https://klasma.github.io/Logging_2305/tillsynsmail/A 34541-2025 tillsynsbegäran mail.docx", "A 34541-2025")</f>
        <v/>
      </c>
    </row>
    <row r="1357" ht="15" customHeight="1">
      <c r="A1357" t="inlineStr">
        <is>
          <t>A 34615-2025</t>
        </is>
      </c>
      <c r="B1357" s="1" t="n">
        <v>45847.6778125</v>
      </c>
      <c r="C1357" s="1" t="n">
        <v>46045</v>
      </c>
      <c r="D1357" t="inlineStr">
        <is>
          <t>JÄMTLANDS LÄN</t>
        </is>
      </c>
      <c r="E1357" t="inlineStr">
        <is>
          <t>BRÄCKE</t>
        </is>
      </c>
      <c r="F1357" t="inlineStr">
        <is>
          <t>SCA</t>
        </is>
      </c>
      <c r="G1357" t="n">
        <v>2.7</v>
      </c>
      <c r="H1357" t="n">
        <v>0</v>
      </c>
      <c r="I1357" t="n">
        <v>1</v>
      </c>
      <c r="J1357" t="n">
        <v>0</v>
      </c>
      <c r="K1357" t="n">
        <v>1</v>
      </c>
      <c r="L1357" t="n">
        <v>0</v>
      </c>
      <c r="M1357" t="n">
        <v>0</v>
      </c>
      <c r="N1357" t="n">
        <v>0</v>
      </c>
      <c r="O1357" t="n">
        <v>1</v>
      </c>
      <c r="P1357" t="n">
        <v>1</v>
      </c>
      <c r="Q1357" t="n">
        <v>2</v>
      </c>
      <c r="R1357" s="2" t="inlineStr">
        <is>
          <t>Jättemusseron
Tallfingersvamp</t>
        </is>
      </c>
      <c r="S1357">
        <f>HYPERLINK("https://klasma.github.io/Logging_2305/artfynd/A 34615-2025 artfynd.xlsx", "A 34615-2025")</f>
        <v/>
      </c>
      <c r="T1357">
        <f>HYPERLINK("https://klasma.github.io/Logging_2305/kartor/A 34615-2025 karta.png", "A 34615-2025")</f>
        <v/>
      </c>
      <c r="U1357">
        <f>HYPERLINK("https://klasma.github.io/Logging_2305/knärot/A 34615-2025 karta knärot.png", "A 34615-2025")</f>
        <v/>
      </c>
      <c r="V1357">
        <f>HYPERLINK("https://klasma.github.io/Logging_2305/klagomål/A 34615-2025 FSC-klagomål.docx", "A 34615-2025")</f>
        <v/>
      </c>
      <c r="W1357">
        <f>HYPERLINK("https://klasma.github.io/Logging_2305/klagomålsmail/A 34615-2025 FSC-klagomål mail.docx", "A 34615-2025")</f>
        <v/>
      </c>
      <c r="X1357">
        <f>HYPERLINK("https://klasma.github.io/Logging_2305/tillsyn/A 34615-2025 tillsynsbegäran.docx", "A 34615-2025")</f>
        <v/>
      </c>
      <c r="Y1357">
        <f>HYPERLINK("https://klasma.github.io/Logging_2305/tillsynsmail/A 34615-2025 tillsynsbegäran mail.docx", "A 34615-2025")</f>
        <v/>
      </c>
    </row>
    <row r="1358" ht="15" customHeight="1">
      <c r="A1358" t="inlineStr">
        <is>
          <t>A 50089-2022</t>
        </is>
      </c>
      <c r="B1358" s="1" t="n">
        <v>44865</v>
      </c>
      <c r="C1358" s="1" t="n">
        <v>46045</v>
      </c>
      <c r="D1358" t="inlineStr">
        <is>
          <t>JÄMTLANDS LÄN</t>
        </is>
      </c>
      <c r="E1358" t="inlineStr">
        <is>
          <t>RAGUNDA</t>
        </is>
      </c>
      <c r="G1358" t="n">
        <v>5.7</v>
      </c>
      <c r="H1358" t="n">
        <v>2</v>
      </c>
      <c r="I1358" t="n">
        <v>0</v>
      </c>
      <c r="J1358" t="n">
        <v>2</v>
      </c>
      <c r="K1358" t="n">
        <v>0</v>
      </c>
      <c r="L1358" t="n">
        <v>0</v>
      </c>
      <c r="M1358" t="n">
        <v>0</v>
      </c>
      <c r="N1358" t="n">
        <v>0</v>
      </c>
      <c r="O1358" t="n">
        <v>2</v>
      </c>
      <c r="P1358" t="n">
        <v>0</v>
      </c>
      <c r="Q1358" t="n">
        <v>2</v>
      </c>
      <c r="R1358" s="2" t="inlineStr">
        <is>
          <t>Björktrast
Drillsnäppa</t>
        </is>
      </c>
      <c r="S1358">
        <f>HYPERLINK("https://klasma.github.io/Logging_2303/artfynd/A 50089-2022 artfynd.xlsx", "A 50089-2022")</f>
        <v/>
      </c>
      <c r="T1358">
        <f>HYPERLINK("https://klasma.github.io/Logging_2303/kartor/A 50089-2022 karta.png", "A 50089-2022")</f>
        <v/>
      </c>
      <c r="V1358">
        <f>HYPERLINK("https://klasma.github.io/Logging_2303/klagomål/A 50089-2022 FSC-klagomål.docx", "A 50089-2022")</f>
        <v/>
      </c>
      <c r="W1358">
        <f>HYPERLINK("https://klasma.github.io/Logging_2303/klagomålsmail/A 50089-2022 FSC-klagomål mail.docx", "A 50089-2022")</f>
        <v/>
      </c>
      <c r="X1358">
        <f>HYPERLINK("https://klasma.github.io/Logging_2303/tillsyn/A 50089-2022 tillsynsbegäran.docx", "A 50089-2022")</f>
        <v/>
      </c>
      <c r="Y1358">
        <f>HYPERLINK("https://klasma.github.io/Logging_2303/tillsynsmail/A 50089-2022 tillsynsbegäran mail.docx", "A 50089-2022")</f>
        <v/>
      </c>
      <c r="Z1358">
        <f>HYPERLINK("https://klasma.github.io/Logging_2303/fåglar/A 50089-2022 prioriterade fågelarter.docx", "A 50089-2022")</f>
        <v/>
      </c>
    </row>
    <row r="1359" ht="15" customHeight="1">
      <c r="A1359" t="inlineStr">
        <is>
          <t>A 62173-2025</t>
        </is>
      </c>
      <c r="B1359" s="1" t="n">
        <v>46006.51138888889</v>
      </c>
      <c r="C1359" s="1" t="n">
        <v>46045</v>
      </c>
      <c r="D1359" t="inlineStr">
        <is>
          <t>JÄMTLANDS LÄN</t>
        </is>
      </c>
      <c r="E1359" t="inlineStr">
        <is>
          <t>ÅRE</t>
        </is>
      </c>
      <c r="G1359" t="n">
        <v>1.5</v>
      </c>
      <c r="H1359" t="n">
        <v>0</v>
      </c>
      <c r="I1359" t="n">
        <v>2</v>
      </c>
      <c r="J1359" t="n">
        <v>0</v>
      </c>
      <c r="K1359" t="n">
        <v>0</v>
      </c>
      <c r="L1359" t="n">
        <v>0</v>
      </c>
      <c r="M1359" t="n">
        <v>0</v>
      </c>
      <c r="N1359" t="n">
        <v>0</v>
      </c>
      <c r="O1359" t="n">
        <v>0</v>
      </c>
      <c r="P1359" t="n">
        <v>0</v>
      </c>
      <c r="Q1359" t="n">
        <v>2</v>
      </c>
      <c r="R1359" s="2" t="inlineStr">
        <is>
          <t>Kransrams
Svavelriska</t>
        </is>
      </c>
      <c r="S1359">
        <f>HYPERLINK("https://klasma.github.io/Logging_2321/artfynd/A 62173-2025 artfynd.xlsx", "A 62173-2025")</f>
        <v/>
      </c>
      <c r="T1359">
        <f>HYPERLINK("https://klasma.github.io/Logging_2321/kartor/A 62173-2025 karta.png", "A 62173-2025")</f>
        <v/>
      </c>
      <c r="V1359">
        <f>HYPERLINK("https://klasma.github.io/Logging_2321/klagomål/A 62173-2025 FSC-klagomål.docx", "A 62173-2025")</f>
        <v/>
      </c>
      <c r="W1359">
        <f>HYPERLINK("https://klasma.github.io/Logging_2321/klagomålsmail/A 62173-2025 FSC-klagomål mail.docx", "A 62173-2025")</f>
        <v/>
      </c>
      <c r="X1359">
        <f>HYPERLINK("https://klasma.github.io/Logging_2321/tillsyn/A 62173-2025 tillsynsbegäran.docx", "A 62173-2025")</f>
        <v/>
      </c>
      <c r="Y1359">
        <f>HYPERLINK("https://klasma.github.io/Logging_2321/tillsynsmail/A 62173-2025 tillsynsbegäran mail.docx", "A 62173-2025")</f>
        <v/>
      </c>
    </row>
    <row r="1360" ht="15" customHeight="1">
      <c r="A1360" t="inlineStr">
        <is>
          <t>A 35131-2025</t>
        </is>
      </c>
      <c r="B1360" s="1" t="n">
        <v>45852.63597222222</v>
      </c>
      <c r="C1360" s="1" t="n">
        <v>46045</v>
      </c>
      <c r="D1360" t="inlineStr">
        <is>
          <t>JÄMTLANDS LÄN</t>
        </is>
      </c>
      <c r="E1360" t="inlineStr">
        <is>
          <t>RAGUNDA</t>
        </is>
      </c>
      <c r="F1360" t="inlineStr">
        <is>
          <t>SCA</t>
        </is>
      </c>
      <c r="G1360" t="n">
        <v>6.9</v>
      </c>
      <c r="H1360" t="n">
        <v>1</v>
      </c>
      <c r="I1360" t="n">
        <v>1</v>
      </c>
      <c r="J1360" t="n">
        <v>0</v>
      </c>
      <c r="K1360" t="n">
        <v>0</v>
      </c>
      <c r="L1360" t="n">
        <v>0</v>
      </c>
      <c r="M1360" t="n">
        <v>0</v>
      </c>
      <c r="N1360" t="n">
        <v>0</v>
      </c>
      <c r="O1360" t="n">
        <v>0</v>
      </c>
      <c r="P1360" t="n">
        <v>0</v>
      </c>
      <c r="Q1360" t="n">
        <v>2</v>
      </c>
      <c r="R1360" s="2" t="inlineStr">
        <is>
          <t>Ögonpyrola
Nattviol</t>
        </is>
      </c>
      <c r="S1360">
        <f>HYPERLINK("https://klasma.github.io/Logging_2303/artfynd/A 35131-2025 artfynd.xlsx", "A 35131-2025")</f>
        <v/>
      </c>
      <c r="T1360">
        <f>HYPERLINK("https://klasma.github.io/Logging_2303/kartor/A 35131-2025 karta.png", "A 35131-2025")</f>
        <v/>
      </c>
      <c r="V1360">
        <f>HYPERLINK("https://klasma.github.io/Logging_2303/klagomål/A 35131-2025 FSC-klagomål.docx", "A 35131-2025")</f>
        <v/>
      </c>
      <c r="W1360">
        <f>HYPERLINK("https://klasma.github.io/Logging_2303/klagomålsmail/A 35131-2025 FSC-klagomål mail.docx", "A 35131-2025")</f>
        <v/>
      </c>
      <c r="X1360">
        <f>HYPERLINK("https://klasma.github.io/Logging_2303/tillsyn/A 35131-2025 tillsynsbegäran.docx", "A 35131-2025")</f>
        <v/>
      </c>
      <c r="Y1360">
        <f>HYPERLINK("https://klasma.github.io/Logging_2303/tillsynsmail/A 35131-2025 tillsynsbegäran mail.docx", "A 35131-2025")</f>
        <v/>
      </c>
    </row>
    <row r="1361" ht="15" customHeight="1">
      <c r="A1361" t="inlineStr">
        <is>
          <t>A 35117-2025</t>
        </is>
      </c>
      <c r="B1361" s="1" t="n">
        <v>45852.59416666667</v>
      </c>
      <c r="C1361" s="1" t="n">
        <v>46045</v>
      </c>
      <c r="D1361" t="inlineStr">
        <is>
          <t>JÄMTLANDS LÄN</t>
        </is>
      </c>
      <c r="E1361" t="inlineStr">
        <is>
          <t>BRÄCKE</t>
        </is>
      </c>
      <c r="F1361" t="inlineStr">
        <is>
          <t>SCA</t>
        </is>
      </c>
      <c r="G1361" t="n">
        <v>11.1</v>
      </c>
      <c r="H1361" t="n">
        <v>0</v>
      </c>
      <c r="I1361" t="n">
        <v>0</v>
      </c>
      <c r="J1361" t="n">
        <v>2</v>
      </c>
      <c r="K1361" t="n">
        <v>0</v>
      </c>
      <c r="L1361" t="n">
        <v>0</v>
      </c>
      <c r="M1361" t="n">
        <v>0</v>
      </c>
      <c r="N1361" t="n">
        <v>0</v>
      </c>
      <c r="O1361" t="n">
        <v>2</v>
      </c>
      <c r="P1361" t="n">
        <v>0</v>
      </c>
      <c r="Q1361" t="n">
        <v>2</v>
      </c>
      <c r="R1361" s="2" t="inlineStr">
        <is>
          <t>Dvärgbägarlav
Nordtagging</t>
        </is>
      </c>
      <c r="S1361">
        <f>HYPERLINK("https://klasma.github.io/Logging_2305/artfynd/A 35117-2025 artfynd.xlsx", "A 35117-2025")</f>
        <v/>
      </c>
      <c r="T1361">
        <f>HYPERLINK("https://klasma.github.io/Logging_2305/kartor/A 35117-2025 karta.png", "A 35117-2025")</f>
        <v/>
      </c>
      <c r="V1361">
        <f>HYPERLINK("https://klasma.github.io/Logging_2305/klagomål/A 35117-2025 FSC-klagomål.docx", "A 35117-2025")</f>
        <v/>
      </c>
      <c r="W1361">
        <f>HYPERLINK("https://klasma.github.io/Logging_2305/klagomålsmail/A 35117-2025 FSC-klagomål mail.docx", "A 35117-2025")</f>
        <v/>
      </c>
      <c r="X1361">
        <f>HYPERLINK("https://klasma.github.io/Logging_2305/tillsyn/A 35117-2025 tillsynsbegäran.docx", "A 35117-2025")</f>
        <v/>
      </c>
      <c r="Y1361">
        <f>HYPERLINK("https://klasma.github.io/Logging_2305/tillsynsmail/A 35117-2025 tillsynsbegäran mail.docx", "A 35117-2025")</f>
        <v/>
      </c>
    </row>
    <row r="1362" ht="15" customHeight="1">
      <c r="A1362" t="inlineStr">
        <is>
          <t>A 61692-2024</t>
        </is>
      </c>
      <c r="B1362" s="1" t="n">
        <v>45647</v>
      </c>
      <c r="C1362" s="1" t="n">
        <v>46045</v>
      </c>
      <c r="D1362" t="inlineStr">
        <is>
          <t>JÄMTLANDS LÄN</t>
        </is>
      </c>
      <c r="E1362" t="inlineStr">
        <is>
          <t>KROKOM</t>
        </is>
      </c>
      <c r="F1362" t="inlineStr">
        <is>
          <t>SCA</t>
        </is>
      </c>
      <c r="G1362" t="n">
        <v>6.7</v>
      </c>
      <c r="H1362" t="n">
        <v>1</v>
      </c>
      <c r="I1362" t="n">
        <v>0</v>
      </c>
      <c r="J1362" t="n">
        <v>2</v>
      </c>
      <c r="K1362" t="n">
        <v>0</v>
      </c>
      <c r="L1362" t="n">
        <v>0</v>
      </c>
      <c r="M1362" t="n">
        <v>0</v>
      </c>
      <c r="N1362" t="n">
        <v>0</v>
      </c>
      <c r="O1362" t="n">
        <v>2</v>
      </c>
      <c r="P1362" t="n">
        <v>0</v>
      </c>
      <c r="Q1362" t="n">
        <v>2</v>
      </c>
      <c r="R1362" s="2" t="inlineStr">
        <is>
          <t>Granticka
Tretåig hackspett</t>
        </is>
      </c>
      <c r="S1362">
        <f>HYPERLINK("https://klasma.github.io/Logging_2309/artfynd/A 61692-2024 artfynd.xlsx", "A 61692-2024")</f>
        <v/>
      </c>
      <c r="T1362">
        <f>HYPERLINK("https://klasma.github.io/Logging_2309/kartor/A 61692-2024 karta.png", "A 61692-2024")</f>
        <v/>
      </c>
      <c r="V1362">
        <f>HYPERLINK("https://klasma.github.io/Logging_2309/klagomål/A 61692-2024 FSC-klagomål.docx", "A 61692-2024")</f>
        <v/>
      </c>
      <c r="W1362">
        <f>HYPERLINK("https://klasma.github.io/Logging_2309/klagomålsmail/A 61692-2024 FSC-klagomål mail.docx", "A 61692-2024")</f>
        <v/>
      </c>
      <c r="X1362">
        <f>HYPERLINK("https://klasma.github.io/Logging_2309/tillsyn/A 61692-2024 tillsynsbegäran.docx", "A 61692-2024")</f>
        <v/>
      </c>
      <c r="Y1362">
        <f>HYPERLINK("https://klasma.github.io/Logging_2309/tillsynsmail/A 61692-2024 tillsynsbegäran mail.docx", "A 61692-2024")</f>
        <v/>
      </c>
      <c r="Z1362">
        <f>HYPERLINK("https://klasma.github.io/Logging_2309/fåglar/A 61692-2024 prioriterade fågelarter.docx", "A 61692-2024")</f>
        <v/>
      </c>
    </row>
    <row r="1363" ht="15" customHeight="1">
      <c r="A1363" t="inlineStr">
        <is>
          <t>A 60320-2025</t>
        </is>
      </c>
      <c r="B1363" s="1" t="n">
        <v>45994.71947916667</v>
      </c>
      <c r="C1363" s="1" t="n">
        <v>46045</v>
      </c>
      <c r="D1363" t="inlineStr">
        <is>
          <t>JÄMTLANDS LÄN</t>
        </is>
      </c>
      <c r="E1363" t="inlineStr">
        <is>
          <t>BRÄCKE</t>
        </is>
      </c>
      <c r="F1363" t="inlineStr">
        <is>
          <t>SCA</t>
        </is>
      </c>
      <c r="G1363" t="n">
        <v>3.2</v>
      </c>
      <c r="H1363" t="n">
        <v>1</v>
      </c>
      <c r="I1363" t="n">
        <v>0</v>
      </c>
      <c r="J1363" t="n">
        <v>1</v>
      </c>
      <c r="K1363" t="n">
        <v>1</v>
      </c>
      <c r="L1363" t="n">
        <v>0</v>
      </c>
      <c r="M1363" t="n">
        <v>0</v>
      </c>
      <c r="N1363" t="n">
        <v>0</v>
      </c>
      <c r="O1363" t="n">
        <v>2</v>
      </c>
      <c r="P1363" t="n">
        <v>1</v>
      </c>
      <c r="Q1363" t="n">
        <v>2</v>
      </c>
      <c r="R1363" s="2" t="inlineStr">
        <is>
          <t>Doftticka
Lunglav</t>
        </is>
      </c>
      <c r="S1363">
        <f>HYPERLINK("https://klasma.github.io/Logging_2305/artfynd/A 60320-2025 artfynd.xlsx", "A 60320-2025")</f>
        <v/>
      </c>
      <c r="T1363">
        <f>HYPERLINK("https://klasma.github.io/Logging_2305/kartor/A 60320-2025 karta.png", "A 60320-2025")</f>
        <v/>
      </c>
      <c r="V1363">
        <f>HYPERLINK("https://klasma.github.io/Logging_2305/klagomål/A 60320-2025 FSC-klagomål.docx", "A 60320-2025")</f>
        <v/>
      </c>
      <c r="W1363">
        <f>HYPERLINK("https://klasma.github.io/Logging_2305/klagomålsmail/A 60320-2025 FSC-klagomål mail.docx", "A 60320-2025")</f>
        <v/>
      </c>
      <c r="X1363">
        <f>HYPERLINK("https://klasma.github.io/Logging_2305/tillsyn/A 60320-2025 tillsynsbegäran.docx", "A 60320-2025")</f>
        <v/>
      </c>
      <c r="Y1363">
        <f>HYPERLINK("https://klasma.github.io/Logging_2305/tillsynsmail/A 60320-2025 tillsynsbegäran mail.docx", "A 60320-2025")</f>
        <v/>
      </c>
    </row>
    <row r="1364" ht="15" customHeight="1">
      <c r="A1364" t="inlineStr">
        <is>
          <t>A 35209-2025</t>
        </is>
      </c>
      <c r="B1364" s="1" t="n">
        <v>45853.44827546296</v>
      </c>
      <c r="C1364" s="1" t="n">
        <v>46045</v>
      </c>
      <c r="D1364" t="inlineStr">
        <is>
          <t>JÄMTLANDS LÄN</t>
        </is>
      </c>
      <c r="E1364" t="inlineStr">
        <is>
          <t>BRÄCKE</t>
        </is>
      </c>
      <c r="F1364" t="inlineStr">
        <is>
          <t>SCA</t>
        </is>
      </c>
      <c r="G1364" t="n">
        <v>4</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35209-2025 artfynd.xlsx", "A 35209-2025")</f>
        <v/>
      </c>
      <c r="T1364">
        <f>HYPERLINK("https://klasma.github.io/Logging_2305/kartor/A 35209-2025 karta.png", "A 35209-2025")</f>
        <v/>
      </c>
      <c r="V1364">
        <f>HYPERLINK("https://klasma.github.io/Logging_2305/klagomål/A 35209-2025 FSC-klagomål.docx", "A 35209-2025")</f>
        <v/>
      </c>
      <c r="W1364">
        <f>HYPERLINK("https://klasma.github.io/Logging_2305/klagomålsmail/A 35209-2025 FSC-klagomål mail.docx", "A 35209-2025")</f>
        <v/>
      </c>
      <c r="X1364">
        <f>HYPERLINK("https://klasma.github.io/Logging_2305/tillsyn/A 35209-2025 tillsynsbegäran.docx", "A 35209-2025")</f>
        <v/>
      </c>
      <c r="Y1364">
        <f>HYPERLINK("https://klasma.github.io/Logging_2305/tillsynsmail/A 35209-2025 tillsynsbegäran mail.docx", "A 35209-2025")</f>
        <v/>
      </c>
    </row>
    <row r="1365" ht="15" customHeight="1">
      <c r="A1365" t="inlineStr">
        <is>
          <t>A 2838-2026</t>
        </is>
      </c>
      <c r="B1365" s="1" t="n">
        <v>46038.46408564815</v>
      </c>
      <c r="C1365" s="1" t="n">
        <v>46045</v>
      </c>
      <c r="D1365" t="inlineStr">
        <is>
          <t>JÄMTLANDS LÄN</t>
        </is>
      </c>
      <c r="E1365" t="inlineStr">
        <is>
          <t>BRÄCKE</t>
        </is>
      </c>
      <c r="G1365" t="n">
        <v>0.6</v>
      </c>
      <c r="H1365" t="n">
        <v>1</v>
      </c>
      <c r="I1365" t="n">
        <v>0</v>
      </c>
      <c r="J1365" t="n">
        <v>1</v>
      </c>
      <c r="K1365" t="n">
        <v>1</v>
      </c>
      <c r="L1365" t="n">
        <v>0</v>
      </c>
      <c r="M1365" t="n">
        <v>0</v>
      </c>
      <c r="N1365" t="n">
        <v>0</v>
      </c>
      <c r="O1365" t="n">
        <v>2</v>
      </c>
      <c r="P1365" t="n">
        <v>1</v>
      </c>
      <c r="Q1365" t="n">
        <v>2</v>
      </c>
      <c r="R1365" s="2" t="inlineStr">
        <is>
          <t>Knärot
Lunglav</t>
        </is>
      </c>
      <c r="S1365">
        <f>HYPERLINK("https://klasma.github.io/Logging_2305/artfynd/A 2838-2026 artfynd.xlsx", "A 2838-2026")</f>
        <v/>
      </c>
      <c r="T1365">
        <f>HYPERLINK("https://klasma.github.io/Logging_2305/kartor/A 2838-2026 karta.png", "A 2838-2026")</f>
        <v/>
      </c>
      <c r="U1365">
        <f>HYPERLINK("https://klasma.github.io/Logging_2305/knärot/A 2838-2026 karta knärot.png", "A 2838-2026")</f>
        <v/>
      </c>
      <c r="V1365">
        <f>HYPERLINK("https://klasma.github.io/Logging_2305/klagomål/A 2838-2026 FSC-klagomål.docx", "A 2838-2026")</f>
        <v/>
      </c>
      <c r="W1365">
        <f>HYPERLINK("https://klasma.github.io/Logging_2305/klagomålsmail/A 2838-2026 FSC-klagomål mail.docx", "A 2838-2026")</f>
        <v/>
      </c>
      <c r="X1365">
        <f>HYPERLINK("https://klasma.github.io/Logging_2305/tillsyn/A 2838-2026 tillsynsbegäran.docx", "A 2838-2026")</f>
        <v/>
      </c>
      <c r="Y1365">
        <f>HYPERLINK("https://klasma.github.io/Logging_2305/tillsynsmail/A 2838-2026 tillsynsbegäran mail.docx", "A 2838-2026")</f>
        <v/>
      </c>
    </row>
    <row r="1366" ht="15" customHeight="1">
      <c r="A1366" t="inlineStr">
        <is>
          <t>A 35643-2025</t>
        </is>
      </c>
      <c r="B1366" s="1" t="n">
        <v>45859.49013888889</v>
      </c>
      <c r="C1366" s="1" t="n">
        <v>46045</v>
      </c>
      <c r="D1366" t="inlineStr">
        <is>
          <t>JÄMTLANDS LÄN</t>
        </is>
      </c>
      <c r="E1366" t="inlineStr">
        <is>
          <t>STRÖMSUND</t>
        </is>
      </c>
      <c r="F1366" t="inlineStr">
        <is>
          <t>SCA</t>
        </is>
      </c>
      <c r="G1366" t="n">
        <v>20.6</v>
      </c>
      <c r="H1366" t="n">
        <v>0</v>
      </c>
      <c r="I1366" t="n">
        <v>1</v>
      </c>
      <c r="J1366" t="n">
        <v>1</v>
      </c>
      <c r="K1366" t="n">
        <v>0</v>
      </c>
      <c r="L1366" t="n">
        <v>0</v>
      </c>
      <c r="M1366" t="n">
        <v>0</v>
      </c>
      <c r="N1366" t="n">
        <v>0</v>
      </c>
      <c r="O1366" t="n">
        <v>1</v>
      </c>
      <c r="P1366" t="n">
        <v>0</v>
      </c>
      <c r="Q1366" t="n">
        <v>2</v>
      </c>
      <c r="R1366" s="2" t="inlineStr">
        <is>
          <t>Garnlav
Svavelriska</t>
        </is>
      </c>
      <c r="S1366">
        <f>HYPERLINK("https://klasma.github.io/Logging_2313/artfynd/A 35643-2025 artfynd.xlsx", "A 35643-2025")</f>
        <v/>
      </c>
      <c r="T1366">
        <f>HYPERLINK("https://klasma.github.io/Logging_2313/kartor/A 35643-2025 karta.png", "A 35643-2025")</f>
        <v/>
      </c>
      <c r="V1366">
        <f>HYPERLINK("https://klasma.github.io/Logging_2313/klagomål/A 35643-2025 FSC-klagomål.docx", "A 35643-2025")</f>
        <v/>
      </c>
      <c r="W1366">
        <f>HYPERLINK("https://klasma.github.io/Logging_2313/klagomålsmail/A 35643-2025 FSC-klagomål mail.docx", "A 35643-2025")</f>
        <v/>
      </c>
      <c r="X1366">
        <f>HYPERLINK("https://klasma.github.io/Logging_2313/tillsyn/A 35643-2025 tillsynsbegäran.docx", "A 35643-2025")</f>
        <v/>
      </c>
      <c r="Y1366">
        <f>HYPERLINK("https://klasma.github.io/Logging_2313/tillsynsmail/A 35643-2025 tillsynsbegäran mail.docx", "A 35643-2025")</f>
        <v/>
      </c>
    </row>
    <row r="1367" ht="15" customHeight="1">
      <c r="A1367" t="inlineStr">
        <is>
          <t>A 35664-2025</t>
        </is>
      </c>
      <c r="B1367" s="1" t="n">
        <v>45859.61524305555</v>
      </c>
      <c r="C1367" s="1" t="n">
        <v>46045</v>
      </c>
      <c r="D1367" t="inlineStr">
        <is>
          <t>JÄMTLANDS LÄN</t>
        </is>
      </c>
      <c r="E1367" t="inlineStr">
        <is>
          <t>STRÖMSUND</t>
        </is>
      </c>
      <c r="F1367" t="inlineStr">
        <is>
          <t>SCA</t>
        </is>
      </c>
      <c r="G1367" t="n">
        <v>2.6</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HYPERLINK("https://klasma.github.io/Logging_2313/artfynd/A 35664-2025 artfynd.xlsx", "A 35664-2025")</f>
        <v/>
      </c>
      <c r="T1367">
        <f>HYPERLINK("https://klasma.github.io/Logging_2313/kartor/A 35664-2025 karta.png", "A 35664-2025")</f>
        <v/>
      </c>
      <c r="V1367">
        <f>HYPERLINK("https://klasma.github.io/Logging_2313/klagomål/A 35664-2025 FSC-klagomål.docx", "A 35664-2025")</f>
        <v/>
      </c>
      <c r="W1367">
        <f>HYPERLINK("https://klasma.github.io/Logging_2313/klagomålsmail/A 35664-2025 FSC-klagomål mail.docx", "A 35664-2025")</f>
        <v/>
      </c>
      <c r="X1367">
        <f>HYPERLINK("https://klasma.github.io/Logging_2313/tillsyn/A 35664-2025 tillsynsbegäran.docx", "A 35664-2025")</f>
        <v/>
      </c>
      <c r="Y1367">
        <f>HYPERLINK("https://klasma.github.io/Logging_2313/tillsynsmail/A 35664-2025 tillsynsbegäran mail.docx", "A 35664-2025")</f>
        <v/>
      </c>
    </row>
    <row r="1368" ht="15" customHeight="1">
      <c r="A1368" t="inlineStr">
        <is>
          <t>A 5781-2025</t>
        </is>
      </c>
      <c r="B1368" s="1" t="n">
        <v>45694</v>
      </c>
      <c r="C1368" s="1" t="n">
        <v>46045</v>
      </c>
      <c r="D1368" t="inlineStr">
        <is>
          <t>JÄMTLANDS LÄN</t>
        </is>
      </c>
      <c r="E1368" t="inlineStr">
        <is>
          <t>HÄRJEDALEN</t>
        </is>
      </c>
      <c r="G1368" t="n">
        <v>10.1</v>
      </c>
      <c r="H1368" t="n">
        <v>0</v>
      </c>
      <c r="I1368" t="n">
        <v>0</v>
      </c>
      <c r="J1368" t="n">
        <v>2</v>
      </c>
      <c r="K1368" t="n">
        <v>0</v>
      </c>
      <c r="L1368" t="n">
        <v>0</v>
      </c>
      <c r="M1368" t="n">
        <v>0</v>
      </c>
      <c r="N1368" t="n">
        <v>0</v>
      </c>
      <c r="O1368" t="n">
        <v>2</v>
      </c>
      <c r="P1368" t="n">
        <v>0</v>
      </c>
      <c r="Q1368" t="n">
        <v>2</v>
      </c>
      <c r="R1368" s="2" t="inlineStr">
        <is>
          <t>Garnlav
Harticka</t>
        </is>
      </c>
      <c r="S1368">
        <f>HYPERLINK("https://klasma.github.io/Logging_2361/artfynd/A 5781-2025 artfynd.xlsx", "A 5781-2025")</f>
        <v/>
      </c>
      <c r="T1368">
        <f>HYPERLINK("https://klasma.github.io/Logging_2361/kartor/A 5781-2025 karta.png", "A 5781-2025")</f>
        <v/>
      </c>
      <c r="V1368">
        <f>HYPERLINK("https://klasma.github.io/Logging_2361/klagomål/A 5781-2025 FSC-klagomål.docx", "A 5781-2025")</f>
        <v/>
      </c>
      <c r="W1368">
        <f>HYPERLINK("https://klasma.github.io/Logging_2361/klagomålsmail/A 5781-2025 FSC-klagomål mail.docx", "A 5781-2025")</f>
        <v/>
      </c>
      <c r="X1368">
        <f>HYPERLINK("https://klasma.github.io/Logging_2361/tillsyn/A 5781-2025 tillsynsbegäran.docx", "A 5781-2025")</f>
        <v/>
      </c>
      <c r="Y1368">
        <f>HYPERLINK("https://klasma.github.io/Logging_2361/tillsynsmail/A 5781-2025 tillsynsbegäran mail.docx", "A 5781-2025")</f>
        <v/>
      </c>
    </row>
    <row r="1369" ht="15" customHeight="1">
      <c r="A1369" t="inlineStr">
        <is>
          <t>A 53762-2025</t>
        </is>
      </c>
      <c r="B1369" s="1" t="n">
        <v>45960.67209490741</v>
      </c>
      <c r="C1369" s="1" t="n">
        <v>46045</v>
      </c>
      <c r="D1369" t="inlineStr">
        <is>
          <t>JÄMTLANDS LÄN</t>
        </is>
      </c>
      <c r="E1369" t="inlineStr">
        <is>
          <t>KROKOM</t>
        </is>
      </c>
      <c r="F1369" t="inlineStr">
        <is>
          <t>Kyrkan</t>
        </is>
      </c>
      <c r="G1369" t="n">
        <v>10.8</v>
      </c>
      <c r="H1369" t="n">
        <v>2</v>
      </c>
      <c r="I1369" t="n">
        <v>0</v>
      </c>
      <c r="J1369" t="n">
        <v>2</v>
      </c>
      <c r="K1369" t="n">
        <v>0</v>
      </c>
      <c r="L1369" t="n">
        <v>0</v>
      </c>
      <c r="M1369" t="n">
        <v>0</v>
      </c>
      <c r="N1369" t="n">
        <v>0</v>
      </c>
      <c r="O1369" t="n">
        <v>2</v>
      </c>
      <c r="P1369" t="n">
        <v>0</v>
      </c>
      <c r="Q1369" t="n">
        <v>2</v>
      </c>
      <c r="R1369" s="2" t="inlineStr">
        <is>
          <t>Järpe
Tretåig hackspett</t>
        </is>
      </c>
      <c r="S1369">
        <f>HYPERLINK("https://klasma.github.io/Logging_2309/artfynd/A 53762-2025 artfynd.xlsx", "A 53762-2025")</f>
        <v/>
      </c>
      <c r="T1369">
        <f>HYPERLINK("https://klasma.github.io/Logging_2309/kartor/A 53762-2025 karta.png", "A 53762-2025")</f>
        <v/>
      </c>
      <c r="V1369">
        <f>HYPERLINK("https://klasma.github.io/Logging_2309/klagomål/A 53762-2025 FSC-klagomål.docx", "A 53762-2025")</f>
        <v/>
      </c>
      <c r="W1369">
        <f>HYPERLINK("https://klasma.github.io/Logging_2309/klagomålsmail/A 53762-2025 FSC-klagomål mail.docx", "A 53762-2025")</f>
        <v/>
      </c>
      <c r="X1369">
        <f>HYPERLINK("https://klasma.github.io/Logging_2309/tillsyn/A 53762-2025 tillsynsbegäran.docx", "A 53762-2025")</f>
        <v/>
      </c>
      <c r="Y1369">
        <f>HYPERLINK("https://klasma.github.io/Logging_2309/tillsynsmail/A 53762-2025 tillsynsbegäran mail.docx", "A 53762-2025")</f>
        <v/>
      </c>
      <c r="Z1369">
        <f>HYPERLINK("https://klasma.github.io/Logging_2309/fåglar/A 53762-2025 prioriterade fågelarter.docx", "A 53762-2025")</f>
        <v/>
      </c>
    </row>
    <row r="1370" ht="15" customHeight="1">
      <c r="A1370" t="inlineStr">
        <is>
          <t>A 61165-2025</t>
        </is>
      </c>
      <c r="B1370" s="1" t="n">
        <v>46000.56600694444</v>
      </c>
      <c r="C1370" s="1" t="n">
        <v>46045</v>
      </c>
      <c r="D1370" t="inlineStr">
        <is>
          <t>JÄMTLANDS LÄN</t>
        </is>
      </c>
      <c r="E1370" t="inlineStr">
        <is>
          <t>BRÄCKE</t>
        </is>
      </c>
      <c r="G1370" t="n">
        <v>5.3</v>
      </c>
      <c r="H1370" t="n">
        <v>1</v>
      </c>
      <c r="I1370" t="n">
        <v>0</v>
      </c>
      <c r="J1370" t="n">
        <v>1</v>
      </c>
      <c r="K1370" t="n">
        <v>1</v>
      </c>
      <c r="L1370" t="n">
        <v>0</v>
      </c>
      <c r="M1370" t="n">
        <v>0</v>
      </c>
      <c r="N1370" t="n">
        <v>0</v>
      </c>
      <c r="O1370" t="n">
        <v>2</v>
      </c>
      <c r="P1370" t="n">
        <v>1</v>
      </c>
      <c r="Q1370" t="n">
        <v>2</v>
      </c>
      <c r="R1370" s="2" t="inlineStr">
        <is>
          <t>Knärot
Lunglav</t>
        </is>
      </c>
      <c r="S1370">
        <f>HYPERLINK("https://klasma.github.io/Logging_2305/artfynd/A 61165-2025 artfynd.xlsx", "A 61165-2025")</f>
        <v/>
      </c>
      <c r="T1370">
        <f>HYPERLINK("https://klasma.github.io/Logging_2305/kartor/A 61165-2025 karta.png", "A 61165-2025")</f>
        <v/>
      </c>
      <c r="U1370">
        <f>HYPERLINK("https://klasma.github.io/Logging_2305/knärot/A 61165-2025 karta knärot.png", "A 61165-2025")</f>
        <v/>
      </c>
      <c r="V1370">
        <f>HYPERLINK("https://klasma.github.io/Logging_2305/klagomål/A 61165-2025 FSC-klagomål.docx", "A 61165-2025")</f>
        <v/>
      </c>
      <c r="W1370">
        <f>HYPERLINK("https://klasma.github.io/Logging_2305/klagomålsmail/A 61165-2025 FSC-klagomål mail.docx", "A 61165-2025")</f>
        <v/>
      </c>
      <c r="X1370">
        <f>HYPERLINK("https://klasma.github.io/Logging_2305/tillsyn/A 61165-2025 tillsynsbegäran.docx", "A 61165-2025")</f>
        <v/>
      </c>
      <c r="Y1370">
        <f>HYPERLINK("https://klasma.github.io/Logging_2305/tillsynsmail/A 61165-2025 tillsynsbegäran mail.docx", "A 61165-2025")</f>
        <v/>
      </c>
    </row>
    <row r="1371" ht="15" customHeight="1">
      <c r="A1371" t="inlineStr">
        <is>
          <t>A 36395-2025</t>
        </is>
      </c>
      <c r="B1371" s="1" t="n">
        <v>45868.6211574074</v>
      </c>
      <c r="C1371" s="1" t="n">
        <v>46045</v>
      </c>
      <c r="D1371" t="inlineStr">
        <is>
          <t>JÄMTLANDS LÄN</t>
        </is>
      </c>
      <c r="E1371" t="inlineStr">
        <is>
          <t>ÅRE</t>
        </is>
      </c>
      <c r="G1371" t="n">
        <v>19.6</v>
      </c>
      <c r="H1371" t="n">
        <v>2</v>
      </c>
      <c r="I1371" t="n">
        <v>0</v>
      </c>
      <c r="J1371" t="n">
        <v>2</v>
      </c>
      <c r="K1371" t="n">
        <v>0</v>
      </c>
      <c r="L1371" t="n">
        <v>0</v>
      </c>
      <c r="M1371" t="n">
        <v>0</v>
      </c>
      <c r="N1371" t="n">
        <v>0</v>
      </c>
      <c r="O1371" t="n">
        <v>2</v>
      </c>
      <c r="P1371" t="n">
        <v>0</v>
      </c>
      <c r="Q1371" t="n">
        <v>2</v>
      </c>
      <c r="R1371" s="2" t="inlineStr">
        <is>
          <t>Spillkråka
Tretåig hackspett</t>
        </is>
      </c>
      <c r="S1371">
        <f>HYPERLINK("https://klasma.github.io/Logging_2321/artfynd/A 36395-2025 artfynd.xlsx", "A 36395-2025")</f>
        <v/>
      </c>
      <c r="T1371">
        <f>HYPERLINK("https://klasma.github.io/Logging_2321/kartor/A 36395-2025 karta.png", "A 36395-2025")</f>
        <v/>
      </c>
      <c r="V1371">
        <f>HYPERLINK("https://klasma.github.io/Logging_2321/klagomål/A 36395-2025 FSC-klagomål.docx", "A 36395-2025")</f>
        <v/>
      </c>
      <c r="W1371">
        <f>HYPERLINK("https://klasma.github.io/Logging_2321/klagomålsmail/A 36395-2025 FSC-klagomål mail.docx", "A 36395-2025")</f>
        <v/>
      </c>
      <c r="X1371">
        <f>HYPERLINK("https://klasma.github.io/Logging_2321/tillsyn/A 36395-2025 tillsynsbegäran.docx", "A 36395-2025")</f>
        <v/>
      </c>
      <c r="Y1371">
        <f>HYPERLINK("https://klasma.github.io/Logging_2321/tillsynsmail/A 36395-2025 tillsynsbegäran mail.docx", "A 36395-2025")</f>
        <v/>
      </c>
      <c r="Z1371">
        <f>HYPERLINK("https://klasma.github.io/Logging_2321/fåglar/A 36395-2025 prioriterade fågelarter.docx", "A 36395-2025")</f>
        <v/>
      </c>
    </row>
    <row r="1372" ht="15" customHeight="1">
      <c r="A1372" t="inlineStr">
        <is>
          <t>A 3152-2023</t>
        </is>
      </c>
      <c r="B1372" s="1" t="n">
        <v>44946</v>
      </c>
      <c r="C1372" s="1" t="n">
        <v>46045</v>
      </c>
      <c r="D1372" t="inlineStr">
        <is>
          <t>JÄMTLANDS LÄN</t>
        </is>
      </c>
      <c r="E1372" t="inlineStr">
        <is>
          <t>ÅRE</t>
        </is>
      </c>
      <c r="G1372" t="n">
        <v>1.9</v>
      </c>
      <c r="H1372" t="n">
        <v>1</v>
      </c>
      <c r="I1372" t="n">
        <v>0</v>
      </c>
      <c r="J1372" t="n">
        <v>2</v>
      </c>
      <c r="K1372" t="n">
        <v>0</v>
      </c>
      <c r="L1372" t="n">
        <v>0</v>
      </c>
      <c r="M1372" t="n">
        <v>0</v>
      </c>
      <c r="N1372" t="n">
        <v>0</v>
      </c>
      <c r="O1372" t="n">
        <v>2</v>
      </c>
      <c r="P1372" t="n">
        <v>0</v>
      </c>
      <c r="Q1372" t="n">
        <v>2</v>
      </c>
      <c r="R1372" s="2" t="inlineStr">
        <is>
          <t>Lunglav
Tretåig hackspett</t>
        </is>
      </c>
      <c r="S1372">
        <f>HYPERLINK("https://klasma.github.io/Logging_2321/artfynd/A 3152-2023 artfynd.xlsx", "A 3152-2023")</f>
        <v/>
      </c>
      <c r="T1372">
        <f>HYPERLINK("https://klasma.github.io/Logging_2321/kartor/A 3152-2023 karta.png", "A 3152-2023")</f>
        <v/>
      </c>
      <c r="V1372">
        <f>HYPERLINK("https://klasma.github.io/Logging_2321/klagomål/A 3152-2023 FSC-klagomål.docx", "A 3152-2023")</f>
        <v/>
      </c>
      <c r="W1372">
        <f>HYPERLINK("https://klasma.github.io/Logging_2321/klagomålsmail/A 3152-2023 FSC-klagomål mail.docx", "A 3152-2023")</f>
        <v/>
      </c>
      <c r="X1372">
        <f>HYPERLINK("https://klasma.github.io/Logging_2321/tillsyn/A 3152-2023 tillsynsbegäran.docx", "A 3152-2023")</f>
        <v/>
      </c>
      <c r="Y1372">
        <f>HYPERLINK("https://klasma.github.io/Logging_2321/tillsynsmail/A 3152-2023 tillsynsbegäran mail.docx", "A 3152-2023")</f>
        <v/>
      </c>
      <c r="Z1372">
        <f>HYPERLINK("https://klasma.github.io/Logging_2321/fåglar/A 3152-2023 prioriterade fågelarter.docx", "A 3152-2023")</f>
        <v/>
      </c>
    </row>
    <row r="1373" ht="15" customHeight="1">
      <c r="A1373" t="inlineStr">
        <is>
          <t>A 48772-2024</t>
        </is>
      </c>
      <c r="B1373" s="1" t="n">
        <v>45593.61495370371</v>
      </c>
      <c r="C1373" s="1" t="n">
        <v>46045</v>
      </c>
      <c r="D1373" t="inlineStr">
        <is>
          <t>JÄMTLANDS LÄN</t>
        </is>
      </c>
      <c r="E1373" t="inlineStr">
        <is>
          <t>BRÄCKE</t>
        </is>
      </c>
      <c r="F1373" t="inlineStr">
        <is>
          <t>SCA</t>
        </is>
      </c>
      <c r="G1373" t="n">
        <v>2.7</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HYPERLINK("https://klasma.github.io/Logging_2305/artfynd/A 48772-2024 artfynd.xlsx", "A 48772-2024")</f>
        <v/>
      </c>
      <c r="T1373">
        <f>HYPERLINK("https://klasma.github.io/Logging_2305/kartor/A 48772-2024 karta.png", "A 48772-2024")</f>
        <v/>
      </c>
      <c r="V1373">
        <f>HYPERLINK("https://klasma.github.io/Logging_2305/klagomål/A 48772-2024 FSC-klagomål.docx", "A 48772-2024")</f>
        <v/>
      </c>
      <c r="W1373">
        <f>HYPERLINK("https://klasma.github.io/Logging_2305/klagomålsmail/A 48772-2024 FSC-klagomål mail.docx", "A 48772-2024")</f>
        <v/>
      </c>
      <c r="X1373">
        <f>HYPERLINK("https://klasma.github.io/Logging_2305/tillsyn/A 48772-2024 tillsynsbegäran.docx", "A 48772-2024")</f>
        <v/>
      </c>
      <c r="Y1373">
        <f>HYPERLINK("https://klasma.github.io/Logging_2305/tillsynsmail/A 48772-2024 tillsynsbegäran mail.docx", "A 48772-2024")</f>
        <v/>
      </c>
    </row>
    <row r="1374" ht="15" customHeight="1">
      <c r="A1374" t="inlineStr">
        <is>
          <t>A 36445-2025</t>
        </is>
      </c>
      <c r="B1374" s="1" t="n">
        <v>45869</v>
      </c>
      <c r="C1374" s="1" t="n">
        <v>46045</v>
      </c>
      <c r="D1374" t="inlineStr">
        <is>
          <t>JÄMTLANDS LÄN</t>
        </is>
      </c>
      <c r="E1374" t="inlineStr">
        <is>
          <t>KROKOM</t>
        </is>
      </c>
      <c r="F1374" t="inlineStr">
        <is>
          <t>SCA</t>
        </is>
      </c>
      <c r="G1374" t="n">
        <v>12.8</v>
      </c>
      <c r="H1374" t="n">
        <v>0</v>
      </c>
      <c r="I1374" t="n">
        <v>0</v>
      </c>
      <c r="J1374" t="n">
        <v>2</v>
      </c>
      <c r="K1374" t="n">
        <v>0</v>
      </c>
      <c r="L1374" t="n">
        <v>0</v>
      </c>
      <c r="M1374" t="n">
        <v>0</v>
      </c>
      <c r="N1374" t="n">
        <v>0</v>
      </c>
      <c r="O1374" t="n">
        <v>2</v>
      </c>
      <c r="P1374" t="n">
        <v>0</v>
      </c>
      <c r="Q1374" t="n">
        <v>2</v>
      </c>
      <c r="R1374" s="2" t="inlineStr">
        <is>
          <t>Ullticka
Vitgrynig nållav</t>
        </is>
      </c>
      <c r="S1374">
        <f>HYPERLINK("https://klasma.github.io/Logging_2309/artfynd/A 36445-2025 artfynd.xlsx", "A 36445-2025")</f>
        <v/>
      </c>
      <c r="T1374">
        <f>HYPERLINK("https://klasma.github.io/Logging_2309/kartor/A 36445-2025 karta.png", "A 36445-2025")</f>
        <v/>
      </c>
      <c r="V1374">
        <f>HYPERLINK("https://klasma.github.io/Logging_2309/klagomål/A 36445-2025 FSC-klagomål.docx", "A 36445-2025")</f>
        <v/>
      </c>
      <c r="W1374">
        <f>HYPERLINK("https://klasma.github.io/Logging_2309/klagomålsmail/A 36445-2025 FSC-klagomål mail.docx", "A 36445-2025")</f>
        <v/>
      </c>
      <c r="X1374">
        <f>HYPERLINK("https://klasma.github.io/Logging_2309/tillsyn/A 36445-2025 tillsynsbegäran.docx", "A 36445-2025")</f>
        <v/>
      </c>
      <c r="Y1374">
        <f>HYPERLINK("https://klasma.github.io/Logging_2309/tillsynsmail/A 36445-2025 tillsynsbegäran mail.docx", "A 36445-2025")</f>
        <v/>
      </c>
    </row>
    <row r="1375" ht="15" customHeight="1">
      <c r="A1375" t="inlineStr">
        <is>
          <t>A 47993-2025</t>
        </is>
      </c>
      <c r="B1375" s="1" t="n">
        <v>45931</v>
      </c>
      <c r="C1375" s="1" t="n">
        <v>46045</v>
      </c>
      <c r="D1375" t="inlineStr">
        <is>
          <t>JÄMTLANDS LÄN</t>
        </is>
      </c>
      <c r="E1375" t="inlineStr">
        <is>
          <t>ÅRE</t>
        </is>
      </c>
      <c r="G1375" t="n">
        <v>2.1</v>
      </c>
      <c r="H1375" t="n">
        <v>0</v>
      </c>
      <c r="I1375" t="n">
        <v>1</v>
      </c>
      <c r="J1375" t="n">
        <v>1</v>
      </c>
      <c r="K1375" t="n">
        <v>0</v>
      </c>
      <c r="L1375" t="n">
        <v>0</v>
      </c>
      <c r="M1375" t="n">
        <v>0</v>
      </c>
      <c r="N1375" t="n">
        <v>0</v>
      </c>
      <c r="O1375" t="n">
        <v>1</v>
      </c>
      <c r="P1375" t="n">
        <v>0</v>
      </c>
      <c r="Q1375" t="n">
        <v>2</v>
      </c>
      <c r="R1375" s="2" t="inlineStr">
        <is>
          <t>Ullticka
Svart trolldruva</t>
        </is>
      </c>
      <c r="S1375">
        <f>HYPERLINK("https://klasma.github.io/Logging_2321/artfynd/A 47993-2025 artfynd.xlsx", "A 47993-2025")</f>
        <v/>
      </c>
      <c r="T1375">
        <f>HYPERLINK("https://klasma.github.io/Logging_2321/kartor/A 47993-2025 karta.png", "A 47993-2025")</f>
        <v/>
      </c>
      <c r="V1375">
        <f>HYPERLINK("https://klasma.github.io/Logging_2321/klagomål/A 47993-2025 FSC-klagomål.docx", "A 47993-2025")</f>
        <v/>
      </c>
      <c r="W1375">
        <f>HYPERLINK("https://klasma.github.io/Logging_2321/klagomålsmail/A 47993-2025 FSC-klagomål mail.docx", "A 47993-2025")</f>
        <v/>
      </c>
      <c r="X1375">
        <f>HYPERLINK("https://klasma.github.io/Logging_2321/tillsyn/A 47993-2025 tillsynsbegäran.docx", "A 47993-2025")</f>
        <v/>
      </c>
      <c r="Y1375">
        <f>HYPERLINK("https://klasma.github.io/Logging_2321/tillsynsmail/A 47993-2025 tillsynsbegäran mail.docx", "A 47993-2025")</f>
        <v/>
      </c>
    </row>
    <row r="1376" ht="15" customHeight="1">
      <c r="A1376" t="inlineStr">
        <is>
          <t>A 34784-2025</t>
        </is>
      </c>
      <c r="B1376" s="1" t="n">
        <v>45848</v>
      </c>
      <c r="C1376" s="1" t="n">
        <v>46045</v>
      </c>
      <c r="D1376" t="inlineStr">
        <is>
          <t>JÄMTLANDS LÄN</t>
        </is>
      </c>
      <c r="E1376" t="inlineStr">
        <is>
          <t>STRÖMSUND</t>
        </is>
      </c>
      <c r="F1376" t="inlineStr">
        <is>
          <t>SCA</t>
        </is>
      </c>
      <c r="G1376" t="n">
        <v>13.7</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HYPERLINK("https://klasma.github.io/Logging_2313/artfynd/A 34784-2025 artfynd.xlsx", "A 34784-2025")</f>
        <v/>
      </c>
      <c r="T1376">
        <f>HYPERLINK("https://klasma.github.io/Logging_2313/kartor/A 34784-2025 karta.png", "A 34784-2025")</f>
        <v/>
      </c>
      <c r="V1376">
        <f>HYPERLINK("https://klasma.github.io/Logging_2313/klagomål/A 34784-2025 FSC-klagomål.docx", "A 34784-2025")</f>
        <v/>
      </c>
      <c r="W1376">
        <f>HYPERLINK("https://klasma.github.io/Logging_2313/klagomålsmail/A 34784-2025 FSC-klagomål mail.docx", "A 34784-2025")</f>
        <v/>
      </c>
      <c r="X1376">
        <f>HYPERLINK("https://klasma.github.io/Logging_2313/tillsyn/A 34784-2025 tillsynsbegäran.docx", "A 34784-2025")</f>
        <v/>
      </c>
      <c r="Y1376">
        <f>HYPERLINK("https://klasma.github.io/Logging_2313/tillsynsmail/A 34784-2025 tillsynsbegäran mail.docx", "A 34784-2025")</f>
        <v/>
      </c>
      <c r="Z1376">
        <f>HYPERLINK("https://klasma.github.io/Logging_2313/fåglar/A 34784-2025 prioriterade fågelarter.docx", "A 34784-2025")</f>
        <v/>
      </c>
    </row>
    <row r="1377" ht="15" customHeight="1">
      <c r="A1377" t="inlineStr">
        <is>
          <t>A 49183-2024</t>
        </is>
      </c>
      <c r="B1377" s="1" t="n">
        <v>45595.34423611111</v>
      </c>
      <c r="C1377" s="1" t="n">
        <v>46045</v>
      </c>
      <c r="D1377" t="inlineStr">
        <is>
          <t>JÄMTLANDS LÄN</t>
        </is>
      </c>
      <c r="E1377" t="inlineStr">
        <is>
          <t>STRÖMSUND</t>
        </is>
      </c>
      <c r="F1377" t="inlineStr">
        <is>
          <t>SCA</t>
        </is>
      </c>
      <c r="G1377" t="n">
        <v>3</v>
      </c>
      <c r="H1377" t="n">
        <v>1</v>
      </c>
      <c r="I1377" t="n">
        <v>0</v>
      </c>
      <c r="J1377" t="n">
        <v>1</v>
      </c>
      <c r="K1377" t="n">
        <v>0</v>
      </c>
      <c r="L1377" t="n">
        <v>0</v>
      </c>
      <c r="M1377" t="n">
        <v>0</v>
      </c>
      <c r="N1377" t="n">
        <v>0</v>
      </c>
      <c r="O1377" t="n">
        <v>1</v>
      </c>
      <c r="P1377" t="n">
        <v>0</v>
      </c>
      <c r="Q1377" t="n">
        <v>2</v>
      </c>
      <c r="R1377" s="2" t="inlineStr">
        <is>
          <t>Ullticka
Revlummer</t>
        </is>
      </c>
      <c r="S1377">
        <f>HYPERLINK("https://klasma.github.io/Logging_2313/artfynd/A 49183-2024 artfynd.xlsx", "A 49183-2024")</f>
        <v/>
      </c>
      <c r="T1377">
        <f>HYPERLINK("https://klasma.github.io/Logging_2313/kartor/A 49183-2024 karta.png", "A 49183-2024")</f>
        <v/>
      </c>
      <c r="V1377">
        <f>HYPERLINK("https://klasma.github.io/Logging_2313/klagomål/A 49183-2024 FSC-klagomål.docx", "A 49183-2024")</f>
        <v/>
      </c>
      <c r="W1377">
        <f>HYPERLINK("https://klasma.github.io/Logging_2313/klagomålsmail/A 49183-2024 FSC-klagomål mail.docx", "A 49183-2024")</f>
        <v/>
      </c>
      <c r="X1377">
        <f>HYPERLINK("https://klasma.github.io/Logging_2313/tillsyn/A 49183-2024 tillsynsbegäran.docx", "A 49183-2024")</f>
        <v/>
      </c>
      <c r="Y1377">
        <f>HYPERLINK("https://klasma.github.io/Logging_2313/tillsynsmail/A 49183-2024 tillsynsbegäran mail.docx", "A 49183-2024")</f>
        <v/>
      </c>
    </row>
    <row r="1378" ht="15" customHeight="1">
      <c r="A1378" t="inlineStr">
        <is>
          <t>A 14344-2025</t>
        </is>
      </c>
      <c r="B1378" s="1" t="n">
        <v>45741</v>
      </c>
      <c r="C1378" s="1" t="n">
        <v>46045</v>
      </c>
      <c r="D1378" t="inlineStr">
        <is>
          <t>JÄMTLANDS LÄN</t>
        </is>
      </c>
      <c r="E1378" t="inlineStr">
        <is>
          <t>BERG</t>
        </is>
      </c>
      <c r="G1378" t="n">
        <v>3.4</v>
      </c>
      <c r="H1378" t="n">
        <v>1</v>
      </c>
      <c r="I1378" t="n">
        <v>1</v>
      </c>
      <c r="J1378" t="n">
        <v>0</v>
      </c>
      <c r="K1378" t="n">
        <v>0</v>
      </c>
      <c r="L1378" t="n">
        <v>0</v>
      </c>
      <c r="M1378" t="n">
        <v>0</v>
      </c>
      <c r="N1378" t="n">
        <v>0</v>
      </c>
      <c r="O1378" t="n">
        <v>0</v>
      </c>
      <c r="P1378" t="n">
        <v>0</v>
      </c>
      <c r="Q1378" t="n">
        <v>2</v>
      </c>
      <c r="R1378" s="2" t="inlineStr">
        <is>
          <t>Svart trolldruva
Revlummer</t>
        </is>
      </c>
      <c r="S1378">
        <f>HYPERLINK("https://klasma.github.io/Logging_2326/artfynd/A 14344-2025 artfynd.xlsx", "A 14344-2025")</f>
        <v/>
      </c>
      <c r="T1378">
        <f>HYPERLINK("https://klasma.github.io/Logging_2326/kartor/A 14344-2025 karta.png", "A 14344-2025")</f>
        <v/>
      </c>
      <c r="V1378">
        <f>HYPERLINK("https://klasma.github.io/Logging_2326/klagomål/A 14344-2025 FSC-klagomål.docx", "A 14344-2025")</f>
        <v/>
      </c>
      <c r="W1378">
        <f>HYPERLINK("https://klasma.github.io/Logging_2326/klagomålsmail/A 14344-2025 FSC-klagomål mail.docx", "A 14344-2025")</f>
        <v/>
      </c>
      <c r="X1378">
        <f>HYPERLINK("https://klasma.github.io/Logging_2326/tillsyn/A 14344-2025 tillsynsbegäran.docx", "A 14344-2025")</f>
        <v/>
      </c>
      <c r="Y1378">
        <f>HYPERLINK("https://klasma.github.io/Logging_2326/tillsynsmail/A 14344-2025 tillsynsbegäran mail.docx", "A 14344-2025")</f>
        <v/>
      </c>
    </row>
    <row r="1379" ht="15" customHeight="1">
      <c r="A1379" t="inlineStr">
        <is>
          <t>A 41280-2025</t>
        </is>
      </c>
      <c r="B1379" s="1" t="n">
        <v>45898</v>
      </c>
      <c r="C1379" s="1" t="n">
        <v>46045</v>
      </c>
      <c r="D1379" t="inlineStr">
        <is>
          <t>JÄMTLANDS LÄN</t>
        </is>
      </c>
      <c r="E1379" t="inlineStr">
        <is>
          <t>ÅRE</t>
        </is>
      </c>
      <c r="F1379" t="inlineStr">
        <is>
          <t>Övriga Aktiebolag</t>
        </is>
      </c>
      <c r="G1379" t="n">
        <v>4.5</v>
      </c>
      <c r="H1379" t="n">
        <v>1</v>
      </c>
      <c r="I1379" t="n">
        <v>0</v>
      </c>
      <c r="J1379" t="n">
        <v>2</v>
      </c>
      <c r="K1379" t="n">
        <v>0</v>
      </c>
      <c r="L1379" t="n">
        <v>0</v>
      </c>
      <c r="M1379" t="n">
        <v>0</v>
      </c>
      <c r="N1379" t="n">
        <v>0</v>
      </c>
      <c r="O1379" t="n">
        <v>2</v>
      </c>
      <c r="P1379" t="n">
        <v>0</v>
      </c>
      <c r="Q1379" t="n">
        <v>2</v>
      </c>
      <c r="R1379" s="2" t="inlineStr">
        <is>
          <t>Garnlav
Järpe</t>
        </is>
      </c>
      <c r="S1379">
        <f>HYPERLINK("https://klasma.github.io/Logging_2321/artfynd/A 41280-2025 artfynd.xlsx", "A 41280-2025")</f>
        <v/>
      </c>
      <c r="T1379">
        <f>HYPERLINK("https://klasma.github.io/Logging_2321/kartor/A 41280-2025 karta.png", "A 41280-2025")</f>
        <v/>
      </c>
      <c r="V1379">
        <f>HYPERLINK("https://klasma.github.io/Logging_2321/klagomål/A 41280-2025 FSC-klagomål.docx", "A 41280-2025")</f>
        <v/>
      </c>
      <c r="W1379">
        <f>HYPERLINK("https://klasma.github.io/Logging_2321/klagomålsmail/A 41280-2025 FSC-klagomål mail.docx", "A 41280-2025")</f>
        <v/>
      </c>
      <c r="X1379">
        <f>HYPERLINK("https://klasma.github.io/Logging_2321/tillsyn/A 41280-2025 tillsynsbegäran.docx", "A 41280-2025")</f>
        <v/>
      </c>
      <c r="Y1379">
        <f>HYPERLINK("https://klasma.github.io/Logging_2321/tillsynsmail/A 41280-2025 tillsynsbegäran mail.docx", "A 41280-2025")</f>
        <v/>
      </c>
      <c r="Z1379">
        <f>HYPERLINK("https://klasma.github.io/Logging_2321/fåglar/A 41280-2025 prioriterade fågelarter.docx", "A 41280-2025")</f>
        <v/>
      </c>
    </row>
    <row r="1380" ht="15" customHeight="1">
      <c r="A1380" t="inlineStr">
        <is>
          <t>A 37204-2025</t>
        </is>
      </c>
      <c r="B1380" s="1" t="n">
        <v>45875.69826388889</v>
      </c>
      <c r="C1380" s="1" t="n">
        <v>46045</v>
      </c>
      <c r="D1380" t="inlineStr">
        <is>
          <t>JÄMTLANDS LÄN</t>
        </is>
      </c>
      <c r="E1380" t="inlineStr">
        <is>
          <t>ÅRE</t>
        </is>
      </c>
      <c r="G1380" t="n">
        <v>2.9</v>
      </c>
      <c r="H1380" t="n">
        <v>1</v>
      </c>
      <c r="I1380" t="n">
        <v>1</v>
      </c>
      <c r="J1380" t="n">
        <v>0</v>
      </c>
      <c r="K1380" t="n">
        <v>0</v>
      </c>
      <c r="L1380" t="n">
        <v>0</v>
      </c>
      <c r="M1380" t="n">
        <v>0</v>
      </c>
      <c r="N1380" t="n">
        <v>0</v>
      </c>
      <c r="O1380" t="n">
        <v>0</v>
      </c>
      <c r="P1380" t="n">
        <v>0</v>
      </c>
      <c r="Q1380" t="n">
        <v>2</v>
      </c>
      <c r="R1380" s="2" t="inlineStr">
        <is>
          <t>Norrlandslav
Revlummer</t>
        </is>
      </c>
      <c r="S1380">
        <f>HYPERLINK("https://klasma.github.io/Logging_2321/artfynd/A 37204-2025 artfynd.xlsx", "A 37204-2025")</f>
        <v/>
      </c>
      <c r="T1380">
        <f>HYPERLINK("https://klasma.github.io/Logging_2321/kartor/A 37204-2025 karta.png", "A 37204-2025")</f>
        <v/>
      </c>
      <c r="V1380">
        <f>HYPERLINK("https://klasma.github.io/Logging_2321/klagomål/A 37204-2025 FSC-klagomål.docx", "A 37204-2025")</f>
        <v/>
      </c>
      <c r="W1380">
        <f>HYPERLINK("https://klasma.github.io/Logging_2321/klagomålsmail/A 37204-2025 FSC-klagomål mail.docx", "A 37204-2025")</f>
        <v/>
      </c>
      <c r="X1380">
        <f>HYPERLINK("https://klasma.github.io/Logging_2321/tillsyn/A 37204-2025 tillsynsbegäran.docx", "A 37204-2025")</f>
        <v/>
      </c>
      <c r="Y1380">
        <f>HYPERLINK("https://klasma.github.io/Logging_2321/tillsynsmail/A 37204-2025 tillsynsbegäran mail.docx", "A 37204-2025")</f>
        <v/>
      </c>
    </row>
    <row r="1381" ht="15" customHeight="1">
      <c r="A1381" t="inlineStr">
        <is>
          <t>A 37509-2025</t>
        </is>
      </c>
      <c r="B1381" s="1" t="n">
        <v>45877.67787037037</v>
      </c>
      <c r="C1381" s="1" t="n">
        <v>46045</v>
      </c>
      <c r="D1381" t="inlineStr">
        <is>
          <t>JÄMTLANDS LÄN</t>
        </is>
      </c>
      <c r="E1381" t="inlineStr">
        <is>
          <t>KROKOM</t>
        </is>
      </c>
      <c r="F1381" t="inlineStr">
        <is>
          <t>SCA</t>
        </is>
      </c>
      <c r="G1381" t="n">
        <v>13.6</v>
      </c>
      <c r="H1381" t="n">
        <v>0</v>
      </c>
      <c r="I1381" t="n">
        <v>0</v>
      </c>
      <c r="J1381" t="n">
        <v>1</v>
      </c>
      <c r="K1381" t="n">
        <v>1</v>
      </c>
      <c r="L1381" t="n">
        <v>0</v>
      </c>
      <c r="M1381" t="n">
        <v>0</v>
      </c>
      <c r="N1381" t="n">
        <v>0</v>
      </c>
      <c r="O1381" t="n">
        <v>2</v>
      </c>
      <c r="P1381" t="n">
        <v>1</v>
      </c>
      <c r="Q1381" t="n">
        <v>2</v>
      </c>
      <c r="R1381" s="2" t="inlineStr">
        <is>
          <t>Gräddporing
Skrovellav</t>
        </is>
      </c>
      <c r="S1381">
        <f>HYPERLINK("https://klasma.github.io/Logging_2309/artfynd/A 37509-2025 artfynd.xlsx", "A 37509-2025")</f>
        <v/>
      </c>
      <c r="T1381">
        <f>HYPERLINK("https://klasma.github.io/Logging_2309/kartor/A 37509-2025 karta.png", "A 37509-2025")</f>
        <v/>
      </c>
      <c r="V1381">
        <f>HYPERLINK("https://klasma.github.io/Logging_2309/klagomål/A 37509-2025 FSC-klagomål.docx", "A 37509-2025")</f>
        <v/>
      </c>
      <c r="W1381">
        <f>HYPERLINK("https://klasma.github.io/Logging_2309/klagomålsmail/A 37509-2025 FSC-klagomål mail.docx", "A 37509-2025")</f>
        <v/>
      </c>
      <c r="X1381">
        <f>HYPERLINK("https://klasma.github.io/Logging_2309/tillsyn/A 37509-2025 tillsynsbegäran.docx", "A 37509-2025")</f>
        <v/>
      </c>
      <c r="Y1381">
        <f>HYPERLINK("https://klasma.github.io/Logging_2309/tillsynsmail/A 37509-2025 tillsynsbegäran mail.docx", "A 37509-2025")</f>
        <v/>
      </c>
    </row>
    <row r="1382" ht="15" customHeight="1">
      <c r="A1382" t="inlineStr">
        <is>
          <t>A 37572-2025</t>
        </is>
      </c>
      <c r="B1382" s="1" t="n">
        <v>45880.37559027778</v>
      </c>
      <c r="C1382" s="1" t="n">
        <v>46045</v>
      </c>
      <c r="D1382" t="inlineStr">
        <is>
          <t>JÄMTLANDS LÄN</t>
        </is>
      </c>
      <c r="E1382" t="inlineStr">
        <is>
          <t>HÄRJEDALEN</t>
        </is>
      </c>
      <c r="G1382" t="n">
        <v>29.6</v>
      </c>
      <c r="H1382" t="n">
        <v>1</v>
      </c>
      <c r="I1382" t="n">
        <v>0</v>
      </c>
      <c r="J1382" t="n">
        <v>1</v>
      </c>
      <c r="K1382" t="n">
        <v>0</v>
      </c>
      <c r="L1382" t="n">
        <v>0</v>
      </c>
      <c r="M1382" t="n">
        <v>0</v>
      </c>
      <c r="N1382" t="n">
        <v>0</v>
      </c>
      <c r="O1382" t="n">
        <v>1</v>
      </c>
      <c r="P1382" t="n">
        <v>0</v>
      </c>
      <c r="Q1382" t="n">
        <v>2</v>
      </c>
      <c r="R1382" s="2" t="inlineStr">
        <is>
          <t>Lunglav
Fläcknycklar</t>
        </is>
      </c>
      <c r="S1382">
        <f>HYPERLINK("https://klasma.github.io/Logging_2361/artfynd/A 37572-2025 artfynd.xlsx", "A 37572-2025")</f>
        <v/>
      </c>
      <c r="T1382">
        <f>HYPERLINK("https://klasma.github.io/Logging_2361/kartor/A 37572-2025 karta.png", "A 37572-2025")</f>
        <v/>
      </c>
      <c r="V1382">
        <f>HYPERLINK("https://klasma.github.io/Logging_2361/klagomål/A 37572-2025 FSC-klagomål.docx", "A 37572-2025")</f>
        <v/>
      </c>
      <c r="W1382">
        <f>HYPERLINK("https://klasma.github.io/Logging_2361/klagomålsmail/A 37572-2025 FSC-klagomål mail.docx", "A 37572-2025")</f>
        <v/>
      </c>
      <c r="X1382">
        <f>HYPERLINK("https://klasma.github.io/Logging_2361/tillsyn/A 37572-2025 tillsynsbegäran.docx", "A 37572-2025")</f>
        <v/>
      </c>
      <c r="Y1382">
        <f>HYPERLINK("https://klasma.github.io/Logging_2361/tillsynsmail/A 37572-2025 tillsynsbegäran mail.docx", "A 37572-2025")</f>
        <v/>
      </c>
    </row>
    <row r="1383" ht="15" customHeight="1">
      <c r="A1383" t="inlineStr">
        <is>
          <t>A 15461-2023</t>
        </is>
      </c>
      <c r="B1383" s="1" t="n">
        <v>45019</v>
      </c>
      <c r="C1383" s="1" t="n">
        <v>46045</v>
      </c>
      <c r="D1383" t="inlineStr">
        <is>
          <t>JÄMTLANDS LÄN</t>
        </is>
      </c>
      <c r="E1383" t="inlineStr">
        <is>
          <t>STRÖMSUND</t>
        </is>
      </c>
      <c r="G1383" t="n">
        <v>13.9</v>
      </c>
      <c r="H1383" t="n">
        <v>0</v>
      </c>
      <c r="I1383" t="n">
        <v>0</v>
      </c>
      <c r="J1383" t="n">
        <v>1</v>
      </c>
      <c r="K1383" t="n">
        <v>1</v>
      </c>
      <c r="L1383" t="n">
        <v>0</v>
      </c>
      <c r="M1383" t="n">
        <v>0</v>
      </c>
      <c r="N1383" t="n">
        <v>0</v>
      </c>
      <c r="O1383" t="n">
        <v>2</v>
      </c>
      <c r="P1383" t="n">
        <v>1</v>
      </c>
      <c r="Q1383" t="n">
        <v>2</v>
      </c>
      <c r="R1383" s="2" t="inlineStr">
        <is>
          <t>Blåfotad fagerspindling
Puderspindling</t>
        </is>
      </c>
      <c r="S1383">
        <f>HYPERLINK("https://klasma.github.io/Logging_2313/artfynd/A 15461-2023 artfynd.xlsx", "A 15461-2023")</f>
        <v/>
      </c>
      <c r="T1383">
        <f>HYPERLINK("https://klasma.github.io/Logging_2313/kartor/A 15461-2023 karta.png", "A 15461-2023")</f>
        <v/>
      </c>
      <c r="V1383">
        <f>HYPERLINK("https://klasma.github.io/Logging_2313/klagomål/A 15461-2023 FSC-klagomål.docx", "A 15461-2023")</f>
        <v/>
      </c>
      <c r="W1383">
        <f>HYPERLINK("https://klasma.github.io/Logging_2313/klagomålsmail/A 15461-2023 FSC-klagomål mail.docx", "A 15461-2023")</f>
        <v/>
      </c>
      <c r="X1383">
        <f>HYPERLINK("https://klasma.github.io/Logging_2313/tillsyn/A 15461-2023 tillsynsbegäran.docx", "A 15461-2023")</f>
        <v/>
      </c>
      <c r="Y1383">
        <f>HYPERLINK("https://klasma.github.io/Logging_2313/tillsynsmail/A 15461-2023 tillsynsbegäran mail.docx", "A 15461-2023")</f>
        <v/>
      </c>
    </row>
    <row r="1384" ht="15" customHeight="1">
      <c r="A1384" t="inlineStr">
        <is>
          <t>A 31414-2025</t>
        </is>
      </c>
      <c r="B1384" s="1" t="n">
        <v>45833</v>
      </c>
      <c r="C1384" s="1" t="n">
        <v>46045</v>
      </c>
      <c r="D1384" t="inlineStr">
        <is>
          <t>JÄMTLANDS LÄN</t>
        </is>
      </c>
      <c r="E1384" t="inlineStr">
        <is>
          <t>HÄRJEDALEN</t>
        </is>
      </c>
      <c r="G1384" t="n">
        <v>40.4</v>
      </c>
      <c r="H1384" t="n">
        <v>0</v>
      </c>
      <c r="I1384" t="n">
        <v>0</v>
      </c>
      <c r="J1384" t="n">
        <v>2</v>
      </c>
      <c r="K1384" t="n">
        <v>0</v>
      </c>
      <c r="L1384" t="n">
        <v>0</v>
      </c>
      <c r="M1384" t="n">
        <v>0</v>
      </c>
      <c r="N1384" t="n">
        <v>0</v>
      </c>
      <c r="O1384" t="n">
        <v>2</v>
      </c>
      <c r="P1384" t="n">
        <v>0</v>
      </c>
      <c r="Q1384" t="n">
        <v>2</v>
      </c>
      <c r="R1384" s="2" t="inlineStr">
        <is>
          <t>Blanksvart spiklav
Granticka</t>
        </is>
      </c>
      <c r="S1384">
        <f>HYPERLINK("https://klasma.github.io/Logging_2361/artfynd/A 31414-2025 artfynd.xlsx", "A 31414-2025")</f>
        <v/>
      </c>
      <c r="T1384">
        <f>HYPERLINK("https://klasma.github.io/Logging_2361/kartor/A 31414-2025 karta.png", "A 31414-2025")</f>
        <v/>
      </c>
      <c r="V1384">
        <f>HYPERLINK("https://klasma.github.io/Logging_2361/klagomål/A 31414-2025 FSC-klagomål.docx", "A 31414-2025")</f>
        <v/>
      </c>
      <c r="W1384">
        <f>HYPERLINK("https://klasma.github.io/Logging_2361/klagomålsmail/A 31414-2025 FSC-klagomål mail.docx", "A 31414-2025")</f>
        <v/>
      </c>
      <c r="X1384">
        <f>HYPERLINK("https://klasma.github.io/Logging_2361/tillsyn/A 31414-2025 tillsynsbegäran.docx", "A 31414-2025")</f>
        <v/>
      </c>
      <c r="Y1384">
        <f>HYPERLINK("https://klasma.github.io/Logging_2361/tillsynsmail/A 31414-2025 tillsynsbegäran mail.docx", "A 31414-2025")</f>
        <v/>
      </c>
    </row>
    <row r="1385" ht="15" customHeight="1">
      <c r="A1385" t="inlineStr">
        <is>
          <t>A 36011-2025</t>
        </is>
      </c>
      <c r="B1385" s="1" t="n">
        <v>45863.59111111111</v>
      </c>
      <c r="C1385" s="1" t="n">
        <v>46045</v>
      </c>
      <c r="D1385" t="inlineStr">
        <is>
          <t>JÄMTLANDS LÄN</t>
        </is>
      </c>
      <c r="E1385" t="inlineStr">
        <is>
          <t>KROKOM</t>
        </is>
      </c>
      <c r="F1385" t="inlineStr">
        <is>
          <t>Övriga Aktiebolag</t>
        </is>
      </c>
      <c r="G1385" t="n">
        <v>12.2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HYPERLINK("https://klasma.github.io/Logging_2309/artfynd/A 36011-2025 artfynd.xlsx", "A 36011-2025")</f>
        <v/>
      </c>
      <c r="T1385">
        <f>HYPERLINK("https://klasma.github.io/Logging_2309/kartor/A 36011-2025 karta.png", "A 36011-2025")</f>
        <v/>
      </c>
      <c r="V1385">
        <f>HYPERLINK("https://klasma.github.io/Logging_2309/klagomål/A 36011-2025 FSC-klagomål.docx", "A 36011-2025")</f>
        <v/>
      </c>
      <c r="W1385">
        <f>HYPERLINK("https://klasma.github.io/Logging_2309/klagomålsmail/A 36011-2025 FSC-klagomål mail.docx", "A 36011-2025")</f>
        <v/>
      </c>
      <c r="X1385">
        <f>HYPERLINK("https://klasma.github.io/Logging_2309/tillsyn/A 36011-2025 tillsynsbegäran.docx", "A 36011-2025")</f>
        <v/>
      </c>
      <c r="Y1385">
        <f>HYPERLINK("https://klasma.github.io/Logging_2309/tillsynsmail/A 36011-2025 tillsynsbegäran mail.docx", "A 36011-2025")</f>
        <v/>
      </c>
      <c r="Z1385">
        <f>HYPERLINK("https://klasma.github.io/Logging_2309/fåglar/A 36011-2025 prioriterade fågelarter.docx", "A 36011-2025")</f>
        <v/>
      </c>
    </row>
    <row r="1386" ht="15" customHeight="1">
      <c r="A1386" t="inlineStr">
        <is>
          <t>A 63532-2021</t>
        </is>
      </c>
      <c r="B1386" s="1" t="n">
        <v>44504</v>
      </c>
      <c r="C1386" s="1" t="n">
        <v>46045</v>
      </c>
      <c r="D1386" t="inlineStr">
        <is>
          <t>JÄMTLANDS LÄN</t>
        </is>
      </c>
      <c r="E1386" t="inlineStr">
        <is>
          <t>STRÖMSUND</t>
        </is>
      </c>
      <c r="F1386" t="inlineStr">
        <is>
          <t>SCA</t>
        </is>
      </c>
      <c r="G1386" t="n">
        <v>22.3</v>
      </c>
      <c r="H1386" t="n">
        <v>0</v>
      </c>
      <c r="I1386" t="n">
        <v>0</v>
      </c>
      <c r="J1386" t="n">
        <v>1</v>
      </c>
      <c r="K1386" t="n">
        <v>1</v>
      </c>
      <c r="L1386" t="n">
        <v>0</v>
      </c>
      <c r="M1386" t="n">
        <v>0</v>
      </c>
      <c r="N1386" t="n">
        <v>0</v>
      </c>
      <c r="O1386" t="n">
        <v>2</v>
      </c>
      <c r="P1386" t="n">
        <v>1</v>
      </c>
      <c r="Q1386" t="n">
        <v>2</v>
      </c>
      <c r="R1386" s="2" t="inlineStr">
        <is>
          <t>Norsk näverlav
Gränsticka</t>
        </is>
      </c>
      <c r="S1386">
        <f>HYPERLINK("https://klasma.github.io/Logging_2313/artfynd/A 63532-2021 artfynd.xlsx", "A 63532-2021")</f>
        <v/>
      </c>
      <c r="T1386">
        <f>HYPERLINK("https://klasma.github.io/Logging_2313/kartor/A 63532-2021 karta.png", "A 63532-2021")</f>
        <v/>
      </c>
      <c r="V1386">
        <f>HYPERLINK("https://klasma.github.io/Logging_2313/klagomål/A 63532-2021 FSC-klagomål.docx", "A 63532-2021")</f>
        <v/>
      </c>
      <c r="W1386">
        <f>HYPERLINK("https://klasma.github.io/Logging_2313/klagomålsmail/A 63532-2021 FSC-klagomål mail.docx", "A 63532-2021")</f>
        <v/>
      </c>
      <c r="X1386">
        <f>HYPERLINK("https://klasma.github.io/Logging_2313/tillsyn/A 63532-2021 tillsynsbegäran.docx", "A 63532-2021")</f>
        <v/>
      </c>
      <c r="Y1386">
        <f>HYPERLINK("https://klasma.github.io/Logging_2313/tillsynsmail/A 63532-2021 tillsynsbegäran mail.docx", "A 63532-2021")</f>
        <v/>
      </c>
    </row>
    <row r="1387" ht="15" customHeight="1">
      <c r="A1387" t="inlineStr">
        <is>
          <t>A 10344-2023</t>
        </is>
      </c>
      <c r="B1387" s="1" t="n">
        <v>44987</v>
      </c>
      <c r="C1387" s="1" t="n">
        <v>46045</v>
      </c>
      <c r="D1387" t="inlineStr">
        <is>
          <t>JÄMTLANDS LÄN</t>
        </is>
      </c>
      <c r="E1387" t="inlineStr">
        <is>
          <t>HÄRJEDALEN</t>
        </is>
      </c>
      <c r="F1387" t="inlineStr">
        <is>
          <t>Holmen skog AB</t>
        </is>
      </c>
      <c r="G1387" t="n">
        <v>7.2</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HYPERLINK("https://klasma.github.io/Logging_2361/artfynd/A 10344-2023 artfynd.xlsx", "A 10344-2023")</f>
        <v/>
      </c>
      <c r="T1387">
        <f>HYPERLINK("https://klasma.github.io/Logging_2361/kartor/A 10344-2023 karta.png", "A 10344-2023")</f>
        <v/>
      </c>
      <c r="U1387">
        <f>HYPERLINK("https://klasma.github.io/Logging_2361/knärot/A 10344-2023 karta knärot.png", "A 10344-2023")</f>
        <v/>
      </c>
      <c r="V1387">
        <f>HYPERLINK("https://klasma.github.io/Logging_2361/klagomål/A 10344-2023 FSC-klagomål.docx", "A 10344-2023")</f>
        <v/>
      </c>
      <c r="W1387">
        <f>HYPERLINK("https://klasma.github.io/Logging_2361/klagomålsmail/A 10344-2023 FSC-klagomål mail.docx", "A 10344-2023")</f>
        <v/>
      </c>
      <c r="X1387">
        <f>HYPERLINK("https://klasma.github.io/Logging_2361/tillsyn/A 10344-2023 tillsynsbegäran.docx", "A 10344-2023")</f>
        <v/>
      </c>
      <c r="Y1387">
        <f>HYPERLINK("https://klasma.github.io/Logging_2361/tillsynsmail/A 10344-2023 tillsynsbegäran mail.docx", "A 10344-2023")</f>
        <v/>
      </c>
    </row>
    <row r="1388" ht="15" customHeight="1">
      <c r="A1388" t="inlineStr">
        <is>
          <t>A 32736-2023</t>
        </is>
      </c>
      <c r="B1388" s="1" t="n">
        <v>45121</v>
      </c>
      <c r="C1388" s="1" t="n">
        <v>46045</v>
      </c>
      <c r="D1388" t="inlineStr">
        <is>
          <t>JÄMTLANDS LÄN</t>
        </is>
      </c>
      <c r="E1388" t="inlineStr">
        <is>
          <t>RAGUNDA</t>
        </is>
      </c>
      <c r="F1388" t="inlineStr">
        <is>
          <t>SCA</t>
        </is>
      </c>
      <c r="G1388" t="n">
        <v>2.5</v>
      </c>
      <c r="H1388" t="n">
        <v>0</v>
      </c>
      <c r="I1388" t="n">
        <v>1</v>
      </c>
      <c r="J1388" t="n">
        <v>1</v>
      </c>
      <c r="K1388" t="n">
        <v>0</v>
      </c>
      <c r="L1388" t="n">
        <v>0</v>
      </c>
      <c r="M1388" t="n">
        <v>0</v>
      </c>
      <c r="N1388" t="n">
        <v>0</v>
      </c>
      <c r="O1388" t="n">
        <v>1</v>
      </c>
      <c r="P1388" t="n">
        <v>0</v>
      </c>
      <c r="Q1388" t="n">
        <v>2</v>
      </c>
      <c r="R1388" s="2" t="inlineStr">
        <is>
          <t>Vedtrappmossa
Stor aspticka</t>
        </is>
      </c>
      <c r="S1388">
        <f>HYPERLINK("https://klasma.github.io/Logging_2303/artfynd/A 32736-2023 artfynd.xlsx", "A 32736-2023")</f>
        <v/>
      </c>
      <c r="T1388">
        <f>HYPERLINK("https://klasma.github.io/Logging_2303/kartor/A 32736-2023 karta.png", "A 32736-2023")</f>
        <v/>
      </c>
      <c r="V1388">
        <f>HYPERLINK("https://klasma.github.io/Logging_2303/klagomål/A 32736-2023 FSC-klagomål.docx", "A 32736-2023")</f>
        <v/>
      </c>
      <c r="W1388">
        <f>HYPERLINK("https://klasma.github.io/Logging_2303/klagomålsmail/A 32736-2023 FSC-klagomål mail.docx", "A 32736-2023")</f>
        <v/>
      </c>
      <c r="X1388">
        <f>HYPERLINK("https://klasma.github.io/Logging_2303/tillsyn/A 32736-2023 tillsynsbegäran.docx", "A 32736-2023")</f>
        <v/>
      </c>
      <c r="Y1388">
        <f>HYPERLINK("https://klasma.github.io/Logging_2303/tillsynsmail/A 32736-2023 tillsynsbegäran mail.docx", "A 32736-2023")</f>
        <v/>
      </c>
    </row>
    <row r="1389" ht="15" customHeight="1">
      <c r="A1389" t="inlineStr">
        <is>
          <t>A 12734-2024</t>
        </is>
      </c>
      <c r="B1389" s="1" t="n">
        <v>45384</v>
      </c>
      <c r="C1389" s="1" t="n">
        <v>46045</v>
      </c>
      <c r="D1389" t="inlineStr">
        <is>
          <t>JÄMTLANDS LÄN</t>
        </is>
      </c>
      <c r="E1389" t="inlineStr">
        <is>
          <t>BERG</t>
        </is>
      </c>
      <c r="G1389" t="n">
        <v>7.2</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HYPERLINK("https://klasma.github.io/Logging_2326/artfynd/A 12734-2024 artfynd.xlsx", "A 12734-2024")</f>
        <v/>
      </c>
      <c r="T1389">
        <f>HYPERLINK("https://klasma.github.io/Logging_2326/kartor/A 12734-2024 karta.png", "A 12734-2024")</f>
        <v/>
      </c>
      <c r="V1389">
        <f>HYPERLINK("https://klasma.github.io/Logging_2326/klagomål/A 12734-2024 FSC-klagomål.docx", "A 12734-2024")</f>
        <v/>
      </c>
      <c r="W1389">
        <f>HYPERLINK("https://klasma.github.io/Logging_2326/klagomålsmail/A 12734-2024 FSC-klagomål mail.docx", "A 12734-2024")</f>
        <v/>
      </c>
      <c r="X1389">
        <f>HYPERLINK("https://klasma.github.io/Logging_2326/tillsyn/A 12734-2024 tillsynsbegäran.docx", "A 12734-2024")</f>
        <v/>
      </c>
      <c r="Y1389">
        <f>HYPERLINK("https://klasma.github.io/Logging_2326/tillsynsmail/A 12734-2024 tillsynsbegäran mail.docx", "A 12734-2024")</f>
        <v/>
      </c>
      <c r="Z1389">
        <f>HYPERLINK("https://klasma.github.io/Logging_2326/fåglar/A 12734-2024 prioriterade fågelarter.docx", "A 12734-2024")</f>
        <v/>
      </c>
    </row>
    <row r="1390" ht="15" customHeight="1">
      <c r="A1390" t="inlineStr">
        <is>
          <t>A 35977-2024</t>
        </is>
      </c>
      <c r="B1390" s="1" t="n">
        <v>45533.49601851852</v>
      </c>
      <c r="C1390" s="1" t="n">
        <v>46045</v>
      </c>
      <c r="D1390" t="inlineStr">
        <is>
          <t>JÄMTLANDS LÄN</t>
        </is>
      </c>
      <c r="E1390" t="inlineStr">
        <is>
          <t>ÖSTERSUND</t>
        </is>
      </c>
      <c r="G1390" t="n">
        <v>0.7</v>
      </c>
      <c r="H1390" t="n">
        <v>0</v>
      </c>
      <c r="I1390" t="n">
        <v>2</v>
      </c>
      <c r="J1390" t="n">
        <v>0</v>
      </c>
      <c r="K1390" t="n">
        <v>0</v>
      </c>
      <c r="L1390" t="n">
        <v>0</v>
      </c>
      <c r="M1390" t="n">
        <v>0</v>
      </c>
      <c r="N1390" t="n">
        <v>0</v>
      </c>
      <c r="O1390" t="n">
        <v>0</v>
      </c>
      <c r="P1390" t="n">
        <v>0</v>
      </c>
      <c r="Q1390" t="n">
        <v>2</v>
      </c>
      <c r="R1390" s="2" t="inlineStr">
        <is>
          <t>Tibast
Trådticka</t>
        </is>
      </c>
      <c r="S1390">
        <f>HYPERLINK("https://klasma.github.io/Logging_2380/artfynd/A 35977-2024 artfynd.xlsx", "A 35977-2024")</f>
        <v/>
      </c>
      <c r="T1390">
        <f>HYPERLINK("https://klasma.github.io/Logging_2380/kartor/A 35977-2024 karta.png", "A 35977-2024")</f>
        <v/>
      </c>
      <c r="V1390">
        <f>HYPERLINK("https://klasma.github.io/Logging_2380/klagomål/A 35977-2024 FSC-klagomål.docx", "A 35977-2024")</f>
        <v/>
      </c>
      <c r="W1390">
        <f>HYPERLINK("https://klasma.github.io/Logging_2380/klagomålsmail/A 35977-2024 FSC-klagomål mail.docx", "A 35977-2024")</f>
        <v/>
      </c>
      <c r="X1390">
        <f>HYPERLINK("https://klasma.github.io/Logging_2380/tillsyn/A 35977-2024 tillsynsbegäran.docx", "A 35977-2024")</f>
        <v/>
      </c>
      <c r="Y1390">
        <f>HYPERLINK("https://klasma.github.io/Logging_2380/tillsynsmail/A 35977-2024 tillsynsbegäran mail.docx", "A 35977-2024")</f>
        <v/>
      </c>
    </row>
    <row r="1391" ht="15" customHeight="1">
      <c r="A1391" t="inlineStr">
        <is>
          <t>A 26944-2024</t>
        </is>
      </c>
      <c r="B1391" s="1" t="n">
        <v>45470.96880787037</v>
      </c>
      <c r="C1391" s="1" t="n">
        <v>46045</v>
      </c>
      <c r="D1391" t="inlineStr">
        <is>
          <t>JÄMTLANDS LÄN</t>
        </is>
      </c>
      <c r="E1391" t="inlineStr">
        <is>
          <t>BERG</t>
        </is>
      </c>
      <c r="F1391" t="inlineStr">
        <is>
          <t>SCA</t>
        </is>
      </c>
      <c r="G1391" t="n">
        <v>5.7</v>
      </c>
      <c r="H1391" t="n">
        <v>0</v>
      </c>
      <c r="I1391" t="n">
        <v>0</v>
      </c>
      <c r="J1391" t="n">
        <v>2</v>
      </c>
      <c r="K1391" t="n">
        <v>0</v>
      </c>
      <c r="L1391" t="n">
        <v>0</v>
      </c>
      <c r="M1391" t="n">
        <v>0</v>
      </c>
      <c r="N1391" t="n">
        <v>0</v>
      </c>
      <c r="O1391" t="n">
        <v>2</v>
      </c>
      <c r="P1391" t="n">
        <v>0</v>
      </c>
      <c r="Q1391" t="n">
        <v>2</v>
      </c>
      <c r="R1391" s="2" t="inlineStr">
        <is>
          <t>Blå taggsvamp
Gammelgransskål</t>
        </is>
      </c>
      <c r="S1391">
        <f>HYPERLINK("https://klasma.github.io/Logging_2326/artfynd/A 26944-2024 artfynd.xlsx", "A 26944-2024")</f>
        <v/>
      </c>
      <c r="T1391">
        <f>HYPERLINK("https://klasma.github.io/Logging_2326/kartor/A 26944-2024 karta.png", "A 26944-2024")</f>
        <v/>
      </c>
      <c r="V1391">
        <f>HYPERLINK("https://klasma.github.io/Logging_2326/klagomål/A 26944-2024 FSC-klagomål.docx", "A 26944-2024")</f>
        <v/>
      </c>
      <c r="W1391">
        <f>HYPERLINK("https://klasma.github.io/Logging_2326/klagomålsmail/A 26944-2024 FSC-klagomål mail.docx", "A 26944-2024")</f>
        <v/>
      </c>
      <c r="X1391">
        <f>HYPERLINK("https://klasma.github.io/Logging_2326/tillsyn/A 26944-2024 tillsynsbegäran.docx", "A 26944-2024")</f>
        <v/>
      </c>
      <c r="Y1391">
        <f>HYPERLINK("https://klasma.github.io/Logging_2326/tillsynsmail/A 26944-2024 tillsynsbegäran mail.docx", "A 26944-2024")</f>
        <v/>
      </c>
    </row>
    <row r="1392" ht="15" customHeight="1">
      <c r="A1392" t="inlineStr">
        <is>
          <t>A 60487-2024</t>
        </is>
      </c>
      <c r="B1392" s="1" t="n">
        <v>45643.64706018518</v>
      </c>
      <c r="C1392" s="1" t="n">
        <v>46045</v>
      </c>
      <c r="D1392" t="inlineStr">
        <is>
          <t>JÄMTLANDS LÄN</t>
        </is>
      </c>
      <c r="E1392" t="inlineStr">
        <is>
          <t>KROKOM</t>
        </is>
      </c>
      <c r="G1392" t="n">
        <v>1</v>
      </c>
      <c r="H1392" t="n">
        <v>1</v>
      </c>
      <c r="I1392" t="n">
        <v>1</v>
      </c>
      <c r="J1392" t="n">
        <v>1</v>
      </c>
      <c r="K1392" t="n">
        <v>0</v>
      </c>
      <c r="L1392" t="n">
        <v>0</v>
      </c>
      <c r="M1392" t="n">
        <v>0</v>
      </c>
      <c r="N1392" t="n">
        <v>0</v>
      </c>
      <c r="O1392" t="n">
        <v>1</v>
      </c>
      <c r="P1392" t="n">
        <v>0</v>
      </c>
      <c r="Q1392" t="n">
        <v>2</v>
      </c>
      <c r="R1392" s="2" t="inlineStr">
        <is>
          <t>Garnlav
Spindelblomster</t>
        </is>
      </c>
      <c r="S1392">
        <f>HYPERLINK("https://klasma.github.io/Logging_2309/artfynd/A 60487-2024 artfynd.xlsx", "A 60487-2024")</f>
        <v/>
      </c>
      <c r="T1392">
        <f>HYPERLINK("https://klasma.github.io/Logging_2309/kartor/A 60487-2024 karta.png", "A 60487-2024")</f>
        <v/>
      </c>
      <c r="V1392">
        <f>HYPERLINK("https://klasma.github.io/Logging_2309/klagomål/A 60487-2024 FSC-klagomål.docx", "A 60487-2024")</f>
        <v/>
      </c>
      <c r="W1392">
        <f>HYPERLINK("https://klasma.github.io/Logging_2309/klagomålsmail/A 60487-2024 FSC-klagomål mail.docx", "A 60487-2024")</f>
        <v/>
      </c>
      <c r="X1392">
        <f>HYPERLINK("https://klasma.github.io/Logging_2309/tillsyn/A 60487-2024 tillsynsbegäran.docx", "A 60487-2024")</f>
        <v/>
      </c>
      <c r="Y1392">
        <f>HYPERLINK("https://klasma.github.io/Logging_2309/tillsynsmail/A 60487-2024 tillsynsbegäran mail.docx", "A 60487-2024")</f>
        <v/>
      </c>
    </row>
    <row r="1393" ht="15" customHeight="1">
      <c r="A1393" t="inlineStr">
        <is>
          <t>A 50125-2024</t>
        </is>
      </c>
      <c r="B1393" s="1" t="n">
        <v>45600.42737268518</v>
      </c>
      <c r="C1393" s="1" t="n">
        <v>46045</v>
      </c>
      <c r="D1393" t="inlineStr">
        <is>
          <t>JÄMTLANDS LÄN</t>
        </is>
      </c>
      <c r="E1393" t="inlineStr">
        <is>
          <t>ÖSTERSUND</t>
        </is>
      </c>
      <c r="F1393" t="inlineStr">
        <is>
          <t>SCA</t>
        </is>
      </c>
      <c r="G1393" t="n">
        <v>2.4</v>
      </c>
      <c r="H1393" t="n">
        <v>0</v>
      </c>
      <c r="I1393" t="n">
        <v>1</v>
      </c>
      <c r="J1393" t="n">
        <v>1</v>
      </c>
      <c r="K1393" t="n">
        <v>0</v>
      </c>
      <c r="L1393" t="n">
        <v>0</v>
      </c>
      <c r="M1393" t="n">
        <v>0</v>
      </c>
      <c r="N1393" t="n">
        <v>0</v>
      </c>
      <c r="O1393" t="n">
        <v>1</v>
      </c>
      <c r="P1393" t="n">
        <v>0</v>
      </c>
      <c r="Q1393" t="n">
        <v>2</v>
      </c>
      <c r="R1393" s="2" t="inlineStr">
        <is>
          <t>Dvärgbägarlav
Skinnlav</t>
        </is>
      </c>
      <c r="S1393">
        <f>HYPERLINK("https://klasma.github.io/Logging_2380/artfynd/A 50125-2024 artfynd.xlsx", "A 50125-2024")</f>
        <v/>
      </c>
      <c r="T1393">
        <f>HYPERLINK("https://klasma.github.io/Logging_2380/kartor/A 50125-2024 karta.png", "A 50125-2024")</f>
        <v/>
      </c>
      <c r="V1393">
        <f>HYPERLINK("https://klasma.github.io/Logging_2380/klagomål/A 50125-2024 FSC-klagomål.docx", "A 50125-2024")</f>
        <v/>
      </c>
      <c r="W1393">
        <f>HYPERLINK("https://klasma.github.io/Logging_2380/klagomålsmail/A 50125-2024 FSC-klagomål mail.docx", "A 50125-2024")</f>
        <v/>
      </c>
      <c r="X1393">
        <f>HYPERLINK("https://klasma.github.io/Logging_2380/tillsyn/A 50125-2024 tillsynsbegäran.docx", "A 50125-2024")</f>
        <v/>
      </c>
      <c r="Y1393">
        <f>HYPERLINK("https://klasma.github.io/Logging_2380/tillsynsmail/A 50125-2024 tillsynsbegäran mail.docx", "A 50125-2024")</f>
        <v/>
      </c>
    </row>
    <row r="1394" ht="15" customHeight="1">
      <c r="A1394" t="inlineStr">
        <is>
          <t>A 45021-2023</t>
        </is>
      </c>
      <c r="B1394" s="1" t="n">
        <v>45190</v>
      </c>
      <c r="C1394" s="1" t="n">
        <v>46045</v>
      </c>
      <c r="D1394" t="inlineStr">
        <is>
          <t>JÄMTLANDS LÄN</t>
        </is>
      </c>
      <c r="E1394" t="inlineStr">
        <is>
          <t>RAGUNDA</t>
        </is>
      </c>
      <c r="F1394" t="inlineStr">
        <is>
          <t>SCA</t>
        </is>
      </c>
      <c r="G1394" t="n">
        <v>1.6</v>
      </c>
      <c r="H1394" t="n">
        <v>1</v>
      </c>
      <c r="I1394" t="n">
        <v>0</v>
      </c>
      <c r="J1394" t="n">
        <v>1</v>
      </c>
      <c r="K1394" t="n">
        <v>0</v>
      </c>
      <c r="L1394" t="n">
        <v>0</v>
      </c>
      <c r="M1394" t="n">
        <v>0</v>
      </c>
      <c r="N1394" t="n">
        <v>0</v>
      </c>
      <c r="O1394" t="n">
        <v>1</v>
      </c>
      <c r="P1394" t="n">
        <v>0</v>
      </c>
      <c r="Q1394" t="n">
        <v>2</v>
      </c>
      <c r="R1394" s="2" t="inlineStr">
        <is>
          <t>Lunglav
Fläcknycklar</t>
        </is>
      </c>
      <c r="S1394">
        <f>HYPERLINK("https://klasma.github.io/Logging_2303/artfynd/A 45021-2023 artfynd.xlsx", "A 45021-2023")</f>
        <v/>
      </c>
      <c r="T1394">
        <f>HYPERLINK("https://klasma.github.io/Logging_2303/kartor/A 45021-2023 karta.png", "A 45021-2023")</f>
        <v/>
      </c>
      <c r="V1394">
        <f>HYPERLINK("https://klasma.github.io/Logging_2303/klagomål/A 45021-2023 FSC-klagomål.docx", "A 45021-2023")</f>
        <v/>
      </c>
      <c r="W1394">
        <f>HYPERLINK("https://klasma.github.io/Logging_2303/klagomålsmail/A 45021-2023 FSC-klagomål mail.docx", "A 45021-2023")</f>
        <v/>
      </c>
      <c r="X1394">
        <f>HYPERLINK("https://klasma.github.io/Logging_2303/tillsyn/A 45021-2023 tillsynsbegäran.docx", "A 45021-2023")</f>
        <v/>
      </c>
      <c r="Y1394">
        <f>HYPERLINK("https://klasma.github.io/Logging_2303/tillsynsmail/A 45021-2023 tillsynsbegäran mail.docx", "A 45021-2023")</f>
        <v/>
      </c>
    </row>
    <row r="1395" ht="15" customHeight="1">
      <c r="A1395" t="inlineStr">
        <is>
          <t>A 10529-2025</t>
        </is>
      </c>
      <c r="B1395" s="1" t="n">
        <v>45721.44840277778</v>
      </c>
      <c r="C1395" s="1" t="n">
        <v>46045</v>
      </c>
      <c r="D1395" t="inlineStr">
        <is>
          <t>JÄMTLANDS LÄN</t>
        </is>
      </c>
      <c r="E1395" t="inlineStr">
        <is>
          <t>ÖSTERSUND</t>
        </is>
      </c>
      <c r="F1395" t="inlineStr">
        <is>
          <t>SCA</t>
        </is>
      </c>
      <c r="G1395" t="n">
        <v>1.4</v>
      </c>
      <c r="H1395" t="n">
        <v>0</v>
      </c>
      <c r="I1395" t="n">
        <v>2</v>
      </c>
      <c r="J1395" t="n">
        <v>0</v>
      </c>
      <c r="K1395" t="n">
        <v>0</v>
      </c>
      <c r="L1395" t="n">
        <v>0</v>
      </c>
      <c r="M1395" t="n">
        <v>0</v>
      </c>
      <c r="N1395" t="n">
        <v>0</v>
      </c>
      <c r="O1395" t="n">
        <v>0</v>
      </c>
      <c r="P1395" t="n">
        <v>0</v>
      </c>
      <c r="Q1395" t="n">
        <v>2</v>
      </c>
      <c r="R1395" s="2" t="inlineStr">
        <is>
          <t>Gräsull
Ögonpyrola</t>
        </is>
      </c>
      <c r="S1395">
        <f>HYPERLINK("https://klasma.github.io/Logging_2380/artfynd/A 10529-2025 artfynd.xlsx", "A 10529-2025")</f>
        <v/>
      </c>
      <c r="T1395">
        <f>HYPERLINK("https://klasma.github.io/Logging_2380/kartor/A 10529-2025 karta.png", "A 10529-2025")</f>
        <v/>
      </c>
      <c r="V1395">
        <f>HYPERLINK("https://klasma.github.io/Logging_2380/klagomål/A 10529-2025 FSC-klagomål.docx", "A 10529-2025")</f>
        <v/>
      </c>
      <c r="W1395">
        <f>HYPERLINK("https://klasma.github.io/Logging_2380/klagomålsmail/A 10529-2025 FSC-klagomål mail.docx", "A 10529-2025")</f>
        <v/>
      </c>
      <c r="X1395">
        <f>HYPERLINK("https://klasma.github.io/Logging_2380/tillsyn/A 10529-2025 tillsynsbegäran.docx", "A 10529-2025")</f>
        <v/>
      </c>
      <c r="Y1395">
        <f>HYPERLINK("https://klasma.github.io/Logging_2380/tillsynsmail/A 10529-2025 tillsynsbegäran mail.docx", "A 10529-2025")</f>
        <v/>
      </c>
    </row>
    <row r="1396" ht="15" customHeight="1">
      <c r="A1396" t="inlineStr">
        <is>
          <t>A 28769-2024</t>
        </is>
      </c>
      <c r="B1396" s="1" t="n">
        <v>45478</v>
      </c>
      <c r="C1396" s="1" t="n">
        <v>46045</v>
      </c>
      <c r="D1396" t="inlineStr">
        <is>
          <t>JÄMTLANDS LÄN</t>
        </is>
      </c>
      <c r="E1396" t="inlineStr">
        <is>
          <t>BERG</t>
        </is>
      </c>
      <c r="F1396" t="inlineStr">
        <is>
          <t>Sveaskog</t>
        </is>
      </c>
      <c r="G1396" t="n">
        <v>2.2</v>
      </c>
      <c r="H1396" t="n">
        <v>1</v>
      </c>
      <c r="I1396" t="n">
        <v>0</v>
      </c>
      <c r="J1396" t="n">
        <v>1</v>
      </c>
      <c r="K1396" t="n">
        <v>0</v>
      </c>
      <c r="L1396" t="n">
        <v>0</v>
      </c>
      <c r="M1396" t="n">
        <v>0</v>
      </c>
      <c r="N1396" t="n">
        <v>0</v>
      </c>
      <c r="O1396" t="n">
        <v>1</v>
      </c>
      <c r="P1396" t="n">
        <v>0</v>
      </c>
      <c r="Q1396" t="n">
        <v>2</v>
      </c>
      <c r="R1396" s="2" t="inlineStr">
        <is>
          <t>Lunglav
Fläcknycklar</t>
        </is>
      </c>
      <c r="S1396">
        <f>HYPERLINK("https://klasma.github.io/Logging_2326/artfynd/A 28769-2024 artfynd.xlsx", "A 28769-2024")</f>
        <v/>
      </c>
      <c r="T1396">
        <f>HYPERLINK("https://klasma.github.io/Logging_2326/kartor/A 28769-2024 karta.png", "A 28769-2024")</f>
        <v/>
      </c>
      <c r="V1396">
        <f>HYPERLINK("https://klasma.github.io/Logging_2326/klagomål/A 28769-2024 FSC-klagomål.docx", "A 28769-2024")</f>
        <v/>
      </c>
      <c r="W1396">
        <f>HYPERLINK("https://klasma.github.io/Logging_2326/klagomålsmail/A 28769-2024 FSC-klagomål mail.docx", "A 28769-2024")</f>
        <v/>
      </c>
      <c r="X1396">
        <f>HYPERLINK("https://klasma.github.io/Logging_2326/tillsyn/A 28769-2024 tillsynsbegäran.docx", "A 28769-2024")</f>
        <v/>
      </c>
      <c r="Y1396">
        <f>HYPERLINK("https://klasma.github.io/Logging_2326/tillsynsmail/A 28769-2024 tillsynsbegäran mail.docx", "A 28769-2024")</f>
        <v/>
      </c>
    </row>
    <row r="1397" ht="15" customHeight="1">
      <c r="A1397" t="inlineStr">
        <is>
          <t>A 60750-2024</t>
        </is>
      </c>
      <c r="B1397" s="1" t="n">
        <v>45644.56555555556</v>
      </c>
      <c r="C1397" s="1" t="n">
        <v>46045</v>
      </c>
      <c r="D1397" t="inlineStr">
        <is>
          <t>JÄMTLANDS LÄN</t>
        </is>
      </c>
      <c r="E1397" t="inlineStr">
        <is>
          <t>HÄRJEDALEN</t>
        </is>
      </c>
      <c r="F1397" t="inlineStr">
        <is>
          <t>Sveaskog</t>
        </is>
      </c>
      <c r="G1397" t="n">
        <v>1.6</v>
      </c>
      <c r="H1397" t="n">
        <v>1</v>
      </c>
      <c r="I1397" t="n">
        <v>0</v>
      </c>
      <c r="J1397" t="n">
        <v>1</v>
      </c>
      <c r="K1397" t="n">
        <v>1</v>
      </c>
      <c r="L1397" t="n">
        <v>0</v>
      </c>
      <c r="M1397" t="n">
        <v>0</v>
      </c>
      <c r="N1397" t="n">
        <v>0</v>
      </c>
      <c r="O1397" t="n">
        <v>2</v>
      </c>
      <c r="P1397" t="n">
        <v>1</v>
      </c>
      <c r="Q1397" t="n">
        <v>2</v>
      </c>
      <c r="R1397" s="2" t="inlineStr">
        <is>
          <t>Knärot
Kolflarnlav</t>
        </is>
      </c>
      <c r="S1397">
        <f>HYPERLINK("https://klasma.github.io/Logging_2361/artfynd/A 60750-2024 artfynd.xlsx", "A 60750-2024")</f>
        <v/>
      </c>
      <c r="T1397">
        <f>HYPERLINK("https://klasma.github.io/Logging_2361/kartor/A 60750-2024 karta.png", "A 60750-2024")</f>
        <v/>
      </c>
      <c r="U1397">
        <f>HYPERLINK("https://klasma.github.io/Logging_2361/knärot/A 60750-2024 karta knärot.png", "A 60750-2024")</f>
        <v/>
      </c>
      <c r="V1397">
        <f>HYPERLINK("https://klasma.github.io/Logging_2361/klagomål/A 60750-2024 FSC-klagomål.docx", "A 60750-2024")</f>
        <v/>
      </c>
      <c r="W1397">
        <f>HYPERLINK("https://klasma.github.io/Logging_2361/klagomålsmail/A 60750-2024 FSC-klagomål mail.docx", "A 60750-2024")</f>
        <v/>
      </c>
      <c r="X1397">
        <f>HYPERLINK("https://klasma.github.io/Logging_2361/tillsyn/A 60750-2024 tillsynsbegäran.docx", "A 60750-2024")</f>
        <v/>
      </c>
      <c r="Y1397">
        <f>HYPERLINK("https://klasma.github.io/Logging_2361/tillsynsmail/A 60750-2024 tillsynsbegäran mail.docx", "A 60750-2024")</f>
        <v/>
      </c>
    </row>
    <row r="1398" ht="15" customHeight="1">
      <c r="A1398" t="inlineStr">
        <is>
          <t>A 40401-2023</t>
        </is>
      </c>
      <c r="B1398" s="1" t="n">
        <v>45169</v>
      </c>
      <c r="C1398" s="1" t="n">
        <v>46045</v>
      </c>
      <c r="D1398" t="inlineStr">
        <is>
          <t>JÄMTLANDS LÄN</t>
        </is>
      </c>
      <c r="E1398" t="inlineStr">
        <is>
          <t>BRÄCKE</t>
        </is>
      </c>
      <c r="F1398" t="inlineStr">
        <is>
          <t>SCA</t>
        </is>
      </c>
      <c r="G1398" t="n">
        <v>2</v>
      </c>
      <c r="H1398" t="n">
        <v>0</v>
      </c>
      <c r="I1398" t="n">
        <v>1</v>
      </c>
      <c r="J1398" t="n">
        <v>1</v>
      </c>
      <c r="K1398" t="n">
        <v>0</v>
      </c>
      <c r="L1398" t="n">
        <v>0</v>
      </c>
      <c r="M1398" t="n">
        <v>0</v>
      </c>
      <c r="N1398" t="n">
        <v>0</v>
      </c>
      <c r="O1398" t="n">
        <v>1</v>
      </c>
      <c r="P1398" t="n">
        <v>0</v>
      </c>
      <c r="Q1398" t="n">
        <v>2</v>
      </c>
      <c r="R1398" s="2" t="inlineStr">
        <is>
          <t>Ullticka
Dropptaggsvamp</t>
        </is>
      </c>
      <c r="S1398">
        <f>HYPERLINK("https://klasma.github.io/Logging_2305/artfynd/A 40401-2023 artfynd.xlsx", "A 40401-2023")</f>
        <v/>
      </c>
      <c r="T1398">
        <f>HYPERLINK("https://klasma.github.io/Logging_2305/kartor/A 40401-2023 karta.png", "A 40401-2023")</f>
        <v/>
      </c>
      <c r="V1398">
        <f>HYPERLINK("https://klasma.github.io/Logging_2305/klagomål/A 40401-2023 FSC-klagomål.docx", "A 40401-2023")</f>
        <v/>
      </c>
      <c r="W1398">
        <f>HYPERLINK("https://klasma.github.io/Logging_2305/klagomålsmail/A 40401-2023 FSC-klagomål mail.docx", "A 40401-2023")</f>
        <v/>
      </c>
      <c r="X1398">
        <f>HYPERLINK("https://klasma.github.io/Logging_2305/tillsyn/A 40401-2023 tillsynsbegäran.docx", "A 40401-2023")</f>
        <v/>
      </c>
      <c r="Y1398">
        <f>HYPERLINK("https://klasma.github.io/Logging_2305/tillsynsmail/A 40401-2023 tillsynsbegäran mail.docx", "A 40401-2023")</f>
        <v/>
      </c>
    </row>
    <row r="1399" ht="15" customHeight="1">
      <c r="A1399" t="inlineStr">
        <is>
          <t>A 44409-2023</t>
        </is>
      </c>
      <c r="B1399" s="1" t="n">
        <v>45188</v>
      </c>
      <c r="C1399" s="1" t="n">
        <v>46045</v>
      </c>
      <c r="D1399" t="inlineStr">
        <is>
          <t>JÄMTLANDS LÄN</t>
        </is>
      </c>
      <c r="E1399" t="inlineStr">
        <is>
          <t>RAGUNDA</t>
        </is>
      </c>
      <c r="F1399" t="inlineStr">
        <is>
          <t>SCA</t>
        </is>
      </c>
      <c r="G1399" t="n">
        <v>2.5</v>
      </c>
      <c r="H1399" t="n">
        <v>0</v>
      </c>
      <c r="I1399" t="n">
        <v>1</v>
      </c>
      <c r="J1399" t="n">
        <v>1</v>
      </c>
      <c r="K1399" t="n">
        <v>0</v>
      </c>
      <c r="L1399" t="n">
        <v>0</v>
      </c>
      <c r="M1399" t="n">
        <v>0</v>
      </c>
      <c r="N1399" t="n">
        <v>0</v>
      </c>
      <c r="O1399" t="n">
        <v>1</v>
      </c>
      <c r="P1399" t="n">
        <v>0</v>
      </c>
      <c r="Q1399" t="n">
        <v>2</v>
      </c>
      <c r="R1399" s="2" t="inlineStr">
        <is>
          <t>Garnlav
Norrlandslav</t>
        </is>
      </c>
      <c r="S1399">
        <f>HYPERLINK("https://klasma.github.io/Logging_2303/artfynd/A 44409-2023 artfynd.xlsx", "A 44409-2023")</f>
        <v/>
      </c>
      <c r="T1399">
        <f>HYPERLINK("https://klasma.github.io/Logging_2303/kartor/A 44409-2023 karta.png", "A 44409-2023")</f>
        <v/>
      </c>
      <c r="V1399">
        <f>HYPERLINK("https://klasma.github.io/Logging_2303/klagomål/A 44409-2023 FSC-klagomål.docx", "A 44409-2023")</f>
        <v/>
      </c>
      <c r="W1399">
        <f>HYPERLINK("https://klasma.github.io/Logging_2303/klagomålsmail/A 44409-2023 FSC-klagomål mail.docx", "A 44409-2023")</f>
        <v/>
      </c>
      <c r="X1399">
        <f>HYPERLINK("https://klasma.github.io/Logging_2303/tillsyn/A 44409-2023 tillsynsbegäran.docx", "A 44409-2023")</f>
        <v/>
      </c>
      <c r="Y1399">
        <f>HYPERLINK("https://klasma.github.io/Logging_2303/tillsynsmail/A 44409-2023 tillsynsbegäran mail.docx", "A 44409-2023")</f>
        <v/>
      </c>
    </row>
    <row r="1400" ht="15" customHeight="1">
      <c r="A1400" t="inlineStr">
        <is>
          <t>A 17733-2022</t>
        </is>
      </c>
      <c r="B1400" s="1" t="n">
        <v>44680</v>
      </c>
      <c r="C1400" s="1" t="n">
        <v>46045</v>
      </c>
      <c r="D1400" t="inlineStr">
        <is>
          <t>JÄMTLANDS LÄN</t>
        </is>
      </c>
      <c r="E1400" t="inlineStr">
        <is>
          <t>RAGUNDA</t>
        </is>
      </c>
      <c r="G1400" t="n">
        <v>2.2</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HYPERLINK("https://klasma.github.io/Logging_2303/artfynd/A 17733-2022 artfynd.xlsx", "A 17733-2022")</f>
        <v/>
      </c>
      <c r="T1400">
        <f>HYPERLINK("https://klasma.github.io/Logging_2303/kartor/A 17733-2022 karta.png", "A 17733-2022")</f>
        <v/>
      </c>
      <c r="V1400">
        <f>HYPERLINK("https://klasma.github.io/Logging_2303/klagomål/A 17733-2022 FSC-klagomål.docx", "A 17733-2022")</f>
        <v/>
      </c>
      <c r="W1400">
        <f>HYPERLINK("https://klasma.github.io/Logging_2303/klagomålsmail/A 17733-2022 FSC-klagomål mail.docx", "A 17733-2022")</f>
        <v/>
      </c>
      <c r="X1400">
        <f>HYPERLINK("https://klasma.github.io/Logging_2303/tillsyn/A 17733-2022 tillsynsbegäran.docx", "A 17733-2022")</f>
        <v/>
      </c>
      <c r="Y1400">
        <f>HYPERLINK("https://klasma.github.io/Logging_2303/tillsynsmail/A 17733-2022 tillsynsbegäran mail.docx", "A 17733-2022")</f>
        <v/>
      </c>
    </row>
    <row r="1401" ht="15" customHeight="1">
      <c r="A1401" t="inlineStr">
        <is>
          <t>A 40236-2024</t>
        </is>
      </c>
      <c r="B1401" s="1" t="n">
        <v>45554</v>
      </c>
      <c r="C1401" s="1" t="n">
        <v>46045</v>
      </c>
      <c r="D1401" t="inlineStr">
        <is>
          <t>JÄMTLANDS LÄN</t>
        </is>
      </c>
      <c r="E1401" t="inlineStr">
        <is>
          <t>KROKOM</t>
        </is>
      </c>
      <c r="F1401" t="inlineStr">
        <is>
          <t>Övriga Aktiebolag</t>
        </is>
      </c>
      <c r="G1401" t="n">
        <v>6.2</v>
      </c>
      <c r="H1401" t="n">
        <v>2</v>
      </c>
      <c r="I1401" t="n">
        <v>0</v>
      </c>
      <c r="J1401" t="n">
        <v>1</v>
      </c>
      <c r="K1401" t="n">
        <v>1</v>
      </c>
      <c r="L1401" t="n">
        <v>0</v>
      </c>
      <c r="M1401" t="n">
        <v>0</v>
      </c>
      <c r="N1401" t="n">
        <v>0</v>
      </c>
      <c r="O1401" t="n">
        <v>2</v>
      </c>
      <c r="P1401" t="n">
        <v>1</v>
      </c>
      <c r="Q1401" t="n">
        <v>2</v>
      </c>
      <c r="R1401" s="2" t="inlineStr">
        <is>
          <t>Knärot
Tretåig hackspett</t>
        </is>
      </c>
      <c r="S1401">
        <f>HYPERLINK("https://klasma.github.io/Logging_2309/artfynd/A 40236-2024 artfynd.xlsx", "A 40236-2024")</f>
        <v/>
      </c>
      <c r="T1401">
        <f>HYPERLINK("https://klasma.github.io/Logging_2309/kartor/A 40236-2024 karta.png", "A 40236-2024")</f>
        <v/>
      </c>
      <c r="U1401">
        <f>HYPERLINK("https://klasma.github.io/Logging_2309/knärot/A 40236-2024 karta knärot.png", "A 40236-2024")</f>
        <v/>
      </c>
      <c r="V1401">
        <f>HYPERLINK("https://klasma.github.io/Logging_2309/klagomål/A 40236-2024 FSC-klagomål.docx", "A 40236-2024")</f>
        <v/>
      </c>
      <c r="W1401">
        <f>HYPERLINK("https://klasma.github.io/Logging_2309/klagomålsmail/A 40236-2024 FSC-klagomål mail.docx", "A 40236-2024")</f>
        <v/>
      </c>
      <c r="X1401">
        <f>HYPERLINK("https://klasma.github.io/Logging_2309/tillsyn/A 40236-2024 tillsynsbegäran.docx", "A 40236-2024")</f>
        <v/>
      </c>
      <c r="Y1401">
        <f>HYPERLINK("https://klasma.github.io/Logging_2309/tillsynsmail/A 40236-2024 tillsynsbegäran mail.docx", "A 40236-2024")</f>
        <v/>
      </c>
      <c r="Z1401">
        <f>HYPERLINK("https://klasma.github.io/Logging_2309/fåglar/A 40236-2024 prioriterade fågelarter.docx", "A 40236-2024")</f>
        <v/>
      </c>
    </row>
    <row r="1402" ht="15" customHeight="1">
      <c r="A1402" t="inlineStr">
        <is>
          <t>A 40826-2023</t>
        </is>
      </c>
      <c r="B1402" s="1" t="n">
        <v>45171</v>
      </c>
      <c r="C1402" s="1" t="n">
        <v>46045</v>
      </c>
      <c r="D1402" t="inlineStr">
        <is>
          <t>JÄMTLANDS LÄN</t>
        </is>
      </c>
      <c r="E1402" t="inlineStr">
        <is>
          <t>RAGUNDA</t>
        </is>
      </c>
      <c r="F1402" t="inlineStr">
        <is>
          <t>SCA</t>
        </is>
      </c>
      <c r="G1402" t="n">
        <v>4.5</v>
      </c>
      <c r="H1402" t="n">
        <v>0</v>
      </c>
      <c r="I1402" t="n">
        <v>1</v>
      </c>
      <c r="J1402" t="n">
        <v>1</v>
      </c>
      <c r="K1402" t="n">
        <v>0</v>
      </c>
      <c r="L1402" t="n">
        <v>0</v>
      </c>
      <c r="M1402" t="n">
        <v>0</v>
      </c>
      <c r="N1402" t="n">
        <v>0</v>
      </c>
      <c r="O1402" t="n">
        <v>1</v>
      </c>
      <c r="P1402" t="n">
        <v>0</v>
      </c>
      <c r="Q1402" t="n">
        <v>2</v>
      </c>
      <c r="R1402" s="2" t="inlineStr">
        <is>
          <t>Lunglav
Stuplav</t>
        </is>
      </c>
      <c r="S1402">
        <f>HYPERLINK("https://klasma.github.io/Logging_2303/artfynd/A 40826-2023 artfynd.xlsx", "A 40826-2023")</f>
        <v/>
      </c>
      <c r="T1402">
        <f>HYPERLINK("https://klasma.github.io/Logging_2303/kartor/A 40826-2023 karta.png", "A 40826-2023")</f>
        <v/>
      </c>
      <c r="V1402">
        <f>HYPERLINK("https://klasma.github.io/Logging_2303/klagomål/A 40826-2023 FSC-klagomål.docx", "A 40826-2023")</f>
        <v/>
      </c>
      <c r="W1402">
        <f>HYPERLINK("https://klasma.github.io/Logging_2303/klagomålsmail/A 40826-2023 FSC-klagomål mail.docx", "A 40826-2023")</f>
        <v/>
      </c>
      <c r="X1402">
        <f>HYPERLINK("https://klasma.github.io/Logging_2303/tillsyn/A 40826-2023 tillsynsbegäran.docx", "A 40826-2023")</f>
        <v/>
      </c>
      <c r="Y1402">
        <f>HYPERLINK("https://klasma.github.io/Logging_2303/tillsynsmail/A 40826-2023 tillsynsbegäran mail.docx", "A 40826-2023")</f>
        <v/>
      </c>
    </row>
    <row r="1403" ht="15" customHeight="1">
      <c r="A1403" t="inlineStr">
        <is>
          <t>A 50497-2023</t>
        </is>
      </c>
      <c r="B1403" s="1" t="n">
        <v>45216</v>
      </c>
      <c r="C1403" s="1" t="n">
        <v>46045</v>
      </c>
      <c r="D1403" t="inlineStr">
        <is>
          <t>JÄMTLANDS LÄN</t>
        </is>
      </c>
      <c r="E1403" t="inlineStr">
        <is>
          <t>BRÄCKE</t>
        </is>
      </c>
      <c r="F1403" t="inlineStr">
        <is>
          <t>SCA</t>
        </is>
      </c>
      <c r="G1403" t="n">
        <v>2.5</v>
      </c>
      <c r="H1403" t="n">
        <v>1</v>
      </c>
      <c r="I1403" t="n">
        <v>1</v>
      </c>
      <c r="J1403" t="n">
        <v>0</v>
      </c>
      <c r="K1403" t="n">
        <v>1</v>
      </c>
      <c r="L1403" t="n">
        <v>0</v>
      </c>
      <c r="M1403" t="n">
        <v>0</v>
      </c>
      <c r="N1403" t="n">
        <v>0</v>
      </c>
      <c r="O1403" t="n">
        <v>1</v>
      </c>
      <c r="P1403" t="n">
        <v>1</v>
      </c>
      <c r="Q1403" t="n">
        <v>2</v>
      </c>
      <c r="R1403" s="2" t="inlineStr">
        <is>
          <t>Knärot
Skuggblåslav</t>
        </is>
      </c>
      <c r="S1403">
        <f>HYPERLINK("https://klasma.github.io/Logging_2305/artfynd/A 50497-2023 artfynd.xlsx", "A 50497-2023")</f>
        <v/>
      </c>
      <c r="T1403">
        <f>HYPERLINK("https://klasma.github.io/Logging_2305/kartor/A 50497-2023 karta.png", "A 50497-2023")</f>
        <v/>
      </c>
      <c r="U1403">
        <f>HYPERLINK("https://klasma.github.io/Logging_2305/knärot/A 50497-2023 karta knärot.png", "A 50497-2023")</f>
        <v/>
      </c>
      <c r="V1403">
        <f>HYPERLINK("https://klasma.github.io/Logging_2305/klagomål/A 50497-2023 FSC-klagomål.docx", "A 50497-2023")</f>
        <v/>
      </c>
      <c r="W1403">
        <f>HYPERLINK("https://klasma.github.io/Logging_2305/klagomålsmail/A 50497-2023 FSC-klagomål mail.docx", "A 50497-2023")</f>
        <v/>
      </c>
      <c r="X1403">
        <f>HYPERLINK("https://klasma.github.io/Logging_2305/tillsyn/A 50497-2023 tillsynsbegäran.docx", "A 50497-2023")</f>
        <v/>
      </c>
      <c r="Y1403">
        <f>HYPERLINK("https://klasma.github.io/Logging_2305/tillsynsmail/A 50497-2023 tillsynsbegäran mail.docx", "A 50497-2023")</f>
        <v/>
      </c>
    </row>
    <row r="1404" ht="15" customHeight="1">
      <c r="A1404" t="inlineStr">
        <is>
          <t>A 56006-2023</t>
        </is>
      </c>
      <c r="B1404" s="1" t="n">
        <v>45233</v>
      </c>
      <c r="C1404" s="1" t="n">
        <v>46045</v>
      </c>
      <c r="D1404" t="inlineStr">
        <is>
          <t>JÄMTLANDS LÄN</t>
        </is>
      </c>
      <c r="E1404" t="inlineStr">
        <is>
          <t>ÖSTERSUND</t>
        </is>
      </c>
      <c r="G1404" t="n">
        <v>2.3</v>
      </c>
      <c r="H1404" t="n">
        <v>0</v>
      </c>
      <c r="I1404" t="n">
        <v>2</v>
      </c>
      <c r="J1404" t="n">
        <v>0</v>
      </c>
      <c r="K1404" t="n">
        <v>0</v>
      </c>
      <c r="L1404" t="n">
        <v>0</v>
      </c>
      <c r="M1404" t="n">
        <v>0</v>
      </c>
      <c r="N1404" t="n">
        <v>0</v>
      </c>
      <c r="O1404" t="n">
        <v>0</v>
      </c>
      <c r="P1404" t="n">
        <v>0</v>
      </c>
      <c r="Q1404" t="n">
        <v>2</v>
      </c>
      <c r="R1404" s="2" t="inlineStr">
        <is>
          <t>Korallblylav
Skinnlav</t>
        </is>
      </c>
      <c r="S1404">
        <f>HYPERLINK("https://klasma.github.io/Logging_2380/artfynd/A 56006-2023 artfynd.xlsx", "A 56006-2023")</f>
        <v/>
      </c>
      <c r="T1404">
        <f>HYPERLINK("https://klasma.github.io/Logging_2380/kartor/A 56006-2023 karta.png", "A 56006-2023")</f>
        <v/>
      </c>
      <c r="V1404">
        <f>HYPERLINK("https://klasma.github.io/Logging_2380/klagomål/A 56006-2023 FSC-klagomål.docx", "A 56006-2023")</f>
        <v/>
      </c>
      <c r="W1404">
        <f>HYPERLINK("https://klasma.github.io/Logging_2380/klagomålsmail/A 56006-2023 FSC-klagomål mail.docx", "A 56006-2023")</f>
        <v/>
      </c>
      <c r="X1404">
        <f>HYPERLINK("https://klasma.github.io/Logging_2380/tillsyn/A 56006-2023 tillsynsbegäran.docx", "A 56006-2023")</f>
        <v/>
      </c>
      <c r="Y1404">
        <f>HYPERLINK("https://klasma.github.io/Logging_2380/tillsynsmail/A 56006-2023 tillsynsbegäran mail.docx", "A 56006-2023")</f>
        <v/>
      </c>
    </row>
    <row r="1405" ht="15" customHeight="1">
      <c r="A1405" t="inlineStr">
        <is>
          <t>A 51822-2023</t>
        </is>
      </c>
      <c r="B1405" s="1" t="n">
        <v>45222</v>
      </c>
      <c r="C1405" s="1" t="n">
        <v>46045</v>
      </c>
      <c r="D1405" t="inlineStr">
        <is>
          <t>JÄMTLANDS LÄN</t>
        </is>
      </c>
      <c r="E1405" t="inlineStr">
        <is>
          <t>BRÄCKE</t>
        </is>
      </c>
      <c r="F1405" t="inlineStr">
        <is>
          <t>SCA</t>
        </is>
      </c>
      <c r="G1405" t="n">
        <v>3</v>
      </c>
      <c r="H1405" t="n">
        <v>0</v>
      </c>
      <c r="I1405" t="n">
        <v>0</v>
      </c>
      <c r="J1405" t="n">
        <v>2</v>
      </c>
      <c r="K1405" t="n">
        <v>0</v>
      </c>
      <c r="L1405" t="n">
        <v>0</v>
      </c>
      <c r="M1405" t="n">
        <v>0</v>
      </c>
      <c r="N1405" t="n">
        <v>0</v>
      </c>
      <c r="O1405" t="n">
        <v>2</v>
      </c>
      <c r="P1405" t="n">
        <v>0</v>
      </c>
      <c r="Q1405" t="n">
        <v>2</v>
      </c>
      <c r="R1405" s="2" t="inlineStr">
        <is>
          <t>Harticka
Ullticka</t>
        </is>
      </c>
      <c r="S1405">
        <f>HYPERLINK("https://klasma.github.io/Logging_2305/artfynd/A 51822-2023 artfynd.xlsx", "A 51822-2023")</f>
        <v/>
      </c>
      <c r="T1405">
        <f>HYPERLINK("https://klasma.github.io/Logging_2305/kartor/A 51822-2023 karta.png", "A 51822-2023")</f>
        <v/>
      </c>
      <c r="V1405">
        <f>HYPERLINK("https://klasma.github.io/Logging_2305/klagomål/A 51822-2023 FSC-klagomål.docx", "A 51822-2023")</f>
        <v/>
      </c>
      <c r="W1405">
        <f>HYPERLINK("https://klasma.github.io/Logging_2305/klagomålsmail/A 51822-2023 FSC-klagomål mail.docx", "A 51822-2023")</f>
        <v/>
      </c>
      <c r="X1405">
        <f>HYPERLINK("https://klasma.github.io/Logging_2305/tillsyn/A 51822-2023 tillsynsbegäran.docx", "A 51822-2023")</f>
        <v/>
      </c>
      <c r="Y1405">
        <f>HYPERLINK("https://klasma.github.io/Logging_2305/tillsynsmail/A 51822-2023 tillsynsbegäran mail.docx", "A 51822-2023")</f>
        <v/>
      </c>
    </row>
    <row r="1406" ht="15" customHeight="1">
      <c r="A1406" t="inlineStr">
        <is>
          <t>A 18032-2022</t>
        </is>
      </c>
      <c r="B1406" s="1" t="n">
        <v>44683</v>
      </c>
      <c r="C1406" s="1" t="n">
        <v>46045</v>
      </c>
      <c r="D1406" t="inlineStr">
        <is>
          <t>JÄMTLANDS LÄN</t>
        </is>
      </c>
      <c r="E1406" t="inlineStr">
        <is>
          <t>KROKOM</t>
        </is>
      </c>
      <c r="G1406" t="n">
        <v>15.8</v>
      </c>
      <c r="H1406" t="n">
        <v>1</v>
      </c>
      <c r="I1406" t="n">
        <v>0</v>
      </c>
      <c r="J1406" t="n">
        <v>1</v>
      </c>
      <c r="K1406" t="n">
        <v>0</v>
      </c>
      <c r="L1406" t="n">
        <v>0</v>
      </c>
      <c r="M1406" t="n">
        <v>0</v>
      </c>
      <c r="N1406" t="n">
        <v>0</v>
      </c>
      <c r="O1406" t="n">
        <v>1</v>
      </c>
      <c r="P1406" t="n">
        <v>0</v>
      </c>
      <c r="Q1406" t="n">
        <v>2</v>
      </c>
      <c r="R1406" s="2" t="inlineStr">
        <is>
          <t>Brunklöver
Brudsporre</t>
        </is>
      </c>
      <c r="S1406">
        <f>HYPERLINK("https://klasma.github.io/Logging_2309/artfynd/A 18032-2022 artfynd.xlsx", "A 18032-2022")</f>
        <v/>
      </c>
      <c r="T1406">
        <f>HYPERLINK("https://klasma.github.io/Logging_2309/kartor/A 18032-2022 karta.png", "A 18032-2022")</f>
        <v/>
      </c>
      <c r="V1406">
        <f>HYPERLINK("https://klasma.github.io/Logging_2309/klagomål/A 18032-2022 FSC-klagomål.docx", "A 18032-2022")</f>
        <v/>
      </c>
      <c r="W1406">
        <f>HYPERLINK("https://klasma.github.io/Logging_2309/klagomålsmail/A 18032-2022 FSC-klagomål mail.docx", "A 18032-2022")</f>
        <v/>
      </c>
      <c r="X1406">
        <f>HYPERLINK("https://klasma.github.io/Logging_2309/tillsyn/A 18032-2022 tillsynsbegäran.docx", "A 18032-2022")</f>
        <v/>
      </c>
      <c r="Y1406">
        <f>HYPERLINK("https://klasma.github.io/Logging_2309/tillsynsmail/A 18032-2022 tillsynsbegäran mail.docx", "A 18032-2022")</f>
        <v/>
      </c>
    </row>
    <row r="1407" ht="15" customHeight="1">
      <c r="A1407" t="inlineStr">
        <is>
          <t>A 18851-2022</t>
        </is>
      </c>
      <c r="B1407" s="1" t="n">
        <v>44690</v>
      </c>
      <c r="C1407" s="1" t="n">
        <v>46045</v>
      </c>
      <c r="D1407" t="inlineStr">
        <is>
          <t>JÄMTLANDS LÄN</t>
        </is>
      </c>
      <c r="E1407" t="inlineStr">
        <is>
          <t>ÅRE</t>
        </is>
      </c>
      <c r="G1407" t="n">
        <v>10.4</v>
      </c>
      <c r="H1407" t="n">
        <v>1</v>
      </c>
      <c r="I1407" t="n">
        <v>0</v>
      </c>
      <c r="J1407" t="n">
        <v>1</v>
      </c>
      <c r="K1407" t="n">
        <v>0</v>
      </c>
      <c r="L1407" t="n">
        <v>0</v>
      </c>
      <c r="M1407" t="n">
        <v>0</v>
      </c>
      <c r="N1407" t="n">
        <v>0</v>
      </c>
      <c r="O1407" t="n">
        <v>1</v>
      </c>
      <c r="P1407" t="n">
        <v>0</v>
      </c>
      <c r="Q1407" t="n">
        <v>2</v>
      </c>
      <c r="R1407" s="2" t="inlineStr">
        <is>
          <t>Garnlav
Orre</t>
        </is>
      </c>
      <c r="S1407">
        <f>HYPERLINK("https://klasma.github.io/Logging_2321/artfynd/A 18851-2022 artfynd.xlsx", "A 18851-2022")</f>
        <v/>
      </c>
      <c r="T1407">
        <f>HYPERLINK("https://klasma.github.io/Logging_2321/kartor/A 18851-2022 karta.png", "A 18851-2022")</f>
        <v/>
      </c>
      <c r="V1407">
        <f>HYPERLINK("https://klasma.github.io/Logging_2321/klagomål/A 18851-2022 FSC-klagomål.docx", "A 18851-2022")</f>
        <v/>
      </c>
      <c r="W1407">
        <f>HYPERLINK("https://klasma.github.io/Logging_2321/klagomålsmail/A 18851-2022 FSC-klagomål mail.docx", "A 18851-2022")</f>
        <v/>
      </c>
      <c r="X1407">
        <f>HYPERLINK("https://klasma.github.io/Logging_2321/tillsyn/A 18851-2022 tillsynsbegäran.docx", "A 18851-2022")</f>
        <v/>
      </c>
      <c r="Y1407">
        <f>HYPERLINK("https://klasma.github.io/Logging_2321/tillsynsmail/A 18851-2022 tillsynsbegäran mail.docx", "A 18851-2022")</f>
        <v/>
      </c>
      <c r="Z1407">
        <f>HYPERLINK("https://klasma.github.io/Logging_2321/fåglar/A 18851-2022 prioriterade fågelarter.docx", "A 18851-2022")</f>
        <v/>
      </c>
    </row>
    <row r="1408" ht="15" customHeight="1">
      <c r="A1408" t="inlineStr">
        <is>
          <t>A 54051-2023</t>
        </is>
      </c>
      <c r="B1408" s="1" t="n">
        <v>45231</v>
      </c>
      <c r="C1408" s="1" t="n">
        <v>46045</v>
      </c>
      <c r="D1408" t="inlineStr">
        <is>
          <t>JÄMTLANDS LÄN</t>
        </is>
      </c>
      <c r="E1408" t="inlineStr">
        <is>
          <t>BRÄCKE</t>
        </is>
      </c>
      <c r="F1408" t="inlineStr">
        <is>
          <t>SCA</t>
        </is>
      </c>
      <c r="G1408" t="n">
        <v>2.4</v>
      </c>
      <c r="H1408" t="n">
        <v>0</v>
      </c>
      <c r="I1408" t="n">
        <v>0</v>
      </c>
      <c r="J1408" t="n">
        <v>2</v>
      </c>
      <c r="K1408" t="n">
        <v>0</v>
      </c>
      <c r="L1408" t="n">
        <v>0</v>
      </c>
      <c r="M1408" t="n">
        <v>0</v>
      </c>
      <c r="N1408" t="n">
        <v>0</v>
      </c>
      <c r="O1408" t="n">
        <v>2</v>
      </c>
      <c r="P1408" t="n">
        <v>0</v>
      </c>
      <c r="Q1408" t="n">
        <v>2</v>
      </c>
      <c r="R1408" s="2" t="inlineStr">
        <is>
          <t>Blå taggsvamp
Skrovlig taggsvamp</t>
        </is>
      </c>
      <c r="S1408">
        <f>HYPERLINK("https://klasma.github.io/Logging_2305/artfynd/A 54051-2023 artfynd.xlsx", "A 54051-2023")</f>
        <v/>
      </c>
      <c r="T1408">
        <f>HYPERLINK("https://klasma.github.io/Logging_2305/kartor/A 54051-2023 karta.png", "A 54051-2023")</f>
        <v/>
      </c>
      <c r="V1408">
        <f>HYPERLINK("https://klasma.github.io/Logging_2305/klagomål/A 54051-2023 FSC-klagomål.docx", "A 54051-2023")</f>
        <v/>
      </c>
      <c r="W1408">
        <f>HYPERLINK("https://klasma.github.io/Logging_2305/klagomålsmail/A 54051-2023 FSC-klagomål mail.docx", "A 54051-2023")</f>
        <v/>
      </c>
      <c r="X1408">
        <f>HYPERLINK("https://klasma.github.io/Logging_2305/tillsyn/A 54051-2023 tillsynsbegäran.docx", "A 54051-2023")</f>
        <v/>
      </c>
      <c r="Y1408">
        <f>HYPERLINK("https://klasma.github.io/Logging_2305/tillsynsmail/A 54051-2023 tillsynsbegäran mail.docx", "A 54051-2023")</f>
        <v/>
      </c>
    </row>
    <row r="1409" ht="15" customHeight="1">
      <c r="A1409" t="inlineStr">
        <is>
          <t>A 45191-2023</t>
        </is>
      </c>
      <c r="B1409" s="1" t="n">
        <v>45191</v>
      </c>
      <c r="C1409" s="1" t="n">
        <v>46045</v>
      </c>
      <c r="D1409" t="inlineStr">
        <is>
          <t>JÄMTLANDS LÄN</t>
        </is>
      </c>
      <c r="E1409" t="inlineStr">
        <is>
          <t>HÄRJEDALEN</t>
        </is>
      </c>
      <c r="F1409" t="inlineStr">
        <is>
          <t>Sveaskog</t>
        </is>
      </c>
      <c r="G1409" t="n">
        <v>2.4</v>
      </c>
      <c r="H1409" t="n">
        <v>0</v>
      </c>
      <c r="I1409" t="n">
        <v>0</v>
      </c>
      <c r="J1409" t="n">
        <v>2</v>
      </c>
      <c r="K1409" t="n">
        <v>0</v>
      </c>
      <c r="L1409" t="n">
        <v>0</v>
      </c>
      <c r="M1409" t="n">
        <v>0</v>
      </c>
      <c r="N1409" t="n">
        <v>0</v>
      </c>
      <c r="O1409" t="n">
        <v>2</v>
      </c>
      <c r="P1409" t="n">
        <v>0</v>
      </c>
      <c r="Q1409" t="n">
        <v>2</v>
      </c>
      <c r="R1409" s="2" t="inlineStr">
        <is>
          <t>Kolflarnlav
Mörk kolflarnlav</t>
        </is>
      </c>
      <c r="S1409">
        <f>HYPERLINK("https://klasma.github.io/Logging_2361/artfynd/A 45191-2023 artfynd.xlsx", "A 45191-2023")</f>
        <v/>
      </c>
      <c r="T1409">
        <f>HYPERLINK("https://klasma.github.io/Logging_2361/kartor/A 45191-2023 karta.png", "A 45191-2023")</f>
        <v/>
      </c>
      <c r="V1409">
        <f>HYPERLINK("https://klasma.github.io/Logging_2361/klagomål/A 45191-2023 FSC-klagomål.docx", "A 45191-2023")</f>
        <v/>
      </c>
      <c r="W1409">
        <f>HYPERLINK("https://klasma.github.io/Logging_2361/klagomålsmail/A 45191-2023 FSC-klagomål mail.docx", "A 45191-2023")</f>
        <v/>
      </c>
      <c r="X1409">
        <f>HYPERLINK("https://klasma.github.io/Logging_2361/tillsyn/A 45191-2023 tillsynsbegäran.docx", "A 45191-2023")</f>
        <v/>
      </c>
      <c r="Y1409">
        <f>HYPERLINK("https://klasma.github.io/Logging_2361/tillsynsmail/A 45191-2023 tillsynsbegäran mail.docx", "A 45191-2023")</f>
        <v/>
      </c>
    </row>
    <row r="1410" ht="15" customHeight="1">
      <c r="A1410" t="inlineStr">
        <is>
          <t>A 16513-2022</t>
        </is>
      </c>
      <c r="B1410" s="1" t="n">
        <v>44671.92664351852</v>
      </c>
      <c r="C1410" s="1" t="n">
        <v>46045</v>
      </c>
      <c r="D1410" t="inlineStr">
        <is>
          <t>JÄMTLANDS LÄN</t>
        </is>
      </c>
      <c r="E1410" t="inlineStr">
        <is>
          <t>STRÖMSUND</t>
        </is>
      </c>
      <c r="G1410" t="n">
        <v>13.1</v>
      </c>
      <c r="H1410" t="n">
        <v>0</v>
      </c>
      <c r="I1410" t="n">
        <v>0</v>
      </c>
      <c r="J1410" t="n">
        <v>2</v>
      </c>
      <c r="K1410" t="n">
        <v>0</v>
      </c>
      <c r="L1410" t="n">
        <v>0</v>
      </c>
      <c r="M1410" t="n">
        <v>0</v>
      </c>
      <c r="N1410" t="n">
        <v>0</v>
      </c>
      <c r="O1410" t="n">
        <v>2</v>
      </c>
      <c r="P1410" t="n">
        <v>0</v>
      </c>
      <c r="Q1410" t="n">
        <v>2</v>
      </c>
      <c r="R1410" s="2" t="inlineStr">
        <is>
          <t>Garnlav
Lunglav</t>
        </is>
      </c>
      <c r="S1410">
        <f>HYPERLINK("https://klasma.github.io/Logging_2313/artfynd/A 16513-2022 artfynd.xlsx", "A 16513-2022")</f>
        <v/>
      </c>
      <c r="T1410">
        <f>HYPERLINK("https://klasma.github.io/Logging_2313/kartor/A 16513-2022 karta.png", "A 16513-2022")</f>
        <v/>
      </c>
      <c r="V1410">
        <f>HYPERLINK("https://klasma.github.io/Logging_2313/klagomål/A 16513-2022 FSC-klagomål.docx", "A 16513-2022")</f>
        <v/>
      </c>
      <c r="W1410">
        <f>HYPERLINK("https://klasma.github.io/Logging_2313/klagomålsmail/A 16513-2022 FSC-klagomål mail.docx", "A 16513-2022")</f>
        <v/>
      </c>
      <c r="X1410">
        <f>HYPERLINK("https://klasma.github.io/Logging_2313/tillsyn/A 16513-2022 tillsynsbegäran.docx", "A 16513-2022")</f>
        <v/>
      </c>
      <c r="Y1410">
        <f>HYPERLINK("https://klasma.github.io/Logging_2313/tillsynsmail/A 16513-2022 tillsynsbegäran mail.docx", "A 16513-2022")</f>
        <v/>
      </c>
    </row>
    <row r="1411" ht="15" customHeight="1">
      <c r="A1411" t="inlineStr">
        <is>
          <t>A 47498-2023</t>
        </is>
      </c>
      <c r="B1411" s="1" t="n">
        <v>45202</v>
      </c>
      <c r="C1411" s="1" t="n">
        <v>46045</v>
      </c>
      <c r="D1411" t="inlineStr">
        <is>
          <t>JÄMTLANDS LÄN</t>
        </is>
      </c>
      <c r="E1411" t="inlineStr">
        <is>
          <t>BRÄCKE</t>
        </is>
      </c>
      <c r="F1411" t="inlineStr">
        <is>
          <t>SCA</t>
        </is>
      </c>
      <c r="G1411" t="n">
        <v>6.1</v>
      </c>
      <c r="H1411" t="n">
        <v>1</v>
      </c>
      <c r="I1411" t="n">
        <v>1</v>
      </c>
      <c r="J1411" t="n">
        <v>0</v>
      </c>
      <c r="K1411" t="n">
        <v>1</v>
      </c>
      <c r="L1411" t="n">
        <v>0</v>
      </c>
      <c r="M1411" t="n">
        <v>0</v>
      </c>
      <c r="N1411" t="n">
        <v>0</v>
      </c>
      <c r="O1411" t="n">
        <v>1</v>
      </c>
      <c r="P1411" t="n">
        <v>1</v>
      </c>
      <c r="Q1411" t="n">
        <v>2</v>
      </c>
      <c r="R1411" s="2" t="inlineStr">
        <is>
          <t>Bandnate
Guckusko</t>
        </is>
      </c>
      <c r="S1411">
        <f>HYPERLINK("https://klasma.github.io/Logging_2305/artfynd/A 47498-2023 artfynd.xlsx", "A 47498-2023")</f>
        <v/>
      </c>
      <c r="T1411">
        <f>HYPERLINK("https://klasma.github.io/Logging_2305/kartor/A 47498-2023 karta.png", "A 47498-2023")</f>
        <v/>
      </c>
      <c r="V1411">
        <f>HYPERLINK("https://klasma.github.io/Logging_2305/klagomål/A 47498-2023 FSC-klagomål.docx", "A 47498-2023")</f>
        <v/>
      </c>
      <c r="W1411">
        <f>HYPERLINK("https://klasma.github.io/Logging_2305/klagomålsmail/A 47498-2023 FSC-klagomål mail.docx", "A 47498-2023")</f>
        <v/>
      </c>
      <c r="X1411">
        <f>HYPERLINK("https://klasma.github.io/Logging_2305/tillsyn/A 47498-2023 tillsynsbegäran.docx", "A 47498-2023")</f>
        <v/>
      </c>
      <c r="Y1411">
        <f>HYPERLINK("https://klasma.github.io/Logging_2305/tillsynsmail/A 47498-2023 tillsynsbegäran mail.docx", "A 47498-2023")</f>
        <v/>
      </c>
    </row>
    <row r="1412" ht="15" customHeight="1">
      <c r="A1412" t="inlineStr">
        <is>
          <t>A 45035-2023</t>
        </is>
      </c>
      <c r="B1412" s="1" t="n">
        <v>45191</v>
      </c>
      <c r="C1412" s="1" t="n">
        <v>46045</v>
      </c>
      <c r="D1412" t="inlineStr">
        <is>
          <t>JÄMTLANDS LÄN</t>
        </is>
      </c>
      <c r="E1412" t="inlineStr">
        <is>
          <t>RAGUNDA</t>
        </is>
      </c>
      <c r="G1412" t="n">
        <v>2.9</v>
      </c>
      <c r="H1412" t="n">
        <v>0</v>
      </c>
      <c r="I1412" t="n">
        <v>1</v>
      </c>
      <c r="J1412" t="n">
        <v>1</v>
      </c>
      <c r="K1412" t="n">
        <v>0</v>
      </c>
      <c r="L1412" t="n">
        <v>0</v>
      </c>
      <c r="M1412" t="n">
        <v>0</v>
      </c>
      <c r="N1412" t="n">
        <v>0</v>
      </c>
      <c r="O1412" t="n">
        <v>1</v>
      </c>
      <c r="P1412" t="n">
        <v>0</v>
      </c>
      <c r="Q1412" t="n">
        <v>2</v>
      </c>
      <c r="R1412" s="2" t="inlineStr">
        <is>
          <t>Lunglav
Korallblylav</t>
        </is>
      </c>
      <c r="S1412">
        <f>HYPERLINK("https://klasma.github.io/Logging_2303/artfynd/A 45035-2023 artfynd.xlsx", "A 45035-2023")</f>
        <v/>
      </c>
      <c r="T1412">
        <f>HYPERLINK("https://klasma.github.io/Logging_2303/kartor/A 45035-2023 karta.png", "A 45035-2023")</f>
        <v/>
      </c>
      <c r="V1412">
        <f>HYPERLINK("https://klasma.github.io/Logging_2303/klagomål/A 45035-2023 FSC-klagomål.docx", "A 45035-2023")</f>
        <v/>
      </c>
      <c r="W1412">
        <f>HYPERLINK("https://klasma.github.io/Logging_2303/klagomålsmail/A 45035-2023 FSC-klagomål mail.docx", "A 45035-2023")</f>
        <v/>
      </c>
      <c r="X1412">
        <f>HYPERLINK("https://klasma.github.io/Logging_2303/tillsyn/A 45035-2023 tillsynsbegäran.docx", "A 45035-2023")</f>
        <v/>
      </c>
      <c r="Y1412">
        <f>HYPERLINK("https://klasma.github.io/Logging_2303/tillsynsmail/A 45035-2023 tillsynsbegäran mail.docx", "A 45035-2023")</f>
        <v/>
      </c>
    </row>
    <row r="1413" ht="15" customHeight="1">
      <c r="A1413" t="inlineStr">
        <is>
          <t>A 56285-2023</t>
        </is>
      </c>
      <c r="B1413" s="1" t="n">
        <v>45241</v>
      </c>
      <c r="C1413" s="1" t="n">
        <v>46045</v>
      </c>
      <c r="D1413" t="inlineStr">
        <is>
          <t>JÄMTLANDS LÄN</t>
        </is>
      </c>
      <c r="E1413" t="inlineStr">
        <is>
          <t>RAGUNDA</t>
        </is>
      </c>
      <c r="F1413" t="inlineStr">
        <is>
          <t>SCA</t>
        </is>
      </c>
      <c r="G1413" t="n">
        <v>5.5</v>
      </c>
      <c r="H1413" t="n">
        <v>0</v>
      </c>
      <c r="I1413" t="n">
        <v>0</v>
      </c>
      <c r="J1413" t="n">
        <v>2</v>
      </c>
      <c r="K1413" t="n">
        <v>0</v>
      </c>
      <c r="L1413" t="n">
        <v>0</v>
      </c>
      <c r="M1413" t="n">
        <v>0</v>
      </c>
      <c r="N1413" t="n">
        <v>0</v>
      </c>
      <c r="O1413" t="n">
        <v>2</v>
      </c>
      <c r="P1413" t="n">
        <v>0</v>
      </c>
      <c r="Q1413" t="n">
        <v>2</v>
      </c>
      <c r="R1413" s="2" t="inlineStr">
        <is>
          <t>Lunglav
Skrovellav</t>
        </is>
      </c>
      <c r="S1413">
        <f>HYPERLINK("https://klasma.github.io/Logging_2303/artfynd/A 56285-2023 artfynd.xlsx", "A 56285-2023")</f>
        <v/>
      </c>
      <c r="T1413">
        <f>HYPERLINK("https://klasma.github.io/Logging_2303/kartor/A 56285-2023 karta.png", "A 56285-2023")</f>
        <v/>
      </c>
      <c r="V1413">
        <f>HYPERLINK("https://klasma.github.io/Logging_2303/klagomål/A 56285-2023 FSC-klagomål.docx", "A 56285-2023")</f>
        <v/>
      </c>
      <c r="W1413">
        <f>HYPERLINK("https://klasma.github.io/Logging_2303/klagomålsmail/A 56285-2023 FSC-klagomål mail.docx", "A 56285-2023")</f>
        <v/>
      </c>
      <c r="X1413">
        <f>HYPERLINK("https://klasma.github.io/Logging_2303/tillsyn/A 56285-2023 tillsynsbegäran.docx", "A 56285-2023")</f>
        <v/>
      </c>
      <c r="Y1413">
        <f>HYPERLINK("https://klasma.github.io/Logging_2303/tillsynsmail/A 56285-2023 tillsynsbegäran mail.docx", "A 56285-2023")</f>
        <v/>
      </c>
    </row>
    <row r="1414" ht="15" customHeight="1">
      <c r="A1414" t="inlineStr">
        <is>
          <t>A 19728-2025</t>
        </is>
      </c>
      <c r="B1414" s="1" t="n">
        <v>45771.36548611111</v>
      </c>
      <c r="C1414" s="1" t="n">
        <v>46045</v>
      </c>
      <c r="D1414" t="inlineStr">
        <is>
          <t>JÄMTLANDS LÄN</t>
        </is>
      </c>
      <c r="E1414" t="inlineStr">
        <is>
          <t>RAGUNDA</t>
        </is>
      </c>
      <c r="F1414" t="inlineStr">
        <is>
          <t>SCA</t>
        </is>
      </c>
      <c r="G1414" t="n">
        <v>6.2</v>
      </c>
      <c r="H1414" t="n">
        <v>1</v>
      </c>
      <c r="I1414" t="n">
        <v>0</v>
      </c>
      <c r="J1414" t="n">
        <v>2</v>
      </c>
      <c r="K1414" t="n">
        <v>0</v>
      </c>
      <c r="L1414" t="n">
        <v>0</v>
      </c>
      <c r="M1414" t="n">
        <v>0</v>
      </c>
      <c r="N1414" t="n">
        <v>0</v>
      </c>
      <c r="O1414" t="n">
        <v>2</v>
      </c>
      <c r="P1414" t="n">
        <v>0</v>
      </c>
      <c r="Q1414" t="n">
        <v>2</v>
      </c>
      <c r="R1414" s="2" t="inlineStr">
        <is>
          <t>Stjärntagging
Tretåig hackspett</t>
        </is>
      </c>
      <c r="S1414">
        <f>HYPERLINK("https://klasma.github.io/Logging_2303/artfynd/A 19728-2025 artfynd.xlsx", "A 19728-2025")</f>
        <v/>
      </c>
      <c r="T1414">
        <f>HYPERLINK("https://klasma.github.io/Logging_2303/kartor/A 19728-2025 karta.png", "A 19728-2025")</f>
        <v/>
      </c>
      <c r="V1414">
        <f>HYPERLINK("https://klasma.github.io/Logging_2303/klagomål/A 19728-2025 FSC-klagomål.docx", "A 19728-2025")</f>
        <v/>
      </c>
      <c r="W1414">
        <f>HYPERLINK("https://klasma.github.io/Logging_2303/klagomålsmail/A 19728-2025 FSC-klagomål mail.docx", "A 19728-2025")</f>
        <v/>
      </c>
      <c r="X1414">
        <f>HYPERLINK("https://klasma.github.io/Logging_2303/tillsyn/A 19728-2025 tillsynsbegäran.docx", "A 19728-2025")</f>
        <v/>
      </c>
      <c r="Y1414">
        <f>HYPERLINK("https://klasma.github.io/Logging_2303/tillsynsmail/A 19728-2025 tillsynsbegäran mail.docx", "A 19728-2025")</f>
        <v/>
      </c>
      <c r="Z1414">
        <f>HYPERLINK("https://klasma.github.io/Logging_2303/fåglar/A 19728-2025 prioriterade fågelarter.docx", "A 19728-2025")</f>
        <v/>
      </c>
    </row>
    <row r="1415" ht="15" customHeight="1">
      <c r="A1415" t="inlineStr">
        <is>
          <t>A 20035-2025</t>
        </is>
      </c>
      <c r="B1415" s="1" t="n">
        <v>45772.36488425926</v>
      </c>
      <c r="C1415" s="1" t="n">
        <v>46045</v>
      </c>
      <c r="D1415" t="inlineStr">
        <is>
          <t>JÄMTLANDS LÄN</t>
        </is>
      </c>
      <c r="E1415" t="inlineStr">
        <is>
          <t>HÄRJEDALEN</t>
        </is>
      </c>
      <c r="F1415" t="inlineStr">
        <is>
          <t>Sveaskog</t>
        </is>
      </c>
      <c r="G1415" t="n">
        <v>11.7</v>
      </c>
      <c r="H1415" t="n">
        <v>1</v>
      </c>
      <c r="I1415" t="n">
        <v>0</v>
      </c>
      <c r="J1415" t="n">
        <v>2</v>
      </c>
      <c r="K1415" t="n">
        <v>0</v>
      </c>
      <c r="L1415" t="n">
        <v>0</v>
      </c>
      <c r="M1415" t="n">
        <v>0</v>
      </c>
      <c r="N1415" t="n">
        <v>0</v>
      </c>
      <c r="O1415" t="n">
        <v>2</v>
      </c>
      <c r="P1415" t="n">
        <v>0</v>
      </c>
      <c r="Q1415" t="n">
        <v>2</v>
      </c>
      <c r="R1415" s="2" t="inlineStr">
        <is>
          <t>Lunglav
Talltita</t>
        </is>
      </c>
      <c r="S1415">
        <f>HYPERLINK("https://klasma.github.io/Logging_2361/artfynd/A 20035-2025 artfynd.xlsx", "A 20035-2025")</f>
        <v/>
      </c>
      <c r="T1415">
        <f>HYPERLINK("https://klasma.github.io/Logging_2361/kartor/A 20035-2025 karta.png", "A 20035-2025")</f>
        <v/>
      </c>
      <c r="V1415">
        <f>HYPERLINK("https://klasma.github.io/Logging_2361/klagomål/A 20035-2025 FSC-klagomål.docx", "A 20035-2025")</f>
        <v/>
      </c>
      <c r="W1415">
        <f>HYPERLINK("https://klasma.github.io/Logging_2361/klagomålsmail/A 20035-2025 FSC-klagomål mail.docx", "A 20035-2025")</f>
        <v/>
      </c>
      <c r="X1415">
        <f>HYPERLINK("https://klasma.github.io/Logging_2361/tillsyn/A 20035-2025 tillsynsbegäran.docx", "A 20035-2025")</f>
        <v/>
      </c>
      <c r="Y1415">
        <f>HYPERLINK("https://klasma.github.io/Logging_2361/tillsynsmail/A 20035-2025 tillsynsbegäran mail.docx", "A 20035-2025")</f>
        <v/>
      </c>
      <c r="Z1415">
        <f>HYPERLINK("https://klasma.github.io/Logging_2361/fåglar/A 20035-2025 prioriterade fågelarter.docx", "A 20035-2025")</f>
        <v/>
      </c>
    </row>
    <row r="1416" ht="15" customHeight="1">
      <c r="A1416" t="inlineStr">
        <is>
          <t>A 3913-2022</t>
        </is>
      </c>
      <c r="B1416" s="1" t="n">
        <v>44587</v>
      </c>
      <c r="C1416" s="1" t="n">
        <v>46045</v>
      </c>
      <c r="D1416" t="inlineStr">
        <is>
          <t>JÄMTLANDS LÄN</t>
        </is>
      </c>
      <c r="E1416" t="inlineStr">
        <is>
          <t>BRÄCKE</t>
        </is>
      </c>
      <c r="G1416" t="n">
        <v>0.9</v>
      </c>
      <c r="H1416" t="n">
        <v>1</v>
      </c>
      <c r="I1416" t="n">
        <v>1</v>
      </c>
      <c r="J1416" t="n">
        <v>1</v>
      </c>
      <c r="K1416" t="n">
        <v>0</v>
      </c>
      <c r="L1416" t="n">
        <v>0</v>
      </c>
      <c r="M1416" t="n">
        <v>0</v>
      </c>
      <c r="N1416" t="n">
        <v>0</v>
      </c>
      <c r="O1416" t="n">
        <v>1</v>
      </c>
      <c r="P1416" t="n">
        <v>0</v>
      </c>
      <c r="Q1416" t="n">
        <v>2</v>
      </c>
      <c r="R1416" s="2" t="inlineStr">
        <is>
          <t>Skogsfru
Ögonpyrola</t>
        </is>
      </c>
      <c r="S1416">
        <f>HYPERLINK("https://klasma.github.io/Logging_2305/artfynd/A 3913-2022 artfynd.xlsx", "A 3913-2022")</f>
        <v/>
      </c>
      <c r="T1416">
        <f>HYPERLINK("https://klasma.github.io/Logging_2305/kartor/A 3913-2022 karta.png", "A 3913-2022")</f>
        <v/>
      </c>
      <c r="U1416">
        <f>HYPERLINK("https://klasma.github.io/Logging_2305/knärot/A 3913-2022 karta knärot.png", "A 3913-2022")</f>
        <v/>
      </c>
      <c r="V1416">
        <f>HYPERLINK("https://klasma.github.io/Logging_2305/klagomål/A 3913-2022 FSC-klagomål.docx", "A 3913-2022")</f>
        <v/>
      </c>
      <c r="W1416">
        <f>HYPERLINK("https://klasma.github.io/Logging_2305/klagomålsmail/A 3913-2022 FSC-klagomål mail.docx", "A 3913-2022")</f>
        <v/>
      </c>
      <c r="X1416">
        <f>HYPERLINK("https://klasma.github.io/Logging_2305/tillsyn/A 3913-2022 tillsynsbegäran.docx", "A 3913-2022")</f>
        <v/>
      </c>
      <c r="Y1416">
        <f>HYPERLINK("https://klasma.github.io/Logging_2305/tillsynsmail/A 3913-2022 tillsynsbegäran mail.docx", "A 3913-2022")</f>
        <v/>
      </c>
    </row>
    <row r="1417" ht="15" customHeight="1">
      <c r="A1417" t="inlineStr">
        <is>
          <t>A 21816-2024</t>
        </is>
      </c>
      <c r="B1417" s="1" t="n">
        <v>45442</v>
      </c>
      <c r="C1417" s="1" t="n">
        <v>46045</v>
      </c>
      <c r="D1417" t="inlineStr">
        <is>
          <t>JÄMTLANDS LÄN</t>
        </is>
      </c>
      <c r="E1417" t="inlineStr">
        <is>
          <t>HÄRJEDALEN</t>
        </is>
      </c>
      <c r="F1417" t="inlineStr">
        <is>
          <t>Bergvik skog väst AB</t>
        </is>
      </c>
      <c r="G1417" t="n">
        <v>2.9</v>
      </c>
      <c r="H1417" t="n">
        <v>0</v>
      </c>
      <c r="I1417" t="n">
        <v>0</v>
      </c>
      <c r="J1417" t="n">
        <v>1</v>
      </c>
      <c r="K1417" t="n">
        <v>1</v>
      </c>
      <c r="L1417" t="n">
        <v>0</v>
      </c>
      <c r="M1417" t="n">
        <v>0</v>
      </c>
      <c r="N1417" t="n">
        <v>0</v>
      </c>
      <c r="O1417" t="n">
        <v>2</v>
      </c>
      <c r="P1417" t="n">
        <v>1</v>
      </c>
      <c r="Q1417" t="n">
        <v>2</v>
      </c>
      <c r="R1417" s="2" t="inlineStr">
        <is>
          <t>Gräddporing
Blanksvart spiklav</t>
        </is>
      </c>
      <c r="S1417">
        <f>HYPERLINK("https://klasma.github.io/Logging_2361/artfynd/A 21816-2024 artfynd.xlsx", "A 21816-2024")</f>
        <v/>
      </c>
      <c r="T1417">
        <f>HYPERLINK("https://klasma.github.io/Logging_2361/kartor/A 21816-2024 karta.png", "A 21816-2024")</f>
        <v/>
      </c>
      <c r="V1417">
        <f>HYPERLINK("https://klasma.github.io/Logging_2361/klagomål/A 21816-2024 FSC-klagomål.docx", "A 21816-2024")</f>
        <v/>
      </c>
      <c r="W1417">
        <f>HYPERLINK("https://klasma.github.io/Logging_2361/klagomålsmail/A 21816-2024 FSC-klagomål mail.docx", "A 21816-2024")</f>
        <v/>
      </c>
      <c r="X1417">
        <f>HYPERLINK("https://klasma.github.io/Logging_2361/tillsyn/A 21816-2024 tillsynsbegäran.docx", "A 21816-2024")</f>
        <v/>
      </c>
      <c r="Y1417">
        <f>HYPERLINK("https://klasma.github.io/Logging_2361/tillsynsmail/A 21816-2024 tillsynsbegäran mail.docx", "A 21816-2024")</f>
        <v/>
      </c>
    </row>
    <row r="1418" ht="15" customHeight="1">
      <c r="A1418" t="inlineStr">
        <is>
          <t>A 44413-2023</t>
        </is>
      </c>
      <c r="B1418" s="1" t="n">
        <v>45188</v>
      </c>
      <c r="C1418" s="1" t="n">
        <v>46045</v>
      </c>
      <c r="D1418" t="inlineStr">
        <is>
          <t>JÄMTLANDS LÄN</t>
        </is>
      </c>
      <c r="E1418" t="inlineStr">
        <is>
          <t>STRÖMSUND</t>
        </is>
      </c>
      <c r="F1418" t="inlineStr">
        <is>
          <t>SCA</t>
        </is>
      </c>
      <c r="G1418" t="n">
        <v>2</v>
      </c>
      <c r="H1418" t="n">
        <v>1</v>
      </c>
      <c r="I1418" t="n">
        <v>1</v>
      </c>
      <c r="J1418" t="n">
        <v>1</v>
      </c>
      <c r="K1418" t="n">
        <v>0</v>
      </c>
      <c r="L1418" t="n">
        <v>0</v>
      </c>
      <c r="M1418" t="n">
        <v>0</v>
      </c>
      <c r="N1418" t="n">
        <v>0</v>
      </c>
      <c r="O1418" t="n">
        <v>1</v>
      </c>
      <c r="P1418" t="n">
        <v>0</v>
      </c>
      <c r="Q1418" t="n">
        <v>2</v>
      </c>
      <c r="R1418" s="2" t="inlineStr">
        <is>
          <t>Gammelgransskål
Korallrot</t>
        </is>
      </c>
      <c r="S1418">
        <f>HYPERLINK("https://klasma.github.io/Logging_2313/artfynd/A 44413-2023 artfynd.xlsx", "A 44413-2023")</f>
        <v/>
      </c>
      <c r="T1418">
        <f>HYPERLINK("https://klasma.github.io/Logging_2313/kartor/A 44413-2023 karta.png", "A 44413-2023")</f>
        <v/>
      </c>
      <c r="V1418">
        <f>HYPERLINK("https://klasma.github.io/Logging_2313/klagomål/A 44413-2023 FSC-klagomål.docx", "A 44413-2023")</f>
        <v/>
      </c>
      <c r="W1418">
        <f>HYPERLINK("https://klasma.github.io/Logging_2313/klagomålsmail/A 44413-2023 FSC-klagomål mail.docx", "A 44413-2023")</f>
        <v/>
      </c>
      <c r="X1418">
        <f>HYPERLINK("https://klasma.github.io/Logging_2313/tillsyn/A 44413-2023 tillsynsbegäran.docx", "A 44413-2023")</f>
        <v/>
      </c>
      <c r="Y1418">
        <f>HYPERLINK("https://klasma.github.io/Logging_2313/tillsynsmail/A 44413-2023 tillsynsbegäran mail.docx", "A 44413-2023")</f>
        <v/>
      </c>
    </row>
    <row r="1419" ht="15" customHeight="1">
      <c r="A1419" t="inlineStr">
        <is>
          <t>A 34715-2024</t>
        </is>
      </c>
      <c r="B1419" s="1" t="n">
        <v>45526.56393518519</v>
      </c>
      <c r="C1419" s="1" t="n">
        <v>46045</v>
      </c>
      <c r="D1419" t="inlineStr">
        <is>
          <t>JÄMTLANDS LÄN</t>
        </is>
      </c>
      <c r="E1419" t="inlineStr">
        <is>
          <t>RAGUNDA</t>
        </is>
      </c>
      <c r="F1419" t="inlineStr">
        <is>
          <t>SCA</t>
        </is>
      </c>
      <c r="G1419" t="n">
        <v>3</v>
      </c>
      <c r="H1419" t="n">
        <v>0</v>
      </c>
      <c r="I1419" t="n">
        <v>1</v>
      </c>
      <c r="J1419" t="n">
        <v>1</v>
      </c>
      <c r="K1419" t="n">
        <v>0</v>
      </c>
      <c r="L1419" t="n">
        <v>0</v>
      </c>
      <c r="M1419" t="n">
        <v>0</v>
      </c>
      <c r="N1419" t="n">
        <v>0</v>
      </c>
      <c r="O1419" t="n">
        <v>1</v>
      </c>
      <c r="P1419" t="n">
        <v>0</v>
      </c>
      <c r="Q1419" t="n">
        <v>2</v>
      </c>
      <c r="R1419" s="2" t="inlineStr">
        <is>
          <t>Garnlav
Vedticka</t>
        </is>
      </c>
      <c r="S1419">
        <f>HYPERLINK("https://klasma.github.io/Logging_2303/artfynd/A 34715-2024 artfynd.xlsx", "A 34715-2024")</f>
        <v/>
      </c>
      <c r="T1419">
        <f>HYPERLINK("https://klasma.github.io/Logging_2303/kartor/A 34715-2024 karta.png", "A 34715-2024")</f>
        <v/>
      </c>
      <c r="V1419">
        <f>HYPERLINK("https://klasma.github.io/Logging_2303/klagomål/A 34715-2024 FSC-klagomål.docx", "A 34715-2024")</f>
        <v/>
      </c>
      <c r="W1419">
        <f>HYPERLINK("https://klasma.github.io/Logging_2303/klagomålsmail/A 34715-2024 FSC-klagomål mail.docx", "A 34715-2024")</f>
        <v/>
      </c>
      <c r="X1419">
        <f>HYPERLINK("https://klasma.github.io/Logging_2303/tillsyn/A 34715-2024 tillsynsbegäran.docx", "A 34715-2024")</f>
        <v/>
      </c>
      <c r="Y1419">
        <f>HYPERLINK("https://klasma.github.io/Logging_2303/tillsynsmail/A 34715-2024 tillsynsbegäran mail.docx", "A 34715-2024")</f>
        <v/>
      </c>
    </row>
    <row r="1420" ht="15" customHeight="1">
      <c r="A1420" t="inlineStr">
        <is>
          <t>A 50328-2022</t>
        </is>
      </c>
      <c r="B1420" s="1" t="n">
        <v>44865</v>
      </c>
      <c r="C1420" s="1" t="n">
        <v>46045</v>
      </c>
      <c r="D1420" t="inlineStr">
        <is>
          <t>JÄMTLANDS LÄN</t>
        </is>
      </c>
      <c r="E1420" t="inlineStr">
        <is>
          <t>BRÄCKE</t>
        </is>
      </c>
      <c r="F1420" t="inlineStr">
        <is>
          <t>SCA</t>
        </is>
      </c>
      <c r="G1420" t="n">
        <v>1.6</v>
      </c>
      <c r="H1420" t="n">
        <v>0</v>
      </c>
      <c r="I1420" t="n">
        <v>0</v>
      </c>
      <c r="J1420" t="n">
        <v>2</v>
      </c>
      <c r="K1420" t="n">
        <v>0</v>
      </c>
      <c r="L1420" t="n">
        <v>0</v>
      </c>
      <c r="M1420" t="n">
        <v>0</v>
      </c>
      <c r="N1420" t="n">
        <v>0</v>
      </c>
      <c r="O1420" t="n">
        <v>2</v>
      </c>
      <c r="P1420" t="n">
        <v>0</v>
      </c>
      <c r="Q1420" t="n">
        <v>2</v>
      </c>
      <c r="R1420" s="2" t="inlineStr">
        <is>
          <t>Ullticka
Vitgrynig nållav</t>
        </is>
      </c>
      <c r="S1420">
        <f>HYPERLINK("https://klasma.github.io/Logging_2305/artfynd/A 50328-2022 artfynd.xlsx", "A 50328-2022")</f>
        <v/>
      </c>
      <c r="T1420">
        <f>HYPERLINK("https://klasma.github.io/Logging_2305/kartor/A 50328-2022 karta.png", "A 50328-2022")</f>
        <v/>
      </c>
      <c r="V1420">
        <f>HYPERLINK("https://klasma.github.io/Logging_2305/klagomål/A 50328-2022 FSC-klagomål.docx", "A 50328-2022")</f>
        <v/>
      </c>
      <c r="W1420">
        <f>HYPERLINK("https://klasma.github.io/Logging_2305/klagomålsmail/A 50328-2022 FSC-klagomål mail.docx", "A 50328-2022")</f>
        <v/>
      </c>
      <c r="X1420">
        <f>HYPERLINK("https://klasma.github.io/Logging_2305/tillsyn/A 50328-2022 tillsynsbegäran.docx", "A 50328-2022")</f>
        <v/>
      </c>
      <c r="Y1420">
        <f>HYPERLINK("https://klasma.github.io/Logging_2305/tillsynsmail/A 50328-2022 tillsynsbegäran mail.docx", "A 50328-2022")</f>
        <v/>
      </c>
    </row>
    <row r="1421" ht="15" customHeight="1">
      <c r="A1421" t="inlineStr">
        <is>
          <t>A 47348-2022</t>
        </is>
      </c>
      <c r="B1421" s="1" t="n">
        <v>44853</v>
      </c>
      <c r="C1421" s="1" t="n">
        <v>46045</v>
      </c>
      <c r="D1421" t="inlineStr">
        <is>
          <t>JÄMTLANDS LÄN</t>
        </is>
      </c>
      <c r="E1421" t="inlineStr">
        <is>
          <t>HÄRJEDALEN</t>
        </is>
      </c>
      <c r="G1421" t="n">
        <v>2</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HYPERLINK("https://klasma.github.io/Logging_2361/artfynd/A 47348-2022 artfynd.xlsx", "A 47348-2022")</f>
        <v/>
      </c>
      <c r="T1421">
        <f>HYPERLINK("https://klasma.github.io/Logging_2361/kartor/A 47348-2022 karta.png", "A 47348-2022")</f>
        <v/>
      </c>
      <c r="U1421">
        <f>HYPERLINK("https://klasma.github.io/Logging_2361/knärot/A 47348-2022 karta knärot.png", "A 47348-2022")</f>
        <v/>
      </c>
      <c r="V1421">
        <f>HYPERLINK("https://klasma.github.io/Logging_2361/klagomål/A 47348-2022 FSC-klagomål.docx", "A 47348-2022")</f>
        <v/>
      </c>
      <c r="W1421">
        <f>HYPERLINK("https://klasma.github.io/Logging_2361/klagomålsmail/A 47348-2022 FSC-klagomål mail.docx", "A 47348-2022")</f>
        <v/>
      </c>
      <c r="X1421">
        <f>HYPERLINK("https://klasma.github.io/Logging_2361/tillsyn/A 47348-2022 tillsynsbegäran.docx", "A 47348-2022")</f>
        <v/>
      </c>
      <c r="Y1421">
        <f>HYPERLINK("https://klasma.github.io/Logging_2361/tillsynsmail/A 47348-2022 tillsynsbegäran mail.docx", "A 47348-2022")</f>
        <v/>
      </c>
    </row>
    <row r="1422" ht="15" customHeight="1">
      <c r="A1422" t="inlineStr">
        <is>
          <t>A 26324-2024</t>
        </is>
      </c>
      <c r="B1422" s="1" t="n">
        <v>45468.97495370371</v>
      </c>
      <c r="C1422" s="1" t="n">
        <v>46045</v>
      </c>
      <c r="D1422" t="inlineStr">
        <is>
          <t>JÄMTLANDS LÄN</t>
        </is>
      </c>
      <c r="E1422" t="inlineStr">
        <is>
          <t>RAGUNDA</t>
        </is>
      </c>
      <c r="F1422" t="inlineStr">
        <is>
          <t>SCA</t>
        </is>
      </c>
      <c r="G1422" t="n">
        <v>2</v>
      </c>
      <c r="H1422" t="n">
        <v>1</v>
      </c>
      <c r="I1422" t="n">
        <v>0</v>
      </c>
      <c r="J1422" t="n">
        <v>1</v>
      </c>
      <c r="K1422" t="n">
        <v>1</v>
      </c>
      <c r="L1422" t="n">
        <v>0</v>
      </c>
      <c r="M1422" t="n">
        <v>0</v>
      </c>
      <c r="N1422" t="n">
        <v>0</v>
      </c>
      <c r="O1422" t="n">
        <v>2</v>
      </c>
      <c r="P1422" t="n">
        <v>1</v>
      </c>
      <c r="Q1422" t="n">
        <v>2</v>
      </c>
      <c r="R1422" s="2" t="inlineStr">
        <is>
          <t>Knärot
Vedtrappmossa</t>
        </is>
      </c>
      <c r="S1422">
        <f>HYPERLINK("https://klasma.github.io/Logging_2303/artfynd/A 26324-2024 artfynd.xlsx", "A 26324-2024")</f>
        <v/>
      </c>
      <c r="T1422">
        <f>HYPERLINK("https://klasma.github.io/Logging_2303/kartor/A 26324-2024 karta.png", "A 26324-2024")</f>
        <v/>
      </c>
      <c r="U1422">
        <f>HYPERLINK("https://klasma.github.io/Logging_2303/knärot/A 26324-2024 karta knärot.png", "A 26324-2024")</f>
        <v/>
      </c>
      <c r="V1422">
        <f>HYPERLINK("https://klasma.github.io/Logging_2303/klagomål/A 26324-2024 FSC-klagomål.docx", "A 26324-2024")</f>
        <v/>
      </c>
      <c r="W1422">
        <f>HYPERLINK("https://klasma.github.io/Logging_2303/klagomålsmail/A 26324-2024 FSC-klagomål mail.docx", "A 26324-2024")</f>
        <v/>
      </c>
      <c r="X1422">
        <f>HYPERLINK("https://klasma.github.io/Logging_2303/tillsyn/A 26324-2024 tillsynsbegäran.docx", "A 26324-2024")</f>
        <v/>
      </c>
      <c r="Y1422">
        <f>HYPERLINK("https://klasma.github.io/Logging_2303/tillsynsmail/A 26324-2024 tillsynsbegäran mail.docx", "A 26324-2024")</f>
        <v/>
      </c>
    </row>
    <row r="1423" ht="15" customHeight="1">
      <c r="A1423" t="inlineStr">
        <is>
          <t>A 61385-2022</t>
        </is>
      </c>
      <c r="B1423" s="1" t="n">
        <v>44915</v>
      </c>
      <c r="C1423" s="1" t="n">
        <v>46045</v>
      </c>
      <c r="D1423" t="inlineStr">
        <is>
          <t>JÄMTLANDS LÄN</t>
        </is>
      </c>
      <c r="E1423" t="inlineStr">
        <is>
          <t>STRÖMSUND</t>
        </is>
      </c>
      <c r="G1423" t="n">
        <v>2.6</v>
      </c>
      <c r="H1423" t="n">
        <v>0</v>
      </c>
      <c r="I1423" t="n">
        <v>1</v>
      </c>
      <c r="J1423" t="n">
        <v>1</v>
      </c>
      <c r="K1423" t="n">
        <v>0</v>
      </c>
      <c r="L1423" t="n">
        <v>0</v>
      </c>
      <c r="M1423" t="n">
        <v>0</v>
      </c>
      <c r="N1423" t="n">
        <v>0</v>
      </c>
      <c r="O1423" t="n">
        <v>1</v>
      </c>
      <c r="P1423" t="n">
        <v>0</v>
      </c>
      <c r="Q1423" t="n">
        <v>2</v>
      </c>
      <c r="R1423" s="2" t="inlineStr">
        <is>
          <t>Orange taggsvamp
Svart trolldruva</t>
        </is>
      </c>
      <c r="S1423">
        <f>HYPERLINK("https://klasma.github.io/Logging_2313/artfynd/A 61385-2022 artfynd.xlsx", "A 61385-2022")</f>
        <v/>
      </c>
      <c r="T1423">
        <f>HYPERLINK("https://klasma.github.io/Logging_2313/kartor/A 61385-2022 karta.png", "A 61385-2022")</f>
        <v/>
      </c>
      <c r="V1423">
        <f>HYPERLINK("https://klasma.github.io/Logging_2313/klagomål/A 61385-2022 FSC-klagomål.docx", "A 61385-2022")</f>
        <v/>
      </c>
      <c r="W1423">
        <f>HYPERLINK("https://klasma.github.io/Logging_2313/klagomålsmail/A 61385-2022 FSC-klagomål mail.docx", "A 61385-2022")</f>
        <v/>
      </c>
      <c r="X1423">
        <f>HYPERLINK("https://klasma.github.io/Logging_2313/tillsyn/A 61385-2022 tillsynsbegäran.docx", "A 61385-2022")</f>
        <v/>
      </c>
      <c r="Y1423">
        <f>HYPERLINK("https://klasma.github.io/Logging_2313/tillsynsmail/A 61385-2022 tillsynsbegäran mail.docx", "A 61385-2022")</f>
        <v/>
      </c>
    </row>
    <row r="1424" ht="15" customHeight="1">
      <c r="A1424" t="inlineStr">
        <is>
          <t>A 11843-2023</t>
        </is>
      </c>
      <c r="B1424" s="1" t="n">
        <v>44993</v>
      </c>
      <c r="C1424" s="1" t="n">
        <v>46045</v>
      </c>
      <c r="D1424" t="inlineStr">
        <is>
          <t>JÄMTLANDS LÄN</t>
        </is>
      </c>
      <c r="E1424" t="inlineStr">
        <is>
          <t>RAGUNDA</t>
        </is>
      </c>
      <c r="G1424" t="n">
        <v>6.4</v>
      </c>
      <c r="H1424" t="n">
        <v>2</v>
      </c>
      <c r="I1424" t="n">
        <v>0</v>
      </c>
      <c r="J1424" t="n">
        <v>1</v>
      </c>
      <c r="K1424" t="n">
        <v>0</v>
      </c>
      <c r="L1424" t="n">
        <v>0</v>
      </c>
      <c r="M1424" t="n">
        <v>0</v>
      </c>
      <c r="N1424" t="n">
        <v>0</v>
      </c>
      <c r="O1424" t="n">
        <v>1</v>
      </c>
      <c r="P1424" t="n">
        <v>0</v>
      </c>
      <c r="Q1424" t="n">
        <v>2</v>
      </c>
      <c r="R1424" s="2" t="inlineStr">
        <is>
          <t>Spillkråka
Revlummer</t>
        </is>
      </c>
      <c r="S1424">
        <f>HYPERLINK("https://klasma.github.io/Logging_2303/artfynd/A 11843-2023 artfynd.xlsx", "A 11843-2023")</f>
        <v/>
      </c>
      <c r="T1424">
        <f>HYPERLINK("https://klasma.github.io/Logging_2303/kartor/A 11843-2023 karta.png", "A 11843-2023")</f>
        <v/>
      </c>
      <c r="V1424">
        <f>HYPERLINK("https://klasma.github.io/Logging_2303/klagomål/A 11843-2023 FSC-klagomål.docx", "A 11843-2023")</f>
        <v/>
      </c>
      <c r="W1424">
        <f>HYPERLINK("https://klasma.github.io/Logging_2303/klagomålsmail/A 11843-2023 FSC-klagomål mail.docx", "A 11843-2023")</f>
        <v/>
      </c>
      <c r="X1424">
        <f>HYPERLINK("https://klasma.github.io/Logging_2303/tillsyn/A 11843-2023 tillsynsbegäran.docx", "A 11843-2023")</f>
        <v/>
      </c>
      <c r="Y1424">
        <f>HYPERLINK("https://klasma.github.io/Logging_2303/tillsynsmail/A 11843-2023 tillsynsbegäran mail.docx", "A 11843-2023")</f>
        <v/>
      </c>
      <c r="Z1424">
        <f>HYPERLINK("https://klasma.github.io/Logging_2303/fåglar/A 11843-2023 prioriterade fågelarter.docx", "A 11843-2023")</f>
        <v/>
      </c>
    </row>
    <row r="1425" ht="15" customHeight="1">
      <c r="A1425" t="inlineStr">
        <is>
          <t>A 17956-2023</t>
        </is>
      </c>
      <c r="B1425" s="1" t="n">
        <v>45037</v>
      </c>
      <c r="C1425" s="1" t="n">
        <v>46045</v>
      </c>
      <c r="D1425" t="inlineStr">
        <is>
          <t>JÄMTLANDS LÄN</t>
        </is>
      </c>
      <c r="E1425" t="inlineStr">
        <is>
          <t>STRÖMSUND</t>
        </is>
      </c>
      <c r="G1425" t="n">
        <v>5.1</v>
      </c>
      <c r="H1425" t="n">
        <v>0</v>
      </c>
      <c r="I1425" t="n">
        <v>1</v>
      </c>
      <c r="J1425" t="n">
        <v>1</v>
      </c>
      <c r="K1425" t="n">
        <v>0</v>
      </c>
      <c r="L1425" t="n">
        <v>0</v>
      </c>
      <c r="M1425" t="n">
        <v>0</v>
      </c>
      <c r="N1425" t="n">
        <v>0</v>
      </c>
      <c r="O1425" t="n">
        <v>1</v>
      </c>
      <c r="P1425" t="n">
        <v>0</v>
      </c>
      <c r="Q1425" t="n">
        <v>2</v>
      </c>
      <c r="R1425" s="2" t="inlineStr">
        <is>
          <t>Koralltaggsvamp
Stuplav</t>
        </is>
      </c>
      <c r="S1425">
        <f>HYPERLINK("https://klasma.github.io/Logging_2313/artfynd/A 17956-2023 artfynd.xlsx", "A 17956-2023")</f>
        <v/>
      </c>
      <c r="T1425">
        <f>HYPERLINK("https://klasma.github.io/Logging_2313/kartor/A 17956-2023 karta.png", "A 17956-2023")</f>
        <v/>
      </c>
      <c r="V1425">
        <f>HYPERLINK("https://klasma.github.io/Logging_2313/klagomål/A 17956-2023 FSC-klagomål.docx", "A 17956-2023")</f>
        <v/>
      </c>
      <c r="W1425">
        <f>HYPERLINK("https://klasma.github.io/Logging_2313/klagomålsmail/A 17956-2023 FSC-klagomål mail.docx", "A 17956-2023")</f>
        <v/>
      </c>
      <c r="X1425">
        <f>HYPERLINK("https://klasma.github.io/Logging_2313/tillsyn/A 17956-2023 tillsynsbegäran.docx", "A 17956-2023")</f>
        <v/>
      </c>
      <c r="Y1425">
        <f>HYPERLINK("https://klasma.github.io/Logging_2313/tillsynsmail/A 17956-2023 tillsynsbegäran mail.docx", "A 17956-2023")</f>
        <v/>
      </c>
    </row>
    <row r="1426" ht="15" customHeight="1">
      <c r="A1426" t="inlineStr">
        <is>
          <t>A 3029-2023</t>
        </is>
      </c>
      <c r="B1426" s="1" t="n">
        <v>44945</v>
      </c>
      <c r="C1426" s="1" t="n">
        <v>46045</v>
      </c>
      <c r="D1426" t="inlineStr">
        <is>
          <t>JÄMTLANDS LÄN</t>
        </is>
      </c>
      <c r="E1426" t="inlineStr">
        <is>
          <t>BRÄCKE</t>
        </is>
      </c>
      <c r="F1426" t="inlineStr">
        <is>
          <t>SCA</t>
        </is>
      </c>
      <c r="G1426" t="n">
        <v>2.3</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HYPERLINK("https://klasma.github.io/Logging_2305/artfynd/A 3029-2023 artfynd.xlsx", "A 3029-2023")</f>
        <v/>
      </c>
      <c r="T1426">
        <f>HYPERLINK("https://klasma.github.io/Logging_2305/kartor/A 3029-2023 karta.png", "A 3029-2023")</f>
        <v/>
      </c>
      <c r="V1426">
        <f>HYPERLINK("https://klasma.github.io/Logging_2305/klagomål/A 3029-2023 FSC-klagomål.docx", "A 3029-2023")</f>
        <v/>
      </c>
      <c r="W1426">
        <f>HYPERLINK("https://klasma.github.io/Logging_2305/klagomålsmail/A 3029-2023 FSC-klagomål mail.docx", "A 3029-2023")</f>
        <v/>
      </c>
      <c r="X1426">
        <f>HYPERLINK("https://klasma.github.io/Logging_2305/tillsyn/A 3029-2023 tillsynsbegäran.docx", "A 3029-2023")</f>
        <v/>
      </c>
      <c r="Y1426">
        <f>HYPERLINK("https://klasma.github.io/Logging_2305/tillsynsmail/A 3029-2023 tillsynsbegäran mail.docx", "A 3029-2023")</f>
        <v/>
      </c>
    </row>
    <row r="1427" ht="15" customHeight="1">
      <c r="A1427" t="inlineStr">
        <is>
          <t>A 46621-2022</t>
        </is>
      </c>
      <c r="B1427" s="1" t="n">
        <v>44848</v>
      </c>
      <c r="C1427" s="1" t="n">
        <v>46045</v>
      </c>
      <c r="D1427" t="inlineStr">
        <is>
          <t>JÄMTLANDS LÄN</t>
        </is>
      </c>
      <c r="E1427" t="inlineStr">
        <is>
          <t>STRÖMSUND</t>
        </is>
      </c>
      <c r="F1427" t="inlineStr">
        <is>
          <t>SCA</t>
        </is>
      </c>
      <c r="G1427" t="n">
        <v>6.8</v>
      </c>
      <c r="H1427" t="n">
        <v>0</v>
      </c>
      <c r="I1427" t="n">
        <v>0</v>
      </c>
      <c r="J1427" t="n">
        <v>2</v>
      </c>
      <c r="K1427" t="n">
        <v>0</v>
      </c>
      <c r="L1427" t="n">
        <v>0</v>
      </c>
      <c r="M1427" t="n">
        <v>0</v>
      </c>
      <c r="N1427" t="n">
        <v>0</v>
      </c>
      <c r="O1427" t="n">
        <v>2</v>
      </c>
      <c r="P1427" t="n">
        <v>0</v>
      </c>
      <c r="Q1427" t="n">
        <v>2</v>
      </c>
      <c r="R1427" s="2" t="inlineStr">
        <is>
          <t>Garnlav
Ullticka</t>
        </is>
      </c>
      <c r="S1427">
        <f>HYPERLINK("https://klasma.github.io/Logging_2313/artfynd/A 46621-2022 artfynd.xlsx", "A 46621-2022")</f>
        <v/>
      </c>
      <c r="T1427">
        <f>HYPERLINK("https://klasma.github.io/Logging_2313/kartor/A 46621-2022 karta.png", "A 46621-2022")</f>
        <v/>
      </c>
      <c r="V1427">
        <f>HYPERLINK("https://klasma.github.io/Logging_2313/klagomål/A 46621-2022 FSC-klagomål.docx", "A 46621-2022")</f>
        <v/>
      </c>
      <c r="W1427">
        <f>HYPERLINK("https://klasma.github.io/Logging_2313/klagomålsmail/A 46621-2022 FSC-klagomål mail.docx", "A 46621-2022")</f>
        <v/>
      </c>
      <c r="X1427">
        <f>HYPERLINK("https://klasma.github.io/Logging_2313/tillsyn/A 46621-2022 tillsynsbegäran.docx", "A 46621-2022")</f>
        <v/>
      </c>
      <c r="Y1427">
        <f>HYPERLINK("https://klasma.github.io/Logging_2313/tillsynsmail/A 46621-2022 tillsynsbegäran mail.docx", "A 46621-2022")</f>
        <v/>
      </c>
    </row>
    <row r="1428" ht="15" customHeight="1">
      <c r="A1428" t="inlineStr">
        <is>
          <t>A 4916-2023</t>
        </is>
      </c>
      <c r="B1428" s="1" t="n">
        <v>44956</v>
      </c>
      <c r="C1428" s="1" t="n">
        <v>46045</v>
      </c>
      <c r="D1428" t="inlineStr">
        <is>
          <t>JÄMTLANDS LÄN</t>
        </is>
      </c>
      <c r="E1428" t="inlineStr">
        <is>
          <t>ÖSTERSUND</t>
        </is>
      </c>
      <c r="G1428" t="n">
        <v>1.2</v>
      </c>
      <c r="H1428" t="n">
        <v>0</v>
      </c>
      <c r="I1428" t="n">
        <v>1</v>
      </c>
      <c r="J1428" t="n">
        <v>0</v>
      </c>
      <c r="K1428" t="n">
        <v>0</v>
      </c>
      <c r="L1428" t="n">
        <v>1</v>
      </c>
      <c r="M1428" t="n">
        <v>0</v>
      </c>
      <c r="N1428" t="n">
        <v>0</v>
      </c>
      <c r="O1428" t="n">
        <v>1</v>
      </c>
      <c r="P1428" t="n">
        <v>1</v>
      </c>
      <c r="Q1428" t="n">
        <v>2</v>
      </c>
      <c r="R1428" s="2" t="inlineStr">
        <is>
          <t>Trolldruvemätare
Svart trolldruva</t>
        </is>
      </c>
      <c r="S1428">
        <f>HYPERLINK("https://klasma.github.io/Logging_2380/artfynd/A 4916-2023 artfynd.xlsx", "A 4916-2023")</f>
        <v/>
      </c>
      <c r="T1428">
        <f>HYPERLINK("https://klasma.github.io/Logging_2380/kartor/A 4916-2023 karta.png", "A 4916-2023")</f>
        <v/>
      </c>
      <c r="V1428">
        <f>HYPERLINK("https://klasma.github.io/Logging_2380/klagomål/A 4916-2023 FSC-klagomål.docx", "A 4916-2023")</f>
        <v/>
      </c>
      <c r="W1428">
        <f>HYPERLINK("https://klasma.github.io/Logging_2380/klagomålsmail/A 4916-2023 FSC-klagomål mail.docx", "A 4916-2023")</f>
        <v/>
      </c>
      <c r="X1428">
        <f>HYPERLINK("https://klasma.github.io/Logging_2380/tillsyn/A 4916-2023 tillsynsbegäran.docx", "A 4916-2023")</f>
        <v/>
      </c>
      <c r="Y1428">
        <f>HYPERLINK("https://klasma.github.io/Logging_2380/tillsynsmail/A 4916-2023 tillsynsbegäran mail.docx", "A 4916-2023")</f>
        <v/>
      </c>
    </row>
    <row r="1429" ht="15" customHeight="1">
      <c r="A1429" t="inlineStr">
        <is>
          <t>A 5388-2021</t>
        </is>
      </c>
      <c r="B1429" s="1" t="n">
        <v>44229</v>
      </c>
      <c r="C1429" s="1" t="n">
        <v>46045</v>
      </c>
      <c r="D1429" t="inlineStr">
        <is>
          <t>JÄMTLANDS LÄN</t>
        </is>
      </c>
      <c r="E1429" t="inlineStr">
        <is>
          <t>ÅRE</t>
        </is>
      </c>
      <c r="G1429" t="n">
        <v>6.9</v>
      </c>
      <c r="H1429" t="n">
        <v>1</v>
      </c>
      <c r="I1429" t="n">
        <v>0</v>
      </c>
      <c r="J1429" t="n">
        <v>2</v>
      </c>
      <c r="K1429" t="n">
        <v>0</v>
      </c>
      <c r="L1429" t="n">
        <v>0</v>
      </c>
      <c r="M1429" t="n">
        <v>0</v>
      </c>
      <c r="N1429" t="n">
        <v>0</v>
      </c>
      <c r="O1429" t="n">
        <v>2</v>
      </c>
      <c r="P1429" t="n">
        <v>0</v>
      </c>
      <c r="Q1429" t="n">
        <v>2</v>
      </c>
      <c r="R1429" s="2" t="inlineStr">
        <is>
          <t>Tretåig hackspett
Ullticka</t>
        </is>
      </c>
      <c r="S1429">
        <f>HYPERLINK("https://klasma.github.io/Logging_2321/artfynd/A 5388-2021 artfynd.xlsx", "A 5388-2021")</f>
        <v/>
      </c>
      <c r="T1429">
        <f>HYPERLINK("https://klasma.github.io/Logging_2321/kartor/A 5388-2021 karta.png", "A 5388-2021")</f>
        <v/>
      </c>
      <c r="V1429">
        <f>HYPERLINK("https://klasma.github.io/Logging_2321/klagomål/A 5388-2021 FSC-klagomål.docx", "A 5388-2021")</f>
        <v/>
      </c>
      <c r="W1429">
        <f>HYPERLINK("https://klasma.github.io/Logging_2321/klagomålsmail/A 5388-2021 FSC-klagomål mail.docx", "A 5388-2021")</f>
        <v/>
      </c>
      <c r="X1429">
        <f>HYPERLINK("https://klasma.github.io/Logging_2321/tillsyn/A 5388-2021 tillsynsbegäran.docx", "A 5388-2021")</f>
        <v/>
      </c>
      <c r="Y1429">
        <f>HYPERLINK("https://klasma.github.io/Logging_2321/tillsynsmail/A 5388-2021 tillsynsbegäran mail.docx", "A 5388-2021")</f>
        <v/>
      </c>
      <c r="Z1429">
        <f>HYPERLINK("https://klasma.github.io/Logging_2321/fåglar/A 5388-2021 prioriterade fågelarter.docx", "A 5388-2021")</f>
        <v/>
      </c>
    </row>
    <row r="1430" ht="15" customHeight="1">
      <c r="A1430" t="inlineStr">
        <is>
          <t>A 2464-2025</t>
        </is>
      </c>
      <c r="B1430" s="1" t="n">
        <v>45674.4693287037</v>
      </c>
      <c r="C1430" s="1" t="n">
        <v>46045</v>
      </c>
      <c r="D1430" t="inlineStr">
        <is>
          <t>JÄMTLANDS LÄN</t>
        </is>
      </c>
      <c r="E1430" t="inlineStr">
        <is>
          <t>BRÄCKE</t>
        </is>
      </c>
      <c r="F1430" t="inlineStr">
        <is>
          <t>SCA</t>
        </is>
      </c>
      <c r="G1430" t="n">
        <v>4.4</v>
      </c>
      <c r="H1430" t="n">
        <v>1</v>
      </c>
      <c r="I1430" t="n">
        <v>0</v>
      </c>
      <c r="J1430" t="n">
        <v>2</v>
      </c>
      <c r="K1430" t="n">
        <v>0</v>
      </c>
      <c r="L1430" t="n">
        <v>0</v>
      </c>
      <c r="M1430" t="n">
        <v>0</v>
      </c>
      <c r="N1430" t="n">
        <v>0</v>
      </c>
      <c r="O1430" t="n">
        <v>2</v>
      </c>
      <c r="P1430" t="n">
        <v>0</v>
      </c>
      <c r="Q1430" t="n">
        <v>2</v>
      </c>
      <c r="R1430" s="2" t="inlineStr">
        <is>
          <t>Lunglav
Tretåig hackspett</t>
        </is>
      </c>
      <c r="S1430">
        <f>HYPERLINK("https://klasma.github.io/Logging_2305/artfynd/A 2464-2025 artfynd.xlsx", "A 2464-2025")</f>
        <v/>
      </c>
      <c r="T1430">
        <f>HYPERLINK("https://klasma.github.io/Logging_2305/kartor/A 2464-2025 karta.png", "A 2464-2025")</f>
        <v/>
      </c>
      <c r="V1430">
        <f>HYPERLINK("https://klasma.github.io/Logging_2305/klagomål/A 2464-2025 FSC-klagomål.docx", "A 2464-2025")</f>
        <v/>
      </c>
      <c r="W1430">
        <f>HYPERLINK("https://klasma.github.io/Logging_2305/klagomålsmail/A 2464-2025 FSC-klagomål mail.docx", "A 2464-2025")</f>
        <v/>
      </c>
      <c r="X1430">
        <f>HYPERLINK("https://klasma.github.io/Logging_2305/tillsyn/A 2464-2025 tillsynsbegäran.docx", "A 2464-2025")</f>
        <v/>
      </c>
      <c r="Y1430">
        <f>HYPERLINK("https://klasma.github.io/Logging_2305/tillsynsmail/A 2464-2025 tillsynsbegäran mail.docx", "A 2464-2025")</f>
        <v/>
      </c>
      <c r="Z1430">
        <f>HYPERLINK("https://klasma.github.io/Logging_2305/fåglar/A 2464-2025 prioriterade fågelarter.docx", "A 2464-2025")</f>
        <v/>
      </c>
    </row>
    <row r="1431" ht="15" customHeight="1">
      <c r="A1431" t="inlineStr">
        <is>
          <t>A 39696-2022</t>
        </is>
      </c>
      <c r="B1431" s="1" t="n">
        <v>44818</v>
      </c>
      <c r="C1431" s="1" t="n">
        <v>46045</v>
      </c>
      <c r="D1431" t="inlineStr">
        <is>
          <t>JÄMTLANDS LÄN</t>
        </is>
      </c>
      <c r="E1431" t="inlineStr">
        <is>
          <t>STRÖMSUND</t>
        </is>
      </c>
      <c r="F1431" t="inlineStr">
        <is>
          <t>SCA</t>
        </is>
      </c>
      <c r="G1431" t="n">
        <v>4.6</v>
      </c>
      <c r="H1431" t="n">
        <v>0</v>
      </c>
      <c r="I1431" t="n">
        <v>0</v>
      </c>
      <c r="J1431" t="n">
        <v>0</v>
      </c>
      <c r="K1431" t="n">
        <v>1</v>
      </c>
      <c r="L1431" t="n">
        <v>0</v>
      </c>
      <c r="M1431" t="n">
        <v>0</v>
      </c>
      <c r="N1431" t="n">
        <v>0</v>
      </c>
      <c r="O1431" t="n">
        <v>1</v>
      </c>
      <c r="P1431" t="n">
        <v>1</v>
      </c>
      <c r="Q1431" t="n">
        <v>1</v>
      </c>
      <c r="R1431" s="2" t="inlineStr">
        <is>
          <t>Gräddporing</t>
        </is>
      </c>
      <c r="S1431">
        <f>HYPERLINK("https://klasma.github.io/Logging_2313/artfynd/A 39696-2022 artfynd.xlsx", "A 39696-2022")</f>
        <v/>
      </c>
      <c r="T1431">
        <f>HYPERLINK("https://klasma.github.io/Logging_2313/kartor/A 39696-2022 karta.png", "A 39696-2022")</f>
        <v/>
      </c>
      <c r="V1431">
        <f>HYPERLINK("https://klasma.github.io/Logging_2313/klagomål/A 39696-2022 FSC-klagomål.docx", "A 39696-2022")</f>
        <v/>
      </c>
      <c r="W1431">
        <f>HYPERLINK("https://klasma.github.io/Logging_2313/klagomålsmail/A 39696-2022 FSC-klagomål mail.docx", "A 39696-2022")</f>
        <v/>
      </c>
      <c r="X1431">
        <f>HYPERLINK("https://klasma.github.io/Logging_2313/tillsyn/A 39696-2022 tillsynsbegäran.docx", "A 39696-2022")</f>
        <v/>
      </c>
      <c r="Y1431">
        <f>HYPERLINK("https://klasma.github.io/Logging_2313/tillsynsmail/A 39696-2022 tillsynsbegäran mail.docx", "A 39696-2022")</f>
        <v/>
      </c>
    </row>
    <row r="1432" ht="15" customHeight="1">
      <c r="A1432" t="inlineStr">
        <is>
          <t>A 20501-2021</t>
        </is>
      </c>
      <c r="B1432" s="1" t="n">
        <v>44315.68802083333</v>
      </c>
      <c r="C1432" s="1" t="n">
        <v>46045</v>
      </c>
      <c r="D1432" t="inlineStr">
        <is>
          <t>JÄMTLANDS LÄN</t>
        </is>
      </c>
      <c r="E1432" t="inlineStr">
        <is>
          <t>ÅRE</t>
        </is>
      </c>
      <c r="G1432" t="n">
        <v>1.1</v>
      </c>
      <c r="H1432" t="n">
        <v>1</v>
      </c>
      <c r="I1432" t="n">
        <v>0</v>
      </c>
      <c r="J1432" t="n">
        <v>1</v>
      </c>
      <c r="K1432" t="n">
        <v>0</v>
      </c>
      <c r="L1432" t="n">
        <v>0</v>
      </c>
      <c r="M1432" t="n">
        <v>0</v>
      </c>
      <c r="N1432" t="n">
        <v>0</v>
      </c>
      <c r="O1432" t="n">
        <v>1</v>
      </c>
      <c r="P1432" t="n">
        <v>0</v>
      </c>
      <c r="Q1432" t="n">
        <v>1</v>
      </c>
      <c r="R1432" s="2" t="inlineStr">
        <is>
          <t>Hornuggla</t>
        </is>
      </c>
      <c r="S1432">
        <f>HYPERLINK("https://klasma.github.io/Logging_2321/artfynd/A 20501-2021 artfynd.xlsx", "A 20501-2021")</f>
        <v/>
      </c>
      <c r="T1432">
        <f>HYPERLINK("https://klasma.github.io/Logging_2321/kartor/A 20501-2021 karta.png", "A 20501-2021")</f>
        <v/>
      </c>
      <c r="V1432">
        <f>HYPERLINK("https://klasma.github.io/Logging_2321/klagomål/A 20501-2021 FSC-klagomål.docx", "A 20501-2021")</f>
        <v/>
      </c>
      <c r="W1432">
        <f>HYPERLINK("https://klasma.github.io/Logging_2321/klagomålsmail/A 20501-2021 FSC-klagomål mail.docx", "A 20501-2021")</f>
        <v/>
      </c>
      <c r="X1432">
        <f>HYPERLINK("https://klasma.github.io/Logging_2321/tillsyn/A 20501-2021 tillsynsbegäran.docx", "A 20501-2021")</f>
        <v/>
      </c>
      <c r="Y1432">
        <f>HYPERLINK("https://klasma.github.io/Logging_2321/tillsynsmail/A 20501-2021 tillsynsbegäran mail.docx", "A 20501-2021")</f>
        <v/>
      </c>
      <c r="Z1432">
        <f>HYPERLINK("https://klasma.github.io/Logging_2321/fåglar/A 20501-2021 prioriterade fågelarter.docx", "A 20501-2021")</f>
        <v/>
      </c>
    </row>
    <row r="1433" ht="15" customHeight="1">
      <c r="A1433" t="inlineStr">
        <is>
          <t>A 51916-2021</t>
        </is>
      </c>
      <c r="B1433" s="1" t="n">
        <v>44462</v>
      </c>
      <c r="C1433" s="1" t="n">
        <v>46045</v>
      </c>
      <c r="D1433" t="inlineStr">
        <is>
          <t>JÄMTLANDS LÄN</t>
        </is>
      </c>
      <c r="E1433" t="inlineStr">
        <is>
          <t>RAGUNDA</t>
        </is>
      </c>
      <c r="F1433" t="inlineStr">
        <is>
          <t>SCA</t>
        </is>
      </c>
      <c r="G1433" t="n">
        <v>3</v>
      </c>
      <c r="H1433" t="n">
        <v>1</v>
      </c>
      <c r="I1433" t="n">
        <v>0</v>
      </c>
      <c r="J1433" t="n">
        <v>1</v>
      </c>
      <c r="K1433" t="n">
        <v>0</v>
      </c>
      <c r="L1433" t="n">
        <v>0</v>
      </c>
      <c r="M1433" t="n">
        <v>0</v>
      </c>
      <c r="N1433" t="n">
        <v>0</v>
      </c>
      <c r="O1433" t="n">
        <v>1</v>
      </c>
      <c r="P1433" t="n">
        <v>0</v>
      </c>
      <c r="Q1433" t="n">
        <v>1</v>
      </c>
      <c r="R1433" s="2" t="inlineStr">
        <is>
          <t>Varglav</t>
        </is>
      </c>
      <c r="S1433">
        <f>HYPERLINK("https://klasma.github.io/Logging_2303/artfynd/A 51916-2021 artfynd.xlsx", "A 51916-2021")</f>
        <v/>
      </c>
      <c r="T1433">
        <f>HYPERLINK("https://klasma.github.io/Logging_2303/kartor/A 51916-2021 karta.png", "A 51916-2021")</f>
        <v/>
      </c>
      <c r="V1433">
        <f>HYPERLINK("https://klasma.github.io/Logging_2303/klagomål/A 51916-2021 FSC-klagomål.docx", "A 51916-2021")</f>
        <v/>
      </c>
      <c r="W1433">
        <f>HYPERLINK("https://klasma.github.io/Logging_2303/klagomålsmail/A 51916-2021 FSC-klagomål mail.docx", "A 51916-2021")</f>
        <v/>
      </c>
      <c r="X1433">
        <f>HYPERLINK("https://klasma.github.io/Logging_2303/tillsyn/A 51916-2021 tillsynsbegäran.docx", "A 51916-2021")</f>
        <v/>
      </c>
      <c r="Y1433">
        <f>HYPERLINK("https://klasma.github.io/Logging_2303/tillsynsmail/A 51916-2021 tillsynsbegäran mail.docx", "A 51916-2021")</f>
        <v/>
      </c>
    </row>
    <row r="1434" ht="15" customHeight="1">
      <c r="A1434" t="inlineStr">
        <is>
          <t>A 12386-2022</t>
        </is>
      </c>
      <c r="B1434" s="1" t="n">
        <v>44637</v>
      </c>
      <c r="C1434" s="1" t="n">
        <v>46045</v>
      </c>
      <c r="D1434" t="inlineStr">
        <is>
          <t>JÄMTLANDS LÄN</t>
        </is>
      </c>
      <c r="E1434" t="inlineStr">
        <is>
          <t>STRÖMSUND</t>
        </is>
      </c>
      <c r="G1434" t="n">
        <v>2.1</v>
      </c>
      <c r="H1434" t="n">
        <v>0</v>
      </c>
      <c r="I1434" t="n">
        <v>0</v>
      </c>
      <c r="J1434" t="n">
        <v>1</v>
      </c>
      <c r="K1434" t="n">
        <v>0</v>
      </c>
      <c r="L1434" t="n">
        <v>0</v>
      </c>
      <c r="M1434" t="n">
        <v>0</v>
      </c>
      <c r="N1434" t="n">
        <v>0</v>
      </c>
      <c r="O1434" t="n">
        <v>1</v>
      </c>
      <c r="P1434" t="n">
        <v>0</v>
      </c>
      <c r="Q1434" t="n">
        <v>1</v>
      </c>
      <c r="R1434" s="2" t="inlineStr">
        <is>
          <t>Lunglav</t>
        </is>
      </c>
      <c r="S1434">
        <f>HYPERLINK("https://klasma.github.io/Logging_2313/artfynd/A 12386-2022 artfynd.xlsx", "A 12386-2022")</f>
        <v/>
      </c>
      <c r="T1434">
        <f>HYPERLINK("https://klasma.github.io/Logging_2313/kartor/A 12386-2022 karta.png", "A 12386-2022")</f>
        <v/>
      </c>
      <c r="V1434">
        <f>HYPERLINK("https://klasma.github.io/Logging_2313/klagomål/A 12386-2022 FSC-klagomål.docx", "A 12386-2022")</f>
        <v/>
      </c>
      <c r="W1434">
        <f>HYPERLINK("https://klasma.github.io/Logging_2313/klagomålsmail/A 12386-2022 FSC-klagomål mail.docx", "A 12386-2022")</f>
        <v/>
      </c>
      <c r="X1434">
        <f>HYPERLINK("https://klasma.github.io/Logging_2313/tillsyn/A 12386-2022 tillsynsbegäran.docx", "A 12386-2022")</f>
        <v/>
      </c>
      <c r="Y1434">
        <f>HYPERLINK("https://klasma.github.io/Logging_2313/tillsynsmail/A 12386-2022 tillsynsbegäran mail.docx", "A 12386-2022")</f>
        <v/>
      </c>
    </row>
    <row r="1435" ht="15" customHeight="1">
      <c r="A1435" t="inlineStr">
        <is>
          <t>A 55221-2021</t>
        </is>
      </c>
      <c r="B1435" s="1" t="n">
        <v>44475</v>
      </c>
      <c r="C1435" s="1" t="n">
        <v>46045</v>
      </c>
      <c r="D1435" t="inlineStr">
        <is>
          <t>JÄMTLANDS LÄN</t>
        </is>
      </c>
      <c r="E1435" t="inlineStr">
        <is>
          <t>HÄRJEDALEN</t>
        </is>
      </c>
      <c r="G1435" t="n">
        <v>0.2</v>
      </c>
      <c r="H1435" t="n">
        <v>1</v>
      </c>
      <c r="I1435" t="n">
        <v>0</v>
      </c>
      <c r="J1435" t="n">
        <v>1</v>
      </c>
      <c r="K1435" t="n">
        <v>0</v>
      </c>
      <c r="L1435" t="n">
        <v>0</v>
      </c>
      <c r="M1435" t="n">
        <v>0</v>
      </c>
      <c r="N1435" t="n">
        <v>0</v>
      </c>
      <c r="O1435" t="n">
        <v>1</v>
      </c>
      <c r="P1435" t="n">
        <v>0</v>
      </c>
      <c r="Q1435" t="n">
        <v>1</v>
      </c>
      <c r="R1435" s="2" t="inlineStr">
        <is>
          <t>Varglav</t>
        </is>
      </c>
      <c r="S1435">
        <f>HYPERLINK("https://klasma.github.io/Logging_2361/artfynd/A 55221-2021 artfynd.xlsx", "A 55221-2021")</f>
        <v/>
      </c>
      <c r="T1435">
        <f>HYPERLINK("https://klasma.github.io/Logging_2361/kartor/A 55221-2021 karta.png", "A 55221-2021")</f>
        <v/>
      </c>
      <c r="V1435">
        <f>HYPERLINK("https://klasma.github.io/Logging_2361/klagomål/A 55221-2021 FSC-klagomål.docx", "A 55221-2021")</f>
        <v/>
      </c>
      <c r="W1435">
        <f>HYPERLINK("https://klasma.github.io/Logging_2361/klagomålsmail/A 55221-2021 FSC-klagomål mail.docx", "A 55221-2021")</f>
        <v/>
      </c>
      <c r="X1435">
        <f>HYPERLINK("https://klasma.github.io/Logging_2361/tillsyn/A 55221-2021 tillsynsbegäran.docx", "A 55221-2021")</f>
        <v/>
      </c>
      <c r="Y1435">
        <f>HYPERLINK("https://klasma.github.io/Logging_2361/tillsynsmail/A 55221-2021 tillsynsbegäran mail.docx", "A 55221-2021")</f>
        <v/>
      </c>
    </row>
    <row r="1436" ht="15" customHeight="1">
      <c r="A1436" t="inlineStr">
        <is>
          <t>A 58117-2021</t>
        </is>
      </c>
      <c r="B1436" s="1" t="n">
        <v>44487</v>
      </c>
      <c r="C1436" s="1" t="n">
        <v>46045</v>
      </c>
      <c r="D1436" t="inlineStr">
        <is>
          <t>JÄMTLANDS LÄN</t>
        </is>
      </c>
      <c r="E1436" t="inlineStr">
        <is>
          <t>ÅRE</t>
        </is>
      </c>
      <c r="G1436" t="n">
        <v>40.9</v>
      </c>
      <c r="H1436" t="n">
        <v>0</v>
      </c>
      <c r="I1436" t="n">
        <v>1</v>
      </c>
      <c r="J1436" t="n">
        <v>0</v>
      </c>
      <c r="K1436" t="n">
        <v>0</v>
      </c>
      <c r="L1436" t="n">
        <v>0</v>
      </c>
      <c r="M1436" t="n">
        <v>0</v>
      </c>
      <c r="N1436" t="n">
        <v>0</v>
      </c>
      <c r="O1436" t="n">
        <v>0</v>
      </c>
      <c r="P1436" t="n">
        <v>0</v>
      </c>
      <c r="Q1436" t="n">
        <v>1</v>
      </c>
      <c r="R1436" s="2" t="inlineStr">
        <is>
          <t>Stuplav</t>
        </is>
      </c>
      <c r="S1436">
        <f>HYPERLINK("https://klasma.github.io/Logging_2321/artfynd/A 58117-2021 artfynd.xlsx", "A 58117-2021")</f>
        <v/>
      </c>
      <c r="T1436">
        <f>HYPERLINK("https://klasma.github.io/Logging_2321/kartor/A 58117-2021 karta.png", "A 58117-2021")</f>
        <v/>
      </c>
      <c r="V1436">
        <f>HYPERLINK("https://klasma.github.io/Logging_2321/klagomål/A 58117-2021 FSC-klagomål.docx", "A 58117-2021")</f>
        <v/>
      </c>
      <c r="W1436">
        <f>HYPERLINK("https://klasma.github.io/Logging_2321/klagomålsmail/A 58117-2021 FSC-klagomål mail.docx", "A 58117-2021")</f>
        <v/>
      </c>
      <c r="X1436">
        <f>HYPERLINK("https://klasma.github.io/Logging_2321/tillsyn/A 58117-2021 tillsynsbegäran.docx", "A 58117-2021")</f>
        <v/>
      </c>
      <c r="Y1436">
        <f>HYPERLINK("https://klasma.github.io/Logging_2321/tillsynsmail/A 58117-2021 tillsynsbegäran mail.docx", "A 58117-2021")</f>
        <v/>
      </c>
    </row>
    <row r="1437" ht="15" customHeight="1">
      <c r="A1437" t="inlineStr">
        <is>
          <t>A 58239-2021</t>
        </is>
      </c>
      <c r="B1437" s="1" t="n">
        <v>44487</v>
      </c>
      <c r="C1437" s="1" t="n">
        <v>46045</v>
      </c>
      <c r="D1437" t="inlineStr">
        <is>
          <t>JÄMTLANDS LÄN</t>
        </is>
      </c>
      <c r="E1437" t="inlineStr">
        <is>
          <t>ÅRE</t>
        </is>
      </c>
      <c r="G1437" t="n">
        <v>25</v>
      </c>
      <c r="H1437" t="n">
        <v>0</v>
      </c>
      <c r="I1437" t="n">
        <v>0</v>
      </c>
      <c r="J1437" t="n">
        <v>0</v>
      </c>
      <c r="K1437" t="n">
        <v>1</v>
      </c>
      <c r="L1437" t="n">
        <v>0</v>
      </c>
      <c r="M1437" t="n">
        <v>0</v>
      </c>
      <c r="N1437" t="n">
        <v>0</v>
      </c>
      <c r="O1437" t="n">
        <v>1</v>
      </c>
      <c r="P1437" t="n">
        <v>1</v>
      </c>
      <c r="Q1437" t="n">
        <v>1</v>
      </c>
      <c r="R1437" s="2" t="inlineStr">
        <is>
          <t>Rynkskinn</t>
        </is>
      </c>
      <c r="S1437">
        <f>HYPERLINK("https://klasma.github.io/Logging_2321/artfynd/A 58239-2021 artfynd.xlsx", "A 58239-2021")</f>
        <v/>
      </c>
      <c r="T1437">
        <f>HYPERLINK("https://klasma.github.io/Logging_2321/kartor/A 58239-2021 karta.png", "A 58239-2021")</f>
        <v/>
      </c>
      <c r="V1437">
        <f>HYPERLINK("https://klasma.github.io/Logging_2321/klagomål/A 58239-2021 FSC-klagomål.docx", "A 58239-2021")</f>
        <v/>
      </c>
      <c r="W1437">
        <f>HYPERLINK("https://klasma.github.io/Logging_2321/klagomålsmail/A 58239-2021 FSC-klagomål mail.docx", "A 58239-2021")</f>
        <v/>
      </c>
      <c r="X1437">
        <f>HYPERLINK("https://klasma.github.io/Logging_2321/tillsyn/A 58239-2021 tillsynsbegäran.docx", "A 58239-2021")</f>
        <v/>
      </c>
      <c r="Y1437">
        <f>HYPERLINK("https://klasma.github.io/Logging_2321/tillsynsmail/A 58239-2021 tillsynsbegäran mail.docx", "A 58239-2021")</f>
        <v/>
      </c>
    </row>
    <row r="1438" ht="15" customHeight="1">
      <c r="A1438" t="inlineStr">
        <is>
          <t>A 34009-2022</t>
        </is>
      </c>
      <c r="B1438" s="1" t="n">
        <v>44790</v>
      </c>
      <c r="C1438" s="1" t="n">
        <v>46045</v>
      </c>
      <c r="D1438" t="inlineStr">
        <is>
          <t>JÄMTLANDS LÄN</t>
        </is>
      </c>
      <c r="E1438" t="inlineStr">
        <is>
          <t>STRÖMSUND</t>
        </is>
      </c>
      <c r="F1438" t="inlineStr">
        <is>
          <t>SCA</t>
        </is>
      </c>
      <c r="G1438" t="n">
        <v>8.5</v>
      </c>
      <c r="H1438" t="n">
        <v>0</v>
      </c>
      <c r="I1438" t="n">
        <v>0</v>
      </c>
      <c r="J1438" t="n">
        <v>0</v>
      </c>
      <c r="K1438" t="n">
        <v>1</v>
      </c>
      <c r="L1438" t="n">
        <v>0</v>
      </c>
      <c r="M1438" t="n">
        <v>0</v>
      </c>
      <c r="N1438" t="n">
        <v>0</v>
      </c>
      <c r="O1438" t="n">
        <v>1</v>
      </c>
      <c r="P1438" t="n">
        <v>1</v>
      </c>
      <c r="Q1438" t="n">
        <v>1</v>
      </c>
      <c r="R1438" s="2" t="inlineStr">
        <is>
          <t>Rynkskinn</t>
        </is>
      </c>
      <c r="S1438">
        <f>HYPERLINK("https://klasma.github.io/Logging_2313/artfynd/A 34009-2022 artfynd.xlsx", "A 34009-2022")</f>
        <v/>
      </c>
      <c r="T1438">
        <f>HYPERLINK("https://klasma.github.io/Logging_2313/kartor/A 34009-2022 karta.png", "A 34009-2022")</f>
        <v/>
      </c>
      <c r="V1438">
        <f>HYPERLINK("https://klasma.github.io/Logging_2313/klagomål/A 34009-2022 FSC-klagomål.docx", "A 34009-2022")</f>
        <v/>
      </c>
      <c r="W1438">
        <f>HYPERLINK("https://klasma.github.io/Logging_2313/klagomålsmail/A 34009-2022 FSC-klagomål mail.docx", "A 34009-2022")</f>
        <v/>
      </c>
      <c r="X1438">
        <f>HYPERLINK("https://klasma.github.io/Logging_2313/tillsyn/A 34009-2022 tillsynsbegäran.docx", "A 34009-2022")</f>
        <v/>
      </c>
      <c r="Y1438">
        <f>HYPERLINK("https://klasma.github.io/Logging_2313/tillsynsmail/A 34009-2022 tillsynsbegäran mail.docx", "A 34009-2022")</f>
        <v/>
      </c>
    </row>
    <row r="1439" ht="15" customHeight="1">
      <c r="A1439" t="inlineStr">
        <is>
          <t>A 64951-2021</t>
        </is>
      </c>
      <c r="B1439" s="1" t="n">
        <v>44512</v>
      </c>
      <c r="C1439" s="1" t="n">
        <v>46045</v>
      </c>
      <c r="D1439" t="inlineStr">
        <is>
          <t>JÄMTLANDS LÄN</t>
        </is>
      </c>
      <c r="E1439" t="inlineStr">
        <is>
          <t>KROKOM</t>
        </is>
      </c>
      <c r="F1439" t="inlineStr">
        <is>
          <t>SCA</t>
        </is>
      </c>
      <c r="G1439" t="n">
        <v>2.5</v>
      </c>
      <c r="H1439" t="n">
        <v>0</v>
      </c>
      <c r="I1439" t="n">
        <v>1</v>
      </c>
      <c r="J1439" t="n">
        <v>0</v>
      </c>
      <c r="K1439" t="n">
        <v>0</v>
      </c>
      <c r="L1439" t="n">
        <v>0</v>
      </c>
      <c r="M1439" t="n">
        <v>0</v>
      </c>
      <c r="N1439" t="n">
        <v>0</v>
      </c>
      <c r="O1439" t="n">
        <v>0</v>
      </c>
      <c r="P1439" t="n">
        <v>0</v>
      </c>
      <c r="Q1439" t="n">
        <v>1</v>
      </c>
      <c r="R1439" s="2" t="inlineStr">
        <is>
          <t>Kransrams</t>
        </is>
      </c>
      <c r="S1439">
        <f>HYPERLINK("https://klasma.github.io/Logging_2309/artfynd/A 64951-2021 artfynd.xlsx", "A 64951-2021")</f>
        <v/>
      </c>
      <c r="T1439">
        <f>HYPERLINK("https://klasma.github.io/Logging_2309/kartor/A 64951-2021 karta.png", "A 64951-2021")</f>
        <v/>
      </c>
      <c r="V1439">
        <f>HYPERLINK("https://klasma.github.io/Logging_2309/klagomål/A 64951-2021 FSC-klagomål.docx", "A 64951-2021")</f>
        <v/>
      </c>
      <c r="W1439">
        <f>HYPERLINK("https://klasma.github.io/Logging_2309/klagomålsmail/A 64951-2021 FSC-klagomål mail.docx", "A 64951-2021")</f>
        <v/>
      </c>
      <c r="X1439">
        <f>HYPERLINK("https://klasma.github.io/Logging_2309/tillsyn/A 64951-2021 tillsynsbegäran.docx", "A 64951-2021")</f>
        <v/>
      </c>
      <c r="Y1439">
        <f>HYPERLINK("https://klasma.github.io/Logging_2309/tillsynsmail/A 64951-2021 tillsynsbegäran mail.docx", "A 64951-2021")</f>
        <v/>
      </c>
    </row>
    <row r="1440" ht="15" customHeight="1">
      <c r="A1440" t="inlineStr">
        <is>
          <t>A 69154-2021</t>
        </is>
      </c>
      <c r="B1440" s="1" t="n">
        <v>44530</v>
      </c>
      <c r="C1440" s="1" t="n">
        <v>46045</v>
      </c>
      <c r="D1440" t="inlineStr">
        <is>
          <t>JÄMTLANDS LÄN</t>
        </is>
      </c>
      <c r="E1440" t="inlineStr">
        <is>
          <t>BRÄCKE</t>
        </is>
      </c>
      <c r="F1440" t="inlineStr">
        <is>
          <t>SCA</t>
        </is>
      </c>
      <c r="G1440" t="n">
        <v>3.4</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69154-2021 artfynd.xlsx", "A 69154-2021")</f>
        <v/>
      </c>
      <c r="T1440">
        <f>HYPERLINK("https://klasma.github.io/Logging_2305/kartor/A 69154-2021 karta.png", "A 69154-2021")</f>
        <v/>
      </c>
      <c r="V1440">
        <f>HYPERLINK("https://klasma.github.io/Logging_2305/klagomål/A 69154-2021 FSC-klagomål.docx", "A 69154-2021")</f>
        <v/>
      </c>
      <c r="W1440">
        <f>HYPERLINK("https://klasma.github.io/Logging_2305/klagomålsmail/A 69154-2021 FSC-klagomål mail.docx", "A 69154-2021")</f>
        <v/>
      </c>
      <c r="X1440">
        <f>HYPERLINK("https://klasma.github.io/Logging_2305/tillsyn/A 69154-2021 tillsynsbegäran.docx", "A 69154-2021")</f>
        <v/>
      </c>
      <c r="Y1440">
        <f>HYPERLINK("https://klasma.github.io/Logging_2305/tillsynsmail/A 69154-2021 tillsynsbegäran mail.docx", "A 69154-2021")</f>
        <v/>
      </c>
    </row>
    <row r="1441" ht="15" customHeight="1">
      <c r="A1441" t="inlineStr">
        <is>
          <t>A 55222-2021</t>
        </is>
      </c>
      <c r="B1441" s="1" t="n">
        <v>44475</v>
      </c>
      <c r="C1441" s="1" t="n">
        <v>46045</v>
      </c>
      <c r="D1441" t="inlineStr">
        <is>
          <t>JÄMTLANDS LÄN</t>
        </is>
      </c>
      <c r="E1441" t="inlineStr">
        <is>
          <t>HÄRJEDALEN</t>
        </is>
      </c>
      <c r="G1441" t="n">
        <v>1.1</v>
      </c>
      <c r="H1441" t="n">
        <v>1</v>
      </c>
      <c r="I1441" t="n">
        <v>0</v>
      </c>
      <c r="J1441" t="n">
        <v>1</v>
      </c>
      <c r="K1441" t="n">
        <v>0</v>
      </c>
      <c r="L1441" t="n">
        <v>0</v>
      </c>
      <c r="M1441" t="n">
        <v>0</v>
      </c>
      <c r="N1441" t="n">
        <v>0</v>
      </c>
      <c r="O1441" t="n">
        <v>1</v>
      </c>
      <c r="P1441" t="n">
        <v>0</v>
      </c>
      <c r="Q1441" t="n">
        <v>1</v>
      </c>
      <c r="R1441" s="2" t="inlineStr">
        <is>
          <t>Varglav</t>
        </is>
      </c>
      <c r="S1441">
        <f>HYPERLINK("https://klasma.github.io/Logging_2361/artfynd/A 55222-2021 artfynd.xlsx", "A 55222-2021")</f>
        <v/>
      </c>
      <c r="T1441">
        <f>HYPERLINK("https://klasma.github.io/Logging_2361/kartor/A 55222-2021 karta.png", "A 55222-2021")</f>
        <v/>
      </c>
      <c r="V1441">
        <f>HYPERLINK("https://klasma.github.io/Logging_2361/klagomål/A 55222-2021 FSC-klagomål.docx", "A 55222-2021")</f>
        <v/>
      </c>
      <c r="W1441">
        <f>HYPERLINK("https://klasma.github.io/Logging_2361/klagomålsmail/A 55222-2021 FSC-klagomål mail.docx", "A 55222-2021")</f>
        <v/>
      </c>
      <c r="X1441">
        <f>HYPERLINK("https://klasma.github.io/Logging_2361/tillsyn/A 55222-2021 tillsynsbegäran.docx", "A 55222-2021")</f>
        <v/>
      </c>
      <c r="Y1441">
        <f>HYPERLINK("https://klasma.github.io/Logging_2361/tillsynsmail/A 55222-2021 tillsynsbegäran mail.docx", "A 55222-2021")</f>
        <v/>
      </c>
    </row>
    <row r="1442" ht="15" customHeight="1">
      <c r="A1442" t="inlineStr">
        <is>
          <t>A 55245-2021</t>
        </is>
      </c>
      <c r="B1442" s="1" t="n">
        <v>44475</v>
      </c>
      <c r="C1442" s="1" t="n">
        <v>46045</v>
      </c>
      <c r="D1442" t="inlineStr">
        <is>
          <t>JÄMTLANDS LÄN</t>
        </is>
      </c>
      <c r="E1442" t="inlineStr">
        <is>
          <t>HÄRJEDALEN</t>
        </is>
      </c>
      <c r="G1442" t="n">
        <v>5.1</v>
      </c>
      <c r="H1442" t="n">
        <v>0</v>
      </c>
      <c r="I1442" t="n">
        <v>0</v>
      </c>
      <c r="J1442" t="n">
        <v>1</v>
      </c>
      <c r="K1442" t="n">
        <v>0</v>
      </c>
      <c r="L1442" t="n">
        <v>0</v>
      </c>
      <c r="M1442" t="n">
        <v>0</v>
      </c>
      <c r="N1442" t="n">
        <v>0</v>
      </c>
      <c r="O1442" t="n">
        <v>1</v>
      </c>
      <c r="P1442" t="n">
        <v>0</v>
      </c>
      <c r="Q1442" t="n">
        <v>1</v>
      </c>
      <c r="R1442" s="2" t="inlineStr">
        <is>
          <t>Blanksvart spiklav</t>
        </is>
      </c>
      <c r="S1442">
        <f>HYPERLINK("https://klasma.github.io/Logging_2361/artfynd/A 55245-2021 artfynd.xlsx", "A 55245-2021")</f>
        <v/>
      </c>
      <c r="T1442">
        <f>HYPERLINK("https://klasma.github.io/Logging_2361/kartor/A 55245-2021 karta.png", "A 55245-2021")</f>
        <v/>
      </c>
      <c r="V1442">
        <f>HYPERLINK("https://klasma.github.io/Logging_2361/klagomål/A 55245-2021 FSC-klagomål.docx", "A 55245-2021")</f>
        <v/>
      </c>
      <c r="W1442">
        <f>HYPERLINK("https://klasma.github.io/Logging_2361/klagomålsmail/A 55245-2021 FSC-klagomål mail.docx", "A 55245-2021")</f>
        <v/>
      </c>
      <c r="X1442">
        <f>HYPERLINK("https://klasma.github.io/Logging_2361/tillsyn/A 55245-2021 tillsynsbegäran.docx", "A 55245-2021")</f>
        <v/>
      </c>
      <c r="Y1442">
        <f>HYPERLINK("https://klasma.github.io/Logging_2361/tillsynsmail/A 55245-2021 tillsynsbegäran mail.docx", "A 55245-2021")</f>
        <v/>
      </c>
    </row>
    <row r="1443" ht="15" customHeight="1">
      <c r="A1443" t="inlineStr">
        <is>
          <t>A 21572-2021</t>
        </is>
      </c>
      <c r="B1443" s="1" t="n">
        <v>44321</v>
      </c>
      <c r="C1443" s="1" t="n">
        <v>46045</v>
      </c>
      <c r="D1443" t="inlineStr">
        <is>
          <t>JÄMTLANDS LÄN</t>
        </is>
      </c>
      <c r="E1443" t="inlineStr">
        <is>
          <t>HÄRJEDALEN</t>
        </is>
      </c>
      <c r="F1443" t="inlineStr">
        <is>
          <t>Holmen skog AB</t>
        </is>
      </c>
      <c r="G1443" t="n">
        <v>29</v>
      </c>
      <c r="H1443" t="n">
        <v>0</v>
      </c>
      <c r="I1443" t="n">
        <v>0</v>
      </c>
      <c r="J1443" t="n">
        <v>1</v>
      </c>
      <c r="K1443" t="n">
        <v>0</v>
      </c>
      <c r="L1443" t="n">
        <v>0</v>
      </c>
      <c r="M1443" t="n">
        <v>0</v>
      </c>
      <c r="N1443" t="n">
        <v>0</v>
      </c>
      <c r="O1443" t="n">
        <v>1</v>
      </c>
      <c r="P1443" t="n">
        <v>0</v>
      </c>
      <c r="Q1443" t="n">
        <v>1</v>
      </c>
      <c r="R1443" s="2" t="inlineStr">
        <is>
          <t>Skrovlig taggsvamp</t>
        </is>
      </c>
      <c r="S1443">
        <f>HYPERLINK("https://klasma.github.io/Logging_2361/artfynd/A 21572-2021 artfynd.xlsx", "A 21572-2021")</f>
        <v/>
      </c>
      <c r="T1443">
        <f>HYPERLINK("https://klasma.github.io/Logging_2361/kartor/A 21572-2021 karta.png", "A 21572-2021")</f>
        <v/>
      </c>
      <c r="V1443">
        <f>HYPERLINK("https://klasma.github.io/Logging_2361/klagomål/A 21572-2021 FSC-klagomål.docx", "A 21572-2021")</f>
        <v/>
      </c>
      <c r="W1443">
        <f>HYPERLINK("https://klasma.github.io/Logging_2361/klagomålsmail/A 21572-2021 FSC-klagomål mail.docx", "A 21572-2021")</f>
        <v/>
      </c>
      <c r="X1443">
        <f>HYPERLINK("https://klasma.github.io/Logging_2361/tillsyn/A 21572-2021 tillsynsbegäran.docx", "A 21572-2021")</f>
        <v/>
      </c>
      <c r="Y1443">
        <f>HYPERLINK("https://klasma.github.io/Logging_2361/tillsynsmail/A 21572-2021 tillsynsbegäran mail.docx", "A 21572-2021")</f>
        <v/>
      </c>
    </row>
    <row r="1444" ht="15" customHeight="1">
      <c r="A1444" t="inlineStr">
        <is>
          <t>A 26135-2021</t>
        </is>
      </c>
      <c r="B1444" s="1" t="n">
        <v>44346.64210648148</v>
      </c>
      <c r="C1444" s="1" t="n">
        <v>46045</v>
      </c>
      <c r="D1444" t="inlineStr">
        <is>
          <t>JÄMTLANDS LÄN</t>
        </is>
      </c>
      <c r="E1444" t="inlineStr">
        <is>
          <t>BRÄCKE</t>
        </is>
      </c>
      <c r="G1444" t="n">
        <v>15.1</v>
      </c>
      <c r="H1444" t="n">
        <v>0</v>
      </c>
      <c r="I1444" t="n">
        <v>1</v>
      </c>
      <c r="J1444" t="n">
        <v>0</v>
      </c>
      <c r="K1444" t="n">
        <v>0</v>
      </c>
      <c r="L1444" t="n">
        <v>0</v>
      </c>
      <c r="M1444" t="n">
        <v>0</v>
      </c>
      <c r="N1444" t="n">
        <v>0</v>
      </c>
      <c r="O1444" t="n">
        <v>0</v>
      </c>
      <c r="P1444" t="n">
        <v>0</v>
      </c>
      <c r="Q1444" t="n">
        <v>1</v>
      </c>
      <c r="R1444" s="2" t="inlineStr">
        <is>
          <t>Grönpyrola</t>
        </is>
      </c>
      <c r="S1444">
        <f>HYPERLINK("https://klasma.github.io/Logging_2305/artfynd/A 26135-2021 artfynd.xlsx", "A 26135-2021")</f>
        <v/>
      </c>
      <c r="T1444">
        <f>HYPERLINK("https://klasma.github.io/Logging_2305/kartor/A 26135-2021 karta.png", "A 26135-2021")</f>
        <v/>
      </c>
      <c r="V1444">
        <f>HYPERLINK("https://klasma.github.io/Logging_2305/klagomål/A 26135-2021 FSC-klagomål.docx", "A 26135-2021")</f>
        <v/>
      </c>
      <c r="W1444">
        <f>HYPERLINK("https://klasma.github.io/Logging_2305/klagomålsmail/A 26135-2021 FSC-klagomål mail.docx", "A 26135-2021")</f>
        <v/>
      </c>
      <c r="X1444">
        <f>HYPERLINK("https://klasma.github.io/Logging_2305/tillsyn/A 26135-2021 tillsynsbegäran.docx", "A 26135-2021")</f>
        <v/>
      </c>
      <c r="Y1444">
        <f>HYPERLINK("https://klasma.github.io/Logging_2305/tillsynsmail/A 26135-2021 tillsynsbegäran mail.docx", "A 26135-2021")</f>
        <v/>
      </c>
    </row>
    <row r="1445" ht="15" customHeight="1">
      <c r="A1445" t="inlineStr">
        <is>
          <t>A 21275-2022</t>
        </is>
      </c>
      <c r="B1445" s="1" t="n">
        <v>44705</v>
      </c>
      <c r="C1445" s="1" t="n">
        <v>46045</v>
      </c>
      <c r="D1445" t="inlineStr">
        <is>
          <t>JÄMTLANDS LÄN</t>
        </is>
      </c>
      <c r="E1445" t="inlineStr">
        <is>
          <t>RAGUNDA</t>
        </is>
      </c>
      <c r="G1445" t="n">
        <v>2.2</v>
      </c>
      <c r="H1445" t="n">
        <v>0</v>
      </c>
      <c r="I1445" t="n">
        <v>1</v>
      </c>
      <c r="J1445" t="n">
        <v>0</v>
      </c>
      <c r="K1445" t="n">
        <v>0</v>
      </c>
      <c r="L1445" t="n">
        <v>0</v>
      </c>
      <c r="M1445" t="n">
        <v>0</v>
      </c>
      <c r="N1445" t="n">
        <v>0</v>
      </c>
      <c r="O1445" t="n">
        <v>0</v>
      </c>
      <c r="P1445" t="n">
        <v>0</v>
      </c>
      <c r="Q1445" t="n">
        <v>1</v>
      </c>
      <c r="R1445" s="2" t="inlineStr">
        <is>
          <t>Kransrams</t>
        </is>
      </c>
      <c r="S1445">
        <f>HYPERLINK("https://klasma.github.io/Logging_2303/artfynd/A 21275-2022 artfynd.xlsx", "A 21275-2022")</f>
        <v/>
      </c>
      <c r="T1445">
        <f>HYPERLINK("https://klasma.github.io/Logging_2303/kartor/A 21275-2022 karta.png", "A 21275-2022")</f>
        <v/>
      </c>
      <c r="V1445">
        <f>HYPERLINK("https://klasma.github.io/Logging_2303/klagomål/A 21275-2022 FSC-klagomål.docx", "A 21275-2022")</f>
        <v/>
      </c>
      <c r="W1445">
        <f>HYPERLINK("https://klasma.github.io/Logging_2303/klagomålsmail/A 21275-2022 FSC-klagomål mail.docx", "A 21275-2022")</f>
        <v/>
      </c>
      <c r="X1445">
        <f>HYPERLINK("https://klasma.github.io/Logging_2303/tillsyn/A 21275-2022 tillsynsbegäran.docx", "A 21275-2022")</f>
        <v/>
      </c>
      <c r="Y1445">
        <f>HYPERLINK("https://klasma.github.io/Logging_2303/tillsynsmail/A 21275-2022 tillsynsbegäran mail.docx", "A 21275-2022")</f>
        <v/>
      </c>
    </row>
    <row r="1446" ht="15" customHeight="1">
      <c r="A1446" t="inlineStr">
        <is>
          <t>A 46785-2021</t>
        </is>
      </c>
      <c r="B1446" s="1" t="n">
        <v>44445</v>
      </c>
      <c r="C1446" s="1" t="n">
        <v>46045</v>
      </c>
      <c r="D1446" t="inlineStr">
        <is>
          <t>JÄMTLANDS LÄN</t>
        </is>
      </c>
      <c r="E1446" t="inlineStr">
        <is>
          <t>KROKOM</t>
        </is>
      </c>
      <c r="F1446" t="inlineStr">
        <is>
          <t>SCA</t>
        </is>
      </c>
      <c r="G1446" t="n">
        <v>1.5</v>
      </c>
      <c r="H1446" t="n">
        <v>0</v>
      </c>
      <c r="I1446" t="n">
        <v>0</v>
      </c>
      <c r="J1446" t="n">
        <v>1</v>
      </c>
      <c r="K1446" t="n">
        <v>0</v>
      </c>
      <c r="L1446" t="n">
        <v>0</v>
      </c>
      <c r="M1446" t="n">
        <v>0</v>
      </c>
      <c r="N1446" t="n">
        <v>0</v>
      </c>
      <c r="O1446" t="n">
        <v>1</v>
      </c>
      <c r="P1446" t="n">
        <v>0</v>
      </c>
      <c r="Q1446" t="n">
        <v>1</v>
      </c>
      <c r="R1446" s="2" t="inlineStr">
        <is>
          <t>Harticka</t>
        </is>
      </c>
      <c r="S1446">
        <f>HYPERLINK("https://klasma.github.io/Logging_2309/artfynd/A 46785-2021 artfynd.xlsx", "A 46785-2021")</f>
        <v/>
      </c>
      <c r="T1446">
        <f>HYPERLINK("https://klasma.github.io/Logging_2309/kartor/A 46785-2021 karta.png", "A 46785-2021")</f>
        <v/>
      </c>
      <c r="V1446">
        <f>HYPERLINK("https://klasma.github.io/Logging_2309/klagomål/A 46785-2021 FSC-klagomål.docx", "A 46785-2021")</f>
        <v/>
      </c>
      <c r="W1446">
        <f>HYPERLINK("https://klasma.github.io/Logging_2309/klagomålsmail/A 46785-2021 FSC-klagomål mail.docx", "A 46785-2021")</f>
        <v/>
      </c>
      <c r="X1446">
        <f>HYPERLINK("https://klasma.github.io/Logging_2309/tillsyn/A 46785-2021 tillsynsbegäran.docx", "A 46785-2021")</f>
        <v/>
      </c>
      <c r="Y1446">
        <f>HYPERLINK("https://klasma.github.io/Logging_2309/tillsynsmail/A 46785-2021 tillsynsbegäran mail.docx", "A 46785-2021")</f>
        <v/>
      </c>
    </row>
    <row r="1447" ht="15" customHeight="1">
      <c r="A1447" t="inlineStr">
        <is>
          <t>A 27560-2021</t>
        </is>
      </c>
      <c r="B1447" s="1" t="n">
        <v>44352.36559027778</v>
      </c>
      <c r="C1447" s="1" t="n">
        <v>46045</v>
      </c>
      <c r="D1447" t="inlineStr">
        <is>
          <t>JÄMTLANDS LÄN</t>
        </is>
      </c>
      <c r="E1447" t="inlineStr">
        <is>
          <t>STRÖMSUND</t>
        </is>
      </c>
      <c r="G1447" t="n">
        <v>2.5</v>
      </c>
      <c r="H1447" t="n">
        <v>1</v>
      </c>
      <c r="I1447" t="n">
        <v>0</v>
      </c>
      <c r="J1447" t="n">
        <v>0</v>
      </c>
      <c r="K1447" t="n">
        <v>0</v>
      </c>
      <c r="L1447" t="n">
        <v>0</v>
      </c>
      <c r="M1447" t="n">
        <v>0</v>
      </c>
      <c r="N1447" t="n">
        <v>0</v>
      </c>
      <c r="O1447" t="n">
        <v>0</v>
      </c>
      <c r="P1447" t="n">
        <v>0</v>
      </c>
      <c r="Q1447" t="n">
        <v>1</v>
      </c>
      <c r="R1447" s="2" t="inlineStr">
        <is>
          <t>Fläcknycklar</t>
        </is>
      </c>
      <c r="S1447">
        <f>HYPERLINK("https://klasma.github.io/Logging_2313/artfynd/A 27560-2021 artfynd.xlsx", "A 27560-2021")</f>
        <v/>
      </c>
      <c r="T1447">
        <f>HYPERLINK("https://klasma.github.io/Logging_2313/kartor/A 27560-2021 karta.png", "A 27560-2021")</f>
        <v/>
      </c>
      <c r="V1447">
        <f>HYPERLINK("https://klasma.github.io/Logging_2313/klagomål/A 27560-2021 FSC-klagomål.docx", "A 27560-2021")</f>
        <v/>
      </c>
      <c r="W1447">
        <f>HYPERLINK("https://klasma.github.io/Logging_2313/klagomålsmail/A 27560-2021 FSC-klagomål mail.docx", "A 27560-2021")</f>
        <v/>
      </c>
      <c r="X1447">
        <f>HYPERLINK("https://klasma.github.io/Logging_2313/tillsyn/A 27560-2021 tillsynsbegäran.docx", "A 27560-2021")</f>
        <v/>
      </c>
      <c r="Y1447">
        <f>HYPERLINK("https://klasma.github.io/Logging_2313/tillsynsmail/A 27560-2021 tillsynsbegäran mail.docx", "A 27560-2021")</f>
        <v/>
      </c>
    </row>
    <row r="1448" ht="15" customHeight="1">
      <c r="A1448" t="inlineStr">
        <is>
          <t>A 68604-2021</t>
        </is>
      </c>
      <c r="B1448" s="1" t="n">
        <v>44529</v>
      </c>
      <c r="C1448" s="1" t="n">
        <v>46045</v>
      </c>
      <c r="D1448" t="inlineStr">
        <is>
          <t>JÄMTLANDS LÄN</t>
        </is>
      </c>
      <c r="E1448" t="inlineStr">
        <is>
          <t>STRÖMSUND</t>
        </is>
      </c>
      <c r="G1448" t="n">
        <v>1.3</v>
      </c>
      <c r="H1448" t="n">
        <v>0</v>
      </c>
      <c r="I1448" t="n">
        <v>0</v>
      </c>
      <c r="J1448" t="n">
        <v>1</v>
      </c>
      <c r="K1448" t="n">
        <v>0</v>
      </c>
      <c r="L1448" t="n">
        <v>0</v>
      </c>
      <c r="M1448" t="n">
        <v>0</v>
      </c>
      <c r="N1448" t="n">
        <v>0</v>
      </c>
      <c r="O1448" t="n">
        <v>1</v>
      </c>
      <c r="P1448" t="n">
        <v>0</v>
      </c>
      <c r="Q1448" t="n">
        <v>1</v>
      </c>
      <c r="R1448" s="2" t="inlineStr">
        <is>
          <t>Blanksvart spiklav</t>
        </is>
      </c>
      <c r="S1448">
        <f>HYPERLINK("https://klasma.github.io/Logging_2313/artfynd/A 68604-2021 artfynd.xlsx", "A 68604-2021")</f>
        <v/>
      </c>
      <c r="T1448">
        <f>HYPERLINK("https://klasma.github.io/Logging_2313/kartor/A 68604-2021 karta.png", "A 68604-2021")</f>
        <v/>
      </c>
      <c r="V1448">
        <f>HYPERLINK("https://klasma.github.io/Logging_2313/klagomål/A 68604-2021 FSC-klagomål.docx", "A 68604-2021")</f>
        <v/>
      </c>
      <c r="W1448">
        <f>HYPERLINK("https://klasma.github.io/Logging_2313/klagomålsmail/A 68604-2021 FSC-klagomål mail.docx", "A 68604-2021")</f>
        <v/>
      </c>
      <c r="X1448">
        <f>HYPERLINK("https://klasma.github.io/Logging_2313/tillsyn/A 68604-2021 tillsynsbegäran.docx", "A 68604-2021")</f>
        <v/>
      </c>
      <c r="Y1448">
        <f>HYPERLINK("https://klasma.github.io/Logging_2313/tillsynsmail/A 68604-2021 tillsynsbegäran mail.docx", "A 68604-2021")</f>
        <v/>
      </c>
    </row>
    <row r="1449" ht="15" customHeight="1">
      <c r="A1449" t="inlineStr">
        <is>
          <t>A 64968-2021</t>
        </is>
      </c>
      <c r="B1449" s="1" t="n">
        <v>44512</v>
      </c>
      <c r="C1449" s="1" t="n">
        <v>46045</v>
      </c>
      <c r="D1449" t="inlineStr">
        <is>
          <t>JÄMTLANDS LÄN</t>
        </is>
      </c>
      <c r="E1449" t="inlineStr">
        <is>
          <t>KROKOM</t>
        </is>
      </c>
      <c r="F1449" t="inlineStr">
        <is>
          <t>SCA</t>
        </is>
      </c>
      <c r="G1449" t="n">
        <v>3.2</v>
      </c>
      <c r="H1449" t="n">
        <v>0</v>
      </c>
      <c r="I1449" t="n">
        <v>0</v>
      </c>
      <c r="J1449" t="n">
        <v>1</v>
      </c>
      <c r="K1449" t="n">
        <v>0</v>
      </c>
      <c r="L1449" t="n">
        <v>0</v>
      </c>
      <c r="M1449" t="n">
        <v>0</v>
      </c>
      <c r="N1449" t="n">
        <v>0</v>
      </c>
      <c r="O1449" t="n">
        <v>1</v>
      </c>
      <c r="P1449" t="n">
        <v>0</v>
      </c>
      <c r="Q1449" t="n">
        <v>1</v>
      </c>
      <c r="R1449" s="2" t="inlineStr">
        <is>
          <t>Skrovellav</t>
        </is>
      </c>
      <c r="S1449">
        <f>HYPERLINK("https://klasma.github.io/Logging_2309/artfynd/A 64968-2021 artfynd.xlsx", "A 64968-2021")</f>
        <v/>
      </c>
      <c r="T1449">
        <f>HYPERLINK("https://klasma.github.io/Logging_2309/kartor/A 64968-2021 karta.png", "A 64968-2021")</f>
        <v/>
      </c>
      <c r="V1449">
        <f>HYPERLINK("https://klasma.github.io/Logging_2309/klagomål/A 64968-2021 FSC-klagomål.docx", "A 64968-2021")</f>
        <v/>
      </c>
      <c r="W1449">
        <f>HYPERLINK("https://klasma.github.io/Logging_2309/klagomålsmail/A 64968-2021 FSC-klagomål mail.docx", "A 64968-2021")</f>
        <v/>
      </c>
      <c r="X1449">
        <f>HYPERLINK("https://klasma.github.io/Logging_2309/tillsyn/A 64968-2021 tillsynsbegäran.docx", "A 64968-2021")</f>
        <v/>
      </c>
      <c r="Y1449">
        <f>HYPERLINK("https://klasma.github.io/Logging_2309/tillsynsmail/A 64968-2021 tillsynsbegäran mail.docx", "A 64968-2021")</f>
        <v/>
      </c>
    </row>
    <row r="1450" ht="15" customHeight="1">
      <c r="A1450" t="inlineStr">
        <is>
          <t>A 25818-2021</t>
        </is>
      </c>
      <c r="B1450" s="1" t="n">
        <v>44343.93589120371</v>
      </c>
      <c r="C1450" s="1" t="n">
        <v>46045</v>
      </c>
      <c r="D1450" t="inlineStr">
        <is>
          <t>JÄMTLANDS LÄN</t>
        </is>
      </c>
      <c r="E1450" t="inlineStr">
        <is>
          <t>STRÖMSUND</t>
        </is>
      </c>
      <c r="F1450" t="inlineStr">
        <is>
          <t>SCA</t>
        </is>
      </c>
      <c r="G1450" t="n">
        <v>2.8</v>
      </c>
      <c r="H1450" t="n">
        <v>1</v>
      </c>
      <c r="I1450" t="n">
        <v>0</v>
      </c>
      <c r="J1450" t="n">
        <v>0</v>
      </c>
      <c r="K1450" t="n">
        <v>1</v>
      </c>
      <c r="L1450" t="n">
        <v>0</v>
      </c>
      <c r="M1450" t="n">
        <v>0</v>
      </c>
      <c r="N1450" t="n">
        <v>0</v>
      </c>
      <c r="O1450" t="n">
        <v>1</v>
      </c>
      <c r="P1450" t="n">
        <v>1</v>
      </c>
      <c r="Q1450" t="n">
        <v>1</v>
      </c>
      <c r="R1450" s="2" t="inlineStr">
        <is>
          <t>Knärot</t>
        </is>
      </c>
      <c r="S1450">
        <f>HYPERLINK("https://klasma.github.io/Logging_2313/artfynd/A 25818-2021 artfynd.xlsx", "A 25818-2021")</f>
        <v/>
      </c>
      <c r="T1450">
        <f>HYPERLINK("https://klasma.github.io/Logging_2313/kartor/A 25818-2021 karta.png", "A 25818-2021")</f>
        <v/>
      </c>
      <c r="U1450">
        <f>HYPERLINK("https://klasma.github.io/Logging_2313/knärot/A 25818-2021 karta knärot.png", "A 25818-2021")</f>
        <v/>
      </c>
      <c r="V1450">
        <f>HYPERLINK("https://klasma.github.io/Logging_2313/klagomål/A 25818-2021 FSC-klagomål.docx", "A 25818-2021")</f>
        <v/>
      </c>
      <c r="W1450">
        <f>HYPERLINK("https://klasma.github.io/Logging_2313/klagomålsmail/A 25818-2021 FSC-klagomål mail.docx", "A 25818-2021")</f>
        <v/>
      </c>
      <c r="X1450">
        <f>HYPERLINK("https://klasma.github.io/Logging_2313/tillsyn/A 25818-2021 tillsynsbegäran.docx", "A 25818-2021")</f>
        <v/>
      </c>
      <c r="Y1450">
        <f>HYPERLINK("https://klasma.github.io/Logging_2313/tillsynsmail/A 25818-2021 tillsynsbegäran mail.docx", "A 25818-2021")</f>
        <v/>
      </c>
    </row>
    <row r="1451" ht="15" customHeight="1">
      <c r="A1451" t="inlineStr">
        <is>
          <t>A 11781-2021</t>
        </is>
      </c>
      <c r="B1451" s="1" t="n">
        <v>44265</v>
      </c>
      <c r="C1451" s="1" t="n">
        <v>46045</v>
      </c>
      <c r="D1451" t="inlineStr">
        <is>
          <t>JÄMTLANDS LÄN</t>
        </is>
      </c>
      <c r="E1451" t="inlineStr">
        <is>
          <t>ÅRE</t>
        </is>
      </c>
      <c r="G1451" t="n">
        <v>4.1</v>
      </c>
      <c r="H1451" t="n">
        <v>0</v>
      </c>
      <c r="I1451" t="n">
        <v>1</v>
      </c>
      <c r="J1451" t="n">
        <v>0</v>
      </c>
      <c r="K1451" t="n">
        <v>0</v>
      </c>
      <c r="L1451" t="n">
        <v>0</v>
      </c>
      <c r="M1451" t="n">
        <v>0</v>
      </c>
      <c r="N1451" t="n">
        <v>0</v>
      </c>
      <c r="O1451" t="n">
        <v>0</v>
      </c>
      <c r="P1451" t="n">
        <v>0</v>
      </c>
      <c r="Q1451" t="n">
        <v>1</v>
      </c>
      <c r="R1451" s="2" t="inlineStr">
        <is>
          <t>Finbräken</t>
        </is>
      </c>
      <c r="S1451">
        <f>HYPERLINK("https://klasma.github.io/Logging_2321/artfynd/A 11781-2021 artfynd.xlsx", "A 11781-2021")</f>
        <v/>
      </c>
      <c r="T1451">
        <f>HYPERLINK("https://klasma.github.io/Logging_2321/kartor/A 11781-2021 karta.png", "A 11781-2021")</f>
        <v/>
      </c>
      <c r="V1451">
        <f>HYPERLINK("https://klasma.github.io/Logging_2321/klagomål/A 11781-2021 FSC-klagomål.docx", "A 11781-2021")</f>
        <v/>
      </c>
      <c r="W1451">
        <f>HYPERLINK("https://klasma.github.io/Logging_2321/klagomålsmail/A 11781-2021 FSC-klagomål mail.docx", "A 11781-2021")</f>
        <v/>
      </c>
      <c r="X1451">
        <f>HYPERLINK("https://klasma.github.io/Logging_2321/tillsyn/A 11781-2021 tillsynsbegäran.docx", "A 11781-2021")</f>
        <v/>
      </c>
      <c r="Y1451">
        <f>HYPERLINK("https://klasma.github.io/Logging_2321/tillsynsmail/A 11781-2021 tillsynsbegäran mail.docx", "A 11781-2021")</f>
        <v/>
      </c>
    </row>
    <row r="1452" ht="15" customHeight="1">
      <c r="A1452" t="inlineStr">
        <is>
          <t>A 46787-2021</t>
        </is>
      </c>
      <c r="B1452" s="1" t="n">
        <v>44445</v>
      </c>
      <c r="C1452" s="1" t="n">
        <v>46045</v>
      </c>
      <c r="D1452" t="inlineStr">
        <is>
          <t>JÄMTLANDS LÄN</t>
        </is>
      </c>
      <c r="E1452" t="inlineStr">
        <is>
          <t>KROKOM</t>
        </is>
      </c>
      <c r="F1452" t="inlineStr">
        <is>
          <t>SCA</t>
        </is>
      </c>
      <c r="G1452" t="n">
        <v>4.6</v>
      </c>
      <c r="H1452" t="n">
        <v>0</v>
      </c>
      <c r="I1452" t="n">
        <v>0</v>
      </c>
      <c r="J1452" t="n">
        <v>1</v>
      </c>
      <c r="K1452" t="n">
        <v>0</v>
      </c>
      <c r="L1452" t="n">
        <v>0</v>
      </c>
      <c r="M1452" t="n">
        <v>0</v>
      </c>
      <c r="N1452" t="n">
        <v>0</v>
      </c>
      <c r="O1452" t="n">
        <v>1</v>
      </c>
      <c r="P1452" t="n">
        <v>0</v>
      </c>
      <c r="Q1452" t="n">
        <v>1</v>
      </c>
      <c r="R1452" s="2" t="inlineStr">
        <is>
          <t>Gammelgransskål</t>
        </is>
      </c>
      <c r="S1452">
        <f>HYPERLINK("https://klasma.github.io/Logging_2309/artfynd/A 46787-2021 artfynd.xlsx", "A 46787-2021")</f>
        <v/>
      </c>
      <c r="T1452">
        <f>HYPERLINK("https://klasma.github.io/Logging_2309/kartor/A 46787-2021 karta.png", "A 46787-2021")</f>
        <v/>
      </c>
      <c r="V1452">
        <f>HYPERLINK("https://klasma.github.io/Logging_2309/klagomål/A 46787-2021 FSC-klagomål.docx", "A 46787-2021")</f>
        <v/>
      </c>
      <c r="W1452">
        <f>HYPERLINK("https://klasma.github.io/Logging_2309/klagomålsmail/A 46787-2021 FSC-klagomål mail.docx", "A 46787-2021")</f>
        <v/>
      </c>
      <c r="X1452">
        <f>HYPERLINK("https://klasma.github.io/Logging_2309/tillsyn/A 46787-2021 tillsynsbegäran.docx", "A 46787-2021")</f>
        <v/>
      </c>
      <c r="Y1452">
        <f>HYPERLINK("https://klasma.github.io/Logging_2309/tillsynsmail/A 46787-2021 tillsynsbegäran mail.docx", "A 46787-2021")</f>
        <v/>
      </c>
    </row>
    <row r="1453" ht="15" customHeight="1">
      <c r="A1453" t="inlineStr">
        <is>
          <t>A 27273-2022</t>
        </is>
      </c>
      <c r="B1453" s="1" t="n">
        <v>44741</v>
      </c>
      <c r="C1453" s="1" t="n">
        <v>46045</v>
      </c>
      <c r="D1453" t="inlineStr">
        <is>
          <t>JÄMTLANDS LÄN</t>
        </is>
      </c>
      <c r="E1453" t="inlineStr">
        <is>
          <t>RAGUNDA</t>
        </is>
      </c>
      <c r="G1453" t="n">
        <v>1.2</v>
      </c>
      <c r="H1453" t="n">
        <v>0</v>
      </c>
      <c r="I1453" t="n">
        <v>1</v>
      </c>
      <c r="J1453" t="n">
        <v>0</v>
      </c>
      <c r="K1453" t="n">
        <v>0</v>
      </c>
      <c r="L1453" t="n">
        <v>0</v>
      </c>
      <c r="M1453" t="n">
        <v>0</v>
      </c>
      <c r="N1453" t="n">
        <v>0</v>
      </c>
      <c r="O1453" t="n">
        <v>0</v>
      </c>
      <c r="P1453" t="n">
        <v>0</v>
      </c>
      <c r="Q1453" t="n">
        <v>1</v>
      </c>
      <c r="R1453" s="2" t="inlineStr">
        <is>
          <t>Svart trolldruva</t>
        </is>
      </c>
      <c r="S1453">
        <f>HYPERLINK("https://klasma.github.io/Logging_2303/artfynd/A 27273-2022 artfynd.xlsx", "A 27273-2022")</f>
        <v/>
      </c>
      <c r="T1453">
        <f>HYPERLINK("https://klasma.github.io/Logging_2303/kartor/A 27273-2022 karta.png", "A 27273-2022")</f>
        <v/>
      </c>
      <c r="V1453">
        <f>HYPERLINK("https://klasma.github.io/Logging_2303/klagomål/A 27273-2022 FSC-klagomål.docx", "A 27273-2022")</f>
        <v/>
      </c>
      <c r="W1453">
        <f>HYPERLINK("https://klasma.github.io/Logging_2303/klagomålsmail/A 27273-2022 FSC-klagomål mail.docx", "A 27273-2022")</f>
        <v/>
      </c>
      <c r="X1453">
        <f>HYPERLINK("https://klasma.github.io/Logging_2303/tillsyn/A 27273-2022 tillsynsbegäran.docx", "A 27273-2022")</f>
        <v/>
      </c>
      <c r="Y1453">
        <f>HYPERLINK("https://klasma.github.io/Logging_2303/tillsynsmail/A 27273-2022 tillsynsbegäran mail.docx", "A 27273-2022")</f>
        <v/>
      </c>
    </row>
    <row r="1454" ht="15" customHeight="1">
      <c r="A1454" t="inlineStr">
        <is>
          <t>A 32351-2022</t>
        </is>
      </c>
      <c r="B1454" s="1" t="n">
        <v>44781</v>
      </c>
      <c r="C1454" s="1" t="n">
        <v>46045</v>
      </c>
      <c r="D1454" t="inlineStr">
        <is>
          <t>JÄMTLANDS LÄN</t>
        </is>
      </c>
      <c r="E1454" t="inlineStr">
        <is>
          <t>STRÖMSUND</t>
        </is>
      </c>
      <c r="F1454" t="inlineStr">
        <is>
          <t>SCA</t>
        </is>
      </c>
      <c r="G1454" t="n">
        <v>13.2</v>
      </c>
      <c r="H1454" t="n">
        <v>0</v>
      </c>
      <c r="I1454" t="n">
        <v>0</v>
      </c>
      <c r="J1454" t="n">
        <v>1</v>
      </c>
      <c r="K1454" t="n">
        <v>0</v>
      </c>
      <c r="L1454" t="n">
        <v>0</v>
      </c>
      <c r="M1454" t="n">
        <v>0</v>
      </c>
      <c r="N1454" t="n">
        <v>0</v>
      </c>
      <c r="O1454" t="n">
        <v>1</v>
      </c>
      <c r="P1454" t="n">
        <v>0</v>
      </c>
      <c r="Q1454" t="n">
        <v>1</v>
      </c>
      <c r="R1454" s="2" t="inlineStr">
        <is>
          <t>Harticka</t>
        </is>
      </c>
      <c r="S1454">
        <f>HYPERLINK("https://klasma.github.io/Logging_2313/artfynd/A 32351-2022 artfynd.xlsx", "A 32351-2022")</f>
        <v/>
      </c>
      <c r="T1454">
        <f>HYPERLINK("https://klasma.github.io/Logging_2313/kartor/A 32351-2022 karta.png", "A 32351-2022")</f>
        <v/>
      </c>
      <c r="V1454">
        <f>HYPERLINK("https://klasma.github.io/Logging_2313/klagomål/A 32351-2022 FSC-klagomål.docx", "A 32351-2022")</f>
        <v/>
      </c>
      <c r="W1454">
        <f>HYPERLINK("https://klasma.github.io/Logging_2313/klagomålsmail/A 32351-2022 FSC-klagomål mail.docx", "A 32351-2022")</f>
        <v/>
      </c>
      <c r="X1454">
        <f>HYPERLINK("https://klasma.github.io/Logging_2313/tillsyn/A 32351-2022 tillsynsbegäran.docx", "A 32351-2022")</f>
        <v/>
      </c>
      <c r="Y1454">
        <f>HYPERLINK("https://klasma.github.io/Logging_2313/tillsynsmail/A 32351-2022 tillsynsbegäran mail.docx", "A 32351-2022")</f>
        <v/>
      </c>
    </row>
    <row r="1455" ht="15" customHeight="1">
      <c r="A1455" t="inlineStr">
        <is>
          <t>A 11767-2021</t>
        </is>
      </c>
      <c r="B1455" s="1" t="n">
        <v>44265</v>
      </c>
      <c r="C1455" s="1" t="n">
        <v>46045</v>
      </c>
      <c r="D1455" t="inlineStr">
        <is>
          <t>JÄMTLANDS LÄN</t>
        </is>
      </c>
      <c r="E1455" t="inlineStr">
        <is>
          <t>ÅRE</t>
        </is>
      </c>
      <c r="G1455" t="n">
        <v>15.4</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HYPERLINK("https://klasma.github.io/Logging_2321/artfynd/A 11767-2021 artfynd.xlsx", "A 11767-2021")</f>
        <v/>
      </c>
      <c r="T1455">
        <f>HYPERLINK("https://klasma.github.io/Logging_2321/kartor/A 11767-2021 karta.png", "A 11767-2021")</f>
        <v/>
      </c>
      <c r="V1455">
        <f>HYPERLINK("https://klasma.github.io/Logging_2321/klagomål/A 11767-2021 FSC-klagomål.docx", "A 11767-2021")</f>
        <v/>
      </c>
      <c r="W1455">
        <f>HYPERLINK("https://klasma.github.io/Logging_2321/klagomålsmail/A 11767-2021 FSC-klagomål mail.docx", "A 11767-2021")</f>
        <v/>
      </c>
      <c r="X1455">
        <f>HYPERLINK("https://klasma.github.io/Logging_2321/tillsyn/A 11767-2021 tillsynsbegäran.docx", "A 11767-2021")</f>
        <v/>
      </c>
      <c r="Y1455">
        <f>HYPERLINK("https://klasma.github.io/Logging_2321/tillsynsmail/A 11767-2021 tillsynsbegäran mail.docx", "A 11767-2021")</f>
        <v/>
      </c>
      <c r="Z1455">
        <f>HYPERLINK("https://klasma.github.io/Logging_2321/fåglar/A 11767-2021 prioriterade fågelarter.docx", "A 11767-2021")</f>
        <v/>
      </c>
    </row>
    <row r="1456" ht="15" customHeight="1">
      <c r="A1456" t="inlineStr">
        <is>
          <t>A 33545-2021</t>
        </is>
      </c>
      <c r="B1456" s="1" t="n">
        <v>44377</v>
      </c>
      <c r="C1456" s="1" t="n">
        <v>46045</v>
      </c>
      <c r="D1456" t="inlineStr">
        <is>
          <t>JÄMTLANDS LÄN</t>
        </is>
      </c>
      <c r="E1456" t="inlineStr">
        <is>
          <t>STRÖMSUND</t>
        </is>
      </c>
      <c r="G1456" t="n">
        <v>7.5</v>
      </c>
      <c r="H1456" t="n">
        <v>0</v>
      </c>
      <c r="I1456" t="n">
        <v>0</v>
      </c>
      <c r="J1456" t="n">
        <v>1</v>
      </c>
      <c r="K1456" t="n">
        <v>0</v>
      </c>
      <c r="L1456" t="n">
        <v>0</v>
      </c>
      <c r="M1456" t="n">
        <v>0</v>
      </c>
      <c r="N1456" t="n">
        <v>0</v>
      </c>
      <c r="O1456" t="n">
        <v>1</v>
      </c>
      <c r="P1456" t="n">
        <v>0</v>
      </c>
      <c r="Q1456" t="n">
        <v>1</v>
      </c>
      <c r="R1456" s="2" t="inlineStr">
        <is>
          <t>Lunglav</t>
        </is>
      </c>
      <c r="S1456">
        <f>HYPERLINK("https://klasma.github.io/Logging_2313/artfynd/A 33545-2021 artfynd.xlsx", "A 33545-2021")</f>
        <v/>
      </c>
      <c r="T1456">
        <f>HYPERLINK("https://klasma.github.io/Logging_2313/kartor/A 33545-2021 karta.png", "A 33545-2021")</f>
        <v/>
      </c>
      <c r="V1456">
        <f>HYPERLINK("https://klasma.github.io/Logging_2313/klagomål/A 33545-2021 FSC-klagomål.docx", "A 33545-2021")</f>
        <v/>
      </c>
      <c r="W1456">
        <f>HYPERLINK("https://klasma.github.io/Logging_2313/klagomålsmail/A 33545-2021 FSC-klagomål mail.docx", "A 33545-2021")</f>
        <v/>
      </c>
      <c r="X1456">
        <f>HYPERLINK("https://klasma.github.io/Logging_2313/tillsyn/A 33545-2021 tillsynsbegäran.docx", "A 33545-2021")</f>
        <v/>
      </c>
      <c r="Y1456">
        <f>HYPERLINK("https://klasma.github.io/Logging_2313/tillsynsmail/A 33545-2021 tillsynsbegäran mail.docx", "A 33545-2021")</f>
        <v/>
      </c>
    </row>
    <row r="1457" ht="15" customHeight="1">
      <c r="A1457" t="inlineStr">
        <is>
          <t>A 3538-2022</t>
        </is>
      </c>
      <c r="B1457" s="1" t="n">
        <v>44585</v>
      </c>
      <c r="C1457" s="1" t="n">
        <v>46045</v>
      </c>
      <c r="D1457" t="inlineStr">
        <is>
          <t>JÄMTLANDS LÄN</t>
        </is>
      </c>
      <c r="E1457" t="inlineStr">
        <is>
          <t>STRÖMSUND</t>
        </is>
      </c>
      <c r="F1457" t="inlineStr">
        <is>
          <t>SCA</t>
        </is>
      </c>
      <c r="G1457" t="n">
        <v>6.6</v>
      </c>
      <c r="H1457" t="n">
        <v>0</v>
      </c>
      <c r="I1457" t="n">
        <v>0</v>
      </c>
      <c r="J1457" t="n">
        <v>1</v>
      </c>
      <c r="K1457" t="n">
        <v>0</v>
      </c>
      <c r="L1457" t="n">
        <v>0</v>
      </c>
      <c r="M1457" t="n">
        <v>0</v>
      </c>
      <c r="N1457" t="n">
        <v>0</v>
      </c>
      <c r="O1457" t="n">
        <v>1</v>
      </c>
      <c r="P1457" t="n">
        <v>0</v>
      </c>
      <c r="Q1457" t="n">
        <v>1</v>
      </c>
      <c r="R1457" s="2" t="inlineStr">
        <is>
          <t>Granticka</t>
        </is>
      </c>
      <c r="S1457">
        <f>HYPERLINK("https://klasma.github.io/Logging_2313/artfynd/A 3538-2022 artfynd.xlsx", "A 3538-2022")</f>
        <v/>
      </c>
      <c r="T1457">
        <f>HYPERLINK("https://klasma.github.io/Logging_2313/kartor/A 3538-2022 karta.png", "A 3538-2022")</f>
        <v/>
      </c>
      <c r="V1457">
        <f>HYPERLINK("https://klasma.github.io/Logging_2313/klagomål/A 3538-2022 FSC-klagomål.docx", "A 3538-2022")</f>
        <v/>
      </c>
      <c r="W1457">
        <f>HYPERLINK("https://klasma.github.io/Logging_2313/klagomålsmail/A 3538-2022 FSC-klagomål mail.docx", "A 3538-2022")</f>
        <v/>
      </c>
      <c r="X1457">
        <f>HYPERLINK("https://klasma.github.io/Logging_2313/tillsyn/A 3538-2022 tillsynsbegäran.docx", "A 3538-2022")</f>
        <v/>
      </c>
      <c r="Y1457">
        <f>HYPERLINK("https://klasma.github.io/Logging_2313/tillsynsmail/A 3538-2022 tillsynsbegäran mail.docx", "A 3538-2022")</f>
        <v/>
      </c>
    </row>
    <row r="1458" ht="15" customHeight="1">
      <c r="A1458" t="inlineStr">
        <is>
          <t>A 33137-2021</t>
        </is>
      </c>
      <c r="B1458" s="1" t="n">
        <v>44376</v>
      </c>
      <c r="C1458" s="1" t="n">
        <v>46045</v>
      </c>
      <c r="D1458" t="inlineStr">
        <is>
          <t>JÄMTLANDS LÄN</t>
        </is>
      </c>
      <c r="E1458" t="inlineStr">
        <is>
          <t>ÖSTERSUND</t>
        </is>
      </c>
      <c r="F1458" t="inlineStr">
        <is>
          <t>Kommuner</t>
        </is>
      </c>
      <c r="G1458" t="n">
        <v>3.7</v>
      </c>
      <c r="H1458" t="n">
        <v>1</v>
      </c>
      <c r="I1458" t="n">
        <v>1</v>
      </c>
      <c r="J1458" t="n">
        <v>0</v>
      </c>
      <c r="K1458" t="n">
        <v>0</v>
      </c>
      <c r="L1458" t="n">
        <v>0</v>
      </c>
      <c r="M1458" t="n">
        <v>0</v>
      </c>
      <c r="N1458" t="n">
        <v>0</v>
      </c>
      <c r="O1458" t="n">
        <v>0</v>
      </c>
      <c r="P1458" t="n">
        <v>0</v>
      </c>
      <c r="Q1458" t="n">
        <v>1</v>
      </c>
      <c r="R1458" s="2" t="inlineStr">
        <is>
          <t>Guckusko</t>
        </is>
      </c>
      <c r="S1458">
        <f>HYPERLINK("https://klasma.github.io/Logging_2380/artfynd/A 33137-2021 artfynd.xlsx", "A 33137-2021")</f>
        <v/>
      </c>
      <c r="T1458">
        <f>HYPERLINK("https://klasma.github.io/Logging_2380/kartor/A 33137-2021 karta.png", "A 33137-2021")</f>
        <v/>
      </c>
      <c r="V1458">
        <f>HYPERLINK("https://klasma.github.io/Logging_2380/klagomål/A 33137-2021 FSC-klagomål.docx", "A 33137-2021")</f>
        <v/>
      </c>
      <c r="W1458">
        <f>HYPERLINK("https://klasma.github.io/Logging_2380/klagomålsmail/A 33137-2021 FSC-klagomål mail.docx", "A 33137-2021")</f>
        <v/>
      </c>
      <c r="X1458">
        <f>HYPERLINK("https://klasma.github.io/Logging_2380/tillsyn/A 33137-2021 tillsynsbegäran.docx", "A 33137-2021")</f>
        <v/>
      </c>
      <c r="Y1458">
        <f>HYPERLINK("https://klasma.github.io/Logging_2380/tillsynsmail/A 33137-2021 tillsynsbegäran mail.docx", "A 33137-2021")</f>
        <v/>
      </c>
    </row>
    <row r="1459" ht="15" customHeight="1">
      <c r="A1459" t="inlineStr">
        <is>
          <t>A 35444-2021</t>
        </is>
      </c>
      <c r="B1459" s="1" t="n">
        <v>44385</v>
      </c>
      <c r="C1459" s="1" t="n">
        <v>46045</v>
      </c>
      <c r="D1459" t="inlineStr">
        <is>
          <t>JÄMTLANDS LÄN</t>
        </is>
      </c>
      <c r="E1459" t="inlineStr">
        <is>
          <t>STRÖMSUND</t>
        </is>
      </c>
      <c r="G1459" t="n">
        <v>20</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HYPERLINK("https://klasma.github.io/Logging_2313/artfynd/A 35444-2021 artfynd.xlsx", "A 35444-2021")</f>
        <v/>
      </c>
      <c r="T1459">
        <f>HYPERLINK("https://klasma.github.io/Logging_2313/kartor/A 35444-2021 karta.png", "A 35444-2021")</f>
        <v/>
      </c>
      <c r="V1459">
        <f>HYPERLINK("https://klasma.github.io/Logging_2313/klagomål/A 35444-2021 FSC-klagomål.docx", "A 35444-2021")</f>
        <v/>
      </c>
      <c r="W1459">
        <f>HYPERLINK("https://klasma.github.io/Logging_2313/klagomålsmail/A 35444-2021 FSC-klagomål mail.docx", "A 35444-2021")</f>
        <v/>
      </c>
      <c r="X1459">
        <f>HYPERLINK("https://klasma.github.io/Logging_2313/tillsyn/A 35444-2021 tillsynsbegäran.docx", "A 35444-2021")</f>
        <v/>
      </c>
      <c r="Y1459">
        <f>HYPERLINK("https://klasma.github.io/Logging_2313/tillsynsmail/A 35444-2021 tillsynsbegäran mail.docx", "A 35444-2021")</f>
        <v/>
      </c>
      <c r="Z1459">
        <f>HYPERLINK("https://klasma.github.io/Logging_2313/fåglar/A 35444-2021 prioriterade fågelarter.docx", "A 35444-2021")</f>
        <v/>
      </c>
    </row>
    <row r="1460" ht="15" customHeight="1">
      <c r="A1460" t="inlineStr">
        <is>
          <t>A 61437-2021</t>
        </is>
      </c>
      <c r="B1460" s="1" t="n">
        <v>44500</v>
      </c>
      <c r="C1460" s="1" t="n">
        <v>46045</v>
      </c>
      <c r="D1460" t="inlineStr">
        <is>
          <t>JÄMTLANDS LÄN</t>
        </is>
      </c>
      <c r="E1460" t="inlineStr">
        <is>
          <t>STRÖMSUND</t>
        </is>
      </c>
      <c r="F1460" t="inlineStr">
        <is>
          <t>SCA</t>
        </is>
      </c>
      <c r="G1460" t="n">
        <v>3.6</v>
      </c>
      <c r="H1460" t="n">
        <v>0</v>
      </c>
      <c r="I1460" t="n">
        <v>0</v>
      </c>
      <c r="J1460" t="n">
        <v>1</v>
      </c>
      <c r="K1460" t="n">
        <v>0</v>
      </c>
      <c r="L1460" t="n">
        <v>0</v>
      </c>
      <c r="M1460" t="n">
        <v>0</v>
      </c>
      <c r="N1460" t="n">
        <v>0</v>
      </c>
      <c r="O1460" t="n">
        <v>1</v>
      </c>
      <c r="P1460" t="n">
        <v>0</v>
      </c>
      <c r="Q1460" t="n">
        <v>1</v>
      </c>
      <c r="R1460" s="2" t="inlineStr">
        <is>
          <t>Rödbrun klubbdyna</t>
        </is>
      </c>
      <c r="S1460">
        <f>HYPERLINK("https://klasma.github.io/Logging_2313/artfynd/A 61437-2021 artfynd.xlsx", "A 61437-2021")</f>
        <v/>
      </c>
      <c r="T1460">
        <f>HYPERLINK("https://klasma.github.io/Logging_2313/kartor/A 61437-2021 karta.png", "A 61437-2021")</f>
        <v/>
      </c>
      <c r="V1460">
        <f>HYPERLINK("https://klasma.github.io/Logging_2313/klagomål/A 61437-2021 FSC-klagomål.docx", "A 61437-2021")</f>
        <v/>
      </c>
      <c r="W1460">
        <f>HYPERLINK("https://klasma.github.io/Logging_2313/klagomålsmail/A 61437-2021 FSC-klagomål mail.docx", "A 61437-2021")</f>
        <v/>
      </c>
      <c r="X1460">
        <f>HYPERLINK("https://klasma.github.io/Logging_2313/tillsyn/A 61437-2021 tillsynsbegäran.docx", "A 61437-2021")</f>
        <v/>
      </c>
      <c r="Y1460">
        <f>HYPERLINK("https://klasma.github.io/Logging_2313/tillsynsmail/A 61437-2021 tillsynsbegäran mail.docx", "A 61437-2021")</f>
        <v/>
      </c>
    </row>
    <row r="1461" ht="15" customHeight="1">
      <c r="A1461" t="inlineStr">
        <is>
          <t>A 31477-2022</t>
        </is>
      </c>
      <c r="B1461" s="1" t="n">
        <v>44774.94347222222</v>
      </c>
      <c r="C1461" s="1" t="n">
        <v>46045</v>
      </c>
      <c r="D1461" t="inlineStr">
        <is>
          <t>JÄMTLANDS LÄN</t>
        </is>
      </c>
      <c r="E1461" t="inlineStr">
        <is>
          <t>RAGUNDA</t>
        </is>
      </c>
      <c r="F1461" t="inlineStr">
        <is>
          <t>SCA</t>
        </is>
      </c>
      <c r="G1461" t="n">
        <v>1.8</v>
      </c>
      <c r="H1461" t="n">
        <v>0</v>
      </c>
      <c r="I1461" t="n">
        <v>0</v>
      </c>
      <c r="J1461" t="n">
        <v>1</v>
      </c>
      <c r="K1461" t="n">
        <v>0</v>
      </c>
      <c r="L1461" t="n">
        <v>0</v>
      </c>
      <c r="M1461" t="n">
        <v>0</v>
      </c>
      <c r="N1461" t="n">
        <v>0</v>
      </c>
      <c r="O1461" t="n">
        <v>1</v>
      </c>
      <c r="P1461" t="n">
        <v>0</v>
      </c>
      <c r="Q1461" t="n">
        <v>1</v>
      </c>
      <c r="R1461" s="2" t="inlineStr">
        <is>
          <t>Garnlav</t>
        </is>
      </c>
      <c r="S1461">
        <f>HYPERLINK("https://klasma.github.io/Logging_2303/artfynd/A 31477-2022 artfynd.xlsx", "A 31477-2022")</f>
        <v/>
      </c>
      <c r="T1461">
        <f>HYPERLINK("https://klasma.github.io/Logging_2303/kartor/A 31477-2022 karta.png", "A 31477-2022")</f>
        <v/>
      </c>
      <c r="V1461">
        <f>HYPERLINK("https://klasma.github.io/Logging_2303/klagomål/A 31477-2022 FSC-klagomål.docx", "A 31477-2022")</f>
        <v/>
      </c>
      <c r="W1461">
        <f>HYPERLINK("https://klasma.github.io/Logging_2303/klagomålsmail/A 31477-2022 FSC-klagomål mail.docx", "A 31477-2022")</f>
        <v/>
      </c>
      <c r="X1461">
        <f>HYPERLINK("https://klasma.github.io/Logging_2303/tillsyn/A 31477-2022 tillsynsbegäran.docx", "A 31477-2022")</f>
        <v/>
      </c>
      <c r="Y1461">
        <f>HYPERLINK("https://klasma.github.io/Logging_2303/tillsynsmail/A 31477-2022 tillsynsbegäran mail.docx", "A 31477-2022")</f>
        <v/>
      </c>
    </row>
    <row r="1462" ht="15" customHeight="1">
      <c r="A1462" t="inlineStr">
        <is>
          <t>A 31336-2021</t>
        </is>
      </c>
      <c r="B1462" s="1" t="n">
        <v>44368</v>
      </c>
      <c r="C1462" s="1" t="n">
        <v>46045</v>
      </c>
      <c r="D1462" t="inlineStr">
        <is>
          <t>JÄMTLANDS LÄN</t>
        </is>
      </c>
      <c r="E1462" t="inlineStr">
        <is>
          <t>BRÄCKE</t>
        </is>
      </c>
      <c r="F1462" t="inlineStr">
        <is>
          <t>SCA</t>
        </is>
      </c>
      <c r="G1462" t="n">
        <v>2.2</v>
      </c>
      <c r="H1462" t="n">
        <v>0</v>
      </c>
      <c r="I1462" t="n">
        <v>0</v>
      </c>
      <c r="J1462" t="n">
        <v>0</v>
      </c>
      <c r="K1462" t="n">
        <v>1</v>
      </c>
      <c r="L1462" t="n">
        <v>0</v>
      </c>
      <c r="M1462" t="n">
        <v>0</v>
      </c>
      <c r="N1462" t="n">
        <v>0</v>
      </c>
      <c r="O1462" t="n">
        <v>1</v>
      </c>
      <c r="P1462" t="n">
        <v>1</v>
      </c>
      <c r="Q1462" t="n">
        <v>1</v>
      </c>
      <c r="R1462" s="2" t="inlineStr">
        <is>
          <t>Rynkskinn</t>
        </is>
      </c>
      <c r="S1462">
        <f>HYPERLINK("https://klasma.github.io/Logging_2305/artfynd/A 31336-2021 artfynd.xlsx", "A 31336-2021")</f>
        <v/>
      </c>
      <c r="T1462">
        <f>HYPERLINK("https://klasma.github.io/Logging_2305/kartor/A 31336-2021 karta.png", "A 31336-2021")</f>
        <v/>
      </c>
      <c r="V1462">
        <f>HYPERLINK("https://klasma.github.io/Logging_2305/klagomål/A 31336-2021 FSC-klagomål.docx", "A 31336-2021")</f>
        <v/>
      </c>
      <c r="W1462">
        <f>HYPERLINK("https://klasma.github.io/Logging_2305/klagomålsmail/A 31336-2021 FSC-klagomål mail.docx", "A 31336-2021")</f>
        <v/>
      </c>
      <c r="X1462">
        <f>HYPERLINK("https://klasma.github.io/Logging_2305/tillsyn/A 31336-2021 tillsynsbegäran.docx", "A 31336-2021")</f>
        <v/>
      </c>
      <c r="Y1462">
        <f>HYPERLINK("https://klasma.github.io/Logging_2305/tillsynsmail/A 31336-2021 tillsynsbegäran mail.docx", "A 31336-2021")</f>
        <v/>
      </c>
    </row>
    <row r="1463" ht="15" customHeight="1">
      <c r="A1463" t="inlineStr">
        <is>
          <t>A 10696-2022</t>
        </is>
      </c>
      <c r="B1463" s="1" t="n">
        <v>44624</v>
      </c>
      <c r="C1463" s="1" t="n">
        <v>46045</v>
      </c>
      <c r="D1463" t="inlineStr">
        <is>
          <t>JÄMTLANDS LÄN</t>
        </is>
      </c>
      <c r="E1463" t="inlineStr">
        <is>
          <t>STRÖMSUND</t>
        </is>
      </c>
      <c r="F1463" t="inlineStr">
        <is>
          <t>SCA</t>
        </is>
      </c>
      <c r="G1463" t="n">
        <v>9</v>
      </c>
      <c r="H1463" t="n">
        <v>0</v>
      </c>
      <c r="I1463" t="n">
        <v>0</v>
      </c>
      <c r="J1463" t="n">
        <v>0</v>
      </c>
      <c r="K1463" t="n">
        <v>1</v>
      </c>
      <c r="L1463" t="n">
        <v>0</v>
      </c>
      <c r="M1463" t="n">
        <v>0</v>
      </c>
      <c r="N1463" t="n">
        <v>0</v>
      </c>
      <c r="O1463" t="n">
        <v>1</v>
      </c>
      <c r="P1463" t="n">
        <v>1</v>
      </c>
      <c r="Q1463" t="n">
        <v>1</v>
      </c>
      <c r="R1463" s="2" t="inlineStr">
        <is>
          <t>Smalskaftslav</t>
        </is>
      </c>
      <c r="S1463">
        <f>HYPERLINK("https://klasma.github.io/Logging_2313/artfynd/A 10696-2022 artfynd.xlsx", "A 10696-2022")</f>
        <v/>
      </c>
      <c r="T1463">
        <f>HYPERLINK("https://klasma.github.io/Logging_2313/kartor/A 10696-2022 karta.png", "A 10696-2022")</f>
        <v/>
      </c>
      <c r="V1463">
        <f>HYPERLINK("https://klasma.github.io/Logging_2313/klagomål/A 10696-2022 FSC-klagomål.docx", "A 10696-2022")</f>
        <v/>
      </c>
      <c r="W1463">
        <f>HYPERLINK("https://klasma.github.io/Logging_2313/klagomålsmail/A 10696-2022 FSC-klagomål mail.docx", "A 10696-2022")</f>
        <v/>
      </c>
      <c r="X1463">
        <f>HYPERLINK("https://klasma.github.io/Logging_2313/tillsyn/A 10696-2022 tillsynsbegäran.docx", "A 10696-2022")</f>
        <v/>
      </c>
      <c r="Y1463">
        <f>HYPERLINK("https://klasma.github.io/Logging_2313/tillsynsmail/A 10696-2022 tillsynsbegäran mail.docx", "A 10696-2022")</f>
        <v/>
      </c>
    </row>
    <row r="1464" ht="15" customHeight="1">
      <c r="A1464" t="inlineStr">
        <is>
          <t>A 10336-2022</t>
        </is>
      </c>
      <c r="B1464" s="1" t="n">
        <v>44623</v>
      </c>
      <c r="C1464" s="1" t="n">
        <v>46045</v>
      </c>
      <c r="D1464" t="inlineStr">
        <is>
          <t>JÄMTLANDS LÄN</t>
        </is>
      </c>
      <c r="E1464" t="inlineStr">
        <is>
          <t>ÖSTERSUND</t>
        </is>
      </c>
      <c r="G1464" t="n">
        <v>0.9</v>
      </c>
      <c r="H1464" t="n">
        <v>0</v>
      </c>
      <c r="I1464" t="n">
        <v>1</v>
      </c>
      <c r="J1464" t="n">
        <v>0</v>
      </c>
      <c r="K1464" t="n">
        <v>0</v>
      </c>
      <c r="L1464" t="n">
        <v>0</v>
      </c>
      <c r="M1464" t="n">
        <v>0</v>
      </c>
      <c r="N1464" t="n">
        <v>0</v>
      </c>
      <c r="O1464" t="n">
        <v>0</v>
      </c>
      <c r="P1464" t="n">
        <v>0</v>
      </c>
      <c r="Q1464" t="n">
        <v>1</v>
      </c>
      <c r="R1464" s="2" t="inlineStr">
        <is>
          <t>Underviol</t>
        </is>
      </c>
      <c r="S1464">
        <f>HYPERLINK("https://klasma.github.io/Logging_2380/artfynd/A 10336-2022 artfynd.xlsx", "A 10336-2022")</f>
        <v/>
      </c>
      <c r="T1464">
        <f>HYPERLINK("https://klasma.github.io/Logging_2380/kartor/A 10336-2022 karta.png", "A 10336-2022")</f>
        <v/>
      </c>
      <c r="V1464">
        <f>HYPERLINK("https://klasma.github.io/Logging_2380/klagomål/A 10336-2022 FSC-klagomål.docx", "A 10336-2022")</f>
        <v/>
      </c>
      <c r="W1464">
        <f>HYPERLINK("https://klasma.github.io/Logging_2380/klagomålsmail/A 10336-2022 FSC-klagomål mail.docx", "A 10336-2022")</f>
        <v/>
      </c>
      <c r="X1464">
        <f>HYPERLINK("https://klasma.github.io/Logging_2380/tillsyn/A 10336-2022 tillsynsbegäran.docx", "A 10336-2022")</f>
        <v/>
      </c>
      <c r="Y1464">
        <f>HYPERLINK("https://klasma.github.io/Logging_2380/tillsynsmail/A 10336-2022 tillsynsbegäran mail.docx", "A 10336-2022")</f>
        <v/>
      </c>
    </row>
    <row r="1465" ht="15" customHeight="1">
      <c r="A1465" t="inlineStr">
        <is>
          <t>A 33347-2021</t>
        </is>
      </c>
      <c r="B1465" s="1" t="n">
        <v>44377</v>
      </c>
      <c r="C1465" s="1" t="n">
        <v>46045</v>
      </c>
      <c r="D1465" t="inlineStr">
        <is>
          <t>JÄMTLANDS LÄN</t>
        </is>
      </c>
      <c r="E1465" t="inlineStr">
        <is>
          <t>KROKOM</t>
        </is>
      </c>
      <c r="F1465" t="inlineStr">
        <is>
          <t>Övriga Aktiebolag</t>
        </is>
      </c>
      <c r="G1465" t="n">
        <v>4.9</v>
      </c>
      <c r="H1465" t="n">
        <v>1</v>
      </c>
      <c r="I1465" t="n">
        <v>0</v>
      </c>
      <c r="J1465" t="n">
        <v>0</v>
      </c>
      <c r="K1465" t="n">
        <v>1</v>
      </c>
      <c r="L1465" t="n">
        <v>0</v>
      </c>
      <c r="M1465" t="n">
        <v>0</v>
      </c>
      <c r="N1465" t="n">
        <v>0</v>
      </c>
      <c r="O1465" t="n">
        <v>1</v>
      </c>
      <c r="P1465" t="n">
        <v>1</v>
      </c>
      <c r="Q1465" t="n">
        <v>1</v>
      </c>
      <c r="R1465" s="2" t="inlineStr">
        <is>
          <t>Doftticka</t>
        </is>
      </c>
      <c r="S1465">
        <f>HYPERLINK("https://klasma.github.io/Logging_2309/artfynd/A 33347-2021 artfynd.xlsx", "A 33347-2021")</f>
        <v/>
      </c>
      <c r="T1465">
        <f>HYPERLINK("https://klasma.github.io/Logging_2309/kartor/A 33347-2021 karta.png", "A 33347-2021")</f>
        <v/>
      </c>
      <c r="V1465">
        <f>HYPERLINK("https://klasma.github.io/Logging_2309/klagomål/A 33347-2021 FSC-klagomål.docx", "A 33347-2021")</f>
        <v/>
      </c>
      <c r="W1465">
        <f>HYPERLINK("https://klasma.github.io/Logging_2309/klagomålsmail/A 33347-2021 FSC-klagomål mail.docx", "A 33347-2021")</f>
        <v/>
      </c>
      <c r="X1465">
        <f>HYPERLINK("https://klasma.github.io/Logging_2309/tillsyn/A 33347-2021 tillsynsbegäran.docx", "A 33347-2021")</f>
        <v/>
      </c>
      <c r="Y1465">
        <f>HYPERLINK("https://klasma.github.io/Logging_2309/tillsynsmail/A 33347-2021 tillsynsbegäran mail.docx", "A 33347-2021")</f>
        <v/>
      </c>
    </row>
    <row r="1466" ht="15" customHeight="1">
      <c r="A1466" t="inlineStr">
        <is>
          <t>A 17692-2022</t>
        </is>
      </c>
      <c r="B1466" s="1" t="n">
        <v>44680</v>
      </c>
      <c r="C1466" s="1" t="n">
        <v>46045</v>
      </c>
      <c r="D1466" t="inlineStr">
        <is>
          <t>JÄMTLANDS LÄN</t>
        </is>
      </c>
      <c r="E1466" t="inlineStr">
        <is>
          <t>ÅRE</t>
        </is>
      </c>
      <c r="G1466" t="n">
        <v>3.1</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17692-2022 artfynd.xlsx", "A 17692-2022")</f>
        <v/>
      </c>
      <c r="T1466">
        <f>HYPERLINK("https://klasma.github.io/Logging_2321/kartor/A 17692-2022 karta.png", "A 17692-2022")</f>
        <v/>
      </c>
      <c r="V1466">
        <f>HYPERLINK("https://klasma.github.io/Logging_2321/klagomål/A 17692-2022 FSC-klagomål.docx", "A 17692-2022")</f>
        <v/>
      </c>
      <c r="W1466">
        <f>HYPERLINK("https://klasma.github.io/Logging_2321/klagomålsmail/A 17692-2022 FSC-klagomål mail.docx", "A 17692-2022")</f>
        <v/>
      </c>
      <c r="X1466">
        <f>HYPERLINK("https://klasma.github.io/Logging_2321/tillsyn/A 17692-2022 tillsynsbegäran.docx", "A 17692-2022")</f>
        <v/>
      </c>
      <c r="Y1466">
        <f>HYPERLINK("https://klasma.github.io/Logging_2321/tillsynsmail/A 17692-2022 tillsynsbegäran mail.docx", "A 17692-2022")</f>
        <v/>
      </c>
      <c r="Z1466">
        <f>HYPERLINK("https://klasma.github.io/Logging_2321/fåglar/A 17692-2022 prioriterade fågelarter.docx", "A 17692-2022")</f>
        <v/>
      </c>
    </row>
    <row r="1467" ht="15" customHeight="1">
      <c r="A1467" t="inlineStr">
        <is>
          <t>A 27286-2022</t>
        </is>
      </c>
      <c r="B1467" s="1" t="n">
        <v>44741</v>
      </c>
      <c r="C1467" s="1" t="n">
        <v>46045</v>
      </c>
      <c r="D1467" t="inlineStr">
        <is>
          <t>JÄMTLANDS LÄN</t>
        </is>
      </c>
      <c r="E1467" t="inlineStr">
        <is>
          <t>RAGUNDA</t>
        </is>
      </c>
      <c r="F1467" t="inlineStr">
        <is>
          <t>SCA</t>
        </is>
      </c>
      <c r="G1467" t="n">
        <v>3.1</v>
      </c>
      <c r="H1467" t="n">
        <v>0</v>
      </c>
      <c r="I1467" t="n">
        <v>0</v>
      </c>
      <c r="J1467" t="n">
        <v>1</v>
      </c>
      <c r="K1467" t="n">
        <v>0</v>
      </c>
      <c r="L1467" t="n">
        <v>0</v>
      </c>
      <c r="M1467" t="n">
        <v>0</v>
      </c>
      <c r="N1467" t="n">
        <v>0</v>
      </c>
      <c r="O1467" t="n">
        <v>1</v>
      </c>
      <c r="P1467" t="n">
        <v>0</v>
      </c>
      <c r="Q1467" t="n">
        <v>1</v>
      </c>
      <c r="R1467" s="2" t="inlineStr">
        <is>
          <t>Harticka</t>
        </is>
      </c>
      <c r="S1467">
        <f>HYPERLINK("https://klasma.github.io/Logging_2303/artfynd/A 27286-2022 artfynd.xlsx", "A 27286-2022")</f>
        <v/>
      </c>
      <c r="T1467">
        <f>HYPERLINK("https://klasma.github.io/Logging_2303/kartor/A 27286-2022 karta.png", "A 27286-2022")</f>
        <v/>
      </c>
      <c r="V1467">
        <f>HYPERLINK("https://klasma.github.io/Logging_2303/klagomål/A 27286-2022 FSC-klagomål.docx", "A 27286-2022")</f>
        <v/>
      </c>
      <c r="W1467">
        <f>HYPERLINK("https://klasma.github.io/Logging_2303/klagomålsmail/A 27286-2022 FSC-klagomål mail.docx", "A 27286-2022")</f>
        <v/>
      </c>
      <c r="X1467">
        <f>HYPERLINK("https://klasma.github.io/Logging_2303/tillsyn/A 27286-2022 tillsynsbegäran.docx", "A 27286-2022")</f>
        <v/>
      </c>
      <c r="Y1467">
        <f>HYPERLINK("https://klasma.github.io/Logging_2303/tillsynsmail/A 27286-2022 tillsynsbegäran mail.docx", "A 27286-2022")</f>
        <v/>
      </c>
    </row>
    <row r="1468" ht="15" customHeight="1">
      <c r="A1468" t="inlineStr">
        <is>
          <t>A 20500-2021</t>
        </is>
      </c>
      <c r="B1468" s="1" t="n">
        <v>44315.68729166667</v>
      </c>
      <c r="C1468" s="1" t="n">
        <v>46045</v>
      </c>
      <c r="D1468" t="inlineStr">
        <is>
          <t>JÄMTLANDS LÄN</t>
        </is>
      </c>
      <c r="E1468" t="inlineStr">
        <is>
          <t>ÅRE</t>
        </is>
      </c>
      <c r="G1468" t="n">
        <v>3</v>
      </c>
      <c r="H1468" t="n">
        <v>0</v>
      </c>
      <c r="I1468" t="n">
        <v>1</v>
      </c>
      <c r="J1468" t="n">
        <v>0</v>
      </c>
      <c r="K1468" t="n">
        <v>0</v>
      </c>
      <c r="L1468" t="n">
        <v>0</v>
      </c>
      <c r="M1468" t="n">
        <v>0</v>
      </c>
      <c r="N1468" t="n">
        <v>0</v>
      </c>
      <c r="O1468" t="n">
        <v>0</v>
      </c>
      <c r="P1468" t="n">
        <v>0</v>
      </c>
      <c r="Q1468" t="n">
        <v>1</v>
      </c>
      <c r="R1468" s="2" t="inlineStr">
        <is>
          <t>Svart trolldruva</t>
        </is>
      </c>
      <c r="S1468">
        <f>HYPERLINK("https://klasma.github.io/Logging_2321/artfynd/A 20500-2021 artfynd.xlsx", "A 20500-2021")</f>
        <v/>
      </c>
      <c r="T1468">
        <f>HYPERLINK("https://klasma.github.io/Logging_2321/kartor/A 20500-2021 karta.png", "A 20500-2021")</f>
        <v/>
      </c>
      <c r="V1468">
        <f>HYPERLINK("https://klasma.github.io/Logging_2321/klagomål/A 20500-2021 FSC-klagomål.docx", "A 20500-2021")</f>
        <v/>
      </c>
      <c r="W1468">
        <f>HYPERLINK("https://klasma.github.io/Logging_2321/klagomålsmail/A 20500-2021 FSC-klagomål mail.docx", "A 20500-2021")</f>
        <v/>
      </c>
      <c r="X1468">
        <f>HYPERLINK("https://klasma.github.io/Logging_2321/tillsyn/A 20500-2021 tillsynsbegäran.docx", "A 20500-2021")</f>
        <v/>
      </c>
      <c r="Y1468">
        <f>HYPERLINK("https://klasma.github.io/Logging_2321/tillsynsmail/A 20500-2021 tillsynsbegäran mail.docx", "A 20500-2021")</f>
        <v/>
      </c>
    </row>
    <row r="1469" ht="15" customHeight="1">
      <c r="A1469" t="inlineStr">
        <is>
          <t>A 27579-2022</t>
        </is>
      </c>
      <c r="B1469" s="1" t="n">
        <v>44742</v>
      </c>
      <c r="C1469" s="1" t="n">
        <v>46045</v>
      </c>
      <c r="D1469" t="inlineStr">
        <is>
          <t>JÄMTLANDS LÄN</t>
        </is>
      </c>
      <c r="E1469" t="inlineStr">
        <is>
          <t>KROKOM</t>
        </is>
      </c>
      <c r="F1469" t="inlineStr">
        <is>
          <t>SCA</t>
        </is>
      </c>
      <c r="G1469" t="n">
        <v>1.5</v>
      </c>
      <c r="H1469" t="n">
        <v>0</v>
      </c>
      <c r="I1469" t="n">
        <v>0</v>
      </c>
      <c r="J1469" t="n">
        <v>1</v>
      </c>
      <c r="K1469" t="n">
        <v>0</v>
      </c>
      <c r="L1469" t="n">
        <v>0</v>
      </c>
      <c r="M1469" t="n">
        <v>0</v>
      </c>
      <c r="N1469" t="n">
        <v>0</v>
      </c>
      <c r="O1469" t="n">
        <v>1</v>
      </c>
      <c r="P1469" t="n">
        <v>0</v>
      </c>
      <c r="Q1469" t="n">
        <v>1</v>
      </c>
      <c r="R1469" s="2" t="inlineStr">
        <is>
          <t>Lunglav</t>
        </is>
      </c>
      <c r="S1469">
        <f>HYPERLINK("https://klasma.github.io/Logging_2309/artfynd/A 27579-2022 artfynd.xlsx", "A 27579-2022")</f>
        <v/>
      </c>
      <c r="T1469">
        <f>HYPERLINK("https://klasma.github.io/Logging_2309/kartor/A 27579-2022 karta.png", "A 27579-2022")</f>
        <v/>
      </c>
      <c r="V1469">
        <f>HYPERLINK("https://klasma.github.io/Logging_2309/klagomål/A 27579-2022 FSC-klagomål.docx", "A 27579-2022")</f>
        <v/>
      </c>
      <c r="W1469">
        <f>HYPERLINK("https://klasma.github.io/Logging_2309/klagomålsmail/A 27579-2022 FSC-klagomål mail.docx", "A 27579-2022")</f>
        <v/>
      </c>
      <c r="X1469">
        <f>HYPERLINK("https://klasma.github.io/Logging_2309/tillsyn/A 27579-2022 tillsynsbegäran.docx", "A 27579-2022")</f>
        <v/>
      </c>
      <c r="Y1469">
        <f>HYPERLINK("https://klasma.github.io/Logging_2309/tillsynsmail/A 27579-2022 tillsynsbegäran mail.docx", "A 27579-2022")</f>
        <v/>
      </c>
    </row>
    <row r="1470" ht="15" customHeight="1">
      <c r="A1470" t="inlineStr">
        <is>
          <t>A 27587-2022</t>
        </is>
      </c>
      <c r="B1470" s="1" t="n">
        <v>44742</v>
      </c>
      <c r="C1470" s="1" t="n">
        <v>46045</v>
      </c>
      <c r="D1470" t="inlineStr">
        <is>
          <t>JÄMTLANDS LÄN</t>
        </is>
      </c>
      <c r="E1470" t="inlineStr">
        <is>
          <t>BRÄCKE</t>
        </is>
      </c>
      <c r="F1470" t="inlineStr">
        <is>
          <t>SCA</t>
        </is>
      </c>
      <c r="G1470" t="n">
        <v>4.1</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27587-2022 artfynd.xlsx", "A 27587-2022")</f>
        <v/>
      </c>
      <c r="T1470">
        <f>HYPERLINK("https://klasma.github.io/Logging_2305/kartor/A 27587-2022 karta.png", "A 27587-2022")</f>
        <v/>
      </c>
      <c r="V1470">
        <f>HYPERLINK("https://klasma.github.io/Logging_2305/klagomål/A 27587-2022 FSC-klagomål.docx", "A 27587-2022")</f>
        <v/>
      </c>
      <c r="W1470">
        <f>HYPERLINK("https://klasma.github.io/Logging_2305/klagomålsmail/A 27587-2022 FSC-klagomål mail.docx", "A 27587-2022")</f>
        <v/>
      </c>
      <c r="X1470">
        <f>HYPERLINK("https://klasma.github.io/Logging_2305/tillsyn/A 27587-2022 tillsynsbegäran.docx", "A 27587-2022")</f>
        <v/>
      </c>
      <c r="Y1470">
        <f>HYPERLINK("https://klasma.github.io/Logging_2305/tillsynsmail/A 27587-2022 tillsynsbegäran mail.docx", "A 27587-2022")</f>
        <v/>
      </c>
    </row>
    <row r="1471" ht="15" customHeight="1">
      <c r="A1471" t="inlineStr">
        <is>
          <t>A 19798-2022</t>
        </is>
      </c>
      <c r="B1471" s="1" t="n">
        <v>44694</v>
      </c>
      <c r="C1471" s="1" t="n">
        <v>46045</v>
      </c>
      <c r="D1471" t="inlineStr">
        <is>
          <t>JÄMTLANDS LÄN</t>
        </is>
      </c>
      <c r="E1471" t="inlineStr">
        <is>
          <t>ÖSTERSUND</t>
        </is>
      </c>
      <c r="F1471" t="inlineStr">
        <is>
          <t>SCA</t>
        </is>
      </c>
      <c r="G1471" t="n">
        <v>1</v>
      </c>
      <c r="H1471" t="n">
        <v>1</v>
      </c>
      <c r="I1471" t="n">
        <v>1</v>
      </c>
      <c r="J1471" t="n">
        <v>0</v>
      </c>
      <c r="K1471" t="n">
        <v>0</v>
      </c>
      <c r="L1471" t="n">
        <v>0</v>
      </c>
      <c r="M1471" t="n">
        <v>0</v>
      </c>
      <c r="N1471" t="n">
        <v>0</v>
      </c>
      <c r="O1471" t="n">
        <v>0</v>
      </c>
      <c r="P1471" t="n">
        <v>0</v>
      </c>
      <c r="Q1471" t="n">
        <v>1</v>
      </c>
      <c r="R1471" s="2" t="inlineStr">
        <is>
          <t>Guckusko</t>
        </is>
      </c>
      <c r="S1471">
        <f>HYPERLINK("https://klasma.github.io/Logging_2380/artfynd/A 19798-2022 artfynd.xlsx", "A 19798-2022")</f>
        <v/>
      </c>
      <c r="T1471">
        <f>HYPERLINK("https://klasma.github.io/Logging_2380/kartor/A 19798-2022 karta.png", "A 19798-2022")</f>
        <v/>
      </c>
      <c r="V1471">
        <f>HYPERLINK("https://klasma.github.io/Logging_2380/klagomål/A 19798-2022 FSC-klagomål.docx", "A 19798-2022")</f>
        <v/>
      </c>
      <c r="W1471">
        <f>HYPERLINK("https://klasma.github.io/Logging_2380/klagomålsmail/A 19798-2022 FSC-klagomål mail.docx", "A 19798-2022")</f>
        <v/>
      </c>
      <c r="X1471">
        <f>HYPERLINK("https://klasma.github.io/Logging_2380/tillsyn/A 19798-2022 tillsynsbegäran.docx", "A 19798-2022")</f>
        <v/>
      </c>
      <c r="Y1471">
        <f>HYPERLINK("https://klasma.github.io/Logging_2380/tillsynsmail/A 19798-2022 tillsynsbegäran mail.docx", "A 19798-2022")</f>
        <v/>
      </c>
    </row>
    <row r="1472" ht="15" customHeight="1">
      <c r="A1472" t="inlineStr">
        <is>
          <t>A 14291-2022</t>
        </is>
      </c>
      <c r="B1472" s="1" t="n">
        <v>44651</v>
      </c>
      <c r="C1472" s="1" t="n">
        <v>46045</v>
      </c>
      <c r="D1472" t="inlineStr">
        <is>
          <t>JÄMTLANDS LÄN</t>
        </is>
      </c>
      <c r="E1472" t="inlineStr">
        <is>
          <t>STRÖMSUND</t>
        </is>
      </c>
      <c r="F1472" t="inlineStr">
        <is>
          <t>SCA</t>
        </is>
      </c>
      <c r="G1472" t="n">
        <v>0.5</v>
      </c>
      <c r="H1472" t="n">
        <v>0</v>
      </c>
      <c r="I1472" t="n">
        <v>0</v>
      </c>
      <c r="J1472" t="n">
        <v>1</v>
      </c>
      <c r="K1472" t="n">
        <v>0</v>
      </c>
      <c r="L1472" t="n">
        <v>0</v>
      </c>
      <c r="M1472" t="n">
        <v>0</v>
      </c>
      <c r="N1472" t="n">
        <v>0</v>
      </c>
      <c r="O1472" t="n">
        <v>1</v>
      </c>
      <c r="P1472" t="n">
        <v>0</v>
      </c>
      <c r="Q1472" t="n">
        <v>1</v>
      </c>
      <c r="R1472" s="2" t="inlineStr">
        <is>
          <t>Skrovellav</t>
        </is>
      </c>
      <c r="S1472">
        <f>HYPERLINK("https://klasma.github.io/Logging_2313/artfynd/A 14291-2022 artfynd.xlsx", "A 14291-2022")</f>
        <v/>
      </c>
      <c r="T1472">
        <f>HYPERLINK("https://klasma.github.io/Logging_2313/kartor/A 14291-2022 karta.png", "A 14291-2022")</f>
        <v/>
      </c>
      <c r="V1472">
        <f>HYPERLINK("https://klasma.github.io/Logging_2313/klagomål/A 14291-2022 FSC-klagomål.docx", "A 14291-2022")</f>
        <v/>
      </c>
      <c r="W1472">
        <f>HYPERLINK("https://klasma.github.io/Logging_2313/klagomålsmail/A 14291-2022 FSC-klagomål mail.docx", "A 14291-2022")</f>
        <v/>
      </c>
      <c r="X1472">
        <f>HYPERLINK("https://klasma.github.io/Logging_2313/tillsyn/A 14291-2022 tillsynsbegäran.docx", "A 14291-2022")</f>
        <v/>
      </c>
      <c r="Y1472">
        <f>HYPERLINK("https://klasma.github.io/Logging_2313/tillsynsmail/A 14291-2022 tillsynsbegäran mail.docx", "A 14291-2022")</f>
        <v/>
      </c>
    </row>
    <row r="1473" ht="15" customHeight="1">
      <c r="A1473" t="inlineStr">
        <is>
          <t>A 21208-2022</t>
        </is>
      </c>
      <c r="B1473" s="1" t="n">
        <v>44704</v>
      </c>
      <c r="C1473" s="1" t="n">
        <v>46045</v>
      </c>
      <c r="D1473" t="inlineStr">
        <is>
          <t>JÄMTLANDS LÄN</t>
        </is>
      </c>
      <c r="E1473" t="inlineStr">
        <is>
          <t>STRÖMSUND</t>
        </is>
      </c>
      <c r="F1473" t="inlineStr">
        <is>
          <t>SCA</t>
        </is>
      </c>
      <c r="G1473" t="n">
        <v>1.5</v>
      </c>
      <c r="H1473" t="n">
        <v>0</v>
      </c>
      <c r="I1473" t="n">
        <v>0</v>
      </c>
      <c r="J1473" t="n">
        <v>1</v>
      </c>
      <c r="K1473" t="n">
        <v>0</v>
      </c>
      <c r="L1473" t="n">
        <v>0</v>
      </c>
      <c r="M1473" t="n">
        <v>0</v>
      </c>
      <c r="N1473" t="n">
        <v>0</v>
      </c>
      <c r="O1473" t="n">
        <v>1</v>
      </c>
      <c r="P1473" t="n">
        <v>0</v>
      </c>
      <c r="Q1473" t="n">
        <v>1</v>
      </c>
      <c r="R1473" s="2" t="inlineStr">
        <is>
          <t>Harticka</t>
        </is>
      </c>
      <c r="S1473">
        <f>HYPERLINK("https://klasma.github.io/Logging_2313/artfynd/A 21208-2022 artfynd.xlsx", "A 21208-2022")</f>
        <v/>
      </c>
      <c r="T1473">
        <f>HYPERLINK("https://klasma.github.io/Logging_2313/kartor/A 21208-2022 karta.png", "A 21208-2022")</f>
        <v/>
      </c>
      <c r="V1473">
        <f>HYPERLINK("https://klasma.github.io/Logging_2313/klagomål/A 21208-2022 FSC-klagomål.docx", "A 21208-2022")</f>
        <v/>
      </c>
      <c r="W1473">
        <f>HYPERLINK("https://klasma.github.io/Logging_2313/klagomålsmail/A 21208-2022 FSC-klagomål mail.docx", "A 21208-2022")</f>
        <v/>
      </c>
      <c r="X1473">
        <f>HYPERLINK("https://klasma.github.io/Logging_2313/tillsyn/A 21208-2022 tillsynsbegäran.docx", "A 21208-2022")</f>
        <v/>
      </c>
      <c r="Y1473">
        <f>HYPERLINK("https://klasma.github.io/Logging_2313/tillsynsmail/A 21208-2022 tillsynsbegäran mail.docx", "A 21208-2022")</f>
        <v/>
      </c>
    </row>
    <row r="1474" ht="15" customHeight="1">
      <c r="A1474" t="inlineStr">
        <is>
          <t>A 35246-2022</t>
        </is>
      </c>
      <c r="B1474" s="1" t="n">
        <v>44797</v>
      </c>
      <c r="C1474" s="1" t="n">
        <v>46045</v>
      </c>
      <c r="D1474" t="inlineStr">
        <is>
          <t>JÄMTLANDS LÄN</t>
        </is>
      </c>
      <c r="E1474" t="inlineStr">
        <is>
          <t>KROKOM</t>
        </is>
      </c>
      <c r="G1474" t="n">
        <v>29.4</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HYPERLINK("https://klasma.github.io/Logging_2309/artfynd/A 35246-2022 artfynd.xlsx", "A 35246-2022")</f>
        <v/>
      </c>
      <c r="T1474">
        <f>HYPERLINK("https://klasma.github.io/Logging_2309/kartor/A 35246-2022 karta.png", "A 35246-2022")</f>
        <v/>
      </c>
      <c r="V1474">
        <f>HYPERLINK("https://klasma.github.io/Logging_2309/klagomål/A 35246-2022 FSC-klagomål.docx", "A 35246-2022")</f>
        <v/>
      </c>
      <c r="W1474">
        <f>HYPERLINK("https://klasma.github.io/Logging_2309/klagomålsmail/A 35246-2022 FSC-klagomål mail.docx", "A 35246-2022")</f>
        <v/>
      </c>
      <c r="X1474">
        <f>HYPERLINK("https://klasma.github.io/Logging_2309/tillsyn/A 35246-2022 tillsynsbegäran.docx", "A 35246-2022")</f>
        <v/>
      </c>
      <c r="Y1474">
        <f>HYPERLINK("https://klasma.github.io/Logging_2309/tillsynsmail/A 35246-2022 tillsynsbegäran mail.docx", "A 35246-2022")</f>
        <v/>
      </c>
      <c r="Z1474">
        <f>HYPERLINK("https://klasma.github.io/Logging_2309/fåglar/A 35246-2022 prioriterade fågelarter.docx", "A 35246-2022")</f>
        <v/>
      </c>
    </row>
    <row r="1475" ht="15" customHeight="1">
      <c r="A1475" t="inlineStr">
        <is>
          <t>A 12950-2022</t>
        </is>
      </c>
      <c r="B1475" s="1" t="n">
        <v>44642</v>
      </c>
      <c r="C1475" s="1" t="n">
        <v>46045</v>
      </c>
      <c r="D1475" t="inlineStr">
        <is>
          <t>JÄMTLANDS LÄN</t>
        </is>
      </c>
      <c r="E1475" t="inlineStr">
        <is>
          <t>STRÖMSUND</t>
        </is>
      </c>
      <c r="F1475" t="inlineStr">
        <is>
          <t>SCA</t>
        </is>
      </c>
      <c r="G1475" t="n">
        <v>6.3</v>
      </c>
      <c r="H1475" t="n">
        <v>0</v>
      </c>
      <c r="I1475" t="n">
        <v>0</v>
      </c>
      <c r="J1475" t="n">
        <v>1</v>
      </c>
      <c r="K1475" t="n">
        <v>0</v>
      </c>
      <c r="L1475" t="n">
        <v>0</v>
      </c>
      <c r="M1475" t="n">
        <v>0</v>
      </c>
      <c r="N1475" t="n">
        <v>0</v>
      </c>
      <c r="O1475" t="n">
        <v>1</v>
      </c>
      <c r="P1475" t="n">
        <v>0</v>
      </c>
      <c r="Q1475" t="n">
        <v>1</v>
      </c>
      <c r="R1475" s="2" t="inlineStr">
        <is>
          <t>Granticka</t>
        </is>
      </c>
      <c r="S1475">
        <f>HYPERLINK("https://klasma.github.io/Logging_2313/artfynd/A 12950-2022 artfynd.xlsx", "A 12950-2022")</f>
        <v/>
      </c>
      <c r="T1475">
        <f>HYPERLINK("https://klasma.github.io/Logging_2313/kartor/A 12950-2022 karta.png", "A 12950-2022")</f>
        <v/>
      </c>
      <c r="V1475">
        <f>HYPERLINK("https://klasma.github.io/Logging_2313/klagomål/A 12950-2022 FSC-klagomål.docx", "A 12950-2022")</f>
        <v/>
      </c>
      <c r="W1475">
        <f>HYPERLINK("https://klasma.github.io/Logging_2313/klagomålsmail/A 12950-2022 FSC-klagomål mail.docx", "A 12950-2022")</f>
        <v/>
      </c>
      <c r="X1475">
        <f>HYPERLINK("https://klasma.github.io/Logging_2313/tillsyn/A 12950-2022 tillsynsbegäran.docx", "A 12950-2022")</f>
        <v/>
      </c>
      <c r="Y1475">
        <f>HYPERLINK("https://klasma.github.io/Logging_2313/tillsynsmail/A 12950-2022 tillsynsbegäran mail.docx", "A 12950-2022")</f>
        <v/>
      </c>
    </row>
    <row r="1476" ht="15" customHeight="1">
      <c r="A1476" t="inlineStr">
        <is>
          <t>A 54944-2024</t>
        </is>
      </c>
      <c r="B1476" s="1" t="n">
        <v>45619</v>
      </c>
      <c r="C1476" s="1" t="n">
        <v>46045</v>
      </c>
      <c r="D1476" t="inlineStr">
        <is>
          <t>JÄMTLANDS LÄN</t>
        </is>
      </c>
      <c r="E1476" t="inlineStr">
        <is>
          <t>STRÖMSUND</t>
        </is>
      </c>
      <c r="F1476" t="inlineStr">
        <is>
          <t>SCA</t>
        </is>
      </c>
      <c r="G1476" t="n">
        <v>3.6</v>
      </c>
      <c r="H1476" t="n">
        <v>0</v>
      </c>
      <c r="I1476" t="n">
        <v>0</v>
      </c>
      <c r="J1476" t="n">
        <v>1</v>
      </c>
      <c r="K1476" t="n">
        <v>0</v>
      </c>
      <c r="L1476" t="n">
        <v>0</v>
      </c>
      <c r="M1476" t="n">
        <v>0</v>
      </c>
      <c r="N1476" t="n">
        <v>0</v>
      </c>
      <c r="O1476" t="n">
        <v>1</v>
      </c>
      <c r="P1476" t="n">
        <v>0</v>
      </c>
      <c r="Q1476" t="n">
        <v>1</v>
      </c>
      <c r="R1476" s="2" t="inlineStr">
        <is>
          <t>Skogshare</t>
        </is>
      </c>
      <c r="S1476">
        <f>HYPERLINK("https://klasma.github.io/Logging_2313/artfynd/A 54944-2024 artfynd.xlsx", "A 54944-2024")</f>
        <v/>
      </c>
      <c r="T1476">
        <f>HYPERLINK("https://klasma.github.io/Logging_2313/kartor/A 54944-2024 karta.png", "A 54944-2024")</f>
        <v/>
      </c>
      <c r="V1476">
        <f>HYPERLINK("https://klasma.github.io/Logging_2313/klagomål/A 54944-2024 FSC-klagomål.docx", "A 54944-2024")</f>
        <v/>
      </c>
      <c r="W1476">
        <f>HYPERLINK("https://klasma.github.io/Logging_2313/klagomålsmail/A 54944-2024 FSC-klagomål mail.docx", "A 54944-2024")</f>
        <v/>
      </c>
      <c r="X1476">
        <f>HYPERLINK("https://klasma.github.io/Logging_2313/tillsyn/A 54944-2024 tillsynsbegäran.docx", "A 54944-2024")</f>
        <v/>
      </c>
      <c r="Y1476">
        <f>HYPERLINK("https://klasma.github.io/Logging_2313/tillsynsmail/A 54944-2024 tillsynsbegäran mail.docx", "A 54944-2024")</f>
        <v/>
      </c>
    </row>
    <row r="1477" ht="15" customHeight="1">
      <c r="A1477" t="inlineStr">
        <is>
          <t>A 10401-2025</t>
        </is>
      </c>
      <c r="B1477" s="1" t="n">
        <v>45720.615</v>
      </c>
      <c r="C1477" s="1" t="n">
        <v>46045</v>
      </c>
      <c r="D1477" t="inlineStr">
        <is>
          <t>JÄMTLANDS LÄN</t>
        </is>
      </c>
      <c r="E1477" t="inlineStr">
        <is>
          <t>STRÖMSUND</t>
        </is>
      </c>
      <c r="F1477" t="inlineStr">
        <is>
          <t>SCA</t>
        </is>
      </c>
      <c r="G1477" t="n">
        <v>9.800000000000001</v>
      </c>
      <c r="H1477" t="n">
        <v>0</v>
      </c>
      <c r="I1477" t="n">
        <v>0</v>
      </c>
      <c r="J1477" t="n">
        <v>1</v>
      </c>
      <c r="K1477" t="n">
        <v>0</v>
      </c>
      <c r="L1477" t="n">
        <v>0</v>
      </c>
      <c r="M1477" t="n">
        <v>0</v>
      </c>
      <c r="N1477" t="n">
        <v>0</v>
      </c>
      <c r="O1477" t="n">
        <v>1</v>
      </c>
      <c r="P1477" t="n">
        <v>0</v>
      </c>
      <c r="Q1477" t="n">
        <v>1</v>
      </c>
      <c r="R1477" s="2" t="inlineStr">
        <is>
          <t>Gammelgransskål</t>
        </is>
      </c>
      <c r="S1477">
        <f>HYPERLINK("https://klasma.github.io/Logging_2313/artfynd/A 10401-2025 artfynd.xlsx", "A 10401-2025")</f>
        <v/>
      </c>
      <c r="T1477">
        <f>HYPERLINK("https://klasma.github.io/Logging_2313/kartor/A 10401-2025 karta.png", "A 10401-2025")</f>
        <v/>
      </c>
      <c r="V1477">
        <f>HYPERLINK("https://klasma.github.io/Logging_2313/klagomål/A 10401-2025 FSC-klagomål.docx", "A 10401-2025")</f>
        <v/>
      </c>
      <c r="W1477">
        <f>HYPERLINK("https://klasma.github.io/Logging_2313/klagomålsmail/A 10401-2025 FSC-klagomål mail.docx", "A 10401-2025")</f>
        <v/>
      </c>
      <c r="X1477">
        <f>HYPERLINK("https://klasma.github.io/Logging_2313/tillsyn/A 10401-2025 tillsynsbegäran.docx", "A 10401-2025")</f>
        <v/>
      </c>
      <c r="Y1477">
        <f>HYPERLINK("https://klasma.github.io/Logging_2313/tillsynsmail/A 10401-2025 tillsynsbegäran mail.docx", "A 10401-2025")</f>
        <v/>
      </c>
    </row>
    <row r="1478" ht="15" customHeight="1">
      <c r="A1478" t="inlineStr">
        <is>
          <t>A 9994-2021</t>
        </is>
      </c>
      <c r="B1478" s="1" t="n">
        <v>44254</v>
      </c>
      <c r="C1478" s="1" t="n">
        <v>46045</v>
      </c>
      <c r="D1478" t="inlineStr">
        <is>
          <t>JÄMTLANDS LÄN</t>
        </is>
      </c>
      <c r="E1478" t="inlineStr">
        <is>
          <t>BRÄCKE</t>
        </is>
      </c>
      <c r="F1478" t="inlineStr">
        <is>
          <t>SCA</t>
        </is>
      </c>
      <c r="G1478" t="n">
        <v>2.3</v>
      </c>
      <c r="H1478" t="n">
        <v>0</v>
      </c>
      <c r="I1478" t="n">
        <v>0</v>
      </c>
      <c r="J1478" t="n">
        <v>0</v>
      </c>
      <c r="K1478" t="n">
        <v>1</v>
      </c>
      <c r="L1478" t="n">
        <v>0</v>
      </c>
      <c r="M1478" t="n">
        <v>0</v>
      </c>
      <c r="N1478" t="n">
        <v>0</v>
      </c>
      <c r="O1478" t="n">
        <v>1</v>
      </c>
      <c r="P1478" t="n">
        <v>1</v>
      </c>
      <c r="Q1478" t="n">
        <v>1</v>
      </c>
      <c r="R1478" s="2" t="inlineStr">
        <is>
          <t>Rynkskinn</t>
        </is>
      </c>
      <c r="S1478">
        <f>HYPERLINK("https://klasma.github.io/Logging_2305/artfynd/A 9994-2021 artfynd.xlsx", "A 9994-2021")</f>
        <v/>
      </c>
      <c r="T1478">
        <f>HYPERLINK("https://klasma.github.io/Logging_2305/kartor/A 9994-2021 karta.png", "A 9994-2021")</f>
        <v/>
      </c>
      <c r="V1478">
        <f>HYPERLINK("https://klasma.github.io/Logging_2305/klagomål/A 9994-2021 FSC-klagomål.docx", "A 9994-2021")</f>
        <v/>
      </c>
      <c r="W1478">
        <f>HYPERLINK("https://klasma.github.io/Logging_2305/klagomålsmail/A 9994-2021 FSC-klagomål mail.docx", "A 9994-2021")</f>
        <v/>
      </c>
      <c r="X1478">
        <f>HYPERLINK("https://klasma.github.io/Logging_2305/tillsyn/A 9994-2021 tillsynsbegäran.docx", "A 9994-2021")</f>
        <v/>
      </c>
      <c r="Y1478">
        <f>HYPERLINK("https://klasma.github.io/Logging_2305/tillsynsmail/A 9994-2021 tillsynsbegäran mail.docx", "A 9994-2021")</f>
        <v/>
      </c>
    </row>
    <row r="1479" ht="15" customHeight="1">
      <c r="A1479" t="inlineStr">
        <is>
          <t>A 42899-2022</t>
        </is>
      </c>
      <c r="B1479" s="1" t="n">
        <v>44832</v>
      </c>
      <c r="C1479" s="1" t="n">
        <v>46045</v>
      </c>
      <c r="D1479" t="inlineStr">
        <is>
          <t>JÄMTLANDS LÄN</t>
        </is>
      </c>
      <c r="E1479" t="inlineStr">
        <is>
          <t>RAGUNDA</t>
        </is>
      </c>
      <c r="F1479" t="inlineStr">
        <is>
          <t>SCA</t>
        </is>
      </c>
      <c r="G1479" t="n">
        <v>2.3</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42899-2022 artfynd.xlsx", "A 42899-2022")</f>
        <v/>
      </c>
      <c r="T1479">
        <f>HYPERLINK("https://klasma.github.io/Logging_2303/kartor/A 42899-2022 karta.png", "A 42899-2022")</f>
        <v/>
      </c>
      <c r="V1479">
        <f>HYPERLINK("https://klasma.github.io/Logging_2303/klagomål/A 42899-2022 FSC-klagomål.docx", "A 42899-2022")</f>
        <v/>
      </c>
      <c r="W1479">
        <f>HYPERLINK("https://klasma.github.io/Logging_2303/klagomålsmail/A 42899-2022 FSC-klagomål mail.docx", "A 42899-2022")</f>
        <v/>
      </c>
      <c r="X1479">
        <f>HYPERLINK("https://klasma.github.io/Logging_2303/tillsyn/A 42899-2022 tillsynsbegäran.docx", "A 42899-2022")</f>
        <v/>
      </c>
      <c r="Y1479">
        <f>HYPERLINK("https://klasma.github.io/Logging_2303/tillsynsmail/A 42899-2022 tillsynsbegäran mail.docx", "A 42899-2022")</f>
        <v/>
      </c>
    </row>
    <row r="1480" ht="15" customHeight="1">
      <c r="A1480" t="inlineStr">
        <is>
          <t>A 20444-2025</t>
        </is>
      </c>
      <c r="B1480" s="1" t="n">
        <v>45775.48989583334</v>
      </c>
      <c r="C1480" s="1" t="n">
        <v>46045</v>
      </c>
      <c r="D1480" t="inlineStr">
        <is>
          <t>JÄMTLANDS LÄN</t>
        </is>
      </c>
      <c r="E1480" t="inlineStr">
        <is>
          <t>BERG</t>
        </is>
      </c>
      <c r="F1480" t="inlineStr">
        <is>
          <t>SCA</t>
        </is>
      </c>
      <c r="G1480" t="n">
        <v>2.3</v>
      </c>
      <c r="H1480" t="n">
        <v>0</v>
      </c>
      <c r="I1480" t="n">
        <v>0</v>
      </c>
      <c r="J1480" t="n">
        <v>0</v>
      </c>
      <c r="K1480" t="n">
        <v>1</v>
      </c>
      <c r="L1480" t="n">
        <v>0</v>
      </c>
      <c r="M1480" t="n">
        <v>0</v>
      </c>
      <c r="N1480" t="n">
        <v>0</v>
      </c>
      <c r="O1480" t="n">
        <v>1</v>
      </c>
      <c r="P1480" t="n">
        <v>1</v>
      </c>
      <c r="Q1480" t="n">
        <v>1</v>
      </c>
      <c r="R1480" s="2" t="inlineStr">
        <is>
          <t>Gräddporing</t>
        </is>
      </c>
      <c r="S1480">
        <f>HYPERLINK("https://klasma.github.io/Logging_2326/artfynd/A 20444-2025 artfynd.xlsx", "A 20444-2025")</f>
        <v/>
      </c>
      <c r="T1480">
        <f>HYPERLINK("https://klasma.github.io/Logging_2326/kartor/A 20444-2025 karta.png", "A 20444-2025")</f>
        <v/>
      </c>
      <c r="V1480">
        <f>HYPERLINK("https://klasma.github.io/Logging_2326/klagomål/A 20444-2025 FSC-klagomål.docx", "A 20444-2025")</f>
        <v/>
      </c>
      <c r="W1480">
        <f>HYPERLINK("https://klasma.github.io/Logging_2326/klagomålsmail/A 20444-2025 FSC-klagomål mail.docx", "A 20444-2025")</f>
        <v/>
      </c>
      <c r="X1480">
        <f>HYPERLINK("https://klasma.github.io/Logging_2326/tillsyn/A 20444-2025 tillsynsbegäran.docx", "A 20444-2025")</f>
        <v/>
      </c>
      <c r="Y1480">
        <f>HYPERLINK("https://klasma.github.io/Logging_2326/tillsynsmail/A 20444-2025 tillsynsbegäran mail.docx", "A 20444-2025")</f>
        <v/>
      </c>
    </row>
    <row r="1481" ht="15" customHeight="1">
      <c r="A1481" t="inlineStr">
        <is>
          <t>A 48544-2022</t>
        </is>
      </c>
      <c r="B1481" s="1" t="n">
        <v>44858</v>
      </c>
      <c r="C1481" s="1" t="n">
        <v>46045</v>
      </c>
      <c r="D1481" t="inlineStr">
        <is>
          <t>JÄMTLANDS LÄN</t>
        </is>
      </c>
      <c r="E1481" t="inlineStr">
        <is>
          <t>STRÖMSUND</t>
        </is>
      </c>
      <c r="F1481" t="inlineStr">
        <is>
          <t>SCA</t>
        </is>
      </c>
      <c r="G1481" t="n">
        <v>2.6</v>
      </c>
      <c r="H1481" t="n">
        <v>1</v>
      </c>
      <c r="I1481" t="n">
        <v>0</v>
      </c>
      <c r="J1481" t="n">
        <v>0</v>
      </c>
      <c r="K1481" t="n">
        <v>1</v>
      </c>
      <c r="L1481" t="n">
        <v>0</v>
      </c>
      <c r="M1481" t="n">
        <v>0</v>
      </c>
      <c r="N1481" t="n">
        <v>0</v>
      </c>
      <c r="O1481" t="n">
        <v>1</v>
      </c>
      <c r="P1481" t="n">
        <v>1</v>
      </c>
      <c r="Q1481" t="n">
        <v>1</v>
      </c>
      <c r="R1481" s="2" t="inlineStr">
        <is>
          <t>Doftticka</t>
        </is>
      </c>
      <c r="S1481">
        <f>HYPERLINK("https://klasma.github.io/Logging_2313/artfynd/A 48544-2022 artfynd.xlsx", "A 48544-2022")</f>
        <v/>
      </c>
      <c r="T1481">
        <f>HYPERLINK("https://klasma.github.io/Logging_2313/kartor/A 48544-2022 karta.png", "A 48544-2022")</f>
        <v/>
      </c>
      <c r="V1481">
        <f>HYPERLINK("https://klasma.github.io/Logging_2313/klagomål/A 48544-2022 FSC-klagomål.docx", "A 48544-2022")</f>
        <v/>
      </c>
      <c r="W1481">
        <f>HYPERLINK("https://klasma.github.io/Logging_2313/klagomålsmail/A 48544-2022 FSC-klagomål mail.docx", "A 48544-2022")</f>
        <v/>
      </c>
      <c r="X1481">
        <f>HYPERLINK("https://klasma.github.io/Logging_2313/tillsyn/A 48544-2022 tillsynsbegäran.docx", "A 48544-2022")</f>
        <v/>
      </c>
      <c r="Y1481">
        <f>HYPERLINK("https://klasma.github.io/Logging_2313/tillsynsmail/A 48544-2022 tillsynsbegäran mail.docx", "A 48544-2022")</f>
        <v/>
      </c>
    </row>
    <row r="1482" ht="15" customHeight="1">
      <c r="A1482" t="inlineStr">
        <is>
          <t>A 45144-2024</t>
        </is>
      </c>
      <c r="B1482" s="1" t="n">
        <v>45575.63767361111</v>
      </c>
      <c r="C1482" s="1" t="n">
        <v>46045</v>
      </c>
      <c r="D1482" t="inlineStr">
        <is>
          <t>JÄMTLANDS LÄN</t>
        </is>
      </c>
      <c r="E1482" t="inlineStr">
        <is>
          <t>ÅRE</t>
        </is>
      </c>
      <c r="F1482" t="inlineStr">
        <is>
          <t>Övriga Aktiebolag</t>
        </is>
      </c>
      <c r="G1482" t="n">
        <v>14.7</v>
      </c>
      <c r="H1482" t="n">
        <v>0</v>
      </c>
      <c r="I1482" t="n">
        <v>0</v>
      </c>
      <c r="J1482" t="n">
        <v>1</v>
      </c>
      <c r="K1482" t="n">
        <v>0</v>
      </c>
      <c r="L1482" t="n">
        <v>0</v>
      </c>
      <c r="M1482" t="n">
        <v>0</v>
      </c>
      <c r="N1482" t="n">
        <v>0</v>
      </c>
      <c r="O1482" t="n">
        <v>1</v>
      </c>
      <c r="P1482" t="n">
        <v>0</v>
      </c>
      <c r="Q1482" t="n">
        <v>1</v>
      </c>
      <c r="R1482" s="2" t="inlineStr">
        <is>
          <t>Garnlav</t>
        </is>
      </c>
      <c r="S1482">
        <f>HYPERLINK("https://klasma.github.io/Logging_2321/artfynd/A 45144-2024 artfynd.xlsx", "A 45144-2024")</f>
        <v/>
      </c>
      <c r="T1482">
        <f>HYPERLINK("https://klasma.github.io/Logging_2321/kartor/A 45144-2024 karta.png", "A 45144-2024")</f>
        <v/>
      </c>
      <c r="V1482">
        <f>HYPERLINK("https://klasma.github.io/Logging_2321/klagomål/A 45144-2024 FSC-klagomål.docx", "A 45144-2024")</f>
        <v/>
      </c>
      <c r="W1482">
        <f>HYPERLINK("https://klasma.github.io/Logging_2321/klagomålsmail/A 45144-2024 FSC-klagomål mail.docx", "A 45144-2024")</f>
        <v/>
      </c>
      <c r="X1482">
        <f>HYPERLINK("https://klasma.github.io/Logging_2321/tillsyn/A 45144-2024 tillsynsbegäran.docx", "A 45144-2024")</f>
        <v/>
      </c>
      <c r="Y1482">
        <f>HYPERLINK("https://klasma.github.io/Logging_2321/tillsynsmail/A 45144-2024 tillsynsbegäran mail.docx", "A 45144-2024")</f>
        <v/>
      </c>
    </row>
    <row r="1483" ht="15" customHeight="1">
      <c r="A1483" t="inlineStr">
        <is>
          <t>A 16834-2021</t>
        </is>
      </c>
      <c r="B1483" s="1" t="n">
        <v>44293</v>
      </c>
      <c r="C1483" s="1" t="n">
        <v>46045</v>
      </c>
      <c r="D1483" t="inlineStr">
        <is>
          <t>JÄMTLANDS LÄN</t>
        </is>
      </c>
      <c r="E1483" t="inlineStr">
        <is>
          <t>BERG</t>
        </is>
      </c>
      <c r="G1483" t="n">
        <v>18.7</v>
      </c>
      <c r="H1483" t="n">
        <v>0</v>
      </c>
      <c r="I1483" t="n">
        <v>0</v>
      </c>
      <c r="J1483" t="n">
        <v>1</v>
      </c>
      <c r="K1483" t="n">
        <v>0</v>
      </c>
      <c r="L1483" t="n">
        <v>0</v>
      </c>
      <c r="M1483" t="n">
        <v>0</v>
      </c>
      <c r="N1483" t="n">
        <v>0</v>
      </c>
      <c r="O1483" t="n">
        <v>1</v>
      </c>
      <c r="P1483" t="n">
        <v>0</v>
      </c>
      <c r="Q1483" t="n">
        <v>1</v>
      </c>
      <c r="R1483" s="2" t="inlineStr">
        <is>
          <t>Gränsticka</t>
        </is>
      </c>
      <c r="S1483">
        <f>HYPERLINK("https://klasma.github.io/Logging_2326/artfynd/A 16834-2021 artfynd.xlsx", "A 16834-2021")</f>
        <v/>
      </c>
      <c r="T1483">
        <f>HYPERLINK("https://klasma.github.io/Logging_2326/kartor/A 16834-2021 karta.png", "A 16834-2021")</f>
        <v/>
      </c>
      <c r="V1483">
        <f>HYPERLINK("https://klasma.github.io/Logging_2326/klagomål/A 16834-2021 FSC-klagomål.docx", "A 16834-2021")</f>
        <v/>
      </c>
      <c r="W1483">
        <f>HYPERLINK("https://klasma.github.io/Logging_2326/klagomålsmail/A 16834-2021 FSC-klagomål mail.docx", "A 16834-2021")</f>
        <v/>
      </c>
      <c r="X1483">
        <f>HYPERLINK("https://klasma.github.io/Logging_2326/tillsyn/A 16834-2021 tillsynsbegäran.docx", "A 16834-2021")</f>
        <v/>
      </c>
      <c r="Y1483">
        <f>HYPERLINK("https://klasma.github.io/Logging_2326/tillsynsmail/A 16834-2021 tillsynsbegäran mail.docx", "A 16834-2021")</f>
        <v/>
      </c>
    </row>
    <row r="1484" ht="15" customHeight="1">
      <c r="A1484" t="inlineStr">
        <is>
          <t>A 27578-2022</t>
        </is>
      </c>
      <c r="B1484" s="1" t="n">
        <v>44742</v>
      </c>
      <c r="C1484" s="1" t="n">
        <v>46045</v>
      </c>
      <c r="D1484" t="inlineStr">
        <is>
          <t>JÄMTLANDS LÄN</t>
        </is>
      </c>
      <c r="E1484" t="inlineStr">
        <is>
          <t>ÖSTERSUND</t>
        </is>
      </c>
      <c r="F1484" t="inlineStr">
        <is>
          <t>SCA</t>
        </is>
      </c>
      <c r="G1484" t="n">
        <v>2</v>
      </c>
      <c r="H1484" t="n">
        <v>1</v>
      </c>
      <c r="I1484" t="n">
        <v>0</v>
      </c>
      <c r="J1484" t="n">
        <v>0</v>
      </c>
      <c r="K1484" t="n">
        <v>0</v>
      </c>
      <c r="L1484" t="n">
        <v>0</v>
      </c>
      <c r="M1484" t="n">
        <v>0</v>
      </c>
      <c r="N1484" t="n">
        <v>0</v>
      </c>
      <c r="O1484" t="n">
        <v>0</v>
      </c>
      <c r="P1484" t="n">
        <v>0</v>
      </c>
      <c r="Q1484" t="n">
        <v>1</v>
      </c>
      <c r="R1484" s="2" t="inlineStr">
        <is>
          <t>Blåsippa</t>
        </is>
      </c>
      <c r="S1484">
        <f>HYPERLINK("https://klasma.github.io/Logging_2380/artfynd/A 27578-2022 artfynd.xlsx", "A 27578-2022")</f>
        <v/>
      </c>
      <c r="T1484">
        <f>HYPERLINK("https://klasma.github.io/Logging_2380/kartor/A 27578-2022 karta.png", "A 27578-2022")</f>
        <v/>
      </c>
      <c r="V1484">
        <f>HYPERLINK("https://klasma.github.io/Logging_2380/klagomål/A 27578-2022 FSC-klagomål.docx", "A 27578-2022")</f>
        <v/>
      </c>
      <c r="W1484">
        <f>HYPERLINK("https://klasma.github.io/Logging_2380/klagomålsmail/A 27578-2022 FSC-klagomål mail.docx", "A 27578-2022")</f>
        <v/>
      </c>
      <c r="X1484">
        <f>HYPERLINK("https://klasma.github.io/Logging_2380/tillsyn/A 27578-2022 tillsynsbegäran.docx", "A 27578-2022")</f>
        <v/>
      </c>
      <c r="Y1484">
        <f>HYPERLINK("https://klasma.github.io/Logging_2380/tillsynsmail/A 27578-2022 tillsynsbegäran mail.docx", "A 27578-2022")</f>
        <v/>
      </c>
    </row>
    <row r="1485" ht="15" customHeight="1">
      <c r="A1485" t="inlineStr">
        <is>
          <t>A 25041-2022</t>
        </is>
      </c>
      <c r="B1485" s="1" t="n">
        <v>44728</v>
      </c>
      <c r="C1485" s="1" t="n">
        <v>46045</v>
      </c>
      <c r="D1485" t="inlineStr">
        <is>
          <t>JÄMTLANDS LÄN</t>
        </is>
      </c>
      <c r="E1485" t="inlineStr">
        <is>
          <t>KROKOM</t>
        </is>
      </c>
      <c r="F1485" t="inlineStr">
        <is>
          <t>SCA</t>
        </is>
      </c>
      <c r="G1485" t="n">
        <v>5.5</v>
      </c>
      <c r="H1485" t="n">
        <v>0</v>
      </c>
      <c r="I1485" t="n">
        <v>0</v>
      </c>
      <c r="J1485" t="n">
        <v>1</v>
      </c>
      <c r="K1485" t="n">
        <v>0</v>
      </c>
      <c r="L1485" t="n">
        <v>0</v>
      </c>
      <c r="M1485" t="n">
        <v>0</v>
      </c>
      <c r="N1485" t="n">
        <v>0</v>
      </c>
      <c r="O1485" t="n">
        <v>1</v>
      </c>
      <c r="P1485" t="n">
        <v>0</v>
      </c>
      <c r="Q1485" t="n">
        <v>1</v>
      </c>
      <c r="R1485" s="2" t="inlineStr">
        <is>
          <t>Harticka</t>
        </is>
      </c>
      <c r="S1485">
        <f>HYPERLINK("https://klasma.github.io/Logging_2309/artfynd/A 25041-2022 artfynd.xlsx", "A 25041-2022")</f>
        <v/>
      </c>
      <c r="T1485">
        <f>HYPERLINK("https://klasma.github.io/Logging_2309/kartor/A 25041-2022 karta.png", "A 25041-2022")</f>
        <v/>
      </c>
      <c r="V1485">
        <f>HYPERLINK("https://klasma.github.io/Logging_2309/klagomål/A 25041-2022 FSC-klagomål.docx", "A 25041-2022")</f>
        <v/>
      </c>
      <c r="W1485">
        <f>HYPERLINK("https://klasma.github.io/Logging_2309/klagomålsmail/A 25041-2022 FSC-klagomål mail.docx", "A 25041-2022")</f>
        <v/>
      </c>
      <c r="X1485">
        <f>HYPERLINK("https://klasma.github.io/Logging_2309/tillsyn/A 25041-2022 tillsynsbegäran.docx", "A 25041-2022")</f>
        <v/>
      </c>
      <c r="Y1485">
        <f>HYPERLINK("https://klasma.github.io/Logging_2309/tillsynsmail/A 25041-2022 tillsynsbegäran mail.docx", "A 25041-2022")</f>
        <v/>
      </c>
    </row>
    <row r="1486" ht="15" customHeight="1">
      <c r="A1486" t="inlineStr">
        <is>
          <t>A 31061-2022</t>
        </is>
      </c>
      <c r="B1486" s="1" t="n">
        <v>44769.48783564815</v>
      </c>
      <c r="C1486" s="1" t="n">
        <v>46045</v>
      </c>
      <c r="D1486" t="inlineStr">
        <is>
          <t>JÄMTLANDS LÄN</t>
        </is>
      </c>
      <c r="E1486" t="inlineStr">
        <is>
          <t>HÄRJEDALEN</t>
        </is>
      </c>
      <c r="F1486" t="inlineStr">
        <is>
          <t>Bergvik skog väst AB</t>
        </is>
      </c>
      <c r="G1486" t="n">
        <v>15.8</v>
      </c>
      <c r="H1486" t="n">
        <v>0</v>
      </c>
      <c r="I1486" t="n">
        <v>0</v>
      </c>
      <c r="J1486" t="n">
        <v>1</v>
      </c>
      <c r="K1486" t="n">
        <v>0</v>
      </c>
      <c r="L1486" t="n">
        <v>0</v>
      </c>
      <c r="M1486" t="n">
        <v>0</v>
      </c>
      <c r="N1486" t="n">
        <v>0</v>
      </c>
      <c r="O1486" t="n">
        <v>1</v>
      </c>
      <c r="P1486" t="n">
        <v>0</v>
      </c>
      <c r="Q1486" t="n">
        <v>1</v>
      </c>
      <c r="R1486" s="2" t="inlineStr">
        <is>
          <t>Lunglav</t>
        </is>
      </c>
      <c r="S1486">
        <f>HYPERLINK("https://klasma.github.io/Logging_2361/artfynd/A 31061-2022 artfynd.xlsx", "A 31061-2022")</f>
        <v/>
      </c>
      <c r="T1486">
        <f>HYPERLINK("https://klasma.github.io/Logging_2361/kartor/A 31061-2022 karta.png", "A 31061-2022")</f>
        <v/>
      </c>
      <c r="V1486">
        <f>HYPERLINK("https://klasma.github.io/Logging_2361/klagomål/A 31061-2022 FSC-klagomål.docx", "A 31061-2022")</f>
        <v/>
      </c>
      <c r="W1486">
        <f>HYPERLINK("https://klasma.github.io/Logging_2361/klagomålsmail/A 31061-2022 FSC-klagomål mail.docx", "A 31061-2022")</f>
        <v/>
      </c>
      <c r="X1486">
        <f>HYPERLINK("https://klasma.github.io/Logging_2361/tillsyn/A 31061-2022 tillsynsbegäran.docx", "A 31061-2022")</f>
        <v/>
      </c>
      <c r="Y1486">
        <f>HYPERLINK("https://klasma.github.io/Logging_2361/tillsynsmail/A 31061-2022 tillsynsbegäran mail.docx", "A 31061-2022")</f>
        <v/>
      </c>
    </row>
    <row r="1487" ht="15" customHeight="1">
      <c r="A1487" t="inlineStr">
        <is>
          <t>A 49863-2022</t>
        </is>
      </c>
      <c r="B1487" s="1" t="n">
        <v>44862</v>
      </c>
      <c r="C1487" s="1" t="n">
        <v>46045</v>
      </c>
      <c r="D1487" t="inlineStr">
        <is>
          <t>JÄMTLANDS LÄN</t>
        </is>
      </c>
      <c r="E1487" t="inlineStr">
        <is>
          <t>BRÄCKE</t>
        </is>
      </c>
      <c r="F1487" t="inlineStr">
        <is>
          <t>SCA</t>
        </is>
      </c>
      <c r="G1487" t="n">
        <v>3.9</v>
      </c>
      <c r="H1487" t="n">
        <v>1</v>
      </c>
      <c r="I1487" t="n">
        <v>1</v>
      </c>
      <c r="J1487" t="n">
        <v>0</v>
      </c>
      <c r="K1487" t="n">
        <v>0</v>
      </c>
      <c r="L1487" t="n">
        <v>0</v>
      </c>
      <c r="M1487" t="n">
        <v>0</v>
      </c>
      <c r="N1487" t="n">
        <v>0</v>
      </c>
      <c r="O1487" t="n">
        <v>0</v>
      </c>
      <c r="P1487" t="n">
        <v>0</v>
      </c>
      <c r="Q1487" t="n">
        <v>1</v>
      </c>
      <c r="R1487" s="2" t="inlineStr">
        <is>
          <t>Spindelblomster</t>
        </is>
      </c>
      <c r="S1487">
        <f>HYPERLINK("https://klasma.github.io/Logging_2305/artfynd/A 49863-2022 artfynd.xlsx", "A 49863-2022")</f>
        <v/>
      </c>
      <c r="T1487">
        <f>HYPERLINK("https://klasma.github.io/Logging_2305/kartor/A 49863-2022 karta.png", "A 49863-2022")</f>
        <v/>
      </c>
      <c r="V1487">
        <f>HYPERLINK("https://klasma.github.io/Logging_2305/klagomål/A 49863-2022 FSC-klagomål.docx", "A 49863-2022")</f>
        <v/>
      </c>
      <c r="W1487">
        <f>HYPERLINK("https://klasma.github.io/Logging_2305/klagomålsmail/A 49863-2022 FSC-klagomål mail.docx", "A 49863-2022")</f>
        <v/>
      </c>
      <c r="X1487">
        <f>HYPERLINK("https://klasma.github.io/Logging_2305/tillsyn/A 49863-2022 tillsynsbegäran.docx", "A 49863-2022")</f>
        <v/>
      </c>
      <c r="Y1487">
        <f>HYPERLINK("https://klasma.github.io/Logging_2305/tillsynsmail/A 49863-2022 tillsynsbegäran mail.docx", "A 49863-2022")</f>
        <v/>
      </c>
    </row>
    <row r="1488" ht="15" customHeight="1">
      <c r="A1488" t="inlineStr">
        <is>
          <t>A 61159-2024</t>
        </is>
      </c>
      <c r="B1488" s="1" t="n">
        <v>45645.5943287037</v>
      </c>
      <c r="C1488" s="1" t="n">
        <v>46045</v>
      </c>
      <c r="D1488" t="inlineStr">
        <is>
          <t>JÄMTLANDS LÄN</t>
        </is>
      </c>
      <c r="E1488" t="inlineStr">
        <is>
          <t>STRÖMSUND</t>
        </is>
      </c>
      <c r="F1488" t="inlineStr">
        <is>
          <t>SCA</t>
        </is>
      </c>
      <c r="G1488" t="n">
        <v>5.3</v>
      </c>
      <c r="H1488" t="n">
        <v>0</v>
      </c>
      <c r="I1488" t="n">
        <v>1</v>
      </c>
      <c r="J1488" t="n">
        <v>0</v>
      </c>
      <c r="K1488" t="n">
        <v>0</v>
      </c>
      <c r="L1488" t="n">
        <v>0</v>
      </c>
      <c r="M1488" t="n">
        <v>0</v>
      </c>
      <c r="N1488" t="n">
        <v>0</v>
      </c>
      <c r="O1488" t="n">
        <v>0</v>
      </c>
      <c r="P1488" t="n">
        <v>0</v>
      </c>
      <c r="Q1488" t="n">
        <v>1</v>
      </c>
      <c r="R1488" s="2" t="inlineStr">
        <is>
          <t>Bårdlav</t>
        </is>
      </c>
      <c r="S1488">
        <f>HYPERLINK("https://klasma.github.io/Logging_2313/artfynd/A 61159-2024 artfynd.xlsx", "A 61159-2024")</f>
        <v/>
      </c>
      <c r="T1488">
        <f>HYPERLINK("https://klasma.github.io/Logging_2313/kartor/A 61159-2024 karta.png", "A 61159-2024")</f>
        <v/>
      </c>
      <c r="V1488">
        <f>HYPERLINK("https://klasma.github.io/Logging_2313/klagomål/A 61159-2024 FSC-klagomål.docx", "A 61159-2024")</f>
        <v/>
      </c>
      <c r="W1488">
        <f>HYPERLINK("https://klasma.github.io/Logging_2313/klagomålsmail/A 61159-2024 FSC-klagomål mail.docx", "A 61159-2024")</f>
        <v/>
      </c>
      <c r="X1488">
        <f>HYPERLINK("https://klasma.github.io/Logging_2313/tillsyn/A 61159-2024 tillsynsbegäran.docx", "A 61159-2024")</f>
        <v/>
      </c>
      <c r="Y1488">
        <f>HYPERLINK("https://klasma.github.io/Logging_2313/tillsynsmail/A 61159-2024 tillsynsbegäran mail.docx", "A 61159-2024")</f>
        <v/>
      </c>
    </row>
    <row r="1489" ht="15" customHeight="1">
      <c r="A1489" t="inlineStr">
        <is>
          <t>A 41317-2022</t>
        </is>
      </c>
      <c r="B1489" s="1" t="n">
        <v>44826</v>
      </c>
      <c r="C1489" s="1" t="n">
        <v>46045</v>
      </c>
      <c r="D1489" t="inlineStr">
        <is>
          <t>JÄMTLANDS LÄN</t>
        </is>
      </c>
      <c r="E1489" t="inlineStr">
        <is>
          <t>BERG</t>
        </is>
      </c>
      <c r="G1489" t="n">
        <v>0.5</v>
      </c>
      <c r="H1489" t="n">
        <v>1</v>
      </c>
      <c r="I1489" t="n">
        <v>0</v>
      </c>
      <c r="J1489" t="n">
        <v>0</v>
      </c>
      <c r="K1489" t="n">
        <v>0</v>
      </c>
      <c r="L1489" t="n">
        <v>0</v>
      </c>
      <c r="M1489" t="n">
        <v>0</v>
      </c>
      <c r="N1489" t="n">
        <v>0</v>
      </c>
      <c r="O1489" t="n">
        <v>0</v>
      </c>
      <c r="P1489" t="n">
        <v>0</v>
      </c>
      <c r="Q1489" t="n">
        <v>1</v>
      </c>
      <c r="R1489" s="2" t="inlineStr">
        <is>
          <t>Fläcknycklar</t>
        </is>
      </c>
      <c r="S1489">
        <f>HYPERLINK("https://klasma.github.io/Logging_2326/artfynd/A 41317-2022 artfynd.xlsx", "A 41317-2022")</f>
        <v/>
      </c>
      <c r="T1489">
        <f>HYPERLINK("https://klasma.github.io/Logging_2326/kartor/A 41317-2022 karta.png", "A 41317-2022")</f>
        <v/>
      </c>
      <c r="V1489">
        <f>HYPERLINK("https://klasma.github.io/Logging_2326/klagomål/A 41317-2022 FSC-klagomål.docx", "A 41317-2022")</f>
        <v/>
      </c>
      <c r="W1489">
        <f>HYPERLINK("https://klasma.github.io/Logging_2326/klagomålsmail/A 41317-2022 FSC-klagomål mail.docx", "A 41317-2022")</f>
        <v/>
      </c>
      <c r="X1489">
        <f>HYPERLINK("https://klasma.github.io/Logging_2326/tillsyn/A 41317-2022 tillsynsbegäran.docx", "A 41317-2022")</f>
        <v/>
      </c>
      <c r="Y1489">
        <f>HYPERLINK("https://klasma.github.io/Logging_2326/tillsynsmail/A 41317-2022 tillsynsbegäran mail.docx", "A 41317-2022")</f>
        <v/>
      </c>
    </row>
    <row r="1490" ht="15" customHeight="1">
      <c r="A1490" t="inlineStr">
        <is>
          <t>A 724-2023</t>
        </is>
      </c>
      <c r="B1490" s="1" t="n">
        <v>44930.94215277778</v>
      </c>
      <c r="C1490" s="1" t="n">
        <v>46045</v>
      </c>
      <c r="D1490" t="inlineStr">
        <is>
          <t>JÄMTLANDS LÄN</t>
        </is>
      </c>
      <c r="E1490" t="inlineStr">
        <is>
          <t>BRÄCKE</t>
        </is>
      </c>
      <c r="F1490" t="inlineStr">
        <is>
          <t>SCA</t>
        </is>
      </c>
      <c r="G1490" t="n">
        <v>4.6</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HYPERLINK("https://klasma.github.io/Logging_2305/artfynd/A 724-2023 artfynd.xlsx", "A 724-2023")</f>
        <v/>
      </c>
      <c r="T1490">
        <f>HYPERLINK("https://klasma.github.io/Logging_2305/kartor/A 724-2023 karta.png", "A 724-2023")</f>
        <v/>
      </c>
      <c r="V1490">
        <f>HYPERLINK("https://klasma.github.io/Logging_2305/klagomål/A 724-2023 FSC-klagomål.docx", "A 724-2023")</f>
        <v/>
      </c>
      <c r="W1490">
        <f>HYPERLINK("https://klasma.github.io/Logging_2305/klagomålsmail/A 724-2023 FSC-klagomål mail.docx", "A 724-2023")</f>
        <v/>
      </c>
      <c r="X1490">
        <f>HYPERLINK("https://klasma.github.io/Logging_2305/tillsyn/A 724-2023 tillsynsbegäran.docx", "A 724-2023")</f>
        <v/>
      </c>
      <c r="Y1490">
        <f>HYPERLINK("https://klasma.github.io/Logging_2305/tillsynsmail/A 724-2023 tillsynsbegäran mail.docx", "A 724-2023")</f>
        <v/>
      </c>
      <c r="Z1490">
        <f>HYPERLINK("https://klasma.github.io/Logging_2305/fåglar/A 724-2023 prioriterade fågelarter.docx", "A 724-2023")</f>
        <v/>
      </c>
    </row>
    <row r="1491" ht="15" customHeight="1">
      <c r="A1491" t="inlineStr">
        <is>
          <t>A 5480-2023</t>
        </is>
      </c>
      <c r="B1491" s="1" t="n">
        <v>44957</v>
      </c>
      <c r="C1491" s="1" t="n">
        <v>46045</v>
      </c>
      <c r="D1491" t="inlineStr">
        <is>
          <t>JÄMTLANDS LÄN</t>
        </is>
      </c>
      <c r="E1491" t="inlineStr">
        <is>
          <t>ÅRE</t>
        </is>
      </c>
      <c r="G1491" t="n">
        <v>3.3</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5480-2023 artfynd.xlsx", "A 5480-2023")</f>
        <v/>
      </c>
      <c r="T1491">
        <f>HYPERLINK("https://klasma.github.io/Logging_2321/kartor/A 5480-2023 karta.png", "A 5480-2023")</f>
        <v/>
      </c>
      <c r="V1491">
        <f>HYPERLINK("https://klasma.github.io/Logging_2321/klagomål/A 5480-2023 FSC-klagomål.docx", "A 5480-2023")</f>
        <v/>
      </c>
      <c r="W1491">
        <f>HYPERLINK("https://klasma.github.io/Logging_2321/klagomålsmail/A 5480-2023 FSC-klagomål mail.docx", "A 5480-2023")</f>
        <v/>
      </c>
      <c r="X1491">
        <f>HYPERLINK("https://klasma.github.io/Logging_2321/tillsyn/A 5480-2023 tillsynsbegäran.docx", "A 5480-2023")</f>
        <v/>
      </c>
      <c r="Y1491">
        <f>HYPERLINK("https://klasma.github.io/Logging_2321/tillsynsmail/A 5480-2023 tillsynsbegäran mail.docx", "A 5480-2023")</f>
        <v/>
      </c>
      <c r="Z1491">
        <f>HYPERLINK("https://klasma.github.io/Logging_2321/fåglar/A 5480-2023 prioriterade fågelarter.docx", "A 5480-2023")</f>
        <v/>
      </c>
    </row>
    <row r="1492" ht="15" customHeight="1">
      <c r="A1492" t="inlineStr">
        <is>
          <t>A 41312-2024</t>
        </is>
      </c>
      <c r="B1492" s="1" t="n">
        <v>45559.63584490741</v>
      </c>
      <c r="C1492" s="1" t="n">
        <v>46045</v>
      </c>
      <c r="D1492" t="inlineStr">
        <is>
          <t>JÄMTLANDS LÄN</t>
        </is>
      </c>
      <c r="E1492" t="inlineStr">
        <is>
          <t>ÖSTERSUND</t>
        </is>
      </c>
      <c r="F1492" t="inlineStr">
        <is>
          <t>SCA</t>
        </is>
      </c>
      <c r="G1492" t="n">
        <v>2.6</v>
      </c>
      <c r="H1492" t="n">
        <v>0</v>
      </c>
      <c r="I1492" t="n">
        <v>0</v>
      </c>
      <c r="J1492" t="n">
        <v>1</v>
      </c>
      <c r="K1492" t="n">
        <v>0</v>
      </c>
      <c r="L1492" t="n">
        <v>0</v>
      </c>
      <c r="M1492" t="n">
        <v>0</v>
      </c>
      <c r="N1492" t="n">
        <v>0</v>
      </c>
      <c r="O1492" t="n">
        <v>1</v>
      </c>
      <c r="P1492" t="n">
        <v>0</v>
      </c>
      <c r="Q1492" t="n">
        <v>1</v>
      </c>
      <c r="R1492" s="2" t="inlineStr">
        <is>
          <t>Dvärgbägarlav</t>
        </is>
      </c>
      <c r="S1492">
        <f>HYPERLINK("https://klasma.github.io/Logging_2380/artfynd/A 41312-2024 artfynd.xlsx", "A 41312-2024")</f>
        <v/>
      </c>
      <c r="T1492">
        <f>HYPERLINK("https://klasma.github.io/Logging_2380/kartor/A 41312-2024 karta.png", "A 41312-2024")</f>
        <v/>
      </c>
      <c r="V1492">
        <f>HYPERLINK("https://klasma.github.io/Logging_2380/klagomål/A 41312-2024 FSC-klagomål.docx", "A 41312-2024")</f>
        <v/>
      </c>
      <c r="W1492">
        <f>HYPERLINK("https://klasma.github.io/Logging_2380/klagomålsmail/A 41312-2024 FSC-klagomål mail.docx", "A 41312-2024")</f>
        <v/>
      </c>
      <c r="X1492">
        <f>HYPERLINK("https://klasma.github.io/Logging_2380/tillsyn/A 41312-2024 tillsynsbegäran.docx", "A 41312-2024")</f>
        <v/>
      </c>
      <c r="Y1492">
        <f>HYPERLINK("https://klasma.github.io/Logging_2380/tillsynsmail/A 41312-2024 tillsynsbegäran mail.docx", "A 41312-2024")</f>
        <v/>
      </c>
    </row>
    <row r="1493" ht="15" customHeight="1">
      <c r="A1493" t="inlineStr">
        <is>
          <t>A 32686-2022</t>
        </is>
      </c>
      <c r="B1493" s="1" t="n">
        <v>44776</v>
      </c>
      <c r="C1493" s="1" t="n">
        <v>46045</v>
      </c>
      <c r="D1493" t="inlineStr">
        <is>
          <t>JÄMTLANDS LÄN</t>
        </is>
      </c>
      <c r="E1493" t="inlineStr">
        <is>
          <t>BERG</t>
        </is>
      </c>
      <c r="G1493" t="n">
        <v>4.8</v>
      </c>
      <c r="H1493" t="n">
        <v>1</v>
      </c>
      <c r="I1493" t="n">
        <v>0</v>
      </c>
      <c r="J1493" t="n">
        <v>0</v>
      </c>
      <c r="K1493" t="n">
        <v>1</v>
      </c>
      <c r="L1493" t="n">
        <v>0</v>
      </c>
      <c r="M1493" t="n">
        <v>0</v>
      </c>
      <c r="N1493" t="n">
        <v>0</v>
      </c>
      <c r="O1493" t="n">
        <v>1</v>
      </c>
      <c r="P1493" t="n">
        <v>1</v>
      </c>
      <c r="Q1493" t="n">
        <v>1</v>
      </c>
      <c r="R1493" s="2" t="inlineStr">
        <is>
          <t>Knärot</t>
        </is>
      </c>
      <c r="S1493">
        <f>HYPERLINK("https://klasma.github.io/Logging_2326/artfynd/A 32686-2022 artfynd.xlsx", "A 32686-2022")</f>
        <v/>
      </c>
      <c r="T1493">
        <f>HYPERLINK("https://klasma.github.io/Logging_2326/kartor/A 32686-2022 karta.png", "A 32686-2022")</f>
        <v/>
      </c>
      <c r="U1493">
        <f>HYPERLINK("https://klasma.github.io/Logging_2326/knärot/A 32686-2022 karta knärot.png", "A 32686-2022")</f>
        <v/>
      </c>
      <c r="V1493">
        <f>HYPERLINK("https://klasma.github.io/Logging_2326/klagomål/A 32686-2022 FSC-klagomål.docx", "A 32686-2022")</f>
        <v/>
      </c>
      <c r="W1493">
        <f>HYPERLINK("https://klasma.github.io/Logging_2326/klagomålsmail/A 32686-2022 FSC-klagomål mail.docx", "A 32686-2022")</f>
        <v/>
      </c>
      <c r="X1493">
        <f>HYPERLINK("https://klasma.github.io/Logging_2326/tillsyn/A 32686-2022 tillsynsbegäran.docx", "A 32686-2022")</f>
        <v/>
      </c>
      <c r="Y1493">
        <f>HYPERLINK("https://klasma.github.io/Logging_2326/tillsynsmail/A 32686-2022 tillsynsbegäran mail.docx", "A 32686-2022")</f>
        <v/>
      </c>
    </row>
    <row r="1494" ht="15" customHeight="1">
      <c r="A1494" t="inlineStr">
        <is>
          <t>A 49040-2023</t>
        </is>
      </c>
      <c r="B1494" s="1" t="n">
        <v>45209</v>
      </c>
      <c r="C1494" s="1" t="n">
        <v>46045</v>
      </c>
      <c r="D1494" t="inlineStr">
        <is>
          <t>JÄMTLANDS LÄN</t>
        </is>
      </c>
      <c r="E1494" t="inlineStr">
        <is>
          <t>BRÄCKE</t>
        </is>
      </c>
      <c r="F1494" t="inlineStr">
        <is>
          <t>SCA</t>
        </is>
      </c>
      <c r="G1494" t="n">
        <v>4.2</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49040-2023 artfynd.xlsx", "A 49040-2023")</f>
        <v/>
      </c>
      <c r="T1494">
        <f>HYPERLINK("https://klasma.github.io/Logging_2305/kartor/A 49040-2023 karta.png", "A 49040-2023")</f>
        <v/>
      </c>
      <c r="V1494">
        <f>HYPERLINK("https://klasma.github.io/Logging_2305/klagomål/A 49040-2023 FSC-klagomål.docx", "A 49040-2023")</f>
        <v/>
      </c>
      <c r="W1494">
        <f>HYPERLINK("https://klasma.github.io/Logging_2305/klagomålsmail/A 49040-2023 FSC-klagomål mail.docx", "A 49040-2023")</f>
        <v/>
      </c>
      <c r="X1494">
        <f>HYPERLINK("https://klasma.github.io/Logging_2305/tillsyn/A 49040-2023 tillsynsbegäran.docx", "A 49040-2023")</f>
        <v/>
      </c>
      <c r="Y1494">
        <f>HYPERLINK("https://klasma.github.io/Logging_2305/tillsynsmail/A 49040-2023 tillsynsbegäran mail.docx", "A 49040-2023")</f>
        <v/>
      </c>
    </row>
    <row r="1495" ht="15" customHeight="1">
      <c r="A1495" t="inlineStr">
        <is>
          <t>A 55383-2024</t>
        </is>
      </c>
      <c r="B1495" s="1" t="n">
        <v>45622.3055787037</v>
      </c>
      <c r="C1495" s="1" t="n">
        <v>46045</v>
      </c>
      <c r="D1495" t="inlineStr">
        <is>
          <t>JÄMTLANDS LÄN</t>
        </is>
      </c>
      <c r="E1495" t="inlineStr">
        <is>
          <t>STRÖMSUND</t>
        </is>
      </c>
      <c r="G1495" t="n">
        <v>4.8</v>
      </c>
      <c r="H1495" t="n">
        <v>1</v>
      </c>
      <c r="I1495" t="n">
        <v>0</v>
      </c>
      <c r="J1495" t="n">
        <v>1</v>
      </c>
      <c r="K1495" t="n">
        <v>0</v>
      </c>
      <c r="L1495" t="n">
        <v>0</v>
      </c>
      <c r="M1495" t="n">
        <v>0</v>
      </c>
      <c r="N1495" t="n">
        <v>0</v>
      </c>
      <c r="O1495" t="n">
        <v>1</v>
      </c>
      <c r="P1495" t="n">
        <v>0</v>
      </c>
      <c r="Q1495" t="n">
        <v>1</v>
      </c>
      <c r="R1495" s="2" t="inlineStr">
        <is>
          <t>Utter</t>
        </is>
      </c>
      <c r="S1495">
        <f>HYPERLINK("https://klasma.github.io/Logging_2313/artfynd/A 55383-2024 artfynd.xlsx", "A 55383-2024")</f>
        <v/>
      </c>
      <c r="T1495">
        <f>HYPERLINK("https://klasma.github.io/Logging_2313/kartor/A 55383-2024 karta.png", "A 55383-2024")</f>
        <v/>
      </c>
      <c r="V1495">
        <f>HYPERLINK("https://klasma.github.io/Logging_2313/klagomål/A 55383-2024 FSC-klagomål.docx", "A 55383-2024")</f>
        <v/>
      </c>
      <c r="W1495">
        <f>HYPERLINK("https://klasma.github.io/Logging_2313/klagomålsmail/A 55383-2024 FSC-klagomål mail.docx", "A 55383-2024")</f>
        <v/>
      </c>
      <c r="X1495">
        <f>HYPERLINK("https://klasma.github.io/Logging_2313/tillsyn/A 55383-2024 tillsynsbegäran.docx", "A 55383-2024")</f>
        <v/>
      </c>
      <c r="Y1495">
        <f>HYPERLINK("https://klasma.github.io/Logging_2313/tillsynsmail/A 55383-2024 tillsynsbegäran mail.docx", "A 55383-2024")</f>
        <v/>
      </c>
    </row>
    <row r="1496" ht="15" customHeight="1">
      <c r="A1496" t="inlineStr">
        <is>
          <t>A 24552-2022</t>
        </is>
      </c>
      <c r="B1496" s="1" t="n">
        <v>44726</v>
      </c>
      <c r="C1496" s="1" t="n">
        <v>46045</v>
      </c>
      <c r="D1496" t="inlineStr">
        <is>
          <t>JÄMTLANDS LÄN</t>
        </is>
      </c>
      <c r="E1496" t="inlineStr">
        <is>
          <t>BRÄCKE</t>
        </is>
      </c>
      <c r="G1496" t="n">
        <v>2.6</v>
      </c>
      <c r="H1496" t="n">
        <v>0</v>
      </c>
      <c r="I1496" t="n">
        <v>0</v>
      </c>
      <c r="J1496" t="n">
        <v>1</v>
      </c>
      <c r="K1496" t="n">
        <v>0</v>
      </c>
      <c r="L1496" t="n">
        <v>0</v>
      </c>
      <c r="M1496" t="n">
        <v>0</v>
      </c>
      <c r="N1496" t="n">
        <v>0</v>
      </c>
      <c r="O1496" t="n">
        <v>1</v>
      </c>
      <c r="P1496" t="n">
        <v>0</v>
      </c>
      <c r="Q1496" t="n">
        <v>1</v>
      </c>
      <c r="R1496" s="2" t="inlineStr">
        <is>
          <t>Bredbrämad bastardsvärmare</t>
        </is>
      </c>
      <c r="S1496">
        <f>HYPERLINK("https://klasma.github.io/Logging_2305/artfynd/A 24552-2022 artfynd.xlsx", "A 24552-2022")</f>
        <v/>
      </c>
      <c r="T1496">
        <f>HYPERLINK("https://klasma.github.io/Logging_2305/kartor/A 24552-2022 karta.png", "A 24552-2022")</f>
        <v/>
      </c>
      <c r="V1496">
        <f>HYPERLINK("https://klasma.github.io/Logging_2305/klagomål/A 24552-2022 FSC-klagomål.docx", "A 24552-2022")</f>
        <v/>
      </c>
      <c r="W1496">
        <f>HYPERLINK("https://klasma.github.io/Logging_2305/klagomålsmail/A 24552-2022 FSC-klagomål mail.docx", "A 24552-2022")</f>
        <v/>
      </c>
      <c r="X1496">
        <f>HYPERLINK("https://klasma.github.io/Logging_2305/tillsyn/A 24552-2022 tillsynsbegäran.docx", "A 24552-2022")</f>
        <v/>
      </c>
      <c r="Y1496">
        <f>HYPERLINK("https://klasma.github.io/Logging_2305/tillsynsmail/A 24552-2022 tillsynsbegäran mail.docx", "A 24552-2022")</f>
        <v/>
      </c>
    </row>
    <row r="1497" ht="15" customHeight="1">
      <c r="A1497" t="inlineStr">
        <is>
          <t>A 17855-2021</t>
        </is>
      </c>
      <c r="B1497" s="1" t="n">
        <v>44300</v>
      </c>
      <c r="C1497" s="1" t="n">
        <v>46045</v>
      </c>
      <c r="D1497" t="inlineStr">
        <is>
          <t>JÄMTLANDS LÄN</t>
        </is>
      </c>
      <c r="E1497" t="inlineStr">
        <is>
          <t>STRÖMSUND</t>
        </is>
      </c>
      <c r="F1497" t="inlineStr">
        <is>
          <t>SCA</t>
        </is>
      </c>
      <c r="G1497" t="n">
        <v>10.1</v>
      </c>
      <c r="H1497" t="n">
        <v>1</v>
      </c>
      <c r="I1497" t="n">
        <v>0</v>
      </c>
      <c r="J1497" t="n">
        <v>0</v>
      </c>
      <c r="K1497" t="n">
        <v>1</v>
      </c>
      <c r="L1497" t="n">
        <v>0</v>
      </c>
      <c r="M1497" t="n">
        <v>0</v>
      </c>
      <c r="N1497" t="n">
        <v>0</v>
      </c>
      <c r="O1497" t="n">
        <v>1</v>
      </c>
      <c r="P1497" t="n">
        <v>1</v>
      </c>
      <c r="Q1497" t="n">
        <v>1</v>
      </c>
      <c r="R1497" s="2" t="inlineStr">
        <is>
          <t>Knärot</t>
        </is>
      </c>
      <c r="S1497">
        <f>HYPERLINK("https://klasma.github.io/Logging_2313/artfynd/A 17855-2021 artfynd.xlsx", "A 17855-2021")</f>
        <v/>
      </c>
      <c r="T1497">
        <f>HYPERLINK("https://klasma.github.io/Logging_2313/kartor/A 17855-2021 karta.png", "A 17855-2021")</f>
        <v/>
      </c>
      <c r="U1497">
        <f>HYPERLINK("https://klasma.github.io/Logging_2313/knärot/A 17855-2021 karta knärot.png", "A 17855-2021")</f>
        <v/>
      </c>
      <c r="V1497">
        <f>HYPERLINK("https://klasma.github.io/Logging_2313/klagomål/A 17855-2021 FSC-klagomål.docx", "A 17855-2021")</f>
        <v/>
      </c>
      <c r="W1497">
        <f>HYPERLINK("https://klasma.github.io/Logging_2313/klagomålsmail/A 17855-2021 FSC-klagomål mail.docx", "A 17855-2021")</f>
        <v/>
      </c>
      <c r="X1497">
        <f>HYPERLINK("https://klasma.github.io/Logging_2313/tillsyn/A 17855-2021 tillsynsbegäran.docx", "A 17855-2021")</f>
        <v/>
      </c>
      <c r="Y1497">
        <f>HYPERLINK("https://klasma.github.io/Logging_2313/tillsynsmail/A 17855-2021 tillsynsbegäran mail.docx", "A 17855-2021")</f>
        <v/>
      </c>
    </row>
    <row r="1498" ht="15" customHeight="1">
      <c r="A1498" t="inlineStr">
        <is>
          <t>A 17588-2024</t>
        </is>
      </c>
      <c r="B1498" s="1" t="n">
        <v>45415.94054398148</v>
      </c>
      <c r="C1498" s="1" t="n">
        <v>46045</v>
      </c>
      <c r="D1498" t="inlineStr">
        <is>
          <t>JÄMTLANDS LÄN</t>
        </is>
      </c>
      <c r="E1498" t="inlineStr">
        <is>
          <t>BRÄCKE</t>
        </is>
      </c>
      <c r="F1498" t="inlineStr">
        <is>
          <t>SCA</t>
        </is>
      </c>
      <c r="G1498" t="n">
        <v>1.8</v>
      </c>
      <c r="H1498" t="n">
        <v>0</v>
      </c>
      <c r="I1498" t="n">
        <v>0</v>
      </c>
      <c r="J1498" t="n">
        <v>1</v>
      </c>
      <c r="K1498" t="n">
        <v>0</v>
      </c>
      <c r="L1498" t="n">
        <v>0</v>
      </c>
      <c r="M1498" t="n">
        <v>0</v>
      </c>
      <c r="N1498" t="n">
        <v>0</v>
      </c>
      <c r="O1498" t="n">
        <v>1</v>
      </c>
      <c r="P1498" t="n">
        <v>0</v>
      </c>
      <c r="Q1498" t="n">
        <v>1</v>
      </c>
      <c r="R1498" s="2" t="inlineStr">
        <is>
          <t>Rosenticka</t>
        </is>
      </c>
      <c r="S1498">
        <f>HYPERLINK("https://klasma.github.io/Logging_2305/artfynd/A 17588-2024 artfynd.xlsx", "A 17588-2024")</f>
        <v/>
      </c>
      <c r="T1498">
        <f>HYPERLINK("https://klasma.github.io/Logging_2305/kartor/A 17588-2024 karta.png", "A 17588-2024")</f>
        <v/>
      </c>
      <c r="V1498">
        <f>HYPERLINK("https://klasma.github.io/Logging_2305/klagomål/A 17588-2024 FSC-klagomål.docx", "A 17588-2024")</f>
        <v/>
      </c>
      <c r="W1498">
        <f>HYPERLINK("https://klasma.github.io/Logging_2305/klagomålsmail/A 17588-2024 FSC-klagomål mail.docx", "A 17588-2024")</f>
        <v/>
      </c>
      <c r="X1498">
        <f>HYPERLINK("https://klasma.github.io/Logging_2305/tillsyn/A 17588-2024 tillsynsbegäran.docx", "A 17588-2024")</f>
        <v/>
      </c>
      <c r="Y1498">
        <f>HYPERLINK("https://klasma.github.io/Logging_2305/tillsynsmail/A 17588-2024 tillsynsbegäran mail.docx", "A 17588-2024")</f>
        <v/>
      </c>
    </row>
    <row r="1499" ht="15" customHeight="1">
      <c r="A1499" t="inlineStr">
        <is>
          <t>A 38253-2025</t>
        </is>
      </c>
      <c r="B1499" s="1" t="n">
        <v>45883.37883101852</v>
      </c>
      <c r="C1499" s="1" t="n">
        <v>46045</v>
      </c>
      <c r="D1499" t="inlineStr">
        <is>
          <t>JÄMTLANDS LÄN</t>
        </is>
      </c>
      <c r="E1499" t="inlineStr">
        <is>
          <t>KROKOM</t>
        </is>
      </c>
      <c r="G1499" t="n">
        <v>5.8</v>
      </c>
      <c r="H1499" t="n">
        <v>1</v>
      </c>
      <c r="I1499" t="n">
        <v>0</v>
      </c>
      <c r="J1499" t="n">
        <v>0</v>
      </c>
      <c r="K1499" t="n">
        <v>1</v>
      </c>
      <c r="L1499" t="n">
        <v>0</v>
      </c>
      <c r="M1499" t="n">
        <v>0</v>
      </c>
      <c r="N1499" t="n">
        <v>0</v>
      </c>
      <c r="O1499" t="n">
        <v>1</v>
      </c>
      <c r="P1499" t="n">
        <v>1</v>
      </c>
      <c r="Q1499" t="n">
        <v>1</v>
      </c>
      <c r="R1499" s="2" t="inlineStr">
        <is>
          <t>Knärot</t>
        </is>
      </c>
      <c r="S1499">
        <f>HYPERLINK("https://klasma.github.io/Logging_2309/artfynd/A 38253-2025 artfynd.xlsx", "A 38253-2025")</f>
        <v/>
      </c>
      <c r="T1499">
        <f>HYPERLINK("https://klasma.github.io/Logging_2309/kartor/A 38253-2025 karta.png", "A 38253-2025")</f>
        <v/>
      </c>
      <c r="U1499">
        <f>HYPERLINK("https://klasma.github.io/Logging_2309/knärot/A 38253-2025 karta knärot.png", "A 38253-2025")</f>
        <v/>
      </c>
      <c r="V1499">
        <f>HYPERLINK("https://klasma.github.io/Logging_2309/klagomål/A 38253-2025 FSC-klagomål.docx", "A 38253-2025")</f>
        <v/>
      </c>
      <c r="W1499">
        <f>HYPERLINK("https://klasma.github.io/Logging_2309/klagomålsmail/A 38253-2025 FSC-klagomål mail.docx", "A 38253-2025")</f>
        <v/>
      </c>
      <c r="X1499">
        <f>HYPERLINK("https://klasma.github.io/Logging_2309/tillsyn/A 38253-2025 tillsynsbegäran.docx", "A 38253-2025")</f>
        <v/>
      </c>
      <c r="Y1499">
        <f>HYPERLINK("https://klasma.github.io/Logging_2309/tillsynsmail/A 38253-2025 tillsynsbegäran mail.docx", "A 38253-2025")</f>
        <v/>
      </c>
    </row>
    <row r="1500" ht="15" customHeight="1">
      <c r="A1500" t="inlineStr">
        <is>
          <t>A 16316-2025</t>
        </is>
      </c>
      <c r="B1500" s="1" t="n">
        <v>45751.34795138889</v>
      </c>
      <c r="C1500" s="1" t="n">
        <v>46045</v>
      </c>
      <c r="D1500" t="inlineStr">
        <is>
          <t>JÄMTLANDS LÄN</t>
        </is>
      </c>
      <c r="E1500" t="inlineStr">
        <is>
          <t>RAGUNDA</t>
        </is>
      </c>
      <c r="F1500" t="inlineStr">
        <is>
          <t>SCA</t>
        </is>
      </c>
      <c r="G1500" t="n">
        <v>1.7</v>
      </c>
      <c r="H1500" t="n">
        <v>1</v>
      </c>
      <c r="I1500" t="n">
        <v>0</v>
      </c>
      <c r="J1500" t="n">
        <v>0</v>
      </c>
      <c r="K1500" t="n">
        <v>0</v>
      </c>
      <c r="L1500" t="n">
        <v>0</v>
      </c>
      <c r="M1500" t="n">
        <v>0</v>
      </c>
      <c r="N1500" t="n">
        <v>0</v>
      </c>
      <c r="O1500" t="n">
        <v>0</v>
      </c>
      <c r="P1500" t="n">
        <v>0</v>
      </c>
      <c r="Q1500" t="n">
        <v>1</v>
      </c>
      <c r="R1500" s="2" t="inlineStr">
        <is>
          <t>Dactylorhiza incarnata subsp. incarnata</t>
        </is>
      </c>
      <c r="S1500">
        <f>HYPERLINK("https://klasma.github.io/Logging_2303/artfynd/A 16316-2025 artfynd.xlsx", "A 16316-2025")</f>
        <v/>
      </c>
      <c r="T1500">
        <f>HYPERLINK("https://klasma.github.io/Logging_2303/kartor/A 16316-2025 karta.png", "A 16316-2025")</f>
        <v/>
      </c>
      <c r="V1500">
        <f>HYPERLINK("https://klasma.github.io/Logging_2303/klagomål/A 16316-2025 FSC-klagomål.docx", "A 16316-2025")</f>
        <v/>
      </c>
      <c r="W1500">
        <f>HYPERLINK("https://klasma.github.io/Logging_2303/klagomålsmail/A 16316-2025 FSC-klagomål mail.docx", "A 16316-2025")</f>
        <v/>
      </c>
      <c r="X1500">
        <f>HYPERLINK("https://klasma.github.io/Logging_2303/tillsyn/A 16316-2025 tillsynsbegäran.docx", "A 16316-2025")</f>
        <v/>
      </c>
      <c r="Y1500">
        <f>HYPERLINK("https://klasma.github.io/Logging_2303/tillsynsmail/A 16316-2025 tillsynsbegäran mail.docx", "A 16316-2025")</f>
        <v/>
      </c>
    </row>
    <row r="1501" ht="15" customHeight="1">
      <c r="A1501" t="inlineStr">
        <is>
          <t>A 56201-2024</t>
        </is>
      </c>
      <c r="B1501" s="1" t="n">
        <v>45624.59462962963</v>
      </c>
      <c r="C1501" s="1" t="n">
        <v>46045</v>
      </c>
      <c r="D1501" t="inlineStr">
        <is>
          <t>JÄMTLANDS LÄN</t>
        </is>
      </c>
      <c r="E1501" t="inlineStr">
        <is>
          <t>ÖSTERSUND</t>
        </is>
      </c>
      <c r="F1501" t="inlineStr">
        <is>
          <t>SCA</t>
        </is>
      </c>
      <c r="G1501" t="n">
        <v>5.9</v>
      </c>
      <c r="H1501" t="n">
        <v>1</v>
      </c>
      <c r="I1501" t="n">
        <v>0</v>
      </c>
      <c r="J1501" t="n">
        <v>0</v>
      </c>
      <c r="K1501" t="n">
        <v>1</v>
      </c>
      <c r="L1501" t="n">
        <v>0</v>
      </c>
      <c r="M1501" t="n">
        <v>0</v>
      </c>
      <c r="N1501" t="n">
        <v>0</v>
      </c>
      <c r="O1501" t="n">
        <v>1</v>
      </c>
      <c r="P1501" t="n">
        <v>1</v>
      </c>
      <c r="Q1501" t="n">
        <v>1</v>
      </c>
      <c r="R1501" s="2" t="inlineStr">
        <is>
          <t>Doftticka</t>
        </is>
      </c>
      <c r="S1501">
        <f>HYPERLINK("https://klasma.github.io/Logging_2380/artfynd/A 56201-2024 artfynd.xlsx", "A 56201-2024")</f>
        <v/>
      </c>
      <c r="T1501">
        <f>HYPERLINK("https://klasma.github.io/Logging_2380/kartor/A 56201-2024 karta.png", "A 56201-2024")</f>
        <v/>
      </c>
      <c r="V1501">
        <f>HYPERLINK("https://klasma.github.io/Logging_2380/klagomål/A 56201-2024 FSC-klagomål.docx", "A 56201-2024")</f>
        <v/>
      </c>
      <c r="W1501">
        <f>HYPERLINK("https://klasma.github.io/Logging_2380/klagomålsmail/A 56201-2024 FSC-klagomål mail.docx", "A 56201-2024")</f>
        <v/>
      </c>
      <c r="X1501">
        <f>HYPERLINK("https://klasma.github.io/Logging_2380/tillsyn/A 56201-2024 tillsynsbegäran.docx", "A 56201-2024")</f>
        <v/>
      </c>
      <c r="Y1501">
        <f>HYPERLINK("https://klasma.github.io/Logging_2380/tillsynsmail/A 56201-2024 tillsynsbegäran mail.docx", "A 56201-2024")</f>
        <v/>
      </c>
    </row>
    <row r="1502" ht="15" customHeight="1">
      <c r="A1502" t="inlineStr">
        <is>
          <t>A 29604-2023</t>
        </is>
      </c>
      <c r="B1502" s="1" t="n">
        <v>45106</v>
      </c>
      <c r="C1502" s="1" t="n">
        <v>46045</v>
      </c>
      <c r="D1502" t="inlineStr">
        <is>
          <t>JÄMTLANDS LÄN</t>
        </is>
      </c>
      <c r="E1502" t="inlineStr">
        <is>
          <t>STRÖMSUND</t>
        </is>
      </c>
      <c r="F1502" t="inlineStr">
        <is>
          <t>SCA</t>
        </is>
      </c>
      <c r="G1502" t="n">
        <v>1.9</v>
      </c>
      <c r="H1502" t="n">
        <v>0</v>
      </c>
      <c r="I1502" t="n">
        <v>0</v>
      </c>
      <c r="J1502" t="n">
        <v>1</v>
      </c>
      <c r="K1502" t="n">
        <v>0</v>
      </c>
      <c r="L1502" t="n">
        <v>0</v>
      </c>
      <c r="M1502" t="n">
        <v>0</v>
      </c>
      <c r="N1502" t="n">
        <v>0</v>
      </c>
      <c r="O1502" t="n">
        <v>1</v>
      </c>
      <c r="P1502" t="n">
        <v>0</v>
      </c>
      <c r="Q1502" t="n">
        <v>1</v>
      </c>
      <c r="R1502" s="2" t="inlineStr">
        <is>
          <t>Rosenticka</t>
        </is>
      </c>
      <c r="S1502">
        <f>HYPERLINK("https://klasma.github.io/Logging_2313/artfynd/A 29604-2023 artfynd.xlsx", "A 29604-2023")</f>
        <v/>
      </c>
      <c r="T1502">
        <f>HYPERLINK("https://klasma.github.io/Logging_2313/kartor/A 29604-2023 karta.png", "A 29604-2023")</f>
        <v/>
      </c>
      <c r="V1502">
        <f>HYPERLINK("https://klasma.github.io/Logging_2313/klagomål/A 29604-2023 FSC-klagomål.docx", "A 29604-2023")</f>
        <v/>
      </c>
      <c r="W1502">
        <f>HYPERLINK("https://klasma.github.io/Logging_2313/klagomålsmail/A 29604-2023 FSC-klagomål mail.docx", "A 29604-2023")</f>
        <v/>
      </c>
      <c r="X1502">
        <f>HYPERLINK("https://klasma.github.io/Logging_2313/tillsyn/A 29604-2023 tillsynsbegäran.docx", "A 29604-2023")</f>
        <v/>
      </c>
      <c r="Y1502">
        <f>HYPERLINK("https://klasma.github.io/Logging_2313/tillsynsmail/A 29604-2023 tillsynsbegäran mail.docx", "A 29604-2023")</f>
        <v/>
      </c>
    </row>
    <row r="1503" ht="15" customHeight="1">
      <c r="A1503" t="inlineStr">
        <is>
          <t>A 18985-2023</t>
        </is>
      </c>
      <c r="B1503" s="1" t="n">
        <v>45044</v>
      </c>
      <c r="C1503" s="1" t="n">
        <v>46045</v>
      </c>
      <c r="D1503" t="inlineStr">
        <is>
          <t>JÄMTLANDS LÄN</t>
        </is>
      </c>
      <c r="E1503" t="inlineStr">
        <is>
          <t>RAGUNDA</t>
        </is>
      </c>
      <c r="F1503" t="inlineStr">
        <is>
          <t>SCA</t>
        </is>
      </c>
      <c r="G1503" t="n">
        <v>2.6</v>
      </c>
      <c r="H1503" t="n">
        <v>0</v>
      </c>
      <c r="I1503" t="n">
        <v>0</v>
      </c>
      <c r="J1503" t="n">
        <v>1</v>
      </c>
      <c r="K1503" t="n">
        <v>0</v>
      </c>
      <c r="L1503" t="n">
        <v>0</v>
      </c>
      <c r="M1503" t="n">
        <v>0</v>
      </c>
      <c r="N1503" t="n">
        <v>0</v>
      </c>
      <c r="O1503" t="n">
        <v>1</v>
      </c>
      <c r="P1503" t="n">
        <v>0</v>
      </c>
      <c r="Q1503" t="n">
        <v>1</v>
      </c>
      <c r="R1503" s="2" t="inlineStr">
        <is>
          <t>Doftskinn</t>
        </is>
      </c>
      <c r="S1503">
        <f>HYPERLINK("https://klasma.github.io/Logging_2303/artfynd/A 18985-2023 artfynd.xlsx", "A 18985-2023")</f>
        <v/>
      </c>
      <c r="T1503">
        <f>HYPERLINK("https://klasma.github.io/Logging_2303/kartor/A 18985-2023 karta.png", "A 18985-2023")</f>
        <v/>
      </c>
      <c r="V1503">
        <f>HYPERLINK("https://klasma.github.io/Logging_2303/klagomål/A 18985-2023 FSC-klagomål.docx", "A 18985-2023")</f>
        <v/>
      </c>
      <c r="W1503">
        <f>HYPERLINK("https://klasma.github.io/Logging_2303/klagomålsmail/A 18985-2023 FSC-klagomål mail.docx", "A 18985-2023")</f>
        <v/>
      </c>
      <c r="X1503">
        <f>HYPERLINK("https://klasma.github.io/Logging_2303/tillsyn/A 18985-2023 tillsynsbegäran.docx", "A 18985-2023")</f>
        <v/>
      </c>
      <c r="Y1503">
        <f>HYPERLINK("https://klasma.github.io/Logging_2303/tillsynsmail/A 18985-2023 tillsynsbegäran mail.docx", "A 18985-2023")</f>
        <v/>
      </c>
    </row>
    <row r="1504" ht="15" customHeight="1">
      <c r="A1504" t="inlineStr">
        <is>
          <t>A 12970-2021</t>
        </is>
      </c>
      <c r="B1504" s="1" t="n">
        <v>44271</v>
      </c>
      <c r="C1504" s="1" t="n">
        <v>46045</v>
      </c>
      <c r="D1504" t="inlineStr">
        <is>
          <t>JÄMTLANDS LÄN</t>
        </is>
      </c>
      <c r="E1504" t="inlineStr">
        <is>
          <t>ÅRE</t>
        </is>
      </c>
      <c r="G1504" t="n">
        <v>20.5</v>
      </c>
      <c r="H1504" t="n">
        <v>1</v>
      </c>
      <c r="I1504" t="n">
        <v>1</v>
      </c>
      <c r="J1504" t="n">
        <v>0</v>
      </c>
      <c r="K1504" t="n">
        <v>0</v>
      </c>
      <c r="L1504" t="n">
        <v>0</v>
      </c>
      <c r="M1504" t="n">
        <v>0</v>
      </c>
      <c r="N1504" t="n">
        <v>0</v>
      </c>
      <c r="O1504" t="n">
        <v>0</v>
      </c>
      <c r="P1504" t="n">
        <v>0</v>
      </c>
      <c r="Q1504" t="n">
        <v>1</v>
      </c>
      <c r="R1504" s="2" t="inlineStr">
        <is>
          <t>Spindelblomster</t>
        </is>
      </c>
      <c r="S1504">
        <f>HYPERLINK("https://klasma.github.io/Logging_2321/artfynd/A 12970-2021 artfynd.xlsx", "A 12970-2021")</f>
        <v/>
      </c>
      <c r="T1504">
        <f>HYPERLINK("https://klasma.github.io/Logging_2321/kartor/A 12970-2021 karta.png", "A 12970-2021")</f>
        <v/>
      </c>
      <c r="V1504">
        <f>HYPERLINK("https://klasma.github.io/Logging_2321/klagomål/A 12970-2021 FSC-klagomål.docx", "A 12970-2021")</f>
        <v/>
      </c>
      <c r="W1504">
        <f>HYPERLINK("https://klasma.github.io/Logging_2321/klagomålsmail/A 12970-2021 FSC-klagomål mail.docx", "A 12970-2021")</f>
        <v/>
      </c>
      <c r="X1504">
        <f>HYPERLINK("https://klasma.github.io/Logging_2321/tillsyn/A 12970-2021 tillsynsbegäran.docx", "A 12970-2021")</f>
        <v/>
      </c>
      <c r="Y1504">
        <f>HYPERLINK("https://klasma.github.io/Logging_2321/tillsynsmail/A 12970-2021 tillsynsbegäran mail.docx", "A 12970-2021")</f>
        <v/>
      </c>
    </row>
    <row r="1505" ht="15" customHeight="1">
      <c r="A1505" t="inlineStr">
        <is>
          <t>A 18543-2021</t>
        </is>
      </c>
      <c r="B1505" s="1" t="n">
        <v>44306</v>
      </c>
      <c r="C1505" s="1" t="n">
        <v>46045</v>
      </c>
      <c r="D1505" t="inlineStr">
        <is>
          <t>JÄMTLANDS LÄN</t>
        </is>
      </c>
      <c r="E1505" t="inlineStr">
        <is>
          <t>ÅRE</t>
        </is>
      </c>
      <c r="G1505" t="n">
        <v>1.7</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HYPERLINK("https://klasma.github.io/Logging_2321/artfynd/A 18543-2021 artfynd.xlsx", "A 18543-2021")</f>
        <v/>
      </c>
      <c r="T1505">
        <f>HYPERLINK("https://klasma.github.io/Logging_2321/kartor/A 18543-2021 karta.png", "A 18543-2021")</f>
        <v/>
      </c>
      <c r="V1505">
        <f>HYPERLINK("https://klasma.github.io/Logging_2321/klagomål/A 18543-2021 FSC-klagomål.docx", "A 18543-2021")</f>
        <v/>
      </c>
      <c r="W1505">
        <f>HYPERLINK("https://klasma.github.io/Logging_2321/klagomålsmail/A 18543-2021 FSC-klagomål mail.docx", "A 18543-2021")</f>
        <v/>
      </c>
      <c r="X1505">
        <f>HYPERLINK("https://klasma.github.io/Logging_2321/tillsyn/A 18543-2021 tillsynsbegäran.docx", "A 18543-2021")</f>
        <v/>
      </c>
      <c r="Y1505">
        <f>HYPERLINK("https://klasma.github.io/Logging_2321/tillsynsmail/A 18543-2021 tillsynsbegäran mail.docx", "A 18543-2021")</f>
        <v/>
      </c>
      <c r="Z1505">
        <f>HYPERLINK("https://klasma.github.io/Logging_2321/fåglar/A 18543-2021 prioriterade fågelarter.docx", "A 18543-2021")</f>
        <v/>
      </c>
    </row>
    <row r="1506" ht="15" customHeight="1">
      <c r="A1506" t="inlineStr">
        <is>
          <t>A 34006-2023</t>
        </is>
      </c>
      <c r="B1506" s="1" t="n">
        <v>45134</v>
      </c>
      <c r="C1506" s="1" t="n">
        <v>46045</v>
      </c>
      <c r="D1506" t="inlineStr">
        <is>
          <t>JÄMTLANDS LÄN</t>
        </is>
      </c>
      <c r="E1506" t="inlineStr">
        <is>
          <t>STRÖMSUND</t>
        </is>
      </c>
      <c r="F1506" t="inlineStr">
        <is>
          <t>SCA</t>
        </is>
      </c>
      <c r="G1506" t="n">
        <v>4</v>
      </c>
      <c r="H1506" t="n">
        <v>1</v>
      </c>
      <c r="I1506" t="n">
        <v>0</v>
      </c>
      <c r="J1506" t="n">
        <v>1</v>
      </c>
      <c r="K1506" t="n">
        <v>0</v>
      </c>
      <c r="L1506" t="n">
        <v>0</v>
      </c>
      <c r="M1506" t="n">
        <v>0</v>
      </c>
      <c r="N1506" t="n">
        <v>0</v>
      </c>
      <c r="O1506" t="n">
        <v>1</v>
      </c>
      <c r="P1506" t="n">
        <v>0</v>
      </c>
      <c r="Q1506" t="n">
        <v>1</v>
      </c>
      <c r="R1506" s="2" t="inlineStr">
        <is>
          <t>Talltita</t>
        </is>
      </c>
      <c r="S1506">
        <f>HYPERLINK("https://klasma.github.io/Logging_2313/artfynd/A 34006-2023 artfynd.xlsx", "A 34006-2023")</f>
        <v/>
      </c>
      <c r="T1506">
        <f>HYPERLINK("https://klasma.github.io/Logging_2313/kartor/A 34006-2023 karta.png", "A 34006-2023")</f>
        <v/>
      </c>
      <c r="V1506">
        <f>HYPERLINK("https://klasma.github.io/Logging_2313/klagomål/A 34006-2023 FSC-klagomål.docx", "A 34006-2023")</f>
        <v/>
      </c>
      <c r="W1506">
        <f>HYPERLINK("https://klasma.github.io/Logging_2313/klagomålsmail/A 34006-2023 FSC-klagomål mail.docx", "A 34006-2023")</f>
        <v/>
      </c>
      <c r="X1506">
        <f>HYPERLINK("https://klasma.github.io/Logging_2313/tillsyn/A 34006-2023 tillsynsbegäran.docx", "A 34006-2023")</f>
        <v/>
      </c>
      <c r="Y1506">
        <f>HYPERLINK("https://klasma.github.io/Logging_2313/tillsynsmail/A 34006-2023 tillsynsbegäran mail.docx", "A 34006-2023")</f>
        <v/>
      </c>
      <c r="Z1506">
        <f>HYPERLINK("https://klasma.github.io/Logging_2313/fåglar/A 34006-2023 prioriterade fågelarter.docx", "A 34006-2023")</f>
        <v/>
      </c>
    </row>
    <row r="1507" ht="15" customHeight="1">
      <c r="A1507" t="inlineStr">
        <is>
          <t>A 1057-2024</t>
        </is>
      </c>
      <c r="B1507" s="1" t="n">
        <v>45301</v>
      </c>
      <c r="C1507" s="1" t="n">
        <v>46045</v>
      </c>
      <c r="D1507" t="inlineStr">
        <is>
          <t>JÄMTLANDS LÄN</t>
        </is>
      </c>
      <c r="E1507" t="inlineStr">
        <is>
          <t>RAGUNDA</t>
        </is>
      </c>
      <c r="F1507" t="inlineStr">
        <is>
          <t>SCA</t>
        </is>
      </c>
      <c r="G1507" t="n">
        <v>6.8</v>
      </c>
      <c r="H1507" t="n">
        <v>0</v>
      </c>
      <c r="I1507" t="n">
        <v>1</v>
      </c>
      <c r="J1507" t="n">
        <v>0</v>
      </c>
      <c r="K1507" t="n">
        <v>0</v>
      </c>
      <c r="L1507" t="n">
        <v>0</v>
      </c>
      <c r="M1507" t="n">
        <v>0</v>
      </c>
      <c r="N1507" t="n">
        <v>0</v>
      </c>
      <c r="O1507" t="n">
        <v>0</v>
      </c>
      <c r="P1507" t="n">
        <v>0</v>
      </c>
      <c r="Q1507" t="n">
        <v>1</v>
      </c>
      <c r="R1507" s="2" t="inlineStr">
        <is>
          <t>Stor aspticka</t>
        </is>
      </c>
      <c r="S1507">
        <f>HYPERLINK("https://klasma.github.io/Logging_2303/artfynd/A 1057-2024 artfynd.xlsx", "A 1057-2024")</f>
        <v/>
      </c>
      <c r="T1507">
        <f>HYPERLINK("https://klasma.github.io/Logging_2303/kartor/A 1057-2024 karta.png", "A 1057-2024")</f>
        <v/>
      </c>
      <c r="V1507">
        <f>HYPERLINK("https://klasma.github.io/Logging_2303/klagomål/A 1057-2024 FSC-klagomål.docx", "A 1057-2024")</f>
        <v/>
      </c>
      <c r="W1507">
        <f>HYPERLINK("https://klasma.github.io/Logging_2303/klagomålsmail/A 1057-2024 FSC-klagomål mail.docx", "A 1057-2024")</f>
        <v/>
      </c>
      <c r="X1507">
        <f>HYPERLINK("https://klasma.github.io/Logging_2303/tillsyn/A 1057-2024 tillsynsbegäran.docx", "A 1057-2024")</f>
        <v/>
      </c>
      <c r="Y1507">
        <f>HYPERLINK("https://klasma.github.io/Logging_2303/tillsynsmail/A 1057-2024 tillsynsbegäran mail.docx", "A 1057-2024")</f>
        <v/>
      </c>
    </row>
    <row r="1508" ht="15" customHeight="1">
      <c r="A1508" t="inlineStr">
        <is>
          <t>A 40440-2024</t>
        </is>
      </c>
      <c r="B1508" s="1" t="n">
        <v>45555.48267361111</v>
      </c>
      <c r="C1508" s="1" t="n">
        <v>46045</v>
      </c>
      <c r="D1508" t="inlineStr">
        <is>
          <t>JÄMTLANDS LÄN</t>
        </is>
      </c>
      <c r="E1508" t="inlineStr">
        <is>
          <t>BERG</t>
        </is>
      </c>
      <c r="G1508" t="n">
        <v>3.6</v>
      </c>
      <c r="H1508" t="n">
        <v>1</v>
      </c>
      <c r="I1508" t="n">
        <v>0</v>
      </c>
      <c r="J1508" t="n">
        <v>0</v>
      </c>
      <c r="K1508" t="n">
        <v>0</v>
      </c>
      <c r="L1508" t="n">
        <v>0</v>
      </c>
      <c r="M1508" t="n">
        <v>0</v>
      </c>
      <c r="N1508" t="n">
        <v>0</v>
      </c>
      <c r="O1508" t="n">
        <v>0</v>
      </c>
      <c r="P1508" t="n">
        <v>0</v>
      </c>
      <c r="Q1508" t="n">
        <v>1</v>
      </c>
      <c r="R1508" s="2" t="inlineStr">
        <is>
          <t>Fläcknycklar</t>
        </is>
      </c>
      <c r="S1508">
        <f>HYPERLINK("https://klasma.github.io/Logging_2326/artfynd/A 40440-2024 artfynd.xlsx", "A 40440-2024")</f>
        <v/>
      </c>
      <c r="T1508">
        <f>HYPERLINK("https://klasma.github.io/Logging_2326/kartor/A 40440-2024 karta.png", "A 40440-2024")</f>
        <v/>
      </c>
      <c r="V1508">
        <f>HYPERLINK("https://klasma.github.io/Logging_2326/klagomål/A 40440-2024 FSC-klagomål.docx", "A 40440-2024")</f>
        <v/>
      </c>
      <c r="W1508">
        <f>HYPERLINK("https://klasma.github.io/Logging_2326/klagomålsmail/A 40440-2024 FSC-klagomål mail.docx", "A 40440-2024")</f>
        <v/>
      </c>
      <c r="X1508">
        <f>HYPERLINK("https://klasma.github.io/Logging_2326/tillsyn/A 40440-2024 tillsynsbegäran.docx", "A 40440-2024")</f>
        <v/>
      </c>
      <c r="Y1508">
        <f>HYPERLINK("https://klasma.github.io/Logging_2326/tillsynsmail/A 40440-2024 tillsynsbegäran mail.docx", "A 40440-2024")</f>
        <v/>
      </c>
    </row>
    <row r="1509" ht="15" customHeight="1">
      <c r="A1509" t="inlineStr">
        <is>
          <t>A 55931-2023</t>
        </is>
      </c>
      <c r="B1509" s="1" t="n">
        <v>45239</v>
      </c>
      <c r="C1509" s="1" t="n">
        <v>46045</v>
      </c>
      <c r="D1509" t="inlineStr">
        <is>
          <t>JÄMTLANDS LÄN</t>
        </is>
      </c>
      <c r="E1509" t="inlineStr">
        <is>
          <t>BRÄCKE</t>
        </is>
      </c>
      <c r="F1509" t="inlineStr">
        <is>
          <t>Kyrkan</t>
        </is>
      </c>
      <c r="G1509" t="n">
        <v>1.2</v>
      </c>
      <c r="H1509" t="n">
        <v>0</v>
      </c>
      <c r="I1509" t="n">
        <v>0</v>
      </c>
      <c r="J1509" t="n">
        <v>1</v>
      </c>
      <c r="K1509" t="n">
        <v>0</v>
      </c>
      <c r="L1509" t="n">
        <v>0</v>
      </c>
      <c r="M1509" t="n">
        <v>0</v>
      </c>
      <c r="N1509" t="n">
        <v>0</v>
      </c>
      <c r="O1509" t="n">
        <v>1</v>
      </c>
      <c r="P1509" t="n">
        <v>0</v>
      </c>
      <c r="Q1509" t="n">
        <v>1</v>
      </c>
      <c r="R1509" s="2" t="inlineStr">
        <is>
          <t>Harticka</t>
        </is>
      </c>
      <c r="S1509">
        <f>HYPERLINK("https://klasma.github.io/Logging_2305/artfynd/A 55931-2023 artfynd.xlsx", "A 55931-2023")</f>
        <v/>
      </c>
      <c r="T1509">
        <f>HYPERLINK("https://klasma.github.io/Logging_2305/kartor/A 55931-2023 karta.png", "A 55931-2023")</f>
        <v/>
      </c>
      <c r="V1509">
        <f>HYPERLINK("https://klasma.github.io/Logging_2305/klagomål/A 55931-2023 FSC-klagomål.docx", "A 55931-2023")</f>
        <v/>
      </c>
      <c r="W1509">
        <f>HYPERLINK("https://klasma.github.io/Logging_2305/klagomålsmail/A 55931-2023 FSC-klagomål mail.docx", "A 55931-2023")</f>
        <v/>
      </c>
      <c r="X1509">
        <f>HYPERLINK("https://klasma.github.io/Logging_2305/tillsyn/A 55931-2023 tillsynsbegäran.docx", "A 55931-2023")</f>
        <v/>
      </c>
      <c r="Y1509">
        <f>HYPERLINK("https://klasma.github.io/Logging_2305/tillsynsmail/A 55931-2023 tillsynsbegäran mail.docx", "A 55931-2023")</f>
        <v/>
      </c>
    </row>
    <row r="1510" ht="15" customHeight="1">
      <c r="A1510" t="inlineStr">
        <is>
          <t>A 978-2024</t>
        </is>
      </c>
      <c r="B1510" s="1" t="n">
        <v>45301</v>
      </c>
      <c r="C1510" s="1" t="n">
        <v>46045</v>
      </c>
      <c r="D1510" t="inlineStr">
        <is>
          <t>JÄMTLANDS LÄN</t>
        </is>
      </c>
      <c r="E1510" t="inlineStr">
        <is>
          <t>RAGUNDA</t>
        </is>
      </c>
      <c r="G1510" t="n">
        <v>3.1</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HYPERLINK("https://klasma.github.io/Logging_2303/artfynd/A 978-2024 artfynd.xlsx", "A 978-2024")</f>
        <v/>
      </c>
      <c r="T1510">
        <f>HYPERLINK("https://klasma.github.io/Logging_2303/kartor/A 978-2024 karta.png", "A 978-2024")</f>
        <v/>
      </c>
      <c r="V1510">
        <f>HYPERLINK("https://klasma.github.io/Logging_2303/klagomål/A 978-2024 FSC-klagomål.docx", "A 978-2024")</f>
        <v/>
      </c>
      <c r="W1510">
        <f>HYPERLINK("https://klasma.github.io/Logging_2303/klagomålsmail/A 978-2024 FSC-klagomål mail.docx", "A 978-2024")</f>
        <v/>
      </c>
      <c r="X1510">
        <f>HYPERLINK("https://klasma.github.io/Logging_2303/tillsyn/A 978-2024 tillsynsbegäran.docx", "A 978-2024")</f>
        <v/>
      </c>
      <c r="Y1510">
        <f>HYPERLINK("https://klasma.github.io/Logging_2303/tillsynsmail/A 978-2024 tillsynsbegäran mail.docx", "A 978-2024")</f>
        <v/>
      </c>
      <c r="Z1510">
        <f>HYPERLINK("https://klasma.github.io/Logging_2303/fåglar/A 978-2024 prioriterade fågelarter.docx", "A 978-2024")</f>
        <v/>
      </c>
    </row>
    <row r="1511" ht="15" customHeight="1">
      <c r="A1511" t="inlineStr">
        <is>
          <t>A 29215-2024</t>
        </is>
      </c>
      <c r="B1511" s="1" t="n">
        <v>45482.67827546296</v>
      </c>
      <c r="C1511" s="1" t="n">
        <v>46045</v>
      </c>
      <c r="D1511" t="inlineStr">
        <is>
          <t>JÄMTLANDS LÄN</t>
        </is>
      </c>
      <c r="E1511" t="inlineStr">
        <is>
          <t>BRÄCKE</t>
        </is>
      </c>
      <c r="F1511" t="inlineStr">
        <is>
          <t>Övriga Aktiebolag</t>
        </is>
      </c>
      <c r="G1511" t="n">
        <v>7.3</v>
      </c>
      <c r="H1511" t="n">
        <v>1</v>
      </c>
      <c r="I1511" t="n">
        <v>0</v>
      </c>
      <c r="J1511" t="n">
        <v>0</v>
      </c>
      <c r="K1511" t="n">
        <v>0</v>
      </c>
      <c r="L1511" t="n">
        <v>0</v>
      </c>
      <c r="M1511" t="n">
        <v>0</v>
      </c>
      <c r="N1511" t="n">
        <v>0</v>
      </c>
      <c r="O1511" t="n">
        <v>0</v>
      </c>
      <c r="P1511" t="n">
        <v>0</v>
      </c>
      <c r="Q1511" t="n">
        <v>1</v>
      </c>
      <c r="R1511" s="2" t="inlineStr">
        <is>
          <t>Sparvuggla</t>
        </is>
      </c>
      <c r="S1511">
        <f>HYPERLINK("https://klasma.github.io/Logging_2305/artfynd/A 29215-2024 artfynd.xlsx", "A 29215-2024")</f>
        <v/>
      </c>
      <c r="T1511">
        <f>HYPERLINK("https://klasma.github.io/Logging_2305/kartor/A 29215-2024 karta.png", "A 29215-2024")</f>
        <v/>
      </c>
      <c r="V1511">
        <f>HYPERLINK("https://klasma.github.io/Logging_2305/klagomål/A 29215-2024 FSC-klagomål.docx", "A 29215-2024")</f>
        <v/>
      </c>
      <c r="W1511">
        <f>HYPERLINK("https://klasma.github.io/Logging_2305/klagomålsmail/A 29215-2024 FSC-klagomål mail.docx", "A 29215-2024")</f>
        <v/>
      </c>
      <c r="X1511">
        <f>HYPERLINK("https://klasma.github.io/Logging_2305/tillsyn/A 29215-2024 tillsynsbegäran.docx", "A 29215-2024")</f>
        <v/>
      </c>
      <c r="Y1511">
        <f>HYPERLINK("https://klasma.github.io/Logging_2305/tillsynsmail/A 29215-2024 tillsynsbegäran mail.docx", "A 29215-2024")</f>
        <v/>
      </c>
      <c r="Z1511">
        <f>HYPERLINK("https://klasma.github.io/Logging_2305/fåglar/A 29215-2024 prioriterade fågelarter.docx", "A 29215-2024")</f>
        <v/>
      </c>
    </row>
    <row r="1512" ht="15" customHeight="1">
      <c r="A1512" t="inlineStr">
        <is>
          <t>A 22101-2024</t>
        </is>
      </c>
      <c r="B1512" s="1" t="n">
        <v>45443.95077546296</v>
      </c>
      <c r="C1512" s="1" t="n">
        <v>46045</v>
      </c>
      <c r="D1512" t="inlineStr">
        <is>
          <t>JÄMTLANDS LÄN</t>
        </is>
      </c>
      <c r="E1512" t="inlineStr">
        <is>
          <t>BRÄCKE</t>
        </is>
      </c>
      <c r="F1512" t="inlineStr">
        <is>
          <t>SCA</t>
        </is>
      </c>
      <c r="G1512" t="n">
        <v>3.5</v>
      </c>
      <c r="H1512" t="n">
        <v>0</v>
      </c>
      <c r="I1512" t="n">
        <v>0</v>
      </c>
      <c r="J1512" t="n">
        <v>1</v>
      </c>
      <c r="K1512" t="n">
        <v>0</v>
      </c>
      <c r="L1512" t="n">
        <v>0</v>
      </c>
      <c r="M1512" t="n">
        <v>0</v>
      </c>
      <c r="N1512" t="n">
        <v>0</v>
      </c>
      <c r="O1512" t="n">
        <v>1</v>
      </c>
      <c r="P1512" t="n">
        <v>0</v>
      </c>
      <c r="Q1512" t="n">
        <v>1</v>
      </c>
      <c r="R1512" s="2" t="inlineStr">
        <is>
          <t>Garnlav</t>
        </is>
      </c>
      <c r="S1512">
        <f>HYPERLINK("https://klasma.github.io/Logging_2305/artfynd/A 22101-2024 artfynd.xlsx", "A 22101-2024")</f>
        <v/>
      </c>
      <c r="T1512">
        <f>HYPERLINK("https://klasma.github.io/Logging_2305/kartor/A 22101-2024 karta.png", "A 22101-2024")</f>
        <v/>
      </c>
      <c r="V1512">
        <f>HYPERLINK("https://klasma.github.io/Logging_2305/klagomål/A 22101-2024 FSC-klagomål.docx", "A 22101-2024")</f>
        <v/>
      </c>
      <c r="W1512">
        <f>HYPERLINK("https://klasma.github.io/Logging_2305/klagomålsmail/A 22101-2024 FSC-klagomål mail.docx", "A 22101-2024")</f>
        <v/>
      </c>
      <c r="X1512">
        <f>HYPERLINK("https://klasma.github.io/Logging_2305/tillsyn/A 22101-2024 tillsynsbegäran.docx", "A 22101-2024")</f>
        <v/>
      </c>
      <c r="Y1512">
        <f>HYPERLINK("https://klasma.github.io/Logging_2305/tillsynsmail/A 22101-2024 tillsynsbegäran mail.docx", "A 22101-2024")</f>
        <v/>
      </c>
    </row>
    <row r="1513" ht="15" customHeight="1">
      <c r="A1513" t="inlineStr">
        <is>
          <t>A 11614-2024</t>
        </is>
      </c>
      <c r="B1513" s="1" t="n">
        <v>45373.42134259259</v>
      </c>
      <c r="C1513" s="1" t="n">
        <v>46045</v>
      </c>
      <c r="D1513" t="inlineStr">
        <is>
          <t>JÄMTLANDS LÄN</t>
        </is>
      </c>
      <c r="E1513" t="inlineStr">
        <is>
          <t>BRÄCKE</t>
        </is>
      </c>
      <c r="G1513" t="n">
        <v>4.3</v>
      </c>
      <c r="H1513" t="n">
        <v>0</v>
      </c>
      <c r="I1513" t="n">
        <v>1</v>
      </c>
      <c r="J1513" t="n">
        <v>0</v>
      </c>
      <c r="K1513" t="n">
        <v>0</v>
      </c>
      <c r="L1513" t="n">
        <v>0</v>
      </c>
      <c r="M1513" t="n">
        <v>0</v>
      </c>
      <c r="N1513" t="n">
        <v>0</v>
      </c>
      <c r="O1513" t="n">
        <v>0</v>
      </c>
      <c r="P1513" t="n">
        <v>0</v>
      </c>
      <c r="Q1513" t="n">
        <v>1</v>
      </c>
      <c r="R1513" s="2" t="inlineStr">
        <is>
          <t>Dropptaggsvamp</t>
        </is>
      </c>
      <c r="S1513">
        <f>HYPERLINK("https://klasma.github.io/Logging_2305/artfynd/A 11614-2024 artfynd.xlsx", "A 11614-2024")</f>
        <v/>
      </c>
      <c r="T1513">
        <f>HYPERLINK("https://klasma.github.io/Logging_2305/kartor/A 11614-2024 karta.png", "A 11614-2024")</f>
        <v/>
      </c>
      <c r="V1513">
        <f>HYPERLINK("https://klasma.github.io/Logging_2305/klagomål/A 11614-2024 FSC-klagomål.docx", "A 11614-2024")</f>
        <v/>
      </c>
      <c r="W1513">
        <f>HYPERLINK("https://klasma.github.io/Logging_2305/klagomålsmail/A 11614-2024 FSC-klagomål mail.docx", "A 11614-2024")</f>
        <v/>
      </c>
      <c r="X1513">
        <f>HYPERLINK("https://klasma.github.io/Logging_2305/tillsyn/A 11614-2024 tillsynsbegäran.docx", "A 11614-2024")</f>
        <v/>
      </c>
      <c r="Y1513">
        <f>HYPERLINK("https://klasma.github.io/Logging_2305/tillsynsmail/A 11614-2024 tillsynsbegäran mail.docx", "A 11614-2024")</f>
        <v/>
      </c>
    </row>
    <row r="1514" ht="15" customHeight="1">
      <c r="A1514" t="inlineStr">
        <is>
          <t>A 19431-2021</t>
        </is>
      </c>
      <c r="B1514" s="1" t="n">
        <v>44309</v>
      </c>
      <c r="C1514" s="1" t="n">
        <v>46045</v>
      </c>
      <c r="D1514" t="inlineStr">
        <is>
          <t>JÄMTLANDS LÄN</t>
        </is>
      </c>
      <c r="E1514" t="inlineStr">
        <is>
          <t>BRÄCKE</t>
        </is>
      </c>
      <c r="G1514" t="n">
        <v>4.8</v>
      </c>
      <c r="H1514" t="n">
        <v>1</v>
      </c>
      <c r="I1514" t="n">
        <v>0</v>
      </c>
      <c r="J1514" t="n">
        <v>1</v>
      </c>
      <c r="K1514" t="n">
        <v>0</v>
      </c>
      <c r="L1514" t="n">
        <v>0</v>
      </c>
      <c r="M1514" t="n">
        <v>0</v>
      </c>
      <c r="N1514" t="n">
        <v>0</v>
      </c>
      <c r="O1514" t="n">
        <v>1</v>
      </c>
      <c r="P1514" t="n">
        <v>0</v>
      </c>
      <c r="Q1514" t="n">
        <v>1</v>
      </c>
      <c r="R1514" s="2" t="inlineStr">
        <is>
          <t>Utter</t>
        </is>
      </c>
      <c r="S1514">
        <f>HYPERLINK("https://klasma.github.io/Logging_2305/artfynd/A 19431-2021 artfynd.xlsx", "A 19431-2021")</f>
        <v/>
      </c>
      <c r="T1514">
        <f>HYPERLINK("https://klasma.github.io/Logging_2305/kartor/A 19431-2021 karta.png", "A 19431-2021")</f>
        <v/>
      </c>
      <c r="V1514">
        <f>HYPERLINK("https://klasma.github.io/Logging_2305/klagomål/A 19431-2021 FSC-klagomål.docx", "A 19431-2021")</f>
        <v/>
      </c>
      <c r="W1514">
        <f>HYPERLINK("https://klasma.github.io/Logging_2305/klagomålsmail/A 19431-2021 FSC-klagomål mail.docx", "A 19431-2021")</f>
        <v/>
      </c>
      <c r="X1514">
        <f>HYPERLINK("https://klasma.github.io/Logging_2305/tillsyn/A 19431-2021 tillsynsbegäran.docx", "A 19431-2021")</f>
        <v/>
      </c>
      <c r="Y1514">
        <f>HYPERLINK("https://klasma.github.io/Logging_2305/tillsynsmail/A 19431-2021 tillsynsbegäran mail.docx", "A 19431-2021")</f>
        <v/>
      </c>
    </row>
    <row r="1515" ht="15" customHeight="1">
      <c r="A1515" t="inlineStr">
        <is>
          <t>A 15457-2023</t>
        </is>
      </c>
      <c r="B1515" s="1" t="n">
        <v>45019</v>
      </c>
      <c r="C1515" s="1" t="n">
        <v>46045</v>
      </c>
      <c r="D1515" t="inlineStr">
        <is>
          <t>JÄMTLANDS LÄN</t>
        </is>
      </c>
      <c r="E1515" t="inlineStr">
        <is>
          <t>STRÖMSUND</t>
        </is>
      </c>
      <c r="G1515" t="n">
        <v>17.2</v>
      </c>
      <c r="H1515" t="n">
        <v>0</v>
      </c>
      <c r="I1515" t="n">
        <v>1</v>
      </c>
      <c r="J1515" t="n">
        <v>0</v>
      </c>
      <c r="K1515" t="n">
        <v>0</v>
      </c>
      <c r="L1515" t="n">
        <v>0</v>
      </c>
      <c r="M1515" t="n">
        <v>0</v>
      </c>
      <c r="N1515" t="n">
        <v>0</v>
      </c>
      <c r="O1515" t="n">
        <v>0</v>
      </c>
      <c r="P1515" t="n">
        <v>0</v>
      </c>
      <c r="Q1515" t="n">
        <v>1</v>
      </c>
      <c r="R1515" s="2" t="inlineStr">
        <is>
          <t>Taggbräken</t>
        </is>
      </c>
      <c r="S1515">
        <f>HYPERLINK("https://klasma.github.io/Logging_2313/artfynd/A 15457-2023 artfynd.xlsx", "A 15457-2023")</f>
        <v/>
      </c>
      <c r="T1515">
        <f>HYPERLINK("https://klasma.github.io/Logging_2313/kartor/A 15457-2023 karta.png", "A 15457-2023")</f>
        <v/>
      </c>
      <c r="V1515">
        <f>HYPERLINK("https://klasma.github.io/Logging_2313/klagomål/A 15457-2023 FSC-klagomål.docx", "A 15457-2023")</f>
        <v/>
      </c>
      <c r="W1515">
        <f>HYPERLINK("https://klasma.github.io/Logging_2313/klagomålsmail/A 15457-2023 FSC-klagomål mail.docx", "A 15457-2023")</f>
        <v/>
      </c>
      <c r="X1515">
        <f>HYPERLINK("https://klasma.github.io/Logging_2313/tillsyn/A 15457-2023 tillsynsbegäran.docx", "A 15457-2023")</f>
        <v/>
      </c>
      <c r="Y1515">
        <f>HYPERLINK("https://klasma.github.io/Logging_2313/tillsynsmail/A 15457-2023 tillsynsbegäran mail.docx", "A 15457-2023")</f>
        <v/>
      </c>
    </row>
    <row r="1516" ht="15" customHeight="1">
      <c r="A1516" t="inlineStr">
        <is>
          <t>A 59104-2023</t>
        </is>
      </c>
      <c r="B1516" s="1" t="n">
        <v>45252</v>
      </c>
      <c r="C1516" s="1" t="n">
        <v>46045</v>
      </c>
      <c r="D1516" t="inlineStr">
        <is>
          <t>JÄMTLANDS LÄN</t>
        </is>
      </c>
      <c r="E1516" t="inlineStr">
        <is>
          <t>RAGUNDA</t>
        </is>
      </c>
      <c r="F1516" t="inlineStr">
        <is>
          <t>SCA</t>
        </is>
      </c>
      <c r="G1516" t="n">
        <v>4.2</v>
      </c>
      <c r="H1516" t="n">
        <v>0</v>
      </c>
      <c r="I1516" t="n">
        <v>0</v>
      </c>
      <c r="J1516" t="n">
        <v>1</v>
      </c>
      <c r="K1516" t="n">
        <v>0</v>
      </c>
      <c r="L1516" t="n">
        <v>0</v>
      </c>
      <c r="M1516" t="n">
        <v>0</v>
      </c>
      <c r="N1516" t="n">
        <v>0</v>
      </c>
      <c r="O1516" t="n">
        <v>1</v>
      </c>
      <c r="P1516" t="n">
        <v>0</v>
      </c>
      <c r="Q1516" t="n">
        <v>1</v>
      </c>
      <c r="R1516" s="2" t="inlineStr">
        <is>
          <t>Ullticka</t>
        </is>
      </c>
      <c r="S1516">
        <f>HYPERLINK("https://klasma.github.io/Logging_2303/artfynd/A 59104-2023 artfynd.xlsx", "A 59104-2023")</f>
        <v/>
      </c>
      <c r="T1516">
        <f>HYPERLINK("https://klasma.github.io/Logging_2303/kartor/A 59104-2023 karta.png", "A 59104-2023")</f>
        <v/>
      </c>
      <c r="V1516">
        <f>HYPERLINK("https://klasma.github.io/Logging_2303/klagomål/A 59104-2023 FSC-klagomål.docx", "A 59104-2023")</f>
        <v/>
      </c>
      <c r="W1516">
        <f>HYPERLINK("https://klasma.github.io/Logging_2303/klagomålsmail/A 59104-2023 FSC-klagomål mail.docx", "A 59104-2023")</f>
        <v/>
      </c>
      <c r="X1516">
        <f>HYPERLINK("https://klasma.github.io/Logging_2303/tillsyn/A 59104-2023 tillsynsbegäran.docx", "A 59104-2023")</f>
        <v/>
      </c>
      <c r="Y1516">
        <f>HYPERLINK("https://klasma.github.io/Logging_2303/tillsynsmail/A 59104-2023 tillsynsbegäran mail.docx", "A 59104-2023")</f>
        <v/>
      </c>
    </row>
    <row r="1517" ht="15" customHeight="1">
      <c r="A1517" t="inlineStr">
        <is>
          <t>A 17636-2024</t>
        </is>
      </c>
      <c r="B1517" s="1" t="n">
        <v>45418</v>
      </c>
      <c r="C1517" s="1" t="n">
        <v>46045</v>
      </c>
      <c r="D1517" t="inlineStr">
        <is>
          <t>JÄMTLANDS LÄN</t>
        </is>
      </c>
      <c r="E1517" t="inlineStr">
        <is>
          <t>ÅRE</t>
        </is>
      </c>
      <c r="F1517" t="inlineStr">
        <is>
          <t>Övriga Aktiebolag</t>
        </is>
      </c>
      <c r="G1517" t="n">
        <v>12.4</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HYPERLINK("https://klasma.github.io/Logging_2321/artfynd/A 17636-2024 artfynd.xlsx", "A 17636-2024")</f>
        <v/>
      </c>
      <c r="T1517">
        <f>HYPERLINK("https://klasma.github.io/Logging_2321/kartor/A 17636-2024 karta.png", "A 17636-2024")</f>
        <v/>
      </c>
      <c r="V1517">
        <f>HYPERLINK("https://klasma.github.io/Logging_2321/klagomål/A 17636-2024 FSC-klagomål.docx", "A 17636-2024")</f>
        <v/>
      </c>
      <c r="W1517">
        <f>HYPERLINK("https://klasma.github.io/Logging_2321/klagomålsmail/A 17636-2024 FSC-klagomål mail.docx", "A 17636-2024")</f>
        <v/>
      </c>
      <c r="X1517">
        <f>HYPERLINK("https://klasma.github.io/Logging_2321/tillsyn/A 17636-2024 tillsynsbegäran.docx", "A 17636-2024")</f>
        <v/>
      </c>
      <c r="Y1517">
        <f>HYPERLINK("https://klasma.github.io/Logging_2321/tillsynsmail/A 17636-2024 tillsynsbegäran mail.docx", "A 17636-2024")</f>
        <v/>
      </c>
      <c r="Z1517">
        <f>HYPERLINK("https://klasma.github.io/Logging_2321/fåglar/A 17636-2024 prioriterade fågelarter.docx", "A 17636-2024")</f>
        <v/>
      </c>
    </row>
    <row r="1518" ht="15" customHeight="1">
      <c r="A1518" t="inlineStr">
        <is>
          <t>A 24251-2024</t>
        </is>
      </c>
      <c r="B1518" s="1" t="n">
        <v>45457.38677083333</v>
      </c>
      <c r="C1518" s="1" t="n">
        <v>46045</v>
      </c>
      <c r="D1518" t="inlineStr">
        <is>
          <t>JÄMTLANDS LÄN</t>
        </is>
      </c>
      <c r="E1518" t="inlineStr">
        <is>
          <t>HÄRJEDALEN</t>
        </is>
      </c>
      <c r="F1518" t="inlineStr">
        <is>
          <t>Sveaskog</t>
        </is>
      </c>
      <c r="G1518" t="n">
        <v>4.7</v>
      </c>
      <c r="H1518" t="n">
        <v>0</v>
      </c>
      <c r="I1518" t="n">
        <v>0</v>
      </c>
      <c r="J1518" t="n">
        <v>1</v>
      </c>
      <c r="K1518" t="n">
        <v>0</v>
      </c>
      <c r="L1518" t="n">
        <v>0</v>
      </c>
      <c r="M1518" t="n">
        <v>0</v>
      </c>
      <c r="N1518" t="n">
        <v>0</v>
      </c>
      <c r="O1518" t="n">
        <v>1</v>
      </c>
      <c r="P1518" t="n">
        <v>0</v>
      </c>
      <c r="Q1518" t="n">
        <v>1</v>
      </c>
      <c r="R1518" s="2" t="inlineStr">
        <is>
          <t>Garnlav</t>
        </is>
      </c>
      <c r="S1518">
        <f>HYPERLINK("https://klasma.github.io/Logging_2361/artfynd/A 24251-2024 artfynd.xlsx", "A 24251-2024")</f>
        <v/>
      </c>
      <c r="T1518">
        <f>HYPERLINK("https://klasma.github.io/Logging_2361/kartor/A 24251-2024 karta.png", "A 24251-2024")</f>
        <v/>
      </c>
      <c r="V1518">
        <f>HYPERLINK("https://klasma.github.io/Logging_2361/klagomål/A 24251-2024 FSC-klagomål.docx", "A 24251-2024")</f>
        <v/>
      </c>
      <c r="W1518">
        <f>HYPERLINK("https://klasma.github.io/Logging_2361/klagomålsmail/A 24251-2024 FSC-klagomål mail.docx", "A 24251-2024")</f>
        <v/>
      </c>
      <c r="X1518">
        <f>HYPERLINK("https://klasma.github.io/Logging_2361/tillsyn/A 24251-2024 tillsynsbegäran.docx", "A 24251-2024")</f>
        <v/>
      </c>
      <c r="Y1518">
        <f>HYPERLINK("https://klasma.github.io/Logging_2361/tillsynsmail/A 24251-2024 tillsynsbegäran mail.docx", "A 24251-2024")</f>
        <v/>
      </c>
    </row>
    <row r="1519" ht="15" customHeight="1">
      <c r="A1519" t="inlineStr">
        <is>
          <t>A 23186-2022</t>
        </is>
      </c>
      <c r="B1519" s="1" t="n">
        <v>44719</v>
      </c>
      <c r="C1519" s="1" t="n">
        <v>46045</v>
      </c>
      <c r="D1519" t="inlineStr">
        <is>
          <t>JÄMTLANDS LÄN</t>
        </is>
      </c>
      <c r="E1519" t="inlineStr">
        <is>
          <t>STRÖMSUND</t>
        </is>
      </c>
      <c r="G1519" t="n">
        <v>14.3</v>
      </c>
      <c r="H1519" t="n">
        <v>0</v>
      </c>
      <c r="I1519" t="n">
        <v>0</v>
      </c>
      <c r="J1519" t="n">
        <v>1</v>
      </c>
      <c r="K1519" t="n">
        <v>0</v>
      </c>
      <c r="L1519" t="n">
        <v>0</v>
      </c>
      <c r="M1519" t="n">
        <v>0</v>
      </c>
      <c r="N1519" t="n">
        <v>0</v>
      </c>
      <c r="O1519" t="n">
        <v>1</v>
      </c>
      <c r="P1519" t="n">
        <v>0</v>
      </c>
      <c r="Q1519" t="n">
        <v>1</v>
      </c>
      <c r="R1519" s="2" t="inlineStr">
        <is>
          <t>Lunglav</t>
        </is>
      </c>
      <c r="S1519">
        <f>HYPERLINK("https://klasma.github.io/Logging_2313/artfynd/A 23186-2022 artfynd.xlsx", "A 23186-2022")</f>
        <v/>
      </c>
      <c r="T1519">
        <f>HYPERLINK("https://klasma.github.io/Logging_2313/kartor/A 23186-2022 karta.png", "A 23186-2022")</f>
        <v/>
      </c>
      <c r="V1519">
        <f>HYPERLINK("https://klasma.github.io/Logging_2313/klagomål/A 23186-2022 FSC-klagomål.docx", "A 23186-2022")</f>
        <v/>
      </c>
      <c r="W1519">
        <f>HYPERLINK("https://klasma.github.io/Logging_2313/klagomålsmail/A 23186-2022 FSC-klagomål mail.docx", "A 23186-2022")</f>
        <v/>
      </c>
      <c r="X1519">
        <f>HYPERLINK("https://klasma.github.io/Logging_2313/tillsyn/A 23186-2022 tillsynsbegäran.docx", "A 23186-2022")</f>
        <v/>
      </c>
      <c r="Y1519">
        <f>HYPERLINK("https://klasma.github.io/Logging_2313/tillsynsmail/A 23186-2022 tillsynsbegäran mail.docx", "A 23186-2022")</f>
        <v/>
      </c>
    </row>
    <row r="1520" ht="15" customHeight="1">
      <c r="A1520" t="inlineStr">
        <is>
          <t>A 56202-2021</t>
        </is>
      </c>
      <c r="B1520" s="1" t="n">
        <v>44477</v>
      </c>
      <c r="C1520" s="1" t="n">
        <v>46045</v>
      </c>
      <c r="D1520" t="inlineStr">
        <is>
          <t>JÄMTLANDS LÄN</t>
        </is>
      </c>
      <c r="E1520" t="inlineStr">
        <is>
          <t>BERG</t>
        </is>
      </c>
      <c r="F1520" t="inlineStr">
        <is>
          <t>SCA</t>
        </is>
      </c>
      <c r="G1520" t="n">
        <v>1.1</v>
      </c>
      <c r="H1520" t="n">
        <v>1</v>
      </c>
      <c r="I1520" t="n">
        <v>0</v>
      </c>
      <c r="J1520" t="n">
        <v>0</v>
      </c>
      <c r="K1520" t="n">
        <v>1</v>
      </c>
      <c r="L1520" t="n">
        <v>0</v>
      </c>
      <c r="M1520" t="n">
        <v>0</v>
      </c>
      <c r="N1520" t="n">
        <v>0</v>
      </c>
      <c r="O1520" t="n">
        <v>1</v>
      </c>
      <c r="P1520" t="n">
        <v>1</v>
      </c>
      <c r="Q1520" t="n">
        <v>1</v>
      </c>
      <c r="R1520" s="2" t="inlineStr">
        <is>
          <t>Knärot</t>
        </is>
      </c>
      <c r="S1520">
        <f>HYPERLINK("https://klasma.github.io/Logging_2326/artfynd/A 56202-2021 artfynd.xlsx", "A 56202-2021")</f>
        <v/>
      </c>
      <c r="T1520">
        <f>HYPERLINK("https://klasma.github.io/Logging_2326/kartor/A 56202-2021 karta.png", "A 56202-2021")</f>
        <v/>
      </c>
      <c r="U1520">
        <f>HYPERLINK("https://klasma.github.io/Logging_2326/knärot/A 56202-2021 karta knärot.png", "A 56202-2021")</f>
        <v/>
      </c>
      <c r="V1520">
        <f>HYPERLINK("https://klasma.github.io/Logging_2326/klagomål/A 56202-2021 FSC-klagomål.docx", "A 56202-2021")</f>
        <v/>
      </c>
      <c r="W1520">
        <f>HYPERLINK("https://klasma.github.io/Logging_2326/klagomålsmail/A 56202-2021 FSC-klagomål mail.docx", "A 56202-2021")</f>
        <v/>
      </c>
      <c r="X1520">
        <f>HYPERLINK("https://klasma.github.io/Logging_2326/tillsyn/A 56202-2021 tillsynsbegäran.docx", "A 56202-2021")</f>
        <v/>
      </c>
      <c r="Y1520">
        <f>HYPERLINK("https://klasma.github.io/Logging_2326/tillsynsmail/A 56202-2021 tillsynsbegäran mail.docx", "A 56202-2021")</f>
        <v/>
      </c>
    </row>
    <row r="1521" ht="15" customHeight="1">
      <c r="A1521" t="inlineStr">
        <is>
          <t>A 57390-2023</t>
        </is>
      </c>
      <c r="B1521" s="1" t="n">
        <v>45245</v>
      </c>
      <c r="C1521" s="1" t="n">
        <v>46045</v>
      </c>
      <c r="D1521" t="inlineStr">
        <is>
          <t>JÄMTLANDS LÄN</t>
        </is>
      </c>
      <c r="E1521" t="inlineStr">
        <is>
          <t>STRÖMSUND</t>
        </is>
      </c>
      <c r="G1521" t="n">
        <v>4.8</v>
      </c>
      <c r="H1521" t="n">
        <v>0</v>
      </c>
      <c r="I1521" t="n">
        <v>1</v>
      </c>
      <c r="J1521" t="n">
        <v>0</v>
      </c>
      <c r="K1521" t="n">
        <v>0</v>
      </c>
      <c r="L1521" t="n">
        <v>0</v>
      </c>
      <c r="M1521" t="n">
        <v>0</v>
      </c>
      <c r="N1521" t="n">
        <v>0</v>
      </c>
      <c r="O1521" t="n">
        <v>0</v>
      </c>
      <c r="P1521" t="n">
        <v>0</v>
      </c>
      <c r="Q1521" t="n">
        <v>1</v>
      </c>
      <c r="R1521" s="2" t="inlineStr">
        <is>
          <t>Svart trolldruva</t>
        </is>
      </c>
      <c r="S1521">
        <f>HYPERLINK("https://klasma.github.io/Logging_2313/artfynd/A 57390-2023 artfynd.xlsx", "A 57390-2023")</f>
        <v/>
      </c>
      <c r="T1521">
        <f>HYPERLINK("https://klasma.github.io/Logging_2313/kartor/A 57390-2023 karta.png", "A 57390-2023")</f>
        <v/>
      </c>
      <c r="V1521">
        <f>HYPERLINK("https://klasma.github.io/Logging_2313/klagomål/A 57390-2023 FSC-klagomål.docx", "A 57390-2023")</f>
        <v/>
      </c>
      <c r="W1521">
        <f>HYPERLINK("https://klasma.github.io/Logging_2313/klagomålsmail/A 57390-2023 FSC-klagomål mail.docx", "A 57390-2023")</f>
        <v/>
      </c>
      <c r="X1521">
        <f>HYPERLINK("https://klasma.github.io/Logging_2313/tillsyn/A 57390-2023 tillsynsbegäran.docx", "A 57390-2023")</f>
        <v/>
      </c>
      <c r="Y1521">
        <f>HYPERLINK("https://klasma.github.io/Logging_2313/tillsynsmail/A 57390-2023 tillsynsbegäran mail.docx", "A 57390-2023")</f>
        <v/>
      </c>
    </row>
    <row r="1522" ht="15" customHeight="1">
      <c r="A1522" t="inlineStr">
        <is>
          <t>A 66483-2021</t>
        </is>
      </c>
      <c r="B1522" s="1" t="n">
        <v>44518</v>
      </c>
      <c r="C1522" s="1" t="n">
        <v>46045</v>
      </c>
      <c r="D1522" t="inlineStr">
        <is>
          <t>JÄMTLANDS LÄN</t>
        </is>
      </c>
      <c r="E1522" t="inlineStr">
        <is>
          <t>STRÖMSUND</t>
        </is>
      </c>
      <c r="F1522" t="inlineStr">
        <is>
          <t>SCA</t>
        </is>
      </c>
      <c r="G1522" t="n">
        <v>10.2</v>
      </c>
      <c r="H1522" t="n">
        <v>0</v>
      </c>
      <c r="I1522" t="n">
        <v>0</v>
      </c>
      <c r="J1522" t="n">
        <v>1</v>
      </c>
      <c r="K1522" t="n">
        <v>0</v>
      </c>
      <c r="L1522" t="n">
        <v>0</v>
      </c>
      <c r="M1522" t="n">
        <v>0</v>
      </c>
      <c r="N1522" t="n">
        <v>0</v>
      </c>
      <c r="O1522" t="n">
        <v>1</v>
      </c>
      <c r="P1522" t="n">
        <v>0</v>
      </c>
      <c r="Q1522" t="n">
        <v>1</v>
      </c>
      <c r="R1522" s="2" t="inlineStr">
        <is>
          <t>Knottrig blåslav</t>
        </is>
      </c>
      <c r="S1522">
        <f>HYPERLINK("https://klasma.github.io/Logging_2313/artfynd/A 66483-2021 artfynd.xlsx", "A 66483-2021")</f>
        <v/>
      </c>
      <c r="T1522">
        <f>HYPERLINK("https://klasma.github.io/Logging_2313/kartor/A 66483-2021 karta.png", "A 66483-2021")</f>
        <v/>
      </c>
      <c r="V1522">
        <f>HYPERLINK("https://klasma.github.io/Logging_2313/klagomål/A 66483-2021 FSC-klagomål.docx", "A 66483-2021")</f>
        <v/>
      </c>
      <c r="W1522">
        <f>HYPERLINK("https://klasma.github.io/Logging_2313/klagomålsmail/A 66483-2021 FSC-klagomål mail.docx", "A 66483-2021")</f>
        <v/>
      </c>
      <c r="X1522">
        <f>HYPERLINK("https://klasma.github.io/Logging_2313/tillsyn/A 66483-2021 tillsynsbegäran.docx", "A 66483-2021")</f>
        <v/>
      </c>
      <c r="Y1522">
        <f>HYPERLINK("https://klasma.github.io/Logging_2313/tillsynsmail/A 66483-2021 tillsynsbegäran mail.docx", "A 66483-2021")</f>
        <v/>
      </c>
    </row>
    <row r="1523" ht="15" customHeight="1">
      <c r="A1523" t="inlineStr">
        <is>
          <t>A 59108-2024</t>
        </is>
      </c>
      <c r="B1523" s="1" t="n">
        <v>45637.34469907408</v>
      </c>
      <c r="C1523" s="1" t="n">
        <v>46045</v>
      </c>
      <c r="D1523" t="inlineStr">
        <is>
          <t>JÄMTLANDS LÄN</t>
        </is>
      </c>
      <c r="E1523" t="inlineStr">
        <is>
          <t>ÖSTERSUND</t>
        </is>
      </c>
      <c r="F1523" t="inlineStr">
        <is>
          <t>SCA</t>
        </is>
      </c>
      <c r="G1523" t="n">
        <v>10.6</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HYPERLINK("https://klasma.github.io/Logging_2380/artfynd/A 59108-2024 artfynd.xlsx", "A 59108-2024")</f>
        <v/>
      </c>
      <c r="T1523">
        <f>HYPERLINK("https://klasma.github.io/Logging_2380/kartor/A 59108-2024 karta.png", "A 59108-2024")</f>
        <v/>
      </c>
      <c r="V1523">
        <f>HYPERLINK("https://klasma.github.io/Logging_2380/klagomål/A 59108-2024 FSC-klagomål.docx", "A 59108-2024")</f>
        <v/>
      </c>
      <c r="W1523">
        <f>HYPERLINK("https://klasma.github.io/Logging_2380/klagomålsmail/A 59108-2024 FSC-klagomål mail.docx", "A 59108-2024")</f>
        <v/>
      </c>
      <c r="X1523">
        <f>HYPERLINK("https://klasma.github.io/Logging_2380/tillsyn/A 59108-2024 tillsynsbegäran.docx", "A 59108-2024")</f>
        <v/>
      </c>
      <c r="Y1523">
        <f>HYPERLINK("https://klasma.github.io/Logging_2380/tillsynsmail/A 59108-2024 tillsynsbegäran mail.docx", "A 59108-2024")</f>
        <v/>
      </c>
      <c r="Z1523">
        <f>HYPERLINK("https://klasma.github.io/Logging_2380/fåglar/A 59108-2024 prioriterade fågelarter.docx", "A 59108-2024")</f>
        <v/>
      </c>
    </row>
    <row r="1524" ht="15" customHeight="1">
      <c r="A1524" t="inlineStr">
        <is>
          <t>A 20768-2024</t>
        </is>
      </c>
      <c r="B1524" s="1" t="n">
        <v>45436.94594907408</v>
      </c>
      <c r="C1524" s="1" t="n">
        <v>46045</v>
      </c>
      <c r="D1524" t="inlineStr">
        <is>
          <t>JÄMTLANDS LÄN</t>
        </is>
      </c>
      <c r="E1524" t="inlineStr">
        <is>
          <t>BRÄCKE</t>
        </is>
      </c>
      <c r="F1524" t="inlineStr">
        <is>
          <t>SCA</t>
        </is>
      </c>
      <c r="G1524" t="n">
        <v>12.6</v>
      </c>
      <c r="H1524" t="n">
        <v>1</v>
      </c>
      <c r="I1524" t="n">
        <v>0</v>
      </c>
      <c r="J1524" t="n">
        <v>0</v>
      </c>
      <c r="K1524" t="n">
        <v>1</v>
      </c>
      <c r="L1524" t="n">
        <v>0</v>
      </c>
      <c r="M1524" t="n">
        <v>0</v>
      </c>
      <c r="N1524" t="n">
        <v>0</v>
      </c>
      <c r="O1524" t="n">
        <v>1</v>
      </c>
      <c r="P1524" t="n">
        <v>1</v>
      </c>
      <c r="Q1524" t="n">
        <v>1</v>
      </c>
      <c r="R1524" s="2" t="inlineStr">
        <is>
          <t>Doftticka</t>
        </is>
      </c>
      <c r="S1524">
        <f>HYPERLINK("https://klasma.github.io/Logging_2305/artfynd/A 20768-2024 artfynd.xlsx", "A 20768-2024")</f>
        <v/>
      </c>
      <c r="T1524">
        <f>HYPERLINK("https://klasma.github.io/Logging_2305/kartor/A 20768-2024 karta.png", "A 20768-2024")</f>
        <v/>
      </c>
      <c r="V1524">
        <f>HYPERLINK("https://klasma.github.io/Logging_2305/klagomål/A 20768-2024 FSC-klagomål.docx", "A 20768-2024")</f>
        <v/>
      </c>
      <c r="W1524">
        <f>HYPERLINK("https://klasma.github.io/Logging_2305/klagomålsmail/A 20768-2024 FSC-klagomål mail.docx", "A 20768-2024")</f>
        <v/>
      </c>
      <c r="X1524">
        <f>HYPERLINK("https://klasma.github.io/Logging_2305/tillsyn/A 20768-2024 tillsynsbegäran.docx", "A 20768-2024")</f>
        <v/>
      </c>
      <c r="Y1524">
        <f>HYPERLINK("https://klasma.github.io/Logging_2305/tillsynsmail/A 20768-2024 tillsynsbegäran mail.docx", "A 20768-2024")</f>
        <v/>
      </c>
    </row>
    <row r="1525" ht="15" customHeight="1">
      <c r="A1525" t="inlineStr">
        <is>
          <t>A 53086-2024</t>
        </is>
      </c>
      <c r="B1525" s="1" t="n">
        <v>45611.51084490741</v>
      </c>
      <c r="C1525" s="1" t="n">
        <v>46045</v>
      </c>
      <c r="D1525" t="inlineStr">
        <is>
          <t>JÄMTLANDS LÄN</t>
        </is>
      </c>
      <c r="E1525" t="inlineStr">
        <is>
          <t>BERG</t>
        </is>
      </c>
      <c r="F1525" t="inlineStr">
        <is>
          <t>SCA</t>
        </is>
      </c>
      <c r="G1525" t="n">
        <v>7.7</v>
      </c>
      <c r="H1525" t="n">
        <v>0</v>
      </c>
      <c r="I1525" t="n">
        <v>0</v>
      </c>
      <c r="J1525" t="n">
        <v>1</v>
      </c>
      <c r="K1525" t="n">
        <v>0</v>
      </c>
      <c r="L1525" t="n">
        <v>0</v>
      </c>
      <c r="M1525" t="n">
        <v>0</v>
      </c>
      <c r="N1525" t="n">
        <v>0</v>
      </c>
      <c r="O1525" t="n">
        <v>1</v>
      </c>
      <c r="P1525" t="n">
        <v>0</v>
      </c>
      <c r="Q1525" t="n">
        <v>1</v>
      </c>
      <c r="R1525" s="2" t="inlineStr">
        <is>
          <t>Dvärgbägarlav</t>
        </is>
      </c>
      <c r="S1525">
        <f>HYPERLINK("https://klasma.github.io/Logging_2326/artfynd/A 53086-2024 artfynd.xlsx", "A 53086-2024")</f>
        <v/>
      </c>
      <c r="T1525">
        <f>HYPERLINK("https://klasma.github.io/Logging_2326/kartor/A 53086-2024 karta.png", "A 53086-2024")</f>
        <v/>
      </c>
      <c r="V1525">
        <f>HYPERLINK("https://klasma.github.io/Logging_2326/klagomål/A 53086-2024 FSC-klagomål.docx", "A 53086-2024")</f>
        <v/>
      </c>
      <c r="W1525">
        <f>HYPERLINK("https://klasma.github.io/Logging_2326/klagomålsmail/A 53086-2024 FSC-klagomål mail.docx", "A 53086-2024")</f>
        <v/>
      </c>
      <c r="X1525">
        <f>HYPERLINK("https://klasma.github.io/Logging_2326/tillsyn/A 53086-2024 tillsynsbegäran.docx", "A 53086-2024")</f>
        <v/>
      </c>
      <c r="Y1525">
        <f>HYPERLINK("https://klasma.github.io/Logging_2326/tillsynsmail/A 53086-2024 tillsynsbegäran mail.docx", "A 53086-2024")</f>
        <v/>
      </c>
    </row>
    <row r="1526" ht="15" customHeight="1">
      <c r="A1526" t="inlineStr">
        <is>
          <t>A 11781-2021</t>
        </is>
      </c>
      <c r="B1526" s="1" t="n">
        <v>44265</v>
      </c>
      <c r="C1526" s="1" t="n">
        <v>46045</v>
      </c>
      <c r="D1526" t="inlineStr">
        <is>
          <t>JÄMTLANDS LÄN</t>
        </is>
      </c>
      <c r="E1526" t="inlineStr">
        <is>
          <t>ÅRE</t>
        </is>
      </c>
      <c r="G1526" t="n">
        <v>4.1</v>
      </c>
      <c r="H1526" t="n">
        <v>0</v>
      </c>
      <c r="I1526" t="n">
        <v>1</v>
      </c>
      <c r="J1526" t="n">
        <v>0</v>
      </c>
      <c r="K1526" t="n">
        <v>0</v>
      </c>
      <c r="L1526" t="n">
        <v>0</v>
      </c>
      <c r="M1526" t="n">
        <v>0</v>
      </c>
      <c r="N1526" t="n">
        <v>0</v>
      </c>
      <c r="O1526" t="n">
        <v>0</v>
      </c>
      <c r="P1526" t="n">
        <v>0</v>
      </c>
      <c r="Q1526" t="n">
        <v>1</v>
      </c>
      <c r="R1526" s="2" t="inlineStr">
        <is>
          <t>Finbräken</t>
        </is>
      </c>
      <c r="S1526">
        <f>HYPERLINK("https://klasma.github.io/Logging_2321/artfynd/A 11781-2021 artfynd.xlsx", "A 11781-2021")</f>
        <v/>
      </c>
      <c r="T1526">
        <f>HYPERLINK("https://klasma.github.io/Logging_2321/kartor/A 11781-2021 karta.png", "A 11781-2021")</f>
        <v/>
      </c>
      <c r="V1526">
        <f>HYPERLINK("https://klasma.github.io/Logging_2321/klagomål/A 11781-2021 FSC-klagomål.docx", "A 11781-2021")</f>
        <v/>
      </c>
      <c r="W1526">
        <f>HYPERLINK("https://klasma.github.io/Logging_2321/klagomålsmail/A 11781-2021 FSC-klagomål mail.docx", "A 11781-2021")</f>
        <v/>
      </c>
      <c r="X1526">
        <f>HYPERLINK("https://klasma.github.io/Logging_2321/tillsyn/A 11781-2021 tillsynsbegäran.docx", "A 11781-2021")</f>
        <v/>
      </c>
      <c r="Y1526">
        <f>HYPERLINK("https://klasma.github.io/Logging_2321/tillsynsmail/A 11781-2021 tillsynsbegäran mail.docx", "A 11781-2021")</f>
        <v/>
      </c>
    </row>
    <row r="1527" ht="15" customHeight="1">
      <c r="A1527" t="inlineStr">
        <is>
          <t>A 28509-2024</t>
        </is>
      </c>
      <c r="B1527" s="1" t="n">
        <v>45477.94773148148</v>
      </c>
      <c r="C1527" s="1" t="n">
        <v>46045</v>
      </c>
      <c r="D1527" t="inlineStr">
        <is>
          <t>JÄMTLANDS LÄN</t>
        </is>
      </c>
      <c r="E1527" t="inlineStr">
        <is>
          <t>STRÖMSUND</t>
        </is>
      </c>
      <c r="F1527" t="inlineStr">
        <is>
          <t>SCA</t>
        </is>
      </c>
      <c r="G1527" t="n">
        <v>2.6</v>
      </c>
      <c r="H1527" t="n">
        <v>0</v>
      </c>
      <c r="I1527" t="n">
        <v>0</v>
      </c>
      <c r="J1527" t="n">
        <v>0</v>
      </c>
      <c r="K1527" t="n">
        <v>1</v>
      </c>
      <c r="L1527" t="n">
        <v>0</v>
      </c>
      <c r="M1527" t="n">
        <v>0</v>
      </c>
      <c r="N1527" t="n">
        <v>0</v>
      </c>
      <c r="O1527" t="n">
        <v>1</v>
      </c>
      <c r="P1527" t="n">
        <v>1</v>
      </c>
      <c r="Q1527" t="n">
        <v>1</v>
      </c>
      <c r="R1527" s="2" t="inlineStr">
        <is>
          <t>Rynkskinn</t>
        </is>
      </c>
      <c r="S1527">
        <f>HYPERLINK("https://klasma.github.io/Logging_2313/artfynd/A 28509-2024 artfynd.xlsx", "A 28509-2024")</f>
        <v/>
      </c>
      <c r="T1527">
        <f>HYPERLINK("https://klasma.github.io/Logging_2313/kartor/A 28509-2024 karta.png", "A 28509-2024")</f>
        <v/>
      </c>
      <c r="V1527">
        <f>HYPERLINK("https://klasma.github.io/Logging_2313/klagomål/A 28509-2024 FSC-klagomål.docx", "A 28509-2024")</f>
        <v/>
      </c>
      <c r="W1527">
        <f>HYPERLINK("https://klasma.github.io/Logging_2313/klagomålsmail/A 28509-2024 FSC-klagomål mail.docx", "A 28509-2024")</f>
        <v/>
      </c>
      <c r="X1527">
        <f>HYPERLINK("https://klasma.github.io/Logging_2313/tillsyn/A 28509-2024 tillsynsbegäran.docx", "A 28509-2024")</f>
        <v/>
      </c>
      <c r="Y1527">
        <f>HYPERLINK("https://klasma.github.io/Logging_2313/tillsynsmail/A 28509-2024 tillsynsbegäran mail.docx", "A 28509-2024")</f>
        <v/>
      </c>
    </row>
    <row r="1528" ht="15" customHeight="1">
      <c r="A1528" t="inlineStr">
        <is>
          <t>A 61482-2021</t>
        </is>
      </c>
      <c r="B1528" s="1" t="n">
        <v>44500</v>
      </c>
      <c r="C1528" s="1" t="n">
        <v>46045</v>
      </c>
      <c r="D1528" t="inlineStr">
        <is>
          <t>JÄMTLANDS LÄN</t>
        </is>
      </c>
      <c r="E1528" t="inlineStr">
        <is>
          <t>STRÖMSUND</t>
        </is>
      </c>
      <c r="F1528" t="inlineStr">
        <is>
          <t>SCA</t>
        </is>
      </c>
      <c r="G1528" t="n">
        <v>5.9</v>
      </c>
      <c r="H1528" t="n">
        <v>0</v>
      </c>
      <c r="I1528" t="n">
        <v>0</v>
      </c>
      <c r="J1528" t="n">
        <v>1</v>
      </c>
      <c r="K1528" t="n">
        <v>0</v>
      </c>
      <c r="L1528" t="n">
        <v>0</v>
      </c>
      <c r="M1528" t="n">
        <v>0</v>
      </c>
      <c r="N1528" t="n">
        <v>0</v>
      </c>
      <c r="O1528" t="n">
        <v>1</v>
      </c>
      <c r="P1528" t="n">
        <v>0</v>
      </c>
      <c r="Q1528" t="n">
        <v>1</v>
      </c>
      <c r="R1528" s="2" t="inlineStr">
        <is>
          <t>Lunglav</t>
        </is>
      </c>
      <c r="S1528">
        <f>HYPERLINK("https://klasma.github.io/Logging_2313/artfynd/A 61482-2021 artfynd.xlsx", "A 61482-2021")</f>
        <v/>
      </c>
      <c r="T1528">
        <f>HYPERLINK("https://klasma.github.io/Logging_2313/kartor/A 61482-2021 karta.png", "A 61482-2021")</f>
        <v/>
      </c>
      <c r="V1528">
        <f>HYPERLINK("https://klasma.github.io/Logging_2313/klagomål/A 61482-2021 FSC-klagomål.docx", "A 61482-2021")</f>
        <v/>
      </c>
      <c r="W1528">
        <f>HYPERLINK("https://klasma.github.io/Logging_2313/klagomålsmail/A 61482-2021 FSC-klagomål mail.docx", "A 61482-2021")</f>
        <v/>
      </c>
      <c r="X1528">
        <f>HYPERLINK("https://klasma.github.io/Logging_2313/tillsyn/A 61482-2021 tillsynsbegäran.docx", "A 61482-2021")</f>
        <v/>
      </c>
      <c r="Y1528">
        <f>HYPERLINK("https://klasma.github.io/Logging_2313/tillsynsmail/A 61482-2021 tillsynsbegäran mail.docx", "A 61482-2021")</f>
        <v/>
      </c>
    </row>
    <row r="1529" ht="15" customHeight="1">
      <c r="A1529" t="inlineStr">
        <is>
          <t>A 30336-2024</t>
        </is>
      </c>
      <c r="B1529" s="1" t="n">
        <v>45490.95415509259</v>
      </c>
      <c r="C1529" s="1" t="n">
        <v>46045</v>
      </c>
      <c r="D1529" t="inlineStr">
        <is>
          <t>JÄMTLANDS LÄN</t>
        </is>
      </c>
      <c r="E1529" t="inlineStr">
        <is>
          <t>BRÄCKE</t>
        </is>
      </c>
      <c r="F1529" t="inlineStr">
        <is>
          <t>SCA</t>
        </is>
      </c>
      <c r="G1529" t="n">
        <v>2.8</v>
      </c>
      <c r="H1529" t="n">
        <v>0</v>
      </c>
      <c r="I1529" t="n">
        <v>1</v>
      </c>
      <c r="J1529" t="n">
        <v>0</v>
      </c>
      <c r="K1529" t="n">
        <v>0</v>
      </c>
      <c r="L1529" t="n">
        <v>0</v>
      </c>
      <c r="M1529" t="n">
        <v>0</v>
      </c>
      <c r="N1529" t="n">
        <v>0</v>
      </c>
      <c r="O1529" t="n">
        <v>0</v>
      </c>
      <c r="P1529" t="n">
        <v>0</v>
      </c>
      <c r="Q1529" t="n">
        <v>1</v>
      </c>
      <c r="R1529" s="2" t="inlineStr">
        <is>
          <t>Skinnlav</t>
        </is>
      </c>
      <c r="S1529">
        <f>HYPERLINK("https://klasma.github.io/Logging_2305/artfynd/A 30336-2024 artfynd.xlsx", "A 30336-2024")</f>
        <v/>
      </c>
      <c r="T1529">
        <f>HYPERLINK("https://klasma.github.io/Logging_2305/kartor/A 30336-2024 karta.png", "A 30336-2024")</f>
        <v/>
      </c>
      <c r="V1529">
        <f>HYPERLINK("https://klasma.github.io/Logging_2305/klagomål/A 30336-2024 FSC-klagomål.docx", "A 30336-2024")</f>
        <v/>
      </c>
      <c r="W1529">
        <f>HYPERLINK("https://klasma.github.io/Logging_2305/klagomålsmail/A 30336-2024 FSC-klagomål mail.docx", "A 30336-2024")</f>
        <v/>
      </c>
      <c r="X1529">
        <f>HYPERLINK("https://klasma.github.io/Logging_2305/tillsyn/A 30336-2024 tillsynsbegäran.docx", "A 30336-2024")</f>
        <v/>
      </c>
      <c r="Y1529">
        <f>HYPERLINK("https://klasma.github.io/Logging_2305/tillsynsmail/A 30336-2024 tillsynsbegäran mail.docx", "A 30336-2024")</f>
        <v/>
      </c>
    </row>
    <row r="1530" ht="15" customHeight="1">
      <c r="A1530" t="inlineStr">
        <is>
          <t>A 39001-2025</t>
        </is>
      </c>
      <c r="B1530" s="1" t="n">
        <v>45888.344375</v>
      </c>
      <c r="C1530" s="1" t="n">
        <v>46045</v>
      </c>
      <c r="D1530" t="inlineStr">
        <is>
          <t>JÄMTLANDS LÄN</t>
        </is>
      </c>
      <c r="E1530" t="inlineStr">
        <is>
          <t>BERG</t>
        </is>
      </c>
      <c r="F1530" t="inlineStr">
        <is>
          <t>SCA</t>
        </is>
      </c>
      <c r="G1530" t="n">
        <v>4.4</v>
      </c>
      <c r="H1530" t="n">
        <v>0</v>
      </c>
      <c r="I1530" t="n">
        <v>0</v>
      </c>
      <c r="J1530" t="n">
        <v>1</v>
      </c>
      <c r="K1530" t="n">
        <v>0</v>
      </c>
      <c r="L1530" t="n">
        <v>0</v>
      </c>
      <c r="M1530" t="n">
        <v>0</v>
      </c>
      <c r="N1530" t="n">
        <v>0</v>
      </c>
      <c r="O1530" t="n">
        <v>1</v>
      </c>
      <c r="P1530" t="n">
        <v>0</v>
      </c>
      <c r="Q1530" t="n">
        <v>1</v>
      </c>
      <c r="R1530" s="2" t="inlineStr">
        <is>
          <t>Vedflamlav</t>
        </is>
      </c>
      <c r="S1530">
        <f>HYPERLINK("https://klasma.github.io/Logging_2326/artfynd/A 39001-2025 artfynd.xlsx", "A 39001-2025")</f>
        <v/>
      </c>
      <c r="T1530">
        <f>HYPERLINK("https://klasma.github.io/Logging_2326/kartor/A 39001-2025 karta.png", "A 39001-2025")</f>
        <v/>
      </c>
      <c r="V1530">
        <f>HYPERLINK("https://klasma.github.io/Logging_2326/klagomål/A 39001-2025 FSC-klagomål.docx", "A 39001-2025")</f>
        <v/>
      </c>
      <c r="W1530">
        <f>HYPERLINK("https://klasma.github.io/Logging_2326/klagomålsmail/A 39001-2025 FSC-klagomål mail.docx", "A 39001-2025")</f>
        <v/>
      </c>
      <c r="X1530">
        <f>HYPERLINK("https://klasma.github.io/Logging_2326/tillsyn/A 39001-2025 tillsynsbegäran.docx", "A 39001-2025")</f>
        <v/>
      </c>
      <c r="Y1530">
        <f>HYPERLINK("https://klasma.github.io/Logging_2326/tillsynsmail/A 39001-2025 tillsynsbegäran mail.docx", "A 39001-2025")</f>
        <v/>
      </c>
    </row>
    <row r="1531" ht="15" customHeight="1">
      <c r="A1531" t="inlineStr">
        <is>
          <t>A 30085-2025</t>
        </is>
      </c>
      <c r="B1531" s="1" t="n">
        <v>45826.65711805555</v>
      </c>
      <c r="C1531" s="1" t="n">
        <v>46045</v>
      </c>
      <c r="D1531" t="inlineStr">
        <is>
          <t>JÄMTLANDS LÄN</t>
        </is>
      </c>
      <c r="E1531" t="inlineStr">
        <is>
          <t>STRÖMSUND</t>
        </is>
      </c>
      <c r="F1531" t="inlineStr">
        <is>
          <t>Sveaskog</t>
        </is>
      </c>
      <c r="G1531" t="n">
        <v>1.4</v>
      </c>
      <c r="H1531" t="n">
        <v>0</v>
      </c>
      <c r="I1531" t="n">
        <v>0</v>
      </c>
      <c r="J1531" t="n">
        <v>0</v>
      </c>
      <c r="K1531" t="n">
        <v>1</v>
      </c>
      <c r="L1531" t="n">
        <v>0</v>
      </c>
      <c r="M1531" t="n">
        <v>0</v>
      </c>
      <c r="N1531" t="n">
        <v>0</v>
      </c>
      <c r="O1531" t="n">
        <v>1</v>
      </c>
      <c r="P1531" t="n">
        <v>1</v>
      </c>
      <c r="Q1531" t="n">
        <v>1</v>
      </c>
      <c r="R1531" s="2" t="inlineStr">
        <is>
          <t>Blyspindling agg.</t>
        </is>
      </c>
      <c r="S1531">
        <f>HYPERLINK("https://klasma.github.io/Logging_2313/artfynd/A 30085-2025 artfynd.xlsx", "A 30085-2025")</f>
        <v/>
      </c>
      <c r="T1531">
        <f>HYPERLINK("https://klasma.github.io/Logging_2313/kartor/A 30085-2025 karta.png", "A 30085-2025")</f>
        <v/>
      </c>
      <c r="V1531">
        <f>HYPERLINK("https://klasma.github.io/Logging_2313/klagomål/A 30085-2025 FSC-klagomål.docx", "A 30085-2025")</f>
        <v/>
      </c>
      <c r="W1531">
        <f>HYPERLINK("https://klasma.github.io/Logging_2313/klagomålsmail/A 30085-2025 FSC-klagomål mail.docx", "A 30085-2025")</f>
        <v/>
      </c>
      <c r="X1531">
        <f>HYPERLINK("https://klasma.github.io/Logging_2313/tillsyn/A 30085-2025 tillsynsbegäran.docx", "A 30085-2025")</f>
        <v/>
      </c>
      <c r="Y1531">
        <f>HYPERLINK("https://klasma.github.io/Logging_2313/tillsynsmail/A 30085-2025 tillsynsbegäran mail.docx", "A 30085-2025")</f>
        <v/>
      </c>
    </row>
    <row r="1532" ht="15" customHeight="1">
      <c r="A1532" t="inlineStr">
        <is>
          <t>A 725-2023</t>
        </is>
      </c>
      <c r="B1532" s="1" t="n">
        <v>44930</v>
      </c>
      <c r="C1532" s="1" t="n">
        <v>46045</v>
      </c>
      <c r="D1532" t="inlineStr">
        <is>
          <t>JÄMTLANDS LÄN</t>
        </is>
      </c>
      <c r="E1532" t="inlineStr">
        <is>
          <t>BRÄCKE</t>
        </is>
      </c>
      <c r="F1532" t="inlineStr">
        <is>
          <t>SCA</t>
        </is>
      </c>
      <c r="G1532" t="n">
        <v>0.9</v>
      </c>
      <c r="H1532" t="n">
        <v>0</v>
      </c>
      <c r="I1532" t="n">
        <v>0</v>
      </c>
      <c r="J1532" t="n">
        <v>1</v>
      </c>
      <c r="K1532" t="n">
        <v>0</v>
      </c>
      <c r="L1532" t="n">
        <v>0</v>
      </c>
      <c r="M1532" t="n">
        <v>0</v>
      </c>
      <c r="N1532" t="n">
        <v>0</v>
      </c>
      <c r="O1532" t="n">
        <v>1</v>
      </c>
      <c r="P1532" t="n">
        <v>0</v>
      </c>
      <c r="Q1532" t="n">
        <v>1</v>
      </c>
      <c r="R1532" s="2" t="inlineStr">
        <is>
          <t>Kolflarnlav</t>
        </is>
      </c>
      <c r="S1532">
        <f>HYPERLINK("https://klasma.github.io/Logging_2305/artfynd/A 725-2023 artfynd.xlsx", "A 725-2023")</f>
        <v/>
      </c>
      <c r="T1532">
        <f>HYPERLINK("https://klasma.github.io/Logging_2305/kartor/A 725-2023 karta.png", "A 725-2023")</f>
        <v/>
      </c>
      <c r="V1532">
        <f>HYPERLINK("https://klasma.github.io/Logging_2305/klagomål/A 725-2023 FSC-klagomål.docx", "A 725-2023")</f>
        <v/>
      </c>
      <c r="W1532">
        <f>HYPERLINK("https://klasma.github.io/Logging_2305/klagomålsmail/A 725-2023 FSC-klagomål mail.docx", "A 725-2023")</f>
        <v/>
      </c>
      <c r="X1532">
        <f>HYPERLINK("https://klasma.github.io/Logging_2305/tillsyn/A 725-2023 tillsynsbegäran.docx", "A 725-2023")</f>
        <v/>
      </c>
      <c r="Y1532">
        <f>HYPERLINK("https://klasma.github.io/Logging_2305/tillsynsmail/A 725-2023 tillsynsbegäran mail.docx", "A 725-2023")</f>
        <v/>
      </c>
    </row>
    <row r="1533" ht="15" customHeight="1">
      <c r="A1533" t="inlineStr">
        <is>
          <t>A 49524-2023</t>
        </is>
      </c>
      <c r="B1533" s="1" t="n">
        <v>45211</v>
      </c>
      <c r="C1533" s="1" t="n">
        <v>46045</v>
      </c>
      <c r="D1533" t="inlineStr">
        <is>
          <t>JÄMTLANDS LÄN</t>
        </is>
      </c>
      <c r="E1533" t="inlineStr">
        <is>
          <t>STRÖMSUND</t>
        </is>
      </c>
      <c r="F1533" t="inlineStr">
        <is>
          <t>Holmen skog AB</t>
        </is>
      </c>
      <c r="G1533" t="n">
        <v>3.3</v>
      </c>
      <c r="H1533" t="n">
        <v>0</v>
      </c>
      <c r="I1533" t="n">
        <v>0</v>
      </c>
      <c r="J1533" t="n">
        <v>1</v>
      </c>
      <c r="K1533" t="n">
        <v>0</v>
      </c>
      <c r="L1533" t="n">
        <v>0</v>
      </c>
      <c r="M1533" t="n">
        <v>0</v>
      </c>
      <c r="N1533" t="n">
        <v>0</v>
      </c>
      <c r="O1533" t="n">
        <v>1</v>
      </c>
      <c r="P1533" t="n">
        <v>0</v>
      </c>
      <c r="Q1533" t="n">
        <v>1</v>
      </c>
      <c r="R1533" s="2" t="inlineStr">
        <is>
          <t>Kolflarnlav</t>
        </is>
      </c>
      <c r="S1533">
        <f>HYPERLINK("https://klasma.github.io/Logging_2313/artfynd/A 49524-2023 artfynd.xlsx", "A 49524-2023")</f>
        <v/>
      </c>
      <c r="T1533">
        <f>HYPERLINK("https://klasma.github.io/Logging_2313/kartor/A 49524-2023 karta.png", "A 49524-2023")</f>
        <v/>
      </c>
      <c r="V1533">
        <f>HYPERLINK("https://klasma.github.io/Logging_2313/klagomål/A 49524-2023 FSC-klagomål.docx", "A 49524-2023")</f>
        <v/>
      </c>
      <c r="W1533">
        <f>HYPERLINK("https://klasma.github.io/Logging_2313/klagomålsmail/A 49524-2023 FSC-klagomål mail.docx", "A 49524-2023")</f>
        <v/>
      </c>
      <c r="X1533">
        <f>HYPERLINK("https://klasma.github.io/Logging_2313/tillsyn/A 49524-2023 tillsynsbegäran.docx", "A 49524-2023")</f>
        <v/>
      </c>
      <c r="Y1533">
        <f>HYPERLINK("https://klasma.github.io/Logging_2313/tillsynsmail/A 49524-2023 tillsynsbegäran mail.docx", "A 49524-2023")</f>
        <v/>
      </c>
    </row>
    <row r="1534" ht="15" customHeight="1">
      <c r="A1534" t="inlineStr">
        <is>
          <t>A 39085-2025</t>
        </is>
      </c>
      <c r="B1534" s="1" t="n">
        <v>45888</v>
      </c>
      <c r="C1534" s="1" t="n">
        <v>46045</v>
      </c>
      <c r="D1534" t="inlineStr">
        <is>
          <t>JÄMTLANDS LÄN</t>
        </is>
      </c>
      <c r="E1534" t="inlineStr">
        <is>
          <t>BRÄCKE</t>
        </is>
      </c>
      <c r="F1534" t="inlineStr">
        <is>
          <t>SCA</t>
        </is>
      </c>
      <c r="G1534" t="n">
        <v>3.3</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39085-2025 artfynd.xlsx", "A 39085-2025")</f>
        <v/>
      </c>
      <c r="T1534">
        <f>HYPERLINK("https://klasma.github.io/Logging_2305/kartor/A 39085-2025 karta.png", "A 39085-2025")</f>
        <v/>
      </c>
      <c r="V1534">
        <f>HYPERLINK("https://klasma.github.io/Logging_2305/klagomål/A 39085-2025 FSC-klagomål.docx", "A 39085-2025")</f>
        <v/>
      </c>
      <c r="W1534">
        <f>HYPERLINK("https://klasma.github.io/Logging_2305/klagomålsmail/A 39085-2025 FSC-klagomål mail.docx", "A 39085-2025")</f>
        <v/>
      </c>
      <c r="X1534">
        <f>HYPERLINK("https://klasma.github.io/Logging_2305/tillsyn/A 39085-2025 tillsynsbegäran.docx", "A 39085-2025")</f>
        <v/>
      </c>
      <c r="Y1534">
        <f>HYPERLINK("https://klasma.github.io/Logging_2305/tillsynsmail/A 39085-2025 tillsynsbegäran mail.docx", "A 39085-2025")</f>
        <v/>
      </c>
    </row>
    <row r="1535" ht="15" customHeight="1">
      <c r="A1535" t="inlineStr">
        <is>
          <t>A 10736-2025</t>
        </is>
      </c>
      <c r="B1535" s="1" t="n">
        <v>45722.40664351852</v>
      </c>
      <c r="C1535" s="1" t="n">
        <v>46045</v>
      </c>
      <c r="D1535" t="inlineStr">
        <is>
          <t>JÄMTLANDS LÄN</t>
        </is>
      </c>
      <c r="E1535" t="inlineStr">
        <is>
          <t>BRÄCKE</t>
        </is>
      </c>
      <c r="F1535" t="inlineStr">
        <is>
          <t>SCA</t>
        </is>
      </c>
      <c r="G1535" t="n">
        <v>5</v>
      </c>
      <c r="H1535" t="n">
        <v>1</v>
      </c>
      <c r="I1535" t="n">
        <v>0</v>
      </c>
      <c r="J1535" t="n">
        <v>0</v>
      </c>
      <c r="K1535" t="n">
        <v>0</v>
      </c>
      <c r="L1535" t="n">
        <v>0</v>
      </c>
      <c r="M1535" t="n">
        <v>0</v>
      </c>
      <c r="N1535" t="n">
        <v>0</v>
      </c>
      <c r="O1535" t="n">
        <v>0</v>
      </c>
      <c r="P1535" t="n">
        <v>0</v>
      </c>
      <c r="Q1535" t="n">
        <v>1</v>
      </c>
      <c r="R1535" s="2" t="inlineStr">
        <is>
          <t>Järnsparv</t>
        </is>
      </c>
      <c r="S1535">
        <f>HYPERLINK("https://klasma.github.io/Logging_2305/artfynd/A 10736-2025 artfynd.xlsx", "A 10736-2025")</f>
        <v/>
      </c>
      <c r="T1535">
        <f>HYPERLINK("https://klasma.github.io/Logging_2305/kartor/A 10736-2025 karta.png", "A 10736-2025")</f>
        <v/>
      </c>
      <c r="V1535">
        <f>HYPERLINK("https://klasma.github.io/Logging_2305/klagomål/A 10736-2025 FSC-klagomål.docx", "A 10736-2025")</f>
        <v/>
      </c>
      <c r="W1535">
        <f>HYPERLINK("https://klasma.github.io/Logging_2305/klagomålsmail/A 10736-2025 FSC-klagomål mail.docx", "A 10736-2025")</f>
        <v/>
      </c>
      <c r="X1535">
        <f>HYPERLINK("https://klasma.github.io/Logging_2305/tillsyn/A 10736-2025 tillsynsbegäran.docx", "A 10736-2025")</f>
        <v/>
      </c>
      <c r="Y1535">
        <f>HYPERLINK("https://klasma.github.io/Logging_2305/tillsynsmail/A 10736-2025 tillsynsbegäran mail.docx", "A 10736-2025")</f>
        <v/>
      </c>
      <c r="Z1535">
        <f>HYPERLINK("https://klasma.github.io/Logging_2305/fåglar/A 10736-2025 prioriterade fågelarter.docx", "A 10736-2025")</f>
        <v/>
      </c>
    </row>
    <row r="1536" ht="15" customHeight="1">
      <c r="A1536" t="inlineStr">
        <is>
          <t>A 35023-2022</t>
        </is>
      </c>
      <c r="B1536" s="1" t="n">
        <v>44796</v>
      </c>
      <c r="C1536" s="1" t="n">
        <v>46045</v>
      </c>
      <c r="D1536" t="inlineStr">
        <is>
          <t>JÄMTLANDS LÄN</t>
        </is>
      </c>
      <c r="E1536" t="inlineStr">
        <is>
          <t>BRÄCKE</t>
        </is>
      </c>
      <c r="F1536" t="inlineStr">
        <is>
          <t>SCA</t>
        </is>
      </c>
      <c r="G1536" t="n">
        <v>4.8</v>
      </c>
      <c r="H1536" t="n">
        <v>0</v>
      </c>
      <c r="I1536" t="n">
        <v>0</v>
      </c>
      <c r="J1536" t="n">
        <v>1</v>
      </c>
      <c r="K1536" t="n">
        <v>0</v>
      </c>
      <c r="L1536" t="n">
        <v>0</v>
      </c>
      <c r="M1536" t="n">
        <v>0</v>
      </c>
      <c r="N1536" t="n">
        <v>0</v>
      </c>
      <c r="O1536" t="n">
        <v>1</v>
      </c>
      <c r="P1536" t="n">
        <v>0</v>
      </c>
      <c r="Q1536" t="n">
        <v>1</v>
      </c>
      <c r="R1536" s="2" t="inlineStr">
        <is>
          <t>Dvärgbägarlav</t>
        </is>
      </c>
      <c r="S1536">
        <f>HYPERLINK("https://klasma.github.io/Logging_2305/artfynd/A 35023-2022 artfynd.xlsx", "A 35023-2022")</f>
        <v/>
      </c>
      <c r="T1536">
        <f>HYPERLINK("https://klasma.github.io/Logging_2305/kartor/A 35023-2022 karta.png", "A 35023-2022")</f>
        <v/>
      </c>
      <c r="V1536">
        <f>HYPERLINK("https://klasma.github.io/Logging_2305/klagomål/A 35023-2022 FSC-klagomål.docx", "A 35023-2022")</f>
        <v/>
      </c>
      <c r="W1536">
        <f>HYPERLINK("https://klasma.github.io/Logging_2305/klagomålsmail/A 35023-2022 FSC-klagomål mail.docx", "A 35023-2022")</f>
        <v/>
      </c>
      <c r="X1536">
        <f>HYPERLINK("https://klasma.github.io/Logging_2305/tillsyn/A 35023-2022 tillsynsbegäran.docx", "A 35023-2022")</f>
        <v/>
      </c>
      <c r="Y1536">
        <f>HYPERLINK("https://klasma.github.io/Logging_2305/tillsynsmail/A 35023-2022 tillsynsbegäran mail.docx", "A 35023-2022")</f>
        <v/>
      </c>
    </row>
    <row r="1537" ht="15" customHeight="1">
      <c r="A1537" t="inlineStr">
        <is>
          <t>A 3593-2024</t>
        </is>
      </c>
      <c r="B1537" s="1" t="n">
        <v>45320</v>
      </c>
      <c r="C1537" s="1" t="n">
        <v>46045</v>
      </c>
      <c r="D1537" t="inlineStr">
        <is>
          <t>JÄMTLANDS LÄN</t>
        </is>
      </c>
      <c r="E1537" t="inlineStr">
        <is>
          <t>HÄRJEDALEN</t>
        </is>
      </c>
      <c r="G1537" t="n">
        <v>15.1</v>
      </c>
      <c r="H1537" t="n">
        <v>0</v>
      </c>
      <c r="I1537" t="n">
        <v>0</v>
      </c>
      <c r="J1537" t="n">
        <v>1</v>
      </c>
      <c r="K1537" t="n">
        <v>0</v>
      </c>
      <c r="L1537" t="n">
        <v>0</v>
      </c>
      <c r="M1537" t="n">
        <v>0</v>
      </c>
      <c r="N1537" t="n">
        <v>0</v>
      </c>
      <c r="O1537" t="n">
        <v>1</v>
      </c>
      <c r="P1537" t="n">
        <v>0</v>
      </c>
      <c r="Q1537" t="n">
        <v>1</v>
      </c>
      <c r="R1537" s="2" t="inlineStr">
        <is>
          <t>Nordtagging</t>
        </is>
      </c>
      <c r="S1537">
        <f>HYPERLINK("https://klasma.github.io/Logging_2361/artfynd/A 3593-2024 artfynd.xlsx", "A 3593-2024")</f>
        <v/>
      </c>
      <c r="T1537">
        <f>HYPERLINK("https://klasma.github.io/Logging_2361/kartor/A 3593-2024 karta.png", "A 3593-2024")</f>
        <v/>
      </c>
      <c r="V1537">
        <f>HYPERLINK("https://klasma.github.io/Logging_2361/klagomål/A 3593-2024 FSC-klagomål.docx", "A 3593-2024")</f>
        <v/>
      </c>
      <c r="W1537">
        <f>HYPERLINK("https://klasma.github.io/Logging_2361/klagomålsmail/A 3593-2024 FSC-klagomål mail.docx", "A 3593-2024")</f>
        <v/>
      </c>
      <c r="X1537">
        <f>HYPERLINK("https://klasma.github.io/Logging_2361/tillsyn/A 3593-2024 tillsynsbegäran.docx", "A 3593-2024")</f>
        <v/>
      </c>
      <c r="Y1537">
        <f>HYPERLINK("https://klasma.github.io/Logging_2361/tillsynsmail/A 3593-2024 tillsynsbegäran mail.docx", "A 3593-2024")</f>
        <v/>
      </c>
    </row>
    <row r="1538" ht="15" customHeight="1">
      <c r="A1538" t="inlineStr">
        <is>
          <t>A 18767-2023</t>
        </is>
      </c>
      <c r="B1538" s="1" t="n">
        <v>45043</v>
      </c>
      <c r="C1538" s="1" t="n">
        <v>46045</v>
      </c>
      <c r="D1538" t="inlineStr">
        <is>
          <t>JÄMTLANDS LÄN</t>
        </is>
      </c>
      <c r="E1538" t="inlineStr">
        <is>
          <t>STRÖMSUND</t>
        </is>
      </c>
      <c r="F1538" t="inlineStr">
        <is>
          <t>SCA</t>
        </is>
      </c>
      <c r="G1538" t="n">
        <v>7.5</v>
      </c>
      <c r="H1538" t="n">
        <v>0</v>
      </c>
      <c r="I1538" t="n">
        <v>0</v>
      </c>
      <c r="J1538" t="n">
        <v>1</v>
      </c>
      <c r="K1538" t="n">
        <v>0</v>
      </c>
      <c r="L1538" t="n">
        <v>0</v>
      </c>
      <c r="M1538" t="n">
        <v>0</v>
      </c>
      <c r="N1538" t="n">
        <v>0</v>
      </c>
      <c r="O1538" t="n">
        <v>1</v>
      </c>
      <c r="P1538" t="n">
        <v>0</v>
      </c>
      <c r="Q1538" t="n">
        <v>1</v>
      </c>
      <c r="R1538" s="2" t="inlineStr">
        <is>
          <t>Vedtrappmossa</t>
        </is>
      </c>
      <c r="S1538">
        <f>HYPERLINK("https://klasma.github.io/Logging_2313/artfynd/A 18767-2023 artfynd.xlsx", "A 18767-2023")</f>
        <v/>
      </c>
      <c r="T1538">
        <f>HYPERLINK("https://klasma.github.io/Logging_2313/kartor/A 18767-2023 karta.png", "A 18767-2023")</f>
        <v/>
      </c>
      <c r="V1538">
        <f>HYPERLINK("https://klasma.github.io/Logging_2313/klagomål/A 18767-2023 FSC-klagomål.docx", "A 18767-2023")</f>
        <v/>
      </c>
      <c r="W1538">
        <f>HYPERLINK("https://klasma.github.io/Logging_2313/klagomålsmail/A 18767-2023 FSC-klagomål mail.docx", "A 18767-2023")</f>
        <v/>
      </c>
      <c r="X1538">
        <f>HYPERLINK("https://klasma.github.io/Logging_2313/tillsyn/A 18767-2023 tillsynsbegäran.docx", "A 18767-2023")</f>
        <v/>
      </c>
      <c r="Y1538">
        <f>HYPERLINK("https://klasma.github.io/Logging_2313/tillsynsmail/A 18767-2023 tillsynsbegäran mail.docx", "A 18767-2023")</f>
        <v/>
      </c>
    </row>
    <row r="1539" ht="15" customHeight="1">
      <c r="A1539" t="inlineStr">
        <is>
          <t>A 39362-2025</t>
        </is>
      </c>
      <c r="B1539" s="1" t="n">
        <v>45889.56214120371</v>
      </c>
      <c r="C1539" s="1" t="n">
        <v>46045</v>
      </c>
      <c r="D1539" t="inlineStr">
        <is>
          <t>JÄMTLANDS LÄN</t>
        </is>
      </c>
      <c r="E1539" t="inlineStr">
        <is>
          <t>HÄRJEDALEN</t>
        </is>
      </c>
      <c r="F1539" t="inlineStr">
        <is>
          <t>Sveaskog</t>
        </is>
      </c>
      <c r="G1539" t="n">
        <v>3.1</v>
      </c>
      <c r="H1539" t="n">
        <v>0</v>
      </c>
      <c r="I1539" t="n">
        <v>1</v>
      </c>
      <c r="J1539" t="n">
        <v>0</v>
      </c>
      <c r="K1539" t="n">
        <v>0</v>
      </c>
      <c r="L1539" t="n">
        <v>0</v>
      </c>
      <c r="M1539" t="n">
        <v>0</v>
      </c>
      <c r="N1539" t="n">
        <v>0</v>
      </c>
      <c r="O1539" t="n">
        <v>0</v>
      </c>
      <c r="P1539" t="n">
        <v>0</v>
      </c>
      <c r="Q1539" t="n">
        <v>1</v>
      </c>
      <c r="R1539" s="2" t="inlineStr">
        <is>
          <t>Dropptaggsvamp</t>
        </is>
      </c>
      <c r="S1539">
        <f>HYPERLINK("https://klasma.github.io/Logging_2361/artfynd/A 39362-2025 artfynd.xlsx", "A 39362-2025")</f>
        <v/>
      </c>
      <c r="T1539">
        <f>HYPERLINK("https://klasma.github.io/Logging_2361/kartor/A 39362-2025 karta.png", "A 39362-2025")</f>
        <v/>
      </c>
      <c r="V1539">
        <f>HYPERLINK("https://klasma.github.io/Logging_2361/klagomål/A 39362-2025 FSC-klagomål.docx", "A 39362-2025")</f>
        <v/>
      </c>
      <c r="W1539">
        <f>HYPERLINK("https://klasma.github.io/Logging_2361/klagomålsmail/A 39362-2025 FSC-klagomål mail.docx", "A 39362-2025")</f>
        <v/>
      </c>
      <c r="X1539">
        <f>HYPERLINK("https://klasma.github.io/Logging_2361/tillsyn/A 39362-2025 tillsynsbegäran.docx", "A 39362-2025")</f>
        <v/>
      </c>
      <c r="Y1539">
        <f>HYPERLINK("https://klasma.github.io/Logging_2361/tillsynsmail/A 39362-2025 tillsynsbegäran mail.docx", "A 39362-2025")</f>
        <v/>
      </c>
    </row>
    <row r="1540" ht="15" customHeight="1">
      <c r="A1540" t="inlineStr">
        <is>
          <t>A 55194-2022</t>
        </is>
      </c>
      <c r="B1540" s="1" t="n">
        <v>44886</v>
      </c>
      <c r="C1540" s="1" t="n">
        <v>46045</v>
      </c>
      <c r="D1540" t="inlineStr">
        <is>
          <t>JÄMTLANDS LÄN</t>
        </is>
      </c>
      <c r="E1540" t="inlineStr">
        <is>
          <t>ÅRE</t>
        </is>
      </c>
      <c r="F1540" t="inlineStr">
        <is>
          <t>Övriga Aktiebolag</t>
        </is>
      </c>
      <c r="G1540" t="n">
        <v>1.7</v>
      </c>
      <c r="H1540" t="n">
        <v>0</v>
      </c>
      <c r="I1540" t="n">
        <v>0</v>
      </c>
      <c r="J1540" t="n">
        <v>1</v>
      </c>
      <c r="K1540" t="n">
        <v>0</v>
      </c>
      <c r="L1540" t="n">
        <v>0</v>
      </c>
      <c r="M1540" t="n">
        <v>0</v>
      </c>
      <c r="N1540" t="n">
        <v>0</v>
      </c>
      <c r="O1540" t="n">
        <v>1</v>
      </c>
      <c r="P1540" t="n">
        <v>0</v>
      </c>
      <c r="Q1540" t="n">
        <v>1</v>
      </c>
      <c r="R1540" s="2" t="inlineStr">
        <is>
          <t>Vitskaftad svartspik</t>
        </is>
      </c>
      <c r="S1540">
        <f>HYPERLINK("https://klasma.github.io/Logging_2321/artfynd/A 55194-2022 artfynd.xlsx", "A 55194-2022")</f>
        <v/>
      </c>
      <c r="T1540">
        <f>HYPERLINK("https://klasma.github.io/Logging_2321/kartor/A 55194-2022 karta.png", "A 55194-2022")</f>
        <v/>
      </c>
      <c r="V1540">
        <f>HYPERLINK("https://klasma.github.io/Logging_2321/klagomål/A 55194-2022 FSC-klagomål.docx", "A 55194-2022")</f>
        <v/>
      </c>
      <c r="W1540">
        <f>HYPERLINK("https://klasma.github.io/Logging_2321/klagomålsmail/A 55194-2022 FSC-klagomål mail.docx", "A 55194-2022")</f>
        <v/>
      </c>
      <c r="X1540">
        <f>HYPERLINK("https://klasma.github.io/Logging_2321/tillsyn/A 55194-2022 tillsynsbegäran.docx", "A 55194-2022")</f>
        <v/>
      </c>
      <c r="Y1540">
        <f>HYPERLINK("https://klasma.github.io/Logging_2321/tillsynsmail/A 55194-2022 tillsynsbegäran mail.docx", "A 55194-2022")</f>
        <v/>
      </c>
    </row>
    <row r="1541" ht="15" customHeight="1">
      <c r="A1541" t="inlineStr">
        <is>
          <t>A 49374-2024</t>
        </is>
      </c>
      <c r="B1541" s="1" t="n">
        <v>45595.64209490741</v>
      </c>
      <c r="C1541" s="1" t="n">
        <v>46045</v>
      </c>
      <c r="D1541" t="inlineStr">
        <is>
          <t>JÄMTLANDS LÄN</t>
        </is>
      </c>
      <c r="E1541" t="inlineStr">
        <is>
          <t>STRÖMSUND</t>
        </is>
      </c>
      <c r="F1541" t="inlineStr">
        <is>
          <t>SCA</t>
        </is>
      </c>
      <c r="G1541" t="n">
        <v>1.5</v>
      </c>
      <c r="H1541" t="n">
        <v>0</v>
      </c>
      <c r="I1541" t="n">
        <v>0</v>
      </c>
      <c r="J1541" t="n">
        <v>1</v>
      </c>
      <c r="K1541" t="n">
        <v>0</v>
      </c>
      <c r="L1541" t="n">
        <v>0</v>
      </c>
      <c r="M1541" t="n">
        <v>0</v>
      </c>
      <c r="N1541" t="n">
        <v>0</v>
      </c>
      <c r="O1541" t="n">
        <v>1</v>
      </c>
      <c r="P1541" t="n">
        <v>0</v>
      </c>
      <c r="Q1541" t="n">
        <v>1</v>
      </c>
      <c r="R1541" s="2" t="inlineStr">
        <is>
          <t>Veckticka</t>
        </is>
      </c>
      <c r="S1541">
        <f>HYPERLINK("https://klasma.github.io/Logging_2313/artfynd/A 49374-2024 artfynd.xlsx", "A 49374-2024")</f>
        <v/>
      </c>
      <c r="T1541">
        <f>HYPERLINK("https://klasma.github.io/Logging_2313/kartor/A 49374-2024 karta.png", "A 49374-2024")</f>
        <v/>
      </c>
      <c r="V1541">
        <f>HYPERLINK("https://klasma.github.io/Logging_2313/klagomål/A 49374-2024 FSC-klagomål.docx", "A 49374-2024")</f>
        <v/>
      </c>
      <c r="W1541">
        <f>HYPERLINK("https://klasma.github.io/Logging_2313/klagomålsmail/A 49374-2024 FSC-klagomål mail.docx", "A 49374-2024")</f>
        <v/>
      </c>
      <c r="X1541">
        <f>HYPERLINK("https://klasma.github.io/Logging_2313/tillsyn/A 49374-2024 tillsynsbegäran.docx", "A 49374-2024")</f>
        <v/>
      </c>
      <c r="Y1541">
        <f>HYPERLINK("https://klasma.github.io/Logging_2313/tillsynsmail/A 49374-2024 tillsynsbegäran mail.docx", "A 49374-2024")</f>
        <v/>
      </c>
    </row>
    <row r="1542" ht="15" customHeight="1">
      <c r="A1542" t="inlineStr">
        <is>
          <t>A 56-2024</t>
        </is>
      </c>
      <c r="B1542" s="1" t="n">
        <v>45293</v>
      </c>
      <c r="C1542" s="1" t="n">
        <v>46045</v>
      </c>
      <c r="D1542" t="inlineStr">
        <is>
          <t>JÄMTLANDS LÄN</t>
        </is>
      </c>
      <c r="E1542" t="inlineStr">
        <is>
          <t>STRÖMSUND</t>
        </is>
      </c>
      <c r="G1542" t="n">
        <v>4.9</v>
      </c>
      <c r="H1542" t="n">
        <v>0</v>
      </c>
      <c r="I1542" t="n">
        <v>0</v>
      </c>
      <c r="J1542" t="n">
        <v>0</v>
      </c>
      <c r="K1542" t="n">
        <v>1</v>
      </c>
      <c r="L1542" t="n">
        <v>0</v>
      </c>
      <c r="M1542" t="n">
        <v>0</v>
      </c>
      <c r="N1542" t="n">
        <v>0</v>
      </c>
      <c r="O1542" t="n">
        <v>1</v>
      </c>
      <c r="P1542" t="n">
        <v>1</v>
      </c>
      <c r="Q1542" t="n">
        <v>1</v>
      </c>
      <c r="R1542" s="2" t="inlineStr">
        <is>
          <t>Liten sotlav</t>
        </is>
      </c>
      <c r="S1542">
        <f>HYPERLINK("https://klasma.github.io/Logging_2313/artfynd/A 56-2024 artfynd.xlsx", "A 56-2024")</f>
        <v/>
      </c>
      <c r="T1542">
        <f>HYPERLINK("https://klasma.github.io/Logging_2313/kartor/A 56-2024 karta.png", "A 56-2024")</f>
        <v/>
      </c>
      <c r="V1542">
        <f>HYPERLINK("https://klasma.github.io/Logging_2313/klagomål/A 56-2024 FSC-klagomål.docx", "A 56-2024")</f>
        <v/>
      </c>
      <c r="W1542">
        <f>HYPERLINK("https://klasma.github.io/Logging_2313/klagomålsmail/A 56-2024 FSC-klagomål mail.docx", "A 56-2024")</f>
        <v/>
      </c>
      <c r="X1542">
        <f>HYPERLINK("https://klasma.github.io/Logging_2313/tillsyn/A 56-2024 tillsynsbegäran.docx", "A 56-2024")</f>
        <v/>
      </c>
      <c r="Y1542">
        <f>HYPERLINK("https://klasma.github.io/Logging_2313/tillsynsmail/A 56-2024 tillsynsbegäran mail.docx", "A 56-2024")</f>
        <v/>
      </c>
    </row>
    <row r="1543" ht="15" customHeight="1">
      <c r="A1543" t="inlineStr">
        <is>
          <t>A 58805-2024</t>
        </is>
      </c>
      <c r="B1543" s="1" t="n">
        <v>45635</v>
      </c>
      <c r="C1543" s="1" t="n">
        <v>46045</v>
      </c>
      <c r="D1543" t="inlineStr">
        <is>
          <t>JÄMTLANDS LÄN</t>
        </is>
      </c>
      <c r="E1543" t="inlineStr">
        <is>
          <t>KROKOM</t>
        </is>
      </c>
      <c r="G1543" t="n">
        <v>4.7</v>
      </c>
      <c r="H1543" t="n">
        <v>1</v>
      </c>
      <c r="I1543" t="n">
        <v>0</v>
      </c>
      <c r="J1543" t="n">
        <v>0</v>
      </c>
      <c r="K1543" t="n">
        <v>0</v>
      </c>
      <c r="L1543" t="n">
        <v>0</v>
      </c>
      <c r="M1543" t="n">
        <v>0</v>
      </c>
      <c r="N1543" t="n">
        <v>0</v>
      </c>
      <c r="O1543" t="n">
        <v>0</v>
      </c>
      <c r="P1543" t="n">
        <v>0</v>
      </c>
      <c r="Q1543" t="n">
        <v>1</v>
      </c>
      <c r="R1543" s="2" t="inlineStr">
        <is>
          <t>Brudsporre</t>
        </is>
      </c>
      <c r="S1543">
        <f>HYPERLINK("https://klasma.github.io/Logging_2309/artfynd/A 58805-2024 artfynd.xlsx", "A 58805-2024")</f>
        <v/>
      </c>
      <c r="T1543">
        <f>HYPERLINK("https://klasma.github.io/Logging_2309/kartor/A 58805-2024 karta.png", "A 58805-2024")</f>
        <v/>
      </c>
      <c r="V1543">
        <f>HYPERLINK("https://klasma.github.io/Logging_2309/klagomål/A 58805-2024 FSC-klagomål.docx", "A 58805-2024")</f>
        <v/>
      </c>
      <c r="W1543">
        <f>HYPERLINK("https://klasma.github.io/Logging_2309/klagomålsmail/A 58805-2024 FSC-klagomål mail.docx", "A 58805-2024")</f>
        <v/>
      </c>
      <c r="X1543">
        <f>HYPERLINK("https://klasma.github.io/Logging_2309/tillsyn/A 58805-2024 tillsynsbegäran.docx", "A 58805-2024")</f>
        <v/>
      </c>
      <c r="Y1543">
        <f>HYPERLINK("https://klasma.github.io/Logging_2309/tillsynsmail/A 58805-2024 tillsynsbegäran mail.docx", "A 58805-2024")</f>
        <v/>
      </c>
    </row>
    <row r="1544" ht="15" customHeight="1">
      <c r="A1544" t="inlineStr">
        <is>
          <t>A 56628-2023</t>
        </is>
      </c>
      <c r="B1544" s="1" t="n">
        <v>45243</v>
      </c>
      <c r="C1544" s="1" t="n">
        <v>46045</v>
      </c>
      <c r="D1544" t="inlineStr">
        <is>
          <t>JÄMTLANDS LÄN</t>
        </is>
      </c>
      <c r="E1544" t="inlineStr">
        <is>
          <t>KROKOM</t>
        </is>
      </c>
      <c r="G1544" t="n">
        <v>17.8</v>
      </c>
      <c r="H1544" t="n">
        <v>1</v>
      </c>
      <c r="I1544" t="n">
        <v>0</v>
      </c>
      <c r="J1544" t="n">
        <v>0</v>
      </c>
      <c r="K1544" t="n">
        <v>0</v>
      </c>
      <c r="L1544" t="n">
        <v>0</v>
      </c>
      <c r="M1544" t="n">
        <v>0</v>
      </c>
      <c r="N1544" t="n">
        <v>0</v>
      </c>
      <c r="O1544" t="n">
        <v>0</v>
      </c>
      <c r="P1544" t="n">
        <v>0</v>
      </c>
      <c r="Q1544" t="n">
        <v>1</v>
      </c>
      <c r="R1544" s="2" t="inlineStr">
        <is>
          <t>Blåsippa</t>
        </is>
      </c>
      <c r="S1544">
        <f>HYPERLINK("https://klasma.github.io/Logging_2309/artfynd/A 56628-2023 artfynd.xlsx", "A 56628-2023")</f>
        <v/>
      </c>
      <c r="T1544">
        <f>HYPERLINK("https://klasma.github.io/Logging_2309/kartor/A 56628-2023 karta.png", "A 56628-2023")</f>
        <v/>
      </c>
      <c r="V1544">
        <f>HYPERLINK("https://klasma.github.io/Logging_2309/klagomål/A 56628-2023 FSC-klagomål.docx", "A 56628-2023")</f>
        <v/>
      </c>
      <c r="W1544">
        <f>HYPERLINK("https://klasma.github.io/Logging_2309/klagomålsmail/A 56628-2023 FSC-klagomål mail.docx", "A 56628-2023")</f>
        <v/>
      </c>
      <c r="X1544">
        <f>HYPERLINK("https://klasma.github.io/Logging_2309/tillsyn/A 56628-2023 tillsynsbegäran.docx", "A 56628-2023")</f>
        <v/>
      </c>
      <c r="Y1544">
        <f>HYPERLINK("https://klasma.github.io/Logging_2309/tillsynsmail/A 56628-2023 tillsynsbegäran mail.docx", "A 56628-2023")</f>
        <v/>
      </c>
    </row>
    <row r="1545" ht="15" customHeight="1">
      <c r="A1545" t="inlineStr">
        <is>
          <t>A 2466-2025</t>
        </is>
      </c>
      <c r="B1545" s="1" t="n">
        <v>45674.46958333333</v>
      </c>
      <c r="C1545" s="1" t="n">
        <v>46045</v>
      </c>
      <c r="D1545" t="inlineStr">
        <is>
          <t>JÄMTLANDS LÄN</t>
        </is>
      </c>
      <c r="E1545" t="inlineStr">
        <is>
          <t>BRÄCKE</t>
        </is>
      </c>
      <c r="F1545" t="inlineStr">
        <is>
          <t>SCA</t>
        </is>
      </c>
      <c r="G1545" t="n">
        <v>2.4</v>
      </c>
      <c r="H1545" t="n">
        <v>0</v>
      </c>
      <c r="I1545" t="n">
        <v>0</v>
      </c>
      <c r="J1545" t="n">
        <v>1</v>
      </c>
      <c r="K1545" t="n">
        <v>0</v>
      </c>
      <c r="L1545" t="n">
        <v>0</v>
      </c>
      <c r="M1545" t="n">
        <v>0</v>
      </c>
      <c r="N1545" t="n">
        <v>0</v>
      </c>
      <c r="O1545" t="n">
        <v>1</v>
      </c>
      <c r="P1545" t="n">
        <v>0</v>
      </c>
      <c r="Q1545" t="n">
        <v>1</v>
      </c>
      <c r="R1545" s="2" t="inlineStr">
        <is>
          <t>Lunglav</t>
        </is>
      </c>
      <c r="S1545">
        <f>HYPERLINK("https://klasma.github.io/Logging_2305/artfynd/A 2466-2025 artfynd.xlsx", "A 2466-2025")</f>
        <v/>
      </c>
      <c r="T1545">
        <f>HYPERLINK("https://klasma.github.io/Logging_2305/kartor/A 2466-2025 karta.png", "A 2466-2025")</f>
        <v/>
      </c>
      <c r="V1545">
        <f>HYPERLINK("https://klasma.github.io/Logging_2305/klagomål/A 2466-2025 FSC-klagomål.docx", "A 2466-2025")</f>
        <v/>
      </c>
      <c r="W1545">
        <f>HYPERLINK("https://klasma.github.io/Logging_2305/klagomålsmail/A 2466-2025 FSC-klagomål mail.docx", "A 2466-2025")</f>
        <v/>
      </c>
      <c r="X1545">
        <f>HYPERLINK("https://klasma.github.io/Logging_2305/tillsyn/A 2466-2025 tillsynsbegäran.docx", "A 2466-2025")</f>
        <v/>
      </c>
      <c r="Y1545">
        <f>HYPERLINK("https://klasma.github.io/Logging_2305/tillsynsmail/A 2466-2025 tillsynsbegäran mail.docx", "A 2466-2025")</f>
        <v/>
      </c>
    </row>
    <row r="1546" ht="15" customHeight="1">
      <c r="A1546" t="inlineStr">
        <is>
          <t>A 7929-2023</t>
        </is>
      </c>
      <c r="B1546" s="1" t="n">
        <v>44970</v>
      </c>
      <c r="C1546" s="1" t="n">
        <v>46045</v>
      </c>
      <c r="D1546" t="inlineStr">
        <is>
          <t>JÄMTLANDS LÄN</t>
        </is>
      </c>
      <c r="E1546" t="inlineStr">
        <is>
          <t>STRÖMSUND</t>
        </is>
      </c>
      <c r="F1546" t="inlineStr">
        <is>
          <t>Kommuner</t>
        </is>
      </c>
      <c r="G1546" t="n">
        <v>2.2</v>
      </c>
      <c r="H1546" t="n">
        <v>0</v>
      </c>
      <c r="I1546" t="n">
        <v>1</v>
      </c>
      <c r="J1546" t="n">
        <v>0</v>
      </c>
      <c r="K1546" t="n">
        <v>0</v>
      </c>
      <c r="L1546" t="n">
        <v>0</v>
      </c>
      <c r="M1546" t="n">
        <v>0</v>
      </c>
      <c r="N1546" t="n">
        <v>0</v>
      </c>
      <c r="O1546" t="n">
        <v>0</v>
      </c>
      <c r="P1546" t="n">
        <v>0</v>
      </c>
      <c r="Q1546" t="n">
        <v>1</v>
      </c>
      <c r="R1546" s="2" t="inlineStr">
        <is>
          <t>Norrlandslav</t>
        </is>
      </c>
      <c r="S1546">
        <f>HYPERLINK("https://klasma.github.io/Logging_2313/artfynd/A 7929-2023 artfynd.xlsx", "A 7929-2023")</f>
        <v/>
      </c>
      <c r="T1546">
        <f>HYPERLINK("https://klasma.github.io/Logging_2313/kartor/A 7929-2023 karta.png", "A 7929-2023")</f>
        <v/>
      </c>
      <c r="V1546">
        <f>HYPERLINK("https://klasma.github.io/Logging_2313/klagomål/A 7929-2023 FSC-klagomål.docx", "A 7929-2023")</f>
        <v/>
      </c>
      <c r="W1546">
        <f>HYPERLINK("https://klasma.github.io/Logging_2313/klagomålsmail/A 7929-2023 FSC-klagomål mail.docx", "A 7929-2023")</f>
        <v/>
      </c>
      <c r="X1546">
        <f>HYPERLINK("https://klasma.github.io/Logging_2313/tillsyn/A 7929-2023 tillsynsbegäran.docx", "A 7929-2023")</f>
        <v/>
      </c>
      <c r="Y1546">
        <f>HYPERLINK("https://klasma.github.io/Logging_2313/tillsynsmail/A 7929-2023 tillsynsbegäran mail.docx", "A 7929-2023")</f>
        <v/>
      </c>
    </row>
    <row r="1547" ht="15" customHeight="1">
      <c r="A1547" t="inlineStr">
        <is>
          <t>A 29546-2024</t>
        </is>
      </c>
      <c r="B1547" s="1" t="n">
        <v>45484.50435185185</v>
      </c>
      <c r="C1547" s="1" t="n">
        <v>46045</v>
      </c>
      <c r="D1547" t="inlineStr">
        <is>
          <t>JÄMTLANDS LÄN</t>
        </is>
      </c>
      <c r="E1547" t="inlineStr">
        <is>
          <t>BRÄCKE</t>
        </is>
      </c>
      <c r="F1547" t="inlineStr">
        <is>
          <t>Övriga Aktiebolag</t>
        </is>
      </c>
      <c r="G1547" t="n">
        <v>3.1</v>
      </c>
      <c r="H1547" t="n">
        <v>1</v>
      </c>
      <c r="I1547" t="n">
        <v>0</v>
      </c>
      <c r="J1547" t="n">
        <v>1</v>
      </c>
      <c r="K1547" t="n">
        <v>0</v>
      </c>
      <c r="L1547" t="n">
        <v>0</v>
      </c>
      <c r="M1547" t="n">
        <v>0</v>
      </c>
      <c r="N1547" t="n">
        <v>0</v>
      </c>
      <c r="O1547" t="n">
        <v>1</v>
      </c>
      <c r="P1547" t="n">
        <v>0</v>
      </c>
      <c r="Q1547" t="n">
        <v>1</v>
      </c>
      <c r="R1547" s="2" t="inlineStr">
        <is>
          <t>Spillkråka</t>
        </is>
      </c>
      <c r="S1547">
        <f>HYPERLINK("https://klasma.github.io/Logging_2305/artfynd/A 29546-2024 artfynd.xlsx", "A 29546-2024")</f>
        <v/>
      </c>
      <c r="T1547">
        <f>HYPERLINK("https://klasma.github.io/Logging_2305/kartor/A 29546-2024 karta.png", "A 29546-2024")</f>
        <v/>
      </c>
      <c r="V1547">
        <f>HYPERLINK("https://klasma.github.io/Logging_2305/klagomål/A 29546-2024 FSC-klagomål.docx", "A 29546-2024")</f>
        <v/>
      </c>
      <c r="W1547">
        <f>HYPERLINK("https://klasma.github.io/Logging_2305/klagomålsmail/A 29546-2024 FSC-klagomål mail.docx", "A 29546-2024")</f>
        <v/>
      </c>
      <c r="X1547">
        <f>HYPERLINK("https://klasma.github.io/Logging_2305/tillsyn/A 29546-2024 tillsynsbegäran.docx", "A 29546-2024")</f>
        <v/>
      </c>
      <c r="Y1547">
        <f>HYPERLINK("https://klasma.github.io/Logging_2305/tillsynsmail/A 29546-2024 tillsynsbegäran mail.docx", "A 29546-2024")</f>
        <v/>
      </c>
      <c r="Z1547">
        <f>HYPERLINK("https://klasma.github.io/Logging_2305/fåglar/A 29546-2024 prioriterade fågelarter.docx", "A 29546-2024")</f>
        <v/>
      </c>
    </row>
    <row r="1548" ht="15" customHeight="1">
      <c r="A1548" t="inlineStr">
        <is>
          <t>A 40305-2025</t>
        </is>
      </c>
      <c r="B1548" s="1" t="n">
        <v>45895.40702546296</v>
      </c>
      <c r="C1548" s="1" t="n">
        <v>46045</v>
      </c>
      <c r="D1548" t="inlineStr">
        <is>
          <t>JÄMTLANDS LÄN</t>
        </is>
      </c>
      <c r="E1548" t="inlineStr">
        <is>
          <t>STRÖMSUND</t>
        </is>
      </c>
      <c r="F1548" t="inlineStr">
        <is>
          <t>SCA</t>
        </is>
      </c>
      <c r="G1548" t="n">
        <v>4.5</v>
      </c>
      <c r="H1548" t="n">
        <v>0</v>
      </c>
      <c r="I1548" t="n">
        <v>0</v>
      </c>
      <c r="J1548" t="n">
        <v>1</v>
      </c>
      <c r="K1548" t="n">
        <v>0</v>
      </c>
      <c r="L1548" t="n">
        <v>0</v>
      </c>
      <c r="M1548" t="n">
        <v>0</v>
      </c>
      <c r="N1548" t="n">
        <v>0</v>
      </c>
      <c r="O1548" t="n">
        <v>1</v>
      </c>
      <c r="P1548" t="n">
        <v>0</v>
      </c>
      <c r="Q1548" t="n">
        <v>1</v>
      </c>
      <c r="R1548" s="2" t="inlineStr">
        <is>
          <t>Granticka</t>
        </is>
      </c>
      <c r="S1548">
        <f>HYPERLINK("https://klasma.github.io/Logging_2313/artfynd/A 40305-2025 artfynd.xlsx", "A 40305-2025")</f>
        <v/>
      </c>
      <c r="T1548">
        <f>HYPERLINK("https://klasma.github.io/Logging_2313/kartor/A 40305-2025 karta.png", "A 40305-2025")</f>
        <v/>
      </c>
      <c r="V1548">
        <f>HYPERLINK("https://klasma.github.io/Logging_2313/klagomål/A 40305-2025 FSC-klagomål.docx", "A 40305-2025")</f>
        <v/>
      </c>
      <c r="W1548">
        <f>HYPERLINK("https://klasma.github.io/Logging_2313/klagomålsmail/A 40305-2025 FSC-klagomål mail.docx", "A 40305-2025")</f>
        <v/>
      </c>
      <c r="X1548">
        <f>HYPERLINK("https://klasma.github.io/Logging_2313/tillsyn/A 40305-2025 tillsynsbegäran.docx", "A 40305-2025")</f>
        <v/>
      </c>
      <c r="Y1548">
        <f>HYPERLINK("https://klasma.github.io/Logging_2313/tillsynsmail/A 40305-2025 tillsynsbegäran mail.docx", "A 40305-2025")</f>
        <v/>
      </c>
    </row>
    <row r="1549" ht="15" customHeight="1">
      <c r="A1549" t="inlineStr">
        <is>
          <t>A 23930-2024</t>
        </is>
      </c>
      <c r="B1549" s="1" t="n">
        <v>45455.96184027778</v>
      </c>
      <c r="C1549" s="1" t="n">
        <v>46045</v>
      </c>
      <c r="D1549" t="inlineStr">
        <is>
          <t>JÄMTLANDS LÄN</t>
        </is>
      </c>
      <c r="E1549" t="inlineStr">
        <is>
          <t>RAGUNDA</t>
        </is>
      </c>
      <c r="F1549" t="inlineStr">
        <is>
          <t>SCA</t>
        </is>
      </c>
      <c r="G1549" t="n">
        <v>4.2</v>
      </c>
      <c r="H1549" t="n">
        <v>1</v>
      </c>
      <c r="I1549" t="n">
        <v>1</v>
      </c>
      <c r="J1549" t="n">
        <v>0</v>
      </c>
      <c r="K1549" t="n">
        <v>0</v>
      </c>
      <c r="L1549" t="n">
        <v>0</v>
      </c>
      <c r="M1549" t="n">
        <v>0</v>
      </c>
      <c r="N1549" t="n">
        <v>0</v>
      </c>
      <c r="O1549" t="n">
        <v>0</v>
      </c>
      <c r="P1549" t="n">
        <v>0</v>
      </c>
      <c r="Q1549" t="n">
        <v>1</v>
      </c>
      <c r="R1549" s="2" t="inlineStr">
        <is>
          <t>Guckusko</t>
        </is>
      </c>
      <c r="S1549">
        <f>HYPERLINK("https://klasma.github.io/Logging_2303/artfynd/A 23930-2024 artfynd.xlsx", "A 23930-2024")</f>
        <v/>
      </c>
      <c r="T1549">
        <f>HYPERLINK("https://klasma.github.io/Logging_2303/kartor/A 23930-2024 karta.png", "A 23930-2024")</f>
        <v/>
      </c>
      <c r="V1549">
        <f>HYPERLINK("https://klasma.github.io/Logging_2303/klagomål/A 23930-2024 FSC-klagomål.docx", "A 23930-2024")</f>
        <v/>
      </c>
      <c r="W1549">
        <f>HYPERLINK("https://klasma.github.io/Logging_2303/klagomålsmail/A 23930-2024 FSC-klagomål mail.docx", "A 23930-2024")</f>
        <v/>
      </c>
      <c r="X1549">
        <f>HYPERLINK("https://klasma.github.io/Logging_2303/tillsyn/A 23930-2024 tillsynsbegäran.docx", "A 23930-2024")</f>
        <v/>
      </c>
      <c r="Y1549">
        <f>HYPERLINK("https://klasma.github.io/Logging_2303/tillsynsmail/A 23930-2024 tillsynsbegäran mail.docx", "A 23930-2024")</f>
        <v/>
      </c>
    </row>
    <row r="1550" ht="15" customHeight="1">
      <c r="A1550" t="inlineStr">
        <is>
          <t>A 40835-2025</t>
        </is>
      </c>
      <c r="B1550" s="1" t="n">
        <v>45897.5114699074</v>
      </c>
      <c r="C1550" s="1" t="n">
        <v>46045</v>
      </c>
      <c r="D1550" t="inlineStr">
        <is>
          <t>JÄMTLANDS LÄN</t>
        </is>
      </c>
      <c r="E1550" t="inlineStr">
        <is>
          <t>BRÄCKE</t>
        </is>
      </c>
      <c r="F1550" t="inlineStr">
        <is>
          <t>SCA</t>
        </is>
      </c>
      <c r="G1550" t="n">
        <v>1.3</v>
      </c>
      <c r="H1550" t="n">
        <v>0</v>
      </c>
      <c r="I1550" t="n">
        <v>0</v>
      </c>
      <c r="J1550" t="n">
        <v>1</v>
      </c>
      <c r="K1550" t="n">
        <v>0</v>
      </c>
      <c r="L1550" t="n">
        <v>0</v>
      </c>
      <c r="M1550" t="n">
        <v>0</v>
      </c>
      <c r="N1550" t="n">
        <v>0</v>
      </c>
      <c r="O1550" t="n">
        <v>1</v>
      </c>
      <c r="P1550" t="n">
        <v>0</v>
      </c>
      <c r="Q1550" t="n">
        <v>1</v>
      </c>
      <c r="R1550" s="2" t="inlineStr">
        <is>
          <t>Kolflarnlav</t>
        </is>
      </c>
      <c r="S1550">
        <f>HYPERLINK("https://klasma.github.io/Logging_2305/artfynd/A 40835-2025 artfynd.xlsx", "A 40835-2025")</f>
        <v/>
      </c>
      <c r="T1550">
        <f>HYPERLINK("https://klasma.github.io/Logging_2305/kartor/A 40835-2025 karta.png", "A 40835-2025")</f>
        <v/>
      </c>
      <c r="V1550">
        <f>HYPERLINK("https://klasma.github.io/Logging_2305/klagomål/A 40835-2025 FSC-klagomål.docx", "A 40835-2025")</f>
        <v/>
      </c>
      <c r="W1550">
        <f>HYPERLINK("https://klasma.github.io/Logging_2305/klagomålsmail/A 40835-2025 FSC-klagomål mail.docx", "A 40835-2025")</f>
        <v/>
      </c>
      <c r="X1550">
        <f>HYPERLINK("https://klasma.github.io/Logging_2305/tillsyn/A 40835-2025 tillsynsbegäran.docx", "A 40835-2025")</f>
        <v/>
      </c>
      <c r="Y1550">
        <f>HYPERLINK("https://klasma.github.io/Logging_2305/tillsynsmail/A 40835-2025 tillsynsbegäran mail.docx", "A 40835-2025")</f>
        <v/>
      </c>
    </row>
    <row r="1551" ht="15" customHeight="1">
      <c r="A1551" t="inlineStr">
        <is>
          <t>A 55-2023</t>
        </is>
      </c>
      <c r="B1551" s="1" t="n">
        <v>44928</v>
      </c>
      <c r="C1551" s="1" t="n">
        <v>46045</v>
      </c>
      <c r="D1551" t="inlineStr">
        <is>
          <t>JÄMTLANDS LÄN</t>
        </is>
      </c>
      <c r="E1551" t="inlineStr">
        <is>
          <t>ÖSTERSUND</t>
        </is>
      </c>
      <c r="G1551" t="n">
        <v>4</v>
      </c>
      <c r="H1551" t="n">
        <v>1</v>
      </c>
      <c r="I1551" t="n">
        <v>0</v>
      </c>
      <c r="J1551" t="n">
        <v>0</v>
      </c>
      <c r="K1551" t="n">
        <v>1</v>
      </c>
      <c r="L1551" t="n">
        <v>0</v>
      </c>
      <c r="M1551" t="n">
        <v>0</v>
      </c>
      <c r="N1551" t="n">
        <v>0</v>
      </c>
      <c r="O1551" t="n">
        <v>1</v>
      </c>
      <c r="P1551" t="n">
        <v>1</v>
      </c>
      <c r="Q1551" t="n">
        <v>1</v>
      </c>
      <c r="R1551" s="2" t="inlineStr">
        <is>
          <t>Knärot</t>
        </is>
      </c>
      <c r="S1551">
        <f>HYPERLINK("https://klasma.github.io/Logging_2380/artfynd/A 55-2023 artfynd.xlsx", "A 55-2023")</f>
        <v/>
      </c>
      <c r="T1551">
        <f>HYPERLINK("https://klasma.github.io/Logging_2380/kartor/A 55-2023 karta.png", "A 55-2023")</f>
        <v/>
      </c>
      <c r="U1551">
        <f>HYPERLINK("https://klasma.github.io/Logging_2380/knärot/A 55-2023 karta knärot.png", "A 55-2023")</f>
        <v/>
      </c>
      <c r="V1551">
        <f>HYPERLINK("https://klasma.github.io/Logging_2380/klagomål/A 55-2023 FSC-klagomål.docx", "A 55-2023")</f>
        <v/>
      </c>
      <c r="W1551">
        <f>HYPERLINK("https://klasma.github.io/Logging_2380/klagomålsmail/A 55-2023 FSC-klagomål mail.docx", "A 55-2023")</f>
        <v/>
      </c>
      <c r="X1551">
        <f>HYPERLINK("https://klasma.github.io/Logging_2380/tillsyn/A 55-2023 tillsynsbegäran.docx", "A 55-2023")</f>
        <v/>
      </c>
      <c r="Y1551">
        <f>HYPERLINK("https://klasma.github.io/Logging_2380/tillsynsmail/A 55-2023 tillsynsbegäran mail.docx", "A 55-2023")</f>
        <v/>
      </c>
    </row>
    <row r="1552" ht="15" customHeight="1">
      <c r="A1552" t="inlineStr">
        <is>
          <t>A 9657-2023</t>
        </is>
      </c>
      <c r="B1552" s="1" t="n">
        <v>44978</v>
      </c>
      <c r="C1552" s="1" t="n">
        <v>46045</v>
      </c>
      <c r="D1552" t="inlineStr">
        <is>
          <t>JÄMTLANDS LÄN</t>
        </is>
      </c>
      <c r="E1552" t="inlineStr">
        <is>
          <t>BERG</t>
        </is>
      </c>
      <c r="G1552" t="n">
        <v>2.7</v>
      </c>
      <c r="H1552" t="n">
        <v>0</v>
      </c>
      <c r="I1552" t="n">
        <v>0</v>
      </c>
      <c r="J1552" t="n">
        <v>1</v>
      </c>
      <c r="K1552" t="n">
        <v>0</v>
      </c>
      <c r="L1552" t="n">
        <v>0</v>
      </c>
      <c r="M1552" t="n">
        <v>0</v>
      </c>
      <c r="N1552" t="n">
        <v>0</v>
      </c>
      <c r="O1552" t="n">
        <v>1</v>
      </c>
      <c r="P1552" t="n">
        <v>0</v>
      </c>
      <c r="Q1552" t="n">
        <v>1</v>
      </c>
      <c r="R1552" s="2" t="inlineStr">
        <is>
          <t>Garnlav</t>
        </is>
      </c>
      <c r="S1552">
        <f>HYPERLINK("https://klasma.github.io/Logging_2326/artfynd/A 9657-2023 artfynd.xlsx", "A 9657-2023")</f>
        <v/>
      </c>
      <c r="T1552">
        <f>HYPERLINK("https://klasma.github.io/Logging_2326/kartor/A 9657-2023 karta.png", "A 9657-2023")</f>
        <v/>
      </c>
      <c r="V1552">
        <f>HYPERLINK("https://klasma.github.io/Logging_2326/klagomål/A 9657-2023 FSC-klagomål.docx", "A 9657-2023")</f>
        <v/>
      </c>
      <c r="W1552">
        <f>HYPERLINK("https://klasma.github.io/Logging_2326/klagomålsmail/A 9657-2023 FSC-klagomål mail.docx", "A 9657-2023")</f>
        <v/>
      </c>
      <c r="X1552">
        <f>HYPERLINK("https://klasma.github.io/Logging_2326/tillsyn/A 9657-2023 tillsynsbegäran.docx", "A 9657-2023")</f>
        <v/>
      </c>
      <c r="Y1552">
        <f>HYPERLINK("https://klasma.github.io/Logging_2326/tillsynsmail/A 9657-2023 tillsynsbegäran mail.docx", "A 9657-2023")</f>
        <v/>
      </c>
    </row>
    <row r="1553" ht="15" customHeight="1">
      <c r="A1553" t="inlineStr">
        <is>
          <t>A 40914-2025</t>
        </is>
      </c>
      <c r="B1553" s="1" t="n">
        <v>45897.61741898148</v>
      </c>
      <c r="C1553" s="1" t="n">
        <v>46045</v>
      </c>
      <c r="D1553" t="inlineStr">
        <is>
          <t>JÄMTLANDS LÄN</t>
        </is>
      </c>
      <c r="E1553" t="inlineStr">
        <is>
          <t>BRÄCKE</t>
        </is>
      </c>
      <c r="F1553" t="inlineStr">
        <is>
          <t>SCA</t>
        </is>
      </c>
      <c r="G1553" t="n">
        <v>2.1</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40914-2025 artfynd.xlsx", "A 40914-2025")</f>
        <v/>
      </c>
      <c r="T1553">
        <f>HYPERLINK("https://klasma.github.io/Logging_2305/kartor/A 40914-2025 karta.png", "A 40914-2025")</f>
        <v/>
      </c>
      <c r="V1553">
        <f>HYPERLINK("https://klasma.github.io/Logging_2305/klagomål/A 40914-2025 FSC-klagomål.docx", "A 40914-2025")</f>
        <v/>
      </c>
      <c r="W1553">
        <f>HYPERLINK("https://klasma.github.io/Logging_2305/klagomålsmail/A 40914-2025 FSC-klagomål mail.docx", "A 40914-2025")</f>
        <v/>
      </c>
      <c r="X1553">
        <f>HYPERLINK("https://klasma.github.io/Logging_2305/tillsyn/A 40914-2025 tillsynsbegäran.docx", "A 40914-2025")</f>
        <v/>
      </c>
      <c r="Y1553">
        <f>HYPERLINK("https://klasma.github.io/Logging_2305/tillsynsmail/A 40914-2025 tillsynsbegäran mail.docx", "A 40914-2025")</f>
        <v/>
      </c>
    </row>
    <row r="1554" ht="15" customHeight="1">
      <c r="A1554" t="inlineStr">
        <is>
          <t>A 40841-2025</t>
        </is>
      </c>
      <c r="B1554" s="1" t="n">
        <v>45897.531875</v>
      </c>
      <c r="C1554" s="1" t="n">
        <v>46045</v>
      </c>
      <c r="D1554" t="inlineStr">
        <is>
          <t>JÄMTLANDS LÄN</t>
        </is>
      </c>
      <c r="E1554" t="inlineStr">
        <is>
          <t>RAGUNDA</t>
        </is>
      </c>
      <c r="F1554" t="inlineStr">
        <is>
          <t>SCA</t>
        </is>
      </c>
      <c r="G1554" t="n">
        <v>1.1</v>
      </c>
      <c r="H1554" t="n">
        <v>0</v>
      </c>
      <c r="I1554" t="n">
        <v>0</v>
      </c>
      <c r="J1554" t="n">
        <v>1</v>
      </c>
      <c r="K1554" t="n">
        <v>0</v>
      </c>
      <c r="L1554" t="n">
        <v>0</v>
      </c>
      <c r="M1554" t="n">
        <v>0</v>
      </c>
      <c r="N1554" t="n">
        <v>0</v>
      </c>
      <c r="O1554" t="n">
        <v>1</v>
      </c>
      <c r="P1554" t="n">
        <v>0</v>
      </c>
      <c r="Q1554" t="n">
        <v>1</v>
      </c>
      <c r="R1554" s="2" t="inlineStr">
        <is>
          <t>Garnlav</t>
        </is>
      </c>
      <c r="S1554">
        <f>HYPERLINK("https://klasma.github.io/Logging_2303/artfynd/A 40841-2025 artfynd.xlsx", "A 40841-2025")</f>
        <v/>
      </c>
      <c r="T1554">
        <f>HYPERLINK("https://klasma.github.io/Logging_2303/kartor/A 40841-2025 karta.png", "A 40841-2025")</f>
        <v/>
      </c>
      <c r="V1554">
        <f>HYPERLINK("https://klasma.github.io/Logging_2303/klagomål/A 40841-2025 FSC-klagomål.docx", "A 40841-2025")</f>
        <v/>
      </c>
      <c r="W1554">
        <f>HYPERLINK("https://klasma.github.io/Logging_2303/klagomålsmail/A 40841-2025 FSC-klagomål mail.docx", "A 40841-2025")</f>
        <v/>
      </c>
      <c r="X1554">
        <f>HYPERLINK("https://klasma.github.io/Logging_2303/tillsyn/A 40841-2025 tillsynsbegäran.docx", "A 40841-2025")</f>
        <v/>
      </c>
      <c r="Y1554">
        <f>HYPERLINK("https://klasma.github.io/Logging_2303/tillsynsmail/A 40841-2025 tillsynsbegäran mail.docx", "A 40841-2025")</f>
        <v/>
      </c>
    </row>
    <row r="1555" ht="15" customHeight="1">
      <c r="A1555" t="inlineStr">
        <is>
          <t>A 44386-2023</t>
        </is>
      </c>
      <c r="B1555" s="1" t="n">
        <v>45188</v>
      </c>
      <c r="C1555" s="1" t="n">
        <v>46045</v>
      </c>
      <c r="D1555" t="inlineStr">
        <is>
          <t>JÄMTLANDS LÄN</t>
        </is>
      </c>
      <c r="E1555" t="inlineStr">
        <is>
          <t>STRÖMSUND</t>
        </is>
      </c>
      <c r="F1555" t="inlineStr">
        <is>
          <t>SCA</t>
        </is>
      </c>
      <c r="G1555" t="n">
        <v>2.5</v>
      </c>
      <c r="H1555" t="n">
        <v>0</v>
      </c>
      <c r="I1555" t="n">
        <v>0</v>
      </c>
      <c r="J1555" t="n">
        <v>1</v>
      </c>
      <c r="K1555" t="n">
        <v>0</v>
      </c>
      <c r="L1555" t="n">
        <v>0</v>
      </c>
      <c r="M1555" t="n">
        <v>0</v>
      </c>
      <c r="N1555" t="n">
        <v>0</v>
      </c>
      <c r="O1555" t="n">
        <v>1</v>
      </c>
      <c r="P1555" t="n">
        <v>0</v>
      </c>
      <c r="Q1555" t="n">
        <v>1</v>
      </c>
      <c r="R1555" s="2" t="inlineStr">
        <is>
          <t>Stjärntagging</t>
        </is>
      </c>
      <c r="S1555">
        <f>HYPERLINK("https://klasma.github.io/Logging_2313/artfynd/A 44386-2023 artfynd.xlsx", "A 44386-2023")</f>
        <v/>
      </c>
      <c r="T1555">
        <f>HYPERLINK("https://klasma.github.io/Logging_2313/kartor/A 44386-2023 karta.png", "A 44386-2023")</f>
        <v/>
      </c>
      <c r="V1555">
        <f>HYPERLINK("https://klasma.github.io/Logging_2313/klagomål/A 44386-2023 FSC-klagomål.docx", "A 44386-2023")</f>
        <v/>
      </c>
      <c r="W1555">
        <f>HYPERLINK("https://klasma.github.io/Logging_2313/klagomålsmail/A 44386-2023 FSC-klagomål mail.docx", "A 44386-2023")</f>
        <v/>
      </c>
      <c r="X1555">
        <f>HYPERLINK("https://klasma.github.io/Logging_2313/tillsyn/A 44386-2023 tillsynsbegäran.docx", "A 44386-2023")</f>
        <v/>
      </c>
      <c r="Y1555">
        <f>HYPERLINK("https://klasma.github.io/Logging_2313/tillsynsmail/A 44386-2023 tillsynsbegäran mail.docx", "A 44386-2023")</f>
        <v/>
      </c>
    </row>
    <row r="1556" ht="15" customHeight="1">
      <c r="A1556" t="inlineStr">
        <is>
          <t>A 41059-2025</t>
        </is>
      </c>
      <c r="B1556" s="1" t="n">
        <v>45898.40703703704</v>
      </c>
      <c r="C1556" s="1" t="n">
        <v>46045</v>
      </c>
      <c r="D1556" t="inlineStr">
        <is>
          <t>JÄMTLANDS LÄN</t>
        </is>
      </c>
      <c r="E1556" t="inlineStr">
        <is>
          <t>BRÄCKE</t>
        </is>
      </c>
      <c r="F1556" t="inlineStr">
        <is>
          <t>SCA</t>
        </is>
      </c>
      <c r="G1556" t="n">
        <v>8.9</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41059-2025 artfynd.xlsx", "A 41059-2025")</f>
        <v/>
      </c>
      <c r="T1556">
        <f>HYPERLINK("https://klasma.github.io/Logging_2305/kartor/A 41059-2025 karta.png", "A 41059-2025")</f>
        <v/>
      </c>
      <c r="V1556">
        <f>HYPERLINK("https://klasma.github.io/Logging_2305/klagomål/A 41059-2025 FSC-klagomål.docx", "A 41059-2025")</f>
        <v/>
      </c>
      <c r="W1556">
        <f>HYPERLINK("https://klasma.github.io/Logging_2305/klagomålsmail/A 41059-2025 FSC-klagomål mail.docx", "A 41059-2025")</f>
        <v/>
      </c>
      <c r="X1556">
        <f>HYPERLINK("https://klasma.github.io/Logging_2305/tillsyn/A 41059-2025 tillsynsbegäran.docx", "A 41059-2025")</f>
        <v/>
      </c>
      <c r="Y1556">
        <f>HYPERLINK("https://klasma.github.io/Logging_2305/tillsynsmail/A 41059-2025 tillsynsbegäran mail.docx", "A 41059-2025")</f>
        <v/>
      </c>
    </row>
    <row r="1557" ht="15" customHeight="1">
      <c r="A1557" t="inlineStr">
        <is>
          <t>A 40800-2025</t>
        </is>
      </c>
      <c r="B1557" s="1" t="n">
        <v>45897.45311342592</v>
      </c>
      <c r="C1557" s="1" t="n">
        <v>46045</v>
      </c>
      <c r="D1557" t="inlineStr">
        <is>
          <t>JÄMTLANDS LÄN</t>
        </is>
      </c>
      <c r="E1557" t="inlineStr">
        <is>
          <t>KROKOM</t>
        </is>
      </c>
      <c r="G1557" t="n">
        <v>5.8</v>
      </c>
      <c r="H1557" t="n">
        <v>1</v>
      </c>
      <c r="I1557" t="n">
        <v>0</v>
      </c>
      <c r="J1557" t="n">
        <v>0</v>
      </c>
      <c r="K1557" t="n">
        <v>0</v>
      </c>
      <c r="L1557" t="n">
        <v>0</v>
      </c>
      <c r="M1557" t="n">
        <v>0</v>
      </c>
      <c r="N1557" t="n">
        <v>0</v>
      </c>
      <c r="O1557" t="n">
        <v>0</v>
      </c>
      <c r="P1557" t="n">
        <v>0</v>
      </c>
      <c r="Q1557" t="n">
        <v>1</v>
      </c>
      <c r="R1557" s="2" t="inlineStr">
        <is>
          <t>Blåsippa</t>
        </is>
      </c>
      <c r="S1557">
        <f>HYPERLINK("https://klasma.github.io/Logging_2309/artfynd/A 40800-2025 artfynd.xlsx", "A 40800-2025")</f>
        <v/>
      </c>
      <c r="T1557">
        <f>HYPERLINK("https://klasma.github.io/Logging_2309/kartor/A 40800-2025 karta.png", "A 40800-2025")</f>
        <v/>
      </c>
      <c r="V1557">
        <f>HYPERLINK("https://klasma.github.io/Logging_2309/klagomål/A 40800-2025 FSC-klagomål.docx", "A 40800-2025")</f>
        <v/>
      </c>
      <c r="W1557">
        <f>HYPERLINK("https://klasma.github.io/Logging_2309/klagomålsmail/A 40800-2025 FSC-klagomål mail.docx", "A 40800-2025")</f>
        <v/>
      </c>
      <c r="X1557">
        <f>HYPERLINK("https://klasma.github.io/Logging_2309/tillsyn/A 40800-2025 tillsynsbegäran.docx", "A 40800-2025")</f>
        <v/>
      </c>
      <c r="Y1557">
        <f>HYPERLINK("https://klasma.github.io/Logging_2309/tillsynsmail/A 40800-2025 tillsynsbegäran mail.docx", "A 40800-2025")</f>
        <v/>
      </c>
    </row>
    <row r="1558" ht="15" customHeight="1">
      <c r="A1558" t="inlineStr">
        <is>
          <t>A 40842-2025</t>
        </is>
      </c>
      <c r="B1558" s="1" t="n">
        <v>45897.53200231482</v>
      </c>
      <c r="C1558" s="1" t="n">
        <v>46045</v>
      </c>
      <c r="D1558" t="inlineStr">
        <is>
          <t>JÄMTLANDS LÄN</t>
        </is>
      </c>
      <c r="E1558" t="inlineStr">
        <is>
          <t>BRÄCKE</t>
        </is>
      </c>
      <c r="F1558" t="inlineStr">
        <is>
          <t>SCA</t>
        </is>
      </c>
      <c r="G1558" t="n">
        <v>0.5</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40842-2025 artfynd.xlsx", "A 40842-2025")</f>
        <v/>
      </c>
      <c r="T1558">
        <f>HYPERLINK("https://klasma.github.io/Logging_2305/kartor/A 40842-2025 karta.png", "A 40842-2025")</f>
        <v/>
      </c>
      <c r="V1558">
        <f>HYPERLINK("https://klasma.github.io/Logging_2305/klagomål/A 40842-2025 FSC-klagomål.docx", "A 40842-2025")</f>
        <v/>
      </c>
      <c r="W1558">
        <f>HYPERLINK("https://klasma.github.io/Logging_2305/klagomålsmail/A 40842-2025 FSC-klagomål mail.docx", "A 40842-2025")</f>
        <v/>
      </c>
      <c r="X1558">
        <f>HYPERLINK("https://klasma.github.io/Logging_2305/tillsyn/A 40842-2025 tillsynsbegäran.docx", "A 40842-2025")</f>
        <v/>
      </c>
      <c r="Y1558">
        <f>HYPERLINK("https://klasma.github.io/Logging_2305/tillsynsmail/A 40842-2025 tillsynsbegäran mail.docx", "A 40842-2025")</f>
        <v/>
      </c>
    </row>
    <row r="1559" ht="15" customHeight="1">
      <c r="A1559" t="inlineStr">
        <is>
          <t>A 17217-2021</t>
        </is>
      </c>
      <c r="B1559" s="1" t="n">
        <v>44298</v>
      </c>
      <c r="C1559" s="1" t="n">
        <v>46045</v>
      </c>
      <c r="D1559" t="inlineStr">
        <is>
          <t>JÄMTLANDS LÄN</t>
        </is>
      </c>
      <c r="E1559" t="inlineStr">
        <is>
          <t>ÖSTERSUND</t>
        </is>
      </c>
      <c r="G1559" t="n">
        <v>10.4</v>
      </c>
      <c r="H1559" t="n">
        <v>0</v>
      </c>
      <c r="I1559" t="n">
        <v>0</v>
      </c>
      <c r="J1559" t="n">
        <v>1</v>
      </c>
      <c r="K1559" t="n">
        <v>0</v>
      </c>
      <c r="L1559" t="n">
        <v>0</v>
      </c>
      <c r="M1559" t="n">
        <v>0</v>
      </c>
      <c r="N1559" t="n">
        <v>0</v>
      </c>
      <c r="O1559" t="n">
        <v>1</v>
      </c>
      <c r="P1559" t="n">
        <v>0</v>
      </c>
      <c r="Q1559" t="n">
        <v>1</v>
      </c>
      <c r="R1559" s="2" t="inlineStr">
        <is>
          <t>Rödbrun klubbdyna</t>
        </is>
      </c>
      <c r="S1559">
        <f>HYPERLINK("https://klasma.github.io/Logging_2380/artfynd/A 17217-2021 artfynd.xlsx", "A 17217-2021")</f>
        <v/>
      </c>
      <c r="T1559">
        <f>HYPERLINK("https://klasma.github.io/Logging_2380/kartor/A 17217-2021 karta.png", "A 17217-2021")</f>
        <v/>
      </c>
      <c r="V1559">
        <f>HYPERLINK("https://klasma.github.io/Logging_2380/klagomål/A 17217-2021 FSC-klagomål.docx", "A 17217-2021")</f>
        <v/>
      </c>
      <c r="W1559">
        <f>HYPERLINK("https://klasma.github.io/Logging_2380/klagomålsmail/A 17217-2021 FSC-klagomål mail.docx", "A 17217-2021")</f>
        <v/>
      </c>
      <c r="X1559">
        <f>HYPERLINK("https://klasma.github.io/Logging_2380/tillsyn/A 17217-2021 tillsynsbegäran.docx", "A 17217-2021")</f>
        <v/>
      </c>
      <c r="Y1559">
        <f>HYPERLINK("https://klasma.github.io/Logging_2380/tillsynsmail/A 17217-2021 tillsynsbegäran mail.docx", "A 17217-2021")</f>
        <v/>
      </c>
    </row>
    <row r="1560" ht="15" customHeight="1">
      <c r="A1560" t="inlineStr">
        <is>
          <t>A 14245-2025</t>
        </is>
      </c>
      <c r="B1560" s="1" t="n">
        <v>45740</v>
      </c>
      <c r="C1560" s="1" t="n">
        <v>46045</v>
      </c>
      <c r="D1560" t="inlineStr">
        <is>
          <t>JÄMTLANDS LÄN</t>
        </is>
      </c>
      <c r="E1560" t="inlineStr">
        <is>
          <t>ÅRE</t>
        </is>
      </c>
      <c r="G1560" t="n">
        <v>15.4</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HYPERLINK("https://klasma.github.io/Logging_2321/artfynd/A 14245-2025 artfynd.xlsx", "A 14245-2025")</f>
        <v/>
      </c>
      <c r="T1560">
        <f>HYPERLINK("https://klasma.github.io/Logging_2321/kartor/A 14245-2025 karta.png", "A 14245-2025")</f>
        <v/>
      </c>
      <c r="V1560">
        <f>HYPERLINK("https://klasma.github.io/Logging_2321/klagomål/A 14245-2025 FSC-klagomål.docx", "A 14245-2025")</f>
        <v/>
      </c>
      <c r="W1560">
        <f>HYPERLINK("https://klasma.github.io/Logging_2321/klagomålsmail/A 14245-2025 FSC-klagomål mail.docx", "A 14245-2025")</f>
        <v/>
      </c>
      <c r="X1560">
        <f>HYPERLINK("https://klasma.github.io/Logging_2321/tillsyn/A 14245-2025 tillsynsbegäran.docx", "A 14245-2025")</f>
        <v/>
      </c>
      <c r="Y1560">
        <f>HYPERLINK("https://klasma.github.io/Logging_2321/tillsynsmail/A 14245-2025 tillsynsbegäran mail.docx", "A 14245-2025")</f>
        <v/>
      </c>
      <c r="Z1560">
        <f>HYPERLINK("https://klasma.github.io/Logging_2321/fåglar/A 14245-2025 prioriterade fågelarter.docx", "A 14245-2025")</f>
        <v/>
      </c>
    </row>
    <row r="1561" ht="15" customHeight="1">
      <c r="A1561" t="inlineStr">
        <is>
          <t>A 40792-2025</t>
        </is>
      </c>
      <c r="B1561" s="1" t="n">
        <v>45897.44855324074</v>
      </c>
      <c r="C1561" s="1" t="n">
        <v>46045</v>
      </c>
      <c r="D1561" t="inlineStr">
        <is>
          <t>JÄMTLANDS LÄN</t>
        </is>
      </c>
      <c r="E1561" t="inlineStr">
        <is>
          <t>BRÄCKE</t>
        </is>
      </c>
      <c r="F1561" t="inlineStr">
        <is>
          <t>SCA</t>
        </is>
      </c>
      <c r="G1561" t="n">
        <v>1.7</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40792-2025 artfynd.xlsx", "A 40792-2025")</f>
        <v/>
      </c>
      <c r="T1561">
        <f>HYPERLINK("https://klasma.github.io/Logging_2305/kartor/A 40792-2025 karta.png", "A 40792-2025")</f>
        <v/>
      </c>
      <c r="V1561">
        <f>HYPERLINK("https://klasma.github.io/Logging_2305/klagomål/A 40792-2025 FSC-klagomål.docx", "A 40792-2025")</f>
        <v/>
      </c>
      <c r="W1561">
        <f>HYPERLINK("https://klasma.github.io/Logging_2305/klagomålsmail/A 40792-2025 FSC-klagomål mail.docx", "A 40792-2025")</f>
        <v/>
      </c>
      <c r="X1561">
        <f>HYPERLINK("https://klasma.github.io/Logging_2305/tillsyn/A 40792-2025 tillsynsbegäran.docx", "A 40792-2025")</f>
        <v/>
      </c>
      <c r="Y1561">
        <f>HYPERLINK("https://klasma.github.io/Logging_2305/tillsynsmail/A 40792-2025 tillsynsbegäran mail.docx", "A 40792-2025")</f>
        <v/>
      </c>
    </row>
    <row r="1562" ht="15" customHeight="1">
      <c r="A1562" t="inlineStr">
        <is>
          <t>A 61471-2023</t>
        </is>
      </c>
      <c r="B1562" s="1" t="n">
        <v>45264</v>
      </c>
      <c r="C1562" s="1" t="n">
        <v>46045</v>
      </c>
      <c r="D1562" t="inlineStr">
        <is>
          <t>JÄMTLANDS LÄN</t>
        </is>
      </c>
      <c r="E1562" t="inlineStr">
        <is>
          <t>ÅRE</t>
        </is>
      </c>
      <c r="G1562" t="n">
        <v>1</v>
      </c>
      <c r="H1562" t="n">
        <v>0</v>
      </c>
      <c r="I1562" t="n">
        <v>0</v>
      </c>
      <c r="J1562" t="n">
        <v>1</v>
      </c>
      <c r="K1562" t="n">
        <v>0</v>
      </c>
      <c r="L1562" t="n">
        <v>0</v>
      </c>
      <c r="M1562" t="n">
        <v>0</v>
      </c>
      <c r="N1562" t="n">
        <v>0</v>
      </c>
      <c r="O1562" t="n">
        <v>1</v>
      </c>
      <c r="P1562" t="n">
        <v>0</v>
      </c>
      <c r="Q1562" t="n">
        <v>1</v>
      </c>
      <c r="R1562" s="2" t="inlineStr">
        <is>
          <t>Skrovellav</t>
        </is>
      </c>
      <c r="S1562">
        <f>HYPERLINK("https://klasma.github.io/Logging_2321/artfynd/A 61471-2023 artfynd.xlsx", "A 61471-2023")</f>
        <v/>
      </c>
      <c r="T1562">
        <f>HYPERLINK("https://klasma.github.io/Logging_2321/kartor/A 61471-2023 karta.png", "A 61471-2023")</f>
        <v/>
      </c>
      <c r="V1562">
        <f>HYPERLINK("https://klasma.github.io/Logging_2321/klagomål/A 61471-2023 FSC-klagomål.docx", "A 61471-2023")</f>
        <v/>
      </c>
      <c r="W1562">
        <f>HYPERLINK("https://klasma.github.io/Logging_2321/klagomålsmail/A 61471-2023 FSC-klagomål mail.docx", "A 61471-2023")</f>
        <v/>
      </c>
      <c r="X1562">
        <f>HYPERLINK("https://klasma.github.io/Logging_2321/tillsyn/A 61471-2023 tillsynsbegäran.docx", "A 61471-2023")</f>
        <v/>
      </c>
      <c r="Y1562">
        <f>HYPERLINK("https://klasma.github.io/Logging_2321/tillsynsmail/A 61471-2023 tillsynsbegäran mail.docx", "A 61471-2023")</f>
        <v/>
      </c>
    </row>
    <row r="1563" ht="15" customHeight="1">
      <c r="A1563" t="inlineStr">
        <is>
          <t>A 41279-2024</t>
        </is>
      </c>
      <c r="B1563" s="1" t="n">
        <v>45559</v>
      </c>
      <c r="C1563" s="1" t="n">
        <v>46045</v>
      </c>
      <c r="D1563" t="inlineStr">
        <is>
          <t>JÄMTLANDS LÄN</t>
        </is>
      </c>
      <c r="E1563" t="inlineStr">
        <is>
          <t>ÖSTERSUND</t>
        </is>
      </c>
      <c r="F1563" t="inlineStr">
        <is>
          <t>SCA</t>
        </is>
      </c>
      <c r="G1563" t="n">
        <v>1.6</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HYPERLINK("https://klasma.github.io/Logging_2380/artfynd/A 41279-2024 artfynd.xlsx", "A 41279-2024")</f>
        <v/>
      </c>
      <c r="T1563">
        <f>HYPERLINK("https://klasma.github.io/Logging_2380/kartor/A 41279-2024 karta.png", "A 41279-2024")</f>
        <v/>
      </c>
      <c r="V1563">
        <f>HYPERLINK("https://klasma.github.io/Logging_2380/klagomål/A 41279-2024 FSC-klagomål.docx", "A 41279-2024")</f>
        <v/>
      </c>
      <c r="W1563">
        <f>HYPERLINK("https://klasma.github.io/Logging_2380/klagomålsmail/A 41279-2024 FSC-klagomål mail.docx", "A 41279-2024")</f>
        <v/>
      </c>
      <c r="X1563">
        <f>HYPERLINK("https://klasma.github.io/Logging_2380/tillsyn/A 41279-2024 tillsynsbegäran.docx", "A 41279-2024")</f>
        <v/>
      </c>
      <c r="Y1563">
        <f>HYPERLINK("https://klasma.github.io/Logging_2380/tillsynsmail/A 41279-2024 tillsynsbegäran mail.docx", "A 41279-2024")</f>
        <v/>
      </c>
    </row>
    <row r="1564" ht="15" customHeight="1">
      <c r="A1564" t="inlineStr">
        <is>
          <t>A 6703-2024</t>
        </is>
      </c>
      <c r="B1564" s="1" t="n">
        <v>45341</v>
      </c>
      <c r="C1564" s="1" t="n">
        <v>46045</v>
      </c>
      <c r="D1564" t="inlineStr">
        <is>
          <t>JÄMTLANDS LÄN</t>
        </is>
      </c>
      <c r="E1564" t="inlineStr">
        <is>
          <t>RAGUNDA</t>
        </is>
      </c>
      <c r="F1564" t="inlineStr">
        <is>
          <t>SCA</t>
        </is>
      </c>
      <c r="G1564" t="n">
        <v>2.4</v>
      </c>
      <c r="H1564" t="n">
        <v>0</v>
      </c>
      <c r="I1564" t="n">
        <v>0</v>
      </c>
      <c r="J1564" t="n">
        <v>1</v>
      </c>
      <c r="K1564" t="n">
        <v>0</v>
      </c>
      <c r="L1564" t="n">
        <v>0</v>
      </c>
      <c r="M1564" t="n">
        <v>0</v>
      </c>
      <c r="N1564" t="n">
        <v>0</v>
      </c>
      <c r="O1564" t="n">
        <v>1</v>
      </c>
      <c r="P1564" t="n">
        <v>0</v>
      </c>
      <c r="Q1564" t="n">
        <v>1</v>
      </c>
      <c r="R1564" s="2" t="inlineStr">
        <is>
          <t>Vitgrynig nållav</t>
        </is>
      </c>
      <c r="S1564">
        <f>HYPERLINK("https://klasma.github.io/Logging_2303/artfynd/A 6703-2024 artfynd.xlsx", "A 6703-2024")</f>
        <v/>
      </c>
      <c r="T1564">
        <f>HYPERLINK("https://klasma.github.io/Logging_2303/kartor/A 6703-2024 karta.png", "A 6703-2024")</f>
        <v/>
      </c>
      <c r="V1564">
        <f>HYPERLINK("https://klasma.github.io/Logging_2303/klagomål/A 6703-2024 FSC-klagomål.docx", "A 6703-2024")</f>
        <v/>
      </c>
      <c r="W1564">
        <f>HYPERLINK("https://klasma.github.io/Logging_2303/klagomålsmail/A 6703-2024 FSC-klagomål mail.docx", "A 6703-2024")</f>
        <v/>
      </c>
      <c r="X1564">
        <f>HYPERLINK("https://klasma.github.io/Logging_2303/tillsyn/A 6703-2024 tillsynsbegäran.docx", "A 6703-2024")</f>
        <v/>
      </c>
      <c r="Y1564">
        <f>HYPERLINK("https://klasma.github.io/Logging_2303/tillsynsmail/A 6703-2024 tillsynsbegäran mail.docx", "A 6703-2024")</f>
        <v/>
      </c>
    </row>
    <row r="1565" ht="15" customHeight="1">
      <c r="A1565" t="inlineStr">
        <is>
          <t>A 698-2025</t>
        </is>
      </c>
      <c r="B1565" s="1" t="n">
        <v>45665.34416666667</v>
      </c>
      <c r="C1565" s="1" t="n">
        <v>46045</v>
      </c>
      <c r="D1565" t="inlineStr">
        <is>
          <t>JÄMTLANDS LÄN</t>
        </is>
      </c>
      <c r="E1565" t="inlineStr">
        <is>
          <t>BRÄCKE</t>
        </is>
      </c>
      <c r="F1565" t="inlineStr">
        <is>
          <t>SCA</t>
        </is>
      </c>
      <c r="G1565" t="n">
        <v>4.6</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698-2025 artfynd.xlsx", "A 698-2025")</f>
        <v/>
      </c>
      <c r="T1565">
        <f>HYPERLINK("https://klasma.github.io/Logging_2305/kartor/A 698-2025 karta.png", "A 698-2025")</f>
        <v/>
      </c>
      <c r="V1565">
        <f>HYPERLINK("https://klasma.github.io/Logging_2305/klagomål/A 698-2025 FSC-klagomål.docx", "A 698-2025")</f>
        <v/>
      </c>
      <c r="W1565">
        <f>HYPERLINK("https://klasma.github.io/Logging_2305/klagomålsmail/A 698-2025 FSC-klagomål mail.docx", "A 698-2025")</f>
        <v/>
      </c>
      <c r="X1565">
        <f>HYPERLINK("https://klasma.github.io/Logging_2305/tillsyn/A 698-2025 tillsynsbegäran.docx", "A 698-2025")</f>
        <v/>
      </c>
      <c r="Y1565">
        <f>HYPERLINK("https://klasma.github.io/Logging_2305/tillsynsmail/A 698-2025 tillsynsbegäran mail.docx", "A 698-2025")</f>
        <v/>
      </c>
    </row>
    <row r="1566" ht="15" customHeight="1">
      <c r="A1566" t="inlineStr">
        <is>
          <t>A 23556-2021</t>
        </is>
      </c>
      <c r="B1566" s="1" t="n">
        <v>44334</v>
      </c>
      <c r="C1566" s="1" t="n">
        <v>46045</v>
      </c>
      <c r="D1566" t="inlineStr">
        <is>
          <t>JÄMTLANDS LÄN</t>
        </is>
      </c>
      <c r="E1566" t="inlineStr">
        <is>
          <t>ÅRE</t>
        </is>
      </c>
      <c r="G1566" t="n">
        <v>11.1</v>
      </c>
      <c r="H1566" t="n">
        <v>1</v>
      </c>
      <c r="I1566" t="n">
        <v>1</v>
      </c>
      <c r="J1566" t="n">
        <v>0</v>
      </c>
      <c r="K1566" t="n">
        <v>0</v>
      </c>
      <c r="L1566" t="n">
        <v>0</v>
      </c>
      <c r="M1566" t="n">
        <v>0</v>
      </c>
      <c r="N1566" t="n">
        <v>0</v>
      </c>
      <c r="O1566" t="n">
        <v>0</v>
      </c>
      <c r="P1566" t="n">
        <v>0</v>
      </c>
      <c r="Q1566" t="n">
        <v>1</v>
      </c>
      <c r="R1566" s="2" t="inlineStr">
        <is>
          <t>Tvåblad</t>
        </is>
      </c>
      <c r="S1566">
        <f>HYPERLINK("https://klasma.github.io/Logging_2321/artfynd/A 23556-2021 artfynd.xlsx", "A 23556-2021")</f>
        <v/>
      </c>
      <c r="T1566">
        <f>HYPERLINK("https://klasma.github.io/Logging_2321/kartor/A 23556-2021 karta.png", "A 23556-2021")</f>
        <v/>
      </c>
      <c r="V1566">
        <f>HYPERLINK("https://klasma.github.io/Logging_2321/klagomål/A 23556-2021 FSC-klagomål.docx", "A 23556-2021")</f>
        <v/>
      </c>
      <c r="W1566">
        <f>HYPERLINK("https://klasma.github.io/Logging_2321/klagomålsmail/A 23556-2021 FSC-klagomål mail.docx", "A 23556-2021")</f>
        <v/>
      </c>
      <c r="X1566">
        <f>HYPERLINK("https://klasma.github.io/Logging_2321/tillsyn/A 23556-2021 tillsynsbegäran.docx", "A 23556-2021")</f>
        <v/>
      </c>
      <c r="Y1566">
        <f>HYPERLINK("https://klasma.github.io/Logging_2321/tillsynsmail/A 23556-2021 tillsynsbegäran mail.docx", "A 23556-2021")</f>
        <v/>
      </c>
    </row>
    <row r="1567" ht="15" customHeight="1">
      <c r="A1567" t="inlineStr">
        <is>
          <t>A 29706-2024</t>
        </is>
      </c>
      <c r="B1567" s="1" t="n">
        <v>45485</v>
      </c>
      <c r="C1567" s="1" t="n">
        <v>46045</v>
      </c>
      <c r="D1567" t="inlineStr">
        <is>
          <t>JÄMTLANDS LÄN</t>
        </is>
      </c>
      <c r="E1567" t="inlineStr">
        <is>
          <t>HÄRJEDALEN</t>
        </is>
      </c>
      <c r="F1567" t="inlineStr">
        <is>
          <t>Holmen skog AB</t>
        </is>
      </c>
      <c r="G1567" t="n">
        <v>5.7</v>
      </c>
      <c r="H1567" t="n">
        <v>1</v>
      </c>
      <c r="I1567" t="n">
        <v>0</v>
      </c>
      <c r="J1567" t="n">
        <v>1</v>
      </c>
      <c r="K1567" t="n">
        <v>0</v>
      </c>
      <c r="L1567" t="n">
        <v>0</v>
      </c>
      <c r="M1567" t="n">
        <v>0</v>
      </c>
      <c r="N1567" t="n">
        <v>0</v>
      </c>
      <c r="O1567" t="n">
        <v>1</v>
      </c>
      <c r="P1567" t="n">
        <v>0</v>
      </c>
      <c r="Q1567" t="n">
        <v>1</v>
      </c>
      <c r="R1567" s="2" t="inlineStr">
        <is>
          <t>Talltita</t>
        </is>
      </c>
      <c r="S1567">
        <f>HYPERLINK("https://klasma.github.io/Logging_2361/artfynd/A 29706-2024 artfynd.xlsx", "A 29706-2024")</f>
        <v/>
      </c>
      <c r="T1567">
        <f>HYPERLINK("https://klasma.github.io/Logging_2361/kartor/A 29706-2024 karta.png", "A 29706-2024")</f>
        <v/>
      </c>
      <c r="V1567">
        <f>HYPERLINK("https://klasma.github.io/Logging_2361/klagomål/A 29706-2024 FSC-klagomål.docx", "A 29706-2024")</f>
        <v/>
      </c>
      <c r="W1567">
        <f>HYPERLINK("https://klasma.github.io/Logging_2361/klagomålsmail/A 29706-2024 FSC-klagomål mail.docx", "A 29706-2024")</f>
        <v/>
      </c>
      <c r="X1567">
        <f>HYPERLINK("https://klasma.github.io/Logging_2361/tillsyn/A 29706-2024 tillsynsbegäran.docx", "A 29706-2024")</f>
        <v/>
      </c>
      <c r="Y1567">
        <f>HYPERLINK("https://klasma.github.io/Logging_2361/tillsynsmail/A 29706-2024 tillsynsbegäran mail.docx", "A 29706-2024")</f>
        <v/>
      </c>
      <c r="Z1567">
        <f>HYPERLINK("https://klasma.github.io/Logging_2361/fåglar/A 29706-2024 prioriterade fågelarter.docx", "A 29706-2024")</f>
        <v/>
      </c>
    </row>
    <row r="1568" ht="15" customHeight="1">
      <c r="A1568" t="inlineStr">
        <is>
          <t>A 11549-2025</t>
        </is>
      </c>
      <c r="B1568" s="1" t="n">
        <v>45727.34460648148</v>
      </c>
      <c r="C1568" s="1" t="n">
        <v>46045</v>
      </c>
      <c r="D1568" t="inlineStr">
        <is>
          <t>JÄMTLANDS LÄN</t>
        </is>
      </c>
      <c r="E1568" t="inlineStr">
        <is>
          <t>BRÄCKE</t>
        </is>
      </c>
      <c r="F1568" t="inlineStr">
        <is>
          <t>SCA</t>
        </is>
      </c>
      <c r="G1568" t="n">
        <v>6.4</v>
      </c>
      <c r="H1568" t="n">
        <v>0</v>
      </c>
      <c r="I1568" t="n">
        <v>0</v>
      </c>
      <c r="J1568" t="n">
        <v>1</v>
      </c>
      <c r="K1568" t="n">
        <v>0</v>
      </c>
      <c r="L1568" t="n">
        <v>0</v>
      </c>
      <c r="M1568" t="n">
        <v>0</v>
      </c>
      <c r="N1568" t="n">
        <v>0</v>
      </c>
      <c r="O1568" t="n">
        <v>1</v>
      </c>
      <c r="P1568" t="n">
        <v>0</v>
      </c>
      <c r="Q1568" t="n">
        <v>1</v>
      </c>
      <c r="R1568" s="2" t="inlineStr">
        <is>
          <t>Vedtrappmossa</t>
        </is>
      </c>
      <c r="S1568">
        <f>HYPERLINK("https://klasma.github.io/Logging_2305/artfynd/A 11549-2025 artfynd.xlsx", "A 11549-2025")</f>
        <v/>
      </c>
      <c r="T1568">
        <f>HYPERLINK("https://klasma.github.io/Logging_2305/kartor/A 11549-2025 karta.png", "A 11549-2025")</f>
        <v/>
      </c>
      <c r="V1568">
        <f>HYPERLINK("https://klasma.github.io/Logging_2305/klagomål/A 11549-2025 FSC-klagomål.docx", "A 11549-2025")</f>
        <v/>
      </c>
      <c r="W1568">
        <f>HYPERLINK("https://klasma.github.io/Logging_2305/klagomålsmail/A 11549-2025 FSC-klagomål mail.docx", "A 11549-2025")</f>
        <v/>
      </c>
      <c r="X1568">
        <f>HYPERLINK("https://klasma.github.io/Logging_2305/tillsyn/A 11549-2025 tillsynsbegäran.docx", "A 11549-2025")</f>
        <v/>
      </c>
      <c r="Y1568">
        <f>HYPERLINK("https://klasma.github.io/Logging_2305/tillsynsmail/A 11549-2025 tillsynsbegäran mail.docx", "A 11549-2025")</f>
        <v/>
      </c>
    </row>
    <row r="1569" ht="15" customHeight="1">
      <c r="A1569" t="inlineStr">
        <is>
          <t>A 24443-2024</t>
        </is>
      </c>
      <c r="B1569" s="1" t="n">
        <v>45457.9640625</v>
      </c>
      <c r="C1569" s="1" t="n">
        <v>46045</v>
      </c>
      <c r="D1569" t="inlineStr">
        <is>
          <t>JÄMTLANDS LÄN</t>
        </is>
      </c>
      <c r="E1569" t="inlineStr">
        <is>
          <t>RAGUNDA</t>
        </is>
      </c>
      <c r="F1569" t="inlineStr">
        <is>
          <t>SCA</t>
        </is>
      </c>
      <c r="G1569" t="n">
        <v>2.1</v>
      </c>
      <c r="H1569" t="n">
        <v>0</v>
      </c>
      <c r="I1569" t="n">
        <v>0</v>
      </c>
      <c r="J1569" t="n">
        <v>1</v>
      </c>
      <c r="K1569" t="n">
        <v>0</v>
      </c>
      <c r="L1569" t="n">
        <v>0</v>
      </c>
      <c r="M1569" t="n">
        <v>0</v>
      </c>
      <c r="N1569" t="n">
        <v>0</v>
      </c>
      <c r="O1569" t="n">
        <v>1</v>
      </c>
      <c r="P1569" t="n">
        <v>0</v>
      </c>
      <c r="Q1569" t="n">
        <v>1</v>
      </c>
      <c r="R1569" s="2" t="inlineStr">
        <is>
          <t>Lunglav</t>
        </is>
      </c>
      <c r="S1569">
        <f>HYPERLINK("https://klasma.github.io/Logging_2303/artfynd/A 24443-2024 artfynd.xlsx", "A 24443-2024")</f>
        <v/>
      </c>
      <c r="T1569">
        <f>HYPERLINK("https://klasma.github.io/Logging_2303/kartor/A 24443-2024 karta.png", "A 24443-2024")</f>
        <v/>
      </c>
      <c r="U1569">
        <f>HYPERLINK("https://klasma.github.io/Logging_2303/knärot/A 24443-2024 karta knärot.png", "A 24443-2024")</f>
        <v/>
      </c>
      <c r="V1569">
        <f>HYPERLINK("https://klasma.github.io/Logging_2303/klagomål/A 24443-2024 FSC-klagomål.docx", "A 24443-2024")</f>
        <v/>
      </c>
      <c r="W1569">
        <f>HYPERLINK("https://klasma.github.io/Logging_2303/klagomålsmail/A 24443-2024 FSC-klagomål mail.docx", "A 24443-2024")</f>
        <v/>
      </c>
      <c r="X1569">
        <f>HYPERLINK("https://klasma.github.io/Logging_2303/tillsyn/A 24443-2024 tillsynsbegäran.docx", "A 24443-2024")</f>
        <v/>
      </c>
      <c r="Y1569">
        <f>HYPERLINK("https://klasma.github.io/Logging_2303/tillsynsmail/A 24443-2024 tillsynsbegäran mail.docx", "A 24443-2024")</f>
        <v/>
      </c>
    </row>
    <row r="1570" ht="15" customHeight="1">
      <c r="A1570" t="inlineStr">
        <is>
          <t>A 19282-2021</t>
        </is>
      </c>
      <c r="B1570" s="1" t="n">
        <v>44308</v>
      </c>
      <c r="C1570" s="1" t="n">
        <v>46045</v>
      </c>
      <c r="D1570" t="inlineStr">
        <is>
          <t>JÄMTLANDS LÄN</t>
        </is>
      </c>
      <c r="E1570" t="inlineStr">
        <is>
          <t>KROKOM</t>
        </is>
      </c>
      <c r="G1570" t="n">
        <v>2</v>
      </c>
      <c r="H1570" t="n">
        <v>0</v>
      </c>
      <c r="I1570" t="n">
        <v>0</v>
      </c>
      <c r="J1570" t="n">
        <v>1</v>
      </c>
      <c r="K1570" t="n">
        <v>0</v>
      </c>
      <c r="L1570" t="n">
        <v>0</v>
      </c>
      <c r="M1570" t="n">
        <v>0</v>
      </c>
      <c r="N1570" t="n">
        <v>0</v>
      </c>
      <c r="O1570" t="n">
        <v>1</v>
      </c>
      <c r="P1570" t="n">
        <v>0</v>
      </c>
      <c r="Q1570" t="n">
        <v>1</v>
      </c>
      <c r="R1570" s="2" t="inlineStr">
        <is>
          <t>Garnlav</t>
        </is>
      </c>
      <c r="S1570">
        <f>HYPERLINK("https://klasma.github.io/Logging_2309/artfynd/A 19282-2021 artfynd.xlsx", "A 19282-2021")</f>
        <v/>
      </c>
      <c r="T1570">
        <f>HYPERLINK("https://klasma.github.io/Logging_2309/kartor/A 19282-2021 karta.png", "A 19282-2021")</f>
        <v/>
      </c>
      <c r="V1570">
        <f>HYPERLINK("https://klasma.github.io/Logging_2309/klagomål/A 19282-2021 FSC-klagomål.docx", "A 19282-2021")</f>
        <v/>
      </c>
      <c r="W1570">
        <f>HYPERLINK("https://klasma.github.io/Logging_2309/klagomålsmail/A 19282-2021 FSC-klagomål mail.docx", "A 19282-2021")</f>
        <v/>
      </c>
      <c r="X1570">
        <f>HYPERLINK("https://klasma.github.io/Logging_2309/tillsyn/A 19282-2021 tillsynsbegäran.docx", "A 19282-2021")</f>
        <v/>
      </c>
      <c r="Y1570">
        <f>HYPERLINK("https://klasma.github.io/Logging_2309/tillsynsmail/A 19282-2021 tillsynsbegäran mail.docx", "A 19282-2021")</f>
        <v/>
      </c>
    </row>
    <row r="1571" ht="15" customHeight="1">
      <c r="A1571" t="inlineStr">
        <is>
          <t>A 11553-2024</t>
        </is>
      </c>
      <c r="B1571" s="1" t="n">
        <v>45372.95811342593</v>
      </c>
      <c r="C1571" s="1" t="n">
        <v>46045</v>
      </c>
      <c r="D1571" t="inlineStr">
        <is>
          <t>JÄMTLANDS LÄN</t>
        </is>
      </c>
      <c r="E1571" t="inlineStr">
        <is>
          <t>BRÄCKE</t>
        </is>
      </c>
      <c r="F1571" t="inlineStr">
        <is>
          <t>Naturvårdsverket</t>
        </is>
      </c>
      <c r="G1571" t="n">
        <v>1.9</v>
      </c>
      <c r="H1571" t="n">
        <v>0</v>
      </c>
      <c r="I1571" t="n">
        <v>1</v>
      </c>
      <c r="J1571" t="n">
        <v>0</v>
      </c>
      <c r="K1571" t="n">
        <v>0</v>
      </c>
      <c r="L1571" t="n">
        <v>0</v>
      </c>
      <c r="M1571" t="n">
        <v>0</v>
      </c>
      <c r="N1571" t="n">
        <v>0</v>
      </c>
      <c r="O1571" t="n">
        <v>0</v>
      </c>
      <c r="P1571" t="n">
        <v>0</v>
      </c>
      <c r="Q1571" t="n">
        <v>1</v>
      </c>
      <c r="R1571" s="2" t="inlineStr">
        <is>
          <t>Dropptaggsvamp</t>
        </is>
      </c>
      <c r="S1571">
        <f>HYPERLINK("https://klasma.github.io/Logging_2305/artfynd/A 11553-2024 artfynd.xlsx", "A 11553-2024")</f>
        <v/>
      </c>
      <c r="T1571">
        <f>HYPERLINK("https://klasma.github.io/Logging_2305/kartor/A 11553-2024 karta.png", "A 11553-2024")</f>
        <v/>
      </c>
      <c r="V1571">
        <f>HYPERLINK("https://klasma.github.io/Logging_2305/klagomål/A 11553-2024 FSC-klagomål.docx", "A 11553-2024")</f>
        <v/>
      </c>
      <c r="W1571">
        <f>HYPERLINK("https://klasma.github.io/Logging_2305/klagomålsmail/A 11553-2024 FSC-klagomål mail.docx", "A 11553-2024")</f>
        <v/>
      </c>
      <c r="X1571">
        <f>HYPERLINK("https://klasma.github.io/Logging_2305/tillsyn/A 11553-2024 tillsynsbegäran.docx", "A 11553-2024")</f>
        <v/>
      </c>
      <c r="Y1571">
        <f>HYPERLINK("https://klasma.github.io/Logging_2305/tillsynsmail/A 11553-2024 tillsynsbegäran mail.docx", "A 11553-2024")</f>
        <v/>
      </c>
    </row>
    <row r="1572" ht="15" customHeight="1">
      <c r="A1572" t="inlineStr">
        <is>
          <t>A 4331-2025</t>
        </is>
      </c>
      <c r="B1572" s="1" t="n">
        <v>45685.78776620371</v>
      </c>
      <c r="C1572" s="1" t="n">
        <v>46045</v>
      </c>
      <c r="D1572" t="inlineStr">
        <is>
          <t>JÄMTLANDS LÄN</t>
        </is>
      </c>
      <c r="E1572" t="inlineStr">
        <is>
          <t>KROKOM</t>
        </is>
      </c>
      <c r="G1572" t="n">
        <v>9.199999999999999</v>
      </c>
      <c r="H1572" t="n">
        <v>0</v>
      </c>
      <c r="I1572" t="n">
        <v>1</v>
      </c>
      <c r="J1572" t="n">
        <v>0</v>
      </c>
      <c r="K1572" t="n">
        <v>0</v>
      </c>
      <c r="L1572" t="n">
        <v>0</v>
      </c>
      <c r="M1572" t="n">
        <v>0</v>
      </c>
      <c r="N1572" t="n">
        <v>0</v>
      </c>
      <c r="O1572" t="n">
        <v>0</v>
      </c>
      <c r="P1572" t="n">
        <v>0</v>
      </c>
      <c r="Q1572" t="n">
        <v>1</v>
      </c>
      <c r="R1572" s="2" t="inlineStr">
        <is>
          <t>Gytterlav</t>
        </is>
      </c>
      <c r="S1572">
        <f>HYPERLINK("https://klasma.github.io/Logging_2309/artfynd/A 4331-2025 artfynd.xlsx", "A 4331-2025")</f>
        <v/>
      </c>
      <c r="T1572">
        <f>HYPERLINK("https://klasma.github.io/Logging_2309/kartor/A 4331-2025 karta.png", "A 4331-2025")</f>
        <v/>
      </c>
      <c r="V1572">
        <f>HYPERLINK("https://klasma.github.io/Logging_2309/klagomål/A 4331-2025 FSC-klagomål.docx", "A 4331-2025")</f>
        <v/>
      </c>
      <c r="W1572">
        <f>HYPERLINK("https://klasma.github.io/Logging_2309/klagomålsmail/A 4331-2025 FSC-klagomål mail.docx", "A 4331-2025")</f>
        <v/>
      </c>
      <c r="X1572">
        <f>HYPERLINK("https://klasma.github.io/Logging_2309/tillsyn/A 4331-2025 tillsynsbegäran.docx", "A 4331-2025")</f>
        <v/>
      </c>
      <c r="Y1572">
        <f>HYPERLINK("https://klasma.github.io/Logging_2309/tillsynsmail/A 4331-2025 tillsynsbegäran mail.docx", "A 4331-2025")</f>
        <v/>
      </c>
    </row>
    <row r="1573" ht="15" customHeight="1">
      <c r="A1573" t="inlineStr">
        <is>
          <t>A 10632-2023</t>
        </is>
      </c>
      <c r="B1573" s="1" t="n">
        <v>44984</v>
      </c>
      <c r="C1573" s="1" t="n">
        <v>46045</v>
      </c>
      <c r="D1573" t="inlineStr">
        <is>
          <t>JÄMTLANDS LÄN</t>
        </is>
      </c>
      <c r="E1573" t="inlineStr">
        <is>
          <t>ÅRE</t>
        </is>
      </c>
      <c r="G1573" t="n">
        <v>5.4</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HYPERLINK("https://klasma.github.io/Logging_2321/artfynd/A 10632-2023 artfynd.xlsx", "A 10632-2023")</f>
        <v/>
      </c>
      <c r="T1573">
        <f>HYPERLINK("https://klasma.github.io/Logging_2321/kartor/A 10632-2023 karta.png", "A 10632-2023")</f>
        <v/>
      </c>
      <c r="V1573">
        <f>HYPERLINK("https://klasma.github.io/Logging_2321/klagomål/A 10632-2023 FSC-klagomål.docx", "A 10632-2023")</f>
        <v/>
      </c>
      <c r="W1573">
        <f>HYPERLINK("https://klasma.github.io/Logging_2321/klagomålsmail/A 10632-2023 FSC-klagomål mail.docx", "A 10632-2023")</f>
        <v/>
      </c>
      <c r="X1573">
        <f>HYPERLINK("https://klasma.github.io/Logging_2321/tillsyn/A 10632-2023 tillsynsbegäran.docx", "A 10632-2023")</f>
        <v/>
      </c>
      <c r="Y1573">
        <f>HYPERLINK("https://klasma.github.io/Logging_2321/tillsynsmail/A 10632-2023 tillsynsbegäran mail.docx", "A 10632-2023")</f>
        <v/>
      </c>
      <c r="Z1573">
        <f>HYPERLINK("https://klasma.github.io/Logging_2321/fåglar/A 10632-2023 prioriterade fågelarter.docx", "A 10632-2023")</f>
        <v/>
      </c>
    </row>
    <row r="1574" ht="15" customHeight="1">
      <c r="A1574" t="inlineStr">
        <is>
          <t>A 36312-2024</t>
        </is>
      </c>
      <c r="B1574" s="1" t="n">
        <v>45534.63096064814</v>
      </c>
      <c r="C1574" s="1" t="n">
        <v>46045</v>
      </c>
      <c r="D1574" t="inlineStr">
        <is>
          <t>JÄMTLANDS LÄN</t>
        </is>
      </c>
      <c r="E1574" t="inlineStr">
        <is>
          <t>BRÄCKE</t>
        </is>
      </c>
      <c r="F1574" t="inlineStr">
        <is>
          <t>SCA</t>
        </is>
      </c>
      <c r="G1574" t="n">
        <v>9.9</v>
      </c>
      <c r="H1574" t="n">
        <v>0</v>
      </c>
      <c r="I1574" t="n">
        <v>0</v>
      </c>
      <c r="J1574" t="n">
        <v>1</v>
      </c>
      <c r="K1574" t="n">
        <v>0</v>
      </c>
      <c r="L1574" t="n">
        <v>0</v>
      </c>
      <c r="M1574" t="n">
        <v>0</v>
      </c>
      <c r="N1574" t="n">
        <v>0</v>
      </c>
      <c r="O1574" t="n">
        <v>1</v>
      </c>
      <c r="P1574" t="n">
        <v>0</v>
      </c>
      <c r="Q1574" t="n">
        <v>1</v>
      </c>
      <c r="R1574" s="2" t="inlineStr">
        <is>
          <t>Lunglav</t>
        </is>
      </c>
      <c r="S1574">
        <f>HYPERLINK("https://klasma.github.io/Logging_2305/artfynd/A 36312-2024 artfynd.xlsx", "A 36312-2024")</f>
        <v/>
      </c>
      <c r="T1574">
        <f>HYPERLINK("https://klasma.github.io/Logging_2305/kartor/A 36312-2024 karta.png", "A 36312-2024")</f>
        <v/>
      </c>
      <c r="V1574">
        <f>HYPERLINK("https://klasma.github.io/Logging_2305/klagomål/A 36312-2024 FSC-klagomål.docx", "A 36312-2024")</f>
        <v/>
      </c>
      <c r="W1574">
        <f>HYPERLINK("https://klasma.github.io/Logging_2305/klagomålsmail/A 36312-2024 FSC-klagomål mail.docx", "A 36312-2024")</f>
        <v/>
      </c>
      <c r="X1574">
        <f>HYPERLINK("https://klasma.github.io/Logging_2305/tillsyn/A 36312-2024 tillsynsbegäran.docx", "A 36312-2024")</f>
        <v/>
      </c>
      <c r="Y1574">
        <f>HYPERLINK("https://klasma.github.io/Logging_2305/tillsynsmail/A 36312-2024 tillsynsbegäran mail.docx", "A 36312-2024")</f>
        <v/>
      </c>
    </row>
    <row r="1575" ht="15" customHeight="1">
      <c r="A1575" t="inlineStr">
        <is>
          <t>A 33479-2024</t>
        </is>
      </c>
      <c r="B1575" s="1" t="n">
        <v>45519.60824074074</v>
      </c>
      <c r="C1575" s="1" t="n">
        <v>46045</v>
      </c>
      <c r="D1575" t="inlineStr">
        <is>
          <t>JÄMTLANDS LÄN</t>
        </is>
      </c>
      <c r="E1575" t="inlineStr">
        <is>
          <t>BRÄCKE</t>
        </is>
      </c>
      <c r="F1575" t="inlineStr">
        <is>
          <t>SCA</t>
        </is>
      </c>
      <c r="G1575" t="n">
        <v>1.3</v>
      </c>
      <c r="H1575" t="n">
        <v>1</v>
      </c>
      <c r="I1575" t="n">
        <v>0</v>
      </c>
      <c r="J1575" t="n">
        <v>0</v>
      </c>
      <c r="K1575" t="n">
        <v>0</v>
      </c>
      <c r="L1575" t="n">
        <v>0</v>
      </c>
      <c r="M1575" t="n">
        <v>0</v>
      </c>
      <c r="N1575" t="n">
        <v>0</v>
      </c>
      <c r="O1575" t="n">
        <v>0</v>
      </c>
      <c r="P1575" t="n">
        <v>0</v>
      </c>
      <c r="Q1575" t="n">
        <v>1</v>
      </c>
      <c r="R1575" s="2" t="inlineStr">
        <is>
          <t>Revlummer</t>
        </is>
      </c>
      <c r="S1575">
        <f>HYPERLINK("https://klasma.github.io/Logging_2305/artfynd/A 33479-2024 artfynd.xlsx", "A 33479-2024")</f>
        <v/>
      </c>
      <c r="T1575">
        <f>HYPERLINK("https://klasma.github.io/Logging_2305/kartor/A 33479-2024 karta.png", "A 33479-2024")</f>
        <v/>
      </c>
      <c r="V1575">
        <f>HYPERLINK("https://klasma.github.io/Logging_2305/klagomål/A 33479-2024 FSC-klagomål.docx", "A 33479-2024")</f>
        <v/>
      </c>
      <c r="W1575">
        <f>HYPERLINK("https://klasma.github.io/Logging_2305/klagomålsmail/A 33479-2024 FSC-klagomål mail.docx", "A 33479-2024")</f>
        <v/>
      </c>
      <c r="X1575">
        <f>HYPERLINK("https://klasma.github.io/Logging_2305/tillsyn/A 33479-2024 tillsynsbegäran.docx", "A 33479-2024")</f>
        <v/>
      </c>
      <c r="Y1575">
        <f>HYPERLINK("https://klasma.github.io/Logging_2305/tillsynsmail/A 33479-2024 tillsynsbegäran mail.docx", "A 33479-2024")</f>
        <v/>
      </c>
    </row>
    <row r="1576" ht="15" customHeight="1">
      <c r="A1576" t="inlineStr">
        <is>
          <t>A 27753-2023</t>
        </is>
      </c>
      <c r="B1576" s="1" t="n">
        <v>45098</v>
      </c>
      <c r="C1576" s="1" t="n">
        <v>46045</v>
      </c>
      <c r="D1576" t="inlineStr">
        <is>
          <t>JÄMTLANDS LÄN</t>
        </is>
      </c>
      <c r="E1576" t="inlineStr">
        <is>
          <t>KROKOM</t>
        </is>
      </c>
      <c r="F1576" t="inlineStr">
        <is>
          <t>Övriga Aktiebolag</t>
        </is>
      </c>
      <c r="G1576" t="n">
        <v>20.9</v>
      </c>
      <c r="H1576" t="n">
        <v>0</v>
      </c>
      <c r="I1576" t="n">
        <v>0</v>
      </c>
      <c r="J1576" t="n">
        <v>1</v>
      </c>
      <c r="K1576" t="n">
        <v>0</v>
      </c>
      <c r="L1576" t="n">
        <v>0</v>
      </c>
      <c r="M1576" t="n">
        <v>0</v>
      </c>
      <c r="N1576" t="n">
        <v>0</v>
      </c>
      <c r="O1576" t="n">
        <v>1</v>
      </c>
      <c r="P1576" t="n">
        <v>0</v>
      </c>
      <c r="Q1576" t="n">
        <v>1</v>
      </c>
      <c r="R1576" s="2" t="inlineStr">
        <is>
          <t>Mörk kolflarnlav</t>
        </is>
      </c>
      <c r="S1576">
        <f>HYPERLINK("https://klasma.github.io/Logging_2309/artfynd/A 27753-2023 artfynd.xlsx", "A 27753-2023")</f>
        <v/>
      </c>
      <c r="T1576">
        <f>HYPERLINK("https://klasma.github.io/Logging_2309/kartor/A 27753-2023 karta.png", "A 27753-2023")</f>
        <v/>
      </c>
      <c r="V1576">
        <f>HYPERLINK("https://klasma.github.io/Logging_2309/klagomål/A 27753-2023 FSC-klagomål.docx", "A 27753-2023")</f>
        <v/>
      </c>
      <c r="W1576">
        <f>HYPERLINK("https://klasma.github.io/Logging_2309/klagomålsmail/A 27753-2023 FSC-klagomål mail.docx", "A 27753-2023")</f>
        <v/>
      </c>
      <c r="X1576">
        <f>HYPERLINK("https://klasma.github.io/Logging_2309/tillsyn/A 27753-2023 tillsynsbegäran.docx", "A 27753-2023")</f>
        <v/>
      </c>
      <c r="Y1576">
        <f>HYPERLINK("https://klasma.github.io/Logging_2309/tillsynsmail/A 27753-2023 tillsynsbegäran mail.docx", "A 27753-2023")</f>
        <v/>
      </c>
    </row>
    <row r="1577" ht="15" customHeight="1">
      <c r="A1577" t="inlineStr">
        <is>
          <t>A 58226-2021</t>
        </is>
      </c>
      <c r="B1577" s="1" t="n">
        <v>44487</v>
      </c>
      <c r="C1577" s="1" t="n">
        <v>46045</v>
      </c>
      <c r="D1577" t="inlineStr">
        <is>
          <t>JÄMTLANDS LÄN</t>
        </is>
      </c>
      <c r="E1577" t="inlineStr">
        <is>
          <t>ÅRE</t>
        </is>
      </c>
      <c r="G1577" t="n">
        <v>62.3</v>
      </c>
      <c r="H1577" t="n">
        <v>0</v>
      </c>
      <c r="I1577" t="n">
        <v>1</v>
      </c>
      <c r="J1577" t="n">
        <v>0</v>
      </c>
      <c r="K1577" t="n">
        <v>0</v>
      </c>
      <c r="L1577" t="n">
        <v>0</v>
      </c>
      <c r="M1577" t="n">
        <v>0</v>
      </c>
      <c r="N1577" t="n">
        <v>0</v>
      </c>
      <c r="O1577" t="n">
        <v>0</v>
      </c>
      <c r="P1577" t="n">
        <v>0</v>
      </c>
      <c r="Q1577" t="n">
        <v>1</v>
      </c>
      <c r="R1577" s="2" t="inlineStr">
        <is>
          <t>Kambräken</t>
        </is>
      </c>
      <c r="S1577">
        <f>HYPERLINK("https://klasma.github.io/Logging_2321/artfynd/A 58226-2021 artfynd.xlsx", "A 58226-2021")</f>
        <v/>
      </c>
      <c r="T1577">
        <f>HYPERLINK("https://klasma.github.io/Logging_2321/kartor/A 58226-2021 karta.png", "A 58226-2021")</f>
        <v/>
      </c>
      <c r="V1577">
        <f>HYPERLINK("https://klasma.github.io/Logging_2321/klagomål/A 58226-2021 FSC-klagomål.docx", "A 58226-2021")</f>
        <v/>
      </c>
      <c r="W1577">
        <f>HYPERLINK("https://klasma.github.io/Logging_2321/klagomålsmail/A 58226-2021 FSC-klagomål mail.docx", "A 58226-2021")</f>
        <v/>
      </c>
      <c r="X1577">
        <f>HYPERLINK("https://klasma.github.io/Logging_2321/tillsyn/A 58226-2021 tillsynsbegäran.docx", "A 58226-2021")</f>
        <v/>
      </c>
      <c r="Y1577">
        <f>HYPERLINK("https://klasma.github.io/Logging_2321/tillsynsmail/A 58226-2021 tillsynsbegäran mail.docx", "A 58226-2021")</f>
        <v/>
      </c>
    </row>
    <row r="1578" ht="15" customHeight="1">
      <c r="A1578" t="inlineStr">
        <is>
          <t>A 58181-2022</t>
        </is>
      </c>
      <c r="B1578" s="1" t="n">
        <v>44900</v>
      </c>
      <c r="C1578" s="1" t="n">
        <v>46045</v>
      </c>
      <c r="D1578" t="inlineStr">
        <is>
          <t>JÄMTLANDS LÄN</t>
        </is>
      </c>
      <c r="E1578" t="inlineStr">
        <is>
          <t>ÖSTERSUND</t>
        </is>
      </c>
      <c r="G1578" t="n">
        <v>14.8</v>
      </c>
      <c r="H1578" t="n">
        <v>0</v>
      </c>
      <c r="I1578" t="n">
        <v>1</v>
      </c>
      <c r="J1578" t="n">
        <v>0</v>
      </c>
      <c r="K1578" t="n">
        <v>0</v>
      </c>
      <c r="L1578" t="n">
        <v>0</v>
      </c>
      <c r="M1578" t="n">
        <v>0</v>
      </c>
      <c r="N1578" t="n">
        <v>0</v>
      </c>
      <c r="O1578" t="n">
        <v>0</v>
      </c>
      <c r="P1578" t="n">
        <v>0</v>
      </c>
      <c r="Q1578" t="n">
        <v>1</v>
      </c>
      <c r="R1578" s="2" t="inlineStr">
        <is>
          <t>Finbräken</t>
        </is>
      </c>
      <c r="S1578">
        <f>HYPERLINK("https://klasma.github.io/Logging_2380/artfynd/A 58181-2022 artfynd.xlsx", "A 58181-2022")</f>
        <v/>
      </c>
      <c r="T1578">
        <f>HYPERLINK("https://klasma.github.io/Logging_2380/kartor/A 58181-2022 karta.png", "A 58181-2022")</f>
        <v/>
      </c>
      <c r="V1578">
        <f>HYPERLINK("https://klasma.github.io/Logging_2380/klagomål/A 58181-2022 FSC-klagomål.docx", "A 58181-2022")</f>
        <v/>
      </c>
      <c r="W1578">
        <f>HYPERLINK("https://klasma.github.io/Logging_2380/klagomålsmail/A 58181-2022 FSC-klagomål mail.docx", "A 58181-2022")</f>
        <v/>
      </c>
      <c r="X1578">
        <f>HYPERLINK("https://klasma.github.io/Logging_2380/tillsyn/A 58181-2022 tillsynsbegäran.docx", "A 58181-2022")</f>
        <v/>
      </c>
      <c r="Y1578">
        <f>HYPERLINK("https://klasma.github.io/Logging_2380/tillsynsmail/A 58181-2022 tillsynsbegäran mail.docx", "A 58181-2022")</f>
        <v/>
      </c>
    </row>
    <row r="1579" ht="15" customHeight="1">
      <c r="A1579" t="inlineStr">
        <is>
          <t>A 3234-2025</t>
        </is>
      </c>
      <c r="B1579" s="1" t="n">
        <v>45679.49020833334</v>
      </c>
      <c r="C1579" s="1" t="n">
        <v>46045</v>
      </c>
      <c r="D1579" t="inlineStr">
        <is>
          <t>JÄMTLANDS LÄN</t>
        </is>
      </c>
      <c r="E1579" t="inlineStr">
        <is>
          <t>BRÄCKE</t>
        </is>
      </c>
      <c r="F1579" t="inlineStr">
        <is>
          <t>SCA</t>
        </is>
      </c>
      <c r="G1579" t="n">
        <v>1.7</v>
      </c>
      <c r="H1579" t="n">
        <v>1</v>
      </c>
      <c r="I1579" t="n">
        <v>0</v>
      </c>
      <c r="J1579" t="n">
        <v>1</v>
      </c>
      <c r="K1579" t="n">
        <v>0</v>
      </c>
      <c r="L1579" t="n">
        <v>0</v>
      </c>
      <c r="M1579" t="n">
        <v>0</v>
      </c>
      <c r="N1579" t="n">
        <v>0</v>
      </c>
      <c r="O1579" t="n">
        <v>1</v>
      </c>
      <c r="P1579" t="n">
        <v>0</v>
      </c>
      <c r="Q1579" t="n">
        <v>1</v>
      </c>
      <c r="R1579" s="2" t="inlineStr">
        <is>
          <t>Utter</t>
        </is>
      </c>
      <c r="S1579">
        <f>HYPERLINK("https://klasma.github.io/Logging_2305/artfynd/A 3234-2025 artfynd.xlsx", "A 3234-2025")</f>
        <v/>
      </c>
      <c r="T1579">
        <f>HYPERLINK("https://klasma.github.io/Logging_2305/kartor/A 3234-2025 karta.png", "A 3234-2025")</f>
        <v/>
      </c>
      <c r="V1579">
        <f>HYPERLINK("https://klasma.github.io/Logging_2305/klagomål/A 3234-2025 FSC-klagomål.docx", "A 3234-2025")</f>
        <v/>
      </c>
      <c r="W1579">
        <f>HYPERLINK("https://klasma.github.io/Logging_2305/klagomålsmail/A 3234-2025 FSC-klagomål mail.docx", "A 3234-2025")</f>
        <v/>
      </c>
      <c r="X1579">
        <f>HYPERLINK("https://klasma.github.io/Logging_2305/tillsyn/A 3234-2025 tillsynsbegäran.docx", "A 3234-2025")</f>
        <v/>
      </c>
      <c r="Y1579">
        <f>HYPERLINK("https://klasma.github.io/Logging_2305/tillsynsmail/A 3234-2025 tillsynsbegäran mail.docx", "A 3234-2025")</f>
        <v/>
      </c>
    </row>
    <row r="1580" ht="15" customHeight="1">
      <c r="A1580" t="inlineStr">
        <is>
          <t>A 15258-2024</t>
        </is>
      </c>
      <c r="B1580" s="1" t="n">
        <v>45400</v>
      </c>
      <c r="C1580" s="1" t="n">
        <v>46045</v>
      </c>
      <c r="D1580" t="inlineStr">
        <is>
          <t>JÄMTLANDS LÄN</t>
        </is>
      </c>
      <c r="E1580" t="inlineStr">
        <is>
          <t>STRÖMSUND</t>
        </is>
      </c>
      <c r="G1580" t="n">
        <v>40.8</v>
      </c>
      <c r="H1580" t="n">
        <v>0</v>
      </c>
      <c r="I1580" t="n">
        <v>1</v>
      </c>
      <c r="J1580" t="n">
        <v>0</v>
      </c>
      <c r="K1580" t="n">
        <v>0</v>
      </c>
      <c r="L1580" t="n">
        <v>0</v>
      </c>
      <c r="M1580" t="n">
        <v>0</v>
      </c>
      <c r="N1580" t="n">
        <v>0</v>
      </c>
      <c r="O1580" t="n">
        <v>0</v>
      </c>
      <c r="P1580" t="n">
        <v>0</v>
      </c>
      <c r="Q1580" t="n">
        <v>1</v>
      </c>
      <c r="R1580" s="2" t="inlineStr">
        <is>
          <t>Finbräken</t>
        </is>
      </c>
      <c r="S1580">
        <f>HYPERLINK("https://klasma.github.io/Logging_2313/artfynd/A 15258-2024 artfynd.xlsx", "A 15258-2024")</f>
        <v/>
      </c>
      <c r="T1580">
        <f>HYPERLINK("https://klasma.github.io/Logging_2313/kartor/A 15258-2024 karta.png", "A 15258-2024")</f>
        <v/>
      </c>
      <c r="V1580">
        <f>HYPERLINK("https://klasma.github.io/Logging_2313/klagomål/A 15258-2024 FSC-klagomål.docx", "A 15258-2024")</f>
        <v/>
      </c>
      <c r="W1580">
        <f>HYPERLINK("https://klasma.github.io/Logging_2313/klagomålsmail/A 15258-2024 FSC-klagomål mail.docx", "A 15258-2024")</f>
        <v/>
      </c>
      <c r="X1580">
        <f>HYPERLINK("https://klasma.github.io/Logging_2313/tillsyn/A 15258-2024 tillsynsbegäran.docx", "A 15258-2024")</f>
        <v/>
      </c>
      <c r="Y1580">
        <f>HYPERLINK("https://klasma.github.io/Logging_2313/tillsynsmail/A 15258-2024 tillsynsbegäran mail.docx", "A 15258-2024")</f>
        <v/>
      </c>
    </row>
    <row r="1581" ht="15" customHeight="1">
      <c r="A1581" t="inlineStr">
        <is>
          <t>A 427-2025</t>
        </is>
      </c>
      <c r="B1581" s="1" t="n">
        <v>45664.35195601852</v>
      </c>
      <c r="C1581" s="1" t="n">
        <v>46045</v>
      </c>
      <c r="D1581" t="inlineStr">
        <is>
          <t>JÄMTLANDS LÄN</t>
        </is>
      </c>
      <c r="E1581" t="inlineStr">
        <is>
          <t>BRÄCKE</t>
        </is>
      </c>
      <c r="G1581" t="n">
        <v>1.2</v>
      </c>
      <c r="H1581" t="n">
        <v>0</v>
      </c>
      <c r="I1581" t="n">
        <v>1</v>
      </c>
      <c r="J1581" t="n">
        <v>0</v>
      </c>
      <c r="K1581" t="n">
        <v>0</v>
      </c>
      <c r="L1581" t="n">
        <v>0</v>
      </c>
      <c r="M1581" t="n">
        <v>0</v>
      </c>
      <c r="N1581" t="n">
        <v>0</v>
      </c>
      <c r="O1581" t="n">
        <v>0</v>
      </c>
      <c r="P1581" t="n">
        <v>0</v>
      </c>
      <c r="Q1581" t="n">
        <v>1</v>
      </c>
      <c r="R1581" s="2" t="inlineStr">
        <is>
          <t>Rödgul trumpetsvamp</t>
        </is>
      </c>
      <c r="S1581">
        <f>HYPERLINK("https://klasma.github.io/Logging_2305/artfynd/A 427-2025 artfynd.xlsx", "A 427-2025")</f>
        <v/>
      </c>
      <c r="T1581">
        <f>HYPERLINK("https://klasma.github.io/Logging_2305/kartor/A 427-2025 karta.png", "A 427-2025")</f>
        <v/>
      </c>
      <c r="V1581">
        <f>HYPERLINK("https://klasma.github.io/Logging_2305/klagomål/A 427-2025 FSC-klagomål.docx", "A 427-2025")</f>
        <v/>
      </c>
      <c r="W1581">
        <f>HYPERLINK("https://klasma.github.io/Logging_2305/klagomålsmail/A 427-2025 FSC-klagomål mail.docx", "A 427-2025")</f>
        <v/>
      </c>
      <c r="X1581">
        <f>HYPERLINK("https://klasma.github.io/Logging_2305/tillsyn/A 427-2025 tillsynsbegäran.docx", "A 427-2025")</f>
        <v/>
      </c>
      <c r="Y1581">
        <f>HYPERLINK("https://klasma.github.io/Logging_2305/tillsynsmail/A 427-2025 tillsynsbegäran mail.docx", "A 427-2025")</f>
        <v/>
      </c>
    </row>
    <row r="1582" ht="15" customHeight="1">
      <c r="A1582" t="inlineStr">
        <is>
          <t>A 36854-2023</t>
        </is>
      </c>
      <c r="B1582" s="1" t="n">
        <v>45153</v>
      </c>
      <c r="C1582" s="1" t="n">
        <v>46045</v>
      </c>
      <c r="D1582" t="inlineStr">
        <is>
          <t>JÄMTLANDS LÄN</t>
        </is>
      </c>
      <c r="E1582" t="inlineStr">
        <is>
          <t>RAGUNDA</t>
        </is>
      </c>
      <c r="G1582" t="n">
        <v>4</v>
      </c>
      <c r="H1582" t="n">
        <v>1</v>
      </c>
      <c r="I1582" t="n">
        <v>0</v>
      </c>
      <c r="J1582" t="n">
        <v>1</v>
      </c>
      <c r="K1582" t="n">
        <v>0</v>
      </c>
      <c r="L1582" t="n">
        <v>0</v>
      </c>
      <c r="M1582" t="n">
        <v>0</v>
      </c>
      <c r="N1582" t="n">
        <v>0</v>
      </c>
      <c r="O1582" t="n">
        <v>1</v>
      </c>
      <c r="P1582" t="n">
        <v>0</v>
      </c>
      <c r="Q1582" t="n">
        <v>1</v>
      </c>
      <c r="R1582" s="2" t="inlineStr">
        <is>
          <t>Talltita</t>
        </is>
      </c>
      <c r="S1582">
        <f>HYPERLINK("https://klasma.github.io/Logging_2303/artfynd/A 36854-2023 artfynd.xlsx", "A 36854-2023")</f>
        <v/>
      </c>
      <c r="T1582">
        <f>HYPERLINK("https://klasma.github.io/Logging_2303/kartor/A 36854-2023 karta.png", "A 36854-2023")</f>
        <v/>
      </c>
      <c r="V1582">
        <f>HYPERLINK("https://klasma.github.io/Logging_2303/klagomål/A 36854-2023 FSC-klagomål.docx", "A 36854-2023")</f>
        <v/>
      </c>
      <c r="W1582">
        <f>HYPERLINK("https://klasma.github.io/Logging_2303/klagomålsmail/A 36854-2023 FSC-klagomål mail.docx", "A 36854-2023")</f>
        <v/>
      </c>
      <c r="X1582">
        <f>HYPERLINK("https://klasma.github.io/Logging_2303/tillsyn/A 36854-2023 tillsynsbegäran.docx", "A 36854-2023")</f>
        <v/>
      </c>
      <c r="Y1582">
        <f>HYPERLINK("https://klasma.github.io/Logging_2303/tillsynsmail/A 36854-2023 tillsynsbegäran mail.docx", "A 36854-2023")</f>
        <v/>
      </c>
      <c r="Z1582">
        <f>HYPERLINK("https://klasma.github.io/Logging_2303/fåglar/A 36854-2023 prioriterade fågelarter.docx", "A 36854-2023")</f>
        <v/>
      </c>
    </row>
    <row r="1583" ht="15" customHeight="1">
      <c r="A1583" t="inlineStr">
        <is>
          <t>A 36975-2023</t>
        </is>
      </c>
      <c r="B1583" s="1" t="n">
        <v>45154</v>
      </c>
      <c r="C1583" s="1" t="n">
        <v>46045</v>
      </c>
      <c r="D1583" t="inlineStr">
        <is>
          <t>JÄMTLANDS LÄN</t>
        </is>
      </c>
      <c r="E1583" t="inlineStr">
        <is>
          <t>RAGUNDA</t>
        </is>
      </c>
      <c r="F1583" t="inlineStr">
        <is>
          <t>SCA</t>
        </is>
      </c>
      <c r="G1583" t="n">
        <v>3.8</v>
      </c>
      <c r="H1583" t="n">
        <v>0</v>
      </c>
      <c r="I1583" t="n">
        <v>0</v>
      </c>
      <c r="J1583" t="n">
        <v>0</v>
      </c>
      <c r="K1583" t="n">
        <v>1</v>
      </c>
      <c r="L1583" t="n">
        <v>0</v>
      </c>
      <c r="M1583" t="n">
        <v>0</v>
      </c>
      <c r="N1583" t="n">
        <v>0</v>
      </c>
      <c r="O1583" t="n">
        <v>1</v>
      </c>
      <c r="P1583" t="n">
        <v>1</v>
      </c>
      <c r="Q1583" t="n">
        <v>1</v>
      </c>
      <c r="R1583" s="2" t="inlineStr">
        <is>
          <t>Gräddporing</t>
        </is>
      </c>
      <c r="S1583">
        <f>HYPERLINK("https://klasma.github.io/Logging_2303/artfynd/A 36975-2023 artfynd.xlsx", "A 36975-2023")</f>
        <v/>
      </c>
      <c r="T1583">
        <f>HYPERLINK("https://klasma.github.io/Logging_2303/kartor/A 36975-2023 karta.png", "A 36975-2023")</f>
        <v/>
      </c>
      <c r="V1583">
        <f>HYPERLINK("https://klasma.github.io/Logging_2303/klagomål/A 36975-2023 FSC-klagomål.docx", "A 36975-2023")</f>
        <v/>
      </c>
      <c r="W1583">
        <f>HYPERLINK("https://klasma.github.io/Logging_2303/klagomålsmail/A 36975-2023 FSC-klagomål mail.docx", "A 36975-2023")</f>
        <v/>
      </c>
      <c r="X1583">
        <f>HYPERLINK("https://klasma.github.io/Logging_2303/tillsyn/A 36975-2023 tillsynsbegäran.docx", "A 36975-2023")</f>
        <v/>
      </c>
      <c r="Y1583">
        <f>HYPERLINK("https://klasma.github.io/Logging_2303/tillsynsmail/A 36975-2023 tillsynsbegäran mail.docx", "A 36975-2023")</f>
        <v/>
      </c>
    </row>
    <row r="1584" ht="15" customHeight="1">
      <c r="A1584" t="inlineStr">
        <is>
          <t>A 35750-2023</t>
        </is>
      </c>
      <c r="B1584" s="1" t="n">
        <v>45147</v>
      </c>
      <c r="C1584" s="1" t="n">
        <v>46045</v>
      </c>
      <c r="D1584" t="inlineStr">
        <is>
          <t>JÄMTLANDS LÄN</t>
        </is>
      </c>
      <c r="E1584" t="inlineStr">
        <is>
          <t>RAGUNDA</t>
        </is>
      </c>
      <c r="F1584" t="inlineStr">
        <is>
          <t>SCA</t>
        </is>
      </c>
      <c r="G1584" t="n">
        <v>4.8</v>
      </c>
      <c r="H1584" t="n">
        <v>0</v>
      </c>
      <c r="I1584" t="n">
        <v>0</v>
      </c>
      <c r="J1584" t="n">
        <v>1</v>
      </c>
      <c r="K1584" t="n">
        <v>0</v>
      </c>
      <c r="L1584" t="n">
        <v>0</v>
      </c>
      <c r="M1584" t="n">
        <v>0</v>
      </c>
      <c r="N1584" t="n">
        <v>0</v>
      </c>
      <c r="O1584" t="n">
        <v>1</v>
      </c>
      <c r="P1584" t="n">
        <v>0</v>
      </c>
      <c r="Q1584" t="n">
        <v>1</v>
      </c>
      <c r="R1584" s="2" t="inlineStr">
        <is>
          <t>Grantaggsvamp</t>
        </is>
      </c>
      <c r="S1584">
        <f>HYPERLINK("https://klasma.github.io/Logging_2303/artfynd/A 35750-2023 artfynd.xlsx", "A 35750-2023")</f>
        <v/>
      </c>
      <c r="T1584">
        <f>HYPERLINK("https://klasma.github.io/Logging_2303/kartor/A 35750-2023 karta.png", "A 35750-2023")</f>
        <v/>
      </c>
      <c r="V1584">
        <f>HYPERLINK("https://klasma.github.io/Logging_2303/klagomål/A 35750-2023 FSC-klagomål.docx", "A 35750-2023")</f>
        <v/>
      </c>
      <c r="W1584">
        <f>HYPERLINK("https://klasma.github.io/Logging_2303/klagomålsmail/A 35750-2023 FSC-klagomål mail.docx", "A 35750-2023")</f>
        <v/>
      </c>
      <c r="X1584">
        <f>HYPERLINK("https://klasma.github.io/Logging_2303/tillsyn/A 35750-2023 tillsynsbegäran.docx", "A 35750-2023")</f>
        <v/>
      </c>
      <c r="Y1584">
        <f>HYPERLINK("https://klasma.github.io/Logging_2303/tillsynsmail/A 35750-2023 tillsynsbegäran mail.docx", "A 35750-2023")</f>
        <v/>
      </c>
    </row>
    <row r="1585" ht="15" customHeight="1">
      <c r="A1585" t="inlineStr">
        <is>
          <t>A 30067-2024</t>
        </is>
      </c>
      <c r="B1585" s="1" t="n">
        <v>45488.94876157407</v>
      </c>
      <c r="C1585" s="1" t="n">
        <v>46045</v>
      </c>
      <c r="D1585" t="inlineStr">
        <is>
          <t>JÄMTLANDS LÄN</t>
        </is>
      </c>
      <c r="E1585" t="inlineStr">
        <is>
          <t>STRÖMSUND</t>
        </is>
      </c>
      <c r="F1585" t="inlineStr">
        <is>
          <t>SCA</t>
        </is>
      </c>
      <c r="G1585" t="n">
        <v>4.8</v>
      </c>
      <c r="H1585" t="n">
        <v>0</v>
      </c>
      <c r="I1585" t="n">
        <v>0</v>
      </c>
      <c r="J1585" t="n">
        <v>1</v>
      </c>
      <c r="K1585" t="n">
        <v>0</v>
      </c>
      <c r="L1585" t="n">
        <v>0</v>
      </c>
      <c r="M1585" t="n">
        <v>0</v>
      </c>
      <c r="N1585" t="n">
        <v>0</v>
      </c>
      <c r="O1585" t="n">
        <v>1</v>
      </c>
      <c r="P1585" t="n">
        <v>0</v>
      </c>
      <c r="Q1585" t="n">
        <v>1</v>
      </c>
      <c r="R1585" s="2" t="inlineStr">
        <is>
          <t>Doftskinn</t>
        </is>
      </c>
      <c r="S1585">
        <f>HYPERLINK("https://klasma.github.io/Logging_2313/artfynd/A 30067-2024 artfynd.xlsx", "A 30067-2024")</f>
        <v/>
      </c>
      <c r="T1585">
        <f>HYPERLINK("https://klasma.github.io/Logging_2313/kartor/A 30067-2024 karta.png", "A 30067-2024")</f>
        <v/>
      </c>
      <c r="V1585">
        <f>HYPERLINK("https://klasma.github.io/Logging_2313/klagomål/A 30067-2024 FSC-klagomål.docx", "A 30067-2024")</f>
        <v/>
      </c>
      <c r="W1585">
        <f>HYPERLINK("https://klasma.github.io/Logging_2313/klagomålsmail/A 30067-2024 FSC-klagomål mail.docx", "A 30067-2024")</f>
        <v/>
      </c>
      <c r="X1585">
        <f>HYPERLINK("https://klasma.github.io/Logging_2313/tillsyn/A 30067-2024 tillsynsbegäran.docx", "A 30067-2024")</f>
        <v/>
      </c>
      <c r="Y1585">
        <f>HYPERLINK("https://klasma.github.io/Logging_2313/tillsynsmail/A 30067-2024 tillsynsbegäran mail.docx", "A 30067-2024")</f>
        <v/>
      </c>
    </row>
    <row r="1586" ht="15" customHeight="1">
      <c r="A1586" t="inlineStr">
        <is>
          <t>A 12242-2022</t>
        </is>
      </c>
      <c r="B1586" s="1" t="n">
        <v>44637</v>
      </c>
      <c r="C1586" s="1" t="n">
        <v>46045</v>
      </c>
      <c r="D1586" t="inlineStr">
        <is>
          <t>JÄMTLANDS LÄN</t>
        </is>
      </c>
      <c r="E1586" t="inlineStr">
        <is>
          <t>ÅRE</t>
        </is>
      </c>
      <c r="G1586" t="n">
        <v>53.4</v>
      </c>
      <c r="H1586" t="n">
        <v>0</v>
      </c>
      <c r="I1586" t="n">
        <v>0</v>
      </c>
      <c r="J1586" t="n">
        <v>1</v>
      </c>
      <c r="K1586" t="n">
        <v>0</v>
      </c>
      <c r="L1586" t="n">
        <v>0</v>
      </c>
      <c r="M1586" t="n">
        <v>0</v>
      </c>
      <c r="N1586" t="n">
        <v>0</v>
      </c>
      <c r="O1586" t="n">
        <v>1</v>
      </c>
      <c r="P1586" t="n">
        <v>0</v>
      </c>
      <c r="Q1586" t="n">
        <v>1</v>
      </c>
      <c r="R1586" s="2" t="inlineStr">
        <is>
          <t>Granticka</t>
        </is>
      </c>
      <c r="S1586">
        <f>HYPERLINK("https://klasma.github.io/Logging_2321/artfynd/A 12242-2022 artfynd.xlsx", "A 12242-2022")</f>
        <v/>
      </c>
      <c r="T1586">
        <f>HYPERLINK("https://klasma.github.io/Logging_2321/kartor/A 12242-2022 karta.png", "A 12242-2022")</f>
        <v/>
      </c>
      <c r="V1586">
        <f>HYPERLINK("https://klasma.github.io/Logging_2321/klagomål/A 12242-2022 FSC-klagomål.docx", "A 12242-2022")</f>
        <v/>
      </c>
      <c r="W1586">
        <f>HYPERLINK("https://klasma.github.io/Logging_2321/klagomålsmail/A 12242-2022 FSC-klagomål mail.docx", "A 12242-2022")</f>
        <v/>
      </c>
      <c r="X1586">
        <f>HYPERLINK("https://klasma.github.io/Logging_2321/tillsyn/A 12242-2022 tillsynsbegäran.docx", "A 12242-2022")</f>
        <v/>
      </c>
      <c r="Y1586">
        <f>HYPERLINK("https://klasma.github.io/Logging_2321/tillsynsmail/A 12242-2022 tillsynsbegäran mail.docx", "A 12242-2022")</f>
        <v/>
      </c>
    </row>
    <row r="1587" ht="15" customHeight="1">
      <c r="A1587" t="inlineStr">
        <is>
          <t>A 11413-2022</t>
        </is>
      </c>
      <c r="B1587" s="1" t="n">
        <v>44630</v>
      </c>
      <c r="C1587" s="1" t="n">
        <v>46045</v>
      </c>
      <c r="D1587" t="inlineStr">
        <is>
          <t>JÄMTLANDS LÄN</t>
        </is>
      </c>
      <c r="E1587" t="inlineStr">
        <is>
          <t>KROKOM</t>
        </is>
      </c>
      <c r="G1587" t="n">
        <v>0.7</v>
      </c>
      <c r="H1587" t="n">
        <v>1</v>
      </c>
      <c r="I1587" t="n">
        <v>0</v>
      </c>
      <c r="J1587" t="n">
        <v>1</v>
      </c>
      <c r="K1587" t="n">
        <v>0</v>
      </c>
      <c r="L1587" t="n">
        <v>0</v>
      </c>
      <c r="M1587" t="n">
        <v>0</v>
      </c>
      <c r="N1587" t="n">
        <v>0</v>
      </c>
      <c r="O1587" t="n">
        <v>1</v>
      </c>
      <c r="P1587" t="n">
        <v>0</v>
      </c>
      <c r="Q1587" t="n">
        <v>1</v>
      </c>
      <c r="R1587" s="2" t="inlineStr">
        <is>
          <t>Talltita</t>
        </is>
      </c>
      <c r="S1587">
        <f>HYPERLINK("https://klasma.github.io/Logging_2309/artfynd/A 11413-2022 artfynd.xlsx", "A 11413-2022")</f>
        <v/>
      </c>
      <c r="T1587">
        <f>HYPERLINK("https://klasma.github.io/Logging_2309/kartor/A 11413-2022 karta.png", "A 11413-2022")</f>
        <v/>
      </c>
      <c r="V1587">
        <f>HYPERLINK("https://klasma.github.io/Logging_2309/klagomål/A 11413-2022 FSC-klagomål.docx", "A 11413-2022")</f>
        <v/>
      </c>
      <c r="W1587">
        <f>HYPERLINK("https://klasma.github.io/Logging_2309/klagomålsmail/A 11413-2022 FSC-klagomål mail.docx", "A 11413-2022")</f>
        <v/>
      </c>
      <c r="X1587">
        <f>HYPERLINK("https://klasma.github.io/Logging_2309/tillsyn/A 11413-2022 tillsynsbegäran.docx", "A 11413-2022")</f>
        <v/>
      </c>
      <c r="Y1587">
        <f>HYPERLINK("https://klasma.github.io/Logging_2309/tillsynsmail/A 11413-2022 tillsynsbegäran mail.docx", "A 11413-2022")</f>
        <v/>
      </c>
      <c r="Z1587">
        <f>HYPERLINK("https://klasma.github.io/Logging_2309/fåglar/A 11413-2022 prioriterade fågelarter.docx", "A 11413-2022")</f>
        <v/>
      </c>
    </row>
    <row r="1588" ht="15" customHeight="1">
      <c r="A1588" t="inlineStr">
        <is>
          <t>A 40100-2023</t>
        </is>
      </c>
      <c r="B1588" s="1" t="n">
        <v>45168</v>
      </c>
      <c r="C1588" s="1" t="n">
        <v>46045</v>
      </c>
      <c r="D1588" t="inlineStr">
        <is>
          <t>JÄMTLANDS LÄN</t>
        </is>
      </c>
      <c r="E1588" t="inlineStr">
        <is>
          <t>BRÄCKE</t>
        </is>
      </c>
      <c r="F1588" t="inlineStr">
        <is>
          <t>SCA</t>
        </is>
      </c>
      <c r="G1588" t="n">
        <v>2.2</v>
      </c>
      <c r="H1588" t="n">
        <v>1</v>
      </c>
      <c r="I1588" t="n">
        <v>0</v>
      </c>
      <c r="J1588" t="n">
        <v>0</v>
      </c>
      <c r="K1588" t="n">
        <v>1</v>
      </c>
      <c r="L1588" t="n">
        <v>0</v>
      </c>
      <c r="M1588" t="n">
        <v>0</v>
      </c>
      <c r="N1588" t="n">
        <v>0</v>
      </c>
      <c r="O1588" t="n">
        <v>1</v>
      </c>
      <c r="P1588" t="n">
        <v>1</v>
      </c>
      <c r="Q1588" t="n">
        <v>1</v>
      </c>
      <c r="R1588" s="2" t="inlineStr">
        <is>
          <t>Knärot</t>
        </is>
      </c>
      <c r="S1588">
        <f>HYPERLINK("https://klasma.github.io/Logging_2305/artfynd/A 40100-2023 artfynd.xlsx", "A 40100-2023")</f>
        <v/>
      </c>
      <c r="T1588">
        <f>HYPERLINK("https://klasma.github.io/Logging_2305/kartor/A 40100-2023 karta.png", "A 40100-2023")</f>
        <v/>
      </c>
      <c r="U1588">
        <f>HYPERLINK("https://klasma.github.io/Logging_2305/knärot/A 40100-2023 karta knärot.png", "A 40100-2023")</f>
        <v/>
      </c>
      <c r="V1588">
        <f>HYPERLINK("https://klasma.github.io/Logging_2305/klagomål/A 40100-2023 FSC-klagomål.docx", "A 40100-2023")</f>
        <v/>
      </c>
      <c r="W1588">
        <f>HYPERLINK("https://klasma.github.io/Logging_2305/klagomålsmail/A 40100-2023 FSC-klagomål mail.docx", "A 40100-2023")</f>
        <v/>
      </c>
      <c r="X1588">
        <f>HYPERLINK("https://klasma.github.io/Logging_2305/tillsyn/A 40100-2023 tillsynsbegäran.docx", "A 40100-2023")</f>
        <v/>
      </c>
      <c r="Y1588">
        <f>HYPERLINK("https://klasma.github.io/Logging_2305/tillsynsmail/A 40100-2023 tillsynsbegäran mail.docx", "A 40100-2023")</f>
        <v/>
      </c>
    </row>
    <row r="1589" ht="15" customHeight="1">
      <c r="A1589" t="inlineStr">
        <is>
          <t>A 33083-2024</t>
        </is>
      </c>
      <c r="B1589" s="1" t="n">
        <v>45517.675</v>
      </c>
      <c r="C1589" s="1" t="n">
        <v>46045</v>
      </c>
      <c r="D1589" t="inlineStr">
        <is>
          <t>JÄMTLANDS LÄN</t>
        </is>
      </c>
      <c r="E1589" t="inlineStr">
        <is>
          <t>BERG</t>
        </is>
      </c>
      <c r="G1589" t="n">
        <v>0.2</v>
      </c>
      <c r="H1589" t="n">
        <v>0</v>
      </c>
      <c r="I1589" t="n">
        <v>0</v>
      </c>
      <c r="J1589" t="n">
        <v>1</v>
      </c>
      <c r="K1589" t="n">
        <v>0</v>
      </c>
      <c r="L1589" t="n">
        <v>0</v>
      </c>
      <c r="M1589" t="n">
        <v>0</v>
      </c>
      <c r="N1589" t="n">
        <v>0</v>
      </c>
      <c r="O1589" t="n">
        <v>1</v>
      </c>
      <c r="P1589" t="n">
        <v>0</v>
      </c>
      <c r="Q1589" t="n">
        <v>1</v>
      </c>
      <c r="R1589" s="2" t="inlineStr">
        <is>
          <t>Garnlav</t>
        </is>
      </c>
      <c r="S1589">
        <f>HYPERLINK("https://klasma.github.io/Logging_2326/artfynd/A 33083-2024 artfynd.xlsx", "A 33083-2024")</f>
        <v/>
      </c>
      <c r="T1589">
        <f>HYPERLINK("https://klasma.github.io/Logging_2326/kartor/A 33083-2024 karta.png", "A 33083-2024")</f>
        <v/>
      </c>
      <c r="V1589">
        <f>HYPERLINK("https://klasma.github.io/Logging_2326/klagomål/A 33083-2024 FSC-klagomål.docx", "A 33083-2024")</f>
        <v/>
      </c>
      <c r="W1589">
        <f>HYPERLINK("https://klasma.github.io/Logging_2326/klagomålsmail/A 33083-2024 FSC-klagomål mail.docx", "A 33083-2024")</f>
        <v/>
      </c>
      <c r="X1589">
        <f>HYPERLINK("https://klasma.github.io/Logging_2326/tillsyn/A 33083-2024 tillsynsbegäran.docx", "A 33083-2024")</f>
        <v/>
      </c>
      <c r="Y1589">
        <f>HYPERLINK("https://klasma.github.io/Logging_2326/tillsynsmail/A 33083-2024 tillsynsbegäran mail.docx", "A 33083-2024")</f>
        <v/>
      </c>
    </row>
    <row r="1590" ht="15" customHeight="1">
      <c r="A1590" t="inlineStr">
        <is>
          <t>A 8896-2024</t>
        </is>
      </c>
      <c r="B1590" s="1" t="n">
        <v>45357</v>
      </c>
      <c r="C1590" s="1" t="n">
        <v>46045</v>
      </c>
      <c r="D1590" t="inlineStr">
        <is>
          <t>JÄMTLANDS LÄN</t>
        </is>
      </c>
      <c r="E1590" t="inlineStr">
        <is>
          <t>STRÖMSUND</t>
        </is>
      </c>
      <c r="F1590" t="inlineStr">
        <is>
          <t>Holmen skog AB</t>
        </is>
      </c>
      <c r="G1590" t="n">
        <v>2.6</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HYPERLINK("https://klasma.github.io/Logging_2313/artfynd/A 8896-2024 artfynd.xlsx", "A 8896-2024")</f>
        <v/>
      </c>
      <c r="T1590">
        <f>HYPERLINK("https://klasma.github.io/Logging_2313/kartor/A 8896-2024 karta.png", "A 8896-2024")</f>
        <v/>
      </c>
      <c r="V1590">
        <f>HYPERLINK("https://klasma.github.io/Logging_2313/klagomål/A 8896-2024 FSC-klagomål.docx", "A 8896-2024")</f>
        <v/>
      </c>
      <c r="W1590">
        <f>HYPERLINK("https://klasma.github.io/Logging_2313/klagomålsmail/A 8896-2024 FSC-klagomål mail.docx", "A 8896-2024")</f>
        <v/>
      </c>
      <c r="X1590">
        <f>HYPERLINK("https://klasma.github.io/Logging_2313/tillsyn/A 8896-2024 tillsynsbegäran.docx", "A 8896-2024")</f>
        <v/>
      </c>
      <c r="Y1590">
        <f>HYPERLINK("https://klasma.github.io/Logging_2313/tillsynsmail/A 8896-2024 tillsynsbegäran mail.docx", "A 8896-2024")</f>
        <v/>
      </c>
      <c r="Z1590">
        <f>HYPERLINK("https://klasma.github.io/Logging_2313/fåglar/A 8896-2024 prioriterade fågelarter.docx", "A 8896-2024")</f>
        <v/>
      </c>
    </row>
    <row r="1591" ht="15" customHeight="1">
      <c r="A1591" t="inlineStr">
        <is>
          <t>A 36639-2023</t>
        </is>
      </c>
      <c r="B1591" s="1" t="n">
        <v>45153</v>
      </c>
      <c r="C1591" s="1" t="n">
        <v>46045</v>
      </c>
      <c r="D1591" t="inlineStr">
        <is>
          <t>JÄMTLANDS LÄN</t>
        </is>
      </c>
      <c r="E1591" t="inlineStr">
        <is>
          <t>KROKOM</t>
        </is>
      </c>
      <c r="F1591" t="inlineStr">
        <is>
          <t>Övriga Aktiebolag</t>
        </is>
      </c>
      <c r="G1591" t="n">
        <v>5.5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HYPERLINK("https://klasma.github.io/Logging_2309/artfynd/A 36639-2023 artfynd.xlsx", "A 36639-2023")</f>
        <v/>
      </c>
      <c r="T1591">
        <f>HYPERLINK("https://klasma.github.io/Logging_2309/kartor/A 36639-2023 karta.png", "A 36639-2023")</f>
        <v/>
      </c>
      <c r="V1591">
        <f>HYPERLINK("https://klasma.github.io/Logging_2309/klagomål/A 36639-2023 FSC-klagomål.docx", "A 36639-2023")</f>
        <v/>
      </c>
      <c r="W1591">
        <f>HYPERLINK("https://klasma.github.io/Logging_2309/klagomålsmail/A 36639-2023 FSC-klagomål mail.docx", "A 36639-2023")</f>
        <v/>
      </c>
      <c r="X1591">
        <f>HYPERLINK("https://klasma.github.io/Logging_2309/tillsyn/A 36639-2023 tillsynsbegäran.docx", "A 36639-2023")</f>
        <v/>
      </c>
      <c r="Y1591">
        <f>HYPERLINK("https://klasma.github.io/Logging_2309/tillsynsmail/A 36639-2023 tillsynsbegäran mail.docx", "A 36639-2023")</f>
        <v/>
      </c>
      <c r="Z1591">
        <f>HYPERLINK("https://klasma.github.io/Logging_2309/fåglar/A 36639-2023 prioriterade fågelarter.docx", "A 36639-2023")</f>
        <v/>
      </c>
    </row>
    <row r="1592" ht="15" customHeight="1">
      <c r="A1592" t="inlineStr">
        <is>
          <t>A 57553-2024</t>
        </is>
      </c>
      <c r="B1592" s="1" t="n">
        <v>45630.44898148148</v>
      </c>
      <c r="C1592" s="1" t="n">
        <v>46045</v>
      </c>
      <c r="D1592" t="inlineStr">
        <is>
          <t>JÄMTLANDS LÄN</t>
        </is>
      </c>
      <c r="E1592" t="inlineStr">
        <is>
          <t>BRÄCKE</t>
        </is>
      </c>
      <c r="F1592" t="inlineStr">
        <is>
          <t>SCA</t>
        </is>
      </c>
      <c r="G1592" t="n">
        <v>8</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57553-2024 artfynd.xlsx", "A 57553-2024")</f>
        <v/>
      </c>
      <c r="T1592">
        <f>HYPERLINK("https://klasma.github.io/Logging_2305/kartor/A 57553-2024 karta.png", "A 57553-2024")</f>
        <v/>
      </c>
      <c r="V1592">
        <f>HYPERLINK("https://klasma.github.io/Logging_2305/klagomål/A 57553-2024 FSC-klagomål.docx", "A 57553-2024")</f>
        <v/>
      </c>
      <c r="W1592">
        <f>HYPERLINK("https://klasma.github.io/Logging_2305/klagomålsmail/A 57553-2024 FSC-klagomål mail.docx", "A 57553-2024")</f>
        <v/>
      </c>
      <c r="X1592">
        <f>HYPERLINK("https://klasma.github.io/Logging_2305/tillsyn/A 57553-2024 tillsynsbegäran.docx", "A 57553-2024")</f>
        <v/>
      </c>
      <c r="Y1592">
        <f>HYPERLINK("https://klasma.github.io/Logging_2305/tillsynsmail/A 57553-2024 tillsynsbegäran mail.docx", "A 57553-2024")</f>
        <v/>
      </c>
    </row>
    <row r="1593" ht="15" customHeight="1">
      <c r="A1593" t="inlineStr">
        <is>
          <t>A 36941-2024</t>
        </is>
      </c>
      <c r="B1593" s="1" t="n">
        <v>45538.57630787037</v>
      </c>
      <c r="C1593" s="1" t="n">
        <v>46045</v>
      </c>
      <c r="D1593" t="inlineStr">
        <is>
          <t>JÄMTLANDS LÄN</t>
        </is>
      </c>
      <c r="E1593" t="inlineStr">
        <is>
          <t>HÄRJEDALEN</t>
        </is>
      </c>
      <c r="G1593" t="n">
        <v>2.2</v>
      </c>
      <c r="H1593" t="n">
        <v>1</v>
      </c>
      <c r="I1593" t="n">
        <v>0</v>
      </c>
      <c r="J1593" t="n">
        <v>0</v>
      </c>
      <c r="K1593" t="n">
        <v>0</v>
      </c>
      <c r="L1593" t="n">
        <v>0</v>
      </c>
      <c r="M1593" t="n">
        <v>0</v>
      </c>
      <c r="N1593" t="n">
        <v>0</v>
      </c>
      <c r="O1593" t="n">
        <v>0</v>
      </c>
      <c r="P1593" t="n">
        <v>0</v>
      </c>
      <c r="Q1593" t="n">
        <v>1</v>
      </c>
      <c r="R1593" s="2" t="inlineStr">
        <is>
          <t>Orre</t>
        </is>
      </c>
      <c r="S1593">
        <f>HYPERLINK("https://klasma.github.io/Logging_2361/artfynd/A 36941-2024 artfynd.xlsx", "A 36941-2024")</f>
        <v/>
      </c>
      <c r="T1593">
        <f>HYPERLINK("https://klasma.github.io/Logging_2361/kartor/A 36941-2024 karta.png", "A 36941-2024")</f>
        <v/>
      </c>
      <c r="V1593">
        <f>HYPERLINK("https://klasma.github.io/Logging_2361/klagomål/A 36941-2024 FSC-klagomål.docx", "A 36941-2024")</f>
        <v/>
      </c>
      <c r="W1593">
        <f>HYPERLINK("https://klasma.github.io/Logging_2361/klagomålsmail/A 36941-2024 FSC-klagomål mail.docx", "A 36941-2024")</f>
        <v/>
      </c>
      <c r="X1593">
        <f>HYPERLINK("https://klasma.github.io/Logging_2361/tillsyn/A 36941-2024 tillsynsbegäran.docx", "A 36941-2024")</f>
        <v/>
      </c>
      <c r="Y1593">
        <f>HYPERLINK("https://klasma.github.io/Logging_2361/tillsynsmail/A 36941-2024 tillsynsbegäran mail.docx", "A 36941-2024")</f>
        <v/>
      </c>
      <c r="Z1593">
        <f>HYPERLINK("https://klasma.github.io/Logging_2361/fåglar/A 36941-2024 prioriterade fågelarter.docx", "A 36941-2024")</f>
        <v/>
      </c>
    </row>
    <row r="1594" ht="15" customHeight="1">
      <c r="A1594" t="inlineStr">
        <is>
          <t>A 15625-2025</t>
        </is>
      </c>
      <c r="B1594" s="1" t="n">
        <v>45748.36033564815</v>
      </c>
      <c r="C1594" s="1" t="n">
        <v>46045</v>
      </c>
      <c r="D1594" t="inlineStr">
        <is>
          <t>JÄMTLANDS LÄN</t>
        </is>
      </c>
      <c r="E1594" t="inlineStr">
        <is>
          <t>STRÖMSUND</t>
        </is>
      </c>
      <c r="F1594" t="inlineStr">
        <is>
          <t>SCA</t>
        </is>
      </c>
      <c r="G1594" t="n">
        <v>1.5</v>
      </c>
      <c r="H1594" t="n">
        <v>0</v>
      </c>
      <c r="I1594" t="n">
        <v>0</v>
      </c>
      <c r="J1594" t="n">
        <v>0</v>
      </c>
      <c r="K1594" t="n">
        <v>1</v>
      </c>
      <c r="L1594" t="n">
        <v>0</v>
      </c>
      <c r="M1594" t="n">
        <v>0</v>
      </c>
      <c r="N1594" t="n">
        <v>0</v>
      </c>
      <c r="O1594" t="n">
        <v>1</v>
      </c>
      <c r="P1594" t="n">
        <v>1</v>
      </c>
      <c r="Q1594" t="n">
        <v>1</v>
      </c>
      <c r="R1594" s="2" t="inlineStr">
        <is>
          <t>Fläckporing</t>
        </is>
      </c>
      <c r="S1594">
        <f>HYPERLINK("https://klasma.github.io/Logging_2313/artfynd/A 15625-2025 artfynd.xlsx", "A 15625-2025")</f>
        <v/>
      </c>
      <c r="T1594">
        <f>HYPERLINK("https://klasma.github.io/Logging_2313/kartor/A 15625-2025 karta.png", "A 15625-2025")</f>
        <v/>
      </c>
      <c r="V1594">
        <f>HYPERLINK("https://klasma.github.io/Logging_2313/klagomål/A 15625-2025 FSC-klagomål.docx", "A 15625-2025")</f>
        <v/>
      </c>
      <c r="W1594">
        <f>HYPERLINK("https://klasma.github.io/Logging_2313/klagomålsmail/A 15625-2025 FSC-klagomål mail.docx", "A 15625-2025")</f>
        <v/>
      </c>
      <c r="X1594">
        <f>HYPERLINK("https://klasma.github.io/Logging_2313/tillsyn/A 15625-2025 tillsynsbegäran.docx", "A 15625-2025")</f>
        <v/>
      </c>
      <c r="Y1594">
        <f>HYPERLINK("https://klasma.github.io/Logging_2313/tillsynsmail/A 15625-2025 tillsynsbegäran mail.docx", "A 15625-2025")</f>
        <v/>
      </c>
    </row>
    <row r="1595" ht="15" customHeight="1">
      <c r="A1595" t="inlineStr">
        <is>
          <t>A 52746-2024</t>
        </is>
      </c>
      <c r="B1595" s="1" t="n">
        <v>45610.4809375</v>
      </c>
      <c r="C1595" s="1" t="n">
        <v>46045</v>
      </c>
      <c r="D1595" t="inlineStr">
        <is>
          <t>JÄMTLANDS LÄN</t>
        </is>
      </c>
      <c r="E1595" t="inlineStr">
        <is>
          <t>ÅRE</t>
        </is>
      </c>
      <c r="G1595" t="n">
        <v>1.4</v>
      </c>
      <c r="H1595" t="n">
        <v>1</v>
      </c>
      <c r="I1595" t="n">
        <v>0</v>
      </c>
      <c r="J1595" t="n">
        <v>0</v>
      </c>
      <c r="K1595" t="n">
        <v>0</v>
      </c>
      <c r="L1595" t="n">
        <v>0</v>
      </c>
      <c r="M1595" t="n">
        <v>0</v>
      </c>
      <c r="N1595" t="n">
        <v>0</v>
      </c>
      <c r="O1595" t="n">
        <v>0</v>
      </c>
      <c r="P1595" t="n">
        <v>0</v>
      </c>
      <c r="Q1595" t="n">
        <v>1</v>
      </c>
      <c r="R1595" s="2" t="inlineStr">
        <is>
          <t>Blåsippa</t>
        </is>
      </c>
      <c r="S1595">
        <f>HYPERLINK("https://klasma.github.io/Logging_2321/artfynd/A 52746-2024 artfynd.xlsx", "A 52746-2024")</f>
        <v/>
      </c>
      <c r="T1595">
        <f>HYPERLINK("https://klasma.github.io/Logging_2321/kartor/A 52746-2024 karta.png", "A 52746-2024")</f>
        <v/>
      </c>
      <c r="V1595">
        <f>HYPERLINK("https://klasma.github.io/Logging_2321/klagomål/A 52746-2024 FSC-klagomål.docx", "A 52746-2024")</f>
        <v/>
      </c>
      <c r="W1595">
        <f>HYPERLINK("https://klasma.github.io/Logging_2321/klagomålsmail/A 52746-2024 FSC-klagomål mail.docx", "A 52746-2024")</f>
        <v/>
      </c>
      <c r="X1595">
        <f>HYPERLINK("https://klasma.github.io/Logging_2321/tillsyn/A 52746-2024 tillsynsbegäran.docx", "A 52746-2024")</f>
        <v/>
      </c>
      <c r="Y1595">
        <f>HYPERLINK("https://klasma.github.io/Logging_2321/tillsynsmail/A 52746-2024 tillsynsbegäran mail.docx", "A 52746-2024")</f>
        <v/>
      </c>
    </row>
    <row r="1596" ht="15" customHeight="1">
      <c r="A1596" t="inlineStr">
        <is>
          <t>A 43322-2025</t>
        </is>
      </c>
      <c r="B1596" s="1" t="n">
        <v>45910.66347222222</v>
      </c>
      <c r="C1596" s="1" t="n">
        <v>46045</v>
      </c>
      <c r="D1596" t="inlineStr">
        <is>
          <t>JÄMTLANDS LÄN</t>
        </is>
      </c>
      <c r="E1596" t="inlineStr">
        <is>
          <t>HÄRJEDALEN</t>
        </is>
      </c>
      <c r="F1596" t="inlineStr">
        <is>
          <t>Sveaskog</t>
        </is>
      </c>
      <c r="G1596" t="n">
        <v>28.8</v>
      </c>
      <c r="H1596" t="n">
        <v>0</v>
      </c>
      <c r="I1596" t="n">
        <v>0</v>
      </c>
      <c r="J1596" t="n">
        <v>1</v>
      </c>
      <c r="K1596" t="n">
        <v>0</v>
      </c>
      <c r="L1596" t="n">
        <v>0</v>
      </c>
      <c r="M1596" t="n">
        <v>0</v>
      </c>
      <c r="N1596" t="n">
        <v>0</v>
      </c>
      <c r="O1596" t="n">
        <v>1</v>
      </c>
      <c r="P1596" t="n">
        <v>0</v>
      </c>
      <c r="Q1596" t="n">
        <v>1</v>
      </c>
      <c r="R1596" s="2" t="inlineStr">
        <is>
          <t>Dvärgbägarlav</t>
        </is>
      </c>
      <c r="S1596">
        <f>HYPERLINK("https://klasma.github.io/Logging_2361/artfynd/A 43322-2025 artfynd.xlsx", "A 43322-2025")</f>
        <v/>
      </c>
      <c r="T1596">
        <f>HYPERLINK("https://klasma.github.io/Logging_2361/kartor/A 43322-2025 karta.png", "A 43322-2025")</f>
        <v/>
      </c>
      <c r="V1596">
        <f>HYPERLINK("https://klasma.github.io/Logging_2361/klagomål/A 43322-2025 FSC-klagomål.docx", "A 43322-2025")</f>
        <v/>
      </c>
      <c r="W1596">
        <f>HYPERLINK("https://klasma.github.io/Logging_2361/klagomålsmail/A 43322-2025 FSC-klagomål mail.docx", "A 43322-2025")</f>
        <v/>
      </c>
      <c r="X1596">
        <f>HYPERLINK("https://klasma.github.io/Logging_2361/tillsyn/A 43322-2025 tillsynsbegäran.docx", "A 43322-2025")</f>
        <v/>
      </c>
      <c r="Y1596">
        <f>HYPERLINK("https://klasma.github.io/Logging_2361/tillsynsmail/A 43322-2025 tillsynsbegäran mail.docx", "A 43322-2025")</f>
        <v/>
      </c>
    </row>
    <row r="1597" ht="15" customHeight="1">
      <c r="A1597" t="inlineStr">
        <is>
          <t>A 64658-2021</t>
        </is>
      </c>
      <c r="B1597" s="1" t="n">
        <v>44511</v>
      </c>
      <c r="C1597" s="1" t="n">
        <v>46045</v>
      </c>
      <c r="D1597" t="inlineStr">
        <is>
          <t>JÄMTLANDS LÄN</t>
        </is>
      </c>
      <c r="E1597" t="inlineStr">
        <is>
          <t>STRÖMSUND</t>
        </is>
      </c>
      <c r="F1597" t="inlineStr">
        <is>
          <t>SCA</t>
        </is>
      </c>
      <c r="G1597" t="n">
        <v>4.7</v>
      </c>
      <c r="H1597" t="n">
        <v>0</v>
      </c>
      <c r="I1597" t="n">
        <v>0</v>
      </c>
      <c r="J1597" t="n">
        <v>1</v>
      </c>
      <c r="K1597" t="n">
        <v>0</v>
      </c>
      <c r="L1597" t="n">
        <v>0</v>
      </c>
      <c r="M1597" t="n">
        <v>0</v>
      </c>
      <c r="N1597" t="n">
        <v>0</v>
      </c>
      <c r="O1597" t="n">
        <v>1</v>
      </c>
      <c r="P1597" t="n">
        <v>0</v>
      </c>
      <c r="Q1597" t="n">
        <v>1</v>
      </c>
      <c r="R1597" s="2" t="inlineStr">
        <is>
          <t>Harticka</t>
        </is>
      </c>
      <c r="S1597">
        <f>HYPERLINK("https://klasma.github.io/Logging_2313/artfynd/A 64658-2021 artfynd.xlsx", "A 64658-2021")</f>
        <v/>
      </c>
      <c r="T1597">
        <f>HYPERLINK("https://klasma.github.io/Logging_2313/kartor/A 64658-2021 karta.png", "A 64658-2021")</f>
        <v/>
      </c>
      <c r="V1597">
        <f>HYPERLINK("https://klasma.github.io/Logging_2313/klagomål/A 64658-2021 FSC-klagomål.docx", "A 64658-2021")</f>
        <v/>
      </c>
      <c r="W1597">
        <f>HYPERLINK("https://klasma.github.io/Logging_2313/klagomålsmail/A 64658-2021 FSC-klagomål mail.docx", "A 64658-2021")</f>
        <v/>
      </c>
      <c r="X1597">
        <f>HYPERLINK("https://klasma.github.io/Logging_2313/tillsyn/A 64658-2021 tillsynsbegäran.docx", "A 64658-2021")</f>
        <v/>
      </c>
      <c r="Y1597">
        <f>HYPERLINK("https://klasma.github.io/Logging_2313/tillsynsmail/A 64658-2021 tillsynsbegäran mail.docx", "A 64658-2021")</f>
        <v/>
      </c>
    </row>
    <row r="1598" ht="15" customHeight="1">
      <c r="A1598" t="inlineStr">
        <is>
          <t>A 14374-2024</t>
        </is>
      </c>
      <c r="B1598" s="1" t="n">
        <v>45393</v>
      </c>
      <c r="C1598" s="1" t="n">
        <v>46045</v>
      </c>
      <c r="D1598" t="inlineStr">
        <is>
          <t>JÄMTLANDS LÄN</t>
        </is>
      </c>
      <c r="E1598" t="inlineStr">
        <is>
          <t>BRÄCKE</t>
        </is>
      </c>
      <c r="F1598" t="inlineStr">
        <is>
          <t>SCA</t>
        </is>
      </c>
      <c r="G1598" t="n">
        <v>0.8</v>
      </c>
      <c r="H1598" t="n">
        <v>1</v>
      </c>
      <c r="I1598" t="n">
        <v>0</v>
      </c>
      <c r="J1598" t="n">
        <v>1</v>
      </c>
      <c r="K1598" t="n">
        <v>0</v>
      </c>
      <c r="L1598" t="n">
        <v>0</v>
      </c>
      <c r="M1598" t="n">
        <v>0</v>
      </c>
      <c r="N1598" t="n">
        <v>0</v>
      </c>
      <c r="O1598" t="n">
        <v>1</v>
      </c>
      <c r="P1598" t="n">
        <v>0</v>
      </c>
      <c r="Q1598" t="n">
        <v>1</v>
      </c>
      <c r="R1598" s="2" t="inlineStr">
        <is>
          <t>Kungsörn</t>
        </is>
      </c>
      <c r="S1598">
        <f>HYPERLINK("https://klasma.github.io/Logging_2305/artfynd/A 14374-2024 artfynd.xlsx", "A 14374-2024")</f>
        <v/>
      </c>
      <c r="T1598">
        <f>HYPERLINK("https://klasma.github.io/Logging_2305/kartor/A 14374-2024 karta.png", "A 14374-2024")</f>
        <v/>
      </c>
      <c r="V1598">
        <f>HYPERLINK("https://klasma.github.io/Logging_2305/klagomål/A 14374-2024 FSC-klagomål.docx", "A 14374-2024")</f>
        <v/>
      </c>
      <c r="W1598">
        <f>HYPERLINK("https://klasma.github.io/Logging_2305/klagomålsmail/A 14374-2024 FSC-klagomål mail.docx", "A 14374-2024")</f>
        <v/>
      </c>
      <c r="X1598">
        <f>HYPERLINK("https://klasma.github.io/Logging_2305/tillsyn/A 14374-2024 tillsynsbegäran.docx", "A 14374-2024")</f>
        <v/>
      </c>
      <c r="Y1598">
        <f>HYPERLINK("https://klasma.github.io/Logging_2305/tillsynsmail/A 14374-2024 tillsynsbegäran mail.docx", "A 14374-2024")</f>
        <v/>
      </c>
      <c r="Z1598">
        <f>HYPERLINK("https://klasma.github.io/Logging_2305/fåglar/A 14374-2024 prioriterade fågelarter.docx", "A 14374-2024")</f>
        <v/>
      </c>
    </row>
    <row r="1599" ht="15" customHeight="1">
      <c r="A1599" t="inlineStr">
        <is>
          <t>A 43188-2025</t>
        </is>
      </c>
      <c r="B1599" s="1" t="n">
        <v>45910.41201388889</v>
      </c>
      <c r="C1599" s="1" t="n">
        <v>46045</v>
      </c>
      <c r="D1599" t="inlineStr">
        <is>
          <t>JÄMTLANDS LÄN</t>
        </is>
      </c>
      <c r="E1599" t="inlineStr">
        <is>
          <t>ÖSTERSUND</t>
        </is>
      </c>
      <c r="G1599" t="n">
        <v>8.6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HYPERLINK("https://klasma.github.io/Logging_2380/artfynd/A 43188-2025 artfynd.xlsx", "A 43188-2025")</f>
        <v/>
      </c>
      <c r="T1599">
        <f>HYPERLINK("https://klasma.github.io/Logging_2380/kartor/A 43188-2025 karta.png", "A 43188-2025")</f>
        <v/>
      </c>
      <c r="V1599">
        <f>HYPERLINK("https://klasma.github.io/Logging_2380/klagomål/A 43188-2025 FSC-klagomål.docx", "A 43188-2025")</f>
        <v/>
      </c>
      <c r="W1599">
        <f>HYPERLINK("https://klasma.github.io/Logging_2380/klagomålsmail/A 43188-2025 FSC-klagomål mail.docx", "A 43188-2025")</f>
        <v/>
      </c>
      <c r="X1599">
        <f>HYPERLINK("https://klasma.github.io/Logging_2380/tillsyn/A 43188-2025 tillsynsbegäran.docx", "A 43188-2025")</f>
        <v/>
      </c>
      <c r="Y1599">
        <f>HYPERLINK("https://klasma.github.io/Logging_2380/tillsynsmail/A 43188-2025 tillsynsbegäran mail.docx", "A 43188-2025")</f>
        <v/>
      </c>
      <c r="Z1599">
        <f>HYPERLINK("https://klasma.github.io/Logging_2380/fåglar/A 43188-2025 prioriterade fågelarter.docx", "A 43188-2025")</f>
        <v/>
      </c>
    </row>
    <row r="1600" ht="15" customHeight="1">
      <c r="A1600" t="inlineStr">
        <is>
          <t>A 48429-2023</t>
        </is>
      </c>
      <c r="B1600" s="1" t="n">
        <v>45205</v>
      </c>
      <c r="C1600" s="1" t="n">
        <v>46045</v>
      </c>
      <c r="D1600" t="inlineStr">
        <is>
          <t>JÄMTLANDS LÄN</t>
        </is>
      </c>
      <c r="E1600" t="inlineStr">
        <is>
          <t>RAGUNDA</t>
        </is>
      </c>
      <c r="F1600" t="inlineStr">
        <is>
          <t>SCA</t>
        </is>
      </c>
      <c r="G1600" t="n">
        <v>1.8</v>
      </c>
      <c r="H1600" t="n">
        <v>0</v>
      </c>
      <c r="I1600" t="n">
        <v>1</v>
      </c>
      <c r="J1600" t="n">
        <v>0</v>
      </c>
      <c r="K1600" t="n">
        <v>0</v>
      </c>
      <c r="L1600" t="n">
        <v>0</v>
      </c>
      <c r="M1600" t="n">
        <v>0</v>
      </c>
      <c r="N1600" t="n">
        <v>0</v>
      </c>
      <c r="O1600" t="n">
        <v>0</v>
      </c>
      <c r="P1600" t="n">
        <v>0</v>
      </c>
      <c r="Q1600" t="n">
        <v>1</v>
      </c>
      <c r="R1600" s="2" t="inlineStr">
        <is>
          <t>Dropptaggsvamp</t>
        </is>
      </c>
      <c r="S1600">
        <f>HYPERLINK("https://klasma.github.io/Logging_2303/artfynd/A 48429-2023 artfynd.xlsx", "A 48429-2023")</f>
        <v/>
      </c>
      <c r="T1600">
        <f>HYPERLINK("https://klasma.github.io/Logging_2303/kartor/A 48429-2023 karta.png", "A 48429-2023")</f>
        <v/>
      </c>
      <c r="V1600">
        <f>HYPERLINK("https://klasma.github.io/Logging_2303/klagomål/A 48429-2023 FSC-klagomål.docx", "A 48429-2023")</f>
        <v/>
      </c>
      <c r="W1600">
        <f>HYPERLINK("https://klasma.github.io/Logging_2303/klagomålsmail/A 48429-2023 FSC-klagomål mail.docx", "A 48429-2023")</f>
        <v/>
      </c>
      <c r="X1600">
        <f>HYPERLINK("https://klasma.github.io/Logging_2303/tillsyn/A 48429-2023 tillsynsbegäran.docx", "A 48429-2023")</f>
        <v/>
      </c>
      <c r="Y1600">
        <f>HYPERLINK("https://klasma.github.io/Logging_2303/tillsynsmail/A 48429-2023 tillsynsbegäran mail.docx", "A 48429-2023")</f>
        <v/>
      </c>
    </row>
    <row r="1601" ht="15" customHeight="1">
      <c r="A1601" t="inlineStr">
        <is>
          <t>A 57065-2024</t>
        </is>
      </c>
      <c r="B1601" s="1" t="n">
        <v>45629.35344907407</v>
      </c>
      <c r="C1601" s="1" t="n">
        <v>46045</v>
      </c>
      <c r="D1601" t="inlineStr">
        <is>
          <t>JÄMTLANDS LÄN</t>
        </is>
      </c>
      <c r="E1601" t="inlineStr">
        <is>
          <t>ÖSTERSUND</t>
        </is>
      </c>
      <c r="F1601" t="inlineStr">
        <is>
          <t>SCA</t>
        </is>
      </c>
      <c r="G1601" t="n">
        <v>6.3</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HYPERLINK("https://klasma.github.io/Logging_2380/artfynd/A 57065-2024 artfynd.xlsx", "A 57065-2024")</f>
        <v/>
      </c>
      <c r="T1601">
        <f>HYPERLINK("https://klasma.github.io/Logging_2380/kartor/A 57065-2024 karta.png", "A 57065-2024")</f>
        <v/>
      </c>
      <c r="V1601">
        <f>HYPERLINK("https://klasma.github.io/Logging_2380/klagomål/A 57065-2024 FSC-klagomål.docx", "A 57065-2024")</f>
        <v/>
      </c>
      <c r="W1601">
        <f>HYPERLINK("https://klasma.github.io/Logging_2380/klagomålsmail/A 57065-2024 FSC-klagomål mail.docx", "A 57065-2024")</f>
        <v/>
      </c>
      <c r="X1601">
        <f>HYPERLINK("https://klasma.github.io/Logging_2380/tillsyn/A 57065-2024 tillsynsbegäran.docx", "A 57065-2024")</f>
        <v/>
      </c>
      <c r="Y1601">
        <f>HYPERLINK("https://klasma.github.io/Logging_2380/tillsynsmail/A 57065-2024 tillsynsbegäran mail.docx", "A 57065-2024")</f>
        <v/>
      </c>
      <c r="Z1601">
        <f>HYPERLINK("https://klasma.github.io/Logging_2380/fåglar/A 57065-2024 prioriterade fågelarter.docx", "A 57065-2024")</f>
        <v/>
      </c>
    </row>
    <row r="1602" ht="15" customHeight="1">
      <c r="A1602" t="inlineStr">
        <is>
          <t>A 12296-2025</t>
        </is>
      </c>
      <c r="B1602" s="1" t="n">
        <v>45729.69829861111</v>
      </c>
      <c r="C1602" s="1" t="n">
        <v>46045</v>
      </c>
      <c r="D1602" t="inlineStr">
        <is>
          <t>JÄMTLANDS LÄN</t>
        </is>
      </c>
      <c r="E1602" t="inlineStr">
        <is>
          <t>BRÄCKE</t>
        </is>
      </c>
      <c r="F1602" t="inlineStr">
        <is>
          <t>SCA</t>
        </is>
      </c>
      <c r="G1602" t="n">
        <v>2.2</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12296-2025 artfynd.xlsx", "A 12296-2025")</f>
        <v/>
      </c>
      <c r="T1602">
        <f>HYPERLINK("https://klasma.github.io/Logging_2305/kartor/A 12296-2025 karta.png", "A 12296-2025")</f>
        <v/>
      </c>
      <c r="V1602">
        <f>HYPERLINK("https://klasma.github.io/Logging_2305/klagomål/A 12296-2025 FSC-klagomål.docx", "A 12296-2025")</f>
        <v/>
      </c>
      <c r="W1602">
        <f>HYPERLINK("https://klasma.github.io/Logging_2305/klagomålsmail/A 12296-2025 FSC-klagomål mail.docx", "A 12296-2025")</f>
        <v/>
      </c>
      <c r="X1602">
        <f>HYPERLINK("https://klasma.github.io/Logging_2305/tillsyn/A 12296-2025 tillsynsbegäran.docx", "A 12296-2025")</f>
        <v/>
      </c>
      <c r="Y1602">
        <f>HYPERLINK("https://klasma.github.io/Logging_2305/tillsynsmail/A 12296-2025 tillsynsbegäran mail.docx", "A 12296-2025")</f>
        <v/>
      </c>
    </row>
    <row r="1603" ht="15" customHeight="1">
      <c r="A1603" t="inlineStr">
        <is>
          <t>A 32069-2024</t>
        </is>
      </c>
      <c r="B1603" s="1" t="n">
        <v>45510</v>
      </c>
      <c r="C1603" s="1" t="n">
        <v>46045</v>
      </c>
      <c r="D1603" t="inlineStr">
        <is>
          <t>JÄMTLANDS LÄN</t>
        </is>
      </c>
      <c r="E1603" t="inlineStr">
        <is>
          <t>RAGUNDA</t>
        </is>
      </c>
      <c r="F1603" t="inlineStr">
        <is>
          <t>SCA</t>
        </is>
      </c>
      <c r="G1603" t="n">
        <v>1.8</v>
      </c>
      <c r="H1603" t="n">
        <v>0</v>
      </c>
      <c r="I1603" t="n">
        <v>0</v>
      </c>
      <c r="J1603" t="n">
        <v>1</v>
      </c>
      <c r="K1603" t="n">
        <v>0</v>
      </c>
      <c r="L1603" t="n">
        <v>0</v>
      </c>
      <c r="M1603" t="n">
        <v>0</v>
      </c>
      <c r="N1603" t="n">
        <v>0</v>
      </c>
      <c r="O1603" t="n">
        <v>1</v>
      </c>
      <c r="P1603" t="n">
        <v>0</v>
      </c>
      <c r="Q1603" t="n">
        <v>1</v>
      </c>
      <c r="R1603" s="2" t="inlineStr">
        <is>
          <t>Lunglav</t>
        </is>
      </c>
      <c r="S1603">
        <f>HYPERLINK("https://klasma.github.io/Logging_2303/artfynd/A 32069-2024 artfynd.xlsx", "A 32069-2024")</f>
        <v/>
      </c>
      <c r="T1603">
        <f>HYPERLINK("https://klasma.github.io/Logging_2303/kartor/A 32069-2024 karta.png", "A 32069-2024")</f>
        <v/>
      </c>
      <c r="V1603">
        <f>HYPERLINK("https://klasma.github.io/Logging_2303/klagomål/A 32069-2024 FSC-klagomål.docx", "A 32069-2024")</f>
        <v/>
      </c>
      <c r="W1603">
        <f>HYPERLINK("https://klasma.github.io/Logging_2303/klagomålsmail/A 32069-2024 FSC-klagomål mail.docx", "A 32069-2024")</f>
        <v/>
      </c>
      <c r="X1603">
        <f>HYPERLINK("https://klasma.github.io/Logging_2303/tillsyn/A 32069-2024 tillsynsbegäran.docx", "A 32069-2024")</f>
        <v/>
      </c>
      <c r="Y1603">
        <f>HYPERLINK("https://klasma.github.io/Logging_2303/tillsynsmail/A 32069-2024 tillsynsbegäran mail.docx", "A 32069-2024")</f>
        <v/>
      </c>
    </row>
    <row r="1604" ht="15" customHeight="1">
      <c r="A1604" t="inlineStr">
        <is>
          <t>A 43526-2025</t>
        </is>
      </c>
      <c r="B1604" s="1" t="n">
        <v>45911</v>
      </c>
      <c r="C1604" s="1" t="n">
        <v>46045</v>
      </c>
      <c r="D1604" t="inlineStr">
        <is>
          <t>JÄMTLANDS LÄN</t>
        </is>
      </c>
      <c r="E1604" t="inlineStr">
        <is>
          <t>RAGUNDA</t>
        </is>
      </c>
      <c r="G1604" t="n">
        <v>5.5</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43526-2025 artfynd.xlsx", "A 43526-2025")</f>
        <v/>
      </c>
      <c r="T1604">
        <f>HYPERLINK("https://klasma.github.io/Logging_2303/kartor/A 43526-2025 karta.png", "A 43526-2025")</f>
        <v/>
      </c>
      <c r="V1604">
        <f>HYPERLINK("https://klasma.github.io/Logging_2303/klagomål/A 43526-2025 FSC-klagomål.docx", "A 43526-2025")</f>
        <v/>
      </c>
      <c r="W1604">
        <f>HYPERLINK("https://klasma.github.io/Logging_2303/klagomålsmail/A 43526-2025 FSC-klagomål mail.docx", "A 43526-2025")</f>
        <v/>
      </c>
      <c r="X1604">
        <f>HYPERLINK("https://klasma.github.io/Logging_2303/tillsyn/A 43526-2025 tillsynsbegäran.docx", "A 43526-2025")</f>
        <v/>
      </c>
      <c r="Y1604">
        <f>HYPERLINK("https://klasma.github.io/Logging_2303/tillsynsmail/A 43526-2025 tillsynsbegäran mail.docx", "A 43526-2025")</f>
        <v/>
      </c>
    </row>
    <row r="1605" ht="15" customHeight="1">
      <c r="A1605" t="inlineStr">
        <is>
          <t>A 34891-2024</t>
        </is>
      </c>
      <c r="B1605" s="1" t="n">
        <v>45527.36498842593</v>
      </c>
      <c r="C1605" s="1" t="n">
        <v>46045</v>
      </c>
      <c r="D1605" t="inlineStr">
        <is>
          <t>JÄMTLANDS LÄN</t>
        </is>
      </c>
      <c r="E1605" t="inlineStr">
        <is>
          <t>BERG</t>
        </is>
      </c>
      <c r="F1605" t="inlineStr">
        <is>
          <t>SCA</t>
        </is>
      </c>
      <c r="G1605" t="n">
        <v>1.5</v>
      </c>
      <c r="H1605" t="n">
        <v>1</v>
      </c>
      <c r="I1605" t="n">
        <v>0</v>
      </c>
      <c r="J1605" t="n">
        <v>0</v>
      </c>
      <c r="K1605" t="n">
        <v>1</v>
      </c>
      <c r="L1605" t="n">
        <v>0</v>
      </c>
      <c r="M1605" t="n">
        <v>0</v>
      </c>
      <c r="N1605" t="n">
        <v>0</v>
      </c>
      <c r="O1605" t="n">
        <v>1</v>
      </c>
      <c r="P1605" t="n">
        <v>1</v>
      </c>
      <c r="Q1605" t="n">
        <v>1</v>
      </c>
      <c r="R1605" s="2" t="inlineStr">
        <is>
          <t>Knärot</t>
        </is>
      </c>
      <c r="S1605">
        <f>HYPERLINK("https://klasma.github.io/Logging_2326/artfynd/A 34891-2024 artfynd.xlsx", "A 34891-2024")</f>
        <v/>
      </c>
      <c r="T1605">
        <f>HYPERLINK("https://klasma.github.io/Logging_2326/kartor/A 34891-2024 karta.png", "A 34891-2024")</f>
        <v/>
      </c>
      <c r="U1605">
        <f>HYPERLINK("https://klasma.github.io/Logging_2326/knärot/A 34891-2024 karta knärot.png", "A 34891-2024")</f>
        <v/>
      </c>
      <c r="V1605">
        <f>HYPERLINK("https://klasma.github.io/Logging_2326/klagomål/A 34891-2024 FSC-klagomål.docx", "A 34891-2024")</f>
        <v/>
      </c>
      <c r="W1605">
        <f>HYPERLINK("https://klasma.github.io/Logging_2326/klagomålsmail/A 34891-2024 FSC-klagomål mail.docx", "A 34891-2024")</f>
        <v/>
      </c>
      <c r="X1605">
        <f>HYPERLINK("https://klasma.github.io/Logging_2326/tillsyn/A 34891-2024 tillsynsbegäran.docx", "A 34891-2024")</f>
        <v/>
      </c>
      <c r="Y1605">
        <f>HYPERLINK("https://klasma.github.io/Logging_2326/tillsynsmail/A 34891-2024 tillsynsbegäran mail.docx", "A 34891-2024")</f>
        <v/>
      </c>
    </row>
    <row r="1606" ht="15" customHeight="1">
      <c r="A1606" t="inlineStr">
        <is>
          <t>A 25853-2025</t>
        </is>
      </c>
      <c r="B1606" s="1" t="n">
        <v>45804.46908564815</v>
      </c>
      <c r="C1606" s="1" t="n">
        <v>46045</v>
      </c>
      <c r="D1606" t="inlineStr">
        <is>
          <t>JÄMTLANDS LÄN</t>
        </is>
      </c>
      <c r="E1606" t="inlineStr">
        <is>
          <t>BERG</t>
        </is>
      </c>
      <c r="F1606" t="inlineStr">
        <is>
          <t>SCA</t>
        </is>
      </c>
      <c r="G1606" t="n">
        <v>24</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HYPERLINK("https://klasma.github.io/Logging_2326/artfynd/A 25853-2025 artfynd.xlsx", "A 25853-2025")</f>
        <v/>
      </c>
      <c r="T1606">
        <f>HYPERLINK("https://klasma.github.io/Logging_2326/kartor/A 25853-2025 karta.png", "A 25853-2025")</f>
        <v/>
      </c>
      <c r="V1606">
        <f>HYPERLINK("https://klasma.github.io/Logging_2326/klagomål/A 25853-2025 FSC-klagomål.docx", "A 25853-2025")</f>
        <v/>
      </c>
      <c r="W1606">
        <f>HYPERLINK("https://klasma.github.io/Logging_2326/klagomålsmail/A 25853-2025 FSC-klagomål mail.docx", "A 25853-2025")</f>
        <v/>
      </c>
      <c r="X1606">
        <f>HYPERLINK("https://klasma.github.io/Logging_2326/tillsyn/A 25853-2025 tillsynsbegäran.docx", "A 25853-2025")</f>
        <v/>
      </c>
      <c r="Y1606">
        <f>HYPERLINK("https://klasma.github.io/Logging_2326/tillsynsmail/A 25853-2025 tillsynsbegäran mail.docx", "A 25853-2025")</f>
        <v/>
      </c>
      <c r="Z1606">
        <f>HYPERLINK("https://klasma.github.io/Logging_2326/fåglar/A 25853-2025 prioriterade fågelarter.docx", "A 25853-2025")</f>
        <v/>
      </c>
    </row>
    <row r="1607" ht="15" customHeight="1">
      <c r="A1607" t="inlineStr">
        <is>
          <t>A 52809-2025</t>
        </is>
      </c>
      <c r="B1607" s="1" t="n">
        <v>45957.44869212963</v>
      </c>
      <c r="C1607" s="1" t="n">
        <v>46045</v>
      </c>
      <c r="D1607" t="inlineStr">
        <is>
          <t>JÄMTLANDS LÄN</t>
        </is>
      </c>
      <c r="E1607" t="inlineStr">
        <is>
          <t>STRÖMSUND</t>
        </is>
      </c>
      <c r="F1607" t="inlineStr">
        <is>
          <t>SCA</t>
        </is>
      </c>
      <c r="G1607" t="n">
        <v>3.6</v>
      </c>
      <c r="H1607" t="n">
        <v>0</v>
      </c>
      <c r="I1607" t="n">
        <v>0</v>
      </c>
      <c r="J1607" t="n">
        <v>1</v>
      </c>
      <c r="K1607" t="n">
        <v>0</v>
      </c>
      <c r="L1607" t="n">
        <v>0</v>
      </c>
      <c r="M1607" t="n">
        <v>0</v>
      </c>
      <c r="N1607" t="n">
        <v>0</v>
      </c>
      <c r="O1607" t="n">
        <v>1</v>
      </c>
      <c r="P1607" t="n">
        <v>0</v>
      </c>
      <c r="Q1607" t="n">
        <v>1</v>
      </c>
      <c r="R1607" s="2" t="inlineStr">
        <is>
          <t>Skogshare</t>
        </is>
      </c>
      <c r="S1607">
        <f>HYPERLINK("https://klasma.github.io/Logging_2313/artfynd/A 52809-2025 artfynd.xlsx", "A 52809-2025")</f>
        <v/>
      </c>
      <c r="T1607">
        <f>HYPERLINK("https://klasma.github.io/Logging_2313/kartor/A 52809-2025 karta.png", "A 52809-2025")</f>
        <v/>
      </c>
      <c r="V1607">
        <f>HYPERLINK("https://klasma.github.io/Logging_2313/klagomål/A 52809-2025 FSC-klagomål.docx", "A 52809-2025")</f>
        <v/>
      </c>
      <c r="W1607">
        <f>HYPERLINK("https://klasma.github.io/Logging_2313/klagomålsmail/A 52809-2025 FSC-klagomål mail.docx", "A 52809-2025")</f>
        <v/>
      </c>
      <c r="X1607">
        <f>HYPERLINK("https://klasma.github.io/Logging_2313/tillsyn/A 52809-2025 tillsynsbegäran.docx", "A 52809-2025")</f>
        <v/>
      </c>
      <c r="Y1607">
        <f>HYPERLINK("https://klasma.github.io/Logging_2313/tillsynsmail/A 52809-2025 tillsynsbegäran mail.docx", "A 52809-2025")</f>
        <v/>
      </c>
    </row>
    <row r="1608" ht="15" customHeight="1">
      <c r="A1608" t="inlineStr">
        <is>
          <t>A 50321-2024</t>
        </is>
      </c>
      <c r="B1608" s="1" t="n">
        <v>45600</v>
      </c>
      <c r="C1608" s="1" t="n">
        <v>46045</v>
      </c>
      <c r="D1608" t="inlineStr">
        <is>
          <t>JÄMTLANDS LÄN</t>
        </is>
      </c>
      <c r="E1608" t="inlineStr">
        <is>
          <t>ÅRE</t>
        </is>
      </c>
      <c r="F1608" t="inlineStr">
        <is>
          <t>Övriga Aktiebolag</t>
        </is>
      </c>
      <c r="G1608" t="n">
        <v>2.6</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HYPERLINK("https://klasma.github.io/Logging_2321/artfynd/A 50321-2024 artfynd.xlsx", "A 50321-2024")</f>
        <v/>
      </c>
      <c r="T1608">
        <f>HYPERLINK("https://klasma.github.io/Logging_2321/kartor/A 50321-2024 karta.png", "A 50321-2024")</f>
        <v/>
      </c>
      <c r="V1608">
        <f>HYPERLINK("https://klasma.github.io/Logging_2321/klagomål/A 50321-2024 FSC-klagomål.docx", "A 50321-2024")</f>
        <v/>
      </c>
      <c r="W1608">
        <f>HYPERLINK("https://klasma.github.io/Logging_2321/klagomålsmail/A 50321-2024 FSC-klagomål mail.docx", "A 50321-2024")</f>
        <v/>
      </c>
      <c r="X1608">
        <f>HYPERLINK("https://klasma.github.io/Logging_2321/tillsyn/A 50321-2024 tillsynsbegäran.docx", "A 50321-2024")</f>
        <v/>
      </c>
      <c r="Y1608">
        <f>HYPERLINK("https://klasma.github.io/Logging_2321/tillsynsmail/A 50321-2024 tillsynsbegäran mail.docx", "A 50321-2024")</f>
        <v/>
      </c>
      <c r="Z1608">
        <f>HYPERLINK("https://klasma.github.io/Logging_2321/fåglar/A 50321-2024 prioriterade fågelarter.docx", "A 50321-2024")</f>
        <v/>
      </c>
    </row>
    <row r="1609" ht="15" customHeight="1">
      <c r="A1609" t="inlineStr">
        <is>
          <t>A 11040-2023</t>
        </is>
      </c>
      <c r="B1609" s="1" t="n">
        <v>44991</v>
      </c>
      <c r="C1609" s="1" t="n">
        <v>46045</v>
      </c>
      <c r="D1609" t="inlineStr">
        <is>
          <t>JÄMTLANDS LÄN</t>
        </is>
      </c>
      <c r="E1609" t="inlineStr">
        <is>
          <t>RAGUNDA</t>
        </is>
      </c>
      <c r="F1609" t="inlineStr">
        <is>
          <t>SCA</t>
        </is>
      </c>
      <c r="G1609" t="n">
        <v>10.2</v>
      </c>
      <c r="H1609" t="n">
        <v>0</v>
      </c>
      <c r="I1609" t="n">
        <v>0</v>
      </c>
      <c r="J1609" t="n">
        <v>1</v>
      </c>
      <c r="K1609" t="n">
        <v>0</v>
      </c>
      <c r="L1609" t="n">
        <v>0</v>
      </c>
      <c r="M1609" t="n">
        <v>0</v>
      </c>
      <c r="N1609" t="n">
        <v>0</v>
      </c>
      <c r="O1609" t="n">
        <v>1</v>
      </c>
      <c r="P1609" t="n">
        <v>0</v>
      </c>
      <c r="Q1609" t="n">
        <v>1</v>
      </c>
      <c r="R1609" s="2" t="inlineStr">
        <is>
          <t>Lunglav</t>
        </is>
      </c>
      <c r="S1609">
        <f>HYPERLINK("https://klasma.github.io/Logging_2303/artfynd/A 11040-2023 artfynd.xlsx", "A 11040-2023")</f>
        <v/>
      </c>
      <c r="T1609">
        <f>HYPERLINK("https://klasma.github.io/Logging_2303/kartor/A 11040-2023 karta.png", "A 11040-2023")</f>
        <v/>
      </c>
      <c r="V1609">
        <f>HYPERLINK("https://klasma.github.io/Logging_2303/klagomål/A 11040-2023 FSC-klagomål.docx", "A 11040-2023")</f>
        <v/>
      </c>
      <c r="W1609">
        <f>HYPERLINK("https://klasma.github.io/Logging_2303/klagomålsmail/A 11040-2023 FSC-klagomål mail.docx", "A 11040-2023")</f>
        <v/>
      </c>
      <c r="X1609">
        <f>HYPERLINK("https://klasma.github.io/Logging_2303/tillsyn/A 11040-2023 tillsynsbegäran.docx", "A 11040-2023")</f>
        <v/>
      </c>
      <c r="Y1609">
        <f>HYPERLINK("https://klasma.github.io/Logging_2303/tillsynsmail/A 11040-2023 tillsynsbegäran mail.docx", "A 11040-2023")</f>
        <v/>
      </c>
    </row>
    <row r="1610" ht="15" customHeight="1">
      <c r="A1610" t="inlineStr">
        <is>
          <t>A 44214-2025</t>
        </is>
      </c>
      <c r="B1610" s="1" t="n">
        <v>45915.63579861111</v>
      </c>
      <c r="C1610" s="1" t="n">
        <v>46045</v>
      </c>
      <c r="D1610" t="inlineStr">
        <is>
          <t>JÄMTLANDS LÄN</t>
        </is>
      </c>
      <c r="E1610" t="inlineStr">
        <is>
          <t>BRÄCKE</t>
        </is>
      </c>
      <c r="F1610" t="inlineStr">
        <is>
          <t>SCA</t>
        </is>
      </c>
      <c r="G1610" t="n">
        <v>4.9</v>
      </c>
      <c r="H1610" t="n">
        <v>0</v>
      </c>
      <c r="I1610" t="n">
        <v>0</v>
      </c>
      <c r="J1610" t="n">
        <v>0</v>
      </c>
      <c r="K1610" t="n">
        <v>0</v>
      </c>
      <c r="L1610" t="n">
        <v>0</v>
      </c>
      <c r="M1610" t="n">
        <v>0</v>
      </c>
      <c r="N1610" t="n">
        <v>0</v>
      </c>
      <c r="O1610" t="n">
        <v>1</v>
      </c>
      <c r="P1610" t="n">
        <v>0</v>
      </c>
      <c r="Q1610" t="n">
        <v>1</v>
      </c>
      <c r="R1610" s="2" t="inlineStr">
        <is>
          <t>Gelatinfingersvamp</t>
        </is>
      </c>
      <c r="S1610">
        <f>HYPERLINK("https://klasma.github.io/Logging_2305/artfynd/A 44214-2025 artfynd.xlsx", "A 44214-2025")</f>
        <v/>
      </c>
      <c r="T1610">
        <f>HYPERLINK("https://klasma.github.io/Logging_2305/kartor/A 44214-2025 karta.png", "A 44214-2025")</f>
        <v/>
      </c>
      <c r="V1610">
        <f>HYPERLINK("https://klasma.github.io/Logging_2305/klagomål/A 44214-2025 FSC-klagomål.docx", "A 44214-2025")</f>
        <v/>
      </c>
      <c r="W1610">
        <f>HYPERLINK("https://klasma.github.io/Logging_2305/klagomålsmail/A 44214-2025 FSC-klagomål mail.docx", "A 44214-2025")</f>
        <v/>
      </c>
      <c r="X1610">
        <f>HYPERLINK("https://klasma.github.io/Logging_2305/tillsyn/A 44214-2025 tillsynsbegäran.docx", "A 44214-2025")</f>
        <v/>
      </c>
      <c r="Y1610">
        <f>HYPERLINK("https://klasma.github.io/Logging_2305/tillsynsmail/A 44214-2025 tillsynsbegäran mail.docx", "A 44214-2025")</f>
        <v/>
      </c>
    </row>
    <row r="1611" ht="15" customHeight="1">
      <c r="A1611" t="inlineStr">
        <is>
          <t>A 40692-2024</t>
        </is>
      </c>
      <c r="B1611" s="1" t="n">
        <v>45558</v>
      </c>
      <c r="C1611" s="1" t="n">
        <v>46045</v>
      </c>
      <c r="D1611" t="inlineStr">
        <is>
          <t>JÄMTLANDS LÄN</t>
        </is>
      </c>
      <c r="E1611" t="inlineStr">
        <is>
          <t>ÖSTERSUND</t>
        </is>
      </c>
      <c r="F1611" t="inlineStr">
        <is>
          <t>SCA</t>
        </is>
      </c>
      <c r="G1611" t="n">
        <v>0.9</v>
      </c>
      <c r="H1611" t="n">
        <v>0</v>
      </c>
      <c r="I1611" t="n">
        <v>0</v>
      </c>
      <c r="J1611" t="n">
        <v>1</v>
      </c>
      <c r="K1611" t="n">
        <v>0</v>
      </c>
      <c r="L1611" t="n">
        <v>0</v>
      </c>
      <c r="M1611" t="n">
        <v>0</v>
      </c>
      <c r="N1611" t="n">
        <v>0</v>
      </c>
      <c r="O1611" t="n">
        <v>1</v>
      </c>
      <c r="P1611" t="n">
        <v>0</v>
      </c>
      <c r="Q1611" t="n">
        <v>1</v>
      </c>
      <c r="R1611" s="2" t="inlineStr">
        <is>
          <t>Dvärgbägarlav</t>
        </is>
      </c>
      <c r="S1611">
        <f>HYPERLINK("https://klasma.github.io/Logging_2380/artfynd/A 40692-2024 artfynd.xlsx", "A 40692-2024")</f>
        <v/>
      </c>
      <c r="T1611">
        <f>HYPERLINK("https://klasma.github.io/Logging_2380/kartor/A 40692-2024 karta.png", "A 40692-2024")</f>
        <v/>
      </c>
      <c r="V1611">
        <f>HYPERLINK("https://klasma.github.io/Logging_2380/klagomål/A 40692-2024 FSC-klagomål.docx", "A 40692-2024")</f>
        <v/>
      </c>
      <c r="W1611">
        <f>HYPERLINK("https://klasma.github.io/Logging_2380/klagomålsmail/A 40692-2024 FSC-klagomål mail.docx", "A 40692-2024")</f>
        <v/>
      </c>
      <c r="X1611">
        <f>HYPERLINK("https://klasma.github.io/Logging_2380/tillsyn/A 40692-2024 tillsynsbegäran.docx", "A 40692-2024")</f>
        <v/>
      </c>
      <c r="Y1611">
        <f>HYPERLINK("https://klasma.github.io/Logging_2380/tillsynsmail/A 40692-2024 tillsynsbegäran mail.docx", "A 40692-2024")</f>
        <v/>
      </c>
    </row>
    <row r="1612" ht="15" customHeight="1">
      <c r="A1612" t="inlineStr">
        <is>
          <t>A 44934-2025</t>
        </is>
      </c>
      <c r="B1612" s="1" t="n">
        <v>45918.5737962963</v>
      </c>
      <c r="C1612" s="1" t="n">
        <v>46045</v>
      </c>
      <c r="D1612" t="inlineStr">
        <is>
          <t>JÄMTLANDS LÄN</t>
        </is>
      </c>
      <c r="E1612" t="inlineStr">
        <is>
          <t>BRÄCKE</t>
        </is>
      </c>
      <c r="G1612" t="n">
        <v>0.5</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44934-2025 artfynd.xlsx", "A 44934-2025")</f>
        <v/>
      </c>
      <c r="T1612">
        <f>HYPERLINK("https://klasma.github.io/Logging_2305/kartor/A 44934-2025 karta.png", "A 44934-2025")</f>
        <v/>
      </c>
      <c r="V1612">
        <f>HYPERLINK("https://klasma.github.io/Logging_2305/klagomål/A 44934-2025 FSC-klagomål.docx", "A 44934-2025")</f>
        <v/>
      </c>
      <c r="W1612">
        <f>HYPERLINK("https://klasma.github.io/Logging_2305/klagomålsmail/A 44934-2025 FSC-klagomål mail.docx", "A 44934-2025")</f>
        <v/>
      </c>
      <c r="X1612">
        <f>HYPERLINK("https://klasma.github.io/Logging_2305/tillsyn/A 44934-2025 tillsynsbegäran.docx", "A 44934-2025")</f>
        <v/>
      </c>
      <c r="Y1612">
        <f>HYPERLINK("https://klasma.github.io/Logging_2305/tillsynsmail/A 44934-2025 tillsynsbegäran mail.docx", "A 44934-2025")</f>
        <v/>
      </c>
    </row>
    <row r="1613" ht="15" customHeight="1">
      <c r="A1613" t="inlineStr">
        <is>
          <t>A 44645-2025</t>
        </is>
      </c>
      <c r="B1613" s="1" t="n">
        <v>45917.53457175926</v>
      </c>
      <c r="C1613" s="1" t="n">
        <v>46045</v>
      </c>
      <c r="D1613" t="inlineStr">
        <is>
          <t>JÄMTLANDS LÄN</t>
        </is>
      </c>
      <c r="E1613" t="inlineStr">
        <is>
          <t>KROKOM</t>
        </is>
      </c>
      <c r="G1613" t="n">
        <v>4.7</v>
      </c>
      <c r="H1613" t="n">
        <v>0</v>
      </c>
      <c r="I1613" t="n">
        <v>0</v>
      </c>
      <c r="J1613" t="n">
        <v>1</v>
      </c>
      <c r="K1613" t="n">
        <v>0</v>
      </c>
      <c r="L1613" t="n">
        <v>0</v>
      </c>
      <c r="M1613" t="n">
        <v>0</v>
      </c>
      <c r="N1613" t="n">
        <v>0</v>
      </c>
      <c r="O1613" t="n">
        <v>1</v>
      </c>
      <c r="P1613" t="n">
        <v>0</v>
      </c>
      <c r="Q1613" t="n">
        <v>1</v>
      </c>
      <c r="R1613" s="2" t="inlineStr">
        <is>
          <t>Garnlav</t>
        </is>
      </c>
      <c r="S1613">
        <f>HYPERLINK("https://klasma.github.io/Logging_2309/artfynd/A 44645-2025 artfynd.xlsx", "A 44645-2025")</f>
        <v/>
      </c>
      <c r="T1613">
        <f>HYPERLINK("https://klasma.github.io/Logging_2309/kartor/A 44645-2025 karta.png", "A 44645-2025")</f>
        <v/>
      </c>
      <c r="V1613">
        <f>HYPERLINK("https://klasma.github.io/Logging_2309/klagomål/A 44645-2025 FSC-klagomål.docx", "A 44645-2025")</f>
        <v/>
      </c>
      <c r="W1613">
        <f>HYPERLINK("https://klasma.github.io/Logging_2309/klagomålsmail/A 44645-2025 FSC-klagomål mail.docx", "A 44645-2025")</f>
        <v/>
      </c>
      <c r="X1613">
        <f>HYPERLINK("https://klasma.github.io/Logging_2309/tillsyn/A 44645-2025 tillsynsbegäran.docx", "A 44645-2025")</f>
        <v/>
      </c>
      <c r="Y1613">
        <f>HYPERLINK("https://klasma.github.io/Logging_2309/tillsynsmail/A 44645-2025 tillsynsbegäran mail.docx", "A 44645-2025")</f>
        <v/>
      </c>
    </row>
    <row r="1614" ht="15" customHeight="1">
      <c r="A1614" t="inlineStr">
        <is>
          <t>A 4937-2025</t>
        </is>
      </c>
      <c r="B1614" s="1" t="n">
        <v>45688</v>
      </c>
      <c r="C1614" s="1" t="n">
        <v>46045</v>
      </c>
      <c r="D1614" t="inlineStr">
        <is>
          <t>JÄMTLANDS LÄN</t>
        </is>
      </c>
      <c r="E1614" t="inlineStr">
        <is>
          <t>ÅRE</t>
        </is>
      </c>
      <c r="G1614" t="n">
        <v>1.8</v>
      </c>
      <c r="H1614" t="n">
        <v>0</v>
      </c>
      <c r="I1614" t="n">
        <v>0</v>
      </c>
      <c r="J1614" t="n">
        <v>1</v>
      </c>
      <c r="K1614" t="n">
        <v>0</v>
      </c>
      <c r="L1614" t="n">
        <v>0</v>
      </c>
      <c r="M1614" t="n">
        <v>0</v>
      </c>
      <c r="N1614" t="n">
        <v>0</v>
      </c>
      <c r="O1614" t="n">
        <v>1</v>
      </c>
      <c r="P1614" t="n">
        <v>0</v>
      </c>
      <c r="Q1614" t="n">
        <v>1</v>
      </c>
      <c r="R1614" s="2" t="inlineStr">
        <is>
          <t>Granticka</t>
        </is>
      </c>
      <c r="S1614">
        <f>HYPERLINK("https://klasma.github.io/Logging_2321/artfynd/A 4937-2025 artfynd.xlsx", "A 4937-2025")</f>
        <v/>
      </c>
      <c r="T1614">
        <f>HYPERLINK("https://klasma.github.io/Logging_2321/kartor/A 4937-2025 karta.png", "A 4937-2025")</f>
        <v/>
      </c>
      <c r="V1614">
        <f>HYPERLINK("https://klasma.github.io/Logging_2321/klagomål/A 4937-2025 FSC-klagomål.docx", "A 4937-2025")</f>
        <v/>
      </c>
      <c r="W1614">
        <f>HYPERLINK("https://klasma.github.io/Logging_2321/klagomålsmail/A 4937-2025 FSC-klagomål mail.docx", "A 4937-2025")</f>
        <v/>
      </c>
      <c r="X1614">
        <f>HYPERLINK("https://klasma.github.io/Logging_2321/tillsyn/A 4937-2025 tillsynsbegäran.docx", "A 4937-2025")</f>
        <v/>
      </c>
      <c r="Y1614">
        <f>HYPERLINK("https://klasma.github.io/Logging_2321/tillsynsmail/A 4937-2025 tillsynsbegäran mail.docx", "A 4937-2025")</f>
        <v/>
      </c>
    </row>
    <row r="1615" ht="15" customHeight="1">
      <c r="A1615" t="inlineStr">
        <is>
          <t>A 16366-2023</t>
        </is>
      </c>
      <c r="B1615" s="1" t="n">
        <v>45028</v>
      </c>
      <c r="C1615" s="1" t="n">
        <v>46045</v>
      </c>
      <c r="D1615" t="inlineStr">
        <is>
          <t>JÄMTLANDS LÄN</t>
        </is>
      </c>
      <c r="E1615" t="inlineStr">
        <is>
          <t>BRÄCKE</t>
        </is>
      </c>
      <c r="G1615" t="n">
        <v>9.1</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16366-2023 artfynd.xlsx", "A 16366-2023")</f>
        <v/>
      </c>
      <c r="T1615">
        <f>HYPERLINK("https://klasma.github.io/Logging_2305/kartor/A 16366-2023 karta.png", "A 16366-2023")</f>
        <v/>
      </c>
      <c r="V1615">
        <f>HYPERLINK("https://klasma.github.io/Logging_2305/klagomål/A 16366-2023 FSC-klagomål.docx", "A 16366-2023")</f>
        <v/>
      </c>
      <c r="W1615">
        <f>HYPERLINK("https://klasma.github.io/Logging_2305/klagomålsmail/A 16366-2023 FSC-klagomål mail.docx", "A 16366-2023")</f>
        <v/>
      </c>
      <c r="X1615">
        <f>HYPERLINK("https://klasma.github.io/Logging_2305/tillsyn/A 16366-2023 tillsynsbegäran.docx", "A 16366-2023")</f>
        <v/>
      </c>
      <c r="Y1615">
        <f>HYPERLINK("https://klasma.github.io/Logging_2305/tillsynsmail/A 16366-2023 tillsynsbegäran mail.docx", "A 16366-2023")</f>
        <v/>
      </c>
    </row>
    <row r="1616" ht="15" customHeight="1">
      <c r="A1616" t="inlineStr">
        <is>
          <t>A 56156-2024</t>
        </is>
      </c>
      <c r="B1616" s="1" t="n">
        <v>45624.53180555555</v>
      </c>
      <c r="C1616" s="1" t="n">
        <v>46045</v>
      </c>
      <c r="D1616" t="inlineStr">
        <is>
          <t>JÄMTLANDS LÄN</t>
        </is>
      </c>
      <c r="E1616" t="inlineStr">
        <is>
          <t>BRÄCKE</t>
        </is>
      </c>
      <c r="F1616" t="inlineStr">
        <is>
          <t>SCA</t>
        </is>
      </c>
      <c r="G1616" t="n">
        <v>4.4</v>
      </c>
      <c r="H1616" t="n">
        <v>0</v>
      </c>
      <c r="I1616" t="n">
        <v>0</v>
      </c>
      <c r="J1616" t="n">
        <v>1</v>
      </c>
      <c r="K1616" t="n">
        <v>0</v>
      </c>
      <c r="L1616" t="n">
        <v>0</v>
      </c>
      <c r="M1616" t="n">
        <v>0</v>
      </c>
      <c r="N1616" t="n">
        <v>0</v>
      </c>
      <c r="O1616" t="n">
        <v>1</v>
      </c>
      <c r="P1616" t="n">
        <v>0</v>
      </c>
      <c r="Q1616" t="n">
        <v>1</v>
      </c>
      <c r="R1616" s="2" t="inlineStr">
        <is>
          <t>Flattoppad klubbsvamp</t>
        </is>
      </c>
      <c r="S1616">
        <f>HYPERLINK("https://klasma.github.io/Logging_2305/artfynd/A 56156-2024 artfynd.xlsx", "A 56156-2024")</f>
        <v/>
      </c>
      <c r="T1616">
        <f>HYPERLINK("https://klasma.github.io/Logging_2305/kartor/A 56156-2024 karta.png", "A 56156-2024")</f>
        <v/>
      </c>
      <c r="V1616">
        <f>HYPERLINK("https://klasma.github.io/Logging_2305/klagomål/A 56156-2024 FSC-klagomål.docx", "A 56156-2024")</f>
        <v/>
      </c>
      <c r="W1616">
        <f>HYPERLINK("https://klasma.github.io/Logging_2305/klagomålsmail/A 56156-2024 FSC-klagomål mail.docx", "A 56156-2024")</f>
        <v/>
      </c>
      <c r="X1616">
        <f>HYPERLINK("https://klasma.github.io/Logging_2305/tillsyn/A 56156-2024 tillsynsbegäran.docx", "A 56156-2024")</f>
        <v/>
      </c>
      <c r="Y1616">
        <f>HYPERLINK("https://klasma.github.io/Logging_2305/tillsynsmail/A 56156-2024 tillsynsbegäran mail.docx", "A 56156-2024")</f>
        <v/>
      </c>
    </row>
    <row r="1617" ht="15" customHeight="1">
      <c r="A1617" t="inlineStr">
        <is>
          <t>A 44872-2025</t>
        </is>
      </c>
      <c r="B1617" s="1" t="n">
        <v>45918.46957175926</v>
      </c>
      <c r="C1617" s="1" t="n">
        <v>46045</v>
      </c>
      <c r="D1617" t="inlineStr">
        <is>
          <t>JÄMTLANDS LÄN</t>
        </is>
      </c>
      <c r="E1617" t="inlineStr">
        <is>
          <t>BRÄCKE</t>
        </is>
      </c>
      <c r="G1617" t="n">
        <v>0.9</v>
      </c>
      <c r="H1617" t="n">
        <v>0</v>
      </c>
      <c r="I1617" t="n">
        <v>1</v>
      </c>
      <c r="J1617" t="n">
        <v>0</v>
      </c>
      <c r="K1617" t="n">
        <v>0</v>
      </c>
      <c r="L1617" t="n">
        <v>0</v>
      </c>
      <c r="M1617" t="n">
        <v>0</v>
      </c>
      <c r="N1617" t="n">
        <v>0</v>
      </c>
      <c r="O1617" t="n">
        <v>0</v>
      </c>
      <c r="P1617" t="n">
        <v>0</v>
      </c>
      <c r="Q1617" t="n">
        <v>1</v>
      </c>
      <c r="R1617" s="2" t="inlineStr">
        <is>
          <t>Underviol</t>
        </is>
      </c>
      <c r="S1617">
        <f>HYPERLINK("https://klasma.github.io/Logging_2305/artfynd/A 44872-2025 artfynd.xlsx", "A 44872-2025")</f>
        <v/>
      </c>
      <c r="T1617">
        <f>HYPERLINK("https://klasma.github.io/Logging_2305/kartor/A 44872-2025 karta.png", "A 44872-2025")</f>
        <v/>
      </c>
      <c r="V1617">
        <f>HYPERLINK("https://klasma.github.io/Logging_2305/klagomål/A 44872-2025 FSC-klagomål.docx", "A 44872-2025")</f>
        <v/>
      </c>
      <c r="W1617">
        <f>HYPERLINK("https://klasma.github.io/Logging_2305/klagomålsmail/A 44872-2025 FSC-klagomål mail.docx", "A 44872-2025")</f>
        <v/>
      </c>
      <c r="X1617">
        <f>HYPERLINK("https://klasma.github.io/Logging_2305/tillsyn/A 44872-2025 tillsynsbegäran.docx", "A 44872-2025")</f>
        <v/>
      </c>
      <c r="Y1617">
        <f>HYPERLINK("https://klasma.github.io/Logging_2305/tillsynsmail/A 44872-2025 tillsynsbegäran mail.docx", "A 44872-2025")</f>
        <v/>
      </c>
    </row>
    <row r="1618" ht="15" customHeight="1">
      <c r="A1618" t="inlineStr">
        <is>
          <t>A 45289-2025</t>
        </is>
      </c>
      <c r="B1618" s="1" t="n">
        <v>45920.34424768519</v>
      </c>
      <c r="C1618" s="1" t="n">
        <v>46045</v>
      </c>
      <c r="D1618" t="inlineStr">
        <is>
          <t>JÄMTLANDS LÄN</t>
        </is>
      </c>
      <c r="E1618" t="inlineStr">
        <is>
          <t>STRÖMSUND</t>
        </is>
      </c>
      <c r="F1618" t="inlineStr">
        <is>
          <t>SCA</t>
        </is>
      </c>
      <c r="G1618" t="n">
        <v>4.1</v>
      </c>
      <c r="H1618" t="n">
        <v>0</v>
      </c>
      <c r="I1618" t="n">
        <v>0</v>
      </c>
      <c r="J1618" t="n">
        <v>1</v>
      </c>
      <c r="K1618" t="n">
        <v>0</v>
      </c>
      <c r="L1618" t="n">
        <v>0</v>
      </c>
      <c r="M1618" t="n">
        <v>0</v>
      </c>
      <c r="N1618" t="n">
        <v>0</v>
      </c>
      <c r="O1618" t="n">
        <v>1</v>
      </c>
      <c r="P1618" t="n">
        <v>0</v>
      </c>
      <c r="Q1618" t="n">
        <v>1</v>
      </c>
      <c r="R1618" s="2" t="inlineStr">
        <is>
          <t>Mörk kolflarnlav</t>
        </is>
      </c>
      <c r="S1618">
        <f>HYPERLINK("https://klasma.github.io/Logging_2313/artfynd/A 45289-2025 artfynd.xlsx", "A 45289-2025")</f>
        <v/>
      </c>
      <c r="T1618">
        <f>HYPERLINK("https://klasma.github.io/Logging_2313/kartor/A 45289-2025 karta.png", "A 45289-2025")</f>
        <v/>
      </c>
      <c r="V1618">
        <f>HYPERLINK("https://klasma.github.io/Logging_2313/klagomål/A 45289-2025 FSC-klagomål.docx", "A 45289-2025")</f>
        <v/>
      </c>
      <c r="W1618">
        <f>HYPERLINK("https://klasma.github.io/Logging_2313/klagomålsmail/A 45289-2025 FSC-klagomål mail.docx", "A 45289-2025")</f>
        <v/>
      </c>
      <c r="X1618">
        <f>HYPERLINK("https://klasma.github.io/Logging_2313/tillsyn/A 45289-2025 tillsynsbegäran.docx", "A 45289-2025")</f>
        <v/>
      </c>
      <c r="Y1618">
        <f>HYPERLINK("https://klasma.github.io/Logging_2313/tillsynsmail/A 45289-2025 tillsynsbegäran mail.docx", "A 45289-2025")</f>
        <v/>
      </c>
    </row>
    <row r="1619" ht="15" customHeight="1">
      <c r="A1619" t="inlineStr">
        <is>
          <t>A 45454-2025</t>
        </is>
      </c>
      <c r="B1619" s="1" t="n">
        <v>45922.49015046296</v>
      </c>
      <c r="C1619" s="1" t="n">
        <v>46045</v>
      </c>
      <c r="D1619" t="inlineStr">
        <is>
          <t>JÄMTLANDS LÄN</t>
        </is>
      </c>
      <c r="E1619" t="inlineStr">
        <is>
          <t>STRÖMSUND</t>
        </is>
      </c>
      <c r="F1619" t="inlineStr">
        <is>
          <t>SCA</t>
        </is>
      </c>
      <c r="G1619" t="n">
        <v>3.7</v>
      </c>
      <c r="H1619" t="n">
        <v>0</v>
      </c>
      <c r="I1619" t="n">
        <v>0</v>
      </c>
      <c r="J1619" t="n">
        <v>1</v>
      </c>
      <c r="K1619" t="n">
        <v>0</v>
      </c>
      <c r="L1619" t="n">
        <v>0</v>
      </c>
      <c r="M1619" t="n">
        <v>0</v>
      </c>
      <c r="N1619" t="n">
        <v>0</v>
      </c>
      <c r="O1619" t="n">
        <v>1</v>
      </c>
      <c r="P1619" t="n">
        <v>0</v>
      </c>
      <c r="Q1619" t="n">
        <v>1</v>
      </c>
      <c r="R1619" s="2" t="inlineStr">
        <is>
          <t>Gammelgransskål</t>
        </is>
      </c>
      <c r="S1619">
        <f>HYPERLINK("https://klasma.github.io/Logging_2313/artfynd/A 45454-2025 artfynd.xlsx", "A 45454-2025")</f>
        <v/>
      </c>
      <c r="T1619">
        <f>HYPERLINK("https://klasma.github.io/Logging_2313/kartor/A 45454-2025 karta.png", "A 45454-2025")</f>
        <v/>
      </c>
      <c r="V1619">
        <f>HYPERLINK("https://klasma.github.io/Logging_2313/klagomål/A 45454-2025 FSC-klagomål.docx", "A 45454-2025")</f>
        <v/>
      </c>
      <c r="W1619">
        <f>HYPERLINK("https://klasma.github.io/Logging_2313/klagomålsmail/A 45454-2025 FSC-klagomål mail.docx", "A 45454-2025")</f>
        <v/>
      </c>
      <c r="X1619">
        <f>HYPERLINK("https://klasma.github.io/Logging_2313/tillsyn/A 45454-2025 tillsynsbegäran.docx", "A 45454-2025")</f>
        <v/>
      </c>
      <c r="Y1619">
        <f>HYPERLINK("https://klasma.github.io/Logging_2313/tillsynsmail/A 45454-2025 tillsynsbegäran mail.docx", "A 45454-2025")</f>
        <v/>
      </c>
    </row>
    <row r="1620" ht="15" customHeight="1">
      <c r="A1620" t="inlineStr">
        <is>
          <t>A 43883-2024</t>
        </is>
      </c>
      <c r="B1620" s="1" t="n">
        <v>45570</v>
      </c>
      <c r="C1620" s="1" t="n">
        <v>46045</v>
      </c>
      <c r="D1620" t="inlineStr">
        <is>
          <t>JÄMTLANDS LÄN</t>
        </is>
      </c>
      <c r="E1620" t="inlineStr">
        <is>
          <t>ÖSTERSUND</t>
        </is>
      </c>
      <c r="G1620" t="n">
        <v>3.8</v>
      </c>
      <c r="H1620" t="n">
        <v>0</v>
      </c>
      <c r="I1620" t="n">
        <v>0</v>
      </c>
      <c r="J1620" t="n">
        <v>0</v>
      </c>
      <c r="K1620" t="n">
        <v>1</v>
      </c>
      <c r="L1620" t="n">
        <v>0</v>
      </c>
      <c r="M1620" t="n">
        <v>0</v>
      </c>
      <c r="N1620" t="n">
        <v>0</v>
      </c>
      <c r="O1620" t="n">
        <v>1</v>
      </c>
      <c r="P1620" t="n">
        <v>1</v>
      </c>
      <c r="Q1620" t="n">
        <v>1</v>
      </c>
      <c r="R1620" s="2" t="inlineStr">
        <is>
          <t>Frösöstarr</t>
        </is>
      </c>
      <c r="S1620">
        <f>HYPERLINK("https://klasma.github.io/Logging_2380/artfynd/A 43883-2024 artfynd.xlsx", "A 43883-2024")</f>
        <v/>
      </c>
      <c r="T1620">
        <f>HYPERLINK("https://klasma.github.io/Logging_2380/kartor/A 43883-2024 karta.png", "A 43883-2024")</f>
        <v/>
      </c>
      <c r="V1620">
        <f>HYPERLINK("https://klasma.github.io/Logging_2380/klagomål/A 43883-2024 FSC-klagomål.docx", "A 43883-2024")</f>
        <v/>
      </c>
      <c r="W1620">
        <f>HYPERLINK("https://klasma.github.io/Logging_2380/klagomålsmail/A 43883-2024 FSC-klagomål mail.docx", "A 43883-2024")</f>
        <v/>
      </c>
      <c r="X1620">
        <f>HYPERLINK("https://klasma.github.io/Logging_2380/tillsyn/A 43883-2024 tillsynsbegäran.docx", "A 43883-2024")</f>
        <v/>
      </c>
      <c r="Y1620">
        <f>HYPERLINK("https://klasma.github.io/Logging_2380/tillsynsmail/A 43883-2024 tillsynsbegäran mail.docx", "A 43883-2024")</f>
        <v/>
      </c>
    </row>
    <row r="1621" ht="15" customHeight="1">
      <c r="A1621" t="inlineStr">
        <is>
          <t>A 28980-2023</t>
        </is>
      </c>
      <c r="B1621" s="1" t="n">
        <v>45096</v>
      </c>
      <c r="C1621" s="1" t="n">
        <v>46045</v>
      </c>
      <c r="D1621" t="inlineStr">
        <is>
          <t>JÄMTLANDS LÄN</t>
        </is>
      </c>
      <c r="E1621" t="inlineStr">
        <is>
          <t>ÖSTERSUND</t>
        </is>
      </c>
      <c r="G1621" t="n">
        <v>2.7</v>
      </c>
      <c r="H1621" t="n">
        <v>0</v>
      </c>
      <c r="I1621" t="n">
        <v>1</v>
      </c>
      <c r="J1621" t="n">
        <v>0</v>
      </c>
      <c r="K1621" t="n">
        <v>0</v>
      </c>
      <c r="L1621" t="n">
        <v>0</v>
      </c>
      <c r="M1621" t="n">
        <v>0</v>
      </c>
      <c r="N1621" t="n">
        <v>0</v>
      </c>
      <c r="O1621" t="n">
        <v>0</v>
      </c>
      <c r="P1621" t="n">
        <v>0</v>
      </c>
      <c r="Q1621" t="n">
        <v>1</v>
      </c>
      <c r="R1621" s="2" t="inlineStr">
        <is>
          <t>Finbräken</t>
        </is>
      </c>
      <c r="S1621">
        <f>HYPERLINK("https://klasma.github.io/Logging_2380/artfynd/A 28980-2023 artfynd.xlsx", "A 28980-2023")</f>
        <v/>
      </c>
      <c r="T1621">
        <f>HYPERLINK("https://klasma.github.io/Logging_2380/kartor/A 28980-2023 karta.png", "A 28980-2023")</f>
        <v/>
      </c>
      <c r="V1621">
        <f>HYPERLINK("https://klasma.github.io/Logging_2380/klagomål/A 28980-2023 FSC-klagomål.docx", "A 28980-2023")</f>
        <v/>
      </c>
      <c r="W1621">
        <f>HYPERLINK("https://klasma.github.io/Logging_2380/klagomålsmail/A 28980-2023 FSC-klagomål mail.docx", "A 28980-2023")</f>
        <v/>
      </c>
      <c r="X1621">
        <f>HYPERLINK("https://klasma.github.io/Logging_2380/tillsyn/A 28980-2023 tillsynsbegäran.docx", "A 28980-2023")</f>
        <v/>
      </c>
      <c r="Y1621">
        <f>HYPERLINK("https://klasma.github.io/Logging_2380/tillsynsmail/A 28980-2023 tillsynsbegäran mail.docx", "A 28980-2023")</f>
        <v/>
      </c>
    </row>
    <row r="1622" ht="15" customHeight="1">
      <c r="A1622" t="inlineStr">
        <is>
          <t>A 41486-2024</t>
        </is>
      </c>
      <c r="B1622" s="1" t="n">
        <v>45560.44907407407</v>
      </c>
      <c r="C1622" s="1" t="n">
        <v>46045</v>
      </c>
      <c r="D1622" t="inlineStr">
        <is>
          <t>JÄMTLANDS LÄN</t>
        </is>
      </c>
      <c r="E1622" t="inlineStr">
        <is>
          <t>BRÄCKE</t>
        </is>
      </c>
      <c r="F1622" t="inlineStr">
        <is>
          <t>SCA</t>
        </is>
      </c>
      <c r="G1622" t="n">
        <v>5.3</v>
      </c>
      <c r="H1622" t="n">
        <v>0</v>
      </c>
      <c r="I1622" t="n">
        <v>0</v>
      </c>
      <c r="J1622" t="n">
        <v>1</v>
      </c>
      <c r="K1622" t="n">
        <v>0</v>
      </c>
      <c r="L1622" t="n">
        <v>0</v>
      </c>
      <c r="M1622" t="n">
        <v>0</v>
      </c>
      <c r="N1622" t="n">
        <v>0</v>
      </c>
      <c r="O1622" t="n">
        <v>1</v>
      </c>
      <c r="P1622" t="n">
        <v>0</v>
      </c>
      <c r="Q1622" t="n">
        <v>1</v>
      </c>
      <c r="R1622" s="2" t="inlineStr">
        <is>
          <t>Lunglav</t>
        </is>
      </c>
      <c r="S1622">
        <f>HYPERLINK("https://klasma.github.io/Logging_2305/artfynd/A 41486-2024 artfynd.xlsx", "A 41486-2024")</f>
        <v/>
      </c>
      <c r="T1622">
        <f>HYPERLINK("https://klasma.github.io/Logging_2305/kartor/A 41486-2024 karta.png", "A 41486-2024")</f>
        <v/>
      </c>
      <c r="V1622">
        <f>HYPERLINK("https://klasma.github.io/Logging_2305/klagomål/A 41486-2024 FSC-klagomål.docx", "A 41486-2024")</f>
        <v/>
      </c>
      <c r="W1622">
        <f>HYPERLINK("https://klasma.github.io/Logging_2305/klagomålsmail/A 41486-2024 FSC-klagomål mail.docx", "A 41486-2024")</f>
        <v/>
      </c>
      <c r="X1622">
        <f>HYPERLINK("https://klasma.github.io/Logging_2305/tillsyn/A 41486-2024 tillsynsbegäran.docx", "A 41486-2024")</f>
        <v/>
      </c>
      <c r="Y1622">
        <f>HYPERLINK("https://klasma.github.io/Logging_2305/tillsynsmail/A 41486-2024 tillsynsbegäran mail.docx", "A 41486-2024")</f>
        <v/>
      </c>
    </row>
    <row r="1623" ht="15" customHeight="1">
      <c r="A1623" t="inlineStr">
        <is>
          <t>A 789-2025</t>
        </is>
      </c>
      <c r="B1623" s="1" t="n">
        <v>45665.51072916666</v>
      </c>
      <c r="C1623" s="1" t="n">
        <v>46045</v>
      </c>
      <c r="D1623" t="inlineStr">
        <is>
          <t>JÄMTLANDS LÄN</t>
        </is>
      </c>
      <c r="E1623" t="inlineStr">
        <is>
          <t>BRÄCKE</t>
        </is>
      </c>
      <c r="F1623" t="inlineStr">
        <is>
          <t>SCA</t>
        </is>
      </c>
      <c r="G1623" t="n">
        <v>2.6</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789-2025 artfynd.xlsx", "A 789-2025")</f>
        <v/>
      </c>
      <c r="T1623">
        <f>HYPERLINK("https://klasma.github.io/Logging_2305/kartor/A 789-2025 karta.png", "A 789-2025")</f>
        <v/>
      </c>
      <c r="V1623">
        <f>HYPERLINK("https://klasma.github.io/Logging_2305/klagomål/A 789-2025 FSC-klagomål.docx", "A 789-2025")</f>
        <v/>
      </c>
      <c r="W1623">
        <f>HYPERLINK("https://klasma.github.io/Logging_2305/klagomålsmail/A 789-2025 FSC-klagomål mail.docx", "A 789-2025")</f>
        <v/>
      </c>
      <c r="X1623">
        <f>HYPERLINK("https://klasma.github.io/Logging_2305/tillsyn/A 789-2025 tillsynsbegäran.docx", "A 789-2025")</f>
        <v/>
      </c>
      <c r="Y1623">
        <f>HYPERLINK("https://klasma.github.io/Logging_2305/tillsynsmail/A 789-2025 tillsynsbegäran mail.docx", "A 789-2025")</f>
        <v/>
      </c>
    </row>
    <row r="1624" ht="15" customHeight="1">
      <c r="A1624" t="inlineStr">
        <is>
          <t>A 40869-2024</t>
        </is>
      </c>
      <c r="B1624" s="1" t="n">
        <v>45558.59409722222</v>
      </c>
      <c r="C1624" s="1" t="n">
        <v>46045</v>
      </c>
      <c r="D1624" t="inlineStr">
        <is>
          <t>JÄMTLANDS LÄN</t>
        </is>
      </c>
      <c r="E1624" t="inlineStr">
        <is>
          <t>BRÄCKE</t>
        </is>
      </c>
      <c r="F1624" t="inlineStr">
        <is>
          <t>Naturvårdsverket</t>
        </is>
      </c>
      <c r="G1624" t="n">
        <v>1.8</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40869-2024 artfynd.xlsx", "A 40869-2024")</f>
        <v/>
      </c>
      <c r="T1624">
        <f>HYPERLINK("https://klasma.github.io/Logging_2305/kartor/A 40869-2024 karta.png", "A 40869-2024")</f>
        <v/>
      </c>
      <c r="V1624">
        <f>HYPERLINK("https://klasma.github.io/Logging_2305/klagomål/A 40869-2024 FSC-klagomål.docx", "A 40869-2024")</f>
        <v/>
      </c>
      <c r="W1624">
        <f>HYPERLINK("https://klasma.github.io/Logging_2305/klagomålsmail/A 40869-2024 FSC-klagomål mail.docx", "A 40869-2024")</f>
        <v/>
      </c>
      <c r="X1624">
        <f>HYPERLINK("https://klasma.github.io/Logging_2305/tillsyn/A 40869-2024 tillsynsbegäran.docx", "A 40869-2024")</f>
        <v/>
      </c>
      <c r="Y1624">
        <f>HYPERLINK("https://klasma.github.io/Logging_2305/tillsynsmail/A 40869-2024 tillsynsbegäran mail.docx", "A 40869-2024")</f>
        <v/>
      </c>
    </row>
    <row r="1625" ht="15" customHeight="1">
      <c r="A1625" t="inlineStr">
        <is>
          <t>A 58846-2024</t>
        </is>
      </c>
      <c r="B1625" s="1" t="n">
        <v>45636.3863425926</v>
      </c>
      <c r="C1625" s="1" t="n">
        <v>46045</v>
      </c>
      <c r="D1625" t="inlineStr">
        <is>
          <t>JÄMTLANDS LÄN</t>
        </is>
      </c>
      <c r="E1625" t="inlineStr">
        <is>
          <t>RAGUNDA</t>
        </is>
      </c>
      <c r="F1625" t="inlineStr">
        <is>
          <t>SCA</t>
        </is>
      </c>
      <c r="G1625" t="n">
        <v>1.5</v>
      </c>
      <c r="H1625" t="n">
        <v>0</v>
      </c>
      <c r="I1625" t="n">
        <v>0</v>
      </c>
      <c r="J1625" t="n">
        <v>0</v>
      </c>
      <c r="K1625" t="n">
        <v>1</v>
      </c>
      <c r="L1625" t="n">
        <v>0</v>
      </c>
      <c r="M1625" t="n">
        <v>0</v>
      </c>
      <c r="N1625" t="n">
        <v>0</v>
      </c>
      <c r="O1625" t="n">
        <v>1</v>
      </c>
      <c r="P1625" t="n">
        <v>1</v>
      </c>
      <c r="Q1625" t="n">
        <v>1</v>
      </c>
      <c r="R1625" s="2" t="inlineStr">
        <is>
          <t>Rynkskinn</t>
        </is>
      </c>
      <c r="S1625">
        <f>HYPERLINK("https://klasma.github.io/Logging_2303/artfynd/A 58846-2024 artfynd.xlsx", "A 58846-2024")</f>
        <v/>
      </c>
      <c r="T1625">
        <f>HYPERLINK("https://klasma.github.io/Logging_2303/kartor/A 58846-2024 karta.png", "A 58846-2024")</f>
        <v/>
      </c>
      <c r="V1625">
        <f>HYPERLINK("https://klasma.github.io/Logging_2303/klagomål/A 58846-2024 FSC-klagomål.docx", "A 58846-2024")</f>
        <v/>
      </c>
      <c r="W1625">
        <f>HYPERLINK("https://klasma.github.io/Logging_2303/klagomålsmail/A 58846-2024 FSC-klagomål mail.docx", "A 58846-2024")</f>
        <v/>
      </c>
      <c r="X1625">
        <f>HYPERLINK("https://klasma.github.io/Logging_2303/tillsyn/A 58846-2024 tillsynsbegäran.docx", "A 58846-2024")</f>
        <v/>
      </c>
      <c r="Y1625">
        <f>HYPERLINK("https://klasma.github.io/Logging_2303/tillsynsmail/A 58846-2024 tillsynsbegäran mail.docx", "A 58846-2024")</f>
        <v/>
      </c>
    </row>
    <row r="1626" ht="15" customHeight="1">
      <c r="A1626" t="inlineStr">
        <is>
          <t>A 12274-2025</t>
        </is>
      </c>
      <c r="B1626" s="1" t="n">
        <v>45729.64623842593</v>
      </c>
      <c r="C1626" s="1" t="n">
        <v>46045</v>
      </c>
      <c r="D1626" t="inlineStr">
        <is>
          <t>JÄMTLANDS LÄN</t>
        </is>
      </c>
      <c r="E1626" t="inlineStr">
        <is>
          <t>HÄRJEDALEN</t>
        </is>
      </c>
      <c r="F1626" t="inlineStr">
        <is>
          <t>Holmen skog AB</t>
        </is>
      </c>
      <c r="G1626" t="n">
        <v>1</v>
      </c>
      <c r="H1626" t="n">
        <v>0</v>
      </c>
      <c r="I1626" t="n">
        <v>0</v>
      </c>
      <c r="J1626" t="n">
        <v>1</v>
      </c>
      <c r="K1626" t="n">
        <v>0</v>
      </c>
      <c r="L1626" t="n">
        <v>0</v>
      </c>
      <c r="M1626" t="n">
        <v>0</v>
      </c>
      <c r="N1626" t="n">
        <v>0</v>
      </c>
      <c r="O1626" t="n">
        <v>1</v>
      </c>
      <c r="P1626" t="n">
        <v>0</v>
      </c>
      <c r="Q1626" t="n">
        <v>1</v>
      </c>
      <c r="R1626" s="2" t="inlineStr">
        <is>
          <t>Garnlav</t>
        </is>
      </c>
      <c r="S1626">
        <f>HYPERLINK("https://klasma.github.io/Logging_2361/artfynd/A 12274-2025 artfynd.xlsx", "A 12274-2025")</f>
        <v/>
      </c>
      <c r="T1626">
        <f>HYPERLINK("https://klasma.github.io/Logging_2361/kartor/A 12274-2025 karta.png", "A 12274-2025")</f>
        <v/>
      </c>
      <c r="V1626">
        <f>HYPERLINK("https://klasma.github.io/Logging_2361/klagomål/A 12274-2025 FSC-klagomål.docx", "A 12274-2025")</f>
        <v/>
      </c>
      <c r="W1626">
        <f>HYPERLINK("https://klasma.github.io/Logging_2361/klagomålsmail/A 12274-2025 FSC-klagomål mail.docx", "A 12274-2025")</f>
        <v/>
      </c>
      <c r="X1626">
        <f>HYPERLINK("https://klasma.github.io/Logging_2361/tillsyn/A 12274-2025 tillsynsbegäran.docx", "A 12274-2025")</f>
        <v/>
      </c>
      <c r="Y1626">
        <f>HYPERLINK("https://klasma.github.io/Logging_2361/tillsynsmail/A 12274-2025 tillsynsbegäran mail.docx", "A 12274-2025")</f>
        <v/>
      </c>
    </row>
    <row r="1627" ht="15" customHeight="1">
      <c r="A1627" t="inlineStr">
        <is>
          <t>A 26322-2024</t>
        </is>
      </c>
      <c r="B1627" s="1" t="n">
        <v>45468.97461805555</v>
      </c>
      <c r="C1627" s="1" t="n">
        <v>46045</v>
      </c>
      <c r="D1627" t="inlineStr">
        <is>
          <t>JÄMTLANDS LÄN</t>
        </is>
      </c>
      <c r="E1627" t="inlineStr">
        <is>
          <t>RAGUNDA</t>
        </is>
      </c>
      <c r="F1627" t="inlineStr">
        <is>
          <t>SCA</t>
        </is>
      </c>
      <c r="G1627" t="n">
        <v>9.6</v>
      </c>
      <c r="H1627" t="n">
        <v>0</v>
      </c>
      <c r="I1627" t="n">
        <v>0</v>
      </c>
      <c r="J1627" t="n">
        <v>1</v>
      </c>
      <c r="K1627" t="n">
        <v>0</v>
      </c>
      <c r="L1627" t="n">
        <v>0</v>
      </c>
      <c r="M1627" t="n">
        <v>0</v>
      </c>
      <c r="N1627" t="n">
        <v>0</v>
      </c>
      <c r="O1627" t="n">
        <v>1</v>
      </c>
      <c r="P1627" t="n">
        <v>0</v>
      </c>
      <c r="Q1627" t="n">
        <v>1</v>
      </c>
      <c r="R1627" s="2" t="inlineStr">
        <is>
          <t>Rosenticka</t>
        </is>
      </c>
      <c r="S1627">
        <f>HYPERLINK("https://klasma.github.io/Logging_2303/artfynd/A 26322-2024 artfynd.xlsx", "A 26322-2024")</f>
        <v/>
      </c>
      <c r="T1627">
        <f>HYPERLINK("https://klasma.github.io/Logging_2303/kartor/A 26322-2024 karta.png", "A 26322-2024")</f>
        <v/>
      </c>
      <c r="U1627">
        <f>HYPERLINK("https://klasma.github.io/Logging_2303/knärot/A 26322-2024 karta knärot.png", "A 26322-2024")</f>
        <v/>
      </c>
      <c r="V1627">
        <f>HYPERLINK("https://klasma.github.io/Logging_2303/klagomål/A 26322-2024 FSC-klagomål.docx", "A 26322-2024")</f>
        <v/>
      </c>
      <c r="W1627">
        <f>HYPERLINK("https://klasma.github.io/Logging_2303/klagomålsmail/A 26322-2024 FSC-klagomål mail.docx", "A 26322-2024")</f>
        <v/>
      </c>
      <c r="X1627">
        <f>HYPERLINK("https://klasma.github.io/Logging_2303/tillsyn/A 26322-2024 tillsynsbegäran.docx", "A 26322-2024")</f>
        <v/>
      </c>
      <c r="Y1627">
        <f>HYPERLINK("https://klasma.github.io/Logging_2303/tillsynsmail/A 26322-2024 tillsynsbegäran mail.docx", "A 26322-2024")</f>
        <v/>
      </c>
    </row>
    <row r="1628" ht="15" customHeight="1">
      <c r="A1628" t="inlineStr">
        <is>
          <t>A 49651-2023</t>
        </is>
      </c>
      <c r="B1628" s="1" t="n">
        <v>45211</v>
      </c>
      <c r="C1628" s="1" t="n">
        <v>46045</v>
      </c>
      <c r="D1628" t="inlineStr">
        <is>
          <t>JÄMTLANDS LÄN</t>
        </is>
      </c>
      <c r="E1628" t="inlineStr">
        <is>
          <t>STRÖMSUND</t>
        </is>
      </c>
      <c r="F1628" t="inlineStr">
        <is>
          <t>SCA</t>
        </is>
      </c>
      <c r="G1628" t="n">
        <v>2.7</v>
      </c>
      <c r="H1628" t="n">
        <v>1</v>
      </c>
      <c r="I1628" t="n">
        <v>0</v>
      </c>
      <c r="J1628" t="n">
        <v>1</v>
      </c>
      <c r="K1628" t="n">
        <v>0</v>
      </c>
      <c r="L1628" t="n">
        <v>0</v>
      </c>
      <c r="M1628" t="n">
        <v>0</v>
      </c>
      <c r="N1628" t="n">
        <v>0</v>
      </c>
      <c r="O1628" t="n">
        <v>1</v>
      </c>
      <c r="P1628" t="n">
        <v>0</v>
      </c>
      <c r="Q1628" t="n">
        <v>1</v>
      </c>
      <c r="R1628" s="2" t="inlineStr">
        <is>
          <t>Talltita</t>
        </is>
      </c>
      <c r="S1628">
        <f>HYPERLINK("https://klasma.github.io/Logging_2313/artfynd/A 49651-2023 artfynd.xlsx", "A 49651-2023")</f>
        <v/>
      </c>
      <c r="T1628">
        <f>HYPERLINK("https://klasma.github.io/Logging_2313/kartor/A 49651-2023 karta.png", "A 49651-2023")</f>
        <v/>
      </c>
      <c r="V1628">
        <f>HYPERLINK("https://klasma.github.io/Logging_2313/klagomål/A 49651-2023 FSC-klagomål.docx", "A 49651-2023")</f>
        <v/>
      </c>
      <c r="W1628">
        <f>HYPERLINK("https://klasma.github.io/Logging_2313/klagomålsmail/A 49651-2023 FSC-klagomål mail.docx", "A 49651-2023")</f>
        <v/>
      </c>
      <c r="X1628">
        <f>HYPERLINK("https://klasma.github.io/Logging_2313/tillsyn/A 49651-2023 tillsynsbegäran.docx", "A 49651-2023")</f>
        <v/>
      </c>
      <c r="Y1628">
        <f>HYPERLINK("https://klasma.github.io/Logging_2313/tillsynsmail/A 49651-2023 tillsynsbegäran mail.docx", "A 49651-2023")</f>
        <v/>
      </c>
      <c r="Z1628">
        <f>HYPERLINK("https://klasma.github.io/Logging_2313/fåglar/A 49651-2023 prioriterade fågelarter.docx", "A 49651-2023")</f>
        <v/>
      </c>
    </row>
    <row r="1629" ht="15" customHeight="1">
      <c r="A1629" t="inlineStr">
        <is>
          <t>A 49091-2022</t>
        </is>
      </c>
      <c r="B1629" s="1" t="n">
        <v>44860</v>
      </c>
      <c r="C1629" s="1" t="n">
        <v>46045</v>
      </c>
      <c r="D1629" t="inlineStr">
        <is>
          <t>JÄMTLANDS LÄN</t>
        </is>
      </c>
      <c r="E1629" t="inlineStr">
        <is>
          <t>RAGUNDA</t>
        </is>
      </c>
      <c r="G1629" t="n">
        <v>3.5</v>
      </c>
      <c r="H1629" t="n">
        <v>1</v>
      </c>
      <c r="I1629" t="n">
        <v>0</v>
      </c>
      <c r="J1629" t="n">
        <v>0</v>
      </c>
      <c r="K1629" t="n">
        <v>1</v>
      </c>
      <c r="L1629" t="n">
        <v>0</v>
      </c>
      <c r="M1629" t="n">
        <v>0</v>
      </c>
      <c r="N1629" t="n">
        <v>0</v>
      </c>
      <c r="O1629" t="n">
        <v>1</v>
      </c>
      <c r="P1629" t="n">
        <v>1</v>
      </c>
      <c r="Q1629" t="n">
        <v>1</v>
      </c>
      <c r="R1629" s="2" t="inlineStr">
        <is>
          <t>Doftticka</t>
        </is>
      </c>
      <c r="S1629">
        <f>HYPERLINK("https://klasma.github.io/Logging_2303/artfynd/A 49091-2022 artfynd.xlsx", "A 49091-2022")</f>
        <v/>
      </c>
      <c r="T1629">
        <f>HYPERLINK("https://klasma.github.io/Logging_2303/kartor/A 49091-2022 karta.png", "A 49091-2022")</f>
        <v/>
      </c>
      <c r="V1629">
        <f>HYPERLINK("https://klasma.github.io/Logging_2303/klagomål/A 49091-2022 FSC-klagomål.docx", "A 49091-2022")</f>
        <v/>
      </c>
      <c r="W1629">
        <f>HYPERLINK("https://klasma.github.io/Logging_2303/klagomålsmail/A 49091-2022 FSC-klagomål mail.docx", "A 49091-2022")</f>
        <v/>
      </c>
      <c r="X1629">
        <f>HYPERLINK("https://klasma.github.io/Logging_2303/tillsyn/A 49091-2022 tillsynsbegäran.docx", "A 49091-2022")</f>
        <v/>
      </c>
      <c r="Y1629">
        <f>HYPERLINK("https://klasma.github.io/Logging_2303/tillsynsmail/A 49091-2022 tillsynsbegäran mail.docx", "A 49091-2022")</f>
        <v/>
      </c>
    </row>
    <row r="1630" ht="15" customHeight="1">
      <c r="A1630" t="inlineStr">
        <is>
          <t>A 46626-2025</t>
        </is>
      </c>
      <c r="B1630" s="1" t="n">
        <v>45926.4487037037</v>
      </c>
      <c r="C1630" s="1" t="n">
        <v>46045</v>
      </c>
      <c r="D1630" t="inlineStr">
        <is>
          <t>JÄMTLANDS LÄN</t>
        </is>
      </c>
      <c r="E1630" t="inlineStr">
        <is>
          <t>BRÄCKE</t>
        </is>
      </c>
      <c r="F1630" t="inlineStr">
        <is>
          <t>SCA</t>
        </is>
      </c>
      <c r="G1630" t="n">
        <v>1.2</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46626-2025 artfynd.xlsx", "A 46626-2025")</f>
        <v/>
      </c>
      <c r="T1630">
        <f>HYPERLINK("https://klasma.github.io/Logging_2305/kartor/A 46626-2025 karta.png", "A 46626-2025")</f>
        <v/>
      </c>
      <c r="V1630">
        <f>HYPERLINK("https://klasma.github.io/Logging_2305/klagomål/A 46626-2025 FSC-klagomål.docx", "A 46626-2025")</f>
        <v/>
      </c>
      <c r="W1630">
        <f>HYPERLINK("https://klasma.github.io/Logging_2305/klagomålsmail/A 46626-2025 FSC-klagomål mail.docx", "A 46626-2025")</f>
        <v/>
      </c>
      <c r="X1630">
        <f>HYPERLINK("https://klasma.github.io/Logging_2305/tillsyn/A 46626-2025 tillsynsbegäran.docx", "A 46626-2025")</f>
        <v/>
      </c>
      <c r="Y1630">
        <f>HYPERLINK("https://klasma.github.io/Logging_2305/tillsynsmail/A 46626-2025 tillsynsbegäran mail.docx", "A 46626-2025")</f>
        <v/>
      </c>
    </row>
    <row r="1631" ht="15" customHeight="1">
      <c r="A1631" t="inlineStr">
        <is>
          <t>A 41635-2024</t>
        </is>
      </c>
      <c r="B1631" s="1" t="n">
        <v>45560.61601851852</v>
      </c>
      <c r="C1631" s="1" t="n">
        <v>46045</v>
      </c>
      <c r="D1631" t="inlineStr">
        <is>
          <t>JÄMTLANDS LÄN</t>
        </is>
      </c>
      <c r="E1631" t="inlineStr">
        <is>
          <t>BERG</t>
        </is>
      </c>
      <c r="F1631" t="inlineStr">
        <is>
          <t>SCA</t>
        </is>
      </c>
      <c r="G1631" t="n">
        <v>4.2</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HYPERLINK("https://klasma.github.io/Logging_2326/artfynd/A 41635-2024 artfynd.xlsx", "A 41635-2024")</f>
        <v/>
      </c>
      <c r="T1631">
        <f>HYPERLINK("https://klasma.github.io/Logging_2326/kartor/A 41635-2024 karta.png", "A 41635-2024")</f>
        <v/>
      </c>
      <c r="V1631">
        <f>HYPERLINK("https://klasma.github.io/Logging_2326/klagomål/A 41635-2024 FSC-klagomål.docx", "A 41635-2024")</f>
        <v/>
      </c>
      <c r="W1631">
        <f>HYPERLINK("https://klasma.github.io/Logging_2326/klagomålsmail/A 41635-2024 FSC-klagomål mail.docx", "A 41635-2024")</f>
        <v/>
      </c>
      <c r="X1631">
        <f>HYPERLINK("https://klasma.github.io/Logging_2326/tillsyn/A 41635-2024 tillsynsbegäran.docx", "A 41635-2024")</f>
        <v/>
      </c>
      <c r="Y1631">
        <f>HYPERLINK("https://klasma.github.io/Logging_2326/tillsynsmail/A 41635-2024 tillsynsbegäran mail.docx", "A 41635-2024")</f>
        <v/>
      </c>
    </row>
    <row r="1632" ht="15" customHeight="1">
      <c r="A1632" t="inlineStr">
        <is>
          <t>A 46570-2025</t>
        </is>
      </c>
      <c r="B1632" s="1" t="n">
        <v>45926.36619212963</v>
      </c>
      <c r="C1632" s="1" t="n">
        <v>46045</v>
      </c>
      <c r="D1632" t="inlineStr">
        <is>
          <t>JÄMTLANDS LÄN</t>
        </is>
      </c>
      <c r="E1632" t="inlineStr">
        <is>
          <t>STRÖMSUND</t>
        </is>
      </c>
      <c r="G1632" t="n">
        <v>4.6</v>
      </c>
      <c r="H1632" t="n">
        <v>0</v>
      </c>
      <c r="I1632" t="n">
        <v>1</v>
      </c>
      <c r="J1632" t="n">
        <v>0</v>
      </c>
      <c r="K1632" t="n">
        <v>0</v>
      </c>
      <c r="L1632" t="n">
        <v>0</v>
      </c>
      <c r="M1632" t="n">
        <v>0</v>
      </c>
      <c r="N1632" t="n">
        <v>0</v>
      </c>
      <c r="O1632" t="n">
        <v>0</v>
      </c>
      <c r="P1632" t="n">
        <v>0</v>
      </c>
      <c r="Q1632" t="n">
        <v>1</v>
      </c>
      <c r="R1632" s="2" t="inlineStr">
        <is>
          <t>Svavelriska</t>
        </is>
      </c>
      <c r="S1632">
        <f>HYPERLINK("https://klasma.github.io/Logging_2313/artfynd/A 46570-2025 artfynd.xlsx", "A 46570-2025")</f>
        <v/>
      </c>
      <c r="T1632">
        <f>HYPERLINK("https://klasma.github.io/Logging_2313/kartor/A 46570-2025 karta.png", "A 46570-2025")</f>
        <v/>
      </c>
      <c r="V1632">
        <f>HYPERLINK("https://klasma.github.io/Logging_2313/klagomål/A 46570-2025 FSC-klagomål.docx", "A 46570-2025")</f>
        <v/>
      </c>
      <c r="W1632">
        <f>HYPERLINK("https://klasma.github.io/Logging_2313/klagomålsmail/A 46570-2025 FSC-klagomål mail.docx", "A 46570-2025")</f>
        <v/>
      </c>
      <c r="X1632">
        <f>HYPERLINK("https://klasma.github.io/Logging_2313/tillsyn/A 46570-2025 tillsynsbegäran.docx", "A 46570-2025")</f>
        <v/>
      </c>
      <c r="Y1632">
        <f>HYPERLINK("https://klasma.github.io/Logging_2313/tillsynsmail/A 46570-2025 tillsynsbegäran mail.docx", "A 46570-2025")</f>
        <v/>
      </c>
    </row>
    <row r="1633" ht="15" customHeight="1">
      <c r="A1633" t="inlineStr">
        <is>
          <t>A 46435-2025</t>
        </is>
      </c>
      <c r="B1633" s="1" t="n">
        <v>45925.63583333333</v>
      </c>
      <c r="C1633" s="1" t="n">
        <v>46045</v>
      </c>
      <c r="D1633" t="inlineStr">
        <is>
          <t>JÄMTLANDS LÄN</t>
        </is>
      </c>
      <c r="E1633" t="inlineStr">
        <is>
          <t>BRÄCKE</t>
        </is>
      </c>
      <c r="F1633" t="inlineStr">
        <is>
          <t>SCA</t>
        </is>
      </c>
      <c r="G1633" t="n">
        <v>4</v>
      </c>
      <c r="H1633" t="n">
        <v>0</v>
      </c>
      <c r="I1633" t="n">
        <v>0</v>
      </c>
      <c r="J1633" t="n">
        <v>1</v>
      </c>
      <c r="K1633" t="n">
        <v>0</v>
      </c>
      <c r="L1633" t="n">
        <v>0</v>
      </c>
      <c r="M1633" t="n">
        <v>0</v>
      </c>
      <c r="N1633" t="n">
        <v>0</v>
      </c>
      <c r="O1633" t="n">
        <v>1</v>
      </c>
      <c r="P1633" t="n">
        <v>0</v>
      </c>
      <c r="Q1633" t="n">
        <v>1</v>
      </c>
      <c r="R1633" s="2" t="inlineStr">
        <is>
          <t>Motaggsvamp</t>
        </is>
      </c>
      <c r="S1633">
        <f>HYPERLINK("https://klasma.github.io/Logging_2305/artfynd/A 46435-2025 artfynd.xlsx", "A 46435-2025")</f>
        <v/>
      </c>
      <c r="T1633">
        <f>HYPERLINK("https://klasma.github.io/Logging_2305/kartor/A 46435-2025 karta.png", "A 46435-2025")</f>
        <v/>
      </c>
      <c r="V1633">
        <f>HYPERLINK("https://klasma.github.io/Logging_2305/klagomål/A 46435-2025 FSC-klagomål.docx", "A 46435-2025")</f>
        <v/>
      </c>
      <c r="W1633">
        <f>HYPERLINK("https://klasma.github.io/Logging_2305/klagomålsmail/A 46435-2025 FSC-klagomål mail.docx", "A 46435-2025")</f>
        <v/>
      </c>
      <c r="X1633">
        <f>HYPERLINK("https://klasma.github.io/Logging_2305/tillsyn/A 46435-2025 tillsynsbegäran.docx", "A 46435-2025")</f>
        <v/>
      </c>
      <c r="Y1633">
        <f>HYPERLINK("https://klasma.github.io/Logging_2305/tillsynsmail/A 46435-2025 tillsynsbegäran mail.docx", "A 46435-2025")</f>
        <v/>
      </c>
    </row>
    <row r="1634" ht="15" customHeight="1">
      <c r="A1634" t="inlineStr">
        <is>
          <t>A 13485-2025</t>
        </is>
      </c>
      <c r="B1634" s="1" t="n">
        <v>45736</v>
      </c>
      <c r="C1634" s="1" t="n">
        <v>46045</v>
      </c>
      <c r="D1634" t="inlineStr">
        <is>
          <t>JÄMTLANDS LÄN</t>
        </is>
      </c>
      <c r="E1634" t="inlineStr">
        <is>
          <t>KROKOM</t>
        </is>
      </c>
      <c r="F1634" t="inlineStr">
        <is>
          <t>SCA</t>
        </is>
      </c>
      <c r="G1634" t="n">
        <v>4</v>
      </c>
      <c r="H1634" t="n">
        <v>0</v>
      </c>
      <c r="I1634" t="n">
        <v>0</v>
      </c>
      <c r="J1634" t="n">
        <v>1</v>
      </c>
      <c r="K1634" t="n">
        <v>0</v>
      </c>
      <c r="L1634" t="n">
        <v>0</v>
      </c>
      <c r="M1634" t="n">
        <v>0</v>
      </c>
      <c r="N1634" t="n">
        <v>0</v>
      </c>
      <c r="O1634" t="n">
        <v>1</v>
      </c>
      <c r="P1634" t="n">
        <v>0</v>
      </c>
      <c r="Q1634" t="n">
        <v>1</v>
      </c>
      <c r="R1634" s="2" t="inlineStr">
        <is>
          <t>Brunklöver</t>
        </is>
      </c>
      <c r="S1634">
        <f>HYPERLINK("https://klasma.github.io/Logging_2309/artfynd/A 13485-2025 artfynd.xlsx", "A 13485-2025")</f>
        <v/>
      </c>
      <c r="T1634">
        <f>HYPERLINK("https://klasma.github.io/Logging_2309/kartor/A 13485-2025 karta.png", "A 13485-2025")</f>
        <v/>
      </c>
      <c r="V1634">
        <f>HYPERLINK("https://klasma.github.io/Logging_2309/klagomål/A 13485-2025 FSC-klagomål.docx", "A 13485-2025")</f>
        <v/>
      </c>
      <c r="W1634">
        <f>HYPERLINK("https://klasma.github.io/Logging_2309/klagomålsmail/A 13485-2025 FSC-klagomål mail.docx", "A 13485-2025")</f>
        <v/>
      </c>
      <c r="X1634">
        <f>HYPERLINK("https://klasma.github.io/Logging_2309/tillsyn/A 13485-2025 tillsynsbegäran.docx", "A 13485-2025")</f>
        <v/>
      </c>
      <c r="Y1634">
        <f>HYPERLINK("https://klasma.github.io/Logging_2309/tillsynsmail/A 13485-2025 tillsynsbegäran mail.docx", "A 13485-2025")</f>
        <v/>
      </c>
    </row>
    <row r="1635" ht="15" customHeight="1">
      <c r="A1635" t="inlineStr">
        <is>
          <t>A 5919-2025</t>
        </is>
      </c>
      <c r="B1635" s="1" t="n">
        <v>45695.42197916667</v>
      </c>
      <c r="C1635" s="1" t="n">
        <v>46045</v>
      </c>
      <c r="D1635" t="inlineStr">
        <is>
          <t>JÄMTLANDS LÄN</t>
        </is>
      </c>
      <c r="E1635" t="inlineStr">
        <is>
          <t>KROKOM</t>
        </is>
      </c>
      <c r="G1635" t="n">
        <v>2.7</v>
      </c>
      <c r="H1635" t="n">
        <v>0</v>
      </c>
      <c r="I1635" t="n">
        <v>0</v>
      </c>
      <c r="J1635" t="n">
        <v>1</v>
      </c>
      <c r="K1635" t="n">
        <v>0</v>
      </c>
      <c r="L1635" t="n">
        <v>0</v>
      </c>
      <c r="M1635" t="n">
        <v>0</v>
      </c>
      <c r="N1635" t="n">
        <v>0</v>
      </c>
      <c r="O1635" t="n">
        <v>1</v>
      </c>
      <c r="P1635" t="n">
        <v>0</v>
      </c>
      <c r="Q1635" t="n">
        <v>1</v>
      </c>
      <c r="R1635" s="2" t="inlineStr">
        <is>
          <t>Skogshare</t>
        </is>
      </c>
      <c r="S1635">
        <f>HYPERLINK("https://klasma.github.io/Logging_2309/artfynd/A 5919-2025 artfynd.xlsx", "A 5919-2025")</f>
        <v/>
      </c>
      <c r="T1635">
        <f>HYPERLINK("https://klasma.github.io/Logging_2309/kartor/A 5919-2025 karta.png", "A 5919-2025")</f>
        <v/>
      </c>
      <c r="V1635">
        <f>HYPERLINK("https://klasma.github.io/Logging_2309/klagomål/A 5919-2025 FSC-klagomål.docx", "A 5919-2025")</f>
        <v/>
      </c>
      <c r="W1635">
        <f>HYPERLINK("https://klasma.github.io/Logging_2309/klagomålsmail/A 5919-2025 FSC-klagomål mail.docx", "A 5919-2025")</f>
        <v/>
      </c>
      <c r="X1635">
        <f>HYPERLINK("https://klasma.github.io/Logging_2309/tillsyn/A 5919-2025 tillsynsbegäran.docx", "A 5919-2025")</f>
        <v/>
      </c>
      <c r="Y1635">
        <f>HYPERLINK("https://klasma.github.io/Logging_2309/tillsynsmail/A 5919-2025 tillsynsbegäran mail.docx", "A 5919-2025")</f>
        <v/>
      </c>
    </row>
    <row r="1636" ht="15" customHeight="1">
      <c r="A1636" t="inlineStr">
        <is>
          <t>A 9204-2025</t>
        </is>
      </c>
      <c r="B1636" s="1" t="n">
        <v>45714.48988425926</v>
      </c>
      <c r="C1636" s="1" t="n">
        <v>46045</v>
      </c>
      <c r="D1636" t="inlineStr">
        <is>
          <t>JÄMTLANDS LÄN</t>
        </is>
      </c>
      <c r="E1636" t="inlineStr">
        <is>
          <t>BRÄCKE</t>
        </is>
      </c>
      <c r="F1636" t="inlineStr">
        <is>
          <t>SCA</t>
        </is>
      </c>
      <c r="G1636" t="n">
        <v>3.6</v>
      </c>
      <c r="H1636" t="n">
        <v>1</v>
      </c>
      <c r="I1636" t="n">
        <v>0</v>
      </c>
      <c r="J1636" t="n">
        <v>1</v>
      </c>
      <c r="K1636" t="n">
        <v>0</v>
      </c>
      <c r="L1636" t="n">
        <v>0</v>
      </c>
      <c r="M1636" t="n">
        <v>0</v>
      </c>
      <c r="N1636" t="n">
        <v>0</v>
      </c>
      <c r="O1636" t="n">
        <v>1</v>
      </c>
      <c r="P1636" t="n">
        <v>0</v>
      </c>
      <c r="Q1636" t="n">
        <v>1</v>
      </c>
      <c r="R1636" s="2" t="inlineStr">
        <is>
          <t>Talltita</t>
        </is>
      </c>
      <c r="S1636">
        <f>HYPERLINK("https://klasma.github.io/Logging_2305/artfynd/A 9204-2025 artfynd.xlsx", "A 9204-2025")</f>
        <v/>
      </c>
      <c r="T1636">
        <f>HYPERLINK("https://klasma.github.io/Logging_2305/kartor/A 9204-2025 karta.png", "A 9204-2025")</f>
        <v/>
      </c>
      <c r="V1636">
        <f>HYPERLINK("https://klasma.github.io/Logging_2305/klagomål/A 9204-2025 FSC-klagomål.docx", "A 9204-2025")</f>
        <v/>
      </c>
      <c r="W1636">
        <f>HYPERLINK("https://klasma.github.io/Logging_2305/klagomålsmail/A 9204-2025 FSC-klagomål mail.docx", "A 9204-2025")</f>
        <v/>
      </c>
      <c r="X1636">
        <f>HYPERLINK("https://klasma.github.io/Logging_2305/tillsyn/A 9204-2025 tillsynsbegäran.docx", "A 9204-2025")</f>
        <v/>
      </c>
      <c r="Y1636">
        <f>HYPERLINK("https://klasma.github.io/Logging_2305/tillsynsmail/A 9204-2025 tillsynsbegäran mail.docx", "A 9204-2025")</f>
        <v/>
      </c>
      <c r="Z1636">
        <f>HYPERLINK("https://klasma.github.io/Logging_2305/fåglar/A 9204-2025 prioriterade fågelarter.docx", "A 9204-2025")</f>
        <v/>
      </c>
    </row>
    <row r="1637" ht="15" customHeight="1">
      <c r="A1637" t="inlineStr">
        <is>
          <t>A 20866-2025</t>
        </is>
      </c>
      <c r="B1637" s="1" t="n">
        <v>45777.34456018519</v>
      </c>
      <c r="C1637" s="1" t="n">
        <v>46045</v>
      </c>
      <c r="D1637" t="inlineStr">
        <is>
          <t>JÄMTLANDS LÄN</t>
        </is>
      </c>
      <c r="E1637" t="inlineStr">
        <is>
          <t>BRÄCKE</t>
        </is>
      </c>
      <c r="F1637" t="inlineStr">
        <is>
          <t>SCA</t>
        </is>
      </c>
      <c r="G1637" t="n">
        <v>2.8</v>
      </c>
      <c r="H1637" t="n">
        <v>0</v>
      </c>
      <c r="I1637" t="n">
        <v>0</v>
      </c>
      <c r="J1637" t="n">
        <v>1</v>
      </c>
      <c r="K1637" t="n">
        <v>0</v>
      </c>
      <c r="L1637" t="n">
        <v>0</v>
      </c>
      <c r="M1637" t="n">
        <v>0</v>
      </c>
      <c r="N1637" t="n">
        <v>0</v>
      </c>
      <c r="O1637" t="n">
        <v>1</v>
      </c>
      <c r="P1637" t="n">
        <v>0</v>
      </c>
      <c r="Q1637" t="n">
        <v>1</v>
      </c>
      <c r="R1637" s="2" t="inlineStr">
        <is>
          <t>Violettgrå tagellav</t>
        </is>
      </c>
      <c r="S1637">
        <f>HYPERLINK("https://klasma.github.io/Logging_2305/artfynd/A 20866-2025 artfynd.xlsx", "A 20866-2025")</f>
        <v/>
      </c>
      <c r="T1637">
        <f>HYPERLINK("https://klasma.github.io/Logging_2305/kartor/A 20866-2025 karta.png", "A 20866-2025")</f>
        <v/>
      </c>
      <c r="V1637">
        <f>HYPERLINK("https://klasma.github.io/Logging_2305/klagomål/A 20866-2025 FSC-klagomål.docx", "A 20866-2025")</f>
        <v/>
      </c>
      <c r="W1637">
        <f>HYPERLINK("https://klasma.github.io/Logging_2305/klagomålsmail/A 20866-2025 FSC-klagomål mail.docx", "A 20866-2025")</f>
        <v/>
      </c>
      <c r="X1637">
        <f>HYPERLINK("https://klasma.github.io/Logging_2305/tillsyn/A 20866-2025 tillsynsbegäran.docx", "A 20866-2025")</f>
        <v/>
      </c>
      <c r="Y1637">
        <f>HYPERLINK("https://klasma.github.io/Logging_2305/tillsynsmail/A 20866-2025 tillsynsbegäran mail.docx", "A 20866-2025")</f>
        <v/>
      </c>
    </row>
    <row r="1638" ht="15" customHeight="1">
      <c r="A1638" t="inlineStr">
        <is>
          <t>A 55582-2024</t>
        </is>
      </c>
      <c r="B1638" s="1" t="n">
        <v>45622</v>
      </c>
      <c r="C1638" s="1" t="n">
        <v>46045</v>
      </c>
      <c r="D1638" t="inlineStr">
        <is>
          <t>JÄMTLANDS LÄN</t>
        </is>
      </c>
      <c r="E1638" t="inlineStr">
        <is>
          <t>HÄRJEDALEN</t>
        </is>
      </c>
      <c r="G1638" t="n">
        <v>6.9</v>
      </c>
      <c r="H1638" t="n">
        <v>0</v>
      </c>
      <c r="I1638" t="n">
        <v>1</v>
      </c>
      <c r="J1638" t="n">
        <v>0</v>
      </c>
      <c r="K1638" t="n">
        <v>0</v>
      </c>
      <c r="L1638" t="n">
        <v>0</v>
      </c>
      <c r="M1638" t="n">
        <v>0</v>
      </c>
      <c r="N1638" t="n">
        <v>0</v>
      </c>
      <c r="O1638" t="n">
        <v>0</v>
      </c>
      <c r="P1638" t="n">
        <v>0</v>
      </c>
      <c r="Q1638" t="n">
        <v>1</v>
      </c>
      <c r="R1638" s="2" t="inlineStr">
        <is>
          <t>Dropptaggsvamp</t>
        </is>
      </c>
      <c r="S1638">
        <f>HYPERLINK("https://klasma.github.io/Logging_2361/artfynd/A 55582-2024 artfynd.xlsx", "A 55582-2024")</f>
        <v/>
      </c>
      <c r="T1638">
        <f>HYPERLINK("https://klasma.github.io/Logging_2361/kartor/A 55582-2024 karta.png", "A 55582-2024")</f>
        <v/>
      </c>
      <c r="V1638">
        <f>HYPERLINK("https://klasma.github.io/Logging_2361/klagomål/A 55582-2024 FSC-klagomål.docx", "A 55582-2024")</f>
        <v/>
      </c>
      <c r="W1638">
        <f>HYPERLINK("https://klasma.github.io/Logging_2361/klagomålsmail/A 55582-2024 FSC-klagomål mail.docx", "A 55582-2024")</f>
        <v/>
      </c>
      <c r="X1638">
        <f>HYPERLINK("https://klasma.github.io/Logging_2361/tillsyn/A 55582-2024 tillsynsbegäran.docx", "A 55582-2024")</f>
        <v/>
      </c>
      <c r="Y1638">
        <f>HYPERLINK("https://klasma.github.io/Logging_2361/tillsynsmail/A 55582-2024 tillsynsbegäran mail.docx", "A 55582-2024")</f>
        <v/>
      </c>
    </row>
    <row r="1639" ht="15" customHeight="1">
      <c r="A1639" t="inlineStr">
        <is>
          <t>A 34520-2025</t>
        </is>
      </c>
      <c r="B1639" s="1" t="n">
        <v>45847.46962962963</v>
      </c>
      <c r="C1639" s="1" t="n">
        <v>46045</v>
      </c>
      <c r="D1639" t="inlineStr">
        <is>
          <t>JÄMTLANDS LÄN</t>
        </is>
      </c>
      <c r="E1639" t="inlineStr">
        <is>
          <t>KROKOM</t>
        </is>
      </c>
      <c r="G1639" t="n">
        <v>17.5</v>
      </c>
      <c r="H1639" t="n">
        <v>0</v>
      </c>
      <c r="I1639" t="n">
        <v>0</v>
      </c>
      <c r="J1639" t="n">
        <v>1</v>
      </c>
      <c r="K1639" t="n">
        <v>0</v>
      </c>
      <c r="L1639" t="n">
        <v>0</v>
      </c>
      <c r="M1639" t="n">
        <v>0</v>
      </c>
      <c r="N1639" t="n">
        <v>0</v>
      </c>
      <c r="O1639" t="n">
        <v>1</v>
      </c>
      <c r="P1639" t="n">
        <v>0</v>
      </c>
      <c r="Q1639" t="n">
        <v>1</v>
      </c>
      <c r="R1639" s="2" t="inlineStr">
        <is>
          <t>Luddfingersvamp</t>
        </is>
      </c>
      <c r="S1639">
        <f>HYPERLINK("https://klasma.github.io/Logging_2309/artfynd/A 34520-2025 artfynd.xlsx", "A 34520-2025")</f>
        <v/>
      </c>
      <c r="T1639">
        <f>HYPERLINK("https://klasma.github.io/Logging_2309/kartor/A 34520-2025 karta.png", "A 34520-2025")</f>
        <v/>
      </c>
      <c r="V1639">
        <f>HYPERLINK("https://klasma.github.io/Logging_2309/klagomål/A 34520-2025 FSC-klagomål.docx", "A 34520-2025")</f>
        <v/>
      </c>
      <c r="W1639">
        <f>HYPERLINK("https://klasma.github.io/Logging_2309/klagomålsmail/A 34520-2025 FSC-klagomål mail.docx", "A 34520-2025")</f>
        <v/>
      </c>
      <c r="X1639">
        <f>HYPERLINK("https://klasma.github.io/Logging_2309/tillsyn/A 34520-2025 tillsynsbegäran.docx", "A 34520-2025")</f>
        <v/>
      </c>
      <c r="Y1639">
        <f>HYPERLINK("https://klasma.github.io/Logging_2309/tillsynsmail/A 34520-2025 tillsynsbegäran mail.docx", "A 34520-2025")</f>
        <v/>
      </c>
    </row>
    <row r="1640" ht="15" customHeight="1">
      <c r="A1640" t="inlineStr">
        <is>
          <t>A 51487-2024</t>
        </is>
      </c>
      <c r="B1640" s="1" t="n">
        <v>45604</v>
      </c>
      <c r="C1640" s="1" t="n">
        <v>46045</v>
      </c>
      <c r="D1640" t="inlineStr">
        <is>
          <t>JÄMTLANDS LÄN</t>
        </is>
      </c>
      <c r="E1640" t="inlineStr">
        <is>
          <t>STRÖMSUND</t>
        </is>
      </c>
      <c r="F1640" t="inlineStr">
        <is>
          <t>Kommuner</t>
        </is>
      </c>
      <c r="G1640" t="n">
        <v>6.8</v>
      </c>
      <c r="H1640" t="n">
        <v>1</v>
      </c>
      <c r="I1640" t="n">
        <v>0</v>
      </c>
      <c r="J1640" t="n">
        <v>1</v>
      </c>
      <c r="K1640" t="n">
        <v>0</v>
      </c>
      <c r="L1640" t="n">
        <v>0</v>
      </c>
      <c r="M1640" t="n">
        <v>0</v>
      </c>
      <c r="N1640" t="n">
        <v>0</v>
      </c>
      <c r="O1640" t="n">
        <v>1</v>
      </c>
      <c r="P1640" t="n">
        <v>0</v>
      </c>
      <c r="Q1640" t="n">
        <v>1</v>
      </c>
      <c r="R1640" s="2" t="inlineStr">
        <is>
          <t>Spillkråka</t>
        </is>
      </c>
      <c r="S1640">
        <f>HYPERLINK("https://klasma.github.io/Logging_2313/artfynd/A 51487-2024 artfynd.xlsx", "A 51487-2024")</f>
        <v/>
      </c>
      <c r="T1640">
        <f>HYPERLINK("https://klasma.github.io/Logging_2313/kartor/A 51487-2024 karta.png", "A 51487-2024")</f>
        <v/>
      </c>
      <c r="V1640">
        <f>HYPERLINK("https://klasma.github.io/Logging_2313/klagomål/A 51487-2024 FSC-klagomål.docx", "A 51487-2024")</f>
        <v/>
      </c>
      <c r="W1640">
        <f>HYPERLINK("https://klasma.github.io/Logging_2313/klagomålsmail/A 51487-2024 FSC-klagomål mail.docx", "A 51487-2024")</f>
        <v/>
      </c>
      <c r="X1640">
        <f>HYPERLINK("https://klasma.github.io/Logging_2313/tillsyn/A 51487-2024 tillsynsbegäran.docx", "A 51487-2024")</f>
        <v/>
      </c>
      <c r="Y1640">
        <f>HYPERLINK("https://klasma.github.io/Logging_2313/tillsynsmail/A 51487-2024 tillsynsbegäran mail.docx", "A 51487-2024")</f>
        <v/>
      </c>
      <c r="Z1640">
        <f>HYPERLINK("https://klasma.github.io/Logging_2313/fåglar/A 51487-2024 prioriterade fågelarter.docx", "A 51487-2024")</f>
        <v/>
      </c>
    </row>
    <row r="1641" ht="15" customHeight="1">
      <c r="A1641" t="inlineStr">
        <is>
          <t>A 55223-2021</t>
        </is>
      </c>
      <c r="B1641" s="1" t="n">
        <v>44475</v>
      </c>
      <c r="C1641" s="1" t="n">
        <v>46045</v>
      </c>
      <c r="D1641" t="inlineStr">
        <is>
          <t>JÄMTLANDS LÄN</t>
        </is>
      </c>
      <c r="E1641" t="inlineStr">
        <is>
          <t>HÄRJEDALEN</t>
        </is>
      </c>
      <c r="G1641" t="n">
        <v>18.2</v>
      </c>
      <c r="H1641" t="n">
        <v>1</v>
      </c>
      <c r="I1641" t="n">
        <v>0</v>
      </c>
      <c r="J1641" t="n">
        <v>1</v>
      </c>
      <c r="K1641" t="n">
        <v>0</v>
      </c>
      <c r="L1641" t="n">
        <v>0</v>
      </c>
      <c r="M1641" t="n">
        <v>0</v>
      </c>
      <c r="N1641" t="n">
        <v>0</v>
      </c>
      <c r="O1641" t="n">
        <v>1</v>
      </c>
      <c r="P1641" t="n">
        <v>0</v>
      </c>
      <c r="Q1641" t="n">
        <v>1</v>
      </c>
      <c r="R1641" s="2" t="inlineStr">
        <is>
          <t>Varglav</t>
        </is>
      </c>
      <c r="S1641">
        <f>HYPERLINK("https://klasma.github.io/Logging_2361/artfynd/A 55223-2021 artfynd.xlsx", "A 55223-2021")</f>
        <v/>
      </c>
      <c r="T1641">
        <f>HYPERLINK("https://klasma.github.io/Logging_2361/kartor/A 55223-2021 karta.png", "A 55223-2021")</f>
        <v/>
      </c>
      <c r="V1641">
        <f>HYPERLINK("https://klasma.github.io/Logging_2361/klagomål/A 55223-2021 FSC-klagomål.docx", "A 55223-2021")</f>
        <v/>
      </c>
      <c r="W1641">
        <f>HYPERLINK("https://klasma.github.io/Logging_2361/klagomålsmail/A 55223-2021 FSC-klagomål mail.docx", "A 55223-2021")</f>
        <v/>
      </c>
      <c r="X1641">
        <f>HYPERLINK("https://klasma.github.io/Logging_2361/tillsyn/A 55223-2021 tillsynsbegäran.docx", "A 55223-2021")</f>
        <v/>
      </c>
      <c r="Y1641">
        <f>HYPERLINK("https://klasma.github.io/Logging_2361/tillsynsmail/A 55223-2021 tillsynsbegäran mail.docx", "A 55223-2021")</f>
        <v/>
      </c>
    </row>
    <row r="1642" ht="15" customHeight="1">
      <c r="A1642" t="inlineStr">
        <is>
          <t>A 21428-2025</t>
        </is>
      </c>
      <c r="B1642" s="1" t="n">
        <v>45782.51072916666</v>
      </c>
      <c r="C1642" s="1" t="n">
        <v>46045</v>
      </c>
      <c r="D1642" t="inlineStr">
        <is>
          <t>JÄMTLANDS LÄN</t>
        </is>
      </c>
      <c r="E1642" t="inlineStr">
        <is>
          <t>BRÄCKE</t>
        </is>
      </c>
      <c r="F1642" t="inlineStr">
        <is>
          <t>SCA</t>
        </is>
      </c>
      <c r="G1642" t="n">
        <v>3</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21428-2025 artfynd.xlsx", "A 21428-2025")</f>
        <v/>
      </c>
      <c r="T1642">
        <f>HYPERLINK("https://klasma.github.io/Logging_2305/kartor/A 21428-2025 karta.png", "A 21428-2025")</f>
        <v/>
      </c>
      <c r="V1642">
        <f>HYPERLINK("https://klasma.github.io/Logging_2305/klagomål/A 21428-2025 FSC-klagomål.docx", "A 21428-2025")</f>
        <v/>
      </c>
      <c r="W1642">
        <f>HYPERLINK("https://klasma.github.io/Logging_2305/klagomålsmail/A 21428-2025 FSC-klagomål mail.docx", "A 21428-2025")</f>
        <v/>
      </c>
      <c r="X1642">
        <f>HYPERLINK("https://klasma.github.io/Logging_2305/tillsyn/A 21428-2025 tillsynsbegäran.docx", "A 21428-2025")</f>
        <v/>
      </c>
      <c r="Y1642">
        <f>HYPERLINK("https://klasma.github.io/Logging_2305/tillsynsmail/A 21428-2025 tillsynsbegäran mail.docx", "A 21428-2025")</f>
        <v/>
      </c>
    </row>
    <row r="1643" ht="15" customHeight="1">
      <c r="A1643" t="inlineStr">
        <is>
          <t>A 44323-2023</t>
        </is>
      </c>
      <c r="B1643" s="1" t="n">
        <v>45188</v>
      </c>
      <c r="C1643" s="1" t="n">
        <v>46045</v>
      </c>
      <c r="D1643" t="inlineStr">
        <is>
          <t>JÄMTLANDS LÄN</t>
        </is>
      </c>
      <c r="E1643" t="inlineStr">
        <is>
          <t>BRÄCKE</t>
        </is>
      </c>
      <c r="F1643" t="inlineStr">
        <is>
          <t>Sveaskog</t>
        </is>
      </c>
      <c r="G1643" t="n">
        <v>3.7</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44323-2023 artfynd.xlsx", "A 44323-2023")</f>
        <v/>
      </c>
      <c r="T1643">
        <f>HYPERLINK("https://klasma.github.io/Logging_2305/kartor/A 44323-2023 karta.png", "A 44323-2023")</f>
        <v/>
      </c>
      <c r="V1643">
        <f>HYPERLINK("https://klasma.github.io/Logging_2305/klagomål/A 44323-2023 FSC-klagomål.docx", "A 44323-2023")</f>
        <v/>
      </c>
      <c r="W1643">
        <f>HYPERLINK("https://klasma.github.io/Logging_2305/klagomålsmail/A 44323-2023 FSC-klagomål mail.docx", "A 44323-2023")</f>
        <v/>
      </c>
      <c r="X1643">
        <f>HYPERLINK("https://klasma.github.io/Logging_2305/tillsyn/A 44323-2023 tillsynsbegäran.docx", "A 44323-2023")</f>
        <v/>
      </c>
      <c r="Y1643">
        <f>HYPERLINK("https://klasma.github.io/Logging_2305/tillsynsmail/A 44323-2023 tillsynsbegäran mail.docx", "A 44323-2023")</f>
        <v/>
      </c>
    </row>
    <row r="1644" ht="15" customHeight="1">
      <c r="A1644" t="inlineStr">
        <is>
          <t>A 62079-2022</t>
        </is>
      </c>
      <c r="B1644" s="1" t="n">
        <v>44918</v>
      </c>
      <c r="C1644" s="1" t="n">
        <v>46045</v>
      </c>
      <c r="D1644" t="inlineStr">
        <is>
          <t>JÄMTLANDS LÄN</t>
        </is>
      </c>
      <c r="E1644" t="inlineStr">
        <is>
          <t>BRÄCKE</t>
        </is>
      </c>
      <c r="F1644" t="inlineStr">
        <is>
          <t>SCA</t>
        </is>
      </c>
      <c r="G1644" t="n">
        <v>3</v>
      </c>
      <c r="H1644" t="n">
        <v>0</v>
      </c>
      <c r="I1644" t="n">
        <v>0</v>
      </c>
      <c r="J1644" t="n">
        <v>1</v>
      </c>
      <c r="K1644" t="n">
        <v>0</v>
      </c>
      <c r="L1644" t="n">
        <v>0</v>
      </c>
      <c r="M1644" t="n">
        <v>0</v>
      </c>
      <c r="N1644" t="n">
        <v>0</v>
      </c>
      <c r="O1644" t="n">
        <v>1</v>
      </c>
      <c r="P1644" t="n">
        <v>0</v>
      </c>
      <c r="Q1644" t="n">
        <v>1</v>
      </c>
      <c r="R1644" s="2" t="inlineStr">
        <is>
          <t>Garnlav</t>
        </is>
      </c>
      <c r="S1644">
        <f>HYPERLINK("https://klasma.github.io/Logging_2305/artfynd/A 62079-2022 artfynd.xlsx", "A 62079-2022")</f>
        <v/>
      </c>
      <c r="T1644">
        <f>HYPERLINK("https://klasma.github.io/Logging_2305/kartor/A 62079-2022 karta.png", "A 62079-2022")</f>
        <v/>
      </c>
      <c r="V1644">
        <f>HYPERLINK("https://klasma.github.io/Logging_2305/klagomål/A 62079-2022 FSC-klagomål.docx", "A 62079-2022")</f>
        <v/>
      </c>
      <c r="W1644">
        <f>HYPERLINK("https://klasma.github.io/Logging_2305/klagomålsmail/A 62079-2022 FSC-klagomål mail.docx", "A 62079-2022")</f>
        <v/>
      </c>
      <c r="X1644">
        <f>HYPERLINK("https://klasma.github.io/Logging_2305/tillsyn/A 62079-2022 tillsynsbegäran.docx", "A 62079-2022")</f>
        <v/>
      </c>
      <c r="Y1644">
        <f>HYPERLINK("https://klasma.github.io/Logging_2305/tillsynsmail/A 62079-2022 tillsynsbegäran mail.docx", "A 62079-2022")</f>
        <v/>
      </c>
    </row>
    <row r="1645" ht="15" customHeight="1">
      <c r="A1645" t="inlineStr">
        <is>
          <t>A 21212-2025</t>
        </is>
      </c>
      <c r="B1645" s="1" t="n">
        <v>45779.48993055556</v>
      </c>
      <c r="C1645" s="1" t="n">
        <v>46045</v>
      </c>
      <c r="D1645" t="inlineStr">
        <is>
          <t>JÄMTLANDS LÄN</t>
        </is>
      </c>
      <c r="E1645" t="inlineStr">
        <is>
          <t>RAGUNDA</t>
        </is>
      </c>
      <c r="F1645" t="inlineStr">
        <is>
          <t>SCA</t>
        </is>
      </c>
      <c r="G1645" t="n">
        <v>2.6</v>
      </c>
      <c r="H1645" t="n">
        <v>0</v>
      </c>
      <c r="I1645" t="n">
        <v>0</v>
      </c>
      <c r="J1645" t="n">
        <v>1</v>
      </c>
      <c r="K1645" t="n">
        <v>0</v>
      </c>
      <c r="L1645" t="n">
        <v>0</v>
      </c>
      <c r="M1645" t="n">
        <v>0</v>
      </c>
      <c r="N1645" t="n">
        <v>0</v>
      </c>
      <c r="O1645" t="n">
        <v>1</v>
      </c>
      <c r="P1645" t="n">
        <v>0</v>
      </c>
      <c r="Q1645" t="n">
        <v>1</v>
      </c>
      <c r="R1645" s="2" t="inlineStr">
        <is>
          <t>Garnlav</t>
        </is>
      </c>
      <c r="S1645">
        <f>HYPERLINK("https://klasma.github.io/Logging_2303/artfynd/A 21212-2025 artfynd.xlsx", "A 21212-2025")</f>
        <v/>
      </c>
      <c r="T1645">
        <f>HYPERLINK("https://klasma.github.io/Logging_2303/kartor/A 21212-2025 karta.png", "A 21212-2025")</f>
        <v/>
      </c>
      <c r="V1645">
        <f>HYPERLINK("https://klasma.github.io/Logging_2303/klagomål/A 21212-2025 FSC-klagomål.docx", "A 21212-2025")</f>
        <v/>
      </c>
      <c r="W1645">
        <f>HYPERLINK("https://klasma.github.io/Logging_2303/klagomålsmail/A 21212-2025 FSC-klagomål mail.docx", "A 21212-2025")</f>
        <v/>
      </c>
      <c r="X1645">
        <f>HYPERLINK("https://klasma.github.io/Logging_2303/tillsyn/A 21212-2025 tillsynsbegäran.docx", "A 21212-2025")</f>
        <v/>
      </c>
      <c r="Y1645">
        <f>HYPERLINK("https://klasma.github.io/Logging_2303/tillsynsmail/A 21212-2025 tillsynsbegäran mail.docx", "A 21212-2025")</f>
        <v/>
      </c>
    </row>
    <row r="1646" ht="15" customHeight="1">
      <c r="A1646" t="inlineStr">
        <is>
          <t>A 46814-2023</t>
        </is>
      </c>
      <c r="B1646" s="1" t="n">
        <v>45198</v>
      </c>
      <c r="C1646" s="1" t="n">
        <v>46045</v>
      </c>
      <c r="D1646" t="inlineStr">
        <is>
          <t>JÄMTLANDS LÄN</t>
        </is>
      </c>
      <c r="E1646" t="inlineStr">
        <is>
          <t>STRÖMSUND</t>
        </is>
      </c>
      <c r="F1646" t="inlineStr">
        <is>
          <t>SCA</t>
        </is>
      </c>
      <c r="G1646" t="n">
        <v>9.5</v>
      </c>
      <c r="H1646" t="n">
        <v>0</v>
      </c>
      <c r="I1646" t="n">
        <v>0</v>
      </c>
      <c r="J1646" t="n">
        <v>0</v>
      </c>
      <c r="K1646" t="n">
        <v>0</v>
      </c>
      <c r="L1646" t="n">
        <v>0</v>
      </c>
      <c r="M1646" t="n">
        <v>0</v>
      </c>
      <c r="N1646" t="n">
        <v>0</v>
      </c>
      <c r="O1646" t="n">
        <v>1</v>
      </c>
      <c r="P1646" t="n">
        <v>0</v>
      </c>
      <c r="Q1646" t="n">
        <v>1</v>
      </c>
      <c r="R1646" s="2" t="inlineStr">
        <is>
          <t>Liten klubbdyna</t>
        </is>
      </c>
      <c r="S1646">
        <f>HYPERLINK("https://klasma.github.io/Logging_2313/artfynd/A 46814-2023 artfynd.xlsx", "A 46814-2023")</f>
        <v/>
      </c>
      <c r="T1646">
        <f>HYPERLINK("https://klasma.github.io/Logging_2313/kartor/A 46814-2023 karta.png", "A 46814-2023")</f>
        <v/>
      </c>
      <c r="V1646">
        <f>HYPERLINK("https://klasma.github.io/Logging_2313/klagomål/A 46814-2023 FSC-klagomål.docx", "A 46814-2023")</f>
        <v/>
      </c>
      <c r="W1646">
        <f>HYPERLINK("https://klasma.github.io/Logging_2313/klagomålsmail/A 46814-2023 FSC-klagomål mail.docx", "A 46814-2023")</f>
        <v/>
      </c>
      <c r="X1646">
        <f>HYPERLINK("https://klasma.github.io/Logging_2313/tillsyn/A 46814-2023 tillsynsbegäran.docx", "A 46814-2023")</f>
        <v/>
      </c>
      <c r="Y1646">
        <f>HYPERLINK("https://klasma.github.io/Logging_2313/tillsynsmail/A 46814-2023 tillsynsbegäran mail.docx", "A 46814-2023")</f>
        <v/>
      </c>
    </row>
    <row r="1647" ht="15" customHeight="1">
      <c r="A1647" t="inlineStr">
        <is>
          <t>A 21681-2025</t>
        </is>
      </c>
      <c r="B1647" s="1" t="n">
        <v>45783.49015046296</v>
      </c>
      <c r="C1647" s="1" t="n">
        <v>46045</v>
      </c>
      <c r="D1647" t="inlineStr">
        <is>
          <t>JÄMTLANDS LÄN</t>
        </is>
      </c>
      <c r="E1647" t="inlineStr">
        <is>
          <t>BERG</t>
        </is>
      </c>
      <c r="F1647" t="inlineStr">
        <is>
          <t>SCA</t>
        </is>
      </c>
      <c r="G1647" t="n">
        <v>10.2</v>
      </c>
      <c r="H1647" t="n">
        <v>0</v>
      </c>
      <c r="I1647" t="n">
        <v>0</v>
      </c>
      <c r="J1647" t="n">
        <v>0</v>
      </c>
      <c r="K1647" t="n">
        <v>1</v>
      </c>
      <c r="L1647" t="n">
        <v>0</v>
      </c>
      <c r="M1647" t="n">
        <v>0</v>
      </c>
      <c r="N1647" t="n">
        <v>0</v>
      </c>
      <c r="O1647" t="n">
        <v>1</v>
      </c>
      <c r="P1647" t="n">
        <v>1</v>
      </c>
      <c r="Q1647" t="n">
        <v>1</v>
      </c>
      <c r="R1647" s="2" t="inlineStr">
        <is>
          <t>Gräddporing</t>
        </is>
      </c>
      <c r="S1647">
        <f>HYPERLINK("https://klasma.github.io/Logging_2326/artfynd/A 21681-2025 artfynd.xlsx", "A 21681-2025")</f>
        <v/>
      </c>
      <c r="T1647">
        <f>HYPERLINK("https://klasma.github.io/Logging_2326/kartor/A 21681-2025 karta.png", "A 21681-2025")</f>
        <v/>
      </c>
      <c r="V1647">
        <f>HYPERLINK("https://klasma.github.io/Logging_2326/klagomål/A 21681-2025 FSC-klagomål.docx", "A 21681-2025")</f>
        <v/>
      </c>
      <c r="W1647">
        <f>HYPERLINK("https://klasma.github.io/Logging_2326/klagomålsmail/A 21681-2025 FSC-klagomål mail.docx", "A 21681-2025")</f>
        <v/>
      </c>
      <c r="X1647">
        <f>HYPERLINK("https://klasma.github.io/Logging_2326/tillsyn/A 21681-2025 tillsynsbegäran.docx", "A 21681-2025")</f>
        <v/>
      </c>
      <c r="Y1647">
        <f>HYPERLINK("https://klasma.github.io/Logging_2326/tillsynsmail/A 21681-2025 tillsynsbegäran mail.docx", "A 21681-2025")</f>
        <v/>
      </c>
    </row>
    <row r="1648" ht="15" customHeight="1">
      <c r="A1648" t="inlineStr">
        <is>
          <t>A 21789-2025</t>
        </is>
      </c>
      <c r="B1648" s="1" t="n">
        <v>45783.67741898148</v>
      </c>
      <c r="C1648" s="1" t="n">
        <v>46045</v>
      </c>
      <c r="D1648" t="inlineStr">
        <is>
          <t>JÄMTLANDS LÄN</t>
        </is>
      </c>
      <c r="E1648" t="inlineStr">
        <is>
          <t>STRÖMSUND</t>
        </is>
      </c>
      <c r="F1648" t="inlineStr">
        <is>
          <t>SCA</t>
        </is>
      </c>
      <c r="G1648" t="n">
        <v>4.5</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21789-2025 artfynd.xlsx", "A 21789-2025")</f>
        <v/>
      </c>
      <c r="T1648">
        <f>HYPERLINK("https://klasma.github.io/Logging_2313/kartor/A 21789-2025 karta.png", "A 21789-2025")</f>
        <v/>
      </c>
      <c r="V1648">
        <f>HYPERLINK("https://klasma.github.io/Logging_2313/klagomål/A 21789-2025 FSC-klagomål.docx", "A 21789-2025")</f>
        <v/>
      </c>
      <c r="W1648">
        <f>HYPERLINK("https://klasma.github.io/Logging_2313/klagomålsmail/A 21789-2025 FSC-klagomål mail.docx", "A 21789-2025")</f>
        <v/>
      </c>
      <c r="X1648">
        <f>HYPERLINK("https://klasma.github.io/Logging_2313/tillsyn/A 21789-2025 tillsynsbegäran.docx", "A 21789-2025")</f>
        <v/>
      </c>
      <c r="Y1648">
        <f>HYPERLINK("https://klasma.github.io/Logging_2313/tillsynsmail/A 21789-2025 tillsynsbegäran mail.docx", "A 21789-2025")</f>
        <v/>
      </c>
    </row>
    <row r="1649" ht="15" customHeight="1">
      <c r="A1649" t="inlineStr">
        <is>
          <t>A 47580-2025</t>
        </is>
      </c>
      <c r="B1649" s="1" t="n">
        <v>45931.40935185185</v>
      </c>
      <c r="C1649" s="1" t="n">
        <v>46045</v>
      </c>
      <c r="D1649" t="inlineStr">
        <is>
          <t>JÄMTLANDS LÄN</t>
        </is>
      </c>
      <c r="E1649" t="inlineStr">
        <is>
          <t>ÖSTERSUND</t>
        </is>
      </c>
      <c r="G1649" t="n">
        <v>4.1</v>
      </c>
      <c r="H1649" t="n">
        <v>1</v>
      </c>
      <c r="I1649" t="n">
        <v>0</v>
      </c>
      <c r="J1649" t="n">
        <v>0</v>
      </c>
      <c r="K1649" t="n">
        <v>0</v>
      </c>
      <c r="L1649" t="n">
        <v>0</v>
      </c>
      <c r="M1649" t="n">
        <v>0</v>
      </c>
      <c r="N1649" t="n">
        <v>0</v>
      </c>
      <c r="O1649" t="n">
        <v>0</v>
      </c>
      <c r="P1649" t="n">
        <v>0</v>
      </c>
      <c r="Q1649" t="n">
        <v>1</v>
      </c>
      <c r="R1649" s="2" t="inlineStr">
        <is>
          <t>Revlummer</t>
        </is>
      </c>
      <c r="S1649">
        <f>HYPERLINK("https://klasma.github.io/Logging_2380/artfynd/A 47580-2025 artfynd.xlsx", "A 47580-2025")</f>
        <v/>
      </c>
      <c r="T1649">
        <f>HYPERLINK("https://klasma.github.io/Logging_2380/kartor/A 47580-2025 karta.png", "A 47580-2025")</f>
        <v/>
      </c>
      <c r="V1649">
        <f>HYPERLINK("https://klasma.github.io/Logging_2380/klagomål/A 47580-2025 FSC-klagomål.docx", "A 47580-2025")</f>
        <v/>
      </c>
      <c r="W1649">
        <f>HYPERLINK("https://klasma.github.io/Logging_2380/klagomålsmail/A 47580-2025 FSC-klagomål mail.docx", "A 47580-2025")</f>
        <v/>
      </c>
      <c r="X1649">
        <f>HYPERLINK("https://klasma.github.io/Logging_2380/tillsyn/A 47580-2025 tillsynsbegäran.docx", "A 47580-2025")</f>
        <v/>
      </c>
      <c r="Y1649">
        <f>HYPERLINK("https://klasma.github.io/Logging_2380/tillsynsmail/A 47580-2025 tillsynsbegäran mail.docx", "A 47580-2025")</f>
        <v/>
      </c>
    </row>
    <row r="1650" ht="15" customHeight="1">
      <c r="A1650" t="inlineStr">
        <is>
          <t>A 9739-2022</t>
        </is>
      </c>
      <c r="B1650" s="1" t="n">
        <v>44617</v>
      </c>
      <c r="C1650" s="1" t="n">
        <v>46045</v>
      </c>
      <c r="D1650" t="inlineStr">
        <is>
          <t>JÄMTLANDS LÄN</t>
        </is>
      </c>
      <c r="E1650" t="inlineStr">
        <is>
          <t>ÖSTERSUND</t>
        </is>
      </c>
      <c r="F1650" t="inlineStr">
        <is>
          <t>SCA</t>
        </is>
      </c>
      <c r="G1650" t="n">
        <v>13.5</v>
      </c>
      <c r="H1650" t="n">
        <v>0</v>
      </c>
      <c r="I1650" t="n">
        <v>0</v>
      </c>
      <c r="J1650" t="n">
        <v>1</v>
      </c>
      <c r="K1650" t="n">
        <v>0</v>
      </c>
      <c r="L1650" t="n">
        <v>0</v>
      </c>
      <c r="M1650" t="n">
        <v>0</v>
      </c>
      <c r="N1650" t="n">
        <v>0</v>
      </c>
      <c r="O1650" t="n">
        <v>1</v>
      </c>
      <c r="P1650" t="n">
        <v>0</v>
      </c>
      <c r="Q1650" t="n">
        <v>1</v>
      </c>
      <c r="R1650" s="2" t="inlineStr">
        <is>
          <t>Dvärgbägarlav</t>
        </is>
      </c>
      <c r="S1650">
        <f>HYPERLINK("https://klasma.github.io/Logging_2380/artfynd/A 9739-2022 artfynd.xlsx", "A 9739-2022")</f>
        <v/>
      </c>
      <c r="T1650">
        <f>HYPERLINK("https://klasma.github.io/Logging_2380/kartor/A 9739-2022 karta.png", "A 9739-2022")</f>
        <v/>
      </c>
      <c r="V1650">
        <f>HYPERLINK("https://klasma.github.io/Logging_2380/klagomål/A 9739-2022 FSC-klagomål.docx", "A 9739-2022")</f>
        <v/>
      </c>
      <c r="W1650">
        <f>HYPERLINK("https://klasma.github.io/Logging_2380/klagomålsmail/A 9739-2022 FSC-klagomål mail.docx", "A 9739-2022")</f>
        <v/>
      </c>
      <c r="X1650">
        <f>HYPERLINK("https://klasma.github.io/Logging_2380/tillsyn/A 9739-2022 tillsynsbegäran.docx", "A 9739-2022")</f>
        <v/>
      </c>
      <c r="Y1650">
        <f>HYPERLINK("https://klasma.github.io/Logging_2380/tillsynsmail/A 9739-2022 tillsynsbegäran mail.docx", "A 9739-2022")</f>
        <v/>
      </c>
    </row>
    <row r="1651" ht="15" customHeight="1">
      <c r="A1651" t="inlineStr">
        <is>
          <t>A 47946-2025</t>
        </is>
      </c>
      <c r="B1651" s="1" t="n">
        <v>45932.57346064815</v>
      </c>
      <c r="C1651" s="1" t="n">
        <v>46045</v>
      </c>
      <c r="D1651" t="inlineStr">
        <is>
          <t>JÄMTLANDS LÄN</t>
        </is>
      </c>
      <c r="E1651" t="inlineStr">
        <is>
          <t>BERG</t>
        </is>
      </c>
      <c r="F1651" t="inlineStr">
        <is>
          <t>SCA</t>
        </is>
      </c>
      <c r="G1651" t="n">
        <v>7.7</v>
      </c>
      <c r="H1651" t="n">
        <v>0</v>
      </c>
      <c r="I1651" t="n">
        <v>0</v>
      </c>
      <c r="J1651" t="n">
        <v>0</v>
      </c>
      <c r="K1651" t="n">
        <v>1</v>
      </c>
      <c r="L1651" t="n">
        <v>0</v>
      </c>
      <c r="M1651" t="n">
        <v>0</v>
      </c>
      <c r="N1651" t="n">
        <v>0</v>
      </c>
      <c r="O1651" t="n">
        <v>1</v>
      </c>
      <c r="P1651" t="n">
        <v>1</v>
      </c>
      <c r="Q1651" t="n">
        <v>1</v>
      </c>
      <c r="R1651" s="2" t="inlineStr">
        <is>
          <t>Gräddporing</t>
        </is>
      </c>
      <c r="S1651">
        <f>HYPERLINK("https://klasma.github.io/Logging_2326/artfynd/A 47946-2025 artfynd.xlsx", "A 47946-2025")</f>
        <v/>
      </c>
      <c r="T1651">
        <f>HYPERLINK("https://klasma.github.io/Logging_2326/kartor/A 47946-2025 karta.png", "A 47946-2025")</f>
        <v/>
      </c>
      <c r="V1651">
        <f>HYPERLINK("https://klasma.github.io/Logging_2326/klagomål/A 47946-2025 FSC-klagomål.docx", "A 47946-2025")</f>
        <v/>
      </c>
      <c r="W1651">
        <f>HYPERLINK("https://klasma.github.io/Logging_2326/klagomålsmail/A 47946-2025 FSC-klagomål mail.docx", "A 47946-2025")</f>
        <v/>
      </c>
      <c r="X1651">
        <f>HYPERLINK("https://klasma.github.io/Logging_2326/tillsyn/A 47946-2025 tillsynsbegäran.docx", "A 47946-2025")</f>
        <v/>
      </c>
      <c r="Y1651">
        <f>HYPERLINK("https://klasma.github.io/Logging_2326/tillsynsmail/A 47946-2025 tillsynsbegäran mail.docx", "A 47946-2025")</f>
        <v/>
      </c>
    </row>
    <row r="1652" ht="15" customHeight="1">
      <c r="A1652" t="inlineStr">
        <is>
          <t>A 31883-2024</t>
        </is>
      </c>
      <c r="B1652" s="1" t="n">
        <v>45509.9572800926</v>
      </c>
      <c r="C1652" s="1" t="n">
        <v>46045</v>
      </c>
      <c r="D1652" t="inlineStr">
        <is>
          <t>JÄMTLANDS LÄN</t>
        </is>
      </c>
      <c r="E1652" t="inlineStr">
        <is>
          <t>ÖSTERSUND</t>
        </is>
      </c>
      <c r="F1652" t="inlineStr">
        <is>
          <t>SCA</t>
        </is>
      </c>
      <c r="G1652" t="n">
        <v>3.3</v>
      </c>
      <c r="H1652" t="n">
        <v>1</v>
      </c>
      <c r="I1652" t="n">
        <v>0</v>
      </c>
      <c r="J1652" t="n">
        <v>0</v>
      </c>
      <c r="K1652" t="n">
        <v>1</v>
      </c>
      <c r="L1652" t="n">
        <v>0</v>
      </c>
      <c r="M1652" t="n">
        <v>0</v>
      </c>
      <c r="N1652" t="n">
        <v>0</v>
      </c>
      <c r="O1652" t="n">
        <v>1</v>
      </c>
      <c r="P1652" t="n">
        <v>1</v>
      </c>
      <c r="Q1652" t="n">
        <v>1</v>
      </c>
      <c r="R1652" s="2" t="inlineStr">
        <is>
          <t>Doftticka</t>
        </is>
      </c>
      <c r="S1652">
        <f>HYPERLINK("https://klasma.github.io/Logging_2380/artfynd/A 31883-2024 artfynd.xlsx", "A 31883-2024")</f>
        <v/>
      </c>
      <c r="T1652">
        <f>HYPERLINK("https://klasma.github.io/Logging_2380/kartor/A 31883-2024 karta.png", "A 31883-2024")</f>
        <v/>
      </c>
      <c r="V1652">
        <f>HYPERLINK("https://klasma.github.io/Logging_2380/klagomål/A 31883-2024 FSC-klagomål.docx", "A 31883-2024")</f>
        <v/>
      </c>
      <c r="W1652">
        <f>HYPERLINK("https://klasma.github.io/Logging_2380/klagomålsmail/A 31883-2024 FSC-klagomål mail.docx", "A 31883-2024")</f>
        <v/>
      </c>
      <c r="X1652">
        <f>HYPERLINK("https://klasma.github.io/Logging_2380/tillsyn/A 31883-2024 tillsynsbegäran.docx", "A 31883-2024")</f>
        <v/>
      </c>
      <c r="Y1652">
        <f>HYPERLINK("https://klasma.github.io/Logging_2380/tillsynsmail/A 31883-2024 tillsynsbegäran mail.docx", "A 31883-2024")</f>
        <v/>
      </c>
    </row>
    <row r="1653" ht="15" customHeight="1">
      <c r="A1653" t="inlineStr">
        <is>
          <t>A 47658-2025</t>
        </is>
      </c>
      <c r="B1653" s="1" t="n">
        <v>45931.55266203704</v>
      </c>
      <c r="C1653" s="1" t="n">
        <v>46045</v>
      </c>
      <c r="D1653" t="inlineStr">
        <is>
          <t>JÄMTLANDS LÄN</t>
        </is>
      </c>
      <c r="E1653" t="inlineStr">
        <is>
          <t>BERG</t>
        </is>
      </c>
      <c r="F1653" t="inlineStr">
        <is>
          <t>SCA</t>
        </is>
      </c>
      <c r="G1653" t="n">
        <v>3.2</v>
      </c>
      <c r="H1653" t="n">
        <v>0</v>
      </c>
      <c r="I1653" t="n">
        <v>0</v>
      </c>
      <c r="J1653" t="n">
        <v>1</v>
      </c>
      <c r="K1653" t="n">
        <v>0</v>
      </c>
      <c r="L1653" t="n">
        <v>0</v>
      </c>
      <c r="M1653" t="n">
        <v>0</v>
      </c>
      <c r="N1653" t="n">
        <v>0</v>
      </c>
      <c r="O1653" t="n">
        <v>1</v>
      </c>
      <c r="P1653" t="n">
        <v>0</v>
      </c>
      <c r="Q1653" t="n">
        <v>1</v>
      </c>
      <c r="R1653" s="2" t="inlineStr">
        <is>
          <t>Blågrå svartspik</t>
        </is>
      </c>
      <c r="S1653">
        <f>HYPERLINK("https://klasma.github.io/Logging_2326/artfynd/A 47658-2025 artfynd.xlsx", "A 47658-2025")</f>
        <v/>
      </c>
      <c r="T1653">
        <f>HYPERLINK("https://klasma.github.io/Logging_2326/kartor/A 47658-2025 karta.png", "A 47658-2025")</f>
        <v/>
      </c>
      <c r="V1653">
        <f>HYPERLINK("https://klasma.github.io/Logging_2326/klagomål/A 47658-2025 FSC-klagomål.docx", "A 47658-2025")</f>
        <v/>
      </c>
      <c r="W1653">
        <f>HYPERLINK("https://klasma.github.io/Logging_2326/klagomålsmail/A 47658-2025 FSC-klagomål mail.docx", "A 47658-2025")</f>
        <v/>
      </c>
      <c r="X1653">
        <f>HYPERLINK("https://klasma.github.io/Logging_2326/tillsyn/A 47658-2025 tillsynsbegäran.docx", "A 47658-2025")</f>
        <v/>
      </c>
      <c r="Y1653">
        <f>HYPERLINK("https://klasma.github.io/Logging_2326/tillsynsmail/A 47658-2025 tillsynsbegäran mail.docx", "A 47658-2025")</f>
        <v/>
      </c>
    </row>
    <row r="1654" ht="15" customHeight="1">
      <c r="A1654" t="inlineStr">
        <is>
          <t>A 16426-2024</t>
        </is>
      </c>
      <c r="B1654" s="1" t="n">
        <v>45407</v>
      </c>
      <c r="C1654" s="1" t="n">
        <v>46045</v>
      </c>
      <c r="D1654" t="inlineStr">
        <is>
          <t>JÄMTLANDS LÄN</t>
        </is>
      </c>
      <c r="E1654" t="inlineStr">
        <is>
          <t>KROKOM</t>
        </is>
      </c>
      <c r="G1654" t="n">
        <v>1.3</v>
      </c>
      <c r="H1654" t="n">
        <v>0</v>
      </c>
      <c r="I1654" t="n">
        <v>0</v>
      </c>
      <c r="J1654" t="n">
        <v>1</v>
      </c>
      <c r="K1654" t="n">
        <v>0</v>
      </c>
      <c r="L1654" t="n">
        <v>0</v>
      </c>
      <c r="M1654" t="n">
        <v>0</v>
      </c>
      <c r="N1654" t="n">
        <v>0</v>
      </c>
      <c r="O1654" t="n">
        <v>1</v>
      </c>
      <c r="P1654" t="n">
        <v>0</v>
      </c>
      <c r="Q1654" t="n">
        <v>1</v>
      </c>
      <c r="R1654" s="2" t="inlineStr">
        <is>
          <t>Slåtterfibbla</t>
        </is>
      </c>
      <c r="S1654">
        <f>HYPERLINK("https://klasma.github.io/Logging_2309/artfynd/A 16426-2024 artfynd.xlsx", "A 16426-2024")</f>
        <v/>
      </c>
      <c r="T1654">
        <f>HYPERLINK("https://klasma.github.io/Logging_2309/kartor/A 16426-2024 karta.png", "A 16426-2024")</f>
        <v/>
      </c>
      <c r="V1654">
        <f>HYPERLINK("https://klasma.github.io/Logging_2309/klagomål/A 16426-2024 FSC-klagomål.docx", "A 16426-2024")</f>
        <v/>
      </c>
      <c r="W1654">
        <f>HYPERLINK("https://klasma.github.io/Logging_2309/klagomålsmail/A 16426-2024 FSC-klagomål mail.docx", "A 16426-2024")</f>
        <v/>
      </c>
      <c r="X1654">
        <f>HYPERLINK("https://klasma.github.io/Logging_2309/tillsyn/A 16426-2024 tillsynsbegäran.docx", "A 16426-2024")</f>
        <v/>
      </c>
      <c r="Y1654">
        <f>HYPERLINK("https://klasma.github.io/Logging_2309/tillsynsmail/A 16426-2024 tillsynsbegäran mail.docx", "A 16426-2024")</f>
        <v/>
      </c>
    </row>
    <row r="1655" ht="15" customHeight="1">
      <c r="A1655" t="inlineStr">
        <is>
          <t>A 47656-2025</t>
        </is>
      </c>
      <c r="B1655" s="1" t="n">
        <v>45931.55247685185</v>
      </c>
      <c r="C1655" s="1" t="n">
        <v>46045</v>
      </c>
      <c r="D1655" t="inlineStr">
        <is>
          <t>JÄMTLANDS LÄN</t>
        </is>
      </c>
      <c r="E1655" t="inlineStr">
        <is>
          <t>BERG</t>
        </is>
      </c>
      <c r="F1655" t="inlineStr">
        <is>
          <t>SCA</t>
        </is>
      </c>
      <c r="G1655" t="n">
        <v>1.2</v>
      </c>
      <c r="H1655" t="n">
        <v>0</v>
      </c>
      <c r="I1655" t="n">
        <v>0</v>
      </c>
      <c r="J1655" t="n">
        <v>1</v>
      </c>
      <c r="K1655" t="n">
        <v>0</v>
      </c>
      <c r="L1655" t="n">
        <v>0</v>
      </c>
      <c r="M1655" t="n">
        <v>0</v>
      </c>
      <c r="N1655" t="n">
        <v>0</v>
      </c>
      <c r="O1655" t="n">
        <v>1</v>
      </c>
      <c r="P1655" t="n">
        <v>0</v>
      </c>
      <c r="Q1655" t="n">
        <v>1</v>
      </c>
      <c r="R1655" s="2" t="inlineStr">
        <is>
          <t>Vedflamlav</t>
        </is>
      </c>
      <c r="S1655">
        <f>HYPERLINK("https://klasma.github.io/Logging_2326/artfynd/A 47656-2025 artfynd.xlsx", "A 47656-2025")</f>
        <v/>
      </c>
      <c r="T1655">
        <f>HYPERLINK("https://klasma.github.io/Logging_2326/kartor/A 47656-2025 karta.png", "A 47656-2025")</f>
        <v/>
      </c>
      <c r="V1655">
        <f>HYPERLINK("https://klasma.github.io/Logging_2326/klagomål/A 47656-2025 FSC-klagomål.docx", "A 47656-2025")</f>
        <v/>
      </c>
      <c r="W1655">
        <f>HYPERLINK("https://klasma.github.io/Logging_2326/klagomålsmail/A 47656-2025 FSC-klagomål mail.docx", "A 47656-2025")</f>
        <v/>
      </c>
      <c r="X1655">
        <f>HYPERLINK("https://klasma.github.io/Logging_2326/tillsyn/A 47656-2025 tillsynsbegäran.docx", "A 47656-2025")</f>
        <v/>
      </c>
      <c r="Y1655">
        <f>HYPERLINK("https://klasma.github.io/Logging_2326/tillsynsmail/A 47656-2025 tillsynsbegäran mail.docx", "A 47656-2025")</f>
        <v/>
      </c>
    </row>
    <row r="1656" ht="15" customHeight="1">
      <c r="A1656" t="inlineStr">
        <is>
          <t>A 13897-2023</t>
        </is>
      </c>
      <c r="B1656" s="1" t="n">
        <v>45008</v>
      </c>
      <c r="C1656" s="1" t="n">
        <v>46045</v>
      </c>
      <c r="D1656" t="inlineStr">
        <is>
          <t>JÄMTLANDS LÄN</t>
        </is>
      </c>
      <c r="E1656" t="inlineStr">
        <is>
          <t>STRÖMSUND</t>
        </is>
      </c>
      <c r="F1656" t="inlineStr">
        <is>
          <t>Holmen skog AB</t>
        </is>
      </c>
      <c r="G1656" t="n">
        <v>2.6</v>
      </c>
      <c r="H1656" t="n">
        <v>0</v>
      </c>
      <c r="I1656" t="n">
        <v>0</v>
      </c>
      <c r="J1656" t="n">
        <v>1</v>
      </c>
      <c r="K1656" t="n">
        <v>0</v>
      </c>
      <c r="L1656" t="n">
        <v>0</v>
      </c>
      <c r="M1656" t="n">
        <v>0</v>
      </c>
      <c r="N1656" t="n">
        <v>0</v>
      </c>
      <c r="O1656" t="n">
        <v>1</v>
      </c>
      <c r="P1656" t="n">
        <v>0</v>
      </c>
      <c r="Q1656" t="n">
        <v>1</v>
      </c>
      <c r="R1656" s="2" t="inlineStr">
        <is>
          <t>Kolflarnlav</t>
        </is>
      </c>
      <c r="S1656">
        <f>HYPERLINK("https://klasma.github.io/Logging_2313/artfynd/A 13897-2023 artfynd.xlsx", "A 13897-2023")</f>
        <v/>
      </c>
      <c r="T1656">
        <f>HYPERLINK("https://klasma.github.io/Logging_2313/kartor/A 13897-2023 karta.png", "A 13897-2023")</f>
        <v/>
      </c>
      <c r="V1656">
        <f>HYPERLINK("https://klasma.github.io/Logging_2313/klagomål/A 13897-2023 FSC-klagomål.docx", "A 13897-2023")</f>
        <v/>
      </c>
      <c r="W1656">
        <f>HYPERLINK("https://klasma.github.io/Logging_2313/klagomålsmail/A 13897-2023 FSC-klagomål mail.docx", "A 13897-2023")</f>
        <v/>
      </c>
      <c r="X1656">
        <f>HYPERLINK("https://klasma.github.io/Logging_2313/tillsyn/A 13897-2023 tillsynsbegäran.docx", "A 13897-2023")</f>
        <v/>
      </c>
      <c r="Y1656">
        <f>HYPERLINK("https://klasma.github.io/Logging_2313/tillsynsmail/A 13897-2023 tillsynsbegäran mail.docx", "A 13897-2023")</f>
        <v/>
      </c>
    </row>
    <row r="1657" ht="15" customHeight="1">
      <c r="A1657" t="inlineStr">
        <is>
          <t>A 20241-2025</t>
        </is>
      </c>
      <c r="B1657" s="1" t="n">
        <v>45772.69840277778</v>
      </c>
      <c r="C1657" s="1" t="n">
        <v>46045</v>
      </c>
      <c r="D1657" t="inlineStr">
        <is>
          <t>JÄMTLANDS LÄN</t>
        </is>
      </c>
      <c r="E1657" t="inlineStr">
        <is>
          <t>STRÖMSUND</t>
        </is>
      </c>
      <c r="F1657" t="inlineStr">
        <is>
          <t>SCA</t>
        </is>
      </c>
      <c r="G1657" t="n">
        <v>2.9</v>
      </c>
      <c r="H1657" t="n">
        <v>1</v>
      </c>
      <c r="I1657" t="n">
        <v>0</v>
      </c>
      <c r="J1657" t="n">
        <v>0</v>
      </c>
      <c r="K1657" t="n">
        <v>1</v>
      </c>
      <c r="L1657" t="n">
        <v>0</v>
      </c>
      <c r="M1657" t="n">
        <v>0</v>
      </c>
      <c r="N1657" t="n">
        <v>0</v>
      </c>
      <c r="O1657" t="n">
        <v>1</v>
      </c>
      <c r="P1657" t="n">
        <v>1</v>
      </c>
      <c r="Q1657" t="n">
        <v>1</v>
      </c>
      <c r="R1657" s="2" t="inlineStr">
        <is>
          <t>Knärot</t>
        </is>
      </c>
      <c r="S1657">
        <f>HYPERLINK("https://klasma.github.io/Logging_2313/artfynd/A 20241-2025 artfynd.xlsx", "A 20241-2025")</f>
        <v/>
      </c>
      <c r="T1657">
        <f>HYPERLINK("https://klasma.github.io/Logging_2313/kartor/A 20241-2025 karta.png", "A 20241-2025")</f>
        <v/>
      </c>
      <c r="U1657">
        <f>HYPERLINK("https://klasma.github.io/Logging_2313/knärot/A 20241-2025 karta knärot.png", "A 20241-2025")</f>
        <v/>
      </c>
      <c r="V1657">
        <f>HYPERLINK("https://klasma.github.io/Logging_2313/klagomål/A 20241-2025 FSC-klagomål.docx", "A 20241-2025")</f>
        <v/>
      </c>
      <c r="W1657">
        <f>HYPERLINK("https://klasma.github.io/Logging_2313/klagomålsmail/A 20241-2025 FSC-klagomål mail.docx", "A 20241-2025")</f>
        <v/>
      </c>
      <c r="X1657">
        <f>HYPERLINK("https://klasma.github.io/Logging_2313/tillsyn/A 20241-2025 tillsynsbegäran.docx", "A 20241-2025")</f>
        <v/>
      </c>
      <c r="Y1657">
        <f>HYPERLINK("https://klasma.github.io/Logging_2313/tillsynsmail/A 20241-2025 tillsynsbegäran mail.docx", "A 20241-2025")</f>
        <v/>
      </c>
    </row>
    <row r="1658" ht="15" customHeight="1">
      <c r="A1658" t="inlineStr">
        <is>
          <t>A 48289-2025</t>
        </is>
      </c>
      <c r="B1658" s="1" t="n">
        <v>45933.59482638889</v>
      </c>
      <c r="C1658" s="1" t="n">
        <v>46045</v>
      </c>
      <c r="D1658" t="inlineStr">
        <is>
          <t>JÄMTLANDS LÄN</t>
        </is>
      </c>
      <c r="E1658" t="inlineStr">
        <is>
          <t>BRÄCKE</t>
        </is>
      </c>
      <c r="F1658" t="inlineStr">
        <is>
          <t>SCA</t>
        </is>
      </c>
      <c r="G1658" t="n">
        <v>10.9</v>
      </c>
      <c r="H1658" t="n">
        <v>0</v>
      </c>
      <c r="I1658" t="n">
        <v>0</v>
      </c>
      <c r="J1658" t="n">
        <v>0</v>
      </c>
      <c r="K1658" t="n">
        <v>0</v>
      </c>
      <c r="L1658" t="n">
        <v>0</v>
      </c>
      <c r="M1658" t="n">
        <v>0</v>
      </c>
      <c r="N1658" t="n">
        <v>0</v>
      </c>
      <c r="O1658" t="n">
        <v>1</v>
      </c>
      <c r="P1658" t="n">
        <v>0</v>
      </c>
      <c r="Q1658" t="n">
        <v>1</v>
      </c>
      <c r="R1658" s="2" t="inlineStr">
        <is>
          <t>Gelatinfingersvamp</t>
        </is>
      </c>
      <c r="S1658">
        <f>HYPERLINK("https://klasma.github.io/Logging_2305/artfynd/A 48289-2025 artfynd.xlsx", "A 48289-2025")</f>
        <v/>
      </c>
      <c r="T1658">
        <f>HYPERLINK("https://klasma.github.io/Logging_2305/kartor/A 48289-2025 karta.png", "A 48289-2025")</f>
        <v/>
      </c>
      <c r="V1658">
        <f>HYPERLINK("https://klasma.github.io/Logging_2305/klagomål/A 48289-2025 FSC-klagomål.docx", "A 48289-2025")</f>
        <v/>
      </c>
      <c r="W1658">
        <f>HYPERLINK("https://klasma.github.io/Logging_2305/klagomålsmail/A 48289-2025 FSC-klagomål mail.docx", "A 48289-2025")</f>
        <v/>
      </c>
      <c r="X1658">
        <f>HYPERLINK("https://klasma.github.io/Logging_2305/tillsyn/A 48289-2025 tillsynsbegäran.docx", "A 48289-2025")</f>
        <v/>
      </c>
      <c r="Y1658">
        <f>HYPERLINK("https://klasma.github.io/Logging_2305/tillsynsmail/A 48289-2025 tillsynsbegäran mail.docx", "A 48289-2025")</f>
        <v/>
      </c>
    </row>
    <row r="1659" ht="15" customHeight="1">
      <c r="A1659" t="inlineStr">
        <is>
          <t>A 48281-2025</t>
        </is>
      </c>
      <c r="B1659" s="1" t="n">
        <v>45933.58802083333</v>
      </c>
      <c r="C1659" s="1" t="n">
        <v>46045</v>
      </c>
      <c r="D1659" t="inlineStr">
        <is>
          <t>JÄMTLANDS LÄN</t>
        </is>
      </c>
      <c r="E1659" t="inlineStr">
        <is>
          <t>HÄRJEDALEN</t>
        </is>
      </c>
      <c r="G1659" t="n">
        <v>6.5</v>
      </c>
      <c r="H1659" t="n">
        <v>0</v>
      </c>
      <c r="I1659" t="n">
        <v>0</v>
      </c>
      <c r="J1659" t="n">
        <v>1</v>
      </c>
      <c r="K1659" t="n">
        <v>0</v>
      </c>
      <c r="L1659" t="n">
        <v>0</v>
      </c>
      <c r="M1659" t="n">
        <v>0</v>
      </c>
      <c r="N1659" t="n">
        <v>0</v>
      </c>
      <c r="O1659" t="n">
        <v>1</v>
      </c>
      <c r="P1659" t="n">
        <v>0</v>
      </c>
      <c r="Q1659" t="n">
        <v>1</v>
      </c>
      <c r="R1659" s="2" t="inlineStr">
        <is>
          <t>Rosenfingersvamp</t>
        </is>
      </c>
      <c r="S1659">
        <f>HYPERLINK("https://klasma.github.io/Logging_2361/artfynd/A 48281-2025 artfynd.xlsx", "A 48281-2025")</f>
        <v/>
      </c>
      <c r="T1659">
        <f>HYPERLINK("https://klasma.github.io/Logging_2361/kartor/A 48281-2025 karta.png", "A 48281-2025")</f>
        <v/>
      </c>
      <c r="V1659">
        <f>HYPERLINK("https://klasma.github.io/Logging_2361/klagomål/A 48281-2025 FSC-klagomål.docx", "A 48281-2025")</f>
        <v/>
      </c>
      <c r="W1659">
        <f>HYPERLINK("https://klasma.github.io/Logging_2361/klagomålsmail/A 48281-2025 FSC-klagomål mail.docx", "A 48281-2025")</f>
        <v/>
      </c>
      <c r="X1659">
        <f>HYPERLINK("https://klasma.github.io/Logging_2361/tillsyn/A 48281-2025 tillsynsbegäran.docx", "A 48281-2025")</f>
        <v/>
      </c>
      <c r="Y1659">
        <f>HYPERLINK("https://klasma.github.io/Logging_2361/tillsynsmail/A 48281-2025 tillsynsbegäran mail.docx", "A 48281-2025")</f>
        <v/>
      </c>
    </row>
    <row r="1660" ht="15" customHeight="1">
      <c r="A1660" t="inlineStr">
        <is>
          <t>A 48462-2025</t>
        </is>
      </c>
      <c r="B1660" s="1" t="n">
        <v>45936.31701388889</v>
      </c>
      <c r="C1660" s="1" t="n">
        <v>46045</v>
      </c>
      <c r="D1660" t="inlineStr">
        <is>
          <t>JÄMTLANDS LÄN</t>
        </is>
      </c>
      <c r="E1660" t="inlineStr">
        <is>
          <t>KROKOM</t>
        </is>
      </c>
      <c r="G1660" t="n">
        <v>10.6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48462-2025 artfynd.xlsx", "A 48462-2025")</f>
        <v/>
      </c>
      <c r="T1660">
        <f>HYPERLINK("https://klasma.github.io/Logging_2309/kartor/A 48462-2025 karta.png", "A 48462-2025")</f>
        <v/>
      </c>
      <c r="V1660">
        <f>HYPERLINK("https://klasma.github.io/Logging_2309/klagomål/A 48462-2025 FSC-klagomål.docx", "A 48462-2025")</f>
        <v/>
      </c>
      <c r="W1660">
        <f>HYPERLINK("https://klasma.github.io/Logging_2309/klagomålsmail/A 48462-2025 FSC-klagomål mail.docx", "A 48462-2025")</f>
        <v/>
      </c>
      <c r="X1660">
        <f>HYPERLINK("https://klasma.github.io/Logging_2309/tillsyn/A 48462-2025 tillsynsbegäran.docx", "A 48462-2025")</f>
        <v/>
      </c>
      <c r="Y1660">
        <f>HYPERLINK("https://klasma.github.io/Logging_2309/tillsynsmail/A 48462-2025 tillsynsbegäran mail.docx", "A 48462-2025")</f>
        <v/>
      </c>
      <c r="Z1660">
        <f>HYPERLINK("https://klasma.github.io/Logging_2309/fåglar/A 48462-2025 prioriterade fågelarter.docx", "A 48462-2025")</f>
        <v/>
      </c>
    </row>
    <row r="1661" ht="15" customHeight="1">
      <c r="A1661" t="inlineStr">
        <is>
          <t>A 44066-2024</t>
        </is>
      </c>
      <c r="B1661" s="1" t="n">
        <v>45572.60363425926</v>
      </c>
      <c r="C1661" s="1" t="n">
        <v>46045</v>
      </c>
      <c r="D1661" t="inlineStr">
        <is>
          <t>JÄMTLANDS LÄN</t>
        </is>
      </c>
      <c r="E1661" t="inlineStr">
        <is>
          <t>RAGUNDA</t>
        </is>
      </c>
      <c r="G1661" t="n">
        <v>6.4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44066-2024 artfynd.xlsx", "A 44066-2024")</f>
        <v/>
      </c>
      <c r="T1661">
        <f>HYPERLINK("https://klasma.github.io/Logging_2303/kartor/A 44066-2024 karta.png", "A 44066-2024")</f>
        <v/>
      </c>
      <c r="V1661">
        <f>HYPERLINK("https://klasma.github.io/Logging_2303/klagomål/A 44066-2024 FSC-klagomål.docx", "A 44066-2024")</f>
        <v/>
      </c>
      <c r="W1661">
        <f>HYPERLINK("https://klasma.github.io/Logging_2303/klagomålsmail/A 44066-2024 FSC-klagomål mail.docx", "A 44066-2024")</f>
        <v/>
      </c>
      <c r="X1661">
        <f>HYPERLINK("https://klasma.github.io/Logging_2303/tillsyn/A 44066-2024 tillsynsbegäran.docx", "A 44066-2024")</f>
        <v/>
      </c>
      <c r="Y1661">
        <f>HYPERLINK("https://klasma.github.io/Logging_2303/tillsynsmail/A 44066-2024 tillsynsbegäran mail.docx", "A 44066-2024")</f>
        <v/>
      </c>
      <c r="Z1661">
        <f>HYPERLINK("https://klasma.github.io/Logging_2303/fåglar/A 44066-2024 prioriterade fågelarter.docx", "A 44066-2024")</f>
        <v/>
      </c>
    </row>
    <row r="1662" ht="15" customHeight="1">
      <c r="A1662" t="inlineStr">
        <is>
          <t>A 16125-2025</t>
        </is>
      </c>
      <c r="B1662" s="1" t="n">
        <v>45750.42127314815</v>
      </c>
      <c r="C1662" s="1" t="n">
        <v>46045</v>
      </c>
      <c r="D1662" t="inlineStr">
        <is>
          <t>JÄMTLANDS LÄN</t>
        </is>
      </c>
      <c r="E1662" t="inlineStr">
        <is>
          <t>KROKOM</t>
        </is>
      </c>
      <c r="G1662" t="n">
        <v>1.5</v>
      </c>
      <c r="H1662" t="n">
        <v>0</v>
      </c>
      <c r="I1662" t="n">
        <v>0</v>
      </c>
      <c r="J1662" t="n">
        <v>1</v>
      </c>
      <c r="K1662" t="n">
        <v>0</v>
      </c>
      <c r="L1662" t="n">
        <v>0</v>
      </c>
      <c r="M1662" t="n">
        <v>0</v>
      </c>
      <c r="N1662" t="n">
        <v>0</v>
      </c>
      <c r="O1662" t="n">
        <v>1</v>
      </c>
      <c r="P1662" t="n">
        <v>0</v>
      </c>
      <c r="Q1662" t="n">
        <v>1</v>
      </c>
      <c r="R1662" s="2" t="inlineStr">
        <is>
          <t>Månlåsbräken</t>
        </is>
      </c>
      <c r="S1662">
        <f>HYPERLINK("https://klasma.github.io/Logging_2309/artfynd/A 16125-2025 artfynd.xlsx", "A 16125-2025")</f>
        <v/>
      </c>
      <c r="T1662">
        <f>HYPERLINK("https://klasma.github.io/Logging_2309/kartor/A 16125-2025 karta.png", "A 16125-2025")</f>
        <v/>
      </c>
      <c r="V1662">
        <f>HYPERLINK("https://klasma.github.io/Logging_2309/klagomål/A 16125-2025 FSC-klagomål.docx", "A 16125-2025")</f>
        <v/>
      </c>
      <c r="W1662">
        <f>HYPERLINK("https://klasma.github.io/Logging_2309/klagomålsmail/A 16125-2025 FSC-klagomål mail.docx", "A 16125-2025")</f>
        <v/>
      </c>
      <c r="X1662">
        <f>HYPERLINK("https://klasma.github.io/Logging_2309/tillsyn/A 16125-2025 tillsynsbegäran.docx", "A 16125-2025")</f>
        <v/>
      </c>
      <c r="Y1662">
        <f>HYPERLINK("https://klasma.github.io/Logging_2309/tillsynsmail/A 16125-2025 tillsynsbegäran mail.docx", "A 16125-2025")</f>
        <v/>
      </c>
    </row>
    <row r="1663" ht="15" customHeight="1">
      <c r="A1663" t="inlineStr">
        <is>
          <t>A 15149-2022</t>
        </is>
      </c>
      <c r="B1663" s="1" t="n">
        <v>44658</v>
      </c>
      <c r="C1663" s="1" t="n">
        <v>46045</v>
      </c>
      <c r="D1663" t="inlineStr">
        <is>
          <t>JÄMTLANDS LÄN</t>
        </is>
      </c>
      <c r="E1663" t="inlineStr">
        <is>
          <t>STRÖMSUND</t>
        </is>
      </c>
      <c r="G1663" t="n">
        <v>10.6</v>
      </c>
      <c r="H1663" t="n">
        <v>1</v>
      </c>
      <c r="I1663" t="n">
        <v>0</v>
      </c>
      <c r="J1663" t="n">
        <v>0</v>
      </c>
      <c r="K1663" t="n">
        <v>0</v>
      </c>
      <c r="L1663" t="n">
        <v>0</v>
      </c>
      <c r="M1663" t="n">
        <v>0</v>
      </c>
      <c r="N1663" t="n">
        <v>0</v>
      </c>
      <c r="O1663" t="n">
        <v>0</v>
      </c>
      <c r="P1663" t="n">
        <v>0</v>
      </c>
      <c r="Q1663" t="n">
        <v>1</v>
      </c>
      <c r="R1663" s="2" t="inlineStr">
        <is>
          <t>Lavskrika</t>
        </is>
      </c>
      <c r="S1663">
        <f>HYPERLINK("https://klasma.github.io/Logging_2313/artfynd/A 15149-2022 artfynd.xlsx", "A 15149-2022")</f>
        <v/>
      </c>
      <c r="T1663">
        <f>HYPERLINK("https://klasma.github.io/Logging_2313/kartor/A 15149-2022 karta.png", "A 15149-2022")</f>
        <v/>
      </c>
      <c r="V1663">
        <f>HYPERLINK("https://klasma.github.io/Logging_2313/klagomål/A 15149-2022 FSC-klagomål.docx", "A 15149-2022")</f>
        <v/>
      </c>
      <c r="W1663">
        <f>HYPERLINK("https://klasma.github.io/Logging_2313/klagomålsmail/A 15149-2022 FSC-klagomål mail.docx", "A 15149-2022")</f>
        <v/>
      </c>
      <c r="X1663">
        <f>HYPERLINK("https://klasma.github.io/Logging_2313/tillsyn/A 15149-2022 tillsynsbegäran.docx", "A 15149-2022")</f>
        <v/>
      </c>
      <c r="Y1663">
        <f>HYPERLINK("https://klasma.github.io/Logging_2313/tillsynsmail/A 15149-2022 tillsynsbegäran mail.docx", "A 15149-2022")</f>
        <v/>
      </c>
      <c r="Z1663">
        <f>HYPERLINK("https://klasma.github.io/Logging_2313/fåglar/A 15149-2022 prioriterade fågelarter.docx", "A 15149-2022")</f>
        <v/>
      </c>
    </row>
    <row r="1664" ht="15" customHeight="1">
      <c r="A1664" t="inlineStr">
        <is>
          <t>A 54595-2024</t>
        </is>
      </c>
      <c r="B1664" s="1" t="n">
        <v>45617.67353009259</v>
      </c>
      <c r="C1664" s="1" t="n">
        <v>46045</v>
      </c>
      <c r="D1664" t="inlineStr">
        <is>
          <t>JÄMTLANDS LÄN</t>
        </is>
      </c>
      <c r="E1664" t="inlineStr">
        <is>
          <t>BERG</t>
        </is>
      </c>
      <c r="G1664" t="n">
        <v>4.4</v>
      </c>
      <c r="H1664" t="n">
        <v>1</v>
      </c>
      <c r="I1664" t="n">
        <v>0</v>
      </c>
      <c r="J1664" t="n">
        <v>0</v>
      </c>
      <c r="K1664" t="n">
        <v>0</v>
      </c>
      <c r="L1664" t="n">
        <v>0</v>
      </c>
      <c r="M1664" t="n">
        <v>0</v>
      </c>
      <c r="N1664" t="n">
        <v>0</v>
      </c>
      <c r="O1664" t="n">
        <v>0</v>
      </c>
      <c r="P1664" t="n">
        <v>0</v>
      </c>
      <c r="Q1664" t="n">
        <v>1</v>
      </c>
      <c r="R1664" s="2" t="inlineStr">
        <is>
          <t>Tjäder</t>
        </is>
      </c>
      <c r="S1664">
        <f>HYPERLINK("https://klasma.github.io/Logging_2326/artfynd/A 54595-2024 artfynd.xlsx", "A 54595-2024")</f>
        <v/>
      </c>
      <c r="T1664">
        <f>HYPERLINK("https://klasma.github.io/Logging_2326/kartor/A 54595-2024 karta.png", "A 54595-2024")</f>
        <v/>
      </c>
      <c r="V1664">
        <f>HYPERLINK("https://klasma.github.io/Logging_2326/klagomål/A 54595-2024 FSC-klagomål.docx", "A 54595-2024")</f>
        <v/>
      </c>
      <c r="W1664">
        <f>HYPERLINK("https://klasma.github.io/Logging_2326/klagomålsmail/A 54595-2024 FSC-klagomål mail.docx", "A 54595-2024")</f>
        <v/>
      </c>
      <c r="X1664">
        <f>HYPERLINK("https://klasma.github.io/Logging_2326/tillsyn/A 54595-2024 tillsynsbegäran.docx", "A 54595-2024")</f>
        <v/>
      </c>
      <c r="Y1664">
        <f>HYPERLINK("https://klasma.github.io/Logging_2326/tillsynsmail/A 54595-2024 tillsynsbegäran mail.docx", "A 54595-2024")</f>
        <v/>
      </c>
      <c r="Z1664">
        <f>HYPERLINK("https://klasma.github.io/Logging_2326/fåglar/A 54595-2024 prioriterade fågelarter.docx", "A 54595-2024")</f>
        <v/>
      </c>
    </row>
    <row r="1665" ht="15" customHeight="1">
      <c r="A1665" t="inlineStr">
        <is>
          <t>A 4348-2025</t>
        </is>
      </c>
      <c r="B1665" s="1" t="n">
        <v>45686.27208333334</v>
      </c>
      <c r="C1665" s="1" t="n">
        <v>46045</v>
      </c>
      <c r="D1665" t="inlineStr">
        <is>
          <t>JÄMTLANDS LÄN</t>
        </is>
      </c>
      <c r="E1665" t="inlineStr">
        <is>
          <t>KROKOM</t>
        </is>
      </c>
      <c r="G1665" t="n">
        <v>9.199999999999999</v>
      </c>
      <c r="H1665" t="n">
        <v>0</v>
      </c>
      <c r="I1665" t="n">
        <v>1</v>
      </c>
      <c r="J1665" t="n">
        <v>0</v>
      </c>
      <c r="K1665" t="n">
        <v>0</v>
      </c>
      <c r="L1665" t="n">
        <v>0</v>
      </c>
      <c r="M1665" t="n">
        <v>0</v>
      </c>
      <c r="N1665" t="n">
        <v>0</v>
      </c>
      <c r="O1665" t="n">
        <v>0</v>
      </c>
      <c r="P1665" t="n">
        <v>0</v>
      </c>
      <c r="Q1665" t="n">
        <v>1</v>
      </c>
      <c r="R1665" s="2" t="inlineStr">
        <is>
          <t>Gytterlav</t>
        </is>
      </c>
      <c r="S1665">
        <f>HYPERLINK("https://klasma.github.io/Logging_2309/artfynd/A 4348-2025 artfynd.xlsx", "A 4348-2025")</f>
        <v/>
      </c>
      <c r="T1665">
        <f>HYPERLINK("https://klasma.github.io/Logging_2309/kartor/A 4348-2025 karta.png", "A 4348-2025")</f>
        <v/>
      </c>
      <c r="V1665">
        <f>HYPERLINK("https://klasma.github.io/Logging_2309/klagomål/A 4348-2025 FSC-klagomål.docx", "A 4348-2025")</f>
        <v/>
      </c>
      <c r="W1665">
        <f>HYPERLINK("https://klasma.github.io/Logging_2309/klagomålsmail/A 4348-2025 FSC-klagomål mail.docx", "A 4348-2025")</f>
        <v/>
      </c>
      <c r="X1665">
        <f>HYPERLINK("https://klasma.github.io/Logging_2309/tillsyn/A 4348-2025 tillsynsbegäran.docx", "A 4348-2025")</f>
        <v/>
      </c>
      <c r="Y1665">
        <f>HYPERLINK("https://klasma.github.io/Logging_2309/tillsynsmail/A 4348-2025 tillsynsbegäran mail.docx", "A 4348-2025")</f>
        <v/>
      </c>
    </row>
    <row r="1666" ht="15" customHeight="1">
      <c r="A1666" t="inlineStr">
        <is>
          <t>A 22181-2025</t>
        </is>
      </c>
      <c r="B1666" s="1" t="n">
        <v>45785.61623842592</v>
      </c>
      <c r="C1666" s="1" t="n">
        <v>46045</v>
      </c>
      <c r="D1666" t="inlineStr">
        <is>
          <t>JÄMTLANDS LÄN</t>
        </is>
      </c>
      <c r="E1666" t="inlineStr">
        <is>
          <t>STRÖMSUND</t>
        </is>
      </c>
      <c r="F1666" t="inlineStr">
        <is>
          <t>SCA</t>
        </is>
      </c>
      <c r="G1666" t="n">
        <v>5.8</v>
      </c>
      <c r="H1666" t="n">
        <v>0</v>
      </c>
      <c r="I1666" t="n">
        <v>0</v>
      </c>
      <c r="J1666" t="n">
        <v>1</v>
      </c>
      <c r="K1666" t="n">
        <v>0</v>
      </c>
      <c r="L1666" t="n">
        <v>0</v>
      </c>
      <c r="M1666" t="n">
        <v>0</v>
      </c>
      <c r="N1666" t="n">
        <v>0</v>
      </c>
      <c r="O1666" t="n">
        <v>1</v>
      </c>
      <c r="P1666" t="n">
        <v>0</v>
      </c>
      <c r="Q1666" t="n">
        <v>1</v>
      </c>
      <c r="R1666" s="2" t="inlineStr">
        <is>
          <t>Ullticka</t>
        </is>
      </c>
      <c r="S1666">
        <f>HYPERLINK("https://klasma.github.io/Logging_2313/artfynd/A 22181-2025 artfynd.xlsx", "A 22181-2025")</f>
        <v/>
      </c>
      <c r="T1666">
        <f>HYPERLINK("https://klasma.github.io/Logging_2313/kartor/A 22181-2025 karta.png", "A 22181-2025")</f>
        <v/>
      </c>
      <c r="V1666">
        <f>HYPERLINK("https://klasma.github.io/Logging_2313/klagomål/A 22181-2025 FSC-klagomål.docx", "A 22181-2025")</f>
        <v/>
      </c>
      <c r="W1666">
        <f>HYPERLINK("https://klasma.github.io/Logging_2313/klagomålsmail/A 22181-2025 FSC-klagomål mail.docx", "A 22181-2025")</f>
        <v/>
      </c>
      <c r="X1666">
        <f>HYPERLINK("https://klasma.github.io/Logging_2313/tillsyn/A 22181-2025 tillsynsbegäran.docx", "A 22181-2025")</f>
        <v/>
      </c>
      <c r="Y1666">
        <f>HYPERLINK("https://klasma.github.io/Logging_2313/tillsynsmail/A 22181-2025 tillsynsbegäran mail.docx", "A 22181-2025")</f>
        <v/>
      </c>
    </row>
    <row r="1667" ht="15" customHeight="1">
      <c r="A1667" t="inlineStr">
        <is>
          <t>A 22051-2025</t>
        </is>
      </c>
      <c r="B1667" s="1" t="n">
        <v>45785.34456018519</v>
      </c>
      <c r="C1667" s="1" t="n">
        <v>46045</v>
      </c>
      <c r="D1667" t="inlineStr">
        <is>
          <t>JÄMTLANDS LÄN</t>
        </is>
      </c>
      <c r="E1667" t="inlineStr">
        <is>
          <t>STRÖMSUND</t>
        </is>
      </c>
      <c r="G1667" t="n">
        <v>8.1</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22051-2025 artfynd.xlsx", "A 22051-2025")</f>
        <v/>
      </c>
      <c r="T1667">
        <f>HYPERLINK("https://klasma.github.io/Logging_2313/kartor/A 22051-2025 karta.png", "A 22051-2025")</f>
        <v/>
      </c>
      <c r="V1667">
        <f>HYPERLINK("https://klasma.github.io/Logging_2313/klagomål/A 22051-2025 FSC-klagomål.docx", "A 22051-2025")</f>
        <v/>
      </c>
      <c r="W1667">
        <f>HYPERLINK("https://klasma.github.io/Logging_2313/klagomålsmail/A 22051-2025 FSC-klagomål mail.docx", "A 22051-2025")</f>
        <v/>
      </c>
      <c r="X1667">
        <f>HYPERLINK("https://klasma.github.io/Logging_2313/tillsyn/A 22051-2025 tillsynsbegäran.docx", "A 22051-2025")</f>
        <v/>
      </c>
      <c r="Y1667">
        <f>HYPERLINK("https://klasma.github.io/Logging_2313/tillsynsmail/A 22051-2025 tillsynsbegäran mail.docx", "A 22051-2025")</f>
        <v/>
      </c>
      <c r="Z1667">
        <f>HYPERLINK("https://klasma.github.io/Logging_2313/fåglar/A 22051-2025 prioriterade fågelarter.docx", "A 22051-2025")</f>
        <v/>
      </c>
    </row>
    <row r="1668" ht="15" customHeight="1">
      <c r="A1668" t="inlineStr">
        <is>
          <t>A 53708-2024</t>
        </is>
      </c>
      <c r="B1668" s="1" t="n">
        <v>45615.40983796296</v>
      </c>
      <c r="C1668" s="1" t="n">
        <v>46045</v>
      </c>
      <c r="D1668" t="inlineStr">
        <is>
          <t>JÄMTLANDS LÄN</t>
        </is>
      </c>
      <c r="E1668" t="inlineStr">
        <is>
          <t>BERG</t>
        </is>
      </c>
      <c r="G1668" t="n">
        <v>8.199999999999999</v>
      </c>
      <c r="H1668" t="n">
        <v>0</v>
      </c>
      <c r="I1668" t="n">
        <v>0</v>
      </c>
      <c r="J1668" t="n">
        <v>1</v>
      </c>
      <c r="K1668" t="n">
        <v>0</v>
      </c>
      <c r="L1668" t="n">
        <v>0</v>
      </c>
      <c r="M1668" t="n">
        <v>0</v>
      </c>
      <c r="N1668" t="n">
        <v>0</v>
      </c>
      <c r="O1668" t="n">
        <v>1</v>
      </c>
      <c r="P1668" t="n">
        <v>0</v>
      </c>
      <c r="Q1668" t="n">
        <v>1</v>
      </c>
      <c r="R1668" s="2" t="inlineStr">
        <is>
          <t>Lunglav</t>
        </is>
      </c>
      <c r="S1668">
        <f>HYPERLINK("https://klasma.github.io/Logging_2326/artfynd/A 53708-2024 artfynd.xlsx", "A 53708-2024")</f>
        <v/>
      </c>
      <c r="T1668">
        <f>HYPERLINK("https://klasma.github.io/Logging_2326/kartor/A 53708-2024 karta.png", "A 53708-2024")</f>
        <v/>
      </c>
      <c r="V1668">
        <f>HYPERLINK("https://klasma.github.io/Logging_2326/klagomål/A 53708-2024 FSC-klagomål.docx", "A 53708-2024")</f>
        <v/>
      </c>
      <c r="W1668">
        <f>HYPERLINK("https://klasma.github.io/Logging_2326/klagomålsmail/A 53708-2024 FSC-klagomål mail.docx", "A 53708-2024")</f>
        <v/>
      </c>
      <c r="X1668">
        <f>HYPERLINK("https://klasma.github.io/Logging_2326/tillsyn/A 53708-2024 tillsynsbegäran.docx", "A 53708-2024")</f>
        <v/>
      </c>
      <c r="Y1668">
        <f>HYPERLINK("https://klasma.github.io/Logging_2326/tillsynsmail/A 53708-2024 tillsynsbegäran mail.docx", "A 53708-2024")</f>
        <v/>
      </c>
    </row>
    <row r="1669" ht="15" customHeight="1">
      <c r="A1669" t="inlineStr">
        <is>
          <t>A 53462-2024</t>
        </is>
      </c>
      <c r="B1669" s="1" t="n">
        <v>45614.55241898148</v>
      </c>
      <c r="C1669" s="1" t="n">
        <v>46045</v>
      </c>
      <c r="D1669" t="inlineStr">
        <is>
          <t>JÄMTLANDS LÄN</t>
        </is>
      </c>
      <c r="E1669" t="inlineStr">
        <is>
          <t>ÅRE</t>
        </is>
      </c>
      <c r="G1669" t="n">
        <v>12.8</v>
      </c>
      <c r="H1669" t="n">
        <v>0</v>
      </c>
      <c r="I1669" t="n">
        <v>0</v>
      </c>
      <c r="J1669" t="n">
        <v>1</v>
      </c>
      <c r="K1669" t="n">
        <v>0</v>
      </c>
      <c r="L1669" t="n">
        <v>0</v>
      </c>
      <c r="M1669" t="n">
        <v>0</v>
      </c>
      <c r="N1669" t="n">
        <v>0</v>
      </c>
      <c r="O1669" t="n">
        <v>1</v>
      </c>
      <c r="P1669" t="n">
        <v>0</v>
      </c>
      <c r="Q1669" t="n">
        <v>1</v>
      </c>
      <c r="R1669" s="2" t="inlineStr">
        <is>
          <t>Granticka</t>
        </is>
      </c>
      <c r="S1669">
        <f>HYPERLINK("https://klasma.github.io/Logging_2321/artfynd/A 53462-2024 artfynd.xlsx", "A 53462-2024")</f>
        <v/>
      </c>
      <c r="T1669">
        <f>HYPERLINK("https://klasma.github.io/Logging_2321/kartor/A 53462-2024 karta.png", "A 53462-2024")</f>
        <v/>
      </c>
      <c r="V1669">
        <f>HYPERLINK("https://klasma.github.io/Logging_2321/klagomål/A 53462-2024 FSC-klagomål.docx", "A 53462-2024")</f>
        <v/>
      </c>
      <c r="W1669">
        <f>HYPERLINK("https://klasma.github.io/Logging_2321/klagomålsmail/A 53462-2024 FSC-klagomål mail.docx", "A 53462-2024")</f>
        <v/>
      </c>
      <c r="X1669">
        <f>HYPERLINK("https://klasma.github.io/Logging_2321/tillsyn/A 53462-2024 tillsynsbegäran.docx", "A 53462-2024")</f>
        <v/>
      </c>
      <c r="Y1669">
        <f>HYPERLINK("https://klasma.github.io/Logging_2321/tillsynsmail/A 53462-2024 tillsynsbegäran mail.docx", "A 53462-2024")</f>
        <v/>
      </c>
    </row>
    <row r="1670" ht="15" customHeight="1">
      <c r="A1670" t="inlineStr">
        <is>
          <t>A 54064-2023</t>
        </is>
      </c>
      <c r="B1670" s="1" t="n">
        <v>45231</v>
      </c>
      <c r="C1670" s="1" t="n">
        <v>46045</v>
      </c>
      <c r="D1670" t="inlineStr">
        <is>
          <t>JÄMTLANDS LÄN</t>
        </is>
      </c>
      <c r="E1670" t="inlineStr">
        <is>
          <t>STRÖMSUND</t>
        </is>
      </c>
      <c r="F1670" t="inlineStr">
        <is>
          <t>SCA</t>
        </is>
      </c>
      <c r="G1670" t="n">
        <v>14.1</v>
      </c>
      <c r="H1670" t="n">
        <v>0</v>
      </c>
      <c r="I1670" t="n">
        <v>0</v>
      </c>
      <c r="J1670" t="n">
        <v>1</v>
      </c>
      <c r="K1670" t="n">
        <v>0</v>
      </c>
      <c r="L1670" t="n">
        <v>0</v>
      </c>
      <c r="M1670" t="n">
        <v>0</v>
      </c>
      <c r="N1670" t="n">
        <v>0</v>
      </c>
      <c r="O1670" t="n">
        <v>1</v>
      </c>
      <c r="P1670" t="n">
        <v>0</v>
      </c>
      <c r="Q1670" t="n">
        <v>1</v>
      </c>
      <c r="R1670" s="2" t="inlineStr">
        <is>
          <t>Skrovellav</t>
        </is>
      </c>
      <c r="S1670">
        <f>HYPERLINK("https://klasma.github.io/Logging_2313/artfynd/A 54064-2023 artfynd.xlsx", "A 54064-2023")</f>
        <v/>
      </c>
      <c r="T1670">
        <f>HYPERLINK("https://klasma.github.io/Logging_2313/kartor/A 54064-2023 karta.png", "A 54064-2023")</f>
        <v/>
      </c>
      <c r="V1670">
        <f>HYPERLINK("https://klasma.github.io/Logging_2313/klagomål/A 54064-2023 FSC-klagomål.docx", "A 54064-2023")</f>
        <v/>
      </c>
      <c r="W1670">
        <f>HYPERLINK("https://klasma.github.io/Logging_2313/klagomålsmail/A 54064-2023 FSC-klagomål mail.docx", "A 54064-2023")</f>
        <v/>
      </c>
      <c r="X1670">
        <f>HYPERLINK("https://klasma.github.io/Logging_2313/tillsyn/A 54064-2023 tillsynsbegäran.docx", "A 54064-2023")</f>
        <v/>
      </c>
      <c r="Y1670">
        <f>HYPERLINK("https://klasma.github.io/Logging_2313/tillsynsmail/A 54064-2023 tillsynsbegäran mail.docx", "A 54064-2023")</f>
        <v/>
      </c>
    </row>
    <row r="1671" ht="15" customHeight="1">
      <c r="A1671" t="inlineStr">
        <is>
          <t>A 57493-2025</t>
        </is>
      </c>
      <c r="B1671" s="1" t="n">
        <v>45980.58540509259</v>
      </c>
      <c r="C1671" s="1" t="n">
        <v>46045</v>
      </c>
      <c r="D1671" t="inlineStr">
        <is>
          <t>JÄMTLANDS LÄN</t>
        </is>
      </c>
      <c r="E1671" t="inlineStr">
        <is>
          <t>ÅRE</t>
        </is>
      </c>
      <c r="G1671" t="n">
        <v>164</v>
      </c>
      <c r="H1671" t="n">
        <v>0</v>
      </c>
      <c r="I1671" t="n">
        <v>0</v>
      </c>
      <c r="J1671" t="n">
        <v>1</v>
      </c>
      <c r="K1671" t="n">
        <v>0</v>
      </c>
      <c r="L1671" t="n">
        <v>0</v>
      </c>
      <c r="M1671" t="n">
        <v>0</v>
      </c>
      <c r="N1671" t="n">
        <v>0</v>
      </c>
      <c r="O1671" t="n">
        <v>1</v>
      </c>
      <c r="P1671" t="n">
        <v>0</v>
      </c>
      <c r="Q1671" t="n">
        <v>1</v>
      </c>
      <c r="R1671" s="2" t="inlineStr">
        <is>
          <t>Doftskinn</t>
        </is>
      </c>
      <c r="S1671">
        <f>HYPERLINK("https://klasma.github.io/Logging_2321/artfynd/A 57493-2025 artfynd.xlsx", "A 57493-2025")</f>
        <v/>
      </c>
      <c r="T1671">
        <f>HYPERLINK("https://klasma.github.io/Logging_2321/kartor/A 57493-2025 karta.png", "A 57493-2025")</f>
        <v/>
      </c>
      <c r="V1671">
        <f>HYPERLINK("https://klasma.github.io/Logging_2321/klagomål/A 57493-2025 FSC-klagomål.docx", "A 57493-2025")</f>
        <v/>
      </c>
      <c r="W1671">
        <f>HYPERLINK("https://klasma.github.io/Logging_2321/klagomålsmail/A 57493-2025 FSC-klagomål mail.docx", "A 57493-2025")</f>
        <v/>
      </c>
      <c r="X1671">
        <f>HYPERLINK("https://klasma.github.io/Logging_2321/tillsyn/A 57493-2025 tillsynsbegäran.docx", "A 57493-2025")</f>
        <v/>
      </c>
      <c r="Y1671">
        <f>HYPERLINK("https://klasma.github.io/Logging_2321/tillsynsmail/A 57493-2025 tillsynsbegäran mail.docx", "A 57493-2025")</f>
        <v/>
      </c>
    </row>
    <row r="1672" ht="15" customHeight="1">
      <c r="A1672" t="inlineStr">
        <is>
          <t>A 71574-2021</t>
        </is>
      </c>
      <c r="B1672" s="1" t="n">
        <v>44540</v>
      </c>
      <c r="C1672" s="1" t="n">
        <v>46045</v>
      </c>
      <c r="D1672" t="inlineStr">
        <is>
          <t>JÄMTLANDS LÄN</t>
        </is>
      </c>
      <c r="E1672" t="inlineStr">
        <is>
          <t>KROKOM</t>
        </is>
      </c>
      <c r="G1672" t="n">
        <v>1.1</v>
      </c>
      <c r="H1672" t="n">
        <v>1</v>
      </c>
      <c r="I1672" t="n">
        <v>1</v>
      </c>
      <c r="J1672" t="n">
        <v>0</v>
      </c>
      <c r="K1672" t="n">
        <v>0</v>
      </c>
      <c r="L1672" t="n">
        <v>0</v>
      </c>
      <c r="M1672" t="n">
        <v>0</v>
      </c>
      <c r="N1672" t="n">
        <v>0</v>
      </c>
      <c r="O1672" t="n">
        <v>0</v>
      </c>
      <c r="P1672" t="n">
        <v>0</v>
      </c>
      <c r="Q1672" t="n">
        <v>1</v>
      </c>
      <c r="R1672" s="2" t="inlineStr">
        <is>
          <t>Spindelblomster</t>
        </is>
      </c>
      <c r="S1672">
        <f>HYPERLINK("https://klasma.github.io/Logging_2309/artfynd/A 71574-2021 artfynd.xlsx", "A 71574-2021")</f>
        <v/>
      </c>
      <c r="T1672">
        <f>HYPERLINK("https://klasma.github.io/Logging_2309/kartor/A 71574-2021 karta.png", "A 71574-2021")</f>
        <v/>
      </c>
      <c r="V1672">
        <f>HYPERLINK("https://klasma.github.io/Logging_2309/klagomål/A 71574-2021 FSC-klagomål.docx", "A 71574-2021")</f>
        <v/>
      </c>
      <c r="W1672">
        <f>HYPERLINK("https://klasma.github.io/Logging_2309/klagomålsmail/A 71574-2021 FSC-klagomål mail.docx", "A 71574-2021")</f>
        <v/>
      </c>
      <c r="X1672">
        <f>HYPERLINK("https://klasma.github.io/Logging_2309/tillsyn/A 71574-2021 tillsynsbegäran.docx", "A 71574-2021")</f>
        <v/>
      </c>
      <c r="Y1672">
        <f>HYPERLINK("https://klasma.github.io/Logging_2309/tillsynsmail/A 71574-2021 tillsynsbegäran mail.docx", "A 71574-2021")</f>
        <v/>
      </c>
    </row>
    <row r="1673" ht="15" customHeight="1">
      <c r="A1673" t="inlineStr">
        <is>
          <t>A 42816-2023</t>
        </is>
      </c>
      <c r="B1673" s="1" t="n">
        <v>45182</v>
      </c>
      <c r="C1673" s="1" t="n">
        <v>46045</v>
      </c>
      <c r="D1673" t="inlineStr">
        <is>
          <t>JÄMTLANDS LÄN</t>
        </is>
      </c>
      <c r="E1673" t="inlineStr">
        <is>
          <t>KROKOM</t>
        </is>
      </c>
      <c r="G1673" t="n">
        <v>3.9</v>
      </c>
      <c r="H1673" t="n">
        <v>1</v>
      </c>
      <c r="I1673" t="n">
        <v>1</v>
      </c>
      <c r="J1673" t="n">
        <v>0</v>
      </c>
      <c r="K1673" t="n">
        <v>0</v>
      </c>
      <c r="L1673" t="n">
        <v>0</v>
      </c>
      <c r="M1673" t="n">
        <v>0</v>
      </c>
      <c r="N1673" t="n">
        <v>0</v>
      </c>
      <c r="O1673" t="n">
        <v>0</v>
      </c>
      <c r="P1673" t="n">
        <v>0</v>
      </c>
      <c r="Q1673" t="n">
        <v>1</v>
      </c>
      <c r="R1673" s="2" t="inlineStr">
        <is>
          <t>Tvåblad</t>
        </is>
      </c>
      <c r="S1673">
        <f>HYPERLINK("https://klasma.github.io/Logging_2309/artfynd/A 42816-2023 artfynd.xlsx", "A 42816-2023")</f>
        <v/>
      </c>
      <c r="T1673">
        <f>HYPERLINK("https://klasma.github.io/Logging_2309/kartor/A 42816-2023 karta.png", "A 42816-2023")</f>
        <v/>
      </c>
      <c r="V1673">
        <f>HYPERLINK("https://klasma.github.io/Logging_2309/klagomål/A 42816-2023 FSC-klagomål.docx", "A 42816-2023")</f>
        <v/>
      </c>
      <c r="W1673">
        <f>HYPERLINK("https://klasma.github.io/Logging_2309/klagomålsmail/A 42816-2023 FSC-klagomål mail.docx", "A 42816-2023")</f>
        <v/>
      </c>
      <c r="X1673">
        <f>HYPERLINK("https://klasma.github.io/Logging_2309/tillsyn/A 42816-2023 tillsynsbegäran.docx", "A 42816-2023")</f>
        <v/>
      </c>
      <c r="Y1673">
        <f>HYPERLINK("https://klasma.github.io/Logging_2309/tillsynsmail/A 42816-2023 tillsynsbegäran mail.docx", "A 42816-2023")</f>
        <v/>
      </c>
    </row>
    <row r="1674" ht="15" customHeight="1">
      <c r="A1674" t="inlineStr">
        <is>
          <t>A 49053-2025</t>
        </is>
      </c>
      <c r="B1674" s="1" t="n">
        <v>45937.64009259259</v>
      </c>
      <c r="C1674" s="1" t="n">
        <v>46045</v>
      </c>
      <c r="D1674" t="inlineStr">
        <is>
          <t>JÄMTLANDS LÄN</t>
        </is>
      </c>
      <c r="E1674" t="inlineStr">
        <is>
          <t>RAGUNDA</t>
        </is>
      </c>
      <c r="F1674" t="inlineStr">
        <is>
          <t>SCA</t>
        </is>
      </c>
      <c r="G1674" t="n">
        <v>7</v>
      </c>
      <c r="H1674" t="n">
        <v>1</v>
      </c>
      <c r="I1674" t="n">
        <v>1</v>
      </c>
      <c r="J1674" t="n">
        <v>0</v>
      </c>
      <c r="K1674" t="n">
        <v>0</v>
      </c>
      <c r="L1674" t="n">
        <v>0</v>
      </c>
      <c r="M1674" t="n">
        <v>0</v>
      </c>
      <c r="N1674" t="n">
        <v>0</v>
      </c>
      <c r="O1674" t="n">
        <v>0</v>
      </c>
      <c r="P1674" t="n">
        <v>0</v>
      </c>
      <c r="Q1674" t="n">
        <v>1</v>
      </c>
      <c r="R1674" s="2" t="inlineStr">
        <is>
          <t>Guckusko</t>
        </is>
      </c>
      <c r="S1674">
        <f>HYPERLINK("https://klasma.github.io/Logging_2303/artfynd/A 49053-2025 artfynd.xlsx", "A 49053-2025")</f>
        <v/>
      </c>
      <c r="T1674">
        <f>HYPERLINK("https://klasma.github.io/Logging_2303/kartor/A 49053-2025 karta.png", "A 49053-2025")</f>
        <v/>
      </c>
      <c r="V1674">
        <f>HYPERLINK("https://klasma.github.io/Logging_2303/klagomål/A 49053-2025 FSC-klagomål.docx", "A 49053-2025")</f>
        <v/>
      </c>
      <c r="W1674">
        <f>HYPERLINK("https://klasma.github.io/Logging_2303/klagomålsmail/A 49053-2025 FSC-klagomål mail.docx", "A 49053-2025")</f>
        <v/>
      </c>
      <c r="X1674">
        <f>HYPERLINK("https://klasma.github.io/Logging_2303/tillsyn/A 49053-2025 tillsynsbegäran.docx", "A 49053-2025")</f>
        <v/>
      </c>
      <c r="Y1674">
        <f>HYPERLINK("https://klasma.github.io/Logging_2303/tillsynsmail/A 49053-2025 tillsynsbegäran mail.docx", "A 49053-2025")</f>
        <v/>
      </c>
    </row>
    <row r="1675" ht="15" customHeight="1">
      <c r="A1675" t="inlineStr">
        <is>
          <t>A 22651-2025</t>
        </is>
      </c>
      <c r="B1675" s="1" t="n">
        <v>45789.46907407408</v>
      </c>
      <c r="C1675" s="1" t="n">
        <v>46045</v>
      </c>
      <c r="D1675" t="inlineStr">
        <is>
          <t>JÄMTLANDS LÄN</t>
        </is>
      </c>
      <c r="E1675" t="inlineStr">
        <is>
          <t>BRÄCKE</t>
        </is>
      </c>
      <c r="F1675" t="inlineStr">
        <is>
          <t>SCA</t>
        </is>
      </c>
      <c r="G1675" t="n">
        <v>2.3</v>
      </c>
      <c r="H1675" t="n">
        <v>1</v>
      </c>
      <c r="I1675" t="n">
        <v>1</v>
      </c>
      <c r="J1675" t="n">
        <v>0</v>
      </c>
      <c r="K1675" t="n">
        <v>0</v>
      </c>
      <c r="L1675" t="n">
        <v>0</v>
      </c>
      <c r="M1675" t="n">
        <v>0</v>
      </c>
      <c r="N1675" t="n">
        <v>0</v>
      </c>
      <c r="O1675" t="n">
        <v>0</v>
      </c>
      <c r="P1675" t="n">
        <v>0</v>
      </c>
      <c r="Q1675" t="n">
        <v>1</v>
      </c>
      <c r="R1675" s="2" t="inlineStr">
        <is>
          <t>Guckusko</t>
        </is>
      </c>
      <c r="S1675">
        <f>HYPERLINK("https://klasma.github.io/Logging_2305/artfynd/A 22651-2025 artfynd.xlsx", "A 22651-2025")</f>
        <v/>
      </c>
      <c r="T1675">
        <f>HYPERLINK("https://klasma.github.io/Logging_2305/kartor/A 22651-2025 karta.png", "A 22651-2025")</f>
        <v/>
      </c>
      <c r="V1675">
        <f>HYPERLINK("https://klasma.github.io/Logging_2305/klagomål/A 22651-2025 FSC-klagomål.docx", "A 22651-2025")</f>
        <v/>
      </c>
      <c r="W1675">
        <f>HYPERLINK("https://klasma.github.io/Logging_2305/klagomålsmail/A 22651-2025 FSC-klagomål mail.docx", "A 22651-2025")</f>
        <v/>
      </c>
      <c r="X1675">
        <f>HYPERLINK("https://klasma.github.io/Logging_2305/tillsyn/A 22651-2025 tillsynsbegäran.docx", "A 22651-2025")</f>
        <v/>
      </c>
      <c r="Y1675">
        <f>HYPERLINK("https://klasma.github.io/Logging_2305/tillsynsmail/A 22651-2025 tillsynsbegäran mail.docx", "A 22651-2025")</f>
        <v/>
      </c>
    </row>
    <row r="1676" ht="15" customHeight="1">
      <c r="A1676" t="inlineStr">
        <is>
          <t>A 33126-2024</t>
        </is>
      </c>
      <c r="B1676" s="1" t="n">
        <v>45517.9575462963</v>
      </c>
      <c r="C1676" s="1" t="n">
        <v>46045</v>
      </c>
      <c r="D1676" t="inlineStr">
        <is>
          <t>JÄMTLANDS LÄN</t>
        </is>
      </c>
      <c r="E1676" t="inlineStr">
        <is>
          <t>BERG</t>
        </is>
      </c>
      <c r="F1676" t="inlineStr">
        <is>
          <t>SCA</t>
        </is>
      </c>
      <c r="G1676" t="n">
        <v>4.2</v>
      </c>
      <c r="H1676" t="n">
        <v>0</v>
      </c>
      <c r="I1676" t="n">
        <v>0</v>
      </c>
      <c r="J1676" t="n">
        <v>0</v>
      </c>
      <c r="K1676" t="n">
        <v>1</v>
      </c>
      <c r="L1676" t="n">
        <v>0</v>
      </c>
      <c r="M1676" t="n">
        <v>0</v>
      </c>
      <c r="N1676" t="n">
        <v>0</v>
      </c>
      <c r="O1676" t="n">
        <v>1</v>
      </c>
      <c r="P1676" t="n">
        <v>1</v>
      </c>
      <c r="Q1676" t="n">
        <v>1</v>
      </c>
      <c r="R1676" s="2" t="inlineStr">
        <is>
          <t>Gräddporing</t>
        </is>
      </c>
      <c r="S1676">
        <f>HYPERLINK("https://klasma.github.io/Logging_2326/artfynd/A 33126-2024 artfynd.xlsx", "A 33126-2024")</f>
        <v/>
      </c>
      <c r="T1676">
        <f>HYPERLINK("https://klasma.github.io/Logging_2326/kartor/A 33126-2024 karta.png", "A 33126-2024")</f>
        <v/>
      </c>
      <c r="V1676">
        <f>HYPERLINK("https://klasma.github.io/Logging_2326/klagomål/A 33126-2024 FSC-klagomål.docx", "A 33126-2024")</f>
        <v/>
      </c>
      <c r="W1676">
        <f>HYPERLINK("https://klasma.github.io/Logging_2326/klagomålsmail/A 33126-2024 FSC-klagomål mail.docx", "A 33126-2024")</f>
        <v/>
      </c>
      <c r="X1676">
        <f>HYPERLINK("https://klasma.github.io/Logging_2326/tillsyn/A 33126-2024 tillsynsbegäran.docx", "A 33126-2024")</f>
        <v/>
      </c>
      <c r="Y1676">
        <f>HYPERLINK("https://klasma.github.io/Logging_2326/tillsynsmail/A 33126-2024 tillsynsbegäran mail.docx", "A 33126-2024")</f>
        <v/>
      </c>
    </row>
    <row r="1677" ht="15" customHeight="1">
      <c r="A1677" t="inlineStr">
        <is>
          <t>A 50182-2025</t>
        </is>
      </c>
      <c r="B1677" s="1" t="n">
        <v>45943.61550925926</v>
      </c>
      <c r="C1677" s="1" t="n">
        <v>46045</v>
      </c>
      <c r="D1677" t="inlineStr">
        <is>
          <t>JÄMTLANDS LÄN</t>
        </is>
      </c>
      <c r="E1677" t="inlineStr">
        <is>
          <t>BERG</t>
        </is>
      </c>
      <c r="F1677" t="inlineStr">
        <is>
          <t>SCA</t>
        </is>
      </c>
      <c r="G1677" t="n">
        <v>12.8</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HYPERLINK("https://klasma.github.io/Logging_2326/artfynd/A 50182-2025 artfynd.xlsx", "A 50182-2025")</f>
        <v/>
      </c>
      <c r="T1677">
        <f>HYPERLINK("https://klasma.github.io/Logging_2326/kartor/A 50182-2025 karta.png", "A 50182-2025")</f>
        <v/>
      </c>
      <c r="V1677">
        <f>HYPERLINK("https://klasma.github.io/Logging_2326/klagomål/A 50182-2025 FSC-klagomål.docx", "A 50182-2025")</f>
        <v/>
      </c>
      <c r="W1677">
        <f>HYPERLINK("https://klasma.github.io/Logging_2326/klagomålsmail/A 50182-2025 FSC-klagomål mail.docx", "A 50182-2025")</f>
        <v/>
      </c>
      <c r="X1677">
        <f>HYPERLINK("https://klasma.github.io/Logging_2326/tillsyn/A 50182-2025 tillsynsbegäran.docx", "A 50182-2025")</f>
        <v/>
      </c>
      <c r="Y1677">
        <f>HYPERLINK("https://klasma.github.io/Logging_2326/tillsynsmail/A 50182-2025 tillsynsbegäran mail.docx", "A 50182-2025")</f>
        <v/>
      </c>
      <c r="Z1677">
        <f>HYPERLINK("https://klasma.github.io/Logging_2326/fåglar/A 50182-2025 prioriterade fågelarter.docx", "A 50182-2025")</f>
        <v/>
      </c>
    </row>
    <row r="1678" ht="15" customHeight="1">
      <c r="A1678" t="inlineStr">
        <is>
          <t>A 23460-2025</t>
        </is>
      </c>
      <c r="B1678" s="1" t="n">
        <v>45792.42776620371</v>
      </c>
      <c r="C1678" s="1" t="n">
        <v>46045</v>
      </c>
      <c r="D1678" t="inlineStr">
        <is>
          <t>JÄMTLANDS LÄN</t>
        </is>
      </c>
      <c r="E1678" t="inlineStr">
        <is>
          <t>BRÄCKE</t>
        </is>
      </c>
      <c r="F1678" t="inlineStr">
        <is>
          <t>SCA</t>
        </is>
      </c>
      <c r="G1678" t="n">
        <v>2.3</v>
      </c>
      <c r="H1678" t="n">
        <v>0</v>
      </c>
      <c r="I1678" t="n">
        <v>1</v>
      </c>
      <c r="J1678" t="n">
        <v>0</v>
      </c>
      <c r="K1678" t="n">
        <v>0</v>
      </c>
      <c r="L1678" t="n">
        <v>0</v>
      </c>
      <c r="M1678" t="n">
        <v>0</v>
      </c>
      <c r="N1678" t="n">
        <v>0</v>
      </c>
      <c r="O1678" t="n">
        <v>0</v>
      </c>
      <c r="P1678" t="n">
        <v>0</v>
      </c>
      <c r="Q1678" t="n">
        <v>1</v>
      </c>
      <c r="R1678" s="2" t="inlineStr">
        <is>
          <t>Underviol</t>
        </is>
      </c>
      <c r="S1678">
        <f>HYPERLINK("https://klasma.github.io/Logging_2305/artfynd/A 23460-2025 artfynd.xlsx", "A 23460-2025")</f>
        <v/>
      </c>
      <c r="T1678">
        <f>HYPERLINK("https://klasma.github.io/Logging_2305/kartor/A 23460-2025 karta.png", "A 23460-2025")</f>
        <v/>
      </c>
      <c r="V1678">
        <f>HYPERLINK("https://klasma.github.io/Logging_2305/klagomål/A 23460-2025 FSC-klagomål.docx", "A 23460-2025")</f>
        <v/>
      </c>
      <c r="W1678">
        <f>HYPERLINK("https://klasma.github.io/Logging_2305/klagomålsmail/A 23460-2025 FSC-klagomål mail.docx", "A 23460-2025")</f>
        <v/>
      </c>
      <c r="X1678">
        <f>HYPERLINK("https://klasma.github.io/Logging_2305/tillsyn/A 23460-2025 tillsynsbegäran.docx", "A 23460-2025")</f>
        <v/>
      </c>
      <c r="Y1678">
        <f>HYPERLINK("https://klasma.github.io/Logging_2305/tillsynsmail/A 23460-2025 tillsynsbegäran mail.docx", "A 23460-2025")</f>
        <v/>
      </c>
    </row>
    <row r="1679" ht="15" customHeight="1">
      <c r="A1679" t="inlineStr">
        <is>
          <t>A 31479-2024</t>
        </is>
      </c>
      <c r="B1679" s="1" t="n">
        <v>45505.95263888889</v>
      </c>
      <c r="C1679" s="1" t="n">
        <v>46045</v>
      </c>
      <c r="D1679" t="inlineStr">
        <is>
          <t>JÄMTLANDS LÄN</t>
        </is>
      </c>
      <c r="E1679" t="inlineStr">
        <is>
          <t>BRÄCKE</t>
        </is>
      </c>
      <c r="F1679" t="inlineStr">
        <is>
          <t>SCA</t>
        </is>
      </c>
      <c r="G1679" t="n">
        <v>3</v>
      </c>
      <c r="H1679" t="n">
        <v>0</v>
      </c>
      <c r="I1679" t="n">
        <v>0</v>
      </c>
      <c r="J1679" t="n">
        <v>1</v>
      </c>
      <c r="K1679" t="n">
        <v>0</v>
      </c>
      <c r="L1679" t="n">
        <v>0</v>
      </c>
      <c r="M1679" t="n">
        <v>0</v>
      </c>
      <c r="N1679" t="n">
        <v>0</v>
      </c>
      <c r="O1679" t="n">
        <v>1</v>
      </c>
      <c r="P1679" t="n">
        <v>0</v>
      </c>
      <c r="Q1679" t="n">
        <v>1</v>
      </c>
      <c r="R1679" s="2" t="inlineStr">
        <is>
          <t>Violettgrå tagellav</t>
        </is>
      </c>
      <c r="S1679">
        <f>HYPERLINK("https://klasma.github.io/Logging_2305/artfynd/A 31479-2024 artfynd.xlsx", "A 31479-2024")</f>
        <v/>
      </c>
      <c r="T1679">
        <f>HYPERLINK("https://klasma.github.io/Logging_2305/kartor/A 31479-2024 karta.png", "A 31479-2024")</f>
        <v/>
      </c>
      <c r="V1679">
        <f>HYPERLINK("https://klasma.github.io/Logging_2305/klagomål/A 31479-2024 FSC-klagomål.docx", "A 31479-2024")</f>
        <v/>
      </c>
      <c r="W1679">
        <f>HYPERLINK("https://klasma.github.io/Logging_2305/klagomålsmail/A 31479-2024 FSC-klagomål mail.docx", "A 31479-2024")</f>
        <v/>
      </c>
      <c r="X1679">
        <f>HYPERLINK("https://klasma.github.io/Logging_2305/tillsyn/A 31479-2024 tillsynsbegäran.docx", "A 31479-2024")</f>
        <v/>
      </c>
      <c r="Y1679">
        <f>HYPERLINK("https://klasma.github.io/Logging_2305/tillsynsmail/A 31479-2024 tillsynsbegäran mail.docx", "A 31479-2024")</f>
        <v/>
      </c>
    </row>
    <row r="1680" ht="15" customHeight="1">
      <c r="A1680" t="inlineStr">
        <is>
          <t>A 25285-2023</t>
        </is>
      </c>
      <c r="B1680" s="1" t="n">
        <v>45079</v>
      </c>
      <c r="C1680" s="1" t="n">
        <v>46045</v>
      </c>
      <c r="D1680" t="inlineStr">
        <is>
          <t>JÄMTLANDS LÄN</t>
        </is>
      </c>
      <c r="E1680" t="inlineStr">
        <is>
          <t>KROKOM</t>
        </is>
      </c>
      <c r="G1680" t="n">
        <v>14.9</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25285-2023 artfynd.xlsx", "A 25285-2023")</f>
        <v/>
      </c>
      <c r="T1680">
        <f>HYPERLINK("https://klasma.github.io/Logging_2309/kartor/A 25285-2023 karta.png", "A 25285-2023")</f>
        <v/>
      </c>
      <c r="V1680">
        <f>HYPERLINK("https://klasma.github.io/Logging_2309/klagomål/A 25285-2023 FSC-klagomål.docx", "A 25285-2023")</f>
        <v/>
      </c>
      <c r="W1680">
        <f>HYPERLINK("https://klasma.github.io/Logging_2309/klagomålsmail/A 25285-2023 FSC-klagomål mail.docx", "A 25285-2023")</f>
        <v/>
      </c>
      <c r="X1680">
        <f>HYPERLINK("https://klasma.github.io/Logging_2309/tillsyn/A 25285-2023 tillsynsbegäran.docx", "A 25285-2023")</f>
        <v/>
      </c>
      <c r="Y1680">
        <f>HYPERLINK("https://klasma.github.io/Logging_2309/tillsynsmail/A 25285-2023 tillsynsbegäran mail.docx", "A 25285-2023")</f>
        <v/>
      </c>
      <c r="Z1680">
        <f>HYPERLINK("https://klasma.github.io/Logging_2309/fåglar/A 25285-2023 prioriterade fågelarter.docx", "A 25285-2023")</f>
        <v/>
      </c>
    </row>
    <row r="1681" ht="15" customHeight="1">
      <c r="A1681" t="inlineStr">
        <is>
          <t>A 24094-2025</t>
        </is>
      </c>
      <c r="B1681" s="1" t="n">
        <v>45796.57335648148</v>
      </c>
      <c r="C1681" s="1" t="n">
        <v>46045</v>
      </c>
      <c r="D1681" t="inlineStr">
        <is>
          <t>JÄMTLANDS LÄN</t>
        </is>
      </c>
      <c r="E1681" t="inlineStr">
        <is>
          <t>BRÄCKE</t>
        </is>
      </c>
      <c r="F1681" t="inlineStr">
        <is>
          <t>SCA</t>
        </is>
      </c>
      <c r="G1681" t="n">
        <v>4.1</v>
      </c>
      <c r="H1681" t="n">
        <v>0</v>
      </c>
      <c r="I1681" t="n">
        <v>0</v>
      </c>
      <c r="J1681" t="n">
        <v>1</v>
      </c>
      <c r="K1681" t="n">
        <v>0</v>
      </c>
      <c r="L1681" t="n">
        <v>0</v>
      </c>
      <c r="M1681" t="n">
        <v>0</v>
      </c>
      <c r="N1681" t="n">
        <v>0</v>
      </c>
      <c r="O1681" t="n">
        <v>1</v>
      </c>
      <c r="P1681" t="n">
        <v>0</v>
      </c>
      <c r="Q1681" t="n">
        <v>1</v>
      </c>
      <c r="R1681" s="2" t="inlineStr">
        <is>
          <t>Vedskivlav</t>
        </is>
      </c>
      <c r="S1681">
        <f>HYPERLINK("https://klasma.github.io/Logging_2305/artfynd/A 24094-2025 artfynd.xlsx", "A 24094-2025")</f>
        <v/>
      </c>
      <c r="T1681">
        <f>HYPERLINK("https://klasma.github.io/Logging_2305/kartor/A 24094-2025 karta.png", "A 24094-2025")</f>
        <v/>
      </c>
      <c r="V1681">
        <f>HYPERLINK("https://klasma.github.io/Logging_2305/klagomål/A 24094-2025 FSC-klagomål.docx", "A 24094-2025")</f>
        <v/>
      </c>
      <c r="W1681">
        <f>HYPERLINK("https://klasma.github.io/Logging_2305/klagomålsmail/A 24094-2025 FSC-klagomål mail.docx", "A 24094-2025")</f>
        <v/>
      </c>
      <c r="X1681">
        <f>HYPERLINK("https://klasma.github.io/Logging_2305/tillsyn/A 24094-2025 tillsynsbegäran.docx", "A 24094-2025")</f>
        <v/>
      </c>
      <c r="Y1681">
        <f>HYPERLINK("https://klasma.github.io/Logging_2305/tillsynsmail/A 24094-2025 tillsynsbegäran mail.docx", "A 24094-2025")</f>
        <v/>
      </c>
    </row>
    <row r="1682" ht="15" customHeight="1">
      <c r="A1682" t="inlineStr">
        <is>
          <t>A 23818-2025</t>
        </is>
      </c>
      <c r="B1682" s="1" t="n">
        <v>45793.58469907408</v>
      </c>
      <c r="C1682" s="1" t="n">
        <v>46045</v>
      </c>
      <c r="D1682" t="inlineStr">
        <is>
          <t>JÄMTLANDS LÄN</t>
        </is>
      </c>
      <c r="E1682" t="inlineStr">
        <is>
          <t>ÅRE</t>
        </is>
      </c>
      <c r="G1682" t="n">
        <v>7.5</v>
      </c>
      <c r="H1682" t="n">
        <v>1</v>
      </c>
      <c r="I1682" t="n">
        <v>0</v>
      </c>
      <c r="J1682" t="n">
        <v>0</v>
      </c>
      <c r="K1682" t="n">
        <v>0</v>
      </c>
      <c r="L1682" t="n">
        <v>0</v>
      </c>
      <c r="M1682" t="n">
        <v>0</v>
      </c>
      <c r="N1682" t="n">
        <v>0</v>
      </c>
      <c r="O1682" t="n">
        <v>0</v>
      </c>
      <c r="P1682" t="n">
        <v>0</v>
      </c>
      <c r="Q1682" t="n">
        <v>1</v>
      </c>
      <c r="R1682" s="2" t="inlineStr">
        <is>
          <t>Tjäder</t>
        </is>
      </c>
      <c r="S1682">
        <f>HYPERLINK("https://klasma.github.io/Logging_2321/artfynd/A 23818-2025 artfynd.xlsx", "A 23818-2025")</f>
        <v/>
      </c>
      <c r="T1682">
        <f>HYPERLINK("https://klasma.github.io/Logging_2321/kartor/A 23818-2025 karta.png", "A 23818-2025")</f>
        <v/>
      </c>
      <c r="V1682">
        <f>HYPERLINK("https://klasma.github.io/Logging_2321/klagomål/A 23818-2025 FSC-klagomål.docx", "A 23818-2025")</f>
        <v/>
      </c>
      <c r="W1682">
        <f>HYPERLINK("https://klasma.github.io/Logging_2321/klagomålsmail/A 23818-2025 FSC-klagomål mail.docx", "A 23818-2025")</f>
        <v/>
      </c>
      <c r="X1682">
        <f>HYPERLINK("https://klasma.github.io/Logging_2321/tillsyn/A 23818-2025 tillsynsbegäran.docx", "A 23818-2025")</f>
        <v/>
      </c>
      <c r="Y1682">
        <f>HYPERLINK("https://klasma.github.io/Logging_2321/tillsynsmail/A 23818-2025 tillsynsbegäran mail.docx", "A 23818-2025")</f>
        <v/>
      </c>
      <c r="Z1682">
        <f>HYPERLINK("https://klasma.github.io/Logging_2321/fåglar/A 23818-2025 prioriterade fågelarter.docx", "A 23818-2025")</f>
        <v/>
      </c>
    </row>
    <row r="1683" ht="15" customHeight="1">
      <c r="A1683" t="inlineStr">
        <is>
          <t>A 15189-2025</t>
        </is>
      </c>
      <c r="B1683" s="1" t="n">
        <v>45744.55259259259</v>
      </c>
      <c r="C1683" s="1" t="n">
        <v>46045</v>
      </c>
      <c r="D1683" t="inlineStr">
        <is>
          <t>JÄMTLANDS LÄN</t>
        </is>
      </c>
      <c r="E1683" t="inlineStr">
        <is>
          <t>BRÄCKE</t>
        </is>
      </c>
      <c r="F1683" t="inlineStr">
        <is>
          <t>SCA</t>
        </is>
      </c>
      <c r="G1683" t="n">
        <v>4.6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HYPERLINK("https://klasma.github.io/Logging_2305/artfynd/A 15189-2025 artfynd.xlsx", "A 15189-2025")</f>
        <v/>
      </c>
      <c r="T1683">
        <f>HYPERLINK("https://klasma.github.io/Logging_2305/kartor/A 15189-2025 karta.png", "A 15189-2025")</f>
        <v/>
      </c>
      <c r="V1683">
        <f>HYPERLINK("https://klasma.github.io/Logging_2305/klagomål/A 15189-2025 FSC-klagomål.docx", "A 15189-2025")</f>
        <v/>
      </c>
      <c r="W1683">
        <f>HYPERLINK("https://klasma.github.io/Logging_2305/klagomålsmail/A 15189-2025 FSC-klagomål mail.docx", "A 15189-2025")</f>
        <v/>
      </c>
      <c r="X1683">
        <f>HYPERLINK("https://klasma.github.io/Logging_2305/tillsyn/A 15189-2025 tillsynsbegäran.docx", "A 15189-2025")</f>
        <v/>
      </c>
      <c r="Y1683">
        <f>HYPERLINK("https://klasma.github.io/Logging_2305/tillsynsmail/A 15189-2025 tillsynsbegäran mail.docx", "A 15189-2025")</f>
        <v/>
      </c>
      <c r="Z1683">
        <f>HYPERLINK("https://klasma.github.io/Logging_2305/fåglar/A 15189-2025 prioriterade fågelarter.docx", "A 15189-2025")</f>
        <v/>
      </c>
    </row>
    <row r="1684" ht="15" customHeight="1">
      <c r="A1684" t="inlineStr">
        <is>
          <t>A 52193-2024</t>
        </is>
      </c>
      <c r="B1684" s="1" t="n">
        <v>45608</v>
      </c>
      <c r="C1684" s="1" t="n">
        <v>46045</v>
      </c>
      <c r="D1684" t="inlineStr">
        <is>
          <t>JÄMTLANDS LÄN</t>
        </is>
      </c>
      <c r="E1684" t="inlineStr">
        <is>
          <t>BERG</t>
        </is>
      </c>
      <c r="G1684" t="n">
        <v>7.4</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HYPERLINK("https://klasma.github.io/Logging_2326/artfynd/A 52193-2024 artfynd.xlsx", "A 52193-2024")</f>
        <v/>
      </c>
      <c r="T1684">
        <f>HYPERLINK("https://klasma.github.io/Logging_2326/kartor/A 52193-2024 karta.png", "A 52193-2024")</f>
        <v/>
      </c>
      <c r="V1684">
        <f>HYPERLINK("https://klasma.github.io/Logging_2326/klagomål/A 52193-2024 FSC-klagomål.docx", "A 52193-2024")</f>
        <v/>
      </c>
      <c r="W1684">
        <f>HYPERLINK("https://klasma.github.io/Logging_2326/klagomålsmail/A 52193-2024 FSC-klagomål mail.docx", "A 52193-2024")</f>
        <v/>
      </c>
      <c r="X1684">
        <f>HYPERLINK("https://klasma.github.io/Logging_2326/tillsyn/A 52193-2024 tillsynsbegäran.docx", "A 52193-2024")</f>
        <v/>
      </c>
      <c r="Y1684">
        <f>HYPERLINK("https://klasma.github.io/Logging_2326/tillsynsmail/A 52193-2024 tillsynsbegäran mail.docx", "A 52193-2024")</f>
        <v/>
      </c>
      <c r="Z1684">
        <f>HYPERLINK("https://klasma.github.io/Logging_2326/fåglar/A 52193-2024 prioriterade fågelarter.docx", "A 52193-2024")</f>
        <v/>
      </c>
    </row>
    <row r="1685" ht="15" customHeight="1">
      <c r="A1685" t="inlineStr">
        <is>
          <t>A 62936-2023</t>
        </is>
      </c>
      <c r="B1685" s="1" t="n">
        <v>45271</v>
      </c>
      <c r="C1685" s="1" t="n">
        <v>46045</v>
      </c>
      <c r="D1685" t="inlineStr">
        <is>
          <t>JÄMTLANDS LÄN</t>
        </is>
      </c>
      <c r="E1685" t="inlineStr">
        <is>
          <t>KROKOM</t>
        </is>
      </c>
      <c r="G1685" t="n">
        <v>33.9</v>
      </c>
      <c r="H1685" t="n">
        <v>0</v>
      </c>
      <c r="I1685" t="n">
        <v>1</v>
      </c>
      <c r="J1685" t="n">
        <v>0</v>
      </c>
      <c r="K1685" t="n">
        <v>0</v>
      </c>
      <c r="L1685" t="n">
        <v>0</v>
      </c>
      <c r="M1685" t="n">
        <v>0</v>
      </c>
      <c r="N1685" t="n">
        <v>0</v>
      </c>
      <c r="O1685" t="n">
        <v>0</v>
      </c>
      <c r="P1685" t="n">
        <v>0</v>
      </c>
      <c r="Q1685" t="n">
        <v>1</v>
      </c>
      <c r="R1685" s="2" t="inlineStr">
        <is>
          <t>Stuplav</t>
        </is>
      </c>
      <c r="S1685">
        <f>HYPERLINK("https://klasma.github.io/Logging_2309/artfynd/A 62936-2023 artfynd.xlsx", "A 62936-2023")</f>
        <v/>
      </c>
      <c r="T1685">
        <f>HYPERLINK("https://klasma.github.io/Logging_2309/kartor/A 62936-2023 karta.png", "A 62936-2023")</f>
        <v/>
      </c>
      <c r="V1685">
        <f>HYPERLINK("https://klasma.github.io/Logging_2309/klagomål/A 62936-2023 FSC-klagomål.docx", "A 62936-2023")</f>
        <v/>
      </c>
      <c r="W1685">
        <f>HYPERLINK("https://klasma.github.io/Logging_2309/klagomålsmail/A 62936-2023 FSC-klagomål mail.docx", "A 62936-2023")</f>
        <v/>
      </c>
      <c r="X1685">
        <f>HYPERLINK("https://klasma.github.io/Logging_2309/tillsyn/A 62936-2023 tillsynsbegäran.docx", "A 62936-2023")</f>
        <v/>
      </c>
      <c r="Y1685">
        <f>HYPERLINK("https://klasma.github.io/Logging_2309/tillsynsmail/A 62936-2023 tillsynsbegäran mail.docx", "A 62936-2023")</f>
        <v/>
      </c>
    </row>
    <row r="1686" ht="15" customHeight="1">
      <c r="A1686" t="inlineStr">
        <is>
          <t>A 44259-2024</t>
        </is>
      </c>
      <c r="B1686" s="1" t="n">
        <v>45573</v>
      </c>
      <c r="C1686" s="1" t="n">
        <v>46045</v>
      </c>
      <c r="D1686" t="inlineStr">
        <is>
          <t>JÄMTLANDS LÄN</t>
        </is>
      </c>
      <c r="E1686" t="inlineStr">
        <is>
          <t>BERG</t>
        </is>
      </c>
      <c r="G1686" t="n">
        <v>1.4</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HYPERLINK("https://klasma.github.io/Logging_2326/artfynd/A 44259-2024 artfynd.xlsx", "A 44259-2024")</f>
        <v/>
      </c>
      <c r="T1686">
        <f>HYPERLINK("https://klasma.github.io/Logging_2326/kartor/A 44259-2024 karta.png", "A 44259-2024")</f>
        <v/>
      </c>
      <c r="V1686">
        <f>HYPERLINK("https://klasma.github.io/Logging_2326/klagomål/A 44259-2024 FSC-klagomål.docx", "A 44259-2024")</f>
        <v/>
      </c>
      <c r="W1686">
        <f>HYPERLINK("https://klasma.github.io/Logging_2326/klagomålsmail/A 44259-2024 FSC-klagomål mail.docx", "A 44259-2024")</f>
        <v/>
      </c>
      <c r="X1686">
        <f>HYPERLINK("https://klasma.github.io/Logging_2326/tillsyn/A 44259-2024 tillsynsbegäran.docx", "A 44259-2024")</f>
        <v/>
      </c>
      <c r="Y1686">
        <f>HYPERLINK("https://klasma.github.io/Logging_2326/tillsynsmail/A 44259-2024 tillsynsbegäran mail.docx", "A 44259-2024")</f>
        <v/>
      </c>
      <c r="Z1686">
        <f>HYPERLINK("https://klasma.github.io/Logging_2326/fåglar/A 44259-2024 prioriterade fågelarter.docx", "A 44259-2024")</f>
        <v/>
      </c>
    </row>
    <row r="1687" ht="15" customHeight="1">
      <c r="A1687" t="inlineStr">
        <is>
          <t>A 40694-2024</t>
        </is>
      </c>
      <c r="B1687" s="1" t="n">
        <v>45558</v>
      </c>
      <c r="C1687" s="1" t="n">
        <v>46045</v>
      </c>
      <c r="D1687" t="inlineStr">
        <is>
          <t>JÄMTLANDS LÄN</t>
        </is>
      </c>
      <c r="E1687" t="inlineStr">
        <is>
          <t>ÖSTERSUND</t>
        </is>
      </c>
      <c r="F1687" t="inlineStr">
        <is>
          <t>SCA</t>
        </is>
      </c>
      <c r="G1687" t="n">
        <v>6.2</v>
      </c>
      <c r="H1687" t="n">
        <v>0</v>
      </c>
      <c r="I1687" t="n">
        <v>0</v>
      </c>
      <c r="J1687" t="n">
        <v>1</v>
      </c>
      <c r="K1687" t="n">
        <v>0</v>
      </c>
      <c r="L1687" t="n">
        <v>0</v>
      </c>
      <c r="M1687" t="n">
        <v>0</v>
      </c>
      <c r="N1687" t="n">
        <v>0</v>
      </c>
      <c r="O1687" t="n">
        <v>1</v>
      </c>
      <c r="P1687" t="n">
        <v>0</v>
      </c>
      <c r="Q1687" t="n">
        <v>1</v>
      </c>
      <c r="R1687" s="2" t="inlineStr">
        <is>
          <t>Reliktbock</t>
        </is>
      </c>
      <c r="S1687">
        <f>HYPERLINK("https://klasma.github.io/Logging_2380/artfynd/A 40694-2024 artfynd.xlsx", "A 40694-2024")</f>
        <v/>
      </c>
      <c r="T1687">
        <f>HYPERLINK("https://klasma.github.io/Logging_2380/kartor/A 40694-2024 karta.png", "A 40694-2024")</f>
        <v/>
      </c>
      <c r="V1687">
        <f>HYPERLINK("https://klasma.github.io/Logging_2380/klagomål/A 40694-2024 FSC-klagomål.docx", "A 40694-2024")</f>
        <v/>
      </c>
      <c r="W1687">
        <f>HYPERLINK("https://klasma.github.io/Logging_2380/klagomålsmail/A 40694-2024 FSC-klagomål mail.docx", "A 40694-2024")</f>
        <v/>
      </c>
      <c r="X1687">
        <f>HYPERLINK("https://klasma.github.io/Logging_2380/tillsyn/A 40694-2024 tillsynsbegäran.docx", "A 40694-2024")</f>
        <v/>
      </c>
      <c r="Y1687">
        <f>HYPERLINK("https://klasma.github.io/Logging_2380/tillsynsmail/A 40694-2024 tillsynsbegäran mail.docx", "A 40694-2024")</f>
        <v/>
      </c>
    </row>
    <row r="1688" ht="15" customHeight="1">
      <c r="A1688" t="inlineStr">
        <is>
          <t>A 51177-2025</t>
        </is>
      </c>
      <c r="B1688" s="1" t="n">
        <v>45947.61255787037</v>
      </c>
      <c r="C1688" s="1" t="n">
        <v>46045</v>
      </c>
      <c r="D1688" t="inlineStr">
        <is>
          <t>JÄMTLANDS LÄN</t>
        </is>
      </c>
      <c r="E1688" t="inlineStr">
        <is>
          <t>BRÄCKE</t>
        </is>
      </c>
      <c r="G1688" t="n">
        <v>9.6</v>
      </c>
      <c r="H1688" t="n">
        <v>0</v>
      </c>
      <c r="I1688" t="n">
        <v>0</v>
      </c>
      <c r="J1688" t="n">
        <v>1</v>
      </c>
      <c r="K1688" t="n">
        <v>0</v>
      </c>
      <c r="L1688" t="n">
        <v>0</v>
      </c>
      <c r="M1688" t="n">
        <v>0</v>
      </c>
      <c r="N1688" t="n">
        <v>0</v>
      </c>
      <c r="O1688" t="n">
        <v>1</v>
      </c>
      <c r="P1688" t="n">
        <v>0</v>
      </c>
      <c r="Q1688" t="n">
        <v>1</v>
      </c>
      <c r="R1688" s="2" t="inlineStr">
        <is>
          <t>Granticka</t>
        </is>
      </c>
      <c r="S1688">
        <f>HYPERLINK("https://klasma.github.io/Logging_2305/artfynd/A 51177-2025 artfynd.xlsx", "A 51177-2025")</f>
        <v/>
      </c>
      <c r="T1688">
        <f>HYPERLINK("https://klasma.github.io/Logging_2305/kartor/A 51177-2025 karta.png", "A 51177-2025")</f>
        <v/>
      </c>
      <c r="V1688">
        <f>HYPERLINK("https://klasma.github.io/Logging_2305/klagomål/A 51177-2025 FSC-klagomål.docx", "A 51177-2025")</f>
        <v/>
      </c>
      <c r="W1688">
        <f>HYPERLINK("https://klasma.github.io/Logging_2305/klagomålsmail/A 51177-2025 FSC-klagomål mail.docx", "A 51177-2025")</f>
        <v/>
      </c>
      <c r="X1688">
        <f>HYPERLINK("https://klasma.github.io/Logging_2305/tillsyn/A 51177-2025 tillsynsbegäran.docx", "A 51177-2025")</f>
        <v/>
      </c>
      <c r="Y1688">
        <f>HYPERLINK("https://klasma.github.io/Logging_2305/tillsynsmail/A 51177-2025 tillsynsbegäran mail.docx", "A 51177-2025")</f>
        <v/>
      </c>
    </row>
    <row r="1689" ht="15" customHeight="1">
      <c r="A1689" t="inlineStr">
        <is>
          <t>A 32171-2024</t>
        </is>
      </c>
      <c r="B1689" s="1" t="n">
        <v>45511</v>
      </c>
      <c r="C1689" s="1" t="n">
        <v>46045</v>
      </c>
      <c r="D1689" t="inlineStr">
        <is>
          <t>JÄMTLANDS LÄN</t>
        </is>
      </c>
      <c r="E1689" t="inlineStr">
        <is>
          <t>BERG</t>
        </is>
      </c>
      <c r="G1689" t="n">
        <v>9.699999999999999</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HYPERLINK("https://klasma.github.io/Logging_2326/artfynd/A 32171-2024 artfynd.xlsx", "A 32171-2024")</f>
        <v/>
      </c>
      <c r="T1689">
        <f>HYPERLINK("https://klasma.github.io/Logging_2326/kartor/A 32171-2024 karta.png", "A 32171-2024")</f>
        <v/>
      </c>
      <c r="V1689">
        <f>HYPERLINK("https://klasma.github.io/Logging_2326/klagomål/A 32171-2024 FSC-klagomål.docx", "A 32171-2024")</f>
        <v/>
      </c>
      <c r="W1689">
        <f>HYPERLINK("https://klasma.github.io/Logging_2326/klagomålsmail/A 32171-2024 FSC-klagomål mail.docx", "A 32171-2024")</f>
        <v/>
      </c>
      <c r="X1689">
        <f>HYPERLINK("https://klasma.github.io/Logging_2326/tillsyn/A 32171-2024 tillsynsbegäran.docx", "A 32171-2024")</f>
        <v/>
      </c>
      <c r="Y1689">
        <f>HYPERLINK("https://klasma.github.io/Logging_2326/tillsynsmail/A 32171-2024 tillsynsbegäran mail.docx", "A 32171-2024")</f>
        <v/>
      </c>
      <c r="Z1689">
        <f>HYPERLINK("https://klasma.github.io/Logging_2326/fåglar/A 32171-2024 prioriterade fågelarter.docx", "A 32171-2024")</f>
        <v/>
      </c>
    </row>
    <row r="1690" ht="15" customHeight="1">
      <c r="A1690" t="inlineStr">
        <is>
          <t>A 51912-2025</t>
        </is>
      </c>
      <c r="B1690" s="1" t="n">
        <v>45952.46939814815</v>
      </c>
      <c r="C1690" s="1" t="n">
        <v>46045</v>
      </c>
      <c r="D1690" t="inlineStr">
        <is>
          <t>JÄMTLANDS LÄN</t>
        </is>
      </c>
      <c r="E1690" t="inlineStr">
        <is>
          <t>RAGUNDA</t>
        </is>
      </c>
      <c r="F1690" t="inlineStr">
        <is>
          <t>SCA</t>
        </is>
      </c>
      <c r="G1690" t="n">
        <v>24.2</v>
      </c>
      <c r="H1690" t="n">
        <v>1</v>
      </c>
      <c r="I1690" t="n">
        <v>0</v>
      </c>
      <c r="J1690" t="n">
        <v>0</v>
      </c>
      <c r="K1690" t="n">
        <v>1</v>
      </c>
      <c r="L1690" t="n">
        <v>0</v>
      </c>
      <c r="M1690" t="n">
        <v>0</v>
      </c>
      <c r="N1690" t="n">
        <v>0</v>
      </c>
      <c r="O1690" t="n">
        <v>1</v>
      </c>
      <c r="P1690" t="n">
        <v>1</v>
      </c>
      <c r="Q1690" t="n">
        <v>1</v>
      </c>
      <c r="R1690" s="2" t="inlineStr">
        <is>
          <t>Norna</t>
        </is>
      </c>
      <c r="S1690">
        <f>HYPERLINK("https://klasma.github.io/Logging_2303/artfynd/A 51912-2025 artfynd.xlsx", "A 51912-2025")</f>
        <v/>
      </c>
      <c r="T1690">
        <f>HYPERLINK("https://klasma.github.io/Logging_2303/kartor/A 51912-2025 karta.png", "A 51912-2025")</f>
        <v/>
      </c>
      <c r="V1690">
        <f>HYPERLINK("https://klasma.github.io/Logging_2303/klagomål/A 51912-2025 FSC-klagomål.docx", "A 51912-2025")</f>
        <v/>
      </c>
      <c r="W1690">
        <f>HYPERLINK("https://klasma.github.io/Logging_2303/klagomålsmail/A 51912-2025 FSC-klagomål mail.docx", "A 51912-2025")</f>
        <v/>
      </c>
      <c r="X1690">
        <f>HYPERLINK("https://klasma.github.io/Logging_2303/tillsyn/A 51912-2025 tillsynsbegäran.docx", "A 51912-2025")</f>
        <v/>
      </c>
      <c r="Y1690">
        <f>HYPERLINK("https://klasma.github.io/Logging_2303/tillsynsmail/A 51912-2025 tillsynsbegäran mail.docx", "A 51912-2025")</f>
        <v/>
      </c>
    </row>
    <row r="1691" ht="15" customHeight="1">
      <c r="A1691" t="inlineStr">
        <is>
          <t>A 24315-2025</t>
        </is>
      </c>
      <c r="B1691" s="1" t="n">
        <v>45797.53167824074</v>
      </c>
      <c r="C1691" s="1" t="n">
        <v>46045</v>
      </c>
      <c r="D1691" t="inlineStr">
        <is>
          <t>JÄMTLANDS LÄN</t>
        </is>
      </c>
      <c r="E1691" t="inlineStr">
        <is>
          <t>STRÖMSUND</t>
        </is>
      </c>
      <c r="F1691" t="inlineStr">
        <is>
          <t>SCA</t>
        </is>
      </c>
      <c r="G1691" t="n">
        <v>2.9</v>
      </c>
      <c r="H1691" t="n">
        <v>0</v>
      </c>
      <c r="I1691" t="n">
        <v>1</v>
      </c>
      <c r="J1691" t="n">
        <v>0</v>
      </c>
      <c r="K1691" t="n">
        <v>0</v>
      </c>
      <c r="L1691" t="n">
        <v>0</v>
      </c>
      <c r="M1691" t="n">
        <v>0</v>
      </c>
      <c r="N1691" t="n">
        <v>0</v>
      </c>
      <c r="O1691" t="n">
        <v>0</v>
      </c>
      <c r="P1691" t="n">
        <v>0</v>
      </c>
      <c r="Q1691" t="n">
        <v>1</v>
      </c>
      <c r="R1691" s="2" t="inlineStr">
        <is>
          <t>Dropptaggsvamp</t>
        </is>
      </c>
      <c r="S1691">
        <f>HYPERLINK("https://klasma.github.io/Logging_2313/artfynd/A 24315-2025 artfynd.xlsx", "A 24315-2025")</f>
        <v/>
      </c>
      <c r="T1691">
        <f>HYPERLINK("https://klasma.github.io/Logging_2313/kartor/A 24315-2025 karta.png", "A 24315-2025")</f>
        <v/>
      </c>
      <c r="V1691">
        <f>HYPERLINK("https://klasma.github.io/Logging_2313/klagomål/A 24315-2025 FSC-klagomål.docx", "A 24315-2025")</f>
        <v/>
      </c>
      <c r="W1691">
        <f>HYPERLINK("https://klasma.github.io/Logging_2313/klagomålsmail/A 24315-2025 FSC-klagomål mail.docx", "A 24315-2025")</f>
        <v/>
      </c>
      <c r="X1691">
        <f>HYPERLINK("https://klasma.github.io/Logging_2313/tillsyn/A 24315-2025 tillsynsbegäran.docx", "A 24315-2025")</f>
        <v/>
      </c>
      <c r="Y1691">
        <f>HYPERLINK("https://klasma.github.io/Logging_2313/tillsynsmail/A 24315-2025 tillsynsbegäran mail.docx", "A 24315-2025")</f>
        <v/>
      </c>
    </row>
    <row r="1692" ht="15" customHeight="1">
      <c r="A1692" t="inlineStr">
        <is>
          <t>A 24331-2025</t>
        </is>
      </c>
      <c r="B1692" s="1" t="n">
        <v>45797</v>
      </c>
      <c r="C1692" s="1" t="n">
        <v>46045</v>
      </c>
      <c r="D1692" t="inlineStr">
        <is>
          <t>JÄMTLANDS LÄN</t>
        </is>
      </c>
      <c r="E1692" t="inlineStr">
        <is>
          <t>BERG</t>
        </is>
      </c>
      <c r="G1692" t="n">
        <v>9</v>
      </c>
      <c r="H1692" t="n">
        <v>1</v>
      </c>
      <c r="I1692" t="n">
        <v>0</v>
      </c>
      <c r="J1692" t="n">
        <v>0</v>
      </c>
      <c r="K1692" t="n">
        <v>0</v>
      </c>
      <c r="L1692" t="n">
        <v>0</v>
      </c>
      <c r="M1692" t="n">
        <v>0</v>
      </c>
      <c r="N1692" t="n">
        <v>0</v>
      </c>
      <c r="O1692" t="n">
        <v>0</v>
      </c>
      <c r="P1692" t="n">
        <v>0</v>
      </c>
      <c r="Q1692" t="n">
        <v>1</v>
      </c>
      <c r="R1692" s="2" t="inlineStr">
        <is>
          <t>Blåsippa</t>
        </is>
      </c>
      <c r="S1692">
        <f>HYPERLINK("https://klasma.github.io/Logging_2326/artfynd/A 24331-2025 artfynd.xlsx", "A 24331-2025")</f>
        <v/>
      </c>
      <c r="T1692">
        <f>HYPERLINK("https://klasma.github.io/Logging_2326/kartor/A 24331-2025 karta.png", "A 24331-2025")</f>
        <v/>
      </c>
      <c r="V1692">
        <f>HYPERLINK("https://klasma.github.io/Logging_2326/klagomål/A 24331-2025 FSC-klagomål.docx", "A 24331-2025")</f>
        <v/>
      </c>
      <c r="W1692">
        <f>HYPERLINK("https://klasma.github.io/Logging_2326/klagomålsmail/A 24331-2025 FSC-klagomål mail.docx", "A 24331-2025")</f>
        <v/>
      </c>
      <c r="X1692">
        <f>HYPERLINK("https://klasma.github.io/Logging_2326/tillsyn/A 24331-2025 tillsynsbegäran.docx", "A 24331-2025")</f>
        <v/>
      </c>
      <c r="Y1692">
        <f>HYPERLINK("https://klasma.github.io/Logging_2326/tillsynsmail/A 24331-2025 tillsynsbegäran mail.docx", "A 24331-2025")</f>
        <v/>
      </c>
    </row>
    <row r="1693" ht="15" customHeight="1">
      <c r="A1693" t="inlineStr">
        <is>
          <t>A 49385-2024</t>
        </is>
      </c>
      <c r="B1693" s="1" t="n">
        <v>45595</v>
      </c>
      <c r="C1693" s="1" t="n">
        <v>46045</v>
      </c>
      <c r="D1693" t="inlineStr">
        <is>
          <t>JÄMTLANDS LÄN</t>
        </is>
      </c>
      <c r="E1693" t="inlineStr">
        <is>
          <t>KROKOM</t>
        </is>
      </c>
      <c r="G1693" t="n">
        <v>10.5</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49385-2024 artfynd.xlsx", "A 49385-2024")</f>
        <v/>
      </c>
      <c r="T1693">
        <f>HYPERLINK("https://klasma.github.io/Logging_2309/kartor/A 49385-2024 karta.png", "A 49385-2024")</f>
        <v/>
      </c>
      <c r="V1693">
        <f>HYPERLINK("https://klasma.github.io/Logging_2309/klagomål/A 49385-2024 FSC-klagomål.docx", "A 49385-2024")</f>
        <v/>
      </c>
      <c r="W1693">
        <f>HYPERLINK("https://klasma.github.io/Logging_2309/klagomålsmail/A 49385-2024 FSC-klagomål mail.docx", "A 49385-2024")</f>
        <v/>
      </c>
      <c r="X1693">
        <f>HYPERLINK("https://klasma.github.io/Logging_2309/tillsyn/A 49385-2024 tillsynsbegäran.docx", "A 49385-2024")</f>
        <v/>
      </c>
      <c r="Y1693">
        <f>HYPERLINK("https://klasma.github.io/Logging_2309/tillsynsmail/A 49385-2024 tillsynsbegäran mail.docx", "A 49385-2024")</f>
        <v/>
      </c>
      <c r="Z1693">
        <f>HYPERLINK("https://klasma.github.io/Logging_2309/fåglar/A 49385-2024 prioriterade fågelarter.docx", "A 49385-2024")</f>
        <v/>
      </c>
    </row>
    <row r="1694" ht="15" customHeight="1">
      <c r="A1694" t="inlineStr">
        <is>
          <t>A 43105-2023</t>
        </is>
      </c>
      <c r="B1694" s="1" t="n">
        <v>45182</v>
      </c>
      <c r="C1694" s="1" t="n">
        <v>46045</v>
      </c>
      <c r="D1694" t="inlineStr">
        <is>
          <t>JÄMTLANDS LÄN</t>
        </is>
      </c>
      <c r="E1694" t="inlineStr">
        <is>
          <t>STRÖMSUND</t>
        </is>
      </c>
      <c r="F1694" t="inlineStr">
        <is>
          <t>SCA</t>
        </is>
      </c>
      <c r="G1694" t="n">
        <v>6.3</v>
      </c>
      <c r="H1694" t="n">
        <v>0</v>
      </c>
      <c r="I1694" t="n">
        <v>0</v>
      </c>
      <c r="J1694" t="n">
        <v>1</v>
      </c>
      <c r="K1694" t="n">
        <v>0</v>
      </c>
      <c r="L1694" t="n">
        <v>0</v>
      </c>
      <c r="M1694" t="n">
        <v>0</v>
      </c>
      <c r="N1694" t="n">
        <v>0</v>
      </c>
      <c r="O1694" t="n">
        <v>1</v>
      </c>
      <c r="P1694" t="n">
        <v>0</v>
      </c>
      <c r="Q1694" t="n">
        <v>1</v>
      </c>
      <c r="R1694" s="2" t="inlineStr">
        <is>
          <t>Gammelgransskål</t>
        </is>
      </c>
      <c r="S1694">
        <f>HYPERLINK("https://klasma.github.io/Logging_2313/artfynd/A 43105-2023 artfynd.xlsx", "A 43105-2023")</f>
        <v/>
      </c>
      <c r="T1694">
        <f>HYPERLINK("https://klasma.github.io/Logging_2313/kartor/A 43105-2023 karta.png", "A 43105-2023")</f>
        <v/>
      </c>
      <c r="V1694">
        <f>HYPERLINK("https://klasma.github.io/Logging_2313/klagomål/A 43105-2023 FSC-klagomål.docx", "A 43105-2023")</f>
        <v/>
      </c>
      <c r="W1694">
        <f>HYPERLINK("https://klasma.github.io/Logging_2313/klagomålsmail/A 43105-2023 FSC-klagomål mail.docx", "A 43105-2023")</f>
        <v/>
      </c>
      <c r="X1694">
        <f>HYPERLINK("https://klasma.github.io/Logging_2313/tillsyn/A 43105-2023 tillsynsbegäran.docx", "A 43105-2023")</f>
        <v/>
      </c>
      <c r="Y1694">
        <f>HYPERLINK("https://klasma.github.io/Logging_2313/tillsynsmail/A 43105-2023 tillsynsbegäran mail.docx", "A 43105-2023")</f>
        <v/>
      </c>
    </row>
    <row r="1695" ht="15" customHeight="1">
      <c r="A1695" t="inlineStr">
        <is>
          <t>A 49387-2024</t>
        </is>
      </c>
      <c r="B1695" s="1" t="n">
        <v>45595</v>
      </c>
      <c r="C1695" s="1" t="n">
        <v>46045</v>
      </c>
      <c r="D1695" t="inlineStr">
        <is>
          <t>JÄMTLANDS LÄN</t>
        </is>
      </c>
      <c r="E1695" t="inlineStr">
        <is>
          <t>KROKOM</t>
        </is>
      </c>
      <c r="G1695" t="n">
        <v>0.8</v>
      </c>
      <c r="H1695" t="n">
        <v>0</v>
      </c>
      <c r="I1695" t="n">
        <v>0</v>
      </c>
      <c r="J1695" t="n">
        <v>1</v>
      </c>
      <c r="K1695" t="n">
        <v>0</v>
      </c>
      <c r="L1695" t="n">
        <v>0</v>
      </c>
      <c r="M1695" t="n">
        <v>0</v>
      </c>
      <c r="N1695" t="n">
        <v>0</v>
      </c>
      <c r="O1695" t="n">
        <v>1</v>
      </c>
      <c r="P1695" t="n">
        <v>0</v>
      </c>
      <c r="Q1695" t="n">
        <v>1</v>
      </c>
      <c r="R1695" s="2" t="inlineStr">
        <is>
          <t>Garnlav</t>
        </is>
      </c>
      <c r="S1695">
        <f>HYPERLINK("https://klasma.github.io/Logging_2309/artfynd/A 49387-2024 artfynd.xlsx", "A 49387-2024")</f>
        <v/>
      </c>
      <c r="T1695">
        <f>HYPERLINK("https://klasma.github.io/Logging_2309/kartor/A 49387-2024 karta.png", "A 49387-2024")</f>
        <v/>
      </c>
      <c r="V1695">
        <f>HYPERLINK("https://klasma.github.io/Logging_2309/klagomål/A 49387-2024 FSC-klagomål.docx", "A 49387-2024")</f>
        <v/>
      </c>
      <c r="W1695">
        <f>HYPERLINK("https://klasma.github.io/Logging_2309/klagomålsmail/A 49387-2024 FSC-klagomål mail.docx", "A 49387-2024")</f>
        <v/>
      </c>
      <c r="X1695">
        <f>HYPERLINK("https://klasma.github.io/Logging_2309/tillsyn/A 49387-2024 tillsynsbegäran.docx", "A 49387-2024")</f>
        <v/>
      </c>
      <c r="Y1695">
        <f>HYPERLINK("https://klasma.github.io/Logging_2309/tillsynsmail/A 49387-2024 tillsynsbegäran mail.docx", "A 49387-2024")</f>
        <v/>
      </c>
    </row>
    <row r="1696" ht="15" customHeight="1">
      <c r="A1696" t="inlineStr">
        <is>
          <t>A 48064-2023</t>
        </is>
      </c>
      <c r="B1696" s="1" t="n">
        <v>45204</v>
      </c>
      <c r="C1696" s="1" t="n">
        <v>46045</v>
      </c>
      <c r="D1696" t="inlineStr">
        <is>
          <t>JÄMTLANDS LÄN</t>
        </is>
      </c>
      <c r="E1696" t="inlineStr">
        <is>
          <t>BRÄCKE</t>
        </is>
      </c>
      <c r="G1696" t="n">
        <v>2.3</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HYPERLINK("https://klasma.github.io/Logging_2305/artfynd/A 48064-2023 artfynd.xlsx", "A 48064-2023")</f>
        <v/>
      </c>
      <c r="T1696">
        <f>HYPERLINK("https://klasma.github.io/Logging_2305/kartor/A 48064-2023 karta.png", "A 48064-2023")</f>
        <v/>
      </c>
      <c r="V1696">
        <f>HYPERLINK("https://klasma.github.io/Logging_2305/klagomål/A 48064-2023 FSC-klagomål.docx", "A 48064-2023")</f>
        <v/>
      </c>
      <c r="W1696">
        <f>HYPERLINK("https://klasma.github.io/Logging_2305/klagomålsmail/A 48064-2023 FSC-klagomål mail.docx", "A 48064-2023")</f>
        <v/>
      </c>
      <c r="X1696">
        <f>HYPERLINK("https://klasma.github.io/Logging_2305/tillsyn/A 48064-2023 tillsynsbegäran.docx", "A 48064-2023")</f>
        <v/>
      </c>
      <c r="Y1696">
        <f>HYPERLINK("https://klasma.github.io/Logging_2305/tillsynsmail/A 48064-2023 tillsynsbegäran mail.docx", "A 48064-2023")</f>
        <v/>
      </c>
      <c r="Z1696">
        <f>HYPERLINK("https://klasma.github.io/Logging_2305/fåglar/A 48064-2023 prioriterade fågelarter.docx", "A 48064-2023")</f>
        <v/>
      </c>
    </row>
    <row r="1697" ht="15" customHeight="1">
      <c r="A1697" t="inlineStr">
        <is>
          <t>A 41811-2022</t>
        </is>
      </c>
      <c r="B1697" s="1" t="n">
        <v>44827</v>
      </c>
      <c r="C1697" s="1" t="n">
        <v>46045</v>
      </c>
      <c r="D1697" t="inlineStr">
        <is>
          <t>JÄMTLANDS LÄN</t>
        </is>
      </c>
      <c r="E1697" t="inlineStr">
        <is>
          <t>STRÖMSUND</t>
        </is>
      </c>
      <c r="F1697" t="inlineStr">
        <is>
          <t>SCA</t>
        </is>
      </c>
      <c r="G1697" t="n">
        <v>7.6</v>
      </c>
      <c r="H1697" t="n">
        <v>1</v>
      </c>
      <c r="I1697" t="n">
        <v>0</v>
      </c>
      <c r="J1697" t="n">
        <v>0</v>
      </c>
      <c r="K1697" t="n">
        <v>1</v>
      </c>
      <c r="L1697" t="n">
        <v>0</v>
      </c>
      <c r="M1697" t="n">
        <v>0</v>
      </c>
      <c r="N1697" t="n">
        <v>0</v>
      </c>
      <c r="O1697" t="n">
        <v>1</v>
      </c>
      <c r="P1697" t="n">
        <v>1</v>
      </c>
      <c r="Q1697" t="n">
        <v>1</v>
      </c>
      <c r="R1697" s="2" t="inlineStr">
        <is>
          <t>Knärot</t>
        </is>
      </c>
      <c r="S1697">
        <f>HYPERLINK("https://klasma.github.io/Logging_2313/artfynd/A 41811-2022 artfynd.xlsx", "A 41811-2022")</f>
        <v/>
      </c>
      <c r="T1697">
        <f>HYPERLINK("https://klasma.github.io/Logging_2313/kartor/A 41811-2022 karta.png", "A 41811-2022")</f>
        <v/>
      </c>
      <c r="U1697">
        <f>HYPERLINK("https://klasma.github.io/Logging_2313/knärot/A 41811-2022 karta knärot.png", "A 41811-2022")</f>
        <v/>
      </c>
      <c r="V1697">
        <f>HYPERLINK("https://klasma.github.io/Logging_2313/klagomål/A 41811-2022 FSC-klagomål.docx", "A 41811-2022")</f>
        <v/>
      </c>
      <c r="W1697">
        <f>HYPERLINK("https://klasma.github.io/Logging_2313/klagomålsmail/A 41811-2022 FSC-klagomål mail.docx", "A 41811-2022")</f>
        <v/>
      </c>
      <c r="X1697">
        <f>HYPERLINK("https://klasma.github.io/Logging_2313/tillsyn/A 41811-2022 tillsynsbegäran.docx", "A 41811-2022")</f>
        <v/>
      </c>
      <c r="Y1697">
        <f>HYPERLINK("https://klasma.github.io/Logging_2313/tillsynsmail/A 41811-2022 tillsynsbegäran mail.docx", "A 41811-2022")</f>
        <v/>
      </c>
    </row>
    <row r="1698" ht="15" customHeight="1">
      <c r="A1698" t="inlineStr">
        <is>
          <t>A 5611-2023</t>
        </is>
      </c>
      <c r="B1698" s="1" t="n">
        <v>44958</v>
      </c>
      <c r="C1698" s="1" t="n">
        <v>46045</v>
      </c>
      <c r="D1698" t="inlineStr">
        <is>
          <t>JÄMTLANDS LÄN</t>
        </is>
      </c>
      <c r="E1698" t="inlineStr">
        <is>
          <t>ÅRE</t>
        </is>
      </c>
      <c r="G1698" t="n">
        <v>10.5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5611-2023 artfynd.xlsx", "A 5611-2023")</f>
        <v/>
      </c>
      <c r="T1698">
        <f>HYPERLINK("https://klasma.github.io/Logging_2321/kartor/A 5611-2023 karta.png", "A 5611-2023")</f>
        <v/>
      </c>
      <c r="V1698">
        <f>HYPERLINK("https://klasma.github.io/Logging_2321/klagomål/A 5611-2023 FSC-klagomål.docx", "A 5611-2023")</f>
        <v/>
      </c>
      <c r="W1698">
        <f>HYPERLINK("https://klasma.github.io/Logging_2321/klagomålsmail/A 5611-2023 FSC-klagomål mail.docx", "A 5611-2023")</f>
        <v/>
      </c>
      <c r="X1698">
        <f>HYPERLINK("https://klasma.github.io/Logging_2321/tillsyn/A 5611-2023 tillsynsbegäran.docx", "A 5611-2023")</f>
        <v/>
      </c>
      <c r="Y1698">
        <f>HYPERLINK("https://klasma.github.io/Logging_2321/tillsynsmail/A 5611-2023 tillsynsbegäran mail.docx", "A 5611-2023")</f>
        <v/>
      </c>
      <c r="Z1698">
        <f>HYPERLINK("https://klasma.github.io/Logging_2321/fåglar/A 5611-2023 prioriterade fågelarter.docx", "A 5611-2023")</f>
        <v/>
      </c>
    </row>
    <row r="1699" ht="15" customHeight="1">
      <c r="A1699" t="inlineStr">
        <is>
          <t>A 25268-2025</t>
        </is>
      </c>
      <c r="B1699" s="1" t="n">
        <v>45800</v>
      </c>
      <c r="C1699" s="1" t="n">
        <v>46045</v>
      </c>
      <c r="D1699" t="inlineStr">
        <is>
          <t>JÄMTLANDS LÄN</t>
        </is>
      </c>
      <c r="E1699" t="inlineStr">
        <is>
          <t>KROKOM</t>
        </is>
      </c>
      <c r="G1699" t="n">
        <v>3.1</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HYPERLINK("https://klasma.github.io/Logging_2309/artfynd/A 25268-2025 artfynd.xlsx", "A 25268-2025")</f>
        <v/>
      </c>
      <c r="T1699">
        <f>HYPERLINK("https://klasma.github.io/Logging_2309/kartor/A 25268-2025 karta.png", "A 25268-2025")</f>
        <v/>
      </c>
      <c r="V1699">
        <f>HYPERLINK("https://klasma.github.io/Logging_2309/klagomål/A 25268-2025 FSC-klagomål.docx", "A 25268-2025")</f>
        <v/>
      </c>
      <c r="W1699">
        <f>HYPERLINK("https://klasma.github.io/Logging_2309/klagomålsmail/A 25268-2025 FSC-klagomål mail.docx", "A 25268-2025")</f>
        <v/>
      </c>
      <c r="X1699">
        <f>HYPERLINK("https://klasma.github.io/Logging_2309/tillsyn/A 25268-2025 tillsynsbegäran.docx", "A 25268-2025")</f>
        <v/>
      </c>
      <c r="Y1699">
        <f>HYPERLINK("https://klasma.github.io/Logging_2309/tillsynsmail/A 25268-2025 tillsynsbegäran mail.docx", "A 25268-2025")</f>
        <v/>
      </c>
      <c r="Z1699">
        <f>HYPERLINK("https://klasma.github.io/Logging_2309/fåglar/A 25268-2025 prioriterade fågelarter.docx", "A 25268-2025")</f>
        <v/>
      </c>
    </row>
    <row r="1700" ht="15" customHeight="1">
      <c r="A1700" t="inlineStr">
        <is>
          <t>A 52226-2025</t>
        </is>
      </c>
      <c r="B1700" s="1" t="n">
        <v>45953.44850694444</v>
      </c>
      <c r="C1700" s="1" t="n">
        <v>46045</v>
      </c>
      <c r="D1700" t="inlineStr">
        <is>
          <t>JÄMTLANDS LÄN</t>
        </is>
      </c>
      <c r="E1700" t="inlineStr">
        <is>
          <t>BRÄCKE</t>
        </is>
      </c>
      <c r="F1700" t="inlineStr">
        <is>
          <t>SCA</t>
        </is>
      </c>
      <c r="G1700" t="n">
        <v>15.7</v>
      </c>
      <c r="H1700" t="n">
        <v>0</v>
      </c>
      <c r="I1700" t="n">
        <v>0</v>
      </c>
      <c r="J1700" t="n">
        <v>1</v>
      </c>
      <c r="K1700" t="n">
        <v>0</v>
      </c>
      <c r="L1700" t="n">
        <v>0</v>
      </c>
      <c r="M1700" t="n">
        <v>0</v>
      </c>
      <c r="N1700" t="n">
        <v>0</v>
      </c>
      <c r="O1700" t="n">
        <v>1</v>
      </c>
      <c r="P1700" t="n">
        <v>0</v>
      </c>
      <c r="Q1700" t="n">
        <v>1</v>
      </c>
      <c r="R1700" s="2" t="inlineStr">
        <is>
          <t>Brunpudrad nållav</t>
        </is>
      </c>
      <c r="S1700">
        <f>HYPERLINK("https://klasma.github.io/Logging_2305/artfynd/A 52226-2025 artfynd.xlsx", "A 52226-2025")</f>
        <v/>
      </c>
      <c r="T1700">
        <f>HYPERLINK("https://klasma.github.io/Logging_2305/kartor/A 52226-2025 karta.png", "A 52226-2025")</f>
        <v/>
      </c>
      <c r="V1700">
        <f>HYPERLINK("https://klasma.github.io/Logging_2305/klagomål/A 52226-2025 FSC-klagomål.docx", "A 52226-2025")</f>
        <v/>
      </c>
      <c r="W1700">
        <f>HYPERLINK("https://klasma.github.io/Logging_2305/klagomålsmail/A 52226-2025 FSC-klagomål mail.docx", "A 52226-2025")</f>
        <v/>
      </c>
      <c r="X1700">
        <f>HYPERLINK("https://klasma.github.io/Logging_2305/tillsyn/A 52226-2025 tillsynsbegäran.docx", "A 52226-2025")</f>
        <v/>
      </c>
      <c r="Y1700">
        <f>HYPERLINK("https://klasma.github.io/Logging_2305/tillsynsmail/A 52226-2025 tillsynsbegäran mail.docx", "A 52226-2025")</f>
        <v/>
      </c>
    </row>
    <row r="1701" ht="15" customHeight="1">
      <c r="A1701" t="inlineStr">
        <is>
          <t>A 52307-2025</t>
        </is>
      </c>
      <c r="B1701" s="1" t="n">
        <v>45953.63997685185</v>
      </c>
      <c r="C1701" s="1" t="n">
        <v>46045</v>
      </c>
      <c r="D1701" t="inlineStr">
        <is>
          <t>JÄMTLANDS LÄN</t>
        </is>
      </c>
      <c r="E1701" t="inlineStr">
        <is>
          <t>HÄRJEDALEN</t>
        </is>
      </c>
      <c r="G1701" t="n">
        <v>10.6</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HYPERLINK("https://klasma.github.io/Logging_2361/artfynd/A 52307-2025 artfynd.xlsx", "A 52307-2025")</f>
        <v/>
      </c>
      <c r="T1701">
        <f>HYPERLINK("https://klasma.github.io/Logging_2361/kartor/A 52307-2025 karta.png", "A 52307-2025")</f>
        <v/>
      </c>
      <c r="V1701">
        <f>HYPERLINK("https://klasma.github.io/Logging_2361/klagomål/A 52307-2025 FSC-klagomål.docx", "A 52307-2025")</f>
        <v/>
      </c>
      <c r="W1701">
        <f>HYPERLINK("https://klasma.github.io/Logging_2361/klagomålsmail/A 52307-2025 FSC-klagomål mail.docx", "A 52307-2025")</f>
        <v/>
      </c>
      <c r="X1701">
        <f>HYPERLINK("https://klasma.github.io/Logging_2361/tillsyn/A 52307-2025 tillsynsbegäran.docx", "A 52307-2025")</f>
        <v/>
      </c>
      <c r="Y1701">
        <f>HYPERLINK("https://klasma.github.io/Logging_2361/tillsynsmail/A 52307-2025 tillsynsbegäran mail.docx", "A 52307-2025")</f>
        <v/>
      </c>
      <c r="Z1701">
        <f>HYPERLINK("https://klasma.github.io/Logging_2361/fåglar/A 52307-2025 prioriterade fågelarter.docx", "A 52307-2025")</f>
        <v/>
      </c>
    </row>
    <row r="1702" ht="15" customHeight="1">
      <c r="A1702" t="inlineStr">
        <is>
          <t>A 25368-2025</t>
        </is>
      </c>
      <c r="B1702" s="1" t="n">
        <v>45800.63043981481</v>
      </c>
      <c r="C1702" s="1" t="n">
        <v>46045</v>
      </c>
      <c r="D1702" t="inlineStr">
        <is>
          <t>JÄMTLANDS LÄN</t>
        </is>
      </c>
      <c r="E1702" t="inlineStr">
        <is>
          <t>HÄRJEDALEN</t>
        </is>
      </c>
      <c r="F1702" t="inlineStr">
        <is>
          <t>Sveaskog</t>
        </is>
      </c>
      <c r="G1702" t="n">
        <v>5.8</v>
      </c>
      <c r="H1702" t="n">
        <v>1</v>
      </c>
      <c r="I1702" t="n">
        <v>0</v>
      </c>
      <c r="J1702" t="n">
        <v>0</v>
      </c>
      <c r="K1702" t="n">
        <v>1</v>
      </c>
      <c r="L1702" t="n">
        <v>0</v>
      </c>
      <c r="M1702" t="n">
        <v>0</v>
      </c>
      <c r="N1702" t="n">
        <v>0</v>
      </c>
      <c r="O1702" t="n">
        <v>1</v>
      </c>
      <c r="P1702" t="n">
        <v>1</v>
      </c>
      <c r="Q1702" t="n">
        <v>1</v>
      </c>
      <c r="R1702" s="2" t="inlineStr">
        <is>
          <t>Knärot</t>
        </is>
      </c>
      <c r="S1702">
        <f>HYPERLINK("https://klasma.github.io/Logging_2361/artfynd/A 25368-2025 artfynd.xlsx", "A 25368-2025")</f>
        <v/>
      </c>
      <c r="T1702">
        <f>HYPERLINK("https://klasma.github.io/Logging_2361/kartor/A 25368-2025 karta.png", "A 25368-2025")</f>
        <v/>
      </c>
      <c r="U1702">
        <f>HYPERLINK("https://klasma.github.io/Logging_2361/knärot/A 25368-2025 karta knärot.png", "A 25368-2025")</f>
        <v/>
      </c>
      <c r="V1702">
        <f>HYPERLINK("https://klasma.github.io/Logging_2361/klagomål/A 25368-2025 FSC-klagomål.docx", "A 25368-2025")</f>
        <v/>
      </c>
      <c r="W1702">
        <f>HYPERLINK("https://klasma.github.io/Logging_2361/klagomålsmail/A 25368-2025 FSC-klagomål mail.docx", "A 25368-2025")</f>
        <v/>
      </c>
      <c r="X1702">
        <f>HYPERLINK("https://klasma.github.io/Logging_2361/tillsyn/A 25368-2025 tillsynsbegäran.docx", "A 25368-2025")</f>
        <v/>
      </c>
      <c r="Y1702">
        <f>HYPERLINK("https://klasma.github.io/Logging_2361/tillsynsmail/A 25368-2025 tillsynsbegäran mail.docx", "A 25368-2025")</f>
        <v/>
      </c>
    </row>
    <row r="1703" ht="15" customHeight="1">
      <c r="A1703" t="inlineStr">
        <is>
          <t>A 30032-2024</t>
        </is>
      </c>
      <c r="B1703" s="1" t="n">
        <v>45485</v>
      </c>
      <c r="C1703" s="1" t="n">
        <v>46045</v>
      </c>
      <c r="D1703" t="inlineStr">
        <is>
          <t>JÄMTLANDS LÄN</t>
        </is>
      </c>
      <c r="E1703" t="inlineStr">
        <is>
          <t>ÅRE</t>
        </is>
      </c>
      <c r="G1703" t="n">
        <v>20.5</v>
      </c>
      <c r="H1703" t="n">
        <v>1</v>
      </c>
      <c r="I1703" t="n">
        <v>1</v>
      </c>
      <c r="J1703" t="n">
        <v>0</v>
      </c>
      <c r="K1703" t="n">
        <v>0</v>
      </c>
      <c r="L1703" t="n">
        <v>0</v>
      </c>
      <c r="M1703" t="n">
        <v>0</v>
      </c>
      <c r="N1703" t="n">
        <v>0</v>
      </c>
      <c r="O1703" t="n">
        <v>0</v>
      </c>
      <c r="P1703" t="n">
        <v>0</v>
      </c>
      <c r="Q1703" t="n">
        <v>1</v>
      </c>
      <c r="R1703" s="2" t="inlineStr">
        <is>
          <t>Spindelblomster</t>
        </is>
      </c>
      <c r="S1703">
        <f>HYPERLINK("https://klasma.github.io/Logging_2321/artfynd/A 30032-2024 artfynd.xlsx", "A 30032-2024")</f>
        <v/>
      </c>
      <c r="T1703">
        <f>HYPERLINK("https://klasma.github.io/Logging_2321/kartor/A 30032-2024 karta.png", "A 30032-2024")</f>
        <v/>
      </c>
      <c r="V1703">
        <f>HYPERLINK("https://klasma.github.io/Logging_2321/klagomål/A 30032-2024 FSC-klagomål.docx", "A 30032-2024")</f>
        <v/>
      </c>
      <c r="W1703">
        <f>HYPERLINK("https://klasma.github.io/Logging_2321/klagomålsmail/A 30032-2024 FSC-klagomål mail.docx", "A 30032-2024")</f>
        <v/>
      </c>
      <c r="X1703">
        <f>HYPERLINK("https://klasma.github.io/Logging_2321/tillsyn/A 30032-2024 tillsynsbegäran.docx", "A 30032-2024")</f>
        <v/>
      </c>
      <c r="Y1703">
        <f>HYPERLINK("https://klasma.github.io/Logging_2321/tillsynsmail/A 30032-2024 tillsynsbegäran mail.docx", "A 30032-2024")</f>
        <v/>
      </c>
    </row>
    <row r="1704" ht="15" customHeight="1">
      <c r="A1704" t="inlineStr">
        <is>
          <t>A 50837-2023</t>
        </is>
      </c>
      <c r="B1704" s="1" t="n">
        <v>45217</v>
      </c>
      <c r="C1704" s="1" t="n">
        <v>46045</v>
      </c>
      <c r="D1704" t="inlineStr">
        <is>
          <t>JÄMTLANDS LÄN</t>
        </is>
      </c>
      <c r="E1704" t="inlineStr">
        <is>
          <t>BRÄCKE</t>
        </is>
      </c>
      <c r="F1704" t="inlineStr">
        <is>
          <t>SCA</t>
        </is>
      </c>
      <c r="G1704" t="n">
        <v>1.4</v>
      </c>
      <c r="H1704" t="n">
        <v>1</v>
      </c>
      <c r="I1704" t="n">
        <v>0</v>
      </c>
      <c r="J1704" t="n">
        <v>1</v>
      </c>
      <c r="K1704" t="n">
        <v>0</v>
      </c>
      <c r="L1704" t="n">
        <v>0</v>
      </c>
      <c r="M1704" t="n">
        <v>0</v>
      </c>
      <c r="N1704" t="n">
        <v>0</v>
      </c>
      <c r="O1704" t="n">
        <v>1</v>
      </c>
      <c r="P1704" t="n">
        <v>0</v>
      </c>
      <c r="Q1704" t="n">
        <v>1</v>
      </c>
      <c r="R1704" s="2" t="inlineStr">
        <is>
          <t>Talltita</t>
        </is>
      </c>
      <c r="S1704">
        <f>HYPERLINK("https://klasma.github.io/Logging_2305/artfynd/A 50837-2023 artfynd.xlsx", "A 50837-2023")</f>
        <v/>
      </c>
      <c r="T1704">
        <f>HYPERLINK("https://klasma.github.io/Logging_2305/kartor/A 50837-2023 karta.png", "A 50837-2023")</f>
        <v/>
      </c>
      <c r="V1704">
        <f>HYPERLINK("https://klasma.github.io/Logging_2305/klagomål/A 50837-2023 FSC-klagomål.docx", "A 50837-2023")</f>
        <v/>
      </c>
      <c r="W1704">
        <f>HYPERLINK("https://klasma.github.io/Logging_2305/klagomålsmail/A 50837-2023 FSC-klagomål mail.docx", "A 50837-2023")</f>
        <v/>
      </c>
      <c r="X1704">
        <f>HYPERLINK("https://klasma.github.io/Logging_2305/tillsyn/A 50837-2023 tillsynsbegäran.docx", "A 50837-2023")</f>
        <v/>
      </c>
      <c r="Y1704">
        <f>HYPERLINK("https://klasma.github.io/Logging_2305/tillsynsmail/A 50837-2023 tillsynsbegäran mail.docx", "A 50837-2023")</f>
        <v/>
      </c>
      <c r="Z1704">
        <f>HYPERLINK("https://klasma.github.io/Logging_2305/fåglar/A 50837-2023 prioriterade fågelarter.docx", "A 50837-2023")</f>
        <v/>
      </c>
    </row>
    <row r="1705" ht="15" customHeight="1">
      <c r="A1705" t="inlineStr">
        <is>
          <t>A 24851-2025</t>
        </is>
      </c>
      <c r="B1705" s="1" t="n">
        <v>45799.46967592592</v>
      </c>
      <c r="C1705" s="1" t="n">
        <v>46045</v>
      </c>
      <c r="D1705" t="inlineStr">
        <is>
          <t>JÄMTLANDS LÄN</t>
        </is>
      </c>
      <c r="E1705" t="inlineStr">
        <is>
          <t>BRÄCKE</t>
        </is>
      </c>
      <c r="F1705" t="inlineStr">
        <is>
          <t>SCA</t>
        </is>
      </c>
      <c r="G1705" t="n">
        <v>4.1</v>
      </c>
      <c r="H1705" t="n">
        <v>1</v>
      </c>
      <c r="I1705" t="n">
        <v>0</v>
      </c>
      <c r="J1705" t="n">
        <v>0</v>
      </c>
      <c r="K1705" t="n">
        <v>0</v>
      </c>
      <c r="L1705" t="n">
        <v>1</v>
      </c>
      <c r="M1705" t="n">
        <v>0</v>
      </c>
      <c r="N1705" t="n">
        <v>0</v>
      </c>
      <c r="O1705" t="n">
        <v>1</v>
      </c>
      <c r="P1705" t="n">
        <v>1</v>
      </c>
      <c r="Q1705" t="n">
        <v>1</v>
      </c>
      <c r="R1705" s="2" t="inlineStr">
        <is>
          <t>Violett guldvinge</t>
        </is>
      </c>
      <c r="S1705">
        <f>HYPERLINK("https://klasma.github.io/Logging_2305/artfynd/A 24851-2025 artfynd.xlsx", "A 24851-2025")</f>
        <v/>
      </c>
      <c r="T1705">
        <f>HYPERLINK("https://klasma.github.io/Logging_2305/kartor/A 24851-2025 karta.png", "A 24851-2025")</f>
        <v/>
      </c>
      <c r="V1705">
        <f>HYPERLINK("https://klasma.github.io/Logging_2305/klagomål/A 24851-2025 FSC-klagomål.docx", "A 24851-2025")</f>
        <v/>
      </c>
      <c r="W1705">
        <f>HYPERLINK("https://klasma.github.io/Logging_2305/klagomålsmail/A 24851-2025 FSC-klagomål mail.docx", "A 24851-2025")</f>
        <v/>
      </c>
      <c r="X1705">
        <f>HYPERLINK("https://klasma.github.io/Logging_2305/tillsyn/A 24851-2025 tillsynsbegäran.docx", "A 24851-2025")</f>
        <v/>
      </c>
      <c r="Y1705">
        <f>HYPERLINK("https://klasma.github.io/Logging_2305/tillsynsmail/A 24851-2025 tillsynsbegäran mail.docx", "A 24851-2025")</f>
        <v/>
      </c>
    </row>
    <row r="1706" ht="15" customHeight="1">
      <c r="A1706" t="inlineStr">
        <is>
          <t>A 25556-2025</t>
        </is>
      </c>
      <c r="B1706" s="1" t="n">
        <v>45803.45106481481</v>
      </c>
      <c r="C1706" s="1" t="n">
        <v>46045</v>
      </c>
      <c r="D1706" t="inlineStr">
        <is>
          <t>JÄMTLANDS LÄN</t>
        </is>
      </c>
      <c r="E1706" t="inlineStr">
        <is>
          <t>BERG</t>
        </is>
      </c>
      <c r="G1706" t="n">
        <v>6.2</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HYPERLINK("https://klasma.github.io/Logging_2326/artfynd/A 25556-2025 artfynd.xlsx", "A 25556-2025")</f>
        <v/>
      </c>
      <c r="T1706">
        <f>HYPERLINK("https://klasma.github.io/Logging_2326/kartor/A 25556-2025 karta.png", "A 25556-2025")</f>
        <v/>
      </c>
      <c r="V1706">
        <f>HYPERLINK("https://klasma.github.io/Logging_2326/klagomål/A 25556-2025 FSC-klagomål.docx", "A 25556-2025")</f>
        <v/>
      </c>
      <c r="W1706">
        <f>HYPERLINK("https://klasma.github.io/Logging_2326/klagomålsmail/A 25556-2025 FSC-klagomål mail.docx", "A 25556-2025")</f>
        <v/>
      </c>
      <c r="X1706">
        <f>HYPERLINK("https://klasma.github.io/Logging_2326/tillsyn/A 25556-2025 tillsynsbegäran.docx", "A 25556-2025")</f>
        <v/>
      </c>
      <c r="Y1706">
        <f>HYPERLINK("https://klasma.github.io/Logging_2326/tillsynsmail/A 25556-2025 tillsynsbegäran mail.docx", "A 25556-2025")</f>
        <v/>
      </c>
      <c r="Z1706">
        <f>HYPERLINK("https://klasma.github.io/Logging_2326/fåglar/A 25556-2025 prioriterade fågelarter.docx", "A 25556-2025")</f>
        <v/>
      </c>
    </row>
    <row r="1707" ht="15" customHeight="1">
      <c r="A1707" t="inlineStr">
        <is>
          <t>A 53772-2025</t>
        </is>
      </c>
      <c r="B1707" s="1" t="n">
        <v>45960.68502314815</v>
      </c>
      <c r="C1707" s="1" t="n">
        <v>46045</v>
      </c>
      <c r="D1707" t="inlineStr">
        <is>
          <t>JÄMTLANDS LÄN</t>
        </is>
      </c>
      <c r="E1707" t="inlineStr">
        <is>
          <t>STRÖMSUND</t>
        </is>
      </c>
      <c r="G1707" t="n">
        <v>3.1</v>
      </c>
      <c r="H1707" t="n">
        <v>0</v>
      </c>
      <c r="I1707" t="n">
        <v>1</v>
      </c>
      <c r="J1707" t="n">
        <v>0</v>
      </c>
      <c r="K1707" t="n">
        <v>0</v>
      </c>
      <c r="L1707" t="n">
        <v>0</v>
      </c>
      <c r="M1707" t="n">
        <v>0</v>
      </c>
      <c r="N1707" t="n">
        <v>0</v>
      </c>
      <c r="O1707" t="n">
        <v>0</v>
      </c>
      <c r="P1707" t="n">
        <v>0</v>
      </c>
      <c r="Q1707" t="n">
        <v>1</v>
      </c>
      <c r="R1707" s="2" t="inlineStr">
        <is>
          <t>Skinnlav</t>
        </is>
      </c>
      <c r="S1707">
        <f>HYPERLINK("https://klasma.github.io/Logging_2313/artfynd/A 53772-2025 artfynd.xlsx", "A 53772-2025")</f>
        <v/>
      </c>
      <c r="T1707">
        <f>HYPERLINK("https://klasma.github.io/Logging_2313/kartor/A 53772-2025 karta.png", "A 53772-2025")</f>
        <v/>
      </c>
      <c r="V1707">
        <f>HYPERLINK("https://klasma.github.io/Logging_2313/klagomål/A 53772-2025 FSC-klagomål.docx", "A 53772-2025")</f>
        <v/>
      </c>
      <c r="W1707">
        <f>HYPERLINK("https://klasma.github.io/Logging_2313/klagomålsmail/A 53772-2025 FSC-klagomål mail.docx", "A 53772-2025")</f>
        <v/>
      </c>
      <c r="X1707">
        <f>HYPERLINK("https://klasma.github.io/Logging_2313/tillsyn/A 53772-2025 tillsynsbegäran.docx", "A 53772-2025")</f>
        <v/>
      </c>
      <c r="Y1707">
        <f>HYPERLINK("https://klasma.github.io/Logging_2313/tillsynsmail/A 53772-2025 tillsynsbegäran mail.docx", "A 53772-2025")</f>
        <v/>
      </c>
    </row>
    <row r="1708" ht="15" customHeight="1">
      <c r="A1708" t="inlineStr">
        <is>
          <t>A 53300-2025</t>
        </is>
      </c>
      <c r="B1708" s="1" t="n">
        <v>45959.32394675926</v>
      </c>
      <c r="C1708" s="1" t="n">
        <v>46045</v>
      </c>
      <c r="D1708" t="inlineStr">
        <is>
          <t>JÄMTLANDS LÄN</t>
        </is>
      </c>
      <c r="E1708" t="inlineStr">
        <is>
          <t>ÖSTERSUND</t>
        </is>
      </c>
      <c r="F1708" t="inlineStr">
        <is>
          <t>Sveaskog</t>
        </is>
      </c>
      <c r="G1708" t="n">
        <v>12.2</v>
      </c>
      <c r="H1708" t="n">
        <v>0</v>
      </c>
      <c r="I1708" t="n">
        <v>1</v>
      </c>
      <c r="J1708" t="n">
        <v>0</v>
      </c>
      <c r="K1708" t="n">
        <v>0</v>
      </c>
      <c r="L1708" t="n">
        <v>0</v>
      </c>
      <c r="M1708" t="n">
        <v>0</v>
      </c>
      <c r="N1708" t="n">
        <v>0</v>
      </c>
      <c r="O1708" t="n">
        <v>0</v>
      </c>
      <c r="P1708" t="n">
        <v>0</v>
      </c>
      <c r="Q1708" t="n">
        <v>1</v>
      </c>
      <c r="R1708" s="2" t="inlineStr">
        <is>
          <t>Rödgul trumpetsvamp</t>
        </is>
      </c>
      <c r="S1708">
        <f>HYPERLINK("https://klasma.github.io/Logging_2380/artfynd/A 53300-2025 artfynd.xlsx", "A 53300-2025")</f>
        <v/>
      </c>
      <c r="T1708">
        <f>HYPERLINK("https://klasma.github.io/Logging_2380/kartor/A 53300-2025 karta.png", "A 53300-2025")</f>
        <v/>
      </c>
      <c r="V1708">
        <f>HYPERLINK("https://klasma.github.io/Logging_2380/klagomål/A 53300-2025 FSC-klagomål.docx", "A 53300-2025")</f>
        <v/>
      </c>
      <c r="W1708">
        <f>HYPERLINK("https://klasma.github.io/Logging_2380/klagomålsmail/A 53300-2025 FSC-klagomål mail.docx", "A 53300-2025")</f>
        <v/>
      </c>
      <c r="X1708">
        <f>HYPERLINK("https://klasma.github.io/Logging_2380/tillsyn/A 53300-2025 tillsynsbegäran.docx", "A 53300-2025")</f>
        <v/>
      </c>
      <c r="Y1708">
        <f>HYPERLINK("https://klasma.github.io/Logging_2380/tillsynsmail/A 53300-2025 tillsynsbegäran mail.docx", "A 53300-2025")</f>
        <v/>
      </c>
    </row>
    <row r="1709" ht="15" customHeight="1">
      <c r="A1709" t="inlineStr">
        <is>
          <t>A 42258-2023</t>
        </is>
      </c>
      <c r="B1709" s="1" t="n">
        <v>45180</v>
      </c>
      <c r="C1709" s="1" t="n">
        <v>46045</v>
      </c>
      <c r="D1709" t="inlineStr">
        <is>
          <t>JÄMTLANDS LÄN</t>
        </is>
      </c>
      <c r="E1709" t="inlineStr">
        <is>
          <t>KROKOM</t>
        </is>
      </c>
      <c r="F1709" t="inlineStr">
        <is>
          <t>Övriga Aktiebolag</t>
        </is>
      </c>
      <c r="G1709" t="n">
        <v>0.2</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42258-2023 artfynd.xlsx", "A 42258-2023")</f>
        <v/>
      </c>
      <c r="T1709">
        <f>HYPERLINK("https://klasma.github.io/Logging_2309/kartor/A 42258-2023 karta.png", "A 42258-2023")</f>
        <v/>
      </c>
      <c r="V1709">
        <f>HYPERLINK("https://klasma.github.io/Logging_2309/klagomål/A 42258-2023 FSC-klagomål.docx", "A 42258-2023")</f>
        <v/>
      </c>
      <c r="W1709">
        <f>HYPERLINK("https://klasma.github.io/Logging_2309/klagomålsmail/A 42258-2023 FSC-klagomål mail.docx", "A 42258-2023")</f>
        <v/>
      </c>
      <c r="X1709">
        <f>HYPERLINK("https://klasma.github.io/Logging_2309/tillsyn/A 42258-2023 tillsynsbegäran.docx", "A 42258-2023")</f>
        <v/>
      </c>
      <c r="Y1709">
        <f>HYPERLINK("https://klasma.github.io/Logging_2309/tillsynsmail/A 42258-2023 tillsynsbegäran mail.docx", "A 42258-2023")</f>
        <v/>
      </c>
      <c r="Z1709">
        <f>HYPERLINK("https://klasma.github.io/Logging_2309/fåglar/A 42258-2023 prioriterade fågelarter.docx", "A 42258-2023")</f>
        <v/>
      </c>
    </row>
    <row r="1710" ht="15" customHeight="1">
      <c r="A1710" t="inlineStr">
        <is>
          <t>A 57664-2023</t>
        </is>
      </c>
      <c r="B1710" s="1" t="n">
        <v>45243</v>
      </c>
      <c r="C1710" s="1" t="n">
        <v>46045</v>
      </c>
      <c r="D1710" t="inlineStr">
        <is>
          <t>JÄMTLANDS LÄN</t>
        </is>
      </c>
      <c r="E1710" t="inlineStr">
        <is>
          <t>STRÖMSUND</t>
        </is>
      </c>
      <c r="F1710" t="inlineStr">
        <is>
          <t>SCA</t>
        </is>
      </c>
      <c r="G1710" t="n">
        <v>6.2</v>
      </c>
      <c r="H1710" t="n">
        <v>0</v>
      </c>
      <c r="I1710" t="n">
        <v>0</v>
      </c>
      <c r="J1710" t="n">
        <v>0</v>
      </c>
      <c r="K1710" t="n">
        <v>1</v>
      </c>
      <c r="L1710" t="n">
        <v>0</v>
      </c>
      <c r="M1710" t="n">
        <v>0</v>
      </c>
      <c r="N1710" t="n">
        <v>0</v>
      </c>
      <c r="O1710" t="n">
        <v>1</v>
      </c>
      <c r="P1710" t="n">
        <v>1</v>
      </c>
      <c r="Q1710" t="n">
        <v>1</v>
      </c>
      <c r="R1710" s="2" t="inlineStr">
        <is>
          <t>Norsk näverlav</t>
        </is>
      </c>
      <c r="S1710">
        <f>HYPERLINK("https://klasma.github.io/Logging_2313/artfynd/A 57664-2023 artfynd.xlsx", "A 57664-2023")</f>
        <v/>
      </c>
      <c r="T1710">
        <f>HYPERLINK("https://klasma.github.io/Logging_2313/kartor/A 57664-2023 karta.png", "A 57664-2023")</f>
        <v/>
      </c>
      <c r="V1710">
        <f>HYPERLINK("https://klasma.github.io/Logging_2313/klagomål/A 57664-2023 FSC-klagomål.docx", "A 57664-2023")</f>
        <v/>
      </c>
      <c r="W1710">
        <f>HYPERLINK("https://klasma.github.io/Logging_2313/klagomålsmail/A 57664-2023 FSC-klagomål mail.docx", "A 57664-2023")</f>
        <v/>
      </c>
      <c r="X1710">
        <f>HYPERLINK("https://klasma.github.io/Logging_2313/tillsyn/A 57664-2023 tillsynsbegäran.docx", "A 57664-2023")</f>
        <v/>
      </c>
      <c r="Y1710">
        <f>HYPERLINK("https://klasma.github.io/Logging_2313/tillsynsmail/A 57664-2023 tillsynsbegäran mail.docx", "A 57664-2023")</f>
        <v/>
      </c>
    </row>
    <row r="1711" ht="15" customHeight="1">
      <c r="A1711" t="inlineStr">
        <is>
          <t>A 57619-2023</t>
        </is>
      </c>
      <c r="B1711" s="1" t="n">
        <v>45243</v>
      </c>
      <c r="C1711" s="1" t="n">
        <v>46045</v>
      </c>
      <c r="D1711" t="inlineStr">
        <is>
          <t>JÄMTLANDS LÄN</t>
        </is>
      </c>
      <c r="E1711" t="inlineStr">
        <is>
          <t>STRÖMSUND</t>
        </is>
      </c>
      <c r="F1711" t="inlineStr">
        <is>
          <t>SCA</t>
        </is>
      </c>
      <c r="G1711" t="n">
        <v>17</v>
      </c>
      <c r="H1711" t="n">
        <v>0</v>
      </c>
      <c r="I1711" t="n">
        <v>0</v>
      </c>
      <c r="J1711" t="n">
        <v>1</v>
      </c>
      <c r="K1711" t="n">
        <v>0</v>
      </c>
      <c r="L1711" t="n">
        <v>0</v>
      </c>
      <c r="M1711" t="n">
        <v>0</v>
      </c>
      <c r="N1711" t="n">
        <v>0</v>
      </c>
      <c r="O1711" t="n">
        <v>1</v>
      </c>
      <c r="P1711" t="n">
        <v>0</v>
      </c>
      <c r="Q1711" t="n">
        <v>1</v>
      </c>
      <c r="R1711" s="2" t="inlineStr">
        <is>
          <t>Harticka</t>
        </is>
      </c>
      <c r="S1711">
        <f>HYPERLINK("https://klasma.github.io/Logging_2313/artfynd/A 57619-2023 artfynd.xlsx", "A 57619-2023")</f>
        <v/>
      </c>
      <c r="T1711">
        <f>HYPERLINK("https://klasma.github.io/Logging_2313/kartor/A 57619-2023 karta.png", "A 57619-2023")</f>
        <v/>
      </c>
      <c r="V1711">
        <f>HYPERLINK("https://klasma.github.io/Logging_2313/klagomål/A 57619-2023 FSC-klagomål.docx", "A 57619-2023")</f>
        <v/>
      </c>
      <c r="W1711">
        <f>HYPERLINK("https://klasma.github.io/Logging_2313/klagomålsmail/A 57619-2023 FSC-klagomål mail.docx", "A 57619-2023")</f>
        <v/>
      </c>
      <c r="X1711">
        <f>HYPERLINK("https://klasma.github.io/Logging_2313/tillsyn/A 57619-2023 tillsynsbegäran.docx", "A 57619-2023")</f>
        <v/>
      </c>
      <c r="Y1711">
        <f>HYPERLINK("https://klasma.github.io/Logging_2313/tillsynsmail/A 57619-2023 tillsynsbegäran mail.docx", "A 57619-2023")</f>
        <v/>
      </c>
    </row>
    <row r="1712" ht="15" customHeight="1">
      <c r="A1712" t="inlineStr">
        <is>
          <t>A 25718-2025</t>
        </is>
      </c>
      <c r="B1712" s="1" t="n">
        <v>45803.69876157407</v>
      </c>
      <c r="C1712" s="1" t="n">
        <v>46045</v>
      </c>
      <c r="D1712" t="inlineStr">
        <is>
          <t>JÄMTLANDS LÄN</t>
        </is>
      </c>
      <c r="E1712" t="inlineStr">
        <is>
          <t>BRÄCKE</t>
        </is>
      </c>
      <c r="F1712" t="inlineStr">
        <is>
          <t>SCA</t>
        </is>
      </c>
      <c r="G1712" t="n">
        <v>4.4</v>
      </c>
      <c r="H1712" t="n">
        <v>1</v>
      </c>
      <c r="I1712" t="n">
        <v>0</v>
      </c>
      <c r="J1712" t="n">
        <v>0</v>
      </c>
      <c r="K1712" t="n">
        <v>1</v>
      </c>
      <c r="L1712" t="n">
        <v>0</v>
      </c>
      <c r="M1712" t="n">
        <v>0</v>
      </c>
      <c r="N1712" t="n">
        <v>0</v>
      </c>
      <c r="O1712" t="n">
        <v>1</v>
      </c>
      <c r="P1712" t="n">
        <v>1</v>
      </c>
      <c r="Q1712" t="n">
        <v>1</v>
      </c>
      <c r="R1712" s="2" t="inlineStr">
        <is>
          <t>Knärot</t>
        </is>
      </c>
      <c r="S1712">
        <f>HYPERLINK("https://klasma.github.io/Logging_2305/artfynd/A 25718-2025 artfynd.xlsx", "A 25718-2025")</f>
        <v/>
      </c>
      <c r="T1712">
        <f>HYPERLINK("https://klasma.github.io/Logging_2305/kartor/A 25718-2025 karta.png", "A 25718-2025")</f>
        <v/>
      </c>
      <c r="U1712">
        <f>HYPERLINK("https://klasma.github.io/Logging_2305/knärot/A 25718-2025 karta knärot.png", "A 25718-2025")</f>
        <v/>
      </c>
      <c r="V1712">
        <f>HYPERLINK("https://klasma.github.io/Logging_2305/klagomål/A 25718-2025 FSC-klagomål.docx", "A 25718-2025")</f>
        <v/>
      </c>
      <c r="W1712">
        <f>HYPERLINK("https://klasma.github.io/Logging_2305/klagomålsmail/A 25718-2025 FSC-klagomål mail.docx", "A 25718-2025")</f>
        <v/>
      </c>
      <c r="X1712">
        <f>HYPERLINK("https://klasma.github.io/Logging_2305/tillsyn/A 25718-2025 tillsynsbegäran.docx", "A 25718-2025")</f>
        <v/>
      </c>
      <c r="Y1712">
        <f>HYPERLINK("https://klasma.github.io/Logging_2305/tillsynsmail/A 25718-2025 tillsynsbegäran mail.docx", "A 25718-2025")</f>
        <v/>
      </c>
    </row>
    <row r="1713" ht="15" customHeight="1">
      <c r="A1713" t="inlineStr">
        <is>
          <t>A 17902-2025</t>
        </is>
      </c>
      <c r="B1713" s="1" t="n">
        <v>45758.70164351852</v>
      </c>
      <c r="C1713" s="1" t="n">
        <v>46045</v>
      </c>
      <c r="D1713" t="inlineStr">
        <is>
          <t>JÄMTLANDS LÄN</t>
        </is>
      </c>
      <c r="E1713" t="inlineStr">
        <is>
          <t>HÄRJEDALEN</t>
        </is>
      </c>
      <c r="G1713" t="n">
        <v>2.4</v>
      </c>
      <c r="H1713" t="n">
        <v>0</v>
      </c>
      <c r="I1713" t="n">
        <v>0</v>
      </c>
      <c r="J1713" t="n">
        <v>1</v>
      </c>
      <c r="K1713" t="n">
        <v>0</v>
      </c>
      <c r="L1713" t="n">
        <v>0</v>
      </c>
      <c r="M1713" t="n">
        <v>0</v>
      </c>
      <c r="N1713" t="n">
        <v>0</v>
      </c>
      <c r="O1713" t="n">
        <v>1</v>
      </c>
      <c r="P1713" t="n">
        <v>0</v>
      </c>
      <c r="Q1713" t="n">
        <v>1</v>
      </c>
      <c r="R1713" s="2" t="inlineStr">
        <is>
          <t>Motaggsvamp</t>
        </is>
      </c>
      <c r="S1713">
        <f>HYPERLINK("https://klasma.github.io/Logging_2361/artfynd/A 17902-2025 artfynd.xlsx", "A 17902-2025")</f>
        <v/>
      </c>
      <c r="T1713">
        <f>HYPERLINK("https://klasma.github.io/Logging_2361/kartor/A 17902-2025 karta.png", "A 17902-2025")</f>
        <v/>
      </c>
      <c r="V1713">
        <f>HYPERLINK("https://klasma.github.io/Logging_2361/klagomål/A 17902-2025 FSC-klagomål.docx", "A 17902-2025")</f>
        <v/>
      </c>
      <c r="W1713">
        <f>HYPERLINK("https://klasma.github.io/Logging_2361/klagomålsmail/A 17902-2025 FSC-klagomål mail.docx", "A 17902-2025")</f>
        <v/>
      </c>
      <c r="X1713">
        <f>HYPERLINK("https://klasma.github.io/Logging_2361/tillsyn/A 17902-2025 tillsynsbegäran.docx", "A 17902-2025")</f>
        <v/>
      </c>
      <c r="Y1713">
        <f>HYPERLINK("https://klasma.github.io/Logging_2361/tillsynsmail/A 17902-2025 tillsynsbegäran mail.docx", "A 17902-2025")</f>
        <v/>
      </c>
    </row>
    <row r="1714" ht="15" customHeight="1">
      <c r="A1714" t="inlineStr">
        <is>
          <t>A 26325-2025</t>
        </is>
      </c>
      <c r="B1714" s="1" t="n">
        <v>45805.66601851852</v>
      </c>
      <c r="C1714" s="1" t="n">
        <v>46045</v>
      </c>
      <c r="D1714" t="inlineStr">
        <is>
          <t>JÄMTLANDS LÄN</t>
        </is>
      </c>
      <c r="E1714" t="inlineStr">
        <is>
          <t>HÄRJEDALEN</t>
        </is>
      </c>
      <c r="F1714" t="inlineStr">
        <is>
          <t>Övriga Aktiebolag</t>
        </is>
      </c>
      <c r="G1714" t="n">
        <v>34</v>
      </c>
      <c r="H1714" t="n">
        <v>1</v>
      </c>
      <c r="I1714" t="n">
        <v>0</v>
      </c>
      <c r="J1714" t="n">
        <v>0</v>
      </c>
      <c r="K1714" t="n">
        <v>0</v>
      </c>
      <c r="L1714" t="n">
        <v>0</v>
      </c>
      <c r="M1714" t="n">
        <v>0</v>
      </c>
      <c r="N1714" t="n">
        <v>0</v>
      </c>
      <c r="O1714" t="n">
        <v>0</v>
      </c>
      <c r="P1714" t="n">
        <v>0</v>
      </c>
      <c r="Q1714" t="n">
        <v>1</v>
      </c>
      <c r="R1714" s="2" t="inlineStr">
        <is>
          <t>Tjäder</t>
        </is>
      </c>
      <c r="S1714">
        <f>HYPERLINK("https://klasma.github.io/Logging_2361/artfynd/A 26325-2025 artfynd.xlsx", "A 26325-2025")</f>
        <v/>
      </c>
      <c r="T1714">
        <f>HYPERLINK("https://klasma.github.io/Logging_2361/kartor/A 26325-2025 karta.png", "A 26325-2025")</f>
        <v/>
      </c>
      <c r="V1714">
        <f>HYPERLINK("https://klasma.github.io/Logging_2361/klagomål/A 26325-2025 FSC-klagomål.docx", "A 26325-2025")</f>
        <v/>
      </c>
      <c r="W1714">
        <f>HYPERLINK("https://klasma.github.io/Logging_2361/klagomålsmail/A 26325-2025 FSC-klagomål mail.docx", "A 26325-2025")</f>
        <v/>
      </c>
      <c r="X1714">
        <f>HYPERLINK("https://klasma.github.io/Logging_2361/tillsyn/A 26325-2025 tillsynsbegäran.docx", "A 26325-2025")</f>
        <v/>
      </c>
      <c r="Y1714">
        <f>HYPERLINK("https://klasma.github.io/Logging_2361/tillsynsmail/A 26325-2025 tillsynsbegäran mail.docx", "A 26325-2025")</f>
        <v/>
      </c>
      <c r="Z1714">
        <f>HYPERLINK("https://klasma.github.io/Logging_2361/fåglar/A 26325-2025 prioriterade fågelarter.docx", "A 26325-2025")</f>
        <v/>
      </c>
    </row>
    <row r="1715" ht="15" customHeight="1">
      <c r="A1715" t="inlineStr">
        <is>
          <t>A 4824-2024</t>
        </is>
      </c>
      <c r="B1715" s="1" t="n">
        <v>45328</v>
      </c>
      <c r="C1715" s="1" t="n">
        <v>46045</v>
      </c>
      <c r="D1715" t="inlineStr">
        <is>
          <t>JÄMTLANDS LÄN</t>
        </is>
      </c>
      <c r="E1715" t="inlineStr">
        <is>
          <t>STRÖMSUND</t>
        </is>
      </c>
      <c r="F1715" t="inlineStr">
        <is>
          <t>SCA</t>
        </is>
      </c>
      <c r="G1715" t="n">
        <v>10.2</v>
      </c>
      <c r="H1715" t="n">
        <v>0</v>
      </c>
      <c r="I1715" t="n">
        <v>0</v>
      </c>
      <c r="J1715" t="n">
        <v>1</v>
      </c>
      <c r="K1715" t="n">
        <v>0</v>
      </c>
      <c r="L1715" t="n">
        <v>0</v>
      </c>
      <c r="M1715" t="n">
        <v>0</v>
      </c>
      <c r="N1715" t="n">
        <v>0</v>
      </c>
      <c r="O1715" t="n">
        <v>1</v>
      </c>
      <c r="P1715" t="n">
        <v>0</v>
      </c>
      <c r="Q1715" t="n">
        <v>1</v>
      </c>
      <c r="R1715" s="2" t="inlineStr">
        <is>
          <t>Lunglav</t>
        </is>
      </c>
      <c r="S1715">
        <f>HYPERLINK("https://klasma.github.io/Logging_2313/artfynd/A 4824-2024 artfynd.xlsx", "A 4824-2024")</f>
        <v/>
      </c>
      <c r="T1715">
        <f>HYPERLINK("https://klasma.github.io/Logging_2313/kartor/A 4824-2024 karta.png", "A 4824-2024")</f>
        <v/>
      </c>
      <c r="V1715">
        <f>HYPERLINK("https://klasma.github.io/Logging_2313/klagomål/A 4824-2024 FSC-klagomål.docx", "A 4824-2024")</f>
        <v/>
      </c>
      <c r="W1715">
        <f>HYPERLINK("https://klasma.github.io/Logging_2313/klagomålsmail/A 4824-2024 FSC-klagomål mail.docx", "A 4824-2024")</f>
        <v/>
      </c>
      <c r="X1715">
        <f>HYPERLINK("https://klasma.github.io/Logging_2313/tillsyn/A 4824-2024 tillsynsbegäran.docx", "A 4824-2024")</f>
        <v/>
      </c>
      <c r="Y1715">
        <f>HYPERLINK("https://klasma.github.io/Logging_2313/tillsynsmail/A 4824-2024 tillsynsbegäran mail.docx", "A 4824-2024")</f>
        <v/>
      </c>
    </row>
    <row r="1716" ht="15" customHeight="1">
      <c r="A1716" t="inlineStr">
        <is>
          <t>A 26345-2025</t>
        </is>
      </c>
      <c r="B1716" s="1" t="n">
        <v>45805.73546296296</v>
      </c>
      <c r="C1716" s="1" t="n">
        <v>46045</v>
      </c>
      <c r="D1716" t="inlineStr">
        <is>
          <t>JÄMTLANDS LÄN</t>
        </is>
      </c>
      <c r="E1716" t="inlineStr">
        <is>
          <t>HÄRJEDALEN</t>
        </is>
      </c>
      <c r="F1716" t="inlineStr">
        <is>
          <t>Sveaskog</t>
        </is>
      </c>
      <c r="G1716" t="n">
        <v>1.3</v>
      </c>
      <c r="H1716" t="n">
        <v>0</v>
      </c>
      <c r="I1716" t="n">
        <v>0</v>
      </c>
      <c r="J1716" t="n">
        <v>1</v>
      </c>
      <c r="K1716" t="n">
        <v>0</v>
      </c>
      <c r="L1716" t="n">
        <v>0</v>
      </c>
      <c r="M1716" t="n">
        <v>0</v>
      </c>
      <c r="N1716" t="n">
        <v>0</v>
      </c>
      <c r="O1716" t="n">
        <v>1</v>
      </c>
      <c r="P1716" t="n">
        <v>0</v>
      </c>
      <c r="Q1716" t="n">
        <v>1</v>
      </c>
      <c r="R1716" s="2" t="inlineStr">
        <is>
          <t>Kolflarnlav</t>
        </is>
      </c>
      <c r="S1716">
        <f>HYPERLINK("https://klasma.github.io/Logging_2361/artfynd/A 26345-2025 artfynd.xlsx", "A 26345-2025")</f>
        <v/>
      </c>
      <c r="T1716">
        <f>HYPERLINK("https://klasma.github.io/Logging_2361/kartor/A 26345-2025 karta.png", "A 26345-2025")</f>
        <v/>
      </c>
      <c r="V1716">
        <f>HYPERLINK("https://klasma.github.io/Logging_2361/klagomål/A 26345-2025 FSC-klagomål.docx", "A 26345-2025")</f>
        <v/>
      </c>
      <c r="W1716">
        <f>HYPERLINK("https://klasma.github.io/Logging_2361/klagomålsmail/A 26345-2025 FSC-klagomål mail.docx", "A 26345-2025")</f>
        <v/>
      </c>
      <c r="X1716">
        <f>HYPERLINK("https://klasma.github.io/Logging_2361/tillsyn/A 26345-2025 tillsynsbegäran.docx", "A 26345-2025")</f>
        <v/>
      </c>
      <c r="Y1716">
        <f>HYPERLINK("https://klasma.github.io/Logging_2361/tillsynsmail/A 26345-2025 tillsynsbegäran mail.docx", "A 26345-2025")</f>
        <v/>
      </c>
    </row>
    <row r="1717" ht="15" customHeight="1">
      <c r="A1717" t="inlineStr">
        <is>
          <t>A 10075-2023</t>
        </is>
      </c>
      <c r="B1717" s="1" t="n">
        <v>44985</v>
      </c>
      <c r="C1717" s="1" t="n">
        <v>46045</v>
      </c>
      <c r="D1717" t="inlineStr">
        <is>
          <t>JÄMTLANDS LÄN</t>
        </is>
      </c>
      <c r="E1717" t="inlineStr">
        <is>
          <t>STRÖMSUND</t>
        </is>
      </c>
      <c r="F1717" t="inlineStr">
        <is>
          <t>SCA</t>
        </is>
      </c>
      <c r="G1717" t="n">
        <v>13.4</v>
      </c>
      <c r="H1717" t="n">
        <v>0</v>
      </c>
      <c r="I1717" t="n">
        <v>0</v>
      </c>
      <c r="J1717" t="n">
        <v>1</v>
      </c>
      <c r="K1717" t="n">
        <v>0</v>
      </c>
      <c r="L1717" t="n">
        <v>0</v>
      </c>
      <c r="M1717" t="n">
        <v>0</v>
      </c>
      <c r="N1717" t="n">
        <v>0</v>
      </c>
      <c r="O1717" t="n">
        <v>1</v>
      </c>
      <c r="P1717" t="n">
        <v>0</v>
      </c>
      <c r="Q1717" t="n">
        <v>1</v>
      </c>
      <c r="R1717" s="2" t="inlineStr">
        <is>
          <t>Brunklöver</t>
        </is>
      </c>
      <c r="S1717">
        <f>HYPERLINK("https://klasma.github.io/Logging_2313/artfynd/A 10075-2023 artfynd.xlsx", "A 10075-2023")</f>
        <v/>
      </c>
      <c r="T1717">
        <f>HYPERLINK("https://klasma.github.io/Logging_2313/kartor/A 10075-2023 karta.png", "A 10075-2023")</f>
        <v/>
      </c>
      <c r="V1717">
        <f>HYPERLINK("https://klasma.github.io/Logging_2313/klagomål/A 10075-2023 FSC-klagomål.docx", "A 10075-2023")</f>
        <v/>
      </c>
      <c r="W1717">
        <f>HYPERLINK("https://klasma.github.io/Logging_2313/klagomålsmail/A 10075-2023 FSC-klagomål mail.docx", "A 10075-2023")</f>
        <v/>
      </c>
      <c r="X1717">
        <f>HYPERLINK("https://klasma.github.io/Logging_2313/tillsyn/A 10075-2023 tillsynsbegäran.docx", "A 10075-2023")</f>
        <v/>
      </c>
      <c r="Y1717">
        <f>HYPERLINK("https://klasma.github.io/Logging_2313/tillsynsmail/A 10075-2023 tillsynsbegäran mail.docx", "A 10075-2023")</f>
        <v/>
      </c>
    </row>
    <row r="1718" ht="15" customHeight="1">
      <c r="A1718" t="inlineStr">
        <is>
          <t>A 61240-2024</t>
        </is>
      </c>
      <c r="B1718" s="1" t="n">
        <v>45645.67945601852</v>
      </c>
      <c r="C1718" s="1" t="n">
        <v>46045</v>
      </c>
      <c r="D1718" t="inlineStr">
        <is>
          <t>JÄMTLANDS LÄN</t>
        </is>
      </c>
      <c r="E1718" t="inlineStr">
        <is>
          <t>KROKOM</t>
        </is>
      </c>
      <c r="G1718" t="n">
        <v>5.7</v>
      </c>
      <c r="H1718" t="n">
        <v>1</v>
      </c>
      <c r="I1718" t="n">
        <v>0</v>
      </c>
      <c r="J1718" t="n">
        <v>0</v>
      </c>
      <c r="K1718" t="n">
        <v>0</v>
      </c>
      <c r="L1718" t="n">
        <v>0</v>
      </c>
      <c r="M1718" t="n">
        <v>0</v>
      </c>
      <c r="N1718" t="n">
        <v>0</v>
      </c>
      <c r="O1718" t="n">
        <v>0</v>
      </c>
      <c r="P1718" t="n">
        <v>0</v>
      </c>
      <c r="Q1718" t="n">
        <v>1</v>
      </c>
      <c r="R1718" s="2" t="inlineStr">
        <is>
          <t>Pärluggla</t>
        </is>
      </c>
      <c r="S1718">
        <f>HYPERLINK("https://klasma.github.io/Logging_2309/artfynd/A 61240-2024 artfynd.xlsx", "A 61240-2024")</f>
        <v/>
      </c>
      <c r="T1718">
        <f>HYPERLINK("https://klasma.github.io/Logging_2309/kartor/A 61240-2024 karta.png", "A 61240-2024")</f>
        <v/>
      </c>
      <c r="V1718">
        <f>HYPERLINK("https://klasma.github.io/Logging_2309/klagomål/A 61240-2024 FSC-klagomål.docx", "A 61240-2024")</f>
        <v/>
      </c>
      <c r="W1718">
        <f>HYPERLINK("https://klasma.github.io/Logging_2309/klagomålsmail/A 61240-2024 FSC-klagomål mail.docx", "A 61240-2024")</f>
        <v/>
      </c>
      <c r="X1718">
        <f>HYPERLINK("https://klasma.github.io/Logging_2309/tillsyn/A 61240-2024 tillsynsbegäran.docx", "A 61240-2024")</f>
        <v/>
      </c>
      <c r="Y1718">
        <f>HYPERLINK("https://klasma.github.io/Logging_2309/tillsynsmail/A 61240-2024 tillsynsbegäran mail.docx", "A 61240-2024")</f>
        <v/>
      </c>
      <c r="Z1718">
        <f>HYPERLINK("https://klasma.github.io/Logging_2309/fåglar/A 61240-2024 prioriterade fågelarter.docx", "A 61240-2024")</f>
        <v/>
      </c>
    </row>
    <row r="1719" ht="15" customHeight="1">
      <c r="A1719" t="inlineStr">
        <is>
          <t>A 37082-2021</t>
        </is>
      </c>
      <c r="B1719" s="1" t="n">
        <v>44395</v>
      </c>
      <c r="C1719" s="1" t="n">
        <v>46045</v>
      </c>
      <c r="D1719" t="inlineStr">
        <is>
          <t>JÄMTLANDS LÄN</t>
        </is>
      </c>
      <c r="E1719" t="inlineStr">
        <is>
          <t>ÅRE</t>
        </is>
      </c>
      <c r="G1719" t="n">
        <v>14.6</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37082-2021 artfynd.xlsx", "A 37082-2021")</f>
        <v/>
      </c>
      <c r="T1719">
        <f>HYPERLINK("https://klasma.github.io/Logging_2321/kartor/A 37082-2021 karta.png", "A 37082-2021")</f>
        <v/>
      </c>
      <c r="V1719">
        <f>HYPERLINK("https://klasma.github.io/Logging_2321/klagomål/A 37082-2021 FSC-klagomål.docx", "A 37082-2021")</f>
        <v/>
      </c>
      <c r="W1719">
        <f>HYPERLINK("https://klasma.github.io/Logging_2321/klagomålsmail/A 37082-2021 FSC-klagomål mail.docx", "A 37082-2021")</f>
        <v/>
      </c>
      <c r="X1719">
        <f>HYPERLINK("https://klasma.github.io/Logging_2321/tillsyn/A 37082-2021 tillsynsbegäran.docx", "A 37082-2021")</f>
        <v/>
      </c>
      <c r="Y1719">
        <f>HYPERLINK("https://klasma.github.io/Logging_2321/tillsynsmail/A 37082-2021 tillsynsbegäran mail.docx", "A 37082-2021")</f>
        <v/>
      </c>
      <c r="Z1719">
        <f>HYPERLINK("https://klasma.github.io/Logging_2321/fåglar/A 37082-2021 prioriterade fågelarter.docx", "A 37082-2021")</f>
        <v/>
      </c>
    </row>
    <row r="1720" ht="15" customHeight="1">
      <c r="A1720" t="inlineStr">
        <is>
          <t>A 62835-2025</t>
        </is>
      </c>
      <c r="B1720" s="1" t="n">
        <v>46008.67969907408</v>
      </c>
      <c r="C1720" s="1" t="n">
        <v>46045</v>
      </c>
      <c r="D1720" t="inlineStr">
        <is>
          <t>JÄMTLANDS LÄN</t>
        </is>
      </c>
      <c r="E1720" t="inlineStr">
        <is>
          <t>ÖSTERSUND</t>
        </is>
      </c>
      <c r="G1720" t="n">
        <v>2.2</v>
      </c>
      <c r="H1720" t="n">
        <v>0</v>
      </c>
      <c r="I1720" t="n">
        <v>0</v>
      </c>
      <c r="J1720" t="n">
        <v>1</v>
      </c>
      <c r="K1720" t="n">
        <v>0</v>
      </c>
      <c r="L1720" t="n">
        <v>0</v>
      </c>
      <c r="M1720" t="n">
        <v>0</v>
      </c>
      <c r="N1720" t="n">
        <v>0</v>
      </c>
      <c r="O1720" t="n">
        <v>1</v>
      </c>
      <c r="P1720" t="n">
        <v>0</v>
      </c>
      <c r="Q1720" t="n">
        <v>1</v>
      </c>
      <c r="R1720" s="2" t="inlineStr">
        <is>
          <t>Åkerkål</t>
        </is>
      </c>
      <c r="S1720">
        <f>HYPERLINK("https://klasma.github.io/Logging_2380/artfynd/A 62835-2025 artfynd.xlsx", "A 62835-2025")</f>
        <v/>
      </c>
      <c r="T1720">
        <f>HYPERLINK("https://klasma.github.io/Logging_2380/kartor/A 62835-2025 karta.png", "A 62835-2025")</f>
        <v/>
      </c>
      <c r="V1720">
        <f>HYPERLINK("https://klasma.github.io/Logging_2380/klagomål/A 62835-2025 FSC-klagomål.docx", "A 62835-2025")</f>
        <v/>
      </c>
      <c r="W1720">
        <f>HYPERLINK("https://klasma.github.io/Logging_2380/klagomålsmail/A 62835-2025 FSC-klagomål mail.docx", "A 62835-2025")</f>
        <v/>
      </c>
      <c r="X1720">
        <f>HYPERLINK("https://klasma.github.io/Logging_2380/tillsyn/A 62835-2025 tillsynsbegäran.docx", "A 62835-2025")</f>
        <v/>
      </c>
      <c r="Y1720">
        <f>HYPERLINK("https://klasma.github.io/Logging_2380/tillsynsmail/A 62835-2025 tillsynsbegäran mail.docx", "A 62835-2025")</f>
        <v/>
      </c>
    </row>
    <row r="1721" ht="15" customHeight="1">
      <c r="A1721" t="inlineStr">
        <is>
          <t>A 68434-2021</t>
        </is>
      </c>
      <c r="B1721" s="1" t="n">
        <v>44529</v>
      </c>
      <c r="C1721" s="1" t="n">
        <v>46045</v>
      </c>
      <c r="D1721" t="inlineStr">
        <is>
          <t>JÄMTLANDS LÄN</t>
        </is>
      </c>
      <c r="E1721" t="inlineStr">
        <is>
          <t>BERG</t>
        </is>
      </c>
      <c r="G1721" t="n">
        <v>14</v>
      </c>
      <c r="H1721" t="n">
        <v>0</v>
      </c>
      <c r="I1721" t="n">
        <v>0</v>
      </c>
      <c r="J1721" t="n">
        <v>0</v>
      </c>
      <c r="K1721" t="n">
        <v>1</v>
      </c>
      <c r="L1721" t="n">
        <v>0</v>
      </c>
      <c r="M1721" t="n">
        <v>0</v>
      </c>
      <c r="N1721" t="n">
        <v>0</v>
      </c>
      <c r="O1721" t="n">
        <v>1</v>
      </c>
      <c r="P1721" t="n">
        <v>1</v>
      </c>
      <c r="Q1721" t="n">
        <v>1</v>
      </c>
      <c r="R1721" s="2" t="inlineStr">
        <is>
          <t>Ostticka</t>
        </is>
      </c>
      <c r="S1721">
        <f>HYPERLINK("https://klasma.github.io/Logging_2326/artfynd/A 68434-2021 artfynd.xlsx", "A 68434-2021")</f>
        <v/>
      </c>
      <c r="T1721">
        <f>HYPERLINK("https://klasma.github.io/Logging_2326/kartor/A 68434-2021 karta.png", "A 68434-2021")</f>
        <v/>
      </c>
      <c r="V1721">
        <f>HYPERLINK("https://klasma.github.io/Logging_2326/klagomål/A 68434-2021 FSC-klagomål.docx", "A 68434-2021")</f>
        <v/>
      </c>
      <c r="W1721">
        <f>HYPERLINK("https://klasma.github.io/Logging_2326/klagomålsmail/A 68434-2021 FSC-klagomål mail.docx", "A 68434-2021")</f>
        <v/>
      </c>
      <c r="X1721">
        <f>HYPERLINK("https://klasma.github.io/Logging_2326/tillsyn/A 68434-2021 tillsynsbegäran.docx", "A 68434-2021")</f>
        <v/>
      </c>
      <c r="Y1721">
        <f>HYPERLINK("https://klasma.github.io/Logging_2326/tillsynsmail/A 68434-2021 tillsynsbegäran mail.docx", "A 68434-2021")</f>
        <v/>
      </c>
    </row>
    <row r="1722" ht="15" customHeight="1">
      <c r="A1722" t="inlineStr">
        <is>
          <t>A 24832-2023</t>
        </is>
      </c>
      <c r="B1722" s="1" t="n">
        <v>45084</v>
      </c>
      <c r="C1722" s="1" t="n">
        <v>46045</v>
      </c>
      <c r="D1722" t="inlineStr">
        <is>
          <t>JÄMTLANDS LÄN</t>
        </is>
      </c>
      <c r="E1722" t="inlineStr">
        <is>
          <t>STRÖMSUND</t>
        </is>
      </c>
      <c r="G1722" t="n">
        <v>9.6</v>
      </c>
      <c r="H1722" t="n">
        <v>0</v>
      </c>
      <c r="I1722" t="n">
        <v>0</v>
      </c>
      <c r="J1722" t="n">
        <v>1</v>
      </c>
      <c r="K1722" t="n">
        <v>0</v>
      </c>
      <c r="L1722" t="n">
        <v>0</v>
      </c>
      <c r="M1722" t="n">
        <v>0</v>
      </c>
      <c r="N1722" t="n">
        <v>0</v>
      </c>
      <c r="O1722" t="n">
        <v>1</v>
      </c>
      <c r="P1722" t="n">
        <v>0</v>
      </c>
      <c r="Q1722" t="n">
        <v>1</v>
      </c>
      <c r="R1722" s="2" t="inlineStr">
        <is>
          <t>Granticka</t>
        </is>
      </c>
      <c r="S1722">
        <f>HYPERLINK("https://klasma.github.io/Logging_2313/artfynd/A 24832-2023 artfynd.xlsx", "A 24832-2023")</f>
        <v/>
      </c>
      <c r="T1722">
        <f>HYPERLINK("https://klasma.github.io/Logging_2313/kartor/A 24832-2023 karta.png", "A 24832-2023")</f>
        <v/>
      </c>
      <c r="V1722">
        <f>HYPERLINK("https://klasma.github.io/Logging_2313/klagomål/A 24832-2023 FSC-klagomål.docx", "A 24832-2023")</f>
        <v/>
      </c>
      <c r="W1722">
        <f>HYPERLINK("https://klasma.github.io/Logging_2313/klagomålsmail/A 24832-2023 FSC-klagomål mail.docx", "A 24832-2023")</f>
        <v/>
      </c>
      <c r="X1722">
        <f>HYPERLINK("https://klasma.github.io/Logging_2313/tillsyn/A 24832-2023 tillsynsbegäran.docx", "A 24832-2023")</f>
        <v/>
      </c>
      <c r="Y1722">
        <f>HYPERLINK("https://klasma.github.io/Logging_2313/tillsynsmail/A 24832-2023 tillsynsbegäran mail.docx", "A 24832-2023")</f>
        <v/>
      </c>
    </row>
    <row r="1723" ht="15" customHeight="1">
      <c r="A1723" t="inlineStr">
        <is>
          <t>A 50164-2023</t>
        </is>
      </c>
      <c r="B1723" s="1" t="n">
        <v>45208</v>
      </c>
      <c r="C1723" s="1" t="n">
        <v>46045</v>
      </c>
      <c r="D1723" t="inlineStr">
        <is>
          <t>JÄMTLANDS LÄN</t>
        </is>
      </c>
      <c r="E1723" t="inlineStr">
        <is>
          <t>RAGUNDA</t>
        </is>
      </c>
      <c r="G1723" t="n">
        <v>2.9</v>
      </c>
      <c r="H1723" t="n">
        <v>0</v>
      </c>
      <c r="I1723" t="n">
        <v>0</v>
      </c>
      <c r="J1723" t="n">
        <v>0</v>
      </c>
      <c r="K1723" t="n">
        <v>1</v>
      </c>
      <c r="L1723" t="n">
        <v>0</v>
      </c>
      <c r="M1723" t="n">
        <v>0</v>
      </c>
      <c r="N1723" t="n">
        <v>0</v>
      </c>
      <c r="O1723" t="n">
        <v>1</v>
      </c>
      <c r="P1723" t="n">
        <v>1</v>
      </c>
      <c r="Q1723" t="n">
        <v>1</v>
      </c>
      <c r="R1723" s="2" t="inlineStr">
        <is>
          <t>Mindre barkplattbagge</t>
        </is>
      </c>
      <c r="S1723">
        <f>HYPERLINK("https://klasma.github.io/Logging_2303/artfynd/A 50164-2023 artfynd.xlsx", "A 50164-2023")</f>
        <v/>
      </c>
      <c r="T1723">
        <f>HYPERLINK("https://klasma.github.io/Logging_2303/kartor/A 50164-2023 karta.png", "A 50164-2023")</f>
        <v/>
      </c>
      <c r="V1723">
        <f>HYPERLINK("https://klasma.github.io/Logging_2303/klagomål/A 50164-2023 FSC-klagomål.docx", "A 50164-2023")</f>
        <v/>
      </c>
      <c r="W1723">
        <f>HYPERLINK("https://klasma.github.io/Logging_2303/klagomålsmail/A 50164-2023 FSC-klagomål mail.docx", "A 50164-2023")</f>
        <v/>
      </c>
      <c r="X1723">
        <f>HYPERLINK("https://klasma.github.io/Logging_2303/tillsyn/A 50164-2023 tillsynsbegäran.docx", "A 50164-2023")</f>
        <v/>
      </c>
      <c r="Y1723">
        <f>HYPERLINK("https://klasma.github.io/Logging_2303/tillsynsmail/A 50164-2023 tillsynsbegäran mail.docx", "A 50164-2023")</f>
        <v/>
      </c>
    </row>
    <row r="1724" ht="15" customHeight="1">
      <c r="A1724" t="inlineStr">
        <is>
          <t>A 46163-2021</t>
        </is>
      </c>
      <c r="B1724" s="1" t="n">
        <v>44441</v>
      </c>
      <c r="C1724" s="1" t="n">
        <v>46045</v>
      </c>
      <c r="D1724" t="inlineStr">
        <is>
          <t>JÄMTLANDS LÄN</t>
        </is>
      </c>
      <c r="E1724" t="inlineStr">
        <is>
          <t>ÖSTERSUND</t>
        </is>
      </c>
      <c r="G1724" t="n">
        <v>7.7</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HYPERLINK("https://klasma.github.io/Logging_2380/artfynd/A 46163-2021 artfynd.xlsx", "A 46163-2021")</f>
        <v/>
      </c>
      <c r="T1724">
        <f>HYPERLINK("https://klasma.github.io/Logging_2380/kartor/A 46163-2021 karta.png", "A 46163-2021")</f>
        <v/>
      </c>
      <c r="V1724">
        <f>HYPERLINK("https://klasma.github.io/Logging_2380/klagomål/A 46163-2021 FSC-klagomål.docx", "A 46163-2021")</f>
        <v/>
      </c>
      <c r="W1724">
        <f>HYPERLINK("https://klasma.github.io/Logging_2380/klagomålsmail/A 46163-2021 FSC-klagomål mail.docx", "A 46163-2021")</f>
        <v/>
      </c>
      <c r="X1724">
        <f>HYPERLINK("https://klasma.github.io/Logging_2380/tillsyn/A 46163-2021 tillsynsbegäran.docx", "A 46163-2021")</f>
        <v/>
      </c>
      <c r="Y1724">
        <f>HYPERLINK("https://klasma.github.io/Logging_2380/tillsynsmail/A 46163-2021 tillsynsbegäran mail.docx", "A 46163-2021")</f>
        <v/>
      </c>
      <c r="Z1724">
        <f>HYPERLINK("https://klasma.github.io/Logging_2380/fåglar/A 46163-2021 prioriterade fågelarter.docx", "A 46163-2021")</f>
        <v/>
      </c>
    </row>
    <row r="1725" ht="15" customHeight="1">
      <c r="A1725" t="inlineStr">
        <is>
          <t>A 26605-2025</t>
        </is>
      </c>
      <c r="B1725" s="1" t="n">
        <v>45809.86790509259</v>
      </c>
      <c r="C1725" s="1" t="n">
        <v>46045</v>
      </c>
      <c r="D1725" t="inlineStr">
        <is>
          <t>JÄMTLANDS LÄN</t>
        </is>
      </c>
      <c r="E1725" t="inlineStr">
        <is>
          <t>ÖSTERSUND</t>
        </is>
      </c>
      <c r="G1725" t="n">
        <v>1.3</v>
      </c>
      <c r="H1725" t="n">
        <v>0</v>
      </c>
      <c r="I1725" t="n">
        <v>0</v>
      </c>
      <c r="J1725" t="n">
        <v>1</v>
      </c>
      <c r="K1725" t="n">
        <v>0</v>
      </c>
      <c r="L1725" t="n">
        <v>0</v>
      </c>
      <c r="M1725" t="n">
        <v>0</v>
      </c>
      <c r="N1725" t="n">
        <v>0</v>
      </c>
      <c r="O1725" t="n">
        <v>1</v>
      </c>
      <c r="P1725" t="n">
        <v>0</v>
      </c>
      <c r="Q1725" t="n">
        <v>1</v>
      </c>
      <c r="R1725" s="2" t="inlineStr">
        <is>
          <t>Garnlav</t>
        </is>
      </c>
      <c r="S1725">
        <f>HYPERLINK("https://klasma.github.io/Logging_2380/artfynd/A 26605-2025 artfynd.xlsx", "A 26605-2025")</f>
        <v/>
      </c>
      <c r="T1725">
        <f>HYPERLINK("https://klasma.github.io/Logging_2380/kartor/A 26605-2025 karta.png", "A 26605-2025")</f>
        <v/>
      </c>
      <c r="V1725">
        <f>HYPERLINK("https://klasma.github.io/Logging_2380/klagomål/A 26605-2025 FSC-klagomål.docx", "A 26605-2025")</f>
        <v/>
      </c>
      <c r="W1725">
        <f>HYPERLINK("https://klasma.github.io/Logging_2380/klagomålsmail/A 26605-2025 FSC-klagomål mail.docx", "A 26605-2025")</f>
        <v/>
      </c>
      <c r="X1725">
        <f>HYPERLINK("https://klasma.github.io/Logging_2380/tillsyn/A 26605-2025 tillsynsbegäran.docx", "A 26605-2025")</f>
        <v/>
      </c>
      <c r="Y1725">
        <f>HYPERLINK("https://klasma.github.io/Logging_2380/tillsynsmail/A 26605-2025 tillsynsbegäran mail.docx", "A 26605-2025")</f>
        <v/>
      </c>
    </row>
    <row r="1726" ht="15" customHeight="1">
      <c r="A1726" t="inlineStr">
        <is>
          <t>A 23680-2024</t>
        </is>
      </c>
      <c r="B1726" s="1" t="n">
        <v>45454.62443287037</v>
      </c>
      <c r="C1726" s="1" t="n">
        <v>46045</v>
      </c>
      <c r="D1726" t="inlineStr">
        <is>
          <t>JÄMTLANDS LÄN</t>
        </is>
      </c>
      <c r="E1726" t="inlineStr">
        <is>
          <t>HÄRJEDALEN</t>
        </is>
      </c>
      <c r="G1726" t="n">
        <v>3.9</v>
      </c>
      <c r="H1726" t="n">
        <v>0</v>
      </c>
      <c r="I1726" t="n">
        <v>1</v>
      </c>
      <c r="J1726" t="n">
        <v>0</v>
      </c>
      <c r="K1726" t="n">
        <v>0</v>
      </c>
      <c r="L1726" t="n">
        <v>0</v>
      </c>
      <c r="M1726" t="n">
        <v>0</v>
      </c>
      <c r="N1726" t="n">
        <v>0</v>
      </c>
      <c r="O1726" t="n">
        <v>0</v>
      </c>
      <c r="P1726" t="n">
        <v>0</v>
      </c>
      <c r="Q1726" t="n">
        <v>1</v>
      </c>
      <c r="R1726" s="2" t="inlineStr">
        <is>
          <t>Ögonpyrola</t>
        </is>
      </c>
      <c r="S1726">
        <f>HYPERLINK("https://klasma.github.io/Logging_2361/artfynd/A 23680-2024 artfynd.xlsx", "A 23680-2024")</f>
        <v/>
      </c>
      <c r="T1726">
        <f>HYPERLINK("https://klasma.github.io/Logging_2361/kartor/A 23680-2024 karta.png", "A 23680-2024")</f>
        <v/>
      </c>
      <c r="V1726">
        <f>HYPERLINK("https://klasma.github.io/Logging_2361/klagomål/A 23680-2024 FSC-klagomål.docx", "A 23680-2024")</f>
        <v/>
      </c>
      <c r="W1726">
        <f>HYPERLINK("https://klasma.github.io/Logging_2361/klagomålsmail/A 23680-2024 FSC-klagomål mail.docx", "A 23680-2024")</f>
        <v/>
      </c>
      <c r="X1726">
        <f>HYPERLINK("https://klasma.github.io/Logging_2361/tillsyn/A 23680-2024 tillsynsbegäran.docx", "A 23680-2024")</f>
        <v/>
      </c>
      <c r="Y1726">
        <f>HYPERLINK("https://klasma.github.io/Logging_2361/tillsynsmail/A 23680-2024 tillsynsbegäran mail.docx", "A 23680-2024")</f>
        <v/>
      </c>
    </row>
    <row r="1727" ht="15" customHeight="1">
      <c r="A1727" t="inlineStr">
        <is>
          <t>A 53014-2022</t>
        </is>
      </c>
      <c r="B1727" s="1" t="n">
        <v>44875</v>
      </c>
      <c r="C1727" s="1" t="n">
        <v>46045</v>
      </c>
      <c r="D1727" t="inlineStr">
        <is>
          <t>JÄMTLANDS LÄN</t>
        </is>
      </c>
      <c r="E1727" t="inlineStr">
        <is>
          <t>BERG</t>
        </is>
      </c>
      <c r="F1727" t="inlineStr">
        <is>
          <t>SCA</t>
        </is>
      </c>
      <c r="G1727" t="n">
        <v>13</v>
      </c>
      <c r="H1727" t="n">
        <v>0</v>
      </c>
      <c r="I1727" t="n">
        <v>0</v>
      </c>
      <c r="J1727" t="n">
        <v>0</v>
      </c>
      <c r="K1727" t="n">
        <v>1</v>
      </c>
      <c r="L1727" t="n">
        <v>0</v>
      </c>
      <c r="M1727" t="n">
        <v>0</v>
      </c>
      <c r="N1727" t="n">
        <v>0</v>
      </c>
      <c r="O1727" t="n">
        <v>1</v>
      </c>
      <c r="P1727" t="n">
        <v>1</v>
      </c>
      <c r="Q1727" t="n">
        <v>1</v>
      </c>
      <c r="R1727" s="2" t="inlineStr">
        <is>
          <t>Gräddporing</t>
        </is>
      </c>
      <c r="S1727">
        <f>HYPERLINK("https://klasma.github.io/Logging_2326/artfynd/A 53014-2022 artfynd.xlsx", "A 53014-2022")</f>
        <v/>
      </c>
      <c r="T1727">
        <f>HYPERLINK("https://klasma.github.io/Logging_2326/kartor/A 53014-2022 karta.png", "A 53014-2022")</f>
        <v/>
      </c>
      <c r="V1727">
        <f>HYPERLINK("https://klasma.github.io/Logging_2326/klagomål/A 53014-2022 FSC-klagomål.docx", "A 53014-2022")</f>
        <v/>
      </c>
      <c r="W1727">
        <f>HYPERLINK("https://klasma.github.io/Logging_2326/klagomålsmail/A 53014-2022 FSC-klagomål mail.docx", "A 53014-2022")</f>
        <v/>
      </c>
      <c r="X1727">
        <f>HYPERLINK("https://klasma.github.io/Logging_2326/tillsyn/A 53014-2022 tillsynsbegäran.docx", "A 53014-2022")</f>
        <v/>
      </c>
      <c r="Y1727">
        <f>HYPERLINK("https://klasma.github.io/Logging_2326/tillsynsmail/A 53014-2022 tillsynsbegäran mail.docx", "A 53014-2022")</f>
        <v/>
      </c>
    </row>
    <row r="1728" ht="15" customHeight="1">
      <c r="A1728" t="inlineStr">
        <is>
          <t>A 27061-2025</t>
        </is>
      </c>
      <c r="B1728" s="1" t="n">
        <v>45811.6360300926</v>
      </c>
      <c r="C1728" s="1" t="n">
        <v>46045</v>
      </c>
      <c r="D1728" t="inlineStr">
        <is>
          <t>JÄMTLANDS LÄN</t>
        </is>
      </c>
      <c r="E1728" t="inlineStr">
        <is>
          <t>BRÄCKE</t>
        </is>
      </c>
      <c r="F1728" t="inlineStr">
        <is>
          <t>SCA</t>
        </is>
      </c>
      <c r="G1728" t="n">
        <v>18.9</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27061-2025 artfynd.xlsx", "A 27061-2025")</f>
        <v/>
      </c>
      <c r="T1728">
        <f>HYPERLINK("https://klasma.github.io/Logging_2305/kartor/A 27061-2025 karta.png", "A 27061-2025")</f>
        <v/>
      </c>
      <c r="V1728">
        <f>HYPERLINK("https://klasma.github.io/Logging_2305/klagomål/A 27061-2025 FSC-klagomål.docx", "A 27061-2025")</f>
        <v/>
      </c>
      <c r="W1728">
        <f>HYPERLINK("https://klasma.github.io/Logging_2305/klagomålsmail/A 27061-2025 FSC-klagomål mail.docx", "A 27061-2025")</f>
        <v/>
      </c>
      <c r="X1728">
        <f>HYPERLINK("https://klasma.github.io/Logging_2305/tillsyn/A 27061-2025 tillsynsbegäran.docx", "A 27061-2025")</f>
        <v/>
      </c>
      <c r="Y1728">
        <f>HYPERLINK("https://klasma.github.io/Logging_2305/tillsynsmail/A 27061-2025 tillsynsbegäran mail.docx", "A 27061-2025")</f>
        <v/>
      </c>
    </row>
    <row r="1729" ht="15" customHeight="1">
      <c r="A1729" t="inlineStr">
        <is>
          <t>A 53832-2024</t>
        </is>
      </c>
      <c r="B1729" s="1" t="n">
        <v>45615</v>
      </c>
      <c r="C1729" s="1" t="n">
        <v>46045</v>
      </c>
      <c r="D1729" t="inlineStr">
        <is>
          <t>JÄMTLANDS LÄN</t>
        </is>
      </c>
      <c r="E1729" t="inlineStr">
        <is>
          <t>BRÄCKE</t>
        </is>
      </c>
      <c r="F1729" t="inlineStr">
        <is>
          <t>SCA</t>
        </is>
      </c>
      <c r="G1729" t="n">
        <v>4</v>
      </c>
      <c r="H1729" t="n">
        <v>0</v>
      </c>
      <c r="I1729" t="n">
        <v>1</v>
      </c>
      <c r="J1729" t="n">
        <v>0</v>
      </c>
      <c r="K1729" t="n">
        <v>0</v>
      </c>
      <c r="L1729" t="n">
        <v>0</v>
      </c>
      <c r="M1729" t="n">
        <v>0</v>
      </c>
      <c r="N1729" t="n">
        <v>0</v>
      </c>
      <c r="O1729" t="n">
        <v>0</v>
      </c>
      <c r="P1729" t="n">
        <v>0</v>
      </c>
      <c r="Q1729" t="n">
        <v>1</v>
      </c>
      <c r="R1729" s="2" t="inlineStr">
        <is>
          <t>Dropptaggsvamp</t>
        </is>
      </c>
      <c r="S1729">
        <f>HYPERLINK("https://klasma.github.io/Logging_2305/artfynd/A 53832-2024 artfynd.xlsx", "A 53832-2024")</f>
        <v/>
      </c>
      <c r="T1729">
        <f>HYPERLINK("https://klasma.github.io/Logging_2305/kartor/A 53832-2024 karta.png", "A 53832-2024")</f>
        <v/>
      </c>
      <c r="V1729">
        <f>HYPERLINK("https://klasma.github.io/Logging_2305/klagomål/A 53832-2024 FSC-klagomål.docx", "A 53832-2024")</f>
        <v/>
      </c>
      <c r="W1729">
        <f>HYPERLINK("https://klasma.github.io/Logging_2305/klagomålsmail/A 53832-2024 FSC-klagomål mail.docx", "A 53832-2024")</f>
        <v/>
      </c>
      <c r="X1729">
        <f>HYPERLINK("https://klasma.github.io/Logging_2305/tillsyn/A 53832-2024 tillsynsbegäran.docx", "A 53832-2024")</f>
        <v/>
      </c>
      <c r="Y1729">
        <f>HYPERLINK("https://klasma.github.io/Logging_2305/tillsynsmail/A 53832-2024 tillsynsbegäran mail.docx", "A 53832-2024")</f>
        <v/>
      </c>
    </row>
    <row r="1730" ht="15" customHeight="1">
      <c r="A1730" t="inlineStr">
        <is>
          <t>A 55604-2021</t>
        </is>
      </c>
      <c r="B1730" s="1" t="n">
        <v>44475</v>
      </c>
      <c r="C1730" s="1" t="n">
        <v>46045</v>
      </c>
      <c r="D1730" t="inlineStr">
        <is>
          <t>JÄMTLANDS LÄN</t>
        </is>
      </c>
      <c r="E1730" t="inlineStr">
        <is>
          <t>STRÖMSUND</t>
        </is>
      </c>
      <c r="F1730" t="inlineStr">
        <is>
          <t>SCA</t>
        </is>
      </c>
      <c r="G1730" t="n">
        <v>4.9</v>
      </c>
      <c r="H1730" t="n">
        <v>0</v>
      </c>
      <c r="I1730" t="n">
        <v>1</v>
      </c>
      <c r="J1730" t="n">
        <v>0</v>
      </c>
      <c r="K1730" t="n">
        <v>0</v>
      </c>
      <c r="L1730" t="n">
        <v>0</v>
      </c>
      <c r="M1730" t="n">
        <v>0</v>
      </c>
      <c r="N1730" t="n">
        <v>0</v>
      </c>
      <c r="O1730" t="n">
        <v>0</v>
      </c>
      <c r="P1730" t="n">
        <v>0</v>
      </c>
      <c r="Q1730" t="n">
        <v>1</v>
      </c>
      <c r="R1730" s="2" t="inlineStr">
        <is>
          <t>Stor aspticka</t>
        </is>
      </c>
      <c r="S1730">
        <f>HYPERLINK("https://klasma.github.io/Logging_2313/artfynd/A 55604-2021 artfynd.xlsx", "A 55604-2021")</f>
        <v/>
      </c>
      <c r="T1730">
        <f>HYPERLINK("https://klasma.github.io/Logging_2313/kartor/A 55604-2021 karta.png", "A 55604-2021")</f>
        <v/>
      </c>
      <c r="V1730">
        <f>HYPERLINK("https://klasma.github.io/Logging_2313/klagomål/A 55604-2021 FSC-klagomål.docx", "A 55604-2021")</f>
        <v/>
      </c>
      <c r="W1730">
        <f>HYPERLINK("https://klasma.github.io/Logging_2313/klagomålsmail/A 55604-2021 FSC-klagomål mail.docx", "A 55604-2021")</f>
        <v/>
      </c>
      <c r="X1730">
        <f>HYPERLINK("https://klasma.github.io/Logging_2313/tillsyn/A 55604-2021 tillsynsbegäran.docx", "A 55604-2021")</f>
        <v/>
      </c>
      <c r="Y1730">
        <f>HYPERLINK("https://klasma.github.io/Logging_2313/tillsynsmail/A 55604-2021 tillsynsbegäran mail.docx", "A 55604-2021")</f>
        <v/>
      </c>
    </row>
    <row r="1731" ht="15" customHeight="1">
      <c r="A1731" t="inlineStr">
        <is>
          <t>A 62541-2025</t>
        </is>
      </c>
      <c r="B1731" s="1" t="n">
        <v>46007.64665509259</v>
      </c>
      <c r="C1731" s="1" t="n">
        <v>46045</v>
      </c>
      <c r="D1731" t="inlineStr">
        <is>
          <t>JÄMTLANDS LÄN</t>
        </is>
      </c>
      <c r="E1731" t="inlineStr">
        <is>
          <t>BRÄCKE</t>
        </is>
      </c>
      <c r="G1731" t="n">
        <v>14.5</v>
      </c>
      <c r="H1731" t="n">
        <v>1</v>
      </c>
      <c r="I1731" t="n">
        <v>0</v>
      </c>
      <c r="J1731" t="n">
        <v>0</v>
      </c>
      <c r="K1731" t="n">
        <v>1</v>
      </c>
      <c r="L1731" t="n">
        <v>0</v>
      </c>
      <c r="M1731" t="n">
        <v>0</v>
      </c>
      <c r="N1731" t="n">
        <v>0</v>
      </c>
      <c r="O1731" t="n">
        <v>1</v>
      </c>
      <c r="P1731" t="n">
        <v>1</v>
      </c>
      <c r="Q1731" t="n">
        <v>1</v>
      </c>
      <c r="R1731" s="2" t="inlineStr">
        <is>
          <t>Doftticka</t>
        </is>
      </c>
      <c r="S1731">
        <f>HYPERLINK("https://klasma.github.io/Logging_2305/artfynd/A 62541-2025 artfynd.xlsx", "A 62541-2025")</f>
        <v/>
      </c>
      <c r="T1731">
        <f>HYPERLINK("https://klasma.github.io/Logging_2305/kartor/A 62541-2025 karta.png", "A 62541-2025")</f>
        <v/>
      </c>
      <c r="V1731">
        <f>HYPERLINK("https://klasma.github.io/Logging_2305/klagomål/A 62541-2025 FSC-klagomål.docx", "A 62541-2025")</f>
        <v/>
      </c>
      <c r="W1731">
        <f>HYPERLINK("https://klasma.github.io/Logging_2305/klagomålsmail/A 62541-2025 FSC-klagomål mail.docx", "A 62541-2025")</f>
        <v/>
      </c>
      <c r="X1731">
        <f>HYPERLINK("https://klasma.github.io/Logging_2305/tillsyn/A 62541-2025 tillsynsbegäran.docx", "A 62541-2025")</f>
        <v/>
      </c>
      <c r="Y1731">
        <f>HYPERLINK("https://klasma.github.io/Logging_2305/tillsynsmail/A 62541-2025 tillsynsbegäran mail.docx", "A 62541-2025")</f>
        <v/>
      </c>
    </row>
    <row r="1732" ht="15" customHeight="1">
      <c r="A1732" t="inlineStr">
        <is>
          <t>A 27573-2025</t>
        </is>
      </c>
      <c r="B1732" s="1" t="n">
        <v>45813.49061342593</v>
      </c>
      <c r="C1732" s="1" t="n">
        <v>46045</v>
      </c>
      <c r="D1732" t="inlineStr">
        <is>
          <t>JÄMTLANDS LÄN</t>
        </is>
      </c>
      <c r="E1732" t="inlineStr">
        <is>
          <t>RAGUNDA</t>
        </is>
      </c>
      <c r="F1732" t="inlineStr">
        <is>
          <t>SCA</t>
        </is>
      </c>
      <c r="G1732" t="n">
        <v>14.9</v>
      </c>
      <c r="H1732" t="n">
        <v>0</v>
      </c>
      <c r="I1732" t="n">
        <v>1</v>
      </c>
      <c r="J1732" t="n">
        <v>0</v>
      </c>
      <c r="K1732" t="n">
        <v>0</v>
      </c>
      <c r="L1732" t="n">
        <v>0</v>
      </c>
      <c r="M1732" t="n">
        <v>0</v>
      </c>
      <c r="N1732" t="n">
        <v>0</v>
      </c>
      <c r="O1732" t="n">
        <v>0</v>
      </c>
      <c r="P1732" t="n">
        <v>0</v>
      </c>
      <c r="Q1732" t="n">
        <v>1</v>
      </c>
      <c r="R1732" s="2" t="inlineStr">
        <is>
          <t>Skinnlav</t>
        </is>
      </c>
      <c r="S1732">
        <f>HYPERLINK("https://klasma.github.io/Logging_2303/artfynd/A 27573-2025 artfynd.xlsx", "A 27573-2025")</f>
        <v/>
      </c>
      <c r="T1732">
        <f>HYPERLINK("https://klasma.github.io/Logging_2303/kartor/A 27573-2025 karta.png", "A 27573-2025")</f>
        <v/>
      </c>
      <c r="U1732">
        <f>HYPERLINK("https://klasma.github.io/Logging_2303/knärot/A 27573-2025 karta knärot.png", "A 27573-2025")</f>
        <v/>
      </c>
      <c r="V1732">
        <f>HYPERLINK("https://klasma.github.io/Logging_2303/klagomål/A 27573-2025 FSC-klagomål.docx", "A 27573-2025")</f>
        <v/>
      </c>
      <c r="W1732">
        <f>HYPERLINK("https://klasma.github.io/Logging_2303/klagomålsmail/A 27573-2025 FSC-klagomål mail.docx", "A 27573-2025")</f>
        <v/>
      </c>
      <c r="X1732">
        <f>HYPERLINK("https://klasma.github.io/Logging_2303/tillsyn/A 27573-2025 tillsynsbegäran.docx", "A 27573-2025")</f>
        <v/>
      </c>
      <c r="Y1732">
        <f>HYPERLINK("https://klasma.github.io/Logging_2303/tillsynsmail/A 27573-2025 tillsynsbegäran mail.docx", "A 27573-2025")</f>
        <v/>
      </c>
    </row>
    <row r="1733" ht="15" customHeight="1">
      <c r="A1733" t="inlineStr">
        <is>
          <t>A 32465-2025</t>
        </is>
      </c>
      <c r="B1733" s="1" t="n">
        <v>45838</v>
      </c>
      <c r="C1733" s="1" t="n">
        <v>46045</v>
      </c>
      <c r="D1733" t="inlineStr">
        <is>
          <t>JÄMTLANDS LÄN</t>
        </is>
      </c>
      <c r="E1733" t="inlineStr">
        <is>
          <t>KROKOM</t>
        </is>
      </c>
      <c r="G1733" t="n">
        <v>3.3</v>
      </c>
      <c r="H1733" t="n">
        <v>1</v>
      </c>
      <c r="I1733" t="n">
        <v>0</v>
      </c>
      <c r="J1733" t="n">
        <v>0</v>
      </c>
      <c r="K1733" t="n">
        <v>0</v>
      </c>
      <c r="L1733" t="n">
        <v>0</v>
      </c>
      <c r="M1733" t="n">
        <v>0</v>
      </c>
      <c r="N1733" t="n">
        <v>0</v>
      </c>
      <c r="O1733" t="n">
        <v>0</v>
      </c>
      <c r="P1733" t="n">
        <v>0</v>
      </c>
      <c r="Q1733" t="n">
        <v>1</v>
      </c>
      <c r="R1733" s="2" t="inlineStr">
        <is>
          <t>Blåsippa</t>
        </is>
      </c>
      <c r="S1733">
        <f>HYPERLINK("https://klasma.github.io/Logging_2309/artfynd/A 32465-2025 artfynd.xlsx", "A 32465-2025")</f>
        <v/>
      </c>
      <c r="T1733">
        <f>HYPERLINK("https://klasma.github.io/Logging_2309/kartor/A 32465-2025 karta.png", "A 32465-2025")</f>
        <v/>
      </c>
      <c r="V1733">
        <f>HYPERLINK("https://klasma.github.io/Logging_2309/klagomål/A 32465-2025 FSC-klagomål.docx", "A 32465-2025")</f>
        <v/>
      </c>
      <c r="W1733">
        <f>HYPERLINK("https://klasma.github.io/Logging_2309/klagomålsmail/A 32465-2025 FSC-klagomål mail.docx", "A 32465-2025")</f>
        <v/>
      </c>
      <c r="X1733">
        <f>HYPERLINK("https://klasma.github.io/Logging_2309/tillsyn/A 32465-2025 tillsynsbegäran.docx", "A 32465-2025")</f>
        <v/>
      </c>
      <c r="Y1733">
        <f>HYPERLINK("https://klasma.github.io/Logging_2309/tillsynsmail/A 32465-2025 tillsynsbegäran mail.docx", "A 32465-2025")</f>
        <v/>
      </c>
    </row>
    <row r="1734" ht="15" customHeight="1">
      <c r="A1734" t="inlineStr">
        <is>
          <t>A 63363-2025</t>
        </is>
      </c>
      <c r="B1734" s="1" t="n">
        <v>46010.68505787037</v>
      </c>
      <c r="C1734" s="1" t="n">
        <v>46045</v>
      </c>
      <c r="D1734" t="inlineStr">
        <is>
          <t>JÄMTLANDS LÄN</t>
        </is>
      </c>
      <c r="E1734" t="inlineStr">
        <is>
          <t>ÅRE</t>
        </is>
      </c>
      <c r="F1734" t="inlineStr">
        <is>
          <t>Övriga Aktiebolag</t>
        </is>
      </c>
      <c r="G1734" t="n">
        <v>28.4</v>
      </c>
      <c r="H1734" t="n">
        <v>0</v>
      </c>
      <c r="I1734" t="n">
        <v>0</v>
      </c>
      <c r="J1734" t="n">
        <v>1</v>
      </c>
      <c r="K1734" t="n">
        <v>0</v>
      </c>
      <c r="L1734" t="n">
        <v>0</v>
      </c>
      <c r="M1734" t="n">
        <v>0</v>
      </c>
      <c r="N1734" t="n">
        <v>0</v>
      </c>
      <c r="O1734" t="n">
        <v>1</v>
      </c>
      <c r="P1734" t="n">
        <v>0</v>
      </c>
      <c r="Q1734" t="n">
        <v>1</v>
      </c>
      <c r="R1734" s="2" t="inlineStr">
        <is>
          <t>Garnlav</t>
        </is>
      </c>
      <c r="S1734">
        <f>HYPERLINK("https://klasma.github.io/Logging_2321/artfynd/A 63363-2025 artfynd.xlsx", "A 63363-2025")</f>
        <v/>
      </c>
      <c r="T1734">
        <f>HYPERLINK("https://klasma.github.io/Logging_2321/kartor/A 63363-2025 karta.png", "A 63363-2025")</f>
        <v/>
      </c>
      <c r="V1734">
        <f>HYPERLINK("https://klasma.github.io/Logging_2321/klagomål/A 63363-2025 FSC-klagomål.docx", "A 63363-2025")</f>
        <v/>
      </c>
      <c r="W1734">
        <f>HYPERLINK("https://klasma.github.io/Logging_2321/klagomålsmail/A 63363-2025 FSC-klagomål mail.docx", "A 63363-2025")</f>
        <v/>
      </c>
      <c r="X1734">
        <f>HYPERLINK("https://klasma.github.io/Logging_2321/tillsyn/A 63363-2025 tillsynsbegäran.docx", "A 63363-2025")</f>
        <v/>
      </c>
      <c r="Y1734">
        <f>HYPERLINK("https://klasma.github.io/Logging_2321/tillsynsmail/A 63363-2025 tillsynsbegäran mail.docx", "A 63363-2025")</f>
        <v/>
      </c>
    </row>
    <row r="1735" ht="15" customHeight="1">
      <c r="A1735" t="inlineStr">
        <is>
          <t>A 27412-2025</t>
        </is>
      </c>
      <c r="B1735" s="1" t="n">
        <v>45812.82244212963</v>
      </c>
      <c r="C1735" s="1" t="n">
        <v>46045</v>
      </c>
      <c r="D1735" t="inlineStr">
        <is>
          <t>JÄMTLANDS LÄN</t>
        </is>
      </c>
      <c r="E1735" t="inlineStr">
        <is>
          <t>HÄRJEDALEN</t>
        </is>
      </c>
      <c r="F1735" t="inlineStr">
        <is>
          <t>Sveaskog</t>
        </is>
      </c>
      <c r="G1735" t="n">
        <v>6.2</v>
      </c>
      <c r="H1735" t="n">
        <v>0</v>
      </c>
      <c r="I1735" t="n">
        <v>0</v>
      </c>
      <c r="J1735" t="n">
        <v>1</v>
      </c>
      <c r="K1735" t="n">
        <v>0</v>
      </c>
      <c r="L1735" t="n">
        <v>0</v>
      </c>
      <c r="M1735" t="n">
        <v>0</v>
      </c>
      <c r="N1735" t="n">
        <v>0</v>
      </c>
      <c r="O1735" t="n">
        <v>1</v>
      </c>
      <c r="P1735" t="n">
        <v>0</v>
      </c>
      <c r="Q1735" t="n">
        <v>1</v>
      </c>
      <c r="R1735" s="2" t="inlineStr">
        <is>
          <t>Kolflarnlav</t>
        </is>
      </c>
      <c r="S1735">
        <f>HYPERLINK("https://klasma.github.io/Logging_2361/artfynd/A 27412-2025 artfynd.xlsx", "A 27412-2025")</f>
        <v/>
      </c>
      <c r="T1735">
        <f>HYPERLINK("https://klasma.github.io/Logging_2361/kartor/A 27412-2025 karta.png", "A 27412-2025")</f>
        <v/>
      </c>
      <c r="V1735">
        <f>HYPERLINK("https://klasma.github.io/Logging_2361/klagomål/A 27412-2025 FSC-klagomål.docx", "A 27412-2025")</f>
        <v/>
      </c>
      <c r="W1735">
        <f>HYPERLINK("https://klasma.github.io/Logging_2361/klagomålsmail/A 27412-2025 FSC-klagomål mail.docx", "A 27412-2025")</f>
        <v/>
      </c>
      <c r="X1735">
        <f>HYPERLINK("https://klasma.github.io/Logging_2361/tillsyn/A 27412-2025 tillsynsbegäran.docx", "A 27412-2025")</f>
        <v/>
      </c>
      <c r="Y1735">
        <f>HYPERLINK("https://klasma.github.io/Logging_2361/tillsynsmail/A 27412-2025 tillsynsbegäran mail.docx", "A 27412-2025")</f>
        <v/>
      </c>
    </row>
    <row r="1736" ht="15" customHeight="1">
      <c r="A1736" t="inlineStr">
        <is>
          <t>A 54896-2025</t>
        </is>
      </c>
      <c r="B1736" s="1" t="n">
        <v>45967.36540509259</v>
      </c>
      <c r="C1736" s="1" t="n">
        <v>46045</v>
      </c>
      <c r="D1736" t="inlineStr">
        <is>
          <t>JÄMTLANDS LÄN</t>
        </is>
      </c>
      <c r="E1736" t="inlineStr">
        <is>
          <t>STRÖMSUND</t>
        </is>
      </c>
      <c r="F1736" t="inlineStr">
        <is>
          <t>SCA</t>
        </is>
      </c>
      <c r="G1736" t="n">
        <v>8.300000000000001</v>
      </c>
      <c r="H1736" t="n">
        <v>1</v>
      </c>
      <c r="I1736" t="n">
        <v>0</v>
      </c>
      <c r="J1736" t="n">
        <v>0</v>
      </c>
      <c r="K1736" t="n">
        <v>1</v>
      </c>
      <c r="L1736" t="n">
        <v>0</v>
      </c>
      <c r="M1736" t="n">
        <v>0</v>
      </c>
      <c r="N1736" t="n">
        <v>0</v>
      </c>
      <c r="O1736" t="n">
        <v>1</v>
      </c>
      <c r="P1736" t="n">
        <v>1</v>
      </c>
      <c r="Q1736" t="n">
        <v>1</v>
      </c>
      <c r="R1736" s="2" t="inlineStr">
        <is>
          <t>Knärot</t>
        </is>
      </c>
      <c r="S1736">
        <f>HYPERLINK("https://klasma.github.io/Logging_2313/artfynd/A 54896-2025 artfynd.xlsx", "A 54896-2025")</f>
        <v/>
      </c>
      <c r="T1736">
        <f>HYPERLINK("https://klasma.github.io/Logging_2313/kartor/A 54896-2025 karta.png", "A 54896-2025")</f>
        <v/>
      </c>
      <c r="U1736">
        <f>HYPERLINK("https://klasma.github.io/Logging_2313/knärot/A 54896-2025 karta knärot.png", "A 54896-2025")</f>
        <v/>
      </c>
      <c r="V1736">
        <f>HYPERLINK("https://klasma.github.io/Logging_2313/klagomål/A 54896-2025 FSC-klagomål.docx", "A 54896-2025")</f>
        <v/>
      </c>
      <c r="W1736">
        <f>HYPERLINK("https://klasma.github.io/Logging_2313/klagomålsmail/A 54896-2025 FSC-klagomål mail.docx", "A 54896-2025")</f>
        <v/>
      </c>
      <c r="X1736">
        <f>HYPERLINK("https://klasma.github.io/Logging_2313/tillsyn/A 54896-2025 tillsynsbegäran.docx", "A 54896-2025")</f>
        <v/>
      </c>
      <c r="Y1736">
        <f>HYPERLINK("https://klasma.github.io/Logging_2313/tillsynsmail/A 54896-2025 tillsynsbegäran mail.docx", "A 54896-2025")</f>
        <v/>
      </c>
    </row>
    <row r="1737" ht="15" customHeight="1">
      <c r="A1737" t="inlineStr">
        <is>
          <t>A 28018-2025</t>
        </is>
      </c>
      <c r="B1737" s="1" t="n">
        <v>45817.61528935185</v>
      </c>
      <c r="C1737" s="1" t="n">
        <v>46045</v>
      </c>
      <c r="D1737" t="inlineStr">
        <is>
          <t>JÄMTLANDS LÄN</t>
        </is>
      </c>
      <c r="E1737" t="inlineStr">
        <is>
          <t>STRÖMSUND</t>
        </is>
      </c>
      <c r="F1737" t="inlineStr">
        <is>
          <t>SCA</t>
        </is>
      </c>
      <c r="G1737" t="n">
        <v>5</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28018-2025 artfynd.xlsx", "A 28018-2025")</f>
        <v/>
      </c>
      <c r="T1737">
        <f>HYPERLINK("https://klasma.github.io/Logging_2313/kartor/A 28018-2025 karta.png", "A 28018-2025")</f>
        <v/>
      </c>
      <c r="V1737">
        <f>HYPERLINK("https://klasma.github.io/Logging_2313/klagomål/A 28018-2025 FSC-klagomål.docx", "A 28018-2025")</f>
        <v/>
      </c>
      <c r="W1737">
        <f>HYPERLINK("https://klasma.github.io/Logging_2313/klagomålsmail/A 28018-2025 FSC-klagomål mail.docx", "A 28018-2025")</f>
        <v/>
      </c>
      <c r="X1737">
        <f>HYPERLINK("https://klasma.github.io/Logging_2313/tillsyn/A 28018-2025 tillsynsbegäran.docx", "A 28018-2025")</f>
        <v/>
      </c>
      <c r="Y1737">
        <f>HYPERLINK("https://klasma.github.io/Logging_2313/tillsynsmail/A 28018-2025 tillsynsbegäran mail.docx", "A 28018-2025")</f>
        <v/>
      </c>
    </row>
    <row r="1738" ht="15" customHeight="1">
      <c r="A1738" t="inlineStr">
        <is>
          <t>A 64380-2023</t>
        </is>
      </c>
      <c r="B1738" s="1" t="n">
        <v>45280.56451388889</v>
      </c>
      <c r="C1738" s="1" t="n">
        <v>46045</v>
      </c>
      <c r="D1738" t="inlineStr">
        <is>
          <t>JÄMTLANDS LÄN</t>
        </is>
      </c>
      <c r="E1738" t="inlineStr">
        <is>
          <t>ÖSTERSUND</t>
        </is>
      </c>
      <c r="G1738" t="n">
        <v>12.4</v>
      </c>
      <c r="H1738" t="n">
        <v>0</v>
      </c>
      <c r="I1738" t="n">
        <v>0</v>
      </c>
      <c r="J1738" t="n">
        <v>1</v>
      </c>
      <c r="K1738" t="n">
        <v>0</v>
      </c>
      <c r="L1738" t="n">
        <v>0</v>
      </c>
      <c r="M1738" t="n">
        <v>0</v>
      </c>
      <c r="N1738" t="n">
        <v>0</v>
      </c>
      <c r="O1738" t="n">
        <v>1</v>
      </c>
      <c r="P1738" t="n">
        <v>0</v>
      </c>
      <c r="Q1738" t="n">
        <v>1</v>
      </c>
      <c r="R1738" s="2" t="inlineStr">
        <is>
          <t>Luddfingersvamp</t>
        </is>
      </c>
      <c r="S1738">
        <f>HYPERLINK("https://klasma.github.io/Logging_2380/artfynd/A 64380-2023 artfynd.xlsx", "A 64380-2023")</f>
        <v/>
      </c>
      <c r="T1738">
        <f>HYPERLINK("https://klasma.github.io/Logging_2380/kartor/A 64380-2023 karta.png", "A 64380-2023")</f>
        <v/>
      </c>
      <c r="V1738">
        <f>HYPERLINK("https://klasma.github.io/Logging_2380/klagomål/A 64380-2023 FSC-klagomål.docx", "A 64380-2023")</f>
        <v/>
      </c>
      <c r="W1738">
        <f>HYPERLINK("https://klasma.github.io/Logging_2380/klagomålsmail/A 64380-2023 FSC-klagomål mail.docx", "A 64380-2023")</f>
        <v/>
      </c>
      <c r="X1738">
        <f>HYPERLINK("https://klasma.github.io/Logging_2380/tillsyn/A 64380-2023 tillsynsbegäran.docx", "A 64380-2023")</f>
        <v/>
      </c>
      <c r="Y1738">
        <f>HYPERLINK("https://klasma.github.io/Logging_2380/tillsynsmail/A 64380-2023 tillsynsbegäran mail.docx", "A 64380-2023")</f>
        <v/>
      </c>
    </row>
    <row r="1739" ht="15" customHeight="1">
      <c r="A1739" t="inlineStr">
        <is>
          <t>A 27860-2025</t>
        </is>
      </c>
      <c r="B1739" s="1" t="n">
        <v>45817.41630787037</v>
      </c>
      <c r="C1739" s="1" t="n">
        <v>46045</v>
      </c>
      <c r="D1739" t="inlineStr">
        <is>
          <t>JÄMTLANDS LÄN</t>
        </is>
      </c>
      <c r="E1739" t="inlineStr">
        <is>
          <t>BRÄCKE</t>
        </is>
      </c>
      <c r="G1739" t="n">
        <v>7.9</v>
      </c>
      <c r="H1739" t="n">
        <v>0</v>
      </c>
      <c r="I1739" t="n">
        <v>0</v>
      </c>
      <c r="J1739" t="n">
        <v>1</v>
      </c>
      <c r="K1739" t="n">
        <v>0</v>
      </c>
      <c r="L1739" t="n">
        <v>0</v>
      </c>
      <c r="M1739" t="n">
        <v>0</v>
      </c>
      <c r="N1739" t="n">
        <v>0</v>
      </c>
      <c r="O1739" t="n">
        <v>1</v>
      </c>
      <c r="P1739" t="n">
        <v>0</v>
      </c>
      <c r="Q1739" t="n">
        <v>1</v>
      </c>
      <c r="R1739" s="2" t="inlineStr">
        <is>
          <t>Blanksvart spiklav</t>
        </is>
      </c>
      <c r="S1739">
        <f>HYPERLINK("https://klasma.github.io/Logging_2305/artfynd/A 27860-2025 artfynd.xlsx", "A 27860-2025")</f>
        <v/>
      </c>
      <c r="T1739">
        <f>HYPERLINK("https://klasma.github.io/Logging_2305/kartor/A 27860-2025 karta.png", "A 27860-2025")</f>
        <v/>
      </c>
      <c r="V1739">
        <f>HYPERLINK("https://klasma.github.io/Logging_2305/klagomål/A 27860-2025 FSC-klagomål.docx", "A 27860-2025")</f>
        <v/>
      </c>
      <c r="W1739">
        <f>HYPERLINK("https://klasma.github.io/Logging_2305/klagomålsmail/A 27860-2025 FSC-klagomål mail.docx", "A 27860-2025")</f>
        <v/>
      </c>
      <c r="X1739">
        <f>HYPERLINK("https://klasma.github.io/Logging_2305/tillsyn/A 27860-2025 tillsynsbegäran.docx", "A 27860-2025")</f>
        <v/>
      </c>
      <c r="Y1739">
        <f>HYPERLINK("https://klasma.github.io/Logging_2305/tillsynsmail/A 27860-2025 tillsynsbegäran mail.docx", "A 27860-2025")</f>
        <v/>
      </c>
    </row>
    <row r="1740" ht="15" customHeight="1">
      <c r="A1740" t="inlineStr">
        <is>
          <t>A 63201-2025</t>
        </is>
      </c>
      <c r="B1740" s="1" t="n">
        <v>46010.46366898148</v>
      </c>
      <c r="C1740" s="1" t="n">
        <v>46045</v>
      </c>
      <c r="D1740" t="inlineStr">
        <is>
          <t>JÄMTLANDS LÄN</t>
        </is>
      </c>
      <c r="E1740" t="inlineStr">
        <is>
          <t>ÖSTERSUND</t>
        </is>
      </c>
      <c r="G1740" t="n">
        <v>5.8</v>
      </c>
      <c r="H1740" t="n">
        <v>1</v>
      </c>
      <c r="I1740" t="n">
        <v>0</v>
      </c>
      <c r="J1740" t="n">
        <v>0</v>
      </c>
      <c r="K1740" t="n">
        <v>0</v>
      </c>
      <c r="L1740" t="n">
        <v>0</v>
      </c>
      <c r="M1740" t="n">
        <v>0</v>
      </c>
      <c r="N1740" t="n">
        <v>0</v>
      </c>
      <c r="O1740" t="n">
        <v>0</v>
      </c>
      <c r="P1740" t="n">
        <v>0</v>
      </c>
      <c r="Q1740" t="n">
        <v>1</v>
      </c>
      <c r="R1740" s="2" t="inlineStr">
        <is>
          <t>Lavskrika</t>
        </is>
      </c>
      <c r="S1740">
        <f>HYPERLINK("https://klasma.github.io/Logging_2380/artfynd/A 63201-2025 artfynd.xlsx", "A 63201-2025")</f>
        <v/>
      </c>
      <c r="T1740">
        <f>HYPERLINK("https://klasma.github.io/Logging_2380/kartor/A 63201-2025 karta.png", "A 63201-2025")</f>
        <v/>
      </c>
      <c r="V1740">
        <f>HYPERLINK("https://klasma.github.io/Logging_2380/klagomål/A 63201-2025 FSC-klagomål.docx", "A 63201-2025")</f>
        <v/>
      </c>
      <c r="W1740">
        <f>HYPERLINK("https://klasma.github.io/Logging_2380/klagomålsmail/A 63201-2025 FSC-klagomål mail.docx", "A 63201-2025")</f>
        <v/>
      </c>
      <c r="X1740">
        <f>HYPERLINK("https://klasma.github.io/Logging_2380/tillsyn/A 63201-2025 tillsynsbegäran.docx", "A 63201-2025")</f>
        <v/>
      </c>
      <c r="Y1740">
        <f>HYPERLINK("https://klasma.github.io/Logging_2380/tillsynsmail/A 63201-2025 tillsynsbegäran mail.docx", "A 63201-2025")</f>
        <v/>
      </c>
      <c r="Z1740">
        <f>HYPERLINK("https://klasma.github.io/Logging_2380/fåglar/A 63201-2025 prioriterade fågelarter.docx", "A 63201-2025")</f>
        <v/>
      </c>
    </row>
    <row r="1741" ht="15" customHeight="1">
      <c r="A1741" t="inlineStr">
        <is>
          <t>A 2929-2024</t>
        </is>
      </c>
      <c r="B1741" s="1" t="n">
        <v>45315</v>
      </c>
      <c r="C1741" s="1" t="n">
        <v>46045</v>
      </c>
      <c r="D1741" t="inlineStr">
        <is>
          <t>JÄMTLANDS LÄN</t>
        </is>
      </c>
      <c r="E1741" t="inlineStr">
        <is>
          <t>RAGUNDA</t>
        </is>
      </c>
      <c r="G1741" t="n">
        <v>1</v>
      </c>
      <c r="H1741" t="n">
        <v>0</v>
      </c>
      <c r="I1741" t="n">
        <v>0</v>
      </c>
      <c r="J1741" t="n">
        <v>1</v>
      </c>
      <c r="K1741" t="n">
        <v>0</v>
      </c>
      <c r="L1741" t="n">
        <v>0</v>
      </c>
      <c r="M1741" t="n">
        <v>0</v>
      </c>
      <c r="N1741" t="n">
        <v>0</v>
      </c>
      <c r="O1741" t="n">
        <v>1</v>
      </c>
      <c r="P1741" t="n">
        <v>0</v>
      </c>
      <c r="Q1741" t="n">
        <v>1</v>
      </c>
      <c r="R1741" s="2" t="inlineStr">
        <is>
          <t>Klådris</t>
        </is>
      </c>
      <c r="S1741">
        <f>HYPERLINK("https://klasma.github.io/Logging_2303/artfynd/A 2929-2024 artfynd.xlsx", "A 2929-2024")</f>
        <v/>
      </c>
      <c r="T1741">
        <f>HYPERLINK("https://klasma.github.io/Logging_2303/kartor/A 2929-2024 karta.png", "A 2929-2024")</f>
        <v/>
      </c>
      <c r="V1741">
        <f>HYPERLINK("https://klasma.github.io/Logging_2303/klagomål/A 2929-2024 FSC-klagomål.docx", "A 2929-2024")</f>
        <v/>
      </c>
      <c r="W1741">
        <f>HYPERLINK("https://klasma.github.io/Logging_2303/klagomålsmail/A 2929-2024 FSC-klagomål mail.docx", "A 2929-2024")</f>
        <v/>
      </c>
      <c r="X1741">
        <f>HYPERLINK("https://klasma.github.io/Logging_2303/tillsyn/A 2929-2024 tillsynsbegäran.docx", "A 2929-2024")</f>
        <v/>
      </c>
      <c r="Y1741">
        <f>HYPERLINK("https://klasma.github.io/Logging_2303/tillsynsmail/A 2929-2024 tillsynsbegäran mail.docx", "A 2929-2024")</f>
        <v/>
      </c>
    </row>
    <row r="1742" ht="15" customHeight="1">
      <c r="A1742" t="inlineStr">
        <is>
          <t>A 50233-2024</t>
        </is>
      </c>
      <c r="B1742" s="1" t="n">
        <v>45600.55265046296</v>
      </c>
      <c r="C1742" s="1" t="n">
        <v>46045</v>
      </c>
      <c r="D1742" t="inlineStr">
        <is>
          <t>JÄMTLANDS LÄN</t>
        </is>
      </c>
      <c r="E1742" t="inlineStr">
        <is>
          <t>RAGUNDA</t>
        </is>
      </c>
      <c r="F1742" t="inlineStr">
        <is>
          <t>SCA</t>
        </is>
      </c>
      <c r="G1742" t="n">
        <v>5.6</v>
      </c>
      <c r="H1742" t="n">
        <v>0</v>
      </c>
      <c r="I1742" t="n">
        <v>0</v>
      </c>
      <c r="J1742" t="n">
        <v>1</v>
      </c>
      <c r="K1742" t="n">
        <v>0</v>
      </c>
      <c r="L1742" t="n">
        <v>0</v>
      </c>
      <c r="M1742" t="n">
        <v>0</v>
      </c>
      <c r="N1742" t="n">
        <v>0</v>
      </c>
      <c r="O1742" t="n">
        <v>1</v>
      </c>
      <c r="P1742" t="n">
        <v>0</v>
      </c>
      <c r="Q1742" t="n">
        <v>1</v>
      </c>
      <c r="R1742" s="2" t="inlineStr">
        <is>
          <t>Granticka</t>
        </is>
      </c>
      <c r="S1742">
        <f>HYPERLINK("https://klasma.github.io/Logging_2303/artfynd/A 50233-2024 artfynd.xlsx", "A 50233-2024")</f>
        <v/>
      </c>
      <c r="T1742">
        <f>HYPERLINK("https://klasma.github.io/Logging_2303/kartor/A 50233-2024 karta.png", "A 50233-2024")</f>
        <v/>
      </c>
      <c r="V1742">
        <f>HYPERLINK("https://klasma.github.io/Logging_2303/klagomål/A 50233-2024 FSC-klagomål.docx", "A 50233-2024")</f>
        <v/>
      </c>
      <c r="W1742">
        <f>HYPERLINK("https://klasma.github.io/Logging_2303/klagomålsmail/A 50233-2024 FSC-klagomål mail.docx", "A 50233-2024")</f>
        <v/>
      </c>
      <c r="X1742">
        <f>HYPERLINK("https://klasma.github.io/Logging_2303/tillsyn/A 50233-2024 tillsynsbegäran.docx", "A 50233-2024")</f>
        <v/>
      </c>
      <c r="Y1742">
        <f>HYPERLINK("https://klasma.github.io/Logging_2303/tillsynsmail/A 50233-2024 tillsynsbegäran mail.docx", "A 50233-2024")</f>
        <v/>
      </c>
    </row>
    <row r="1743" ht="15" customHeight="1">
      <c r="A1743" t="inlineStr">
        <is>
          <t>A 28660-2025</t>
        </is>
      </c>
      <c r="B1743" s="1" t="n">
        <v>45819.65796296296</v>
      </c>
      <c r="C1743" s="1" t="n">
        <v>46045</v>
      </c>
      <c r="D1743" t="inlineStr">
        <is>
          <t>JÄMTLANDS LÄN</t>
        </is>
      </c>
      <c r="E1743" t="inlineStr">
        <is>
          <t>KROKOM</t>
        </is>
      </c>
      <c r="G1743" t="n">
        <v>8.1</v>
      </c>
      <c r="H1743" t="n">
        <v>1</v>
      </c>
      <c r="I1743" t="n">
        <v>1</v>
      </c>
      <c r="J1743" t="n">
        <v>0</v>
      </c>
      <c r="K1743" t="n">
        <v>0</v>
      </c>
      <c r="L1743" t="n">
        <v>0</v>
      </c>
      <c r="M1743" t="n">
        <v>0</v>
      </c>
      <c r="N1743" t="n">
        <v>0</v>
      </c>
      <c r="O1743" t="n">
        <v>0</v>
      </c>
      <c r="P1743" t="n">
        <v>0</v>
      </c>
      <c r="Q1743" t="n">
        <v>1</v>
      </c>
      <c r="R1743" s="2" t="inlineStr">
        <is>
          <t>Spindelblomster</t>
        </is>
      </c>
      <c r="S1743">
        <f>HYPERLINK("https://klasma.github.io/Logging_2309/artfynd/A 28660-2025 artfynd.xlsx", "A 28660-2025")</f>
        <v/>
      </c>
      <c r="T1743">
        <f>HYPERLINK("https://klasma.github.io/Logging_2309/kartor/A 28660-2025 karta.png", "A 28660-2025")</f>
        <v/>
      </c>
      <c r="V1743">
        <f>HYPERLINK("https://klasma.github.io/Logging_2309/klagomål/A 28660-2025 FSC-klagomål.docx", "A 28660-2025")</f>
        <v/>
      </c>
      <c r="W1743">
        <f>HYPERLINK("https://klasma.github.io/Logging_2309/klagomålsmail/A 28660-2025 FSC-klagomål mail.docx", "A 28660-2025")</f>
        <v/>
      </c>
      <c r="X1743">
        <f>HYPERLINK("https://klasma.github.io/Logging_2309/tillsyn/A 28660-2025 tillsynsbegäran.docx", "A 28660-2025")</f>
        <v/>
      </c>
      <c r="Y1743">
        <f>HYPERLINK("https://klasma.github.io/Logging_2309/tillsynsmail/A 28660-2025 tillsynsbegäran mail.docx", "A 28660-2025")</f>
        <v/>
      </c>
    </row>
    <row r="1744" ht="15" customHeight="1">
      <c r="A1744" t="inlineStr">
        <is>
          <t>A 26231-2024</t>
        </is>
      </c>
      <c r="B1744" s="1" t="n">
        <v>45467</v>
      </c>
      <c r="C1744" s="1" t="n">
        <v>46045</v>
      </c>
      <c r="D1744" t="inlineStr">
        <is>
          <t>JÄMTLANDS LÄN</t>
        </is>
      </c>
      <c r="E1744" t="inlineStr">
        <is>
          <t>KROKOM</t>
        </is>
      </c>
      <c r="G1744" t="n">
        <v>14.6</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HYPERLINK("https://klasma.github.io/Logging_2309/artfynd/A 26231-2024 artfynd.xlsx", "A 26231-2024")</f>
        <v/>
      </c>
      <c r="T1744">
        <f>HYPERLINK("https://klasma.github.io/Logging_2309/kartor/A 26231-2024 karta.png", "A 26231-2024")</f>
        <v/>
      </c>
      <c r="V1744">
        <f>HYPERLINK("https://klasma.github.io/Logging_2309/klagomål/A 26231-2024 FSC-klagomål.docx", "A 26231-2024")</f>
        <v/>
      </c>
      <c r="W1744">
        <f>HYPERLINK("https://klasma.github.io/Logging_2309/klagomålsmail/A 26231-2024 FSC-klagomål mail.docx", "A 26231-2024")</f>
        <v/>
      </c>
      <c r="X1744">
        <f>HYPERLINK("https://klasma.github.io/Logging_2309/tillsyn/A 26231-2024 tillsynsbegäran.docx", "A 26231-2024")</f>
        <v/>
      </c>
      <c r="Y1744">
        <f>HYPERLINK("https://klasma.github.io/Logging_2309/tillsynsmail/A 26231-2024 tillsynsbegäran mail.docx", "A 26231-2024")</f>
        <v/>
      </c>
      <c r="Z1744">
        <f>HYPERLINK("https://klasma.github.io/Logging_2309/fåglar/A 26231-2024 prioriterade fågelarter.docx", "A 26231-2024")</f>
        <v/>
      </c>
    </row>
    <row r="1745" ht="15" customHeight="1">
      <c r="A1745" t="inlineStr">
        <is>
          <t>A 55756-2025</t>
        </is>
      </c>
      <c r="B1745" s="1" t="n">
        <v>45972.59438657408</v>
      </c>
      <c r="C1745" s="1" t="n">
        <v>46045</v>
      </c>
      <c r="D1745" t="inlineStr">
        <is>
          <t>JÄMTLANDS LÄN</t>
        </is>
      </c>
      <c r="E1745" t="inlineStr">
        <is>
          <t>RAGUNDA</t>
        </is>
      </c>
      <c r="G1745" t="n">
        <v>1.6</v>
      </c>
      <c r="H1745" t="n">
        <v>0</v>
      </c>
      <c r="I1745" t="n">
        <v>0</v>
      </c>
      <c r="J1745" t="n">
        <v>1</v>
      </c>
      <c r="K1745" t="n">
        <v>0</v>
      </c>
      <c r="L1745" t="n">
        <v>0</v>
      </c>
      <c r="M1745" t="n">
        <v>0</v>
      </c>
      <c r="N1745" t="n">
        <v>0</v>
      </c>
      <c r="O1745" t="n">
        <v>1</v>
      </c>
      <c r="P1745" t="n">
        <v>0</v>
      </c>
      <c r="Q1745" t="n">
        <v>1</v>
      </c>
      <c r="R1745" s="2" t="inlineStr">
        <is>
          <t>Garnlav</t>
        </is>
      </c>
      <c r="S1745">
        <f>HYPERLINK("https://klasma.github.io/Logging_2303/artfynd/A 55756-2025 artfynd.xlsx", "A 55756-2025")</f>
        <v/>
      </c>
      <c r="T1745">
        <f>HYPERLINK("https://klasma.github.io/Logging_2303/kartor/A 55756-2025 karta.png", "A 55756-2025")</f>
        <v/>
      </c>
      <c r="V1745">
        <f>HYPERLINK("https://klasma.github.io/Logging_2303/klagomål/A 55756-2025 FSC-klagomål.docx", "A 55756-2025")</f>
        <v/>
      </c>
      <c r="W1745">
        <f>HYPERLINK("https://klasma.github.io/Logging_2303/klagomålsmail/A 55756-2025 FSC-klagomål mail.docx", "A 55756-2025")</f>
        <v/>
      </c>
      <c r="X1745">
        <f>HYPERLINK("https://klasma.github.io/Logging_2303/tillsyn/A 55756-2025 tillsynsbegäran.docx", "A 55756-2025")</f>
        <v/>
      </c>
      <c r="Y1745">
        <f>HYPERLINK("https://klasma.github.io/Logging_2303/tillsynsmail/A 55756-2025 tillsynsbegäran mail.docx", "A 55756-2025")</f>
        <v/>
      </c>
    </row>
    <row r="1746" ht="15" customHeight="1">
      <c r="A1746" t="inlineStr">
        <is>
          <t>A 28676-2025</t>
        </is>
      </c>
      <c r="B1746" s="1" t="n">
        <v>45819.67771990741</v>
      </c>
      <c r="C1746" s="1" t="n">
        <v>46045</v>
      </c>
      <c r="D1746" t="inlineStr">
        <is>
          <t>JÄMTLANDS LÄN</t>
        </is>
      </c>
      <c r="E1746" t="inlineStr">
        <is>
          <t>BRÄCKE</t>
        </is>
      </c>
      <c r="G1746" t="n">
        <v>1.2</v>
      </c>
      <c r="H1746" t="n">
        <v>0</v>
      </c>
      <c r="I1746" t="n">
        <v>1</v>
      </c>
      <c r="J1746" t="n">
        <v>0</v>
      </c>
      <c r="K1746" t="n">
        <v>0</v>
      </c>
      <c r="L1746" t="n">
        <v>0</v>
      </c>
      <c r="M1746" t="n">
        <v>0</v>
      </c>
      <c r="N1746" t="n">
        <v>0</v>
      </c>
      <c r="O1746" t="n">
        <v>0</v>
      </c>
      <c r="P1746" t="n">
        <v>0</v>
      </c>
      <c r="Q1746" t="n">
        <v>1</v>
      </c>
      <c r="R1746" s="2" t="inlineStr">
        <is>
          <t>Rödgul trumpetsvamp</t>
        </is>
      </c>
      <c r="S1746">
        <f>HYPERLINK("https://klasma.github.io/Logging_2305/artfynd/A 28676-2025 artfynd.xlsx", "A 28676-2025")</f>
        <v/>
      </c>
      <c r="T1746">
        <f>HYPERLINK("https://klasma.github.io/Logging_2305/kartor/A 28676-2025 karta.png", "A 28676-2025")</f>
        <v/>
      </c>
      <c r="V1746">
        <f>HYPERLINK("https://klasma.github.io/Logging_2305/klagomål/A 28676-2025 FSC-klagomål.docx", "A 28676-2025")</f>
        <v/>
      </c>
      <c r="W1746">
        <f>HYPERLINK("https://klasma.github.io/Logging_2305/klagomålsmail/A 28676-2025 FSC-klagomål mail.docx", "A 28676-2025")</f>
        <v/>
      </c>
      <c r="X1746">
        <f>HYPERLINK("https://klasma.github.io/Logging_2305/tillsyn/A 28676-2025 tillsynsbegäran.docx", "A 28676-2025")</f>
        <v/>
      </c>
      <c r="Y1746">
        <f>HYPERLINK("https://klasma.github.io/Logging_2305/tillsynsmail/A 28676-2025 tillsynsbegäran mail.docx", "A 28676-2025")</f>
        <v/>
      </c>
    </row>
    <row r="1747" ht="15" customHeight="1">
      <c r="A1747" t="inlineStr">
        <is>
          <t>A 56198-2025</t>
        </is>
      </c>
      <c r="B1747" s="1" t="n">
        <v>45974.45760416667</v>
      </c>
      <c r="C1747" s="1" t="n">
        <v>46045</v>
      </c>
      <c r="D1747" t="inlineStr">
        <is>
          <t>JÄMTLANDS LÄN</t>
        </is>
      </c>
      <c r="E1747" t="inlineStr">
        <is>
          <t>BERG</t>
        </is>
      </c>
      <c r="G1747" t="n">
        <v>8.6</v>
      </c>
      <c r="H1747" t="n">
        <v>0</v>
      </c>
      <c r="I1747" t="n">
        <v>0</v>
      </c>
      <c r="J1747" t="n">
        <v>1</v>
      </c>
      <c r="K1747" t="n">
        <v>0</v>
      </c>
      <c r="L1747" t="n">
        <v>0</v>
      </c>
      <c r="M1747" t="n">
        <v>0</v>
      </c>
      <c r="N1747" t="n">
        <v>0</v>
      </c>
      <c r="O1747" t="n">
        <v>1</v>
      </c>
      <c r="P1747" t="n">
        <v>0</v>
      </c>
      <c r="Q1747" t="n">
        <v>1</v>
      </c>
      <c r="R1747" s="2" t="inlineStr">
        <is>
          <t>Knottrig blåslav</t>
        </is>
      </c>
      <c r="S1747">
        <f>HYPERLINK("https://klasma.github.io/Logging_2326/artfynd/A 56198-2025 artfynd.xlsx", "A 56198-2025")</f>
        <v/>
      </c>
      <c r="T1747">
        <f>HYPERLINK("https://klasma.github.io/Logging_2326/kartor/A 56198-2025 karta.png", "A 56198-2025")</f>
        <v/>
      </c>
      <c r="V1747">
        <f>HYPERLINK("https://klasma.github.io/Logging_2326/klagomål/A 56198-2025 FSC-klagomål.docx", "A 56198-2025")</f>
        <v/>
      </c>
      <c r="W1747">
        <f>HYPERLINK("https://klasma.github.io/Logging_2326/klagomålsmail/A 56198-2025 FSC-klagomål mail.docx", "A 56198-2025")</f>
        <v/>
      </c>
      <c r="X1747">
        <f>HYPERLINK("https://klasma.github.io/Logging_2326/tillsyn/A 56198-2025 tillsynsbegäran.docx", "A 56198-2025")</f>
        <v/>
      </c>
      <c r="Y1747">
        <f>HYPERLINK("https://klasma.github.io/Logging_2326/tillsynsmail/A 56198-2025 tillsynsbegäran mail.docx", "A 56198-2025")</f>
        <v/>
      </c>
    </row>
    <row r="1748" ht="15" customHeight="1">
      <c r="A1748" t="inlineStr">
        <is>
          <t>A 2063-2024</t>
        </is>
      </c>
      <c r="B1748" s="1" t="n">
        <v>45308</v>
      </c>
      <c r="C1748" s="1" t="n">
        <v>46045</v>
      </c>
      <c r="D1748" t="inlineStr">
        <is>
          <t>JÄMTLANDS LÄN</t>
        </is>
      </c>
      <c r="E1748" t="inlineStr">
        <is>
          <t>BRÄCKE</t>
        </is>
      </c>
      <c r="F1748" t="inlineStr">
        <is>
          <t>SCA</t>
        </is>
      </c>
      <c r="G1748" t="n">
        <v>5.7</v>
      </c>
      <c r="H1748" t="n">
        <v>0</v>
      </c>
      <c r="I1748" t="n">
        <v>0</v>
      </c>
      <c r="J1748" t="n">
        <v>0</v>
      </c>
      <c r="K1748" t="n">
        <v>1</v>
      </c>
      <c r="L1748" t="n">
        <v>0</v>
      </c>
      <c r="M1748" t="n">
        <v>0</v>
      </c>
      <c r="N1748" t="n">
        <v>0</v>
      </c>
      <c r="O1748" t="n">
        <v>1</v>
      </c>
      <c r="P1748" t="n">
        <v>1</v>
      </c>
      <c r="Q1748" t="n">
        <v>1</v>
      </c>
      <c r="R1748" s="2" t="inlineStr">
        <is>
          <t>Gräddporing</t>
        </is>
      </c>
      <c r="S1748">
        <f>HYPERLINK("https://klasma.github.io/Logging_2305/artfynd/A 2063-2024 artfynd.xlsx", "A 2063-2024")</f>
        <v/>
      </c>
      <c r="T1748">
        <f>HYPERLINK("https://klasma.github.io/Logging_2305/kartor/A 2063-2024 karta.png", "A 2063-2024")</f>
        <v/>
      </c>
      <c r="V1748">
        <f>HYPERLINK("https://klasma.github.io/Logging_2305/klagomål/A 2063-2024 FSC-klagomål.docx", "A 2063-2024")</f>
        <v/>
      </c>
      <c r="W1748">
        <f>HYPERLINK("https://klasma.github.io/Logging_2305/klagomålsmail/A 2063-2024 FSC-klagomål mail.docx", "A 2063-2024")</f>
        <v/>
      </c>
      <c r="X1748">
        <f>HYPERLINK("https://klasma.github.io/Logging_2305/tillsyn/A 2063-2024 tillsynsbegäran.docx", "A 2063-2024")</f>
        <v/>
      </c>
      <c r="Y1748">
        <f>HYPERLINK("https://klasma.github.io/Logging_2305/tillsynsmail/A 2063-2024 tillsynsbegäran mail.docx", "A 2063-2024")</f>
        <v/>
      </c>
    </row>
    <row r="1749" ht="15" customHeight="1">
      <c r="A1749" t="inlineStr">
        <is>
          <t>A 2066-2024</t>
        </is>
      </c>
      <c r="B1749" s="1" t="n">
        <v>45308</v>
      </c>
      <c r="C1749" s="1" t="n">
        <v>46045</v>
      </c>
      <c r="D1749" t="inlineStr">
        <is>
          <t>JÄMTLANDS LÄN</t>
        </is>
      </c>
      <c r="E1749" t="inlineStr">
        <is>
          <t>HÄRJEDALEN</t>
        </is>
      </c>
      <c r="G1749" t="n">
        <v>23.2</v>
      </c>
      <c r="H1749" t="n">
        <v>1</v>
      </c>
      <c r="I1749" t="n">
        <v>0</v>
      </c>
      <c r="J1749" t="n">
        <v>1</v>
      </c>
      <c r="K1749" t="n">
        <v>0</v>
      </c>
      <c r="L1749" t="n">
        <v>0</v>
      </c>
      <c r="M1749" t="n">
        <v>0</v>
      </c>
      <c r="N1749" t="n">
        <v>0</v>
      </c>
      <c r="O1749" t="n">
        <v>1</v>
      </c>
      <c r="P1749" t="n">
        <v>0</v>
      </c>
      <c r="Q1749" t="n">
        <v>1</v>
      </c>
      <c r="R1749" s="2" t="inlineStr">
        <is>
          <t>Spillkråka</t>
        </is>
      </c>
      <c r="S1749">
        <f>HYPERLINK("https://klasma.github.io/Logging_2361/artfynd/A 2066-2024 artfynd.xlsx", "A 2066-2024")</f>
        <v/>
      </c>
      <c r="T1749">
        <f>HYPERLINK("https://klasma.github.io/Logging_2361/kartor/A 2066-2024 karta.png", "A 2066-2024")</f>
        <v/>
      </c>
      <c r="V1749">
        <f>HYPERLINK("https://klasma.github.io/Logging_2361/klagomål/A 2066-2024 FSC-klagomål.docx", "A 2066-2024")</f>
        <v/>
      </c>
      <c r="W1749">
        <f>HYPERLINK("https://klasma.github.io/Logging_2361/klagomålsmail/A 2066-2024 FSC-klagomål mail.docx", "A 2066-2024")</f>
        <v/>
      </c>
      <c r="X1749">
        <f>HYPERLINK("https://klasma.github.io/Logging_2361/tillsyn/A 2066-2024 tillsynsbegäran.docx", "A 2066-2024")</f>
        <v/>
      </c>
      <c r="Y1749">
        <f>HYPERLINK("https://klasma.github.io/Logging_2361/tillsynsmail/A 2066-2024 tillsynsbegäran mail.docx", "A 2066-2024")</f>
        <v/>
      </c>
      <c r="Z1749">
        <f>HYPERLINK("https://klasma.github.io/Logging_2361/fåglar/A 2066-2024 prioriterade fågelarter.docx", "A 2066-2024")</f>
        <v/>
      </c>
    </row>
    <row r="1750" ht="15" customHeight="1">
      <c r="A1750" t="inlineStr">
        <is>
          <t>A 55718-2025</t>
        </is>
      </c>
      <c r="B1750" s="1" t="n">
        <v>45972.49988425926</v>
      </c>
      <c r="C1750" s="1" t="n">
        <v>46045</v>
      </c>
      <c r="D1750" t="inlineStr">
        <is>
          <t>JÄMTLANDS LÄN</t>
        </is>
      </c>
      <c r="E1750" t="inlineStr">
        <is>
          <t>ÅRE</t>
        </is>
      </c>
      <c r="F1750" t="inlineStr">
        <is>
          <t>Övriga Aktiebolag</t>
        </is>
      </c>
      <c r="G1750" t="n">
        <v>1.1</v>
      </c>
      <c r="H1750" t="n">
        <v>1</v>
      </c>
      <c r="I1750" t="n">
        <v>0</v>
      </c>
      <c r="J1750" t="n">
        <v>0</v>
      </c>
      <c r="K1750" t="n">
        <v>0</v>
      </c>
      <c r="L1750" t="n">
        <v>0</v>
      </c>
      <c r="M1750" t="n">
        <v>0</v>
      </c>
      <c r="N1750" t="n">
        <v>0</v>
      </c>
      <c r="O1750" t="n">
        <v>0</v>
      </c>
      <c r="P1750" t="n">
        <v>0</v>
      </c>
      <c r="Q1750" t="n">
        <v>1</v>
      </c>
      <c r="R1750" s="2" t="inlineStr">
        <is>
          <t>Sparvuggla</t>
        </is>
      </c>
      <c r="S1750">
        <f>HYPERLINK("https://klasma.github.io/Logging_2321/artfynd/A 55718-2025 artfynd.xlsx", "A 55718-2025")</f>
        <v/>
      </c>
      <c r="T1750">
        <f>HYPERLINK("https://klasma.github.io/Logging_2321/kartor/A 55718-2025 karta.png", "A 55718-2025")</f>
        <v/>
      </c>
      <c r="V1750">
        <f>HYPERLINK("https://klasma.github.io/Logging_2321/klagomål/A 55718-2025 FSC-klagomål.docx", "A 55718-2025")</f>
        <v/>
      </c>
      <c r="W1750">
        <f>HYPERLINK("https://klasma.github.io/Logging_2321/klagomålsmail/A 55718-2025 FSC-klagomål mail.docx", "A 55718-2025")</f>
        <v/>
      </c>
      <c r="X1750">
        <f>HYPERLINK("https://klasma.github.io/Logging_2321/tillsyn/A 55718-2025 tillsynsbegäran.docx", "A 55718-2025")</f>
        <v/>
      </c>
      <c r="Y1750">
        <f>HYPERLINK("https://klasma.github.io/Logging_2321/tillsynsmail/A 55718-2025 tillsynsbegäran mail.docx", "A 55718-2025")</f>
        <v/>
      </c>
      <c r="Z1750">
        <f>HYPERLINK("https://klasma.github.io/Logging_2321/fåglar/A 55718-2025 prioriterade fågelarter.docx", "A 55718-2025")</f>
        <v/>
      </c>
    </row>
    <row r="1751" ht="15" customHeight="1">
      <c r="A1751" t="inlineStr">
        <is>
          <t>A 37451-2024</t>
        </is>
      </c>
      <c r="B1751" s="1" t="n">
        <v>45540.69512731482</v>
      </c>
      <c r="C1751" s="1" t="n">
        <v>46045</v>
      </c>
      <c r="D1751" t="inlineStr">
        <is>
          <t>JÄMTLANDS LÄN</t>
        </is>
      </c>
      <c r="E1751" t="inlineStr">
        <is>
          <t>HÄRJEDALEN</t>
        </is>
      </c>
      <c r="F1751" t="inlineStr">
        <is>
          <t>Sveaskog</t>
        </is>
      </c>
      <c r="G1751" t="n">
        <v>4.3</v>
      </c>
      <c r="H1751" t="n">
        <v>0</v>
      </c>
      <c r="I1751" t="n">
        <v>0</v>
      </c>
      <c r="J1751" t="n">
        <v>1</v>
      </c>
      <c r="K1751" t="n">
        <v>0</v>
      </c>
      <c r="L1751" t="n">
        <v>0</v>
      </c>
      <c r="M1751" t="n">
        <v>0</v>
      </c>
      <c r="N1751" t="n">
        <v>0</v>
      </c>
      <c r="O1751" t="n">
        <v>1</v>
      </c>
      <c r="P1751" t="n">
        <v>0</v>
      </c>
      <c r="Q1751" t="n">
        <v>1</v>
      </c>
      <c r="R1751" s="2" t="inlineStr">
        <is>
          <t>Lunglav</t>
        </is>
      </c>
      <c r="S1751">
        <f>HYPERLINK("https://klasma.github.io/Logging_2361/artfynd/A 37451-2024 artfynd.xlsx", "A 37451-2024")</f>
        <v/>
      </c>
      <c r="T1751">
        <f>HYPERLINK("https://klasma.github.io/Logging_2361/kartor/A 37451-2024 karta.png", "A 37451-2024")</f>
        <v/>
      </c>
      <c r="V1751">
        <f>HYPERLINK("https://klasma.github.io/Logging_2361/klagomål/A 37451-2024 FSC-klagomål.docx", "A 37451-2024")</f>
        <v/>
      </c>
      <c r="W1751">
        <f>HYPERLINK("https://klasma.github.io/Logging_2361/klagomålsmail/A 37451-2024 FSC-klagomål mail.docx", "A 37451-2024")</f>
        <v/>
      </c>
      <c r="X1751">
        <f>HYPERLINK("https://klasma.github.io/Logging_2361/tillsyn/A 37451-2024 tillsynsbegäran.docx", "A 37451-2024")</f>
        <v/>
      </c>
      <c r="Y1751">
        <f>HYPERLINK("https://klasma.github.io/Logging_2361/tillsynsmail/A 37451-2024 tillsynsbegäran mail.docx", "A 37451-2024")</f>
        <v/>
      </c>
    </row>
    <row r="1752" ht="15" customHeight="1">
      <c r="A1752" t="inlineStr">
        <is>
          <t>A 7686-2025</t>
        </is>
      </c>
      <c r="B1752" s="1" t="n">
        <v>45706.38579861111</v>
      </c>
      <c r="C1752" s="1" t="n">
        <v>46045</v>
      </c>
      <c r="D1752" t="inlineStr">
        <is>
          <t>JÄMTLANDS LÄN</t>
        </is>
      </c>
      <c r="E1752" t="inlineStr">
        <is>
          <t>BRÄCKE</t>
        </is>
      </c>
      <c r="F1752" t="inlineStr">
        <is>
          <t>SCA</t>
        </is>
      </c>
      <c r="G1752" t="n">
        <v>1</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7686-2025 artfynd.xlsx", "A 7686-2025")</f>
        <v/>
      </c>
      <c r="T1752">
        <f>HYPERLINK("https://klasma.github.io/Logging_2305/kartor/A 7686-2025 karta.png", "A 7686-2025")</f>
        <v/>
      </c>
      <c r="U1752">
        <f>HYPERLINK("https://klasma.github.io/Logging_2305/knärot/A 7686-2025 karta knärot.png", "A 7686-2025")</f>
        <v/>
      </c>
      <c r="V1752">
        <f>HYPERLINK("https://klasma.github.io/Logging_2305/klagomål/A 7686-2025 FSC-klagomål.docx", "A 7686-2025")</f>
        <v/>
      </c>
      <c r="W1752">
        <f>HYPERLINK("https://klasma.github.io/Logging_2305/klagomålsmail/A 7686-2025 FSC-klagomål mail.docx", "A 7686-2025")</f>
        <v/>
      </c>
      <c r="X1752">
        <f>HYPERLINK("https://klasma.github.io/Logging_2305/tillsyn/A 7686-2025 tillsynsbegäran.docx", "A 7686-2025")</f>
        <v/>
      </c>
      <c r="Y1752">
        <f>HYPERLINK("https://klasma.github.io/Logging_2305/tillsynsmail/A 7686-2025 tillsynsbegäran mail.docx", "A 7686-2025")</f>
        <v/>
      </c>
    </row>
    <row r="1753" ht="15" customHeight="1">
      <c r="A1753" t="inlineStr">
        <is>
          <t>A 29941-2025</t>
        </is>
      </c>
      <c r="B1753" s="1" t="n">
        <v>45826.45174768518</v>
      </c>
      <c r="C1753" s="1" t="n">
        <v>46045</v>
      </c>
      <c r="D1753" t="inlineStr">
        <is>
          <t>JÄMTLANDS LÄN</t>
        </is>
      </c>
      <c r="E1753" t="inlineStr">
        <is>
          <t>KROKOM</t>
        </is>
      </c>
      <c r="G1753" t="n">
        <v>12.4</v>
      </c>
      <c r="H1753" t="n">
        <v>0</v>
      </c>
      <c r="I1753" t="n">
        <v>0</v>
      </c>
      <c r="J1753" t="n">
        <v>0</v>
      </c>
      <c r="K1753" t="n">
        <v>0</v>
      </c>
      <c r="L1753" t="n">
        <v>1</v>
      </c>
      <c r="M1753" t="n">
        <v>0</v>
      </c>
      <c r="N1753" t="n">
        <v>0</v>
      </c>
      <c r="O1753" t="n">
        <v>1</v>
      </c>
      <c r="P1753" t="n">
        <v>1</v>
      </c>
      <c r="Q1753" t="n">
        <v>1</v>
      </c>
      <c r="R1753" s="2" t="inlineStr">
        <is>
          <t>Lilafotad fingersvamp</t>
        </is>
      </c>
      <c r="S1753">
        <f>HYPERLINK("https://klasma.github.io/Logging_2309/artfynd/A 29941-2025 artfynd.xlsx", "A 29941-2025")</f>
        <v/>
      </c>
      <c r="T1753">
        <f>HYPERLINK("https://klasma.github.io/Logging_2309/kartor/A 29941-2025 karta.png", "A 29941-2025")</f>
        <v/>
      </c>
      <c r="V1753">
        <f>HYPERLINK("https://klasma.github.io/Logging_2309/klagomål/A 29941-2025 FSC-klagomål.docx", "A 29941-2025")</f>
        <v/>
      </c>
      <c r="W1753">
        <f>HYPERLINK("https://klasma.github.io/Logging_2309/klagomålsmail/A 29941-2025 FSC-klagomål mail.docx", "A 29941-2025")</f>
        <v/>
      </c>
      <c r="X1753">
        <f>HYPERLINK("https://klasma.github.io/Logging_2309/tillsyn/A 29941-2025 tillsynsbegäran.docx", "A 29941-2025")</f>
        <v/>
      </c>
      <c r="Y1753">
        <f>HYPERLINK("https://klasma.github.io/Logging_2309/tillsynsmail/A 29941-2025 tillsynsbegäran mail.docx", "A 29941-2025")</f>
        <v/>
      </c>
    </row>
    <row r="1754" ht="15" customHeight="1">
      <c r="A1754" t="inlineStr">
        <is>
          <t>A 40696-2024</t>
        </is>
      </c>
      <c r="B1754" s="1" t="n">
        <v>45558</v>
      </c>
      <c r="C1754" s="1" t="n">
        <v>46045</v>
      </c>
      <c r="D1754" t="inlineStr">
        <is>
          <t>JÄMTLANDS LÄN</t>
        </is>
      </c>
      <c r="E1754" t="inlineStr">
        <is>
          <t>ÖSTERSUND</t>
        </is>
      </c>
      <c r="F1754" t="inlineStr">
        <is>
          <t>SCA</t>
        </is>
      </c>
      <c r="G1754" t="n">
        <v>2.7</v>
      </c>
      <c r="H1754" t="n">
        <v>0</v>
      </c>
      <c r="I1754" t="n">
        <v>0</v>
      </c>
      <c r="J1754" t="n">
        <v>1</v>
      </c>
      <c r="K1754" t="n">
        <v>0</v>
      </c>
      <c r="L1754" t="n">
        <v>0</v>
      </c>
      <c r="M1754" t="n">
        <v>0</v>
      </c>
      <c r="N1754" t="n">
        <v>0</v>
      </c>
      <c r="O1754" t="n">
        <v>1</v>
      </c>
      <c r="P1754" t="n">
        <v>0</v>
      </c>
      <c r="Q1754" t="n">
        <v>1</v>
      </c>
      <c r="R1754" s="2" t="inlineStr">
        <is>
          <t>Lunglav</t>
        </is>
      </c>
      <c r="S1754">
        <f>HYPERLINK("https://klasma.github.io/Logging_2380/artfynd/A 40696-2024 artfynd.xlsx", "A 40696-2024")</f>
        <v/>
      </c>
      <c r="T1754">
        <f>HYPERLINK("https://klasma.github.io/Logging_2380/kartor/A 40696-2024 karta.png", "A 40696-2024")</f>
        <v/>
      </c>
      <c r="V1754">
        <f>HYPERLINK("https://klasma.github.io/Logging_2380/klagomål/A 40696-2024 FSC-klagomål.docx", "A 40696-2024")</f>
        <v/>
      </c>
      <c r="W1754">
        <f>HYPERLINK("https://klasma.github.io/Logging_2380/klagomålsmail/A 40696-2024 FSC-klagomål mail.docx", "A 40696-2024")</f>
        <v/>
      </c>
      <c r="X1754">
        <f>HYPERLINK("https://klasma.github.io/Logging_2380/tillsyn/A 40696-2024 tillsynsbegäran.docx", "A 40696-2024")</f>
        <v/>
      </c>
      <c r="Y1754">
        <f>HYPERLINK("https://klasma.github.io/Logging_2380/tillsynsmail/A 40696-2024 tillsynsbegäran mail.docx", "A 40696-2024")</f>
        <v/>
      </c>
    </row>
    <row r="1755" ht="15" customHeight="1">
      <c r="A1755" t="inlineStr">
        <is>
          <t>A 21632-2025</t>
        </is>
      </c>
      <c r="B1755" s="1" t="n">
        <v>45783.42753472222</v>
      </c>
      <c r="C1755" s="1" t="n">
        <v>46045</v>
      </c>
      <c r="D1755" t="inlineStr">
        <is>
          <t>JÄMTLANDS LÄN</t>
        </is>
      </c>
      <c r="E1755" t="inlineStr">
        <is>
          <t>BERG</t>
        </is>
      </c>
      <c r="F1755" t="inlineStr">
        <is>
          <t>SCA</t>
        </is>
      </c>
      <c r="G1755" t="n">
        <v>2.9</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HYPERLINK("https://klasma.github.io/Logging_2326/artfynd/A 21632-2025 artfynd.xlsx", "A 21632-2025")</f>
        <v/>
      </c>
      <c r="T1755">
        <f>HYPERLINK("https://klasma.github.io/Logging_2326/kartor/A 21632-2025 karta.png", "A 21632-2025")</f>
        <v/>
      </c>
      <c r="V1755">
        <f>HYPERLINK("https://klasma.github.io/Logging_2326/klagomål/A 21632-2025 FSC-klagomål.docx", "A 21632-2025")</f>
        <v/>
      </c>
      <c r="W1755">
        <f>HYPERLINK("https://klasma.github.io/Logging_2326/klagomålsmail/A 21632-2025 FSC-klagomål mail.docx", "A 21632-2025")</f>
        <v/>
      </c>
      <c r="X1755">
        <f>HYPERLINK("https://klasma.github.io/Logging_2326/tillsyn/A 21632-2025 tillsynsbegäran.docx", "A 21632-2025")</f>
        <v/>
      </c>
      <c r="Y1755">
        <f>HYPERLINK("https://klasma.github.io/Logging_2326/tillsynsmail/A 21632-2025 tillsynsbegäran mail.docx", "A 21632-2025")</f>
        <v/>
      </c>
      <c r="Z1755">
        <f>HYPERLINK("https://klasma.github.io/Logging_2326/fåglar/A 21632-2025 prioriterade fågelarter.docx", "A 21632-2025")</f>
        <v/>
      </c>
    </row>
    <row r="1756" ht="15" customHeight="1">
      <c r="A1756" t="inlineStr">
        <is>
          <t>A 56521-2025</t>
        </is>
      </c>
      <c r="B1756" s="1" t="n">
        <v>45975.46076388889</v>
      </c>
      <c r="C1756" s="1" t="n">
        <v>46045</v>
      </c>
      <c r="D1756" t="inlineStr">
        <is>
          <t>JÄMTLANDS LÄN</t>
        </is>
      </c>
      <c r="E1756" t="inlineStr">
        <is>
          <t>HÄRJEDALEN</t>
        </is>
      </c>
      <c r="F1756" t="inlineStr">
        <is>
          <t>Bergvik skog väst AB</t>
        </is>
      </c>
      <c r="G1756" t="n">
        <v>4.5</v>
      </c>
      <c r="H1756" t="n">
        <v>0</v>
      </c>
      <c r="I1756" t="n">
        <v>0</v>
      </c>
      <c r="J1756" t="n">
        <v>1</v>
      </c>
      <c r="K1756" t="n">
        <v>0</v>
      </c>
      <c r="L1756" t="n">
        <v>0</v>
      </c>
      <c r="M1756" t="n">
        <v>0</v>
      </c>
      <c r="N1756" t="n">
        <v>0</v>
      </c>
      <c r="O1756" t="n">
        <v>1</v>
      </c>
      <c r="P1756" t="n">
        <v>0</v>
      </c>
      <c r="Q1756" t="n">
        <v>1</v>
      </c>
      <c r="R1756" s="2" t="inlineStr">
        <is>
          <t>Vedskivlav</t>
        </is>
      </c>
      <c r="S1756">
        <f>HYPERLINK("https://klasma.github.io/Logging_2361/artfynd/A 56521-2025 artfynd.xlsx", "A 56521-2025")</f>
        <v/>
      </c>
      <c r="T1756">
        <f>HYPERLINK("https://klasma.github.io/Logging_2361/kartor/A 56521-2025 karta.png", "A 56521-2025")</f>
        <v/>
      </c>
      <c r="V1756">
        <f>HYPERLINK("https://klasma.github.io/Logging_2361/klagomål/A 56521-2025 FSC-klagomål.docx", "A 56521-2025")</f>
        <v/>
      </c>
      <c r="W1756">
        <f>HYPERLINK("https://klasma.github.io/Logging_2361/klagomålsmail/A 56521-2025 FSC-klagomål mail.docx", "A 56521-2025")</f>
        <v/>
      </c>
      <c r="X1756">
        <f>HYPERLINK("https://klasma.github.io/Logging_2361/tillsyn/A 56521-2025 tillsynsbegäran.docx", "A 56521-2025")</f>
        <v/>
      </c>
      <c r="Y1756">
        <f>HYPERLINK("https://klasma.github.io/Logging_2361/tillsynsmail/A 56521-2025 tillsynsbegäran mail.docx", "A 56521-2025")</f>
        <v/>
      </c>
    </row>
    <row r="1757" ht="15" customHeight="1">
      <c r="A1757" t="inlineStr">
        <is>
          <t>A 21370-2025</t>
        </is>
      </c>
      <c r="B1757" s="1" t="n">
        <v>45782</v>
      </c>
      <c r="C1757" s="1" t="n">
        <v>46045</v>
      </c>
      <c r="D1757" t="inlineStr">
        <is>
          <t>JÄMTLANDS LÄN</t>
        </is>
      </c>
      <c r="E1757" t="inlineStr">
        <is>
          <t>BERG</t>
        </is>
      </c>
      <c r="F1757" t="inlineStr">
        <is>
          <t>SCA</t>
        </is>
      </c>
      <c r="G1757" t="n">
        <v>14.6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HYPERLINK("https://klasma.github.io/Logging_2326/artfynd/A 21370-2025 artfynd.xlsx", "A 21370-2025")</f>
        <v/>
      </c>
      <c r="T1757">
        <f>HYPERLINK("https://klasma.github.io/Logging_2326/kartor/A 21370-2025 karta.png", "A 21370-2025")</f>
        <v/>
      </c>
      <c r="V1757">
        <f>HYPERLINK("https://klasma.github.io/Logging_2326/klagomål/A 21370-2025 FSC-klagomål.docx", "A 21370-2025")</f>
        <v/>
      </c>
      <c r="W1757">
        <f>HYPERLINK("https://klasma.github.io/Logging_2326/klagomålsmail/A 21370-2025 FSC-klagomål mail.docx", "A 21370-2025")</f>
        <v/>
      </c>
      <c r="X1757">
        <f>HYPERLINK("https://klasma.github.io/Logging_2326/tillsyn/A 21370-2025 tillsynsbegäran.docx", "A 21370-2025")</f>
        <v/>
      </c>
      <c r="Y1757">
        <f>HYPERLINK("https://klasma.github.io/Logging_2326/tillsynsmail/A 21370-2025 tillsynsbegäran mail.docx", "A 21370-2025")</f>
        <v/>
      </c>
      <c r="Z1757">
        <f>HYPERLINK("https://klasma.github.io/Logging_2326/fåglar/A 21370-2025 prioriterade fågelarter.docx", "A 21370-2025")</f>
        <v/>
      </c>
    </row>
    <row r="1758" ht="15" customHeight="1">
      <c r="A1758" t="inlineStr">
        <is>
          <t>A 29721-2025</t>
        </is>
      </c>
      <c r="B1758" s="1" t="n">
        <v>45825.57422453703</v>
      </c>
      <c r="C1758" s="1" t="n">
        <v>46045</v>
      </c>
      <c r="D1758" t="inlineStr">
        <is>
          <t>JÄMTLANDS LÄN</t>
        </is>
      </c>
      <c r="E1758" t="inlineStr">
        <is>
          <t>STRÖMSUND</t>
        </is>
      </c>
      <c r="F1758" t="inlineStr">
        <is>
          <t>SCA</t>
        </is>
      </c>
      <c r="G1758" t="n">
        <v>25.2</v>
      </c>
      <c r="H1758" t="n">
        <v>1</v>
      </c>
      <c r="I1758" t="n">
        <v>0</v>
      </c>
      <c r="J1758" t="n">
        <v>0</v>
      </c>
      <c r="K1758" t="n">
        <v>0</v>
      </c>
      <c r="L1758" t="n">
        <v>1</v>
      </c>
      <c r="M1758" t="n">
        <v>0</v>
      </c>
      <c r="N1758" t="n">
        <v>0</v>
      </c>
      <c r="O1758" t="n">
        <v>1</v>
      </c>
      <c r="P1758" t="n">
        <v>1</v>
      </c>
      <c r="Q1758" t="n">
        <v>1</v>
      </c>
      <c r="R1758" s="2" t="inlineStr">
        <is>
          <t>Violett guldvinge</t>
        </is>
      </c>
      <c r="S1758">
        <f>HYPERLINK("https://klasma.github.io/Logging_2313/artfynd/A 29721-2025 artfynd.xlsx", "A 29721-2025")</f>
        <v/>
      </c>
      <c r="T1758">
        <f>HYPERLINK("https://klasma.github.io/Logging_2313/kartor/A 29721-2025 karta.png", "A 29721-2025")</f>
        <v/>
      </c>
      <c r="V1758">
        <f>HYPERLINK("https://klasma.github.io/Logging_2313/klagomål/A 29721-2025 FSC-klagomål.docx", "A 29721-2025")</f>
        <v/>
      </c>
      <c r="W1758">
        <f>HYPERLINK("https://klasma.github.io/Logging_2313/klagomålsmail/A 29721-2025 FSC-klagomål mail.docx", "A 29721-2025")</f>
        <v/>
      </c>
      <c r="X1758">
        <f>HYPERLINK("https://klasma.github.io/Logging_2313/tillsyn/A 29721-2025 tillsynsbegäran.docx", "A 29721-2025")</f>
        <v/>
      </c>
      <c r="Y1758">
        <f>HYPERLINK("https://klasma.github.io/Logging_2313/tillsynsmail/A 29721-2025 tillsynsbegäran mail.docx", "A 29721-2025")</f>
        <v/>
      </c>
    </row>
    <row r="1759" ht="15" customHeight="1">
      <c r="A1759" t="inlineStr">
        <is>
          <t>A 56599-2025</t>
        </is>
      </c>
      <c r="B1759" s="1" t="n">
        <v>45975.5734837963</v>
      </c>
      <c r="C1759" s="1" t="n">
        <v>46045</v>
      </c>
      <c r="D1759" t="inlineStr">
        <is>
          <t>JÄMTLANDS LÄN</t>
        </is>
      </c>
      <c r="E1759" t="inlineStr">
        <is>
          <t>RAGUNDA</t>
        </is>
      </c>
      <c r="F1759" t="inlineStr">
        <is>
          <t>SCA</t>
        </is>
      </c>
      <c r="G1759" t="n">
        <v>2.4</v>
      </c>
      <c r="H1759" t="n">
        <v>0</v>
      </c>
      <c r="I1759" t="n">
        <v>0</v>
      </c>
      <c r="J1759" t="n">
        <v>1</v>
      </c>
      <c r="K1759" t="n">
        <v>0</v>
      </c>
      <c r="L1759" t="n">
        <v>0</v>
      </c>
      <c r="M1759" t="n">
        <v>0</v>
      </c>
      <c r="N1759" t="n">
        <v>0</v>
      </c>
      <c r="O1759" t="n">
        <v>1</v>
      </c>
      <c r="P1759" t="n">
        <v>0</v>
      </c>
      <c r="Q1759" t="n">
        <v>1</v>
      </c>
      <c r="R1759" s="2" t="inlineStr">
        <is>
          <t>Lunglav</t>
        </is>
      </c>
      <c r="S1759">
        <f>HYPERLINK("https://klasma.github.io/Logging_2303/artfynd/A 56599-2025 artfynd.xlsx", "A 56599-2025")</f>
        <v/>
      </c>
      <c r="T1759">
        <f>HYPERLINK("https://klasma.github.io/Logging_2303/kartor/A 56599-2025 karta.png", "A 56599-2025")</f>
        <v/>
      </c>
      <c r="V1759">
        <f>HYPERLINK("https://klasma.github.io/Logging_2303/klagomål/A 56599-2025 FSC-klagomål.docx", "A 56599-2025")</f>
        <v/>
      </c>
      <c r="W1759">
        <f>HYPERLINK("https://klasma.github.io/Logging_2303/klagomålsmail/A 56599-2025 FSC-klagomål mail.docx", "A 56599-2025")</f>
        <v/>
      </c>
      <c r="X1759">
        <f>HYPERLINK("https://klasma.github.io/Logging_2303/tillsyn/A 56599-2025 tillsynsbegäran.docx", "A 56599-2025")</f>
        <v/>
      </c>
      <c r="Y1759">
        <f>HYPERLINK("https://klasma.github.io/Logging_2303/tillsynsmail/A 56599-2025 tillsynsbegäran mail.docx", "A 56599-2025")</f>
        <v/>
      </c>
    </row>
    <row r="1760" ht="15" customHeight="1">
      <c r="A1760" t="inlineStr">
        <is>
          <t>A 52486-2024</t>
        </is>
      </c>
      <c r="B1760" s="1" t="n">
        <v>45609</v>
      </c>
      <c r="C1760" s="1" t="n">
        <v>46045</v>
      </c>
      <c r="D1760" t="inlineStr">
        <is>
          <t>JÄMTLANDS LÄN</t>
        </is>
      </c>
      <c r="E1760" t="inlineStr">
        <is>
          <t>KROKOM</t>
        </is>
      </c>
      <c r="G1760" t="n">
        <v>20.6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52486-2024 artfynd.xlsx", "A 52486-2024")</f>
        <v/>
      </c>
      <c r="T1760">
        <f>HYPERLINK("https://klasma.github.io/Logging_2309/kartor/A 52486-2024 karta.png", "A 52486-2024")</f>
        <v/>
      </c>
      <c r="V1760">
        <f>HYPERLINK("https://klasma.github.io/Logging_2309/klagomål/A 52486-2024 FSC-klagomål.docx", "A 52486-2024")</f>
        <v/>
      </c>
      <c r="W1760">
        <f>HYPERLINK("https://klasma.github.io/Logging_2309/klagomålsmail/A 52486-2024 FSC-klagomål mail.docx", "A 52486-2024")</f>
        <v/>
      </c>
      <c r="X1760">
        <f>HYPERLINK("https://klasma.github.io/Logging_2309/tillsyn/A 52486-2024 tillsynsbegäran.docx", "A 52486-2024")</f>
        <v/>
      </c>
      <c r="Y1760">
        <f>HYPERLINK("https://klasma.github.io/Logging_2309/tillsynsmail/A 52486-2024 tillsynsbegäran mail.docx", "A 52486-2024")</f>
        <v/>
      </c>
      <c r="Z1760">
        <f>HYPERLINK("https://klasma.github.io/Logging_2309/fåglar/A 52486-2024 prioriterade fågelarter.docx", "A 52486-2024")</f>
        <v/>
      </c>
    </row>
    <row r="1761" ht="15" customHeight="1">
      <c r="A1761" t="inlineStr">
        <is>
          <t>A 30142-2025</t>
        </is>
      </c>
      <c r="B1761" s="1" t="n">
        <v>45826.9224537037</v>
      </c>
      <c r="C1761" s="1" t="n">
        <v>46045</v>
      </c>
      <c r="D1761" t="inlineStr">
        <is>
          <t>JÄMTLANDS LÄN</t>
        </is>
      </c>
      <c r="E1761" t="inlineStr">
        <is>
          <t>STRÖMSUND</t>
        </is>
      </c>
      <c r="G1761" t="n">
        <v>6.7</v>
      </c>
      <c r="H1761" t="n">
        <v>1</v>
      </c>
      <c r="I1761" t="n">
        <v>1</v>
      </c>
      <c r="J1761" t="n">
        <v>0</v>
      </c>
      <c r="K1761" t="n">
        <v>0</v>
      </c>
      <c r="L1761" t="n">
        <v>0</v>
      </c>
      <c r="M1761" t="n">
        <v>0</v>
      </c>
      <c r="N1761" t="n">
        <v>0</v>
      </c>
      <c r="O1761" t="n">
        <v>0</v>
      </c>
      <c r="P1761" t="n">
        <v>0</v>
      </c>
      <c r="Q1761" t="n">
        <v>1</v>
      </c>
      <c r="R1761" s="2" t="inlineStr">
        <is>
          <t>Guckusko</t>
        </is>
      </c>
      <c r="S1761">
        <f>HYPERLINK("https://klasma.github.io/Logging_2313/artfynd/A 30142-2025 artfynd.xlsx", "A 30142-2025")</f>
        <v/>
      </c>
      <c r="T1761">
        <f>HYPERLINK("https://klasma.github.io/Logging_2313/kartor/A 30142-2025 karta.png", "A 30142-2025")</f>
        <v/>
      </c>
      <c r="V1761">
        <f>HYPERLINK("https://klasma.github.io/Logging_2313/klagomål/A 30142-2025 FSC-klagomål.docx", "A 30142-2025")</f>
        <v/>
      </c>
      <c r="W1761">
        <f>HYPERLINK("https://klasma.github.io/Logging_2313/klagomålsmail/A 30142-2025 FSC-klagomål mail.docx", "A 30142-2025")</f>
        <v/>
      </c>
      <c r="X1761">
        <f>HYPERLINK("https://klasma.github.io/Logging_2313/tillsyn/A 30142-2025 tillsynsbegäran.docx", "A 30142-2025")</f>
        <v/>
      </c>
      <c r="Y1761">
        <f>HYPERLINK("https://klasma.github.io/Logging_2313/tillsynsmail/A 30142-2025 tillsynsbegäran mail.docx", "A 30142-2025")</f>
        <v/>
      </c>
    </row>
    <row r="1762" ht="15" customHeight="1">
      <c r="A1762" t="inlineStr">
        <is>
          <t>A 57478-2025</t>
        </is>
      </c>
      <c r="B1762" s="1" t="n">
        <v>45980.57349537037</v>
      </c>
      <c r="C1762" s="1" t="n">
        <v>46045</v>
      </c>
      <c r="D1762" t="inlineStr">
        <is>
          <t>JÄMTLANDS LÄN</t>
        </is>
      </c>
      <c r="E1762" t="inlineStr">
        <is>
          <t>RAGUNDA</t>
        </is>
      </c>
      <c r="F1762" t="inlineStr">
        <is>
          <t>SCA</t>
        </is>
      </c>
      <c r="G1762" t="n">
        <v>3.3</v>
      </c>
      <c r="H1762" t="n">
        <v>0</v>
      </c>
      <c r="I1762" t="n">
        <v>0</v>
      </c>
      <c r="J1762" t="n">
        <v>1</v>
      </c>
      <c r="K1762" t="n">
        <v>0</v>
      </c>
      <c r="L1762" t="n">
        <v>0</v>
      </c>
      <c r="M1762" t="n">
        <v>0</v>
      </c>
      <c r="N1762" t="n">
        <v>0</v>
      </c>
      <c r="O1762" t="n">
        <v>1</v>
      </c>
      <c r="P1762" t="n">
        <v>0</v>
      </c>
      <c r="Q1762" t="n">
        <v>1</v>
      </c>
      <c r="R1762" s="2" t="inlineStr">
        <is>
          <t>Lunglav</t>
        </is>
      </c>
      <c r="S1762">
        <f>HYPERLINK("https://klasma.github.io/Logging_2303/artfynd/A 57478-2025 artfynd.xlsx", "A 57478-2025")</f>
        <v/>
      </c>
      <c r="T1762">
        <f>HYPERLINK("https://klasma.github.io/Logging_2303/kartor/A 57478-2025 karta.png", "A 57478-2025")</f>
        <v/>
      </c>
      <c r="V1762">
        <f>HYPERLINK("https://klasma.github.io/Logging_2303/klagomål/A 57478-2025 FSC-klagomål.docx", "A 57478-2025")</f>
        <v/>
      </c>
      <c r="W1762">
        <f>HYPERLINK("https://klasma.github.io/Logging_2303/klagomålsmail/A 57478-2025 FSC-klagomål mail.docx", "A 57478-2025")</f>
        <v/>
      </c>
      <c r="X1762">
        <f>HYPERLINK("https://klasma.github.io/Logging_2303/tillsyn/A 57478-2025 tillsynsbegäran.docx", "A 57478-2025")</f>
        <v/>
      </c>
      <c r="Y1762">
        <f>HYPERLINK("https://klasma.github.io/Logging_2303/tillsynsmail/A 57478-2025 tillsynsbegäran mail.docx", "A 57478-2025")</f>
        <v/>
      </c>
    </row>
    <row r="1763" ht="15" customHeight="1">
      <c r="A1763" t="inlineStr">
        <is>
          <t>A 30390-2025</t>
        </is>
      </c>
      <c r="B1763" s="1" t="n">
        <v>45827.57371527778</v>
      </c>
      <c r="C1763" s="1" t="n">
        <v>46045</v>
      </c>
      <c r="D1763" t="inlineStr">
        <is>
          <t>JÄMTLANDS LÄN</t>
        </is>
      </c>
      <c r="E1763" t="inlineStr">
        <is>
          <t>RAGUNDA</t>
        </is>
      </c>
      <c r="F1763" t="inlineStr">
        <is>
          <t>SCA</t>
        </is>
      </c>
      <c r="G1763" t="n">
        <v>11.2</v>
      </c>
      <c r="H1763" t="n">
        <v>0</v>
      </c>
      <c r="I1763" t="n">
        <v>0</v>
      </c>
      <c r="J1763" t="n">
        <v>1</v>
      </c>
      <c r="K1763" t="n">
        <v>0</v>
      </c>
      <c r="L1763" t="n">
        <v>0</v>
      </c>
      <c r="M1763" t="n">
        <v>0</v>
      </c>
      <c r="N1763" t="n">
        <v>0</v>
      </c>
      <c r="O1763" t="n">
        <v>1</v>
      </c>
      <c r="P1763" t="n">
        <v>0</v>
      </c>
      <c r="Q1763" t="n">
        <v>1</v>
      </c>
      <c r="R1763" s="2" t="inlineStr">
        <is>
          <t>Lunglav</t>
        </is>
      </c>
      <c r="S1763">
        <f>HYPERLINK("https://klasma.github.io/Logging_2303/artfynd/A 30390-2025 artfynd.xlsx", "A 30390-2025")</f>
        <v/>
      </c>
      <c r="T1763">
        <f>HYPERLINK("https://klasma.github.io/Logging_2303/kartor/A 30390-2025 karta.png", "A 30390-2025")</f>
        <v/>
      </c>
      <c r="U1763">
        <f>HYPERLINK("https://klasma.github.io/Logging_2303/knärot/A 30390-2025 karta knärot.png", "A 30390-2025")</f>
        <v/>
      </c>
      <c r="V1763">
        <f>HYPERLINK("https://klasma.github.io/Logging_2303/klagomål/A 30390-2025 FSC-klagomål.docx", "A 30390-2025")</f>
        <v/>
      </c>
      <c r="W1763">
        <f>HYPERLINK("https://klasma.github.io/Logging_2303/klagomålsmail/A 30390-2025 FSC-klagomål mail.docx", "A 30390-2025")</f>
        <v/>
      </c>
      <c r="X1763">
        <f>HYPERLINK("https://klasma.github.io/Logging_2303/tillsyn/A 30390-2025 tillsynsbegäran.docx", "A 30390-2025")</f>
        <v/>
      </c>
      <c r="Y1763">
        <f>HYPERLINK("https://klasma.github.io/Logging_2303/tillsynsmail/A 30390-2025 tillsynsbegäran mail.docx", "A 30390-2025")</f>
        <v/>
      </c>
    </row>
    <row r="1764" ht="15" customHeight="1">
      <c r="A1764" t="inlineStr">
        <is>
          <t>A 30771-2023</t>
        </is>
      </c>
      <c r="B1764" s="1" t="n">
        <v>45112</v>
      </c>
      <c r="C1764" s="1" t="n">
        <v>46045</v>
      </c>
      <c r="D1764" t="inlineStr">
        <is>
          <t>JÄMTLANDS LÄN</t>
        </is>
      </c>
      <c r="E1764" t="inlineStr">
        <is>
          <t>KROKOM</t>
        </is>
      </c>
      <c r="G1764" t="n">
        <v>10.6</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HYPERLINK("https://klasma.github.io/Logging_2309/artfynd/A 30771-2023 artfynd.xlsx", "A 30771-2023")</f>
        <v/>
      </c>
      <c r="T1764">
        <f>HYPERLINK("https://klasma.github.io/Logging_2309/kartor/A 30771-2023 karta.png", "A 30771-2023")</f>
        <v/>
      </c>
      <c r="V1764">
        <f>HYPERLINK("https://klasma.github.io/Logging_2309/klagomål/A 30771-2023 FSC-klagomål.docx", "A 30771-2023")</f>
        <v/>
      </c>
      <c r="W1764">
        <f>HYPERLINK("https://klasma.github.io/Logging_2309/klagomålsmail/A 30771-2023 FSC-klagomål mail.docx", "A 30771-2023")</f>
        <v/>
      </c>
      <c r="X1764">
        <f>HYPERLINK("https://klasma.github.io/Logging_2309/tillsyn/A 30771-2023 tillsynsbegäran.docx", "A 30771-2023")</f>
        <v/>
      </c>
      <c r="Y1764">
        <f>HYPERLINK("https://klasma.github.io/Logging_2309/tillsynsmail/A 30771-2023 tillsynsbegäran mail.docx", "A 30771-2023")</f>
        <v/>
      </c>
      <c r="Z1764">
        <f>HYPERLINK("https://klasma.github.io/Logging_2309/fåglar/A 30771-2023 prioriterade fågelarter.docx", "A 30771-2023")</f>
        <v/>
      </c>
    </row>
    <row r="1765" ht="15" customHeight="1">
      <c r="A1765" t="inlineStr">
        <is>
          <t>A 57459-2025</t>
        </is>
      </c>
      <c r="B1765" s="1" t="n">
        <v>45980.53189814815</v>
      </c>
      <c r="C1765" s="1" t="n">
        <v>46045</v>
      </c>
      <c r="D1765" t="inlineStr">
        <is>
          <t>JÄMTLANDS LÄN</t>
        </is>
      </c>
      <c r="E1765" t="inlineStr">
        <is>
          <t>STRÖMSUND</t>
        </is>
      </c>
      <c r="F1765" t="inlineStr">
        <is>
          <t>SCA</t>
        </is>
      </c>
      <c r="G1765" t="n">
        <v>7.8</v>
      </c>
      <c r="H1765" t="n">
        <v>0</v>
      </c>
      <c r="I1765" t="n">
        <v>0</v>
      </c>
      <c r="J1765" t="n">
        <v>1</v>
      </c>
      <c r="K1765" t="n">
        <v>0</v>
      </c>
      <c r="L1765" t="n">
        <v>0</v>
      </c>
      <c r="M1765" t="n">
        <v>0</v>
      </c>
      <c r="N1765" t="n">
        <v>0</v>
      </c>
      <c r="O1765" t="n">
        <v>1</v>
      </c>
      <c r="P1765" t="n">
        <v>0</v>
      </c>
      <c r="Q1765" t="n">
        <v>1</v>
      </c>
      <c r="R1765" s="2" t="inlineStr">
        <is>
          <t>Garnlav</t>
        </is>
      </c>
      <c r="S1765">
        <f>HYPERLINK("https://klasma.github.io/Logging_2313/artfynd/A 57459-2025 artfynd.xlsx", "A 57459-2025")</f>
        <v/>
      </c>
      <c r="T1765">
        <f>HYPERLINK("https://klasma.github.io/Logging_2313/kartor/A 57459-2025 karta.png", "A 57459-2025")</f>
        <v/>
      </c>
      <c r="V1765">
        <f>HYPERLINK("https://klasma.github.io/Logging_2313/klagomål/A 57459-2025 FSC-klagomål.docx", "A 57459-2025")</f>
        <v/>
      </c>
      <c r="W1765">
        <f>HYPERLINK("https://klasma.github.io/Logging_2313/klagomålsmail/A 57459-2025 FSC-klagomål mail.docx", "A 57459-2025")</f>
        <v/>
      </c>
      <c r="X1765">
        <f>HYPERLINK("https://klasma.github.io/Logging_2313/tillsyn/A 57459-2025 tillsynsbegäran.docx", "A 57459-2025")</f>
        <v/>
      </c>
      <c r="Y1765">
        <f>HYPERLINK("https://klasma.github.io/Logging_2313/tillsynsmail/A 57459-2025 tillsynsbegäran mail.docx", "A 57459-2025")</f>
        <v/>
      </c>
    </row>
    <row r="1766" ht="15" customHeight="1">
      <c r="A1766" t="inlineStr">
        <is>
          <t>A 32756-2023</t>
        </is>
      </c>
      <c r="B1766" s="1" t="n">
        <v>45123</v>
      </c>
      <c r="C1766" s="1" t="n">
        <v>46045</v>
      </c>
      <c r="D1766" t="inlineStr">
        <is>
          <t>JÄMTLANDS LÄN</t>
        </is>
      </c>
      <c r="E1766" t="inlineStr">
        <is>
          <t>KROKOM</t>
        </is>
      </c>
      <c r="F1766" t="inlineStr">
        <is>
          <t>Övriga Aktiebolag</t>
        </is>
      </c>
      <c r="G1766" t="n">
        <v>6.8</v>
      </c>
      <c r="H1766" t="n">
        <v>0</v>
      </c>
      <c r="I1766" t="n">
        <v>1</v>
      </c>
      <c r="J1766" t="n">
        <v>0</v>
      </c>
      <c r="K1766" t="n">
        <v>0</v>
      </c>
      <c r="L1766" t="n">
        <v>0</v>
      </c>
      <c r="M1766" t="n">
        <v>0</v>
      </c>
      <c r="N1766" t="n">
        <v>0</v>
      </c>
      <c r="O1766" t="n">
        <v>0</v>
      </c>
      <c r="P1766" t="n">
        <v>0</v>
      </c>
      <c r="Q1766" t="n">
        <v>1</v>
      </c>
      <c r="R1766" s="2" t="inlineStr">
        <is>
          <t>Kransrams</t>
        </is>
      </c>
      <c r="S1766">
        <f>HYPERLINK("https://klasma.github.io/Logging_2309/artfynd/A 32756-2023 artfynd.xlsx", "A 32756-2023")</f>
        <v/>
      </c>
      <c r="T1766">
        <f>HYPERLINK("https://klasma.github.io/Logging_2309/kartor/A 32756-2023 karta.png", "A 32756-2023")</f>
        <v/>
      </c>
      <c r="V1766">
        <f>HYPERLINK("https://klasma.github.io/Logging_2309/klagomål/A 32756-2023 FSC-klagomål.docx", "A 32756-2023")</f>
        <v/>
      </c>
      <c r="W1766">
        <f>HYPERLINK("https://klasma.github.io/Logging_2309/klagomålsmail/A 32756-2023 FSC-klagomål mail.docx", "A 32756-2023")</f>
        <v/>
      </c>
      <c r="X1766">
        <f>HYPERLINK("https://klasma.github.io/Logging_2309/tillsyn/A 32756-2023 tillsynsbegäran.docx", "A 32756-2023")</f>
        <v/>
      </c>
      <c r="Y1766">
        <f>HYPERLINK("https://klasma.github.io/Logging_2309/tillsynsmail/A 32756-2023 tillsynsbegäran mail.docx", "A 32756-2023")</f>
        <v/>
      </c>
    </row>
    <row r="1767" ht="15" customHeight="1">
      <c r="A1767" t="inlineStr">
        <is>
          <t>A 57253-2025</t>
        </is>
      </c>
      <c r="B1767" s="1" t="n">
        <v>45979.64381944444</v>
      </c>
      <c r="C1767" s="1" t="n">
        <v>46045</v>
      </c>
      <c r="D1767" t="inlineStr">
        <is>
          <t>JÄMTLANDS LÄN</t>
        </is>
      </c>
      <c r="E1767" t="inlineStr">
        <is>
          <t>RAGUNDA</t>
        </is>
      </c>
      <c r="G1767" t="n">
        <v>1.2</v>
      </c>
      <c r="H1767" t="n">
        <v>0</v>
      </c>
      <c r="I1767" t="n">
        <v>1</v>
      </c>
      <c r="J1767" t="n">
        <v>0</v>
      </c>
      <c r="K1767" t="n">
        <v>0</v>
      </c>
      <c r="L1767" t="n">
        <v>0</v>
      </c>
      <c r="M1767" t="n">
        <v>0</v>
      </c>
      <c r="N1767" t="n">
        <v>0</v>
      </c>
      <c r="O1767" t="n">
        <v>0</v>
      </c>
      <c r="P1767" t="n">
        <v>0</v>
      </c>
      <c r="Q1767" t="n">
        <v>1</v>
      </c>
      <c r="R1767" s="2" t="inlineStr">
        <is>
          <t>Skinnlav</t>
        </is>
      </c>
      <c r="S1767">
        <f>HYPERLINK("https://klasma.github.io/Logging_2303/artfynd/A 57253-2025 artfynd.xlsx", "A 57253-2025")</f>
        <v/>
      </c>
      <c r="T1767">
        <f>HYPERLINK("https://klasma.github.io/Logging_2303/kartor/A 57253-2025 karta.png", "A 57253-2025")</f>
        <v/>
      </c>
      <c r="V1767">
        <f>HYPERLINK("https://klasma.github.io/Logging_2303/klagomål/A 57253-2025 FSC-klagomål.docx", "A 57253-2025")</f>
        <v/>
      </c>
      <c r="W1767">
        <f>HYPERLINK("https://klasma.github.io/Logging_2303/klagomålsmail/A 57253-2025 FSC-klagomål mail.docx", "A 57253-2025")</f>
        <v/>
      </c>
      <c r="X1767">
        <f>HYPERLINK("https://klasma.github.io/Logging_2303/tillsyn/A 57253-2025 tillsynsbegäran.docx", "A 57253-2025")</f>
        <v/>
      </c>
      <c r="Y1767">
        <f>HYPERLINK("https://klasma.github.io/Logging_2303/tillsynsmail/A 57253-2025 tillsynsbegäran mail.docx", "A 57253-2025")</f>
        <v/>
      </c>
    </row>
    <row r="1768" ht="15" customHeight="1">
      <c r="A1768" t="inlineStr">
        <is>
          <t>A 59433-2021</t>
        </is>
      </c>
      <c r="B1768" s="1" t="n">
        <v>44491</v>
      </c>
      <c r="C1768" s="1" t="n">
        <v>46045</v>
      </c>
      <c r="D1768" t="inlineStr">
        <is>
          <t>JÄMTLANDS LÄN</t>
        </is>
      </c>
      <c r="E1768" t="inlineStr">
        <is>
          <t>ÖSTERSUND</t>
        </is>
      </c>
      <c r="F1768" t="inlineStr">
        <is>
          <t>Övriga statliga verk och myndigheter</t>
        </is>
      </c>
      <c r="G1768" t="n">
        <v>1.6</v>
      </c>
      <c r="H1768" t="n">
        <v>0</v>
      </c>
      <c r="I1768" t="n">
        <v>0</v>
      </c>
      <c r="J1768" t="n">
        <v>1</v>
      </c>
      <c r="K1768" t="n">
        <v>0</v>
      </c>
      <c r="L1768" t="n">
        <v>0</v>
      </c>
      <c r="M1768" t="n">
        <v>0</v>
      </c>
      <c r="N1768" t="n">
        <v>0</v>
      </c>
      <c r="O1768" t="n">
        <v>1</v>
      </c>
      <c r="P1768" t="n">
        <v>0</v>
      </c>
      <c r="Q1768" t="n">
        <v>1</v>
      </c>
      <c r="R1768" s="2" t="inlineStr">
        <is>
          <t>Brunpudrad nållav</t>
        </is>
      </c>
      <c r="S1768">
        <f>HYPERLINK("https://klasma.github.io/Logging_2380/artfynd/A 59433-2021 artfynd.xlsx", "A 59433-2021")</f>
        <v/>
      </c>
      <c r="T1768">
        <f>HYPERLINK("https://klasma.github.io/Logging_2380/kartor/A 59433-2021 karta.png", "A 59433-2021")</f>
        <v/>
      </c>
      <c r="V1768">
        <f>HYPERLINK("https://klasma.github.io/Logging_2380/klagomål/A 59433-2021 FSC-klagomål.docx", "A 59433-2021")</f>
        <v/>
      </c>
      <c r="W1768">
        <f>HYPERLINK("https://klasma.github.io/Logging_2380/klagomålsmail/A 59433-2021 FSC-klagomål mail.docx", "A 59433-2021")</f>
        <v/>
      </c>
      <c r="X1768">
        <f>HYPERLINK("https://klasma.github.io/Logging_2380/tillsyn/A 59433-2021 tillsynsbegäran.docx", "A 59433-2021")</f>
        <v/>
      </c>
      <c r="Y1768">
        <f>HYPERLINK("https://klasma.github.io/Logging_2380/tillsynsmail/A 59433-2021 tillsynsbegäran mail.docx", "A 59433-2021")</f>
        <v/>
      </c>
    </row>
    <row r="1769" ht="15" customHeight="1">
      <c r="A1769" t="inlineStr">
        <is>
          <t>A 57479-2025</t>
        </is>
      </c>
      <c r="B1769" s="1" t="n">
        <v>45980.5737037037</v>
      </c>
      <c r="C1769" s="1" t="n">
        <v>46045</v>
      </c>
      <c r="D1769" t="inlineStr">
        <is>
          <t>JÄMTLANDS LÄN</t>
        </is>
      </c>
      <c r="E1769" t="inlineStr">
        <is>
          <t>RAGUNDA</t>
        </is>
      </c>
      <c r="F1769" t="inlineStr">
        <is>
          <t>SCA</t>
        </is>
      </c>
      <c r="G1769" t="n">
        <v>12</v>
      </c>
      <c r="H1769" t="n">
        <v>0</v>
      </c>
      <c r="I1769" t="n">
        <v>0</v>
      </c>
      <c r="J1769" t="n">
        <v>1</v>
      </c>
      <c r="K1769" t="n">
        <v>0</v>
      </c>
      <c r="L1769" t="n">
        <v>0</v>
      </c>
      <c r="M1769" t="n">
        <v>0</v>
      </c>
      <c r="N1769" t="n">
        <v>0</v>
      </c>
      <c r="O1769" t="n">
        <v>1</v>
      </c>
      <c r="P1769" t="n">
        <v>0</v>
      </c>
      <c r="Q1769" t="n">
        <v>1</v>
      </c>
      <c r="R1769" s="2" t="inlineStr">
        <is>
          <t>Kolflarnlav</t>
        </is>
      </c>
      <c r="S1769">
        <f>HYPERLINK("https://klasma.github.io/Logging_2303/artfynd/A 57479-2025 artfynd.xlsx", "A 57479-2025")</f>
        <v/>
      </c>
      <c r="T1769">
        <f>HYPERLINK("https://klasma.github.io/Logging_2303/kartor/A 57479-2025 karta.png", "A 57479-2025")</f>
        <v/>
      </c>
      <c r="V1769">
        <f>HYPERLINK("https://klasma.github.io/Logging_2303/klagomål/A 57479-2025 FSC-klagomål.docx", "A 57479-2025")</f>
        <v/>
      </c>
      <c r="W1769">
        <f>HYPERLINK("https://klasma.github.io/Logging_2303/klagomålsmail/A 57479-2025 FSC-klagomål mail.docx", "A 57479-2025")</f>
        <v/>
      </c>
      <c r="X1769">
        <f>HYPERLINK("https://klasma.github.io/Logging_2303/tillsyn/A 57479-2025 tillsynsbegäran.docx", "A 57479-2025")</f>
        <v/>
      </c>
      <c r="Y1769">
        <f>HYPERLINK("https://klasma.github.io/Logging_2303/tillsynsmail/A 57479-2025 tillsynsbegäran mail.docx", "A 57479-2025")</f>
        <v/>
      </c>
    </row>
    <row r="1770" ht="15" customHeight="1">
      <c r="A1770" t="inlineStr">
        <is>
          <t>A 22057-2025</t>
        </is>
      </c>
      <c r="B1770" s="1" t="n">
        <v>45785.3699537037</v>
      </c>
      <c r="C1770" s="1" t="n">
        <v>46045</v>
      </c>
      <c r="D1770" t="inlineStr">
        <is>
          <t>JÄMTLANDS LÄN</t>
        </is>
      </c>
      <c r="E1770" t="inlineStr">
        <is>
          <t>STRÖMSUND</t>
        </is>
      </c>
      <c r="G1770" t="n">
        <v>38.5</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HYPERLINK("https://klasma.github.io/Logging_2313/artfynd/A 22057-2025 artfynd.xlsx", "A 22057-2025")</f>
        <v/>
      </c>
      <c r="T1770">
        <f>HYPERLINK("https://klasma.github.io/Logging_2313/kartor/A 22057-2025 karta.png", "A 22057-2025")</f>
        <v/>
      </c>
      <c r="V1770">
        <f>HYPERLINK("https://klasma.github.io/Logging_2313/klagomål/A 22057-2025 FSC-klagomål.docx", "A 22057-2025")</f>
        <v/>
      </c>
      <c r="W1770">
        <f>HYPERLINK("https://klasma.github.io/Logging_2313/klagomålsmail/A 22057-2025 FSC-klagomål mail.docx", "A 22057-2025")</f>
        <v/>
      </c>
      <c r="X1770">
        <f>HYPERLINK("https://klasma.github.io/Logging_2313/tillsyn/A 22057-2025 tillsynsbegäran.docx", "A 22057-2025")</f>
        <v/>
      </c>
      <c r="Y1770">
        <f>HYPERLINK("https://klasma.github.io/Logging_2313/tillsynsmail/A 22057-2025 tillsynsbegäran mail.docx", "A 22057-2025")</f>
        <v/>
      </c>
      <c r="Z1770">
        <f>HYPERLINK("https://klasma.github.io/Logging_2313/fåglar/A 22057-2025 prioriterade fågelarter.docx", "A 22057-2025")</f>
        <v/>
      </c>
    </row>
    <row r="1771" ht="15" customHeight="1">
      <c r="A1771" t="inlineStr">
        <is>
          <t>A 32965-2022</t>
        </is>
      </c>
      <c r="B1771" s="1" t="n">
        <v>44784</v>
      </c>
      <c r="C1771" s="1" t="n">
        <v>46045</v>
      </c>
      <c r="D1771" t="inlineStr">
        <is>
          <t>JÄMTLANDS LÄN</t>
        </is>
      </c>
      <c r="E1771" t="inlineStr">
        <is>
          <t>STRÖMSUND</t>
        </is>
      </c>
      <c r="G1771" t="n">
        <v>5.8</v>
      </c>
      <c r="H1771" t="n">
        <v>0</v>
      </c>
      <c r="I1771" t="n">
        <v>0</v>
      </c>
      <c r="J1771" t="n">
        <v>1</v>
      </c>
      <c r="K1771" t="n">
        <v>0</v>
      </c>
      <c r="L1771" t="n">
        <v>0</v>
      </c>
      <c r="M1771" t="n">
        <v>0</v>
      </c>
      <c r="N1771" t="n">
        <v>0</v>
      </c>
      <c r="O1771" t="n">
        <v>1</v>
      </c>
      <c r="P1771" t="n">
        <v>0</v>
      </c>
      <c r="Q1771" t="n">
        <v>1</v>
      </c>
      <c r="R1771" s="2" t="inlineStr">
        <is>
          <t>Vitgrynig nållav</t>
        </is>
      </c>
      <c r="S1771">
        <f>HYPERLINK("https://klasma.github.io/Logging_2313/artfynd/A 32965-2022 artfynd.xlsx", "A 32965-2022")</f>
        <v/>
      </c>
      <c r="T1771">
        <f>HYPERLINK("https://klasma.github.io/Logging_2313/kartor/A 32965-2022 karta.png", "A 32965-2022")</f>
        <v/>
      </c>
      <c r="V1771">
        <f>HYPERLINK("https://klasma.github.io/Logging_2313/klagomål/A 32965-2022 FSC-klagomål.docx", "A 32965-2022")</f>
        <v/>
      </c>
      <c r="W1771">
        <f>HYPERLINK("https://klasma.github.io/Logging_2313/klagomålsmail/A 32965-2022 FSC-klagomål mail.docx", "A 32965-2022")</f>
        <v/>
      </c>
      <c r="X1771">
        <f>HYPERLINK("https://klasma.github.io/Logging_2313/tillsyn/A 32965-2022 tillsynsbegäran.docx", "A 32965-2022")</f>
        <v/>
      </c>
      <c r="Y1771">
        <f>HYPERLINK("https://klasma.github.io/Logging_2313/tillsynsmail/A 32965-2022 tillsynsbegäran mail.docx", "A 32965-2022")</f>
        <v/>
      </c>
    </row>
    <row r="1772" ht="15" customHeight="1">
      <c r="A1772" t="inlineStr">
        <is>
          <t>A 58012-2025</t>
        </is>
      </c>
      <c r="B1772" s="1" t="n">
        <v>45982.46929398148</v>
      </c>
      <c r="C1772" s="1" t="n">
        <v>46045</v>
      </c>
      <c r="D1772" t="inlineStr">
        <is>
          <t>JÄMTLANDS LÄN</t>
        </is>
      </c>
      <c r="E1772" t="inlineStr">
        <is>
          <t>KROKOM</t>
        </is>
      </c>
      <c r="G1772" t="n">
        <v>6.3</v>
      </c>
      <c r="H1772" t="n">
        <v>1</v>
      </c>
      <c r="I1772" t="n">
        <v>0</v>
      </c>
      <c r="J1772" t="n">
        <v>0</v>
      </c>
      <c r="K1772" t="n">
        <v>0</v>
      </c>
      <c r="L1772" t="n">
        <v>0</v>
      </c>
      <c r="M1772" t="n">
        <v>0</v>
      </c>
      <c r="N1772" t="n">
        <v>0</v>
      </c>
      <c r="O1772" t="n">
        <v>0</v>
      </c>
      <c r="P1772" t="n">
        <v>0</v>
      </c>
      <c r="Q1772" t="n">
        <v>1</v>
      </c>
      <c r="R1772" s="2" t="inlineStr">
        <is>
          <t>Blåsippa</t>
        </is>
      </c>
      <c r="S1772">
        <f>HYPERLINK("https://klasma.github.io/Logging_2309/artfynd/A 58012-2025 artfynd.xlsx", "A 58012-2025")</f>
        <v/>
      </c>
      <c r="T1772">
        <f>HYPERLINK("https://klasma.github.io/Logging_2309/kartor/A 58012-2025 karta.png", "A 58012-2025")</f>
        <v/>
      </c>
      <c r="V1772">
        <f>HYPERLINK("https://klasma.github.io/Logging_2309/klagomål/A 58012-2025 FSC-klagomål.docx", "A 58012-2025")</f>
        <v/>
      </c>
      <c r="W1772">
        <f>HYPERLINK("https://klasma.github.io/Logging_2309/klagomålsmail/A 58012-2025 FSC-klagomål mail.docx", "A 58012-2025")</f>
        <v/>
      </c>
      <c r="X1772">
        <f>HYPERLINK("https://klasma.github.io/Logging_2309/tillsyn/A 58012-2025 tillsynsbegäran.docx", "A 58012-2025")</f>
        <v/>
      </c>
      <c r="Y1772">
        <f>HYPERLINK("https://klasma.github.io/Logging_2309/tillsynsmail/A 58012-2025 tillsynsbegäran mail.docx", "A 58012-2025")</f>
        <v/>
      </c>
    </row>
    <row r="1773" ht="15" customHeight="1">
      <c r="A1773" t="inlineStr">
        <is>
          <t>A 9710-2021</t>
        </is>
      </c>
      <c r="B1773" s="1" t="n">
        <v>44252</v>
      </c>
      <c r="C1773" s="1" t="n">
        <v>46045</v>
      </c>
      <c r="D1773" t="inlineStr">
        <is>
          <t>JÄMTLANDS LÄN</t>
        </is>
      </c>
      <c r="E1773" t="inlineStr">
        <is>
          <t>STRÖMSUND</t>
        </is>
      </c>
      <c r="G1773" t="n">
        <v>18.5</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HYPERLINK("https://klasma.github.io/Logging_2313/artfynd/A 9710-2021 artfynd.xlsx", "A 9710-2021")</f>
        <v/>
      </c>
      <c r="T1773">
        <f>HYPERLINK("https://klasma.github.io/Logging_2313/kartor/A 9710-2021 karta.png", "A 9710-2021")</f>
        <v/>
      </c>
      <c r="V1773">
        <f>HYPERLINK("https://klasma.github.io/Logging_2313/klagomål/A 9710-2021 FSC-klagomål.docx", "A 9710-2021")</f>
        <v/>
      </c>
      <c r="W1773">
        <f>HYPERLINK("https://klasma.github.io/Logging_2313/klagomålsmail/A 9710-2021 FSC-klagomål mail.docx", "A 9710-2021")</f>
        <v/>
      </c>
      <c r="X1773">
        <f>HYPERLINK("https://klasma.github.io/Logging_2313/tillsyn/A 9710-2021 tillsynsbegäran.docx", "A 9710-2021")</f>
        <v/>
      </c>
      <c r="Y1773">
        <f>HYPERLINK("https://klasma.github.io/Logging_2313/tillsynsmail/A 9710-2021 tillsynsbegäran mail.docx", "A 9710-2021")</f>
        <v/>
      </c>
      <c r="Z1773">
        <f>HYPERLINK("https://klasma.github.io/Logging_2313/fåglar/A 9710-2021 prioriterade fågelarter.docx", "A 9710-2021")</f>
        <v/>
      </c>
    </row>
    <row r="1774" ht="15" customHeight="1">
      <c r="A1774" t="inlineStr">
        <is>
          <t>A 31450-2025</t>
        </is>
      </c>
      <c r="B1774" s="1" t="n">
        <v>45833.53162037037</v>
      </c>
      <c r="C1774" s="1" t="n">
        <v>46045</v>
      </c>
      <c r="D1774" t="inlineStr">
        <is>
          <t>JÄMTLANDS LÄN</t>
        </is>
      </c>
      <c r="E1774" t="inlineStr">
        <is>
          <t>BRÄCKE</t>
        </is>
      </c>
      <c r="F1774" t="inlineStr">
        <is>
          <t>SCA</t>
        </is>
      </c>
      <c r="G1774" t="n">
        <v>1.6</v>
      </c>
      <c r="H1774" t="n">
        <v>1</v>
      </c>
      <c r="I1774" t="n">
        <v>1</v>
      </c>
      <c r="J1774" t="n">
        <v>0</v>
      </c>
      <c r="K1774" t="n">
        <v>0</v>
      </c>
      <c r="L1774" t="n">
        <v>0</v>
      </c>
      <c r="M1774" t="n">
        <v>0</v>
      </c>
      <c r="N1774" t="n">
        <v>0</v>
      </c>
      <c r="O1774" t="n">
        <v>0</v>
      </c>
      <c r="P1774" t="n">
        <v>0</v>
      </c>
      <c r="Q1774" t="n">
        <v>1</v>
      </c>
      <c r="R1774" s="2" t="inlineStr">
        <is>
          <t>Plattlummer</t>
        </is>
      </c>
      <c r="S1774">
        <f>HYPERLINK("https://klasma.github.io/Logging_2305/artfynd/A 31450-2025 artfynd.xlsx", "A 31450-2025")</f>
        <v/>
      </c>
      <c r="T1774">
        <f>HYPERLINK("https://klasma.github.io/Logging_2305/kartor/A 31450-2025 karta.png", "A 31450-2025")</f>
        <v/>
      </c>
      <c r="V1774">
        <f>HYPERLINK("https://klasma.github.io/Logging_2305/klagomål/A 31450-2025 FSC-klagomål.docx", "A 31450-2025")</f>
        <v/>
      </c>
      <c r="W1774">
        <f>HYPERLINK("https://klasma.github.io/Logging_2305/klagomålsmail/A 31450-2025 FSC-klagomål mail.docx", "A 31450-2025")</f>
        <v/>
      </c>
      <c r="X1774">
        <f>HYPERLINK("https://klasma.github.io/Logging_2305/tillsyn/A 31450-2025 tillsynsbegäran.docx", "A 31450-2025")</f>
        <v/>
      </c>
      <c r="Y1774">
        <f>HYPERLINK("https://klasma.github.io/Logging_2305/tillsynsmail/A 31450-2025 tillsynsbegäran mail.docx", "A 31450-2025")</f>
        <v/>
      </c>
    </row>
    <row r="1775" ht="15" customHeight="1">
      <c r="A1775" t="inlineStr">
        <is>
          <t>A 22054-2025</t>
        </is>
      </c>
      <c r="B1775" s="1" t="n">
        <v>45785.36525462963</v>
      </c>
      <c r="C1775" s="1" t="n">
        <v>46045</v>
      </c>
      <c r="D1775" t="inlineStr">
        <is>
          <t>JÄMTLANDS LÄN</t>
        </is>
      </c>
      <c r="E1775" t="inlineStr">
        <is>
          <t>RAGUNDA</t>
        </is>
      </c>
      <c r="F1775" t="inlineStr">
        <is>
          <t>SCA</t>
        </is>
      </c>
      <c r="G1775" t="n">
        <v>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HYPERLINK("https://klasma.github.io/Logging_2303/artfynd/A 22054-2025 artfynd.xlsx", "A 22054-2025")</f>
        <v/>
      </c>
      <c r="T1775">
        <f>HYPERLINK("https://klasma.github.io/Logging_2303/kartor/A 22054-2025 karta.png", "A 22054-2025")</f>
        <v/>
      </c>
      <c r="V1775">
        <f>HYPERLINK("https://klasma.github.io/Logging_2303/klagomål/A 22054-2025 FSC-klagomål.docx", "A 22054-2025")</f>
        <v/>
      </c>
      <c r="W1775">
        <f>HYPERLINK("https://klasma.github.io/Logging_2303/klagomålsmail/A 22054-2025 FSC-klagomål mail.docx", "A 22054-2025")</f>
        <v/>
      </c>
      <c r="X1775">
        <f>HYPERLINK("https://klasma.github.io/Logging_2303/tillsyn/A 22054-2025 tillsynsbegäran.docx", "A 22054-2025")</f>
        <v/>
      </c>
      <c r="Y1775">
        <f>HYPERLINK("https://klasma.github.io/Logging_2303/tillsynsmail/A 22054-2025 tillsynsbegäran mail.docx", "A 22054-2025")</f>
        <v/>
      </c>
      <c r="Z1775">
        <f>HYPERLINK("https://klasma.github.io/Logging_2303/fåglar/A 22054-2025 prioriterade fågelarter.docx", "A 22054-2025")</f>
        <v/>
      </c>
    </row>
    <row r="1776" ht="15" customHeight="1">
      <c r="A1776" t="inlineStr">
        <is>
          <t>A 31837-2025</t>
        </is>
      </c>
      <c r="B1776" s="1" t="n">
        <v>45834.59467592592</v>
      </c>
      <c r="C1776" s="1" t="n">
        <v>46045</v>
      </c>
      <c r="D1776" t="inlineStr">
        <is>
          <t>JÄMTLANDS LÄN</t>
        </is>
      </c>
      <c r="E1776" t="inlineStr">
        <is>
          <t>BERG</t>
        </is>
      </c>
      <c r="F1776" t="inlineStr">
        <is>
          <t>SCA</t>
        </is>
      </c>
      <c r="G1776" t="n">
        <v>12.2</v>
      </c>
      <c r="H1776" t="n">
        <v>0</v>
      </c>
      <c r="I1776" t="n">
        <v>0</v>
      </c>
      <c r="J1776" t="n">
        <v>0</v>
      </c>
      <c r="K1776" t="n">
        <v>1</v>
      </c>
      <c r="L1776" t="n">
        <v>0</v>
      </c>
      <c r="M1776" t="n">
        <v>0</v>
      </c>
      <c r="N1776" t="n">
        <v>0</v>
      </c>
      <c r="O1776" t="n">
        <v>1</v>
      </c>
      <c r="P1776" t="n">
        <v>1</v>
      </c>
      <c r="Q1776" t="n">
        <v>1</v>
      </c>
      <c r="R1776" s="2" t="inlineStr">
        <is>
          <t>Gräddporing</t>
        </is>
      </c>
      <c r="S1776">
        <f>HYPERLINK("https://klasma.github.io/Logging_2326/artfynd/A 31837-2025 artfynd.xlsx", "A 31837-2025")</f>
        <v/>
      </c>
      <c r="T1776">
        <f>HYPERLINK("https://klasma.github.io/Logging_2326/kartor/A 31837-2025 karta.png", "A 31837-2025")</f>
        <v/>
      </c>
      <c r="V1776">
        <f>HYPERLINK("https://klasma.github.io/Logging_2326/klagomål/A 31837-2025 FSC-klagomål.docx", "A 31837-2025")</f>
        <v/>
      </c>
      <c r="W1776">
        <f>HYPERLINK("https://klasma.github.io/Logging_2326/klagomålsmail/A 31837-2025 FSC-klagomål mail.docx", "A 31837-2025")</f>
        <v/>
      </c>
      <c r="X1776">
        <f>HYPERLINK("https://klasma.github.io/Logging_2326/tillsyn/A 31837-2025 tillsynsbegäran.docx", "A 31837-2025")</f>
        <v/>
      </c>
      <c r="Y1776">
        <f>HYPERLINK("https://klasma.github.io/Logging_2326/tillsynsmail/A 31837-2025 tillsynsbegäran mail.docx", "A 31837-2025")</f>
        <v/>
      </c>
    </row>
    <row r="1777" ht="15" customHeight="1">
      <c r="A1777" t="inlineStr">
        <is>
          <t>A 31481-2025</t>
        </is>
      </c>
      <c r="B1777" s="1" t="n">
        <v>45833.57373842593</v>
      </c>
      <c r="C1777" s="1" t="n">
        <v>46045</v>
      </c>
      <c r="D1777" t="inlineStr">
        <is>
          <t>JÄMTLANDS LÄN</t>
        </is>
      </c>
      <c r="E1777" t="inlineStr">
        <is>
          <t>STRÖMSUND</t>
        </is>
      </c>
      <c r="F1777" t="inlineStr">
        <is>
          <t>SCA</t>
        </is>
      </c>
      <c r="G1777" t="n">
        <v>2.7</v>
      </c>
      <c r="H1777" t="n">
        <v>1</v>
      </c>
      <c r="I1777" t="n">
        <v>0</v>
      </c>
      <c r="J1777" t="n">
        <v>0</v>
      </c>
      <c r="K1777" t="n">
        <v>1</v>
      </c>
      <c r="L1777" t="n">
        <v>0</v>
      </c>
      <c r="M1777" t="n">
        <v>0</v>
      </c>
      <c r="N1777" t="n">
        <v>0</v>
      </c>
      <c r="O1777" t="n">
        <v>1</v>
      </c>
      <c r="P1777" t="n">
        <v>1</v>
      </c>
      <c r="Q1777" t="n">
        <v>1</v>
      </c>
      <c r="R1777" s="2" t="inlineStr">
        <is>
          <t>Doftticka</t>
        </is>
      </c>
      <c r="S1777">
        <f>HYPERLINK("https://klasma.github.io/Logging_2313/artfynd/A 31481-2025 artfynd.xlsx", "A 31481-2025")</f>
        <v/>
      </c>
      <c r="T1777">
        <f>HYPERLINK("https://klasma.github.io/Logging_2313/kartor/A 31481-2025 karta.png", "A 31481-2025")</f>
        <v/>
      </c>
      <c r="V1777">
        <f>HYPERLINK("https://klasma.github.io/Logging_2313/klagomål/A 31481-2025 FSC-klagomål.docx", "A 31481-2025")</f>
        <v/>
      </c>
      <c r="W1777">
        <f>HYPERLINK("https://klasma.github.io/Logging_2313/klagomålsmail/A 31481-2025 FSC-klagomål mail.docx", "A 31481-2025")</f>
        <v/>
      </c>
      <c r="X1777">
        <f>HYPERLINK("https://klasma.github.io/Logging_2313/tillsyn/A 31481-2025 tillsynsbegäran.docx", "A 31481-2025")</f>
        <v/>
      </c>
      <c r="Y1777">
        <f>HYPERLINK("https://klasma.github.io/Logging_2313/tillsynsmail/A 31481-2025 tillsynsbegäran mail.docx", "A 31481-2025")</f>
        <v/>
      </c>
    </row>
    <row r="1778" ht="15" customHeight="1">
      <c r="A1778" t="inlineStr">
        <is>
          <t>A 19751-2025</t>
        </is>
      </c>
      <c r="B1778" s="1" t="n">
        <v>45771.3859837963</v>
      </c>
      <c r="C1778" s="1" t="n">
        <v>46045</v>
      </c>
      <c r="D1778" t="inlineStr">
        <is>
          <t>JÄMTLANDS LÄN</t>
        </is>
      </c>
      <c r="E1778" t="inlineStr">
        <is>
          <t>RAGUNDA</t>
        </is>
      </c>
      <c r="F1778" t="inlineStr">
        <is>
          <t>SCA</t>
        </is>
      </c>
      <c r="G1778" t="n">
        <v>1.1</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HYPERLINK("https://klasma.github.io/Logging_2303/artfynd/A 19751-2025 artfynd.xlsx", "A 19751-2025")</f>
        <v/>
      </c>
      <c r="T1778">
        <f>HYPERLINK("https://klasma.github.io/Logging_2303/kartor/A 19751-2025 karta.png", "A 19751-2025")</f>
        <v/>
      </c>
      <c r="V1778">
        <f>HYPERLINK("https://klasma.github.io/Logging_2303/klagomål/A 19751-2025 FSC-klagomål.docx", "A 19751-2025")</f>
        <v/>
      </c>
      <c r="W1778">
        <f>HYPERLINK("https://klasma.github.io/Logging_2303/klagomålsmail/A 19751-2025 FSC-klagomål mail.docx", "A 19751-2025")</f>
        <v/>
      </c>
      <c r="X1778">
        <f>HYPERLINK("https://klasma.github.io/Logging_2303/tillsyn/A 19751-2025 tillsynsbegäran.docx", "A 19751-2025")</f>
        <v/>
      </c>
      <c r="Y1778">
        <f>HYPERLINK("https://klasma.github.io/Logging_2303/tillsynsmail/A 19751-2025 tillsynsbegäran mail.docx", "A 19751-2025")</f>
        <v/>
      </c>
      <c r="Z1778">
        <f>HYPERLINK("https://klasma.github.io/Logging_2303/fåglar/A 19751-2025 prioriterade fågelarter.docx", "A 19751-2025")</f>
        <v/>
      </c>
    </row>
    <row r="1779" ht="15" customHeight="1">
      <c r="A1779" t="inlineStr">
        <is>
          <t>A 32656-2025</t>
        </is>
      </c>
      <c r="B1779" s="1" t="n">
        <v>45838.67815972222</v>
      </c>
      <c r="C1779" s="1" t="n">
        <v>46045</v>
      </c>
      <c r="D1779" t="inlineStr">
        <is>
          <t>JÄMTLANDS LÄN</t>
        </is>
      </c>
      <c r="E1779" t="inlineStr">
        <is>
          <t>KROKOM</t>
        </is>
      </c>
      <c r="F1779" t="inlineStr">
        <is>
          <t>SCA</t>
        </is>
      </c>
      <c r="G1779" t="n">
        <v>9.1</v>
      </c>
      <c r="H1779" t="n">
        <v>0</v>
      </c>
      <c r="I1779" t="n">
        <v>0</v>
      </c>
      <c r="J1779" t="n">
        <v>1</v>
      </c>
      <c r="K1779" t="n">
        <v>0</v>
      </c>
      <c r="L1779" t="n">
        <v>0</v>
      </c>
      <c r="M1779" t="n">
        <v>0</v>
      </c>
      <c r="N1779" t="n">
        <v>0</v>
      </c>
      <c r="O1779" t="n">
        <v>1</v>
      </c>
      <c r="P1779" t="n">
        <v>0</v>
      </c>
      <c r="Q1779" t="n">
        <v>1</v>
      </c>
      <c r="R1779" s="2" t="inlineStr">
        <is>
          <t>Skrovellav</t>
        </is>
      </c>
      <c r="S1779">
        <f>HYPERLINK("https://klasma.github.io/Logging_2309/artfynd/A 32656-2025 artfynd.xlsx", "A 32656-2025")</f>
        <v/>
      </c>
      <c r="T1779">
        <f>HYPERLINK("https://klasma.github.io/Logging_2309/kartor/A 32656-2025 karta.png", "A 32656-2025")</f>
        <v/>
      </c>
      <c r="V1779">
        <f>HYPERLINK("https://klasma.github.io/Logging_2309/klagomål/A 32656-2025 FSC-klagomål.docx", "A 32656-2025")</f>
        <v/>
      </c>
      <c r="W1779">
        <f>HYPERLINK("https://klasma.github.io/Logging_2309/klagomålsmail/A 32656-2025 FSC-klagomål mail.docx", "A 32656-2025")</f>
        <v/>
      </c>
      <c r="X1779">
        <f>HYPERLINK("https://klasma.github.io/Logging_2309/tillsyn/A 32656-2025 tillsynsbegäran.docx", "A 32656-2025")</f>
        <v/>
      </c>
      <c r="Y1779">
        <f>HYPERLINK("https://klasma.github.io/Logging_2309/tillsynsmail/A 32656-2025 tillsynsbegäran mail.docx", "A 32656-2025")</f>
        <v/>
      </c>
    </row>
    <row r="1780" ht="15" customHeight="1">
      <c r="A1780" t="inlineStr">
        <is>
          <t>A 58274-2025</t>
        </is>
      </c>
      <c r="B1780" s="1" t="n">
        <v>45985.43086805556</v>
      </c>
      <c r="C1780" s="1" t="n">
        <v>46045</v>
      </c>
      <c r="D1780" t="inlineStr">
        <is>
          <t>JÄMTLANDS LÄN</t>
        </is>
      </c>
      <c r="E1780" t="inlineStr">
        <is>
          <t>ÖSTERSUND</t>
        </is>
      </c>
      <c r="F1780" t="inlineStr">
        <is>
          <t>Övriga Aktiebolag</t>
        </is>
      </c>
      <c r="G1780" t="n">
        <v>18.7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HYPERLINK("https://klasma.github.io/Logging_2380/artfynd/A 58274-2025 artfynd.xlsx", "A 58274-2025")</f>
        <v/>
      </c>
      <c r="T1780">
        <f>HYPERLINK("https://klasma.github.io/Logging_2380/kartor/A 58274-2025 karta.png", "A 58274-2025")</f>
        <v/>
      </c>
      <c r="V1780">
        <f>HYPERLINK("https://klasma.github.io/Logging_2380/klagomål/A 58274-2025 FSC-klagomål.docx", "A 58274-2025")</f>
        <v/>
      </c>
      <c r="W1780">
        <f>HYPERLINK("https://klasma.github.io/Logging_2380/klagomålsmail/A 58274-2025 FSC-klagomål mail.docx", "A 58274-2025")</f>
        <v/>
      </c>
      <c r="X1780">
        <f>HYPERLINK("https://klasma.github.io/Logging_2380/tillsyn/A 58274-2025 tillsynsbegäran.docx", "A 58274-2025")</f>
        <v/>
      </c>
      <c r="Y1780">
        <f>HYPERLINK("https://klasma.github.io/Logging_2380/tillsynsmail/A 58274-2025 tillsynsbegäran mail.docx", "A 58274-2025")</f>
        <v/>
      </c>
      <c r="Z1780">
        <f>HYPERLINK("https://klasma.github.io/Logging_2380/fåglar/A 58274-2025 prioriterade fågelarter.docx", "A 58274-2025")</f>
        <v/>
      </c>
    </row>
    <row r="1781" ht="15" customHeight="1">
      <c r="A1781" t="inlineStr">
        <is>
          <t>A 32445-2025</t>
        </is>
      </c>
      <c r="B1781" s="1" t="n">
        <v>45838.38627314815</v>
      </c>
      <c r="C1781" s="1" t="n">
        <v>46045</v>
      </c>
      <c r="D1781" t="inlineStr">
        <is>
          <t>JÄMTLANDS LÄN</t>
        </is>
      </c>
      <c r="E1781" t="inlineStr">
        <is>
          <t>RAGUNDA</t>
        </is>
      </c>
      <c r="F1781" t="inlineStr">
        <is>
          <t>SCA</t>
        </is>
      </c>
      <c r="G1781" t="n">
        <v>1.6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HYPERLINK("https://klasma.github.io/Logging_2303/artfynd/A 32445-2025 artfynd.xlsx", "A 32445-2025")</f>
        <v/>
      </c>
      <c r="T1781">
        <f>HYPERLINK("https://klasma.github.io/Logging_2303/kartor/A 32445-2025 karta.png", "A 32445-2025")</f>
        <v/>
      </c>
      <c r="V1781">
        <f>HYPERLINK("https://klasma.github.io/Logging_2303/klagomål/A 32445-2025 FSC-klagomål.docx", "A 32445-2025")</f>
        <v/>
      </c>
      <c r="W1781">
        <f>HYPERLINK("https://klasma.github.io/Logging_2303/klagomålsmail/A 32445-2025 FSC-klagomål mail.docx", "A 32445-2025")</f>
        <v/>
      </c>
      <c r="X1781">
        <f>HYPERLINK("https://klasma.github.io/Logging_2303/tillsyn/A 32445-2025 tillsynsbegäran.docx", "A 32445-2025")</f>
        <v/>
      </c>
      <c r="Y1781">
        <f>HYPERLINK("https://klasma.github.io/Logging_2303/tillsynsmail/A 32445-2025 tillsynsbegäran mail.docx", "A 32445-2025")</f>
        <v/>
      </c>
      <c r="Z1781">
        <f>HYPERLINK("https://klasma.github.io/Logging_2303/fåglar/A 32445-2025 prioriterade fågelarter.docx", "A 32445-2025")</f>
        <v/>
      </c>
    </row>
    <row r="1782" ht="15" customHeight="1">
      <c r="A1782" t="inlineStr">
        <is>
          <t>A 32474-2025</t>
        </is>
      </c>
      <c r="B1782" s="1" t="n">
        <v>45838.42800925926</v>
      </c>
      <c r="C1782" s="1" t="n">
        <v>46045</v>
      </c>
      <c r="D1782" t="inlineStr">
        <is>
          <t>JÄMTLANDS LÄN</t>
        </is>
      </c>
      <c r="E1782" t="inlineStr">
        <is>
          <t>STRÖMSUND</t>
        </is>
      </c>
      <c r="F1782" t="inlineStr">
        <is>
          <t>SCA</t>
        </is>
      </c>
      <c r="G1782" t="n">
        <v>0.9</v>
      </c>
      <c r="H1782" t="n">
        <v>0</v>
      </c>
      <c r="I1782" t="n">
        <v>0</v>
      </c>
      <c r="J1782" t="n">
        <v>1</v>
      </c>
      <c r="K1782" t="n">
        <v>0</v>
      </c>
      <c r="L1782" t="n">
        <v>0</v>
      </c>
      <c r="M1782" t="n">
        <v>0</v>
      </c>
      <c r="N1782" t="n">
        <v>0</v>
      </c>
      <c r="O1782" t="n">
        <v>1</v>
      </c>
      <c r="P1782" t="n">
        <v>0</v>
      </c>
      <c r="Q1782" t="n">
        <v>1</v>
      </c>
      <c r="R1782" s="2" t="inlineStr">
        <is>
          <t>Vitgrynig nållav</t>
        </is>
      </c>
      <c r="S1782">
        <f>HYPERLINK("https://klasma.github.io/Logging_2313/artfynd/A 32474-2025 artfynd.xlsx", "A 32474-2025")</f>
        <v/>
      </c>
      <c r="T1782">
        <f>HYPERLINK("https://klasma.github.io/Logging_2313/kartor/A 32474-2025 karta.png", "A 32474-2025")</f>
        <v/>
      </c>
      <c r="V1782">
        <f>HYPERLINK("https://klasma.github.io/Logging_2313/klagomål/A 32474-2025 FSC-klagomål.docx", "A 32474-2025")</f>
        <v/>
      </c>
      <c r="W1782">
        <f>HYPERLINK("https://klasma.github.io/Logging_2313/klagomålsmail/A 32474-2025 FSC-klagomål mail.docx", "A 32474-2025")</f>
        <v/>
      </c>
      <c r="X1782">
        <f>HYPERLINK("https://klasma.github.io/Logging_2313/tillsyn/A 32474-2025 tillsynsbegäran.docx", "A 32474-2025")</f>
        <v/>
      </c>
      <c r="Y1782">
        <f>HYPERLINK("https://klasma.github.io/Logging_2313/tillsynsmail/A 32474-2025 tillsynsbegäran mail.docx", "A 32474-2025")</f>
        <v/>
      </c>
    </row>
    <row r="1783" ht="15" customHeight="1">
      <c r="A1783" t="inlineStr">
        <is>
          <t>A 15076-2022</t>
        </is>
      </c>
      <c r="B1783" s="1" t="n">
        <v>44657</v>
      </c>
      <c r="C1783" s="1" t="n">
        <v>46045</v>
      </c>
      <c r="D1783" t="inlineStr">
        <is>
          <t>JÄMTLANDS LÄN</t>
        </is>
      </c>
      <c r="E1783" t="inlineStr">
        <is>
          <t>BRÄCKE</t>
        </is>
      </c>
      <c r="G1783" t="n">
        <v>24.7</v>
      </c>
      <c r="H1783" t="n">
        <v>0</v>
      </c>
      <c r="I1783" t="n">
        <v>0</v>
      </c>
      <c r="J1783" t="n">
        <v>1</v>
      </c>
      <c r="K1783" t="n">
        <v>0</v>
      </c>
      <c r="L1783" t="n">
        <v>0</v>
      </c>
      <c r="M1783" t="n">
        <v>0</v>
      </c>
      <c r="N1783" t="n">
        <v>0</v>
      </c>
      <c r="O1783" t="n">
        <v>1</v>
      </c>
      <c r="P1783" t="n">
        <v>0</v>
      </c>
      <c r="Q1783" t="n">
        <v>1</v>
      </c>
      <c r="R1783" s="2" t="inlineStr">
        <is>
          <t>Skrovellav</t>
        </is>
      </c>
      <c r="S1783">
        <f>HYPERLINK("https://klasma.github.io/Logging_2305/artfynd/A 15076-2022 artfynd.xlsx", "A 15076-2022")</f>
        <v/>
      </c>
      <c r="T1783">
        <f>HYPERLINK("https://klasma.github.io/Logging_2305/kartor/A 15076-2022 karta.png", "A 15076-2022")</f>
        <v/>
      </c>
      <c r="V1783">
        <f>HYPERLINK("https://klasma.github.io/Logging_2305/klagomål/A 15076-2022 FSC-klagomål.docx", "A 15076-2022")</f>
        <v/>
      </c>
      <c r="W1783">
        <f>HYPERLINK("https://klasma.github.io/Logging_2305/klagomålsmail/A 15076-2022 FSC-klagomål mail.docx", "A 15076-2022")</f>
        <v/>
      </c>
      <c r="X1783">
        <f>HYPERLINK("https://klasma.github.io/Logging_2305/tillsyn/A 15076-2022 tillsynsbegäran.docx", "A 15076-2022")</f>
        <v/>
      </c>
      <c r="Y1783">
        <f>HYPERLINK("https://klasma.github.io/Logging_2305/tillsynsmail/A 15076-2022 tillsynsbegäran mail.docx", "A 15076-2022")</f>
        <v/>
      </c>
    </row>
    <row r="1784" ht="15" customHeight="1">
      <c r="A1784" t="inlineStr">
        <is>
          <t>A 7327-2024</t>
        </is>
      </c>
      <c r="B1784" s="1" t="n">
        <v>45345</v>
      </c>
      <c r="C1784" s="1" t="n">
        <v>46045</v>
      </c>
      <c r="D1784" t="inlineStr">
        <is>
          <t>JÄMTLANDS LÄN</t>
        </is>
      </c>
      <c r="E1784" t="inlineStr">
        <is>
          <t>HÄRJEDALEN</t>
        </is>
      </c>
      <c r="F1784" t="inlineStr">
        <is>
          <t>Sveaskog</t>
        </is>
      </c>
      <c r="G1784" t="n">
        <v>0.3</v>
      </c>
      <c r="H1784" t="n">
        <v>0</v>
      </c>
      <c r="I1784" t="n">
        <v>0</v>
      </c>
      <c r="J1784" t="n">
        <v>1</v>
      </c>
      <c r="K1784" t="n">
        <v>0</v>
      </c>
      <c r="L1784" t="n">
        <v>0</v>
      </c>
      <c r="M1784" t="n">
        <v>0</v>
      </c>
      <c r="N1784" t="n">
        <v>0</v>
      </c>
      <c r="O1784" t="n">
        <v>1</v>
      </c>
      <c r="P1784" t="n">
        <v>0</v>
      </c>
      <c r="Q1784" t="n">
        <v>1</v>
      </c>
      <c r="R1784" s="2" t="inlineStr">
        <is>
          <t>Kolflarnlav</t>
        </is>
      </c>
      <c r="S1784">
        <f>HYPERLINK("https://klasma.github.io/Logging_2361/artfynd/A 7327-2024 artfynd.xlsx", "A 7327-2024")</f>
        <v/>
      </c>
      <c r="T1784">
        <f>HYPERLINK("https://klasma.github.io/Logging_2361/kartor/A 7327-2024 karta.png", "A 7327-2024")</f>
        <v/>
      </c>
      <c r="V1784">
        <f>HYPERLINK("https://klasma.github.io/Logging_2361/klagomål/A 7327-2024 FSC-klagomål.docx", "A 7327-2024")</f>
        <v/>
      </c>
      <c r="W1784">
        <f>HYPERLINK("https://klasma.github.io/Logging_2361/klagomålsmail/A 7327-2024 FSC-klagomål mail.docx", "A 7327-2024")</f>
        <v/>
      </c>
      <c r="X1784">
        <f>HYPERLINK("https://klasma.github.io/Logging_2361/tillsyn/A 7327-2024 tillsynsbegäran.docx", "A 7327-2024")</f>
        <v/>
      </c>
      <c r="Y1784">
        <f>HYPERLINK("https://klasma.github.io/Logging_2361/tillsynsmail/A 7327-2024 tillsynsbegäran mail.docx", "A 7327-2024")</f>
        <v/>
      </c>
    </row>
    <row r="1785" ht="15" customHeight="1">
      <c r="A1785" t="inlineStr">
        <is>
          <t>A 59000-2025</t>
        </is>
      </c>
      <c r="B1785" s="1" t="n">
        <v>45987.67792824074</v>
      </c>
      <c r="C1785" s="1" t="n">
        <v>46045</v>
      </c>
      <c r="D1785" t="inlineStr">
        <is>
          <t>JÄMTLANDS LÄN</t>
        </is>
      </c>
      <c r="E1785" t="inlineStr">
        <is>
          <t>BRÄCKE</t>
        </is>
      </c>
      <c r="F1785" t="inlineStr">
        <is>
          <t>SCA</t>
        </is>
      </c>
      <c r="G1785" t="n">
        <v>11.4</v>
      </c>
      <c r="H1785" t="n">
        <v>0</v>
      </c>
      <c r="I1785" t="n">
        <v>0</v>
      </c>
      <c r="J1785" t="n">
        <v>1</v>
      </c>
      <c r="K1785" t="n">
        <v>0</v>
      </c>
      <c r="L1785" t="n">
        <v>0</v>
      </c>
      <c r="M1785" t="n">
        <v>0</v>
      </c>
      <c r="N1785" t="n">
        <v>0</v>
      </c>
      <c r="O1785" t="n">
        <v>1</v>
      </c>
      <c r="P1785" t="n">
        <v>0</v>
      </c>
      <c r="Q1785" t="n">
        <v>1</v>
      </c>
      <c r="R1785" s="2" t="inlineStr">
        <is>
          <t>Kolflarnlav</t>
        </is>
      </c>
      <c r="S1785">
        <f>HYPERLINK("https://klasma.github.io/Logging_2305/artfynd/A 59000-2025 artfynd.xlsx", "A 59000-2025")</f>
        <v/>
      </c>
      <c r="T1785">
        <f>HYPERLINK("https://klasma.github.io/Logging_2305/kartor/A 59000-2025 karta.png", "A 59000-2025")</f>
        <v/>
      </c>
      <c r="V1785">
        <f>HYPERLINK("https://klasma.github.io/Logging_2305/klagomål/A 59000-2025 FSC-klagomål.docx", "A 59000-2025")</f>
        <v/>
      </c>
      <c r="W1785">
        <f>HYPERLINK("https://klasma.github.io/Logging_2305/klagomålsmail/A 59000-2025 FSC-klagomål mail.docx", "A 59000-2025")</f>
        <v/>
      </c>
      <c r="X1785">
        <f>HYPERLINK("https://klasma.github.io/Logging_2305/tillsyn/A 59000-2025 tillsynsbegäran.docx", "A 59000-2025")</f>
        <v/>
      </c>
      <c r="Y1785">
        <f>HYPERLINK("https://klasma.github.io/Logging_2305/tillsynsmail/A 59000-2025 tillsynsbegäran mail.docx", "A 59000-2025")</f>
        <v/>
      </c>
    </row>
    <row r="1786" ht="15" customHeight="1">
      <c r="A1786" t="inlineStr">
        <is>
          <t>A 58990-2025</t>
        </is>
      </c>
      <c r="B1786" s="1" t="n">
        <v>45987</v>
      </c>
      <c r="C1786" s="1" t="n">
        <v>46045</v>
      </c>
      <c r="D1786" t="inlineStr">
        <is>
          <t>JÄMTLANDS LÄN</t>
        </is>
      </c>
      <c r="E1786" t="inlineStr">
        <is>
          <t>RAGUNDA</t>
        </is>
      </c>
      <c r="F1786" t="inlineStr">
        <is>
          <t>SCA</t>
        </is>
      </c>
      <c r="G1786" t="n">
        <v>4.6</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HYPERLINK("https://klasma.github.io/Logging_2303/artfynd/A 58990-2025 artfynd.xlsx", "A 58990-2025")</f>
        <v/>
      </c>
      <c r="T1786">
        <f>HYPERLINK("https://klasma.github.io/Logging_2303/kartor/A 58990-2025 karta.png", "A 58990-2025")</f>
        <v/>
      </c>
      <c r="V1786">
        <f>HYPERLINK("https://klasma.github.io/Logging_2303/klagomål/A 58990-2025 FSC-klagomål.docx", "A 58990-2025")</f>
        <v/>
      </c>
      <c r="W1786">
        <f>HYPERLINK("https://klasma.github.io/Logging_2303/klagomålsmail/A 58990-2025 FSC-klagomål mail.docx", "A 58990-2025")</f>
        <v/>
      </c>
      <c r="X1786">
        <f>HYPERLINK("https://klasma.github.io/Logging_2303/tillsyn/A 58990-2025 tillsynsbegäran.docx", "A 58990-2025")</f>
        <v/>
      </c>
      <c r="Y1786">
        <f>HYPERLINK("https://klasma.github.io/Logging_2303/tillsynsmail/A 58990-2025 tillsynsbegäran mail.docx", "A 58990-2025")</f>
        <v/>
      </c>
      <c r="Z1786">
        <f>HYPERLINK("https://klasma.github.io/Logging_2303/fåglar/A 58990-2025 prioriterade fågelarter.docx", "A 58990-2025")</f>
        <v/>
      </c>
    </row>
    <row r="1787" ht="15" customHeight="1">
      <c r="A1787" t="inlineStr">
        <is>
          <t>A 32310-2025</t>
        </is>
      </c>
      <c r="B1787" s="1" t="n">
        <v>45835.7499537037</v>
      </c>
      <c r="C1787" s="1" t="n">
        <v>46045</v>
      </c>
      <c r="D1787" t="inlineStr">
        <is>
          <t>JÄMTLANDS LÄN</t>
        </is>
      </c>
      <c r="E1787" t="inlineStr">
        <is>
          <t>HÄRJEDALEN</t>
        </is>
      </c>
      <c r="F1787" t="inlineStr">
        <is>
          <t>Sveaskog</t>
        </is>
      </c>
      <c r="G1787" t="n">
        <v>1.6</v>
      </c>
      <c r="H1787" t="n">
        <v>0</v>
      </c>
      <c r="I1787" t="n">
        <v>0</v>
      </c>
      <c r="J1787" t="n">
        <v>1</v>
      </c>
      <c r="K1787" t="n">
        <v>0</v>
      </c>
      <c r="L1787" t="n">
        <v>0</v>
      </c>
      <c r="M1787" t="n">
        <v>0</v>
      </c>
      <c r="N1787" t="n">
        <v>0</v>
      </c>
      <c r="O1787" t="n">
        <v>1</v>
      </c>
      <c r="P1787" t="n">
        <v>0</v>
      </c>
      <c r="Q1787" t="n">
        <v>1</v>
      </c>
      <c r="R1787" s="2" t="inlineStr">
        <is>
          <t>Kolflarnlav</t>
        </is>
      </c>
      <c r="S1787">
        <f>HYPERLINK("https://klasma.github.io/Logging_2361/artfynd/A 32310-2025 artfynd.xlsx", "A 32310-2025")</f>
        <v/>
      </c>
      <c r="T1787">
        <f>HYPERLINK("https://klasma.github.io/Logging_2361/kartor/A 32310-2025 karta.png", "A 32310-2025")</f>
        <v/>
      </c>
      <c r="V1787">
        <f>HYPERLINK("https://klasma.github.io/Logging_2361/klagomål/A 32310-2025 FSC-klagomål.docx", "A 32310-2025")</f>
        <v/>
      </c>
      <c r="W1787">
        <f>HYPERLINK("https://klasma.github.io/Logging_2361/klagomålsmail/A 32310-2025 FSC-klagomål mail.docx", "A 32310-2025")</f>
        <v/>
      </c>
      <c r="X1787">
        <f>HYPERLINK("https://klasma.github.io/Logging_2361/tillsyn/A 32310-2025 tillsynsbegäran.docx", "A 32310-2025")</f>
        <v/>
      </c>
      <c r="Y1787">
        <f>HYPERLINK("https://klasma.github.io/Logging_2361/tillsynsmail/A 32310-2025 tillsynsbegäran mail.docx", "A 32310-2025")</f>
        <v/>
      </c>
    </row>
    <row r="1788" ht="15" customHeight="1">
      <c r="A1788" t="inlineStr">
        <is>
          <t>A 32888-2025</t>
        </is>
      </c>
      <c r="B1788" s="1" t="n">
        <v>45839.60460648148</v>
      </c>
      <c r="C1788" s="1" t="n">
        <v>46045</v>
      </c>
      <c r="D1788" t="inlineStr">
        <is>
          <t>JÄMTLANDS LÄN</t>
        </is>
      </c>
      <c r="E1788" t="inlineStr">
        <is>
          <t>KROKOM</t>
        </is>
      </c>
      <c r="G1788" t="n">
        <v>6.3</v>
      </c>
      <c r="H1788" t="n">
        <v>1</v>
      </c>
      <c r="I1788" t="n">
        <v>0</v>
      </c>
      <c r="J1788" t="n">
        <v>0</v>
      </c>
      <c r="K1788" t="n">
        <v>0</v>
      </c>
      <c r="L1788" t="n">
        <v>0</v>
      </c>
      <c r="M1788" t="n">
        <v>0</v>
      </c>
      <c r="N1788" t="n">
        <v>0</v>
      </c>
      <c r="O1788" t="n">
        <v>0</v>
      </c>
      <c r="P1788" t="n">
        <v>0</v>
      </c>
      <c r="Q1788" t="n">
        <v>1</v>
      </c>
      <c r="R1788" s="2" t="inlineStr">
        <is>
          <t>Revlummer</t>
        </is>
      </c>
      <c r="S1788">
        <f>HYPERLINK("https://klasma.github.io/Logging_2309/artfynd/A 32888-2025 artfynd.xlsx", "A 32888-2025")</f>
        <v/>
      </c>
      <c r="T1788">
        <f>HYPERLINK("https://klasma.github.io/Logging_2309/kartor/A 32888-2025 karta.png", "A 32888-2025")</f>
        <v/>
      </c>
      <c r="V1788">
        <f>HYPERLINK("https://klasma.github.io/Logging_2309/klagomål/A 32888-2025 FSC-klagomål.docx", "A 32888-2025")</f>
        <v/>
      </c>
      <c r="W1788">
        <f>HYPERLINK("https://klasma.github.io/Logging_2309/klagomålsmail/A 32888-2025 FSC-klagomål mail.docx", "A 32888-2025")</f>
        <v/>
      </c>
      <c r="X1788">
        <f>HYPERLINK("https://klasma.github.io/Logging_2309/tillsyn/A 32888-2025 tillsynsbegäran.docx", "A 32888-2025")</f>
        <v/>
      </c>
      <c r="Y1788">
        <f>HYPERLINK("https://klasma.github.io/Logging_2309/tillsynsmail/A 32888-2025 tillsynsbegäran mail.docx", "A 32888-2025")</f>
        <v/>
      </c>
    </row>
    <row r="1789" ht="15" customHeight="1">
      <c r="A1789" t="inlineStr">
        <is>
          <t>A 32849-2025</t>
        </is>
      </c>
      <c r="B1789" s="1" t="n">
        <v>45839.57371527778</v>
      </c>
      <c r="C1789" s="1" t="n">
        <v>46045</v>
      </c>
      <c r="D1789" t="inlineStr">
        <is>
          <t>JÄMTLANDS LÄN</t>
        </is>
      </c>
      <c r="E1789" t="inlineStr">
        <is>
          <t>STRÖMSUND</t>
        </is>
      </c>
      <c r="F1789" t="inlineStr">
        <is>
          <t>SCA</t>
        </is>
      </c>
      <c r="G1789" t="n">
        <v>8.5</v>
      </c>
      <c r="H1789" t="n">
        <v>1</v>
      </c>
      <c r="I1789" t="n">
        <v>0</v>
      </c>
      <c r="J1789" t="n">
        <v>0</v>
      </c>
      <c r="K1789" t="n">
        <v>0</v>
      </c>
      <c r="L1789" t="n">
        <v>0</v>
      </c>
      <c r="M1789" t="n">
        <v>0</v>
      </c>
      <c r="N1789" t="n">
        <v>0</v>
      </c>
      <c r="O1789" t="n">
        <v>0</v>
      </c>
      <c r="P1789" t="n">
        <v>0</v>
      </c>
      <c r="Q1789" t="n">
        <v>1</v>
      </c>
      <c r="R1789" s="2" t="inlineStr">
        <is>
          <t>Tjäder</t>
        </is>
      </c>
      <c r="S1789">
        <f>HYPERLINK("https://klasma.github.io/Logging_2313/artfynd/A 32849-2025 artfynd.xlsx", "A 32849-2025")</f>
        <v/>
      </c>
      <c r="T1789">
        <f>HYPERLINK("https://klasma.github.io/Logging_2313/kartor/A 32849-2025 karta.png", "A 32849-2025")</f>
        <v/>
      </c>
      <c r="V1789">
        <f>HYPERLINK("https://klasma.github.io/Logging_2313/klagomål/A 32849-2025 FSC-klagomål.docx", "A 32849-2025")</f>
        <v/>
      </c>
      <c r="W1789">
        <f>HYPERLINK("https://klasma.github.io/Logging_2313/klagomålsmail/A 32849-2025 FSC-klagomål mail.docx", "A 32849-2025")</f>
        <v/>
      </c>
      <c r="X1789">
        <f>HYPERLINK("https://klasma.github.io/Logging_2313/tillsyn/A 32849-2025 tillsynsbegäran.docx", "A 32849-2025")</f>
        <v/>
      </c>
      <c r="Y1789">
        <f>HYPERLINK("https://klasma.github.io/Logging_2313/tillsynsmail/A 32849-2025 tillsynsbegäran mail.docx", "A 32849-2025")</f>
        <v/>
      </c>
      <c r="Z1789">
        <f>HYPERLINK("https://klasma.github.io/Logging_2313/fåglar/A 32849-2025 prioriterade fågelarter.docx", "A 32849-2025")</f>
        <v/>
      </c>
    </row>
    <row r="1790" ht="15" customHeight="1">
      <c r="A1790" t="inlineStr">
        <is>
          <t>A 32939-2025</t>
        </is>
      </c>
      <c r="B1790" s="1" t="n">
        <v>45839.67765046296</v>
      </c>
      <c r="C1790" s="1" t="n">
        <v>46045</v>
      </c>
      <c r="D1790" t="inlineStr">
        <is>
          <t>JÄMTLANDS LÄN</t>
        </is>
      </c>
      <c r="E1790" t="inlineStr">
        <is>
          <t>STRÖMSUND</t>
        </is>
      </c>
      <c r="F1790" t="inlineStr">
        <is>
          <t>SCA</t>
        </is>
      </c>
      <c r="G1790" t="n">
        <v>1.2</v>
      </c>
      <c r="H1790" t="n">
        <v>0</v>
      </c>
      <c r="I1790" t="n">
        <v>0</v>
      </c>
      <c r="J1790" t="n">
        <v>1</v>
      </c>
      <c r="K1790" t="n">
        <v>0</v>
      </c>
      <c r="L1790" t="n">
        <v>0</v>
      </c>
      <c r="M1790" t="n">
        <v>0</v>
      </c>
      <c r="N1790" t="n">
        <v>0</v>
      </c>
      <c r="O1790" t="n">
        <v>1</v>
      </c>
      <c r="P1790" t="n">
        <v>0</v>
      </c>
      <c r="Q1790" t="n">
        <v>1</v>
      </c>
      <c r="R1790" s="2" t="inlineStr">
        <is>
          <t>Harticka</t>
        </is>
      </c>
      <c r="S1790">
        <f>HYPERLINK("https://klasma.github.io/Logging_2313/artfynd/A 32939-2025 artfynd.xlsx", "A 32939-2025")</f>
        <v/>
      </c>
      <c r="T1790">
        <f>HYPERLINK("https://klasma.github.io/Logging_2313/kartor/A 32939-2025 karta.png", "A 32939-2025")</f>
        <v/>
      </c>
      <c r="U1790">
        <f>HYPERLINK("https://klasma.github.io/Logging_2313/knärot/A 32939-2025 karta knärot.png", "A 32939-2025")</f>
        <v/>
      </c>
      <c r="V1790">
        <f>HYPERLINK("https://klasma.github.io/Logging_2313/klagomål/A 32939-2025 FSC-klagomål.docx", "A 32939-2025")</f>
        <v/>
      </c>
      <c r="W1790">
        <f>HYPERLINK("https://klasma.github.io/Logging_2313/klagomålsmail/A 32939-2025 FSC-klagomål mail.docx", "A 32939-2025")</f>
        <v/>
      </c>
      <c r="X1790">
        <f>HYPERLINK("https://klasma.github.io/Logging_2313/tillsyn/A 32939-2025 tillsynsbegäran.docx", "A 32939-2025")</f>
        <v/>
      </c>
      <c r="Y1790">
        <f>HYPERLINK("https://klasma.github.io/Logging_2313/tillsynsmail/A 32939-2025 tillsynsbegäran mail.docx", "A 32939-2025")</f>
        <v/>
      </c>
    </row>
    <row r="1791" ht="15" customHeight="1">
      <c r="A1791" t="inlineStr">
        <is>
          <t>A 32678-2025</t>
        </is>
      </c>
      <c r="B1791" s="1" t="n">
        <v>45838.773125</v>
      </c>
      <c r="C1791" s="1" t="n">
        <v>46045</v>
      </c>
      <c r="D1791" t="inlineStr">
        <is>
          <t>JÄMTLANDS LÄN</t>
        </is>
      </c>
      <c r="E1791" t="inlineStr">
        <is>
          <t>HÄRJEDALEN</t>
        </is>
      </c>
      <c r="F1791" t="inlineStr">
        <is>
          <t>Sveaskog</t>
        </is>
      </c>
      <c r="G1791" t="n">
        <v>12.8</v>
      </c>
      <c r="H1791" t="n">
        <v>0</v>
      </c>
      <c r="I1791" t="n">
        <v>0</v>
      </c>
      <c r="J1791" t="n">
        <v>1</v>
      </c>
      <c r="K1791" t="n">
        <v>0</v>
      </c>
      <c r="L1791" t="n">
        <v>0</v>
      </c>
      <c r="M1791" t="n">
        <v>0</v>
      </c>
      <c r="N1791" t="n">
        <v>0</v>
      </c>
      <c r="O1791" t="n">
        <v>1</v>
      </c>
      <c r="P1791" t="n">
        <v>0</v>
      </c>
      <c r="Q1791" t="n">
        <v>1</v>
      </c>
      <c r="R1791" s="2" t="inlineStr">
        <is>
          <t>Kolflarnlav</t>
        </is>
      </c>
      <c r="S1791">
        <f>HYPERLINK("https://klasma.github.io/Logging_2361/artfynd/A 32678-2025 artfynd.xlsx", "A 32678-2025")</f>
        <v/>
      </c>
      <c r="T1791">
        <f>HYPERLINK("https://klasma.github.io/Logging_2361/kartor/A 32678-2025 karta.png", "A 32678-2025")</f>
        <v/>
      </c>
      <c r="V1791">
        <f>HYPERLINK("https://klasma.github.io/Logging_2361/klagomål/A 32678-2025 FSC-klagomål.docx", "A 32678-2025")</f>
        <v/>
      </c>
      <c r="W1791">
        <f>HYPERLINK("https://klasma.github.io/Logging_2361/klagomålsmail/A 32678-2025 FSC-klagomål mail.docx", "A 32678-2025")</f>
        <v/>
      </c>
      <c r="X1791">
        <f>HYPERLINK("https://klasma.github.io/Logging_2361/tillsyn/A 32678-2025 tillsynsbegäran.docx", "A 32678-2025")</f>
        <v/>
      </c>
      <c r="Y1791">
        <f>HYPERLINK("https://klasma.github.io/Logging_2361/tillsynsmail/A 32678-2025 tillsynsbegäran mail.docx", "A 32678-2025")</f>
        <v/>
      </c>
    </row>
    <row r="1792" ht="15" customHeight="1">
      <c r="A1792" t="inlineStr">
        <is>
          <t>A 33550-2025</t>
        </is>
      </c>
      <c r="B1792" s="1" t="n">
        <v>45841.57331018519</v>
      </c>
      <c r="C1792" s="1" t="n">
        <v>46045</v>
      </c>
      <c r="D1792" t="inlineStr">
        <is>
          <t>JÄMTLANDS LÄN</t>
        </is>
      </c>
      <c r="E1792" t="inlineStr">
        <is>
          <t>ÖSTERSUND</t>
        </is>
      </c>
      <c r="F1792" t="inlineStr">
        <is>
          <t>SCA</t>
        </is>
      </c>
      <c r="G1792" t="n">
        <v>7.3</v>
      </c>
      <c r="H1792" t="n">
        <v>0</v>
      </c>
      <c r="I1792" t="n">
        <v>1</v>
      </c>
      <c r="J1792" t="n">
        <v>0</v>
      </c>
      <c r="K1792" t="n">
        <v>0</v>
      </c>
      <c r="L1792" t="n">
        <v>0</v>
      </c>
      <c r="M1792" t="n">
        <v>0</v>
      </c>
      <c r="N1792" t="n">
        <v>0</v>
      </c>
      <c r="O1792" t="n">
        <v>0</v>
      </c>
      <c r="P1792" t="n">
        <v>0</v>
      </c>
      <c r="Q1792" t="n">
        <v>1</v>
      </c>
      <c r="R1792" s="2" t="inlineStr">
        <is>
          <t>Dropptaggsvamp</t>
        </is>
      </c>
      <c r="S1792">
        <f>HYPERLINK("https://klasma.github.io/Logging_2380/artfynd/A 33550-2025 artfynd.xlsx", "A 33550-2025")</f>
        <v/>
      </c>
      <c r="T1792">
        <f>HYPERLINK("https://klasma.github.io/Logging_2380/kartor/A 33550-2025 karta.png", "A 33550-2025")</f>
        <v/>
      </c>
      <c r="V1792">
        <f>HYPERLINK("https://klasma.github.io/Logging_2380/klagomål/A 33550-2025 FSC-klagomål.docx", "A 33550-2025")</f>
        <v/>
      </c>
      <c r="W1792">
        <f>HYPERLINK("https://klasma.github.io/Logging_2380/klagomålsmail/A 33550-2025 FSC-klagomål mail.docx", "A 33550-2025")</f>
        <v/>
      </c>
      <c r="X1792">
        <f>HYPERLINK("https://klasma.github.io/Logging_2380/tillsyn/A 33550-2025 tillsynsbegäran.docx", "A 33550-2025")</f>
        <v/>
      </c>
      <c r="Y1792">
        <f>HYPERLINK("https://klasma.github.io/Logging_2380/tillsynsmail/A 33550-2025 tillsynsbegäran mail.docx", "A 33550-2025")</f>
        <v/>
      </c>
    </row>
    <row r="1793" ht="15" customHeight="1">
      <c r="A1793" t="inlineStr">
        <is>
          <t>A 54520-2024</t>
        </is>
      </c>
      <c r="B1793" s="1" t="n">
        <v>45617</v>
      </c>
      <c r="C1793" s="1" t="n">
        <v>46045</v>
      </c>
      <c r="D1793" t="inlineStr">
        <is>
          <t>JÄMTLANDS LÄN</t>
        </is>
      </c>
      <c r="E1793" t="inlineStr">
        <is>
          <t>HÄRJEDALEN</t>
        </is>
      </c>
      <c r="F1793" t="inlineStr">
        <is>
          <t>Holmen skog AB</t>
        </is>
      </c>
      <c r="G1793" t="n">
        <v>4.6</v>
      </c>
      <c r="H1793" t="n">
        <v>1</v>
      </c>
      <c r="I1793" t="n">
        <v>0</v>
      </c>
      <c r="J1793" t="n">
        <v>1</v>
      </c>
      <c r="K1793" t="n">
        <v>0</v>
      </c>
      <c r="L1793" t="n">
        <v>0</v>
      </c>
      <c r="M1793" t="n">
        <v>0</v>
      </c>
      <c r="N1793" t="n">
        <v>0</v>
      </c>
      <c r="O1793" t="n">
        <v>1</v>
      </c>
      <c r="P1793" t="n">
        <v>0</v>
      </c>
      <c r="Q1793" t="n">
        <v>1</v>
      </c>
      <c r="R1793" s="2" t="inlineStr">
        <is>
          <t>Talltita</t>
        </is>
      </c>
      <c r="S1793">
        <f>HYPERLINK("https://klasma.github.io/Logging_2361/artfynd/A 54520-2024 artfynd.xlsx", "A 54520-2024")</f>
        <v/>
      </c>
      <c r="T1793">
        <f>HYPERLINK("https://klasma.github.io/Logging_2361/kartor/A 54520-2024 karta.png", "A 54520-2024")</f>
        <v/>
      </c>
      <c r="V1793">
        <f>HYPERLINK("https://klasma.github.io/Logging_2361/klagomål/A 54520-2024 FSC-klagomål.docx", "A 54520-2024")</f>
        <v/>
      </c>
      <c r="W1793">
        <f>HYPERLINK("https://klasma.github.io/Logging_2361/klagomålsmail/A 54520-2024 FSC-klagomål mail.docx", "A 54520-2024")</f>
        <v/>
      </c>
      <c r="X1793">
        <f>HYPERLINK("https://klasma.github.io/Logging_2361/tillsyn/A 54520-2024 tillsynsbegäran.docx", "A 54520-2024")</f>
        <v/>
      </c>
      <c r="Y1793">
        <f>HYPERLINK("https://klasma.github.io/Logging_2361/tillsynsmail/A 54520-2024 tillsynsbegäran mail.docx", "A 54520-2024")</f>
        <v/>
      </c>
      <c r="Z1793">
        <f>HYPERLINK("https://klasma.github.io/Logging_2361/fåglar/A 54520-2024 prioriterade fågelarter.docx", "A 54520-2024")</f>
        <v/>
      </c>
    </row>
    <row r="1794" ht="15" customHeight="1">
      <c r="A1794" t="inlineStr">
        <is>
          <t>A 69134-2021</t>
        </is>
      </c>
      <c r="B1794" s="1" t="n">
        <v>44530</v>
      </c>
      <c r="C1794" s="1" t="n">
        <v>46045</v>
      </c>
      <c r="D1794" t="inlineStr">
        <is>
          <t>JÄMTLANDS LÄN</t>
        </is>
      </c>
      <c r="E1794" t="inlineStr">
        <is>
          <t>STRÖMSUND</t>
        </is>
      </c>
      <c r="G1794" t="n">
        <v>9.4</v>
      </c>
      <c r="H1794" t="n">
        <v>0</v>
      </c>
      <c r="I1794" t="n">
        <v>0</v>
      </c>
      <c r="J1794" t="n">
        <v>1</v>
      </c>
      <c r="K1794" t="n">
        <v>0</v>
      </c>
      <c r="L1794" t="n">
        <v>0</v>
      </c>
      <c r="M1794" t="n">
        <v>0</v>
      </c>
      <c r="N1794" t="n">
        <v>0</v>
      </c>
      <c r="O1794" t="n">
        <v>1</v>
      </c>
      <c r="P1794" t="n">
        <v>0</v>
      </c>
      <c r="Q1794" t="n">
        <v>1</v>
      </c>
      <c r="R1794" s="2" t="inlineStr">
        <is>
          <t>Garnlav</t>
        </is>
      </c>
      <c r="S1794">
        <f>HYPERLINK("https://klasma.github.io/Logging_2313/artfynd/A 69134-2021 artfynd.xlsx", "A 69134-2021")</f>
        <v/>
      </c>
      <c r="T1794">
        <f>HYPERLINK("https://klasma.github.io/Logging_2313/kartor/A 69134-2021 karta.png", "A 69134-2021")</f>
        <v/>
      </c>
      <c r="V1794">
        <f>HYPERLINK("https://klasma.github.io/Logging_2313/klagomål/A 69134-2021 FSC-klagomål.docx", "A 69134-2021")</f>
        <v/>
      </c>
      <c r="W1794">
        <f>HYPERLINK("https://klasma.github.io/Logging_2313/klagomålsmail/A 69134-2021 FSC-klagomål mail.docx", "A 69134-2021")</f>
        <v/>
      </c>
      <c r="X1794">
        <f>HYPERLINK("https://klasma.github.io/Logging_2313/tillsyn/A 69134-2021 tillsynsbegäran.docx", "A 69134-2021")</f>
        <v/>
      </c>
      <c r="Y1794">
        <f>HYPERLINK("https://klasma.github.io/Logging_2313/tillsynsmail/A 69134-2021 tillsynsbegäran mail.docx", "A 69134-2021")</f>
        <v/>
      </c>
    </row>
    <row r="1795" ht="15" customHeight="1">
      <c r="A1795" t="inlineStr">
        <is>
          <t>A 33501-2025</t>
        </is>
      </c>
      <c r="B1795" s="1" t="n">
        <v>45841</v>
      </c>
      <c r="C1795" s="1" t="n">
        <v>46045</v>
      </c>
      <c r="D1795" t="inlineStr">
        <is>
          <t>JÄMTLANDS LÄN</t>
        </is>
      </c>
      <c r="E1795" t="inlineStr">
        <is>
          <t>BERG</t>
        </is>
      </c>
      <c r="G1795" t="n">
        <v>6.9</v>
      </c>
      <c r="H1795" t="n">
        <v>1</v>
      </c>
      <c r="I1795" t="n">
        <v>1</v>
      </c>
      <c r="J1795" t="n">
        <v>0</v>
      </c>
      <c r="K1795" t="n">
        <v>0</v>
      </c>
      <c r="L1795" t="n">
        <v>0</v>
      </c>
      <c r="M1795" t="n">
        <v>0</v>
      </c>
      <c r="N1795" t="n">
        <v>0</v>
      </c>
      <c r="O1795" t="n">
        <v>0</v>
      </c>
      <c r="P1795" t="n">
        <v>0</v>
      </c>
      <c r="Q1795" t="n">
        <v>1</v>
      </c>
      <c r="R1795" s="2" t="inlineStr">
        <is>
          <t>Korallrot</t>
        </is>
      </c>
      <c r="S1795">
        <f>HYPERLINK("https://klasma.github.io/Logging_2326/artfynd/A 33501-2025 artfynd.xlsx", "A 33501-2025")</f>
        <v/>
      </c>
      <c r="T1795">
        <f>HYPERLINK("https://klasma.github.io/Logging_2326/kartor/A 33501-2025 karta.png", "A 33501-2025")</f>
        <v/>
      </c>
      <c r="V1795">
        <f>HYPERLINK("https://klasma.github.io/Logging_2326/klagomål/A 33501-2025 FSC-klagomål.docx", "A 33501-2025")</f>
        <v/>
      </c>
      <c r="W1795">
        <f>HYPERLINK("https://klasma.github.io/Logging_2326/klagomålsmail/A 33501-2025 FSC-klagomål mail.docx", "A 33501-2025")</f>
        <v/>
      </c>
      <c r="X1795">
        <f>HYPERLINK("https://klasma.github.io/Logging_2326/tillsyn/A 33501-2025 tillsynsbegäran.docx", "A 33501-2025")</f>
        <v/>
      </c>
      <c r="Y1795">
        <f>HYPERLINK("https://klasma.github.io/Logging_2326/tillsynsmail/A 33501-2025 tillsynsbegäran mail.docx", "A 33501-2025")</f>
        <v/>
      </c>
    </row>
    <row r="1796" ht="15" customHeight="1">
      <c r="A1796" t="inlineStr">
        <is>
          <t>A 33513-2025</t>
        </is>
      </c>
      <c r="B1796" s="1" t="n">
        <v>45841.52454861111</v>
      </c>
      <c r="C1796" s="1" t="n">
        <v>46045</v>
      </c>
      <c r="D1796" t="inlineStr">
        <is>
          <t>JÄMTLANDS LÄN</t>
        </is>
      </c>
      <c r="E1796" t="inlineStr">
        <is>
          <t>KROKOM</t>
        </is>
      </c>
      <c r="G1796" t="n">
        <v>15.1</v>
      </c>
      <c r="H1796" t="n">
        <v>0</v>
      </c>
      <c r="I1796" t="n">
        <v>0</v>
      </c>
      <c r="J1796" t="n">
        <v>1</v>
      </c>
      <c r="K1796" t="n">
        <v>0</v>
      </c>
      <c r="L1796" t="n">
        <v>0</v>
      </c>
      <c r="M1796" t="n">
        <v>0</v>
      </c>
      <c r="N1796" t="n">
        <v>0</v>
      </c>
      <c r="O1796" t="n">
        <v>1</v>
      </c>
      <c r="P1796" t="n">
        <v>0</v>
      </c>
      <c r="Q1796" t="n">
        <v>1</v>
      </c>
      <c r="R1796" s="2" t="inlineStr">
        <is>
          <t>Brunklöver</t>
        </is>
      </c>
      <c r="S1796">
        <f>HYPERLINK("https://klasma.github.io/Logging_2309/artfynd/A 33513-2025 artfynd.xlsx", "A 33513-2025")</f>
        <v/>
      </c>
      <c r="T1796">
        <f>HYPERLINK("https://klasma.github.io/Logging_2309/kartor/A 33513-2025 karta.png", "A 33513-2025")</f>
        <v/>
      </c>
      <c r="V1796">
        <f>HYPERLINK("https://klasma.github.io/Logging_2309/klagomål/A 33513-2025 FSC-klagomål.docx", "A 33513-2025")</f>
        <v/>
      </c>
      <c r="W1796">
        <f>HYPERLINK("https://klasma.github.io/Logging_2309/klagomålsmail/A 33513-2025 FSC-klagomål mail.docx", "A 33513-2025")</f>
        <v/>
      </c>
      <c r="X1796">
        <f>HYPERLINK("https://klasma.github.io/Logging_2309/tillsyn/A 33513-2025 tillsynsbegäran.docx", "A 33513-2025")</f>
        <v/>
      </c>
      <c r="Y1796">
        <f>HYPERLINK("https://klasma.github.io/Logging_2309/tillsynsmail/A 33513-2025 tillsynsbegäran mail.docx", "A 33513-2025")</f>
        <v/>
      </c>
    </row>
    <row r="1797" ht="15" customHeight="1">
      <c r="A1797" t="inlineStr">
        <is>
          <t>A 36224-2023</t>
        </is>
      </c>
      <c r="B1797" s="1" t="n">
        <v>45149</v>
      </c>
      <c r="C1797" s="1" t="n">
        <v>46045</v>
      </c>
      <c r="D1797" t="inlineStr">
        <is>
          <t>JÄMTLANDS LÄN</t>
        </is>
      </c>
      <c r="E1797" t="inlineStr">
        <is>
          <t>RAGUNDA</t>
        </is>
      </c>
      <c r="F1797" t="inlineStr">
        <is>
          <t>SCA</t>
        </is>
      </c>
      <c r="G1797" t="n">
        <v>8.1</v>
      </c>
      <c r="H1797" t="n">
        <v>0</v>
      </c>
      <c r="I1797" t="n">
        <v>0</v>
      </c>
      <c r="J1797" t="n">
        <v>1</v>
      </c>
      <c r="K1797" t="n">
        <v>0</v>
      </c>
      <c r="L1797" t="n">
        <v>0</v>
      </c>
      <c r="M1797" t="n">
        <v>0</v>
      </c>
      <c r="N1797" t="n">
        <v>0</v>
      </c>
      <c r="O1797" t="n">
        <v>1</v>
      </c>
      <c r="P1797" t="n">
        <v>0</v>
      </c>
      <c r="Q1797" t="n">
        <v>1</v>
      </c>
      <c r="R1797" s="2" t="inlineStr">
        <is>
          <t>Garnlav</t>
        </is>
      </c>
      <c r="S1797">
        <f>HYPERLINK("https://klasma.github.io/Logging_2303/artfynd/A 36224-2023 artfynd.xlsx", "A 36224-2023")</f>
        <v/>
      </c>
      <c r="T1797">
        <f>HYPERLINK("https://klasma.github.io/Logging_2303/kartor/A 36224-2023 karta.png", "A 36224-2023")</f>
        <v/>
      </c>
      <c r="V1797">
        <f>HYPERLINK("https://klasma.github.io/Logging_2303/klagomål/A 36224-2023 FSC-klagomål.docx", "A 36224-2023")</f>
        <v/>
      </c>
      <c r="W1797">
        <f>HYPERLINK("https://klasma.github.io/Logging_2303/klagomålsmail/A 36224-2023 FSC-klagomål mail.docx", "A 36224-2023")</f>
        <v/>
      </c>
      <c r="X1797">
        <f>HYPERLINK("https://klasma.github.io/Logging_2303/tillsyn/A 36224-2023 tillsynsbegäran.docx", "A 36224-2023")</f>
        <v/>
      </c>
      <c r="Y1797">
        <f>HYPERLINK("https://klasma.github.io/Logging_2303/tillsynsmail/A 36224-2023 tillsynsbegäran mail.docx", "A 36224-2023")</f>
        <v/>
      </c>
    </row>
    <row r="1798" ht="15" customHeight="1">
      <c r="A1798" t="inlineStr">
        <is>
          <t>A 59735-2025</t>
        </is>
      </c>
      <c r="B1798" s="1" t="n">
        <v>45992.57347222222</v>
      </c>
      <c r="C1798" s="1" t="n">
        <v>46045</v>
      </c>
      <c r="D1798" t="inlineStr">
        <is>
          <t>JÄMTLANDS LÄN</t>
        </is>
      </c>
      <c r="E1798" t="inlineStr">
        <is>
          <t>STRÖMSUND</t>
        </is>
      </c>
      <c r="F1798" t="inlineStr">
        <is>
          <t>SCA</t>
        </is>
      </c>
      <c r="G1798" t="n">
        <v>13.5</v>
      </c>
      <c r="H1798" t="n">
        <v>0</v>
      </c>
      <c r="I1798" t="n">
        <v>1</v>
      </c>
      <c r="J1798" t="n">
        <v>0</v>
      </c>
      <c r="K1798" t="n">
        <v>0</v>
      </c>
      <c r="L1798" t="n">
        <v>0</v>
      </c>
      <c r="M1798" t="n">
        <v>0</v>
      </c>
      <c r="N1798" t="n">
        <v>0</v>
      </c>
      <c r="O1798" t="n">
        <v>0</v>
      </c>
      <c r="P1798" t="n">
        <v>0</v>
      </c>
      <c r="Q1798" t="n">
        <v>1</v>
      </c>
      <c r="R1798" s="2" t="inlineStr">
        <is>
          <t>Skinnlav</t>
        </is>
      </c>
      <c r="S1798">
        <f>HYPERLINK("https://klasma.github.io/Logging_2313/artfynd/A 59735-2025 artfynd.xlsx", "A 59735-2025")</f>
        <v/>
      </c>
      <c r="T1798">
        <f>HYPERLINK("https://klasma.github.io/Logging_2313/kartor/A 59735-2025 karta.png", "A 59735-2025")</f>
        <v/>
      </c>
      <c r="V1798">
        <f>HYPERLINK("https://klasma.github.io/Logging_2313/klagomål/A 59735-2025 FSC-klagomål.docx", "A 59735-2025")</f>
        <v/>
      </c>
      <c r="W1798">
        <f>HYPERLINK("https://klasma.github.io/Logging_2313/klagomålsmail/A 59735-2025 FSC-klagomål mail.docx", "A 59735-2025")</f>
        <v/>
      </c>
      <c r="X1798">
        <f>HYPERLINK("https://klasma.github.io/Logging_2313/tillsyn/A 59735-2025 tillsynsbegäran.docx", "A 59735-2025")</f>
        <v/>
      </c>
      <c r="Y1798">
        <f>HYPERLINK("https://klasma.github.io/Logging_2313/tillsynsmail/A 59735-2025 tillsynsbegäran mail.docx", "A 59735-2025")</f>
        <v/>
      </c>
    </row>
    <row r="1799" ht="15" customHeight="1">
      <c r="A1799" t="inlineStr">
        <is>
          <t>A 4377-2024</t>
        </is>
      </c>
      <c r="B1799" s="1" t="n">
        <v>45326</v>
      </c>
      <c r="C1799" s="1" t="n">
        <v>46045</v>
      </c>
      <c r="D1799" t="inlineStr">
        <is>
          <t>JÄMTLANDS LÄN</t>
        </is>
      </c>
      <c r="E1799" t="inlineStr">
        <is>
          <t>STRÖMSUND</t>
        </is>
      </c>
      <c r="F1799" t="inlineStr">
        <is>
          <t>SCA</t>
        </is>
      </c>
      <c r="G1799" t="n">
        <v>21.4</v>
      </c>
      <c r="H1799" t="n">
        <v>0</v>
      </c>
      <c r="I1799" t="n">
        <v>0</v>
      </c>
      <c r="J1799" t="n">
        <v>1</v>
      </c>
      <c r="K1799" t="n">
        <v>0</v>
      </c>
      <c r="L1799" t="n">
        <v>0</v>
      </c>
      <c r="M1799" t="n">
        <v>0</v>
      </c>
      <c r="N1799" t="n">
        <v>0</v>
      </c>
      <c r="O1799" t="n">
        <v>1</v>
      </c>
      <c r="P1799" t="n">
        <v>0</v>
      </c>
      <c r="Q1799" t="n">
        <v>1</v>
      </c>
      <c r="R1799" s="2" t="inlineStr">
        <is>
          <t>Lunglav</t>
        </is>
      </c>
      <c r="S1799">
        <f>HYPERLINK("https://klasma.github.io/Logging_2313/artfynd/A 4377-2024 artfynd.xlsx", "A 4377-2024")</f>
        <v/>
      </c>
      <c r="T1799">
        <f>HYPERLINK("https://klasma.github.io/Logging_2313/kartor/A 4377-2024 karta.png", "A 4377-2024")</f>
        <v/>
      </c>
      <c r="V1799">
        <f>HYPERLINK("https://klasma.github.io/Logging_2313/klagomål/A 4377-2024 FSC-klagomål.docx", "A 4377-2024")</f>
        <v/>
      </c>
      <c r="W1799">
        <f>HYPERLINK("https://klasma.github.io/Logging_2313/klagomålsmail/A 4377-2024 FSC-klagomål mail.docx", "A 4377-2024")</f>
        <v/>
      </c>
      <c r="X1799">
        <f>HYPERLINK("https://klasma.github.io/Logging_2313/tillsyn/A 4377-2024 tillsynsbegäran.docx", "A 4377-2024")</f>
        <v/>
      </c>
      <c r="Y1799">
        <f>HYPERLINK("https://klasma.github.io/Logging_2313/tillsynsmail/A 4377-2024 tillsynsbegäran mail.docx", "A 4377-2024")</f>
        <v/>
      </c>
    </row>
    <row r="1800" ht="15" customHeight="1">
      <c r="A1800" t="inlineStr">
        <is>
          <t>A 46969-2024</t>
        </is>
      </c>
      <c r="B1800" s="1" t="n">
        <v>45586.32849537037</v>
      </c>
      <c r="C1800" s="1" t="n">
        <v>46045</v>
      </c>
      <c r="D1800" t="inlineStr">
        <is>
          <t>JÄMTLANDS LÄN</t>
        </is>
      </c>
      <c r="E1800" t="inlineStr">
        <is>
          <t>STRÖMSUND</t>
        </is>
      </c>
      <c r="F1800" t="inlineStr">
        <is>
          <t>Holmen skog AB</t>
        </is>
      </c>
      <c r="G1800" t="n">
        <v>4.9</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HYPERLINK("https://klasma.github.io/Logging_2313/artfynd/A 46969-2024 artfynd.xlsx", "A 46969-2024")</f>
        <v/>
      </c>
      <c r="T1800">
        <f>HYPERLINK("https://klasma.github.io/Logging_2313/kartor/A 46969-2024 karta.png", "A 46969-2024")</f>
        <v/>
      </c>
      <c r="V1800">
        <f>HYPERLINK("https://klasma.github.io/Logging_2313/klagomål/A 46969-2024 FSC-klagomål.docx", "A 46969-2024")</f>
        <v/>
      </c>
      <c r="W1800">
        <f>HYPERLINK("https://klasma.github.io/Logging_2313/klagomålsmail/A 46969-2024 FSC-klagomål mail.docx", "A 46969-2024")</f>
        <v/>
      </c>
      <c r="X1800">
        <f>HYPERLINK("https://klasma.github.io/Logging_2313/tillsyn/A 46969-2024 tillsynsbegäran.docx", "A 46969-2024")</f>
        <v/>
      </c>
      <c r="Y1800">
        <f>HYPERLINK("https://klasma.github.io/Logging_2313/tillsynsmail/A 46969-2024 tillsynsbegäran mail.docx", "A 46969-2024")</f>
        <v/>
      </c>
      <c r="Z1800">
        <f>HYPERLINK("https://klasma.github.io/Logging_2313/fåglar/A 46969-2024 prioriterade fågelarter.docx", "A 46969-2024")</f>
        <v/>
      </c>
    </row>
    <row r="1801" ht="15" customHeight="1">
      <c r="A1801" t="inlineStr">
        <is>
          <t>A 34226-2025</t>
        </is>
      </c>
      <c r="B1801" s="1" t="n">
        <v>45845.656875</v>
      </c>
      <c r="C1801" s="1" t="n">
        <v>46045</v>
      </c>
      <c r="D1801" t="inlineStr">
        <is>
          <t>JÄMTLANDS LÄN</t>
        </is>
      </c>
      <c r="E1801" t="inlineStr">
        <is>
          <t>BRÄCKE</t>
        </is>
      </c>
      <c r="F1801" t="inlineStr">
        <is>
          <t>SCA</t>
        </is>
      </c>
      <c r="G1801" t="n">
        <v>9</v>
      </c>
      <c r="H1801" t="n">
        <v>1</v>
      </c>
      <c r="I1801" t="n">
        <v>0</v>
      </c>
      <c r="J1801" t="n">
        <v>1</v>
      </c>
      <c r="K1801" t="n">
        <v>0</v>
      </c>
      <c r="L1801" t="n">
        <v>0</v>
      </c>
      <c r="M1801" t="n">
        <v>0</v>
      </c>
      <c r="N1801" t="n">
        <v>0</v>
      </c>
      <c r="O1801" t="n">
        <v>1</v>
      </c>
      <c r="P1801" t="n">
        <v>0</v>
      </c>
      <c r="Q1801" t="n">
        <v>1</v>
      </c>
      <c r="R1801" s="2" t="inlineStr">
        <is>
          <t>Talltita</t>
        </is>
      </c>
      <c r="S1801">
        <f>HYPERLINK("https://klasma.github.io/Logging_2305/artfynd/A 34226-2025 artfynd.xlsx", "A 34226-2025")</f>
        <v/>
      </c>
      <c r="T1801">
        <f>HYPERLINK("https://klasma.github.io/Logging_2305/kartor/A 34226-2025 karta.png", "A 34226-2025")</f>
        <v/>
      </c>
      <c r="V1801">
        <f>HYPERLINK("https://klasma.github.io/Logging_2305/klagomål/A 34226-2025 FSC-klagomål.docx", "A 34226-2025")</f>
        <v/>
      </c>
      <c r="W1801">
        <f>HYPERLINK("https://klasma.github.io/Logging_2305/klagomålsmail/A 34226-2025 FSC-klagomål mail.docx", "A 34226-2025")</f>
        <v/>
      </c>
      <c r="X1801">
        <f>HYPERLINK("https://klasma.github.io/Logging_2305/tillsyn/A 34226-2025 tillsynsbegäran.docx", "A 34226-2025")</f>
        <v/>
      </c>
      <c r="Y1801">
        <f>HYPERLINK("https://klasma.github.io/Logging_2305/tillsynsmail/A 34226-2025 tillsynsbegäran mail.docx", "A 34226-2025")</f>
        <v/>
      </c>
      <c r="Z1801">
        <f>HYPERLINK("https://klasma.github.io/Logging_2305/fåglar/A 34226-2025 prioriterade fågelarter.docx", "A 34226-2025")</f>
        <v/>
      </c>
    </row>
    <row r="1802" ht="15" customHeight="1">
      <c r="A1802" t="inlineStr">
        <is>
          <t>A 34298-2025</t>
        </is>
      </c>
      <c r="B1802" s="1" t="n">
        <v>45846</v>
      </c>
      <c r="C1802" s="1" t="n">
        <v>46045</v>
      </c>
      <c r="D1802" t="inlineStr">
        <is>
          <t>JÄMTLANDS LÄN</t>
        </is>
      </c>
      <c r="E1802" t="inlineStr">
        <is>
          <t>STRÖMSUND</t>
        </is>
      </c>
      <c r="F1802" t="inlineStr">
        <is>
          <t>SCA</t>
        </is>
      </c>
      <c r="G1802" t="n">
        <v>16.3</v>
      </c>
      <c r="H1802" t="n">
        <v>1</v>
      </c>
      <c r="I1802" t="n">
        <v>0</v>
      </c>
      <c r="J1802" t="n">
        <v>0</v>
      </c>
      <c r="K1802" t="n">
        <v>1</v>
      </c>
      <c r="L1802" t="n">
        <v>0</v>
      </c>
      <c r="M1802" t="n">
        <v>0</v>
      </c>
      <c r="N1802" t="n">
        <v>0</v>
      </c>
      <c r="O1802" t="n">
        <v>1</v>
      </c>
      <c r="P1802" t="n">
        <v>1</v>
      </c>
      <c r="Q1802" t="n">
        <v>1</v>
      </c>
      <c r="R1802" s="2" t="inlineStr">
        <is>
          <t>Doftticka</t>
        </is>
      </c>
      <c r="S1802">
        <f>HYPERLINK("https://klasma.github.io/Logging_2313/artfynd/A 34298-2025 artfynd.xlsx", "A 34298-2025")</f>
        <v/>
      </c>
      <c r="T1802">
        <f>HYPERLINK("https://klasma.github.io/Logging_2313/kartor/A 34298-2025 karta.png", "A 34298-2025")</f>
        <v/>
      </c>
      <c r="V1802">
        <f>HYPERLINK("https://klasma.github.io/Logging_2313/klagomål/A 34298-2025 FSC-klagomål.docx", "A 34298-2025")</f>
        <v/>
      </c>
      <c r="W1802">
        <f>HYPERLINK("https://klasma.github.io/Logging_2313/klagomålsmail/A 34298-2025 FSC-klagomål mail.docx", "A 34298-2025")</f>
        <v/>
      </c>
      <c r="X1802">
        <f>HYPERLINK("https://klasma.github.io/Logging_2313/tillsyn/A 34298-2025 tillsynsbegäran.docx", "A 34298-2025")</f>
        <v/>
      </c>
      <c r="Y1802">
        <f>HYPERLINK("https://klasma.github.io/Logging_2313/tillsynsmail/A 34298-2025 tillsynsbegäran mail.docx", "A 34298-2025")</f>
        <v/>
      </c>
    </row>
    <row r="1803" ht="15" customHeight="1">
      <c r="A1803" t="inlineStr">
        <is>
          <t>A 59840-2025</t>
        </is>
      </c>
      <c r="B1803" s="1" t="n">
        <v>45992.67763888889</v>
      </c>
      <c r="C1803" s="1" t="n">
        <v>46045</v>
      </c>
      <c r="D1803" t="inlineStr">
        <is>
          <t>JÄMTLANDS LÄN</t>
        </is>
      </c>
      <c r="E1803" t="inlineStr">
        <is>
          <t>STRÖMSUND</t>
        </is>
      </c>
      <c r="F1803" t="inlineStr">
        <is>
          <t>SCA</t>
        </is>
      </c>
      <c r="G1803" t="n">
        <v>1.6</v>
      </c>
      <c r="H1803" t="n">
        <v>0</v>
      </c>
      <c r="I1803" t="n">
        <v>0</v>
      </c>
      <c r="J1803" t="n">
        <v>1</v>
      </c>
      <c r="K1803" t="n">
        <v>0</v>
      </c>
      <c r="L1803" t="n">
        <v>0</v>
      </c>
      <c r="M1803" t="n">
        <v>0</v>
      </c>
      <c r="N1803" t="n">
        <v>0</v>
      </c>
      <c r="O1803" t="n">
        <v>1</v>
      </c>
      <c r="P1803" t="n">
        <v>0</v>
      </c>
      <c r="Q1803" t="n">
        <v>1</v>
      </c>
      <c r="R1803" s="2" t="inlineStr">
        <is>
          <t>Garnlav</t>
        </is>
      </c>
      <c r="S1803">
        <f>HYPERLINK("https://klasma.github.io/Logging_2313/artfynd/A 59840-2025 artfynd.xlsx", "A 59840-2025")</f>
        <v/>
      </c>
      <c r="T1803">
        <f>HYPERLINK("https://klasma.github.io/Logging_2313/kartor/A 59840-2025 karta.png", "A 59840-2025")</f>
        <v/>
      </c>
      <c r="V1803">
        <f>HYPERLINK("https://klasma.github.io/Logging_2313/klagomål/A 59840-2025 FSC-klagomål.docx", "A 59840-2025")</f>
        <v/>
      </c>
      <c r="W1803">
        <f>HYPERLINK("https://klasma.github.io/Logging_2313/klagomålsmail/A 59840-2025 FSC-klagomål mail.docx", "A 59840-2025")</f>
        <v/>
      </c>
      <c r="X1803">
        <f>HYPERLINK("https://klasma.github.io/Logging_2313/tillsyn/A 59840-2025 tillsynsbegäran.docx", "A 59840-2025")</f>
        <v/>
      </c>
      <c r="Y1803">
        <f>HYPERLINK("https://klasma.github.io/Logging_2313/tillsynsmail/A 59840-2025 tillsynsbegäran mail.docx", "A 59840-2025")</f>
        <v/>
      </c>
    </row>
    <row r="1804" ht="15" customHeight="1">
      <c r="A1804" t="inlineStr">
        <is>
          <t>A 59546-2025</t>
        </is>
      </c>
      <c r="B1804" s="1" t="n">
        <v>45990.34497685185</v>
      </c>
      <c r="C1804" s="1" t="n">
        <v>46045</v>
      </c>
      <c r="D1804" t="inlineStr">
        <is>
          <t>JÄMTLANDS LÄN</t>
        </is>
      </c>
      <c r="E1804" t="inlineStr">
        <is>
          <t>BRÄCKE</t>
        </is>
      </c>
      <c r="F1804" t="inlineStr">
        <is>
          <t>SCA</t>
        </is>
      </c>
      <c r="G1804" t="n">
        <v>1</v>
      </c>
      <c r="H1804" t="n">
        <v>0</v>
      </c>
      <c r="I1804" t="n">
        <v>0</v>
      </c>
      <c r="J1804" t="n">
        <v>1</v>
      </c>
      <c r="K1804" t="n">
        <v>0</v>
      </c>
      <c r="L1804" t="n">
        <v>0</v>
      </c>
      <c r="M1804" t="n">
        <v>0</v>
      </c>
      <c r="N1804" t="n">
        <v>0</v>
      </c>
      <c r="O1804" t="n">
        <v>1</v>
      </c>
      <c r="P1804" t="n">
        <v>0</v>
      </c>
      <c r="Q1804" t="n">
        <v>1</v>
      </c>
      <c r="R1804" s="2" t="inlineStr">
        <is>
          <t>Vedskivlav</t>
        </is>
      </c>
      <c r="S1804">
        <f>HYPERLINK("https://klasma.github.io/Logging_2305/artfynd/A 59546-2025 artfynd.xlsx", "A 59546-2025")</f>
        <v/>
      </c>
      <c r="T1804">
        <f>HYPERLINK("https://klasma.github.io/Logging_2305/kartor/A 59546-2025 karta.png", "A 59546-2025")</f>
        <v/>
      </c>
      <c r="V1804">
        <f>HYPERLINK("https://klasma.github.io/Logging_2305/klagomål/A 59546-2025 FSC-klagomål.docx", "A 59546-2025")</f>
        <v/>
      </c>
      <c r="W1804">
        <f>HYPERLINK("https://klasma.github.io/Logging_2305/klagomålsmail/A 59546-2025 FSC-klagomål mail.docx", "A 59546-2025")</f>
        <v/>
      </c>
      <c r="X1804">
        <f>HYPERLINK("https://klasma.github.io/Logging_2305/tillsyn/A 59546-2025 tillsynsbegäran.docx", "A 59546-2025")</f>
        <v/>
      </c>
      <c r="Y1804">
        <f>HYPERLINK("https://klasma.github.io/Logging_2305/tillsynsmail/A 59546-2025 tillsynsbegäran mail.docx", "A 59546-2025")</f>
        <v/>
      </c>
    </row>
    <row r="1805" ht="15" customHeight="1">
      <c r="A1805" t="inlineStr">
        <is>
          <t>A 30485-2024</t>
        </is>
      </c>
      <c r="B1805" s="1" t="n">
        <v>45491.95008101852</v>
      </c>
      <c r="C1805" s="1" t="n">
        <v>46045</v>
      </c>
      <c r="D1805" t="inlineStr">
        <is>
          <t>JÄMTLANDS LÄN</t>
        </is>
      </c>
      <c r="E1805" t="inlineStr">
        <is>
          <t>RAGUNDA</t>
        </is>
      </c>
      <c r="F1805" t="inlineStr">
        <is>
          <t>SCA</t>
        </is>
      </c>
      <c r="G1805" t="n">
        <v>2</v>
      </c>
      <c r="H1805" t="n">
        <v>0</v>
      </c>
      <c r="I1805" t="n">
        <v>0</v>
      </c>
      <c r="J1805" t="n">
        <v>1</v>
      </c>
      <c r="K1805" t="n">
        <v>0</v>
      </c>
      <c r="L1805" t="n">
        <v>0</v>
      </c>
      <c r="M1805" t="n">
        <v>0</v>
      </c>
      <c r="N1805" t="n">
        <v>0</v>
      </c>
      <c r="O1805" t="n">
        <v>1</v>
      </c>
      <c r="P1805" t="n">
        <v>0</v>
      </c>
      <c r="Q1805" t="n">
        <v>1</v>
      </c>
      <c r="R1805" s="2" t="inlineStr">
        <is>
          <t>Garnlav</t>
        </is>
      </c>
      <c r="S1805">
        <f>HYPERLINK("https://klasma.github.io/Logging_2303/artfynd/A 30485-2024 artfynd.xlsx", "A 30485-2024")</f>
        <v/>
      </c>
      <c r="T1805">
        <f>HYPERLINK("https://klasma.github.io/Logging_2303/kartor/A 30485-2024 karta.png", "A 30485-2024")</f>
        <v/>
      </c>
      <c r="V1805">
        <f>HYPERLINK("https://klasma.github.io/Logging_2303/klagomål/A 30485-2024 FSC-klagomål.docx", "A 30485-2024")</f>
        <v/>
      </c>
      <c r="W1805">
        <f>HYPERLINK("https://klasma.github.io/Logging_2303/klagomålsmail/A 30485-2024 FSC-klagomål mail.docx", "A 30485-2024")</f>
        <v/>
      </c>
      <c r="X1805">
        <f>HYPERLINK("https://klasma.github.io/Logging_2303/tillsyn/A 30485-2024 tillsynsbegäran.docx", "A 30485-2024")</f>
        <v/>
      </c>
      <c r="Y1805">
        <f>HYPERLINK("https://klasma.github.io/Logging_2303/tillsynsmail/A 30485-2024 tillsynsbegäran mail.docx", "A 30485-2024")</f>
        <v/>
      </c>
    </row>
    <row r="1806" ht="15" customHeight="1">
      <c r="A1806" t="inlineStr">
        <is>
          <t>A 29921-2024</t>
        </is>
      </c>
      <c r="B1806" s="1" t="n">
        <v>45487.92863425926</v>
      </c>
      <c r="C1806" s="1" t="n">
        <v>46045</v>
      </c>
      <c r="D1806" t="inlineStr">
        <is>
          <t>JÄMTLANDS LÄN</t>
        </is>
      </c>
      <c r="E1806" t="inlineStr">
        <is>
          <t>RAGUNDA</t>
        </is>
      </c>
      <c r="G1806" t="n">
        <v>1.6</v>
      </c>
      <c r="H1806" t="n">
        <v>1</v>
      </c>
      <c r="I1806" t="n">
        <v>0</v>
      </c>
      <c r="J1806" t="n">
        <v>0</v>
      </c>
      <c r="K1806" t="n">
        <v>1</v>
      </c>
      <c r="L1806" t="n">
        <v>0</v>
      </c>
      <c r="M1806" t="n">
        <v>0</v>
      </c>
      <c r="N1806" t="n">
        <v>0</v>
      </c>
      <c r="O1806" t="n">
        <v>1</v>
      </c>
      <c r="P1806" t="n">
        <v>1</v>
      </c>
      <c r="Q1806" t="n">
        <v>1</v>
      </c>
      <c r="R1806" s="2" t="inlineStr">
        <is>
          <t>Knärot</t>
        </is>
      </c>
      <c r="S1806">
        <f>HYPERLINK("https://klasma.github.io/Logging_2303/artfynd/A 29921-2024 artfynd.xlsx", "A 29921-2024")</f>
        <v/>
      </c>
      <c r="T1806">
        <f>HYPERLINK("https://klasma.github.io/Logging_2303/kartor/A 29921-2024 karta.png", "A 29921-2024")</f>
        <v/>
      </c>
      <c r="U1806">
        <f>HYPERLINK("https://klasma.github.io/Logging_2303/knärot/A 29921-2024 karta knärot.png", "A 29921-2024")</f>
        <v/>
      </c>
      <c r="V1806">
        <f>HYPERLINK("https://klasma.github.io/Logging_2303/klagomål/A 29921-2024 FSC-klagomål.docx", "A 29921-2024")</f>
        <v/>
      </c>
      <c r="W1806">
        <f>HYPERLINK("https://klasma.github.io/Logging_2303/klagomålsmail/A 29921-2024 FSC-klagomål mail.docx", "A 29921-2024")</f>
        <v/>
      </c>
      <c r="X1806">
        <f>HYPERLINK("https://klasma.github.io/Logging_2303/tillsyn/A 29921-2024 tillsynsbegäran.docx", "A 29921-2024")</f>
        <v/>
      </c>
      <c r="Y1806">
        <f>HYPERLINK("https://klasma.github.io/Logging_2303/tillsynsmail/A 29921-2024 tillsynsbegäran mail.docx", "A 29921-2024")</f>
        <v/>
      </c>
    </row>
    <row r="1807" ht="15" customHeight="1">
      <c r="A1807" t="inlineStr">
        <is>
          <t>A 971-2026</t>
        </is>
      </c>
      <c r="B1807" s="1" t="n">
        <v>46029</v>
      </c>
      <c r="C1807" s="1" t="n">
        <v>46045</v>
      </c>
      <c r="D1807" t="inlineStr">
        <is>
          <t>JÄMTLANDS LÄN</t>
        </is>
      </c>
      <c r="E1807" t="inlineStr">
        <is>
          <t>BERG</t>
        </is>
      </c>
      <c r="F1807" t="inlineStr">
        <is>
          <t>SCA</t>
        </is>
      </c>
      <c r="G1807" t="n">
        <v>9.699999999999999</v>
      </c>
      <c r="H1807" t="n">
        <v>1</v>
      </c>
      <c r="I1807" t="n">
        <v>0</v>
      </c>
      <c r="J1807" t="n">
        <v>1</v>
      </c>
      <c r="K1807" t="n">
        <v>0</v>
      </c>
      <c r="L1807" t="n">
        <v>0</v>
      </c>
      <c r="M1807" t="n">
        <v>0</v>
      </c>
      <c r="N1807" t="n">
        <v>0</v>
      </c>
      <c r="O1807" t="n">
        <v>1</v>
      </c>
      <c r="P1807" t="n">
        <v>0</v>
      </c>
      <c r="Q1807" t="n">
        <v>1</v>
      </c>
      <c r="R1807" s="2" t="inlineStr">
        <is>
          <t>Grönsångare</t>
        </is>
      </c>
      <c r="S1807">
        <f>HYPERLINK("https://klasma.github.io/Logging_2326/artfynd/A 971-2026 artfynd.xlsx", "A 971-2026")</f>
        <v/>
      </c>
      <c r="T1807">
        <f>HYPERLINK("https://klasma.github.io/Logging_2326/kartor/A 971-2026 karta.png", "A 971-2026")</f>
        <v/>
      </c>
      <c r="V1807">
        <f>HYPERLINK("https://klasma.github.io/Logging_2326/klagomål/A 971-2026 FSC-klagomål.docx", "A 971-2026")</f>
        <v/>
      </c>
      <c r="W1807">
        <f>HYPERLINK("https://klasma.github.io/Logging_2326/klagomålsmail/A 971-2026 FSC-klagomål mail.docx", "A 971-2026")</f>
        <v/>
      </c>
      <c r="X1807">
        <f>HYPERLINK("https://klasma.github.io/Logging_2326/tillsyn/A 971-2026 tillsynsbegäran.docx", "A 971-2026")</f>
        <v/>
      </c>
      <c r="Y1807">
        <f>HYPERLINK("https://klasma.github.io/Logging_2326/tillsynsmail/A 971-2026 tillsynsbegäran mail.docx", "A 971-2026")</f>
        <v/>
      </c>
      <c r="Z1807">
        <f>HYPERLINK("https://klasma.github.io/Logging_2326/fåglar/A 971-2026 prioriterade fågelarter.docx", "A 971-2026")</f>
        <v/>
      </c>
    </row>
    <row r="1808" ht="15" customHeight="1">
      <c r="A1808" t="inlineStr">
        <is>
          <t>A 34474-2025</t>
        </is>
      </c>
      <c r="B1808" s="1" t="n">
        <v>45847.36528935185</v>
      </c>
      <c r="C1808" s="1" t="n">
        <v>46045</v>
      </c>
      <c r="D1808" t="inlineStr">
        <is>
          <t>JÄMTLANDS LÄN</t>
        </is>
      </c>
      <c r="E1808" t="inlineStr">
        <is>
          <t>RAGUNDA</t>
        </is>
      </c>
      <c r="F1808" t="inlineStr">
        <is>
          <t>SCA</t>
        </is>
      </c>
      <c r="G1808" t="n">
        <v>9.699999999999999</v>
      </c>
      <c r="H1808" t="n">
        <v>1</v>
      </c>
      <c r="I1808" t="n">
        <v>0</v>
      </c>
      <c r="J1808" t="n">
        <v>1</v>
      </c>
      <c r="K1808" t="n">
        <v>0</v>
      </c>
      <c r="L1808" t="n">
        <v>0</v>
      </c>
      <c r="M1808" t="n">
        <v>0</v>
      </c>
      <c r="N1808" t="n">
        <v>0</v>
      </c>
      <c r="O1808" t="n">
        <v>1</v>
      </c>
      <c r="P1808" t="n">
        <v>0</v>
      </c>
      <c r="Q1808" t="n">
        <v>1</v>
      </c>
      <c r="R1808" s="2" t="inlineStr">
        <is>
          <t>Fjällvråk</t>
        </is>
      </c>
      <c r="S1808">
        <f>HYPERLINK("https://klasma.github.io/Logging_2303/artfynd/A 34474-2025 artfynd.xlsx", "A 34474-2025")</f>
        <v/>
      </c>
      <c r="T1808">
        <f>HYPERLINK("https://klasma.github.io/Logging_2303/kartor/A 34474-2025 karta.png", "A 34474-2025")</f>
        <v/>
      </c>
      <c r="V1808">
        <f>HYPERLINK("https://klasma.github.io/Logging_2303/klagomål/A 34474-2025 FSC-klagomål.docx", "A 34474-2025")</f>
        <v/>
      </c>
      <c r="W1808">
        <f>HYPERLINK("https://klasma.github.io/Logging_2303/klagomålsmail/A 34474-2025 FSC-klagomål mail.docx", "A 34474-2025")</f>
        <v/>
      </c>
      <c r="X1808">
        <f>HYPERLINK("https://klasma.github.io/Logging_2303/tillsyn/A 34474-2025 tillsynsbegäran.docx", "A 34474-2025")</f>
        <v/>
      </c>
      <c r="Y1808">
        <f>HYPERLINK("https://klasma.github.io/Logging_2303/tillsynsmail/A 34474-2025 tillsynsbegäran mail.docx", "A 34474-2025")</f>
        <v/>
      </c>
      <c r="Z1808">
        <f>HYPERLINK("https://klasma.github.io/Logging_2303/fåglar/A 34474-2025 prioriterade fågelarter.docx", "A 34474-2025")</f>
        <v/>
      </c>
    </row>
    <row r="1809" ht="15" customHeight="1">
      <c r="A1809" t="inlineStr">
        <is>
          <t>A 34534-2025</t>
        </is>
      </c>
      <c r="B1809" s="1" t="n">
        <v>45847.51078703703</v>
      </c>
      <c r="C1809" s="1" t="n">
        <v>46045</v>
      </c>
      <c r="D1809" t="inlineStr">
        <is>
          <t>JÄMTLANDS LÄN</t>
        </is>
      </c>
      <c r="E1809" t="inlineStr">
        <is>
          <t>KROKOM</t>
        </is>
      </c>
      <c r="F1809" t="inlineStr">
        <is>
          <t>SCA</t>
        </is>
      </c>
      <c r="G1809" t="n">
        <v>2.7</v>
      </c>
      <c r="H1809" t="n">
        <v>0</v>
      </c>
      <c r="I1809" t="n">
        <v>0</v>
      </c>
      <c r="J1809" t="n">
        <v>1</v>
      </c>
      <c r="K1809" t="n">
        <v>0</v>
      </c>
      <c r="L1809" t="n">
        <v>0</v>
      </c>
      <c r="M1809" t="n">
        <v>0</v>
      </c>
      <c r="N1809" t="n">
        <v>0</v>
      </c>
      <c r="O1809" t="n">
        <v>1</v>
      </c>
      <c r="P1809" t="n">
        <v>0</v>
      </c>
      <c r="Q1809" t="n">
        <v>1</v>
      </c>
      <c r="R1809" s="2" t="inlineStr">
        <is>
          <t>Granticka</t>
        </is>
      </c>
      <c r="S1809">
        <f>HYPERLINK("https://klasma.github.io/Logging_2309/artfynd/A 34534-2025 artfynd.xlsx", "A 34534-2025")</f>
        <v/>
      </c>
      <c r="T1809">
        <f>HYPERLINK("https://klasma.github.io/Logging_2309/kartor/A 34534-2025 karta.png", "A 34534-2025")</f>
        <v/>
      </c>
      <c r="V1809">
        <f>HYPERLINK("https://klasma.github.io/Logging_2309/klagomål/A 34534-2025 FSC-klagomål.docx", "A 34534-2025")</f>
        <v/>
      </c>
      <c r="W1809">
        <f>HYPERLINK("https://klasma.github.io/Logging_2309/klagomålsmail/A 34534-2025 FSC-klagomål mail.docx", "A 34534-2025")</f>
        <v/>
      </c>
      <c r="X1809">
        <f>HYPERLINK("https://klasma.github.io/Logging_2309/tillsyn/A 34534-2025 tillsynsbegäran.docx", "A 34534-2025")</f>
        <v/>
      </c>
      <c r="Y1809">
        <f>HYPERLINK("https://klasma.github.io/Logging_2309/tillsynsmail/A 34534-2025 tillsynsbegäran mail.docx", "A 34534-2025")</f>
        <v/>
      </c>
    </row>
    <row r="1810" ht="15" customHeight="1">
      <c r="A1810" t="inlineStr">
        <is>
          <t>A 69551-2021</t>
        </is>
      </c>
      <c r="B1810" s="1" t="n">
        <v>44531</v>
      </c>
      <c r="C1810" s="1" t="n">
        <v>46045</v>
      </c>
      <c r="D1810" t="inlineStr">
        <is>
          <t>JÄMTLANDS LÄN</t>
        </is>
      </c>
      <c r="E1810" t="inlineStr">
        <is>
          <t>STRÖMSUND</t>
        </is>
      </c>
      <c r="F1810" t="inlineStr">
        <is>
          <t>SCA</t>
        </is>
      </c>
      <c r="G1810" t="n">
        <v>14.1</v>
      </c>
      <c r="H1810" t="n">
        <v>0</v>
      </c>
      <c r="I1810" t="n">
        <v>0</v>
      </c>
      <c r="J1810" t="n">
        <v>1</v>
      </c>
      <c r="K1810" t="n">
        <v>0</v>
      </c>
      <c r="L1810" t="n">
        <v>0</v>
      </c>
      <c r="M1810" t="n">
        <v>0</v>
      </c>
      <c r="N1810" t="n">
        <v>0</v>
      </c>
      <c r="O1810" t="n">
        <v>1</v>
      </c>
      <c r="P1810" t="n">
        <v>0</v>
      </c>
      <c r="Q1810" t="n">
        <v>1</v>
      </c>
      <c r="R1810" s="2" t="inlineStr">
        <is>
          <t>Skrovellav</t>
        </is>
      </c>
      <c r="S1810">
        <f>HYPERLINK("https://klasma.github.io/Logging_2313/artfynd/A 69551-2021 artfynd.xlsx", "A 69551-2021")</f>
        <v/>
      </c>
      <c r="T1810">
        <f>HYPERLINK("https://klasma.github.io/Logging_2313/kartor/A 69551-2021 karta.png", "A 69551-2021")</f>
        <v/>
      </c>
      <c r="V1810">
        <f>HYPERLINK("https://klasma.github.io/Logging_2313/klagomål/A 69551-2021 FSC-klagomål.docx", "A 69551-2021")</f>
        <v/>
      </c>
      <c r="W1810">
        <f>HYPERLINK("https://klasma.github.io/Logging_2313/klagomålsmail/A 69551-2021 FSC-klagomål mail.docx", "A 69551-2021")</f>
        <v/>
      </c>
      <c r="X1810">
        <f>HYPERLINK("https://klasma.github.io/Logging_2313/tillsyn/A 69551-2021 tillsynsbegäran.docx", "A 69551-2021")</f>
        <v/>
      </c>
      <c r="Y1810">
        <f>HYPERLINK("https://klasma.github.io/Logging_2313/tillsynsmail/A 69551-2021 tillsynsbegäran mail.docx", "A 69551-2021")</f>
        <v/>
      </c>
    </row>
    <row r="1811" ht="15" customHeight="1">
      <c r="A1811" t="inlineStr">
        <is>
          <t>A 60150-2025</t>
        </is>
      </c>
      <c r="B1811" s="1" t="n">
        <v>45994.38944444444</v>
      </c>
      <c r="C1811" s="1" t="n">
        <v>46045</v>
      </c>
      <c r="D1811" t="inlineStr">
        <is>
          <t>JÄMTLANDS LÄN</t>
        </is>
      </c>
      <c r="E1811" t="inlineStr">
        <is>
          <t>BERG</t>
        </is>
      </c>
      <c r="G1811" t="n">
        <v>17.6</v>
      </c>
      <c r="H1811" t="n">
        <v>0</v>
      </c>
      <c r="I1811" t="n">
        <v>0</v>
      </c>
      <c r="J1811" t="n">
        <v>1</v>
      </c>
      <c r="K1811" t="n">
        <v>0</v>
      </c>
      <c r="L1811" t="n">
        <v>0</v>
      </c>
      <c r="M1811" t="n">
        <v>0</v>
      </c>
      <c r="N1811" t="n">
        <v>0</v>
      </c>
      <c r="O1811" t="n">
        <v>1</v>
      </c>
      <c r="P1811" t="n">
        <v>0</v>
      </c>
      <c r="Q1811" t="n">
        <v>1</v>
      </c>
      <c r="R1811" s="2" t="inlineStr">
        <is>
          <t>Kolflarnlav</t>
        </is>
      </c>
      <c r="S1811">
        <f>HYPERLINK("https://klasma.github.io/Logging_2326/artfynd/A 60150-2025 artfynd.xlsx", "A 60150-2025")</f>
        <v/>
      </c>
      <c r="T1811">
        <f>HYPERLINK("https://klasma.github.io/Logging_2326/kartor/A 60150-2025 karta.png", "A 60150-2025")</f>
        <v/>
      </c>
      <c r="V1811">
        <f>HYPERLINK("https://klasma.github.io/Logging_2326/klagomål/A 60150-2025 FSC-klagomål.docx", "A 60150-2025")</f>
        <v/>
      </c>
      <c r="W1811">
        <f>HYPERLINK("https://klasma.github.io/Logging_2326/klagomålsmail/A 60150-2025 FSC-klagomål mail.docx", "A 60150-2025")</f>
        <v/>
      </c>
      <c r="X1811">
        <f>HYPERLINK("https://klasma.github.io/Logging_2326/tillsyn/A 60150-2025 tillsynsbegäran.docx", "A 60150-2025")</f>
        <v/>
      </c>
      <c r="Y1811">
        <f>HYPERLINK("https://klasma.github.io/Logging_2326/tillsynsmail/A 60150-2025 tillsynsbegäran mail.docx", "A 60150-2025")</f>
        <v/>
      </c>
    </row>
    <row r="1812" ht="15" customHeight="1">
      <c r="A1812" t="inlineStr">
        <is>
          <t>A 34890-2025</t>
        </is>
      </c>
      <c r="B1812" s="1" t="n">
        <v>45849.49013888889</v>
      </c>
      <c r="C1812" s="1" t="n">
        <v>46045</v>
      </c>
      <c r="D1812" t="inlineStr">
        <is>
          <t>JÄMTLANDS LÄN</t>
        </is>
      </c>
      <c r="E1812" t="inlineStr">
        <is>
          <t>STRÖMSUND</t>
        </is>
      </c>
      <c r="F1812" t="inlineStr">
        <is>
          <t>SCA</t>
        </is>
      </c>
      <c r="G1812" t="n">
        <v>15.7</v>
      </c>
      <c r="H1812" t="n">
        <v>1</v>
      </c>
      <c r="I1812" t="n">
        <v>0</v>
      </c>
      <c r="J1812" t="n">
        <v>0</v>
      </c>
      <c r="K1812" t="n">
        <v>1</v>
      </c>
      <c r="L1812" t="n">
        <v>0</v>
      </c>
      <c r="M1812" t="n">
        <v>0</v>
      </c>
      <c r="N1812" t="n">
        <v>0</v>
      </c>
      <c r="O1812" t="n">
        <v>1</v>
      </c>
      <c r="P1812" t="n">
        <v>1</v>
      </c>
      <c r="Q1812" t="n">
        <v>1</v>
      </c>
      <c r="R1812" s="2" t="inlineStr">
        <is>
          <t>Doftticka</t>
        </is>
      </c>
      <c r="S1812">
        <f>HYPERLINK("https://klasma.github.io/Logging_2313/artfynd/A 34890-2025 artfynd.xlsx", "A 34890-2025")</f>
        <v/>
      </c>
      <c r="T1812">
        <f>HYPERLINK("https://klasma.github.io/Logging_2313/kartor/A 34890-2025 karta.png", "A 34890-2025")</f>
        <v/>
      </c>
      <c r="V1812">
        <f>HYPERLINK("https://klasma.github.io/Logging_2313/klagomål/A 34890-2025 FSC-klagomål.docx", "A 34890-2025")</f>
        <v/>
      </c>
      <c r="W1812">
        <f>HYPERLINK("https://klasma.github.io/Logging_2313/klagomålsmail/A 34890-2025 FSC-klagomål mail.docx", "A 34890-2025")</f>
        <v/>
      </c>
      <c r="X1812">
        <f>HYPERLINK("https://klasma.github.io/Logging_2313/tillsyn/A 34890-2025 tillsynsbegäran.docx", "A 34890-2025")</f>
        <v/>
      </c>
      <c r="Y1812">
        <f>HYPERLINK("https://klasma.github.io/Logging_2313/tillsynsmail/A 34890-2025 tillsynsbegäran mail.docx", "A 34890-2025")</f>
        <v/>
      </c>
    </row>
    <row r="1813" ht="15" customHeight="1">
      <c r="A1813" t="inlineStr">
        <is>
          <t>A 34911-2025</t>
        </is>
      </c>
      <c r="B1813" s="1" t="n">
        <v>45849.53545138889</v>
      </c>
      <c r="C1813" s="1" t="n">
        <v>46045</v>
      </c>
      <c r="D1813" t="inlineStr">
        <is>
          <t>JÄMTLANDS LÄN</t>
        </is>
      </c>
      <c r="E1813" t="inlineStr">
        <is>
          <t>BRÄCKE</t>
        </is>
      </c>
      <c r="F1813" t="inlineStr">
        <is>
          <t>Sveaskog</t>
        </is>
      </c>
      <c r="G1813" t="n">
        <v>7.2</v>
      </c>
      <c r="H1813" t="n">
        <v>1</v>
      </c>
      <c r="I1813" t="n">
        <v>1</v>
      </c>
      <c r="J1813" t="n">
        <v>0</v>
      </c>
      <c r="K1813" t="n">
        <v>0</v>
      </c>
      <c r="L1813" t="n">
        <v>0</v>
      </c>
      <c r="M1813" t="n">
        <v>0</v>
      </c>
      <c r="N1813" t="n">
        <v>0</v>
      </c>
      <c r="O1813" t="n">
        <v>0</v>
      </c>
      <c r="P1813" t="n">
        <v>0</v>
      </c>
      <c r="Q1813" t="n">
        <v>1</v>
      </c>
      <c r="R1813" s="2" t="inlineStr">
        <is>
          <t>Guckusko</t>
        </is>
      </c>
      <c r="S1813">
        <f>HYPERLINK("https://klasma.github.io/Logging_2305/artfynd/A 34911-2025 artfynd.xlsx", "A 34911-2025")</f>
        <v/>
      </c>
      <c r="T1813">
        <f>HYPERLINK("https://klasma.github.io/Logging_2305/kartor/A 34911-2025 karta.png", "A 34911-2025")</f>
        <v/>
      </c>
      <c r="V1813">
        <f>HYPERLINK("https://klasma.github.io/Logging_2305/klagomål/A 34911-2025 FSC-klagomål.docx", "A 34911-2025")</f>
        <v/>
      </c>
      <c r="W1813">
        <f>HYPERLINK("https://klasma.github.io/Logging_2305/klagomålsmail/A 34911-2025 FSC-klagomål mail.docx", "A 34911-2025")</f>
        <v/>
      </c>
      <c r="X1813">
        <f>HYPERLINK("https://klasma.github.io/Logging_2305/tillsyn/A 34911-2025 tillsynsbegäran.docx", "A 34911-2025")</f>
        <v/>
      </c>
      <c r="Y1813">
        <f>HYPERLINK("https://klasma.github.io/Logging_2305/tillsynsmail/A 34911-2025 tillsynsbegäran mail.docx", "A 34911-2025")</f>
        <v/>
      </c>
    </row>
    <row r="1814" ht="15" customHeight="1">
      <c r="A1814" t="inlineStr">
        <is>
          <t>A 2097-2026</t>
        </is>
      </c>
      <c r="B1814" s="1" t="n">
        <v>46036.36556712963</v>
      </c>
      <c r="C1814" s="1" t="n">
        <v>46045</v>
      </c>
      <c r="D1814" t="inlineStr">
        <is>
          <t>JÄMTLANDS LÄN</t>
        </is>
      </c>
      <c r="E1814" t="inlineStr">
        <is>
          <t>RAGUNDA</t>
        </is>
      </c>
      <c r="F1814" t="inlineStr">
        <is>
          <t>SCA</t>
        </is>
      </c>
      <c r="G1814" t="n">
        <v>0.9</v>
      </c>
      <c r="H1814" t="n">
        <v>0</v>
      </c>
      <c r="I1814" t="n">
        <v>0</v>
      </c>
      <c r="J1814" t="n">
        <v>0</v>
      </c>
      <c r="K1814" t="n">
        <v>0</v>
      </c>
      <c r="L1814" t="n">
        <v>1</v>
      </c>
      <c r="M1814" t="n">
        <v>0</v>
      </c>
      <c r="N1814" t="n">
        <v>0</v>
      </c>
      <c r="O1814" t="n">
        <v>1</v>
      </c>
      <c r="P1814" t="n">
        <v>1</v>
      </c>
      <c r="Q1814" t="n">
        <v>1</v>
      </c>
      <c r="R1814" s="2" t="inlineStr">
        <is>
          <t>Trolldruvemätare</t>
        </is>
      </c>
      <c r="S1814">
        <f>HYPERLINK("https://klasma.github.io/Logging_2303/artfynd/A 2097-2026 artfynd.xlsx", "A 2097-2026")</f>
        <v/>
      </c>
      <c r="T1814">
        <f>HYPERLINK("https://klasma.github.io/Logging_2303/kartor/A 2097-2026 karta.png", "A 2097-2026")</f>
        <v/>
      </c>
      <c r="V1814">
        <f>HYPERLINK("https://klasma.github.io/Logging_2303/klagomål/A 2097-2026 FSC-klagomål.docx", "A 2097-2026")</f>
        <v/>
      </c>
      <c r="W1814">
        <f>HYPERLINK("https://klasma.github.io/Logging_2303/klagomålsmail/A 2097-2026 FSC-klagomål mail.docx", "A 2097-2026")</f>
        <v/>
      </c>
      <c r="X1814">
        <f>HYPERLINK("https://klasma.github.io/Logging_2303/tillsyn/A 2097-2026 tillsynsbegäran.docx", "A 2097-2026")</f>
        <v/>
      </c>
      <c r="Y1814">
        <f>HYPERLINK("https://klasma.github.io/Logging_2303/tillsynsmail/A 2097-2026 tillsynsbegäran mail.docx", "A 2097-2026")</f>
        <v/>
      </c>
    </row>
    <row r="1815" ht="15" customHeight="1">
      <c r="A1815" t="inlineStr">
        <is>
          <t>A 44406-2025</t>
        </is>
      </c>
      <c r="B1815" s="1" t="n">
        <v>45916</v>
      </c>
      <c r="C1815" s="1" t="n">
        <v>46045</v>
      </c>
      <c r="D1815" t="inlineStr">
        <is>
          <t>JÄMTLANDS LÄN</t>
        </is>
      </c>
      <c r="E1815" t="inlineStr">
        <is>
          <t>STRÖMSUND</t>
        </is>
      </c>
      <c r="F1815" t="inlineStr">
        <is>
          <t>Holmen skog AB</t>
        </is>
      </c>
      <c r="G1815" t="n">
        <v>21.8</v>
      </c>
      <c r="H1815" t="n">
        <v>1</v>
      </c>
      <c r="I1815" t="n">
        <v>0</v>
      </c>
      <c r="J1815" t="n">
        <v>0</v>
      </c>
      <c r="K1815" t="n">
        <v>0</v>
      </c>
      <c r="L1815" t="n">
        <v>0</v>
      </c>
      <c r="M1815" t="n">
        <v>0</v>
      </c>
      <c r="N1815" t="n">
        <v>0</v>
      </c>
      <c r="O1815" t="n">
        <v>0</v>
      </c>
      <c r="P1815" t="n">
        <v>0</v>
      </c>
      <c r="Q1815" t="n">
        <v>1</v>
      </c>
      <c r="R1815" s="2" t="inlineStr">
        <is>
          <t>Fläcknycklar</t>
        </is>
      </c>
      <c r="S1815">
        <f>HYPERLINK("https://klasma.github.io/Logging_2313/artfynd/A 44406-2025 artfynd.xlsx", "A 44406-2025")</f>
        <v/>
      </c>
      <c r="T1815">
        <f>HYPERLINK("https://klasma.github.io/Logging_2313/kartor/A 44406-2025 karta.png", "A 44406-2025")</f>
        <v/>
      </c>
      <c r="V1815">
        <f>HYPERLINK("https://klasma.github.io/Logging_2313/klagomål/A 44406-2025 FSC-klagomål.docx", "A 44406-2025")</f>
        <v/>
      </c>
      <c r="W1815">
        <f>HYPERLINK("https://klasma.github.io/Logging_2313/klagomålsmail/A 44406-2025 FSC-klagomål mail.docx", "A 44406-2025")</f>
        <v/>
      </c>
      <c r="X1815">
        <f>HYPERLINK("https://klasma.github.io/Logging_2313/tillsyn/A 44406-2025 tillsynsbegäran.docx", "A 44406-2025")</f>
        <v/>
      </c>
      <c r="Y1815">
        <f>HYPERLINK("https://klasma.github.io/Logging_2313/tillsynsmail/A 44406-2025 tillsynsbegäran mail.docx", "A 44406-2025")</f>
        <v/>
      </c>
    </row>
    <row r="1816" ht="15" customHeight="1">
      <c r="A1816" t="inlineStr">
        <is>
          <t>A 49175-2024</t>
        </is>
      </c>
      <c r="B1816" s="1" t="n">
        <v>45595</v>
      </c>
      <c r="C1816" s="1" t="n">
        <v>46045</v>
      </c>
      <c r="D1816" t="inlineStr">
        <is>
          <t>JÄMTLANDS LÄN</t>
        </is>
      </c>
      <c r="E1816" t="inlineStr">
        <is>
          <t>KROKOM</t>
        </is>
      </c>
      <c r="G1816" t="n">
        <v>172.9</v>
      </c>
      <c r="H1816" t="n">
        <v>0</v>
      </c>
      <c r="I1816" t="n">
        <v>0</v>
      </c>
      <c r="J1816" t="n">
        <v>1</v>
      </c>
      <c r="K1816" t="n">
        <v>0</v>
      </c>
      <c r="L1816" t="n">
        <v>0</v>
      </c>
      <c r="M1816" t="n">
        <v>0</v>
      </c>
      <c r="N1816" t="n">
        <v>0</v>
      </c>
      <c r="O1816" t="n">
        <v>1</v>
      </c>
      <c r="P1816" t="n">
        <v>0</v>
      </c>
      <c r="Q1816" t="n">
        <v>1</v>
      </c>
      <c r="R1816" s="2" t="inlineStr">
        <is>
          <t>Granticka</t>
        </is>
      </c>
      <c r="S1816">
        <f>HYPERLINK("https://klasma.github.io/Logging_2309/artfynd/A 49175-2024 artfynd.xlsx", "A 49175-2024")</f>
        <v/>
      </c>
      <c r="T1816">
        <f>HYPERLINK("https://klasma.github.io/Logging_2309/kartor/A 49175-2024 karta.png", "A 49175-2024")</f>
        <v/>
      </c>
      <c r="V1816">
        <f>HYPERLINK("https://klasma.github.io/Logging_2309/klagomål/A 49175-2024 FSC-klagomål.docx", "A 49175-2024")</f>
        <v/>
      </c>
      <c r="W1816">
        <f>HYPERLINK("https://klasma.github.io/Logging_2309/klagomålsmail/A 49175-2024 FSC-klagomål mail.docx", "A 49175-2024")</f>
        <v/>
      </c>
      <c r="X1816">
        <f>HYPERLINK("https://klasma.github.io/Logging_2309/tillsyn/A 49175-2024 tillsynsbegäran.docx", "A 49175-2024")</f>
        <v/>
      </c>
      <c r="Y1816">
        <f>HYPERLINK("https://klasma.github.io/Logging_2309/tillsynsmail/A 49175-2024 tillsynsbegäran mail.docx", "A 49175-2024")</f>
        <v/>
      </c>
    </row>
    <row r="1817" ht="15" customHeight="1">
      <c r="A1817" t="inlineStr">
        <is>
          <t>A 35210-2025</t>
        </is>
      </c>
      <c r="B1817" s="1" t="n">
        <v>45853.44842592593</v>
      </c>
      <c r="C1817" s="1" t="n">
        <v>46045</v>
      </c>
      <c r="D1817" t="inlineStr">
        <is>
          <t>JÄMTLANDS LÄN</t>
        </is>
      </c>
      <c r="E1817" t="inlineStr">
        <is>
          <t>BRÄCKE</t>
        </is>
      </c>
      <c r="F1817" t="inlineStr">
        <is>
          <t>SCA</t>
        </is>
      </c>
      <c r="G1817" t="n">
        <v>2.6</v>
      </c>
      <c r="H1817" t="n">
        <v>0</v>
      </c>
      <c r="I1817" t="n">
        <v>0</v>
      </c>
      <c r="J1817" t="n">
        <v>1</v>
      </c>
      <c r="K1817" t="n">
        <v>0</v>
      </c>
      <c r="L1817" t="n">
        <v>0</v>
      </c>
      <c r="M1817" t="n">
        <v>0</v>
      </c>
      <c r="N1817" t="n">
        <v>0</v>
      </c>
      <c r="O1817" t="n">
        <v>1</v>
      </c>
      <c r="P1817" t="n">
        <v>0</v>
      </c>
      <c r="Q1817" t="n">
        <v>1</v>
      </c>
      <c r="R1817" s="2" t="inlineStr">
        <is>
          <t>Lunglav</t>
        </is>
      </c>
      <c r="S1817">
        <f>HYPERLINK("https://klasma.github.io/Logging_2305/artfynd/A 35210-2025 artfynd.xlsx", "A 35210-2025")</f>
        <v/>
      </c>
      <c r="T1817">
        <f>HYPERLINK("https://klasma.github.io/Logging_2305/kartor/A 35210-2025 karta.png", "A 35210-2025")</f>
        <v/>
      </c>
      <c r="V1817">
        <f>HYPERLINK("https://klasma.github.io/Logging_2305/klagomål/A 35210-2025 FSC-klagomål.docx", "A 35210-2025")</f>
        <v/>
      </c>
      <c r="W1817">
        <f>HYPERLINK("https://klasma.github.io/Logging_2305/klagomålsmail/A 35210-2025 FSC-klagomål mail.docx", "A 35210-2025")</f>
        <v/>
      </c>
      <c r="X1817">
        <f>HYPERLINK("https://klasma.github.io/Logging_2305/tillsyn/A 35210-2025 tillsynsbegäran.docx", "A 35210-2025")</f>
        <v/>
      </c>
      <c r="Y1817">
        <f>HYPERLINK("https://klasma.github.io/Logging_2305/tillsynsmail/A 35210-2025 tillsynsbegäran mail.docx", "A 35210-2025")</f>
        <v/>
      </c>
    </row>
    <row r="1818" ht="15" customHeight="1">
      <c r="A1818" t="inlineStr">
        <is>
          <t>A 35211-2025</t>
        </is>
      </c>
      <c r="B1818" s="1" t="n">
        <v>45853.45060185185</v>
      </c>
      <c r="C1818" s="1" t="n">
        <v>46045</v>
      </c>
      <c r="D1818" t="inlineStr">
        <is>
          <t>JÄMTLANDS LÄN</t>
        </is>
      </c>
      <c r="E1818" t="inlineStr">
        <is>
          <t>BERG</t>
        </is>
      </c>
      <c r="G1818" t="n">
        <v>0.8</v>
      </c>
      <c r="H1818" t="n">
        <v>1</v>
      </c>
      <c r="I1818" t="n">
        <v>0</v>
      </c>
      <c r="J1818" t="n">
        <v>0</v>
      </c>
      <c r="K1818" t="n">
        <v>1</v>
      </c>
      <c r="L1818" t="n">
        <v>0</v>
      </c>
      <c r="M1818" t="n">
        <v>0</v>
      </c>
      <c r="N1818" t="n">
        <v>0</v>
      </c>
      <c r="O1818" t="n">
        <v>1</v>
      </c>
      <c r="P1818" t="n">
        <v>1</v>
      </c>
      <c r="Q1818" t="n">
        <v>1</v>
      </c>
      <c r="R1818" s="2" t="inlineStr">
        <is>
          <t>Knärot</t>
        </is>
      </c>
      <c r="S1818">
        <f>HYPERLINK("https://klasma.github.io/Logging_2326/artfynd/A 35211-2025 artfynd.xlsx", "A 35211-2025")</f>
        <v/>
      </c>
      <c r="T1818">
        <f>HYPERLINK("https://klasma.github.io/Logging_2326/kartor/A 35211-2025 karta.png", "A 35211-2025")</f>
        <v/>
      </c>
      <c r="U1818">
        <f>HYPERLINK("https://klasma.github.io/Logging_2326/knärot/A 35211-2025 karta knärot.png", "A 35211-2025")</f>
        <v/>
      </c>
      <c r="V1818">
        <f>HYPERLINK("https://klasma.github.io/Logging_2326/klagomål/A 35211-2025 FSC-klagomål.docx", "A 35211-2025")</f>
        <v/>
      </c>
      <c r="W1818">
        <f>HYPERLINK("https://klasma.github.io/Logging_2326/klagomålsmail/A 35211-2025 FSC-klagomål mail.docx", "A 35211-2025")</f>
        <v/>
      </c>
      <c r="X1818">
        <f>HYPERLINK("https://klasma.github.io/Logging_2326/tillsyn/A 35211-2025 tillsynsbegäran.docx", "A 35211-2025")</f>
        <v/>
      </c>
      <c r="Y1818">
        <f>HYPERLINK("https://klasma.github.io/Logging_2326/tillsynsmail/A 35211-2025 tillsynsbegäran mail.docx", "A 35211-2025")</f>
        <v/>
      </c>
    </row>
    <row r="1819" ht="15" customHeight="1">
      <c r="A1819" t="inlineStr">
        <is>
          <t>A 35328-2025</t>
        </is>
      </c>
      <c r="B1819" s="1" t="n">
        <v>45854.53034722222</v>
      </c>
      <c r="C1819" s="1" t="n">
        <v>46045</v>
      </c>
      <c r="D1819" t="inlineStr">
        <is>
          <t>JÄMTLANDS LÄN</t>
        </is>
      </c>
      <c r="E1819" t="inlineStr">
        <is>
          <t>BRÄCKE</t>
        </is>
      </c>
      <c r="F1819" t="inlineStr">
        <is>
          <t>Sveaskog</t>
        </is>
      </c>
      <c r="G1819" t="n">
        <v>4.8</v>
      </c>
      <c r="H1819" t="n">
        <v>0</v>
      </c>
      <c r="I1819" t="n">
        <v>0</v>
      </c>
      <c r="J1819" t="n">
        <v>1</v>
      </c>
      <c r="K1819" t="n">
        <v>0</v>
      </c>
      <c r="L1819" t="n">
        <v>0</v>
      </c>
      <c r="M1819" t="n">
        <v>0</v>
      </c>
      <c r="N1819" t="n">
        <v>0</v>
      </c>
      <c r="O1819" t="n">
        <v>1</v>
      </c>
      <c r="P1819" t="n">
        <v>0</v>
      </c>
      <c r="Q1819" t="n">
        <v>1</v>
      </c>
      <c r="R1819" s="2" t="inlineStr">
        <is>
          <t>Lunglav</t>
        </is>
      </c>
      <c r="S1819">
        <f>HYPERLINK("https://klasma.github.io/Logging_2305/artfynd/A 35328-2025 artfynd.xlsx", "A 35328-2025")</f>
        <v/>
      </c>
      <c r="T1819">
        <f>HYPERLINK("https://klasma.github.io/Logging_2305/kartor/A 35328-2025 karta.png", "A 35328-2025")</f>
        <v/>
      </c>
      <c r="V1819">
        <f>HYPERLINK("https://klasma.github.io/Logging_2305/klagomål/A 35328-2025 FSC-klagomål.docx", "A 35328-2025")</f>
        <v/>
      </c>
      <c r="W1819">
        <f>HYPERLINK("https://klasma.github.io/Logging_2305/klagomålsmail/A 35328-2025 FSC-klagomål mail.docx", "A 35328-2025")</f>
        <v/>
      </c>
      <c r="X1819">
        <f>HYPERLINK("https://klasma.github.io/Logging_2305/tillsyn/A 35328-2025 tillsynsbegäran.docx", "A 35328-2025")</f>
        <v/>
      </c>
      <c r="Y1819">
        <f>HYPERLINK("https://klasma.github.io/Logging_2305/tillsynsmail/A 35328-2025 tillsynsbegäran mail.docx", "A 35328-2025")</f>
        <v/>
      </c>
    </row>
    <row r="1820" ht="15" customHeight="1">
      <c r="A1820" t="inlineStr">
        <is>
          <t>A 12062-2023</t>
        </is>
      </c>
      <c r="B1820" s="1" t="n">
        <v>44996</v>
      </c>
      <c r="C1820" s="1" t="n">
        <v>46045</v>
      </c>
      <c r="D1820" t="inlineStr">
        <is>
          <t>JÄMTLANDS LÄN</t>
        </is>
      </c>
      <c r="E1820" t="inlineStr">
        <is>
          <t>BRÄCKE</t>
        </is>
      </c>
      <c r="G1820" t="n">
        <v>5.4</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12062-2023 artfynd.xlsx", "A 12062-2023")</f>
        <v/>
      </c>
      <c r="T1820">
        <f>HYPERLINK("https://klasma.github.io/Logging_2305/kartor/A 12062-2023 karta.png", "A 12062-2023")</f>
        <v/>
      </c>
      <c r="V1820">
        <f>HYPERLINK("https://klasma.github.io/Logging_2305/klagomål/A 12062-2023 FSC-klagomål.docx", "A 12062-2023")</f>
        <v/>
      </c>
      <c r="W1820">
        <f>HYPERLINK("https://klasma.github.io/Logging_2305/klagomålsmail/A 12062-2023 FSC-klagomål mail.docx", "A 12062-2023")</f>
        <v/>
      </c>
      <c r="X1820">
        <f>HYPERLINK("https://klasma.github.io/Logging_2305/tillsyn/A 12062-2023 tillsynsbegäran.docx", "A 12062-2023")</f>
        <v/>
      </c>
      <c r="Y1820">
        <f>HYPERLINK("https://klasma.github.io/Logging_2305/tillsynsmail/A 12062-2023 tillsynsbegäran mail.docx", "A 12062-2023")</f>
        <v/>
      </c>
    </row>
    <row r="1821" ht="15" customHeight="1">
      <c r="A1821" t="inlineStr">
        <is>
          <t>A 1824-2026</t>
        </is>
      </c>
      <c r="B1821" s="1" t="n">
        <v>46035.36510416667</v>
      </c>
      <c r="C1821" s="1" t="n">
        <v>46045</v>
      </c>
      <c r="D1821" t="inlineStr">
        <is>
          <t>JÄMTLANDS LÄN</t>
        </is>
      </c>
      <c r="E1821" t="inlineStr">
        <is>
          <t>KROKOM</t>
        </is>
      </c>
      <c r="G1821" t="n">
        <v>7.1</v>
      </c>
      <c r="H1821" t="n">
        <v>0</v>
      </c>
      <c r="I1821" t="n">
        <v>0</v>
      </c>
      <c r="J1821" t="n">
        <v>1</v>
      </c>
      <c r="K1821" t="n">
        <v>0</v>
      </c>
      <c r="L1821" t="n">
        <v>0</v>
      </c>
      <c r="M1821" t="n">
        <v>0</v>
      </c>
      <c r="N1821" t="n">
        <v>0</v>
      </c>
      <c r="O1821" t="n">
        <v>1</v>
      </c>
      <c r="P1821" t="n">
        <v>0</v>
      </c>
      <c r="Q1821" t="n">
        <v>1</v>
      </c>
      <c r="R1821" s="2" t="inlineStr">
        <is>
          <t>Garnlav</t>
        </is>
      </c>
      <c r="S1821">
        <f>HYPERLINK("https://klasma.github.io/Logging_2309/artfynd/A 1824-2026 artfynd.xlsx", "A 1824-2026")</f>
        <v/>
      </c>
      <c r="T1821">
        <f>HYPERLINK("https://klasma.github.io/Logging_2309/kartor/A 1824-2026 karta.png", "A 1824-2026")</f>
        <v/>
      </c>
      <c r="V1821">
        <f>HYPERLINK("https://klasma.github.io/Logging_2309/klagomål/A 1824-2026 FSC-klagomål.docx", "A 1824-2026")</f>
        <v/>
      </c>
      <c r="W1821">
        <f>HYPERLINK("https://klasma.github.io/Logging_2309/klagomålsmail/A 1824-2026 FSC-klagomål mail.docx", "A 1824-2026")</f>
        <v/>
      </c>
      <c r="X1821">
        <f>HYPERLINK("https://klasma.github.io/Logging_2309/tillsyn/A 1824-2026 tillsynsbegäran.docx", "A 1824-2026")</f>
        <v/>
      </c>
      <c r="Y1821">
        <f>HYPERLINK("https://klasma.github.io/Logging_2309/tillsynsmail/A 1824-2026 tillsynsbegäran mail.docx", "A 1824-2026")</f>
        <v/>
      </c>
    </row>
    <row r="1822" ht="15" customHeight="1">
      <c r="A1822" t="inlineStr">
        <is>
          <t>A 36533-2025</t>
        </is>
      </c>
      <c r="B1822" s="1" t="n">
        <v>45869</v>
      </c>
      <c r="C1822" s="1" t="n">
        <v>46045</v>
      </c>
      <c r="D1822" t="inlineStr">
        <is>
          <t>JÄMTLANDS LÄN</t>
        </is>
      </c>
      <c r="E1822" t="inlineStr">
        <is>
          <t>HÄRJEDALEN</t>
        </is>
      </c>
      <c r="G1822" t="n">
        <v>3.7</v>
      </c>
      <c r="H1822" t="n">
        <v>0</v>
      </c>
      <c r="I1822" t="n">
        <v>0</v>
      </c>
      <c r="J1822" t="n">
        <v>1</v>
      </c>
      <c r="K1822" t="n">
        <v>0</v>
      </c>
      <c r="L1822" t="n">
        <v>0</v>
      </c>
      <c r="M1822" t="n">
        <v>0</v>
      </c>
      <c r="N1822" t="n">
        <v>0</v>
      </c>
      <c r="O1822" t="n">
        <v>1</v>
      </c>
      <c r="P1822" t="n">
        <v>0</v>
      </c>
      <c r="Q1822" t="n">
        <v>1</v>
      </c>
      <c r="R1822" s="2" t="inlineStr">
        <is>
          <t>Lunglav</t>
        </is>
      </c>
      <c r="S1822">
        <f>HYPERLINK("https://klasma.github.io/Logging_2361/artfynd/A 36533-2025 artfynd.xlsx", "A 36533-2025")</f>
        <v/>
      </c>
      <c r="T1822">
        <f>HYPERLINK("https://klasma.github.io/Logging_2361/kartor/A 36533-2025 karta.png", "A 36533-2025")</f>
        <v/>
      </c>
      <c r="V1822">
        <f>HYPERLINK("https://klasma.github.io/Logging_2361/klagomål/A 36533-2025 FSC-klagomål.docx", "A 36533-2025")</f>
        <v/>
      </c>
      <c r="W1822">
        <f>HYPERLINK("https://klasma.github.io/Logging_2361/klagomålsmail/A 36533-2025 FSC-klagomål mail.docx", "A 36533-2025")</f>
        <v/>
      </c>
      <c r="X1822">
        <f>HYPERLINK("https://klasma.github.io/Logging_2361/tillsyn/A 36533-2025 tillsynsbegäran.docx", "A 36533-2025")</f>
        <v/>
      </c>
      <c r="Y1822">
        <f>HYPERLINK("https://klasma.github.io/Logging_2361/tillsynsmail/A 36533-2025 tillsynsbegäran mail.docx", "A 36533-2025")</f>
        <v/>
      </c>
    </row>
    <row r="1823" ht="15" customHeight="1">
      <c r="A1823" t="inlineStr">
        <is>
          <t>A 35535-2025</t>
        </is>
      </c>
      <c r="B1823" s="1" t="n">
        <v>45856.45047453704</v>
      </c>
      <c r="C1823" s="1" t="n">
        <v>46045</v>
      </c>
      <c r="D1823" t="inlineStr">
        <is>
          <t>JÄMTLANDS LÄN</t>
        </is>
      </c>
      <c r="E1823" t="inlineStr">
        <is>
          <t>BERG</t>
        </is>
      </c>
      <c r="F1823" t="inlineStr">
        <is>
          <t>Sveaskog</t>
        </is>
      </c>
      <c r="G1823" t="n">
        <v>2.4</v>
      </c>
      <c r="H1823" t="n">
        <v>0</v>
      </c>
      <c r="I1823" t="n">
        <v>0</v>
      </c>
      <c r="J1823" t="n">
        <v>1</v>
      </c>
      <c r="K1823" t="n">
        <v>0</v>
      </c>
      <c r="L1823" t="n">
        <v>0</v>
      </c>
      <c r="M1823" t="n">
        <v>0</v>
      </c>
      <c r="N1823" t="n">
        <v>0</v>
      </c>
      <c r="O1823" t="n">
        <v>1</v>
      </c>
      <c r="P1823" t="n">
        <v>0</v>
      </c>
      <c r="Q1823" t="n">
        <v>1</v>
      </c>
      <c r="R1823" s="2" t="inlineStr">
        <is>
          <t>Lunglav</t>
        </is>
      </c>
      <c r="S1823">
        <f>HYPERLINK("https://klasma.github.io/Logging_2326/artfynd/A 35535-2025 artfynd.xlsx", "A 35535-2025")</f>
        <v/>
      </c>
      <c r="T1823">
        <f>HYPERLINK("https://klasma.github.io/Logging_2326/kartor/A 35535-2025 karta.png", "A 35535-2025")</f>
        <v/>
      </c>
      <c r="V1823">
        <f>HYPERLINK("https://klasma.github.io/Logging_2326/klagomål/A 35535-2025 FSC-klagomål.docx", "A 35535-2025")</f>
        <v/>
      </c>
      <c r="W1823">
        <f>HYPERLINK("https://klasma.github.io/Logging_2326/klagomålsmail/A 35535-2025 FSC-klagomål mail.docx", "A 35535-2025")</f>
        <v/>
      </c>
      <c r="X1823">
        <f>HYPERLINK("https://klasma.github.io/Logging_2326/tillsyn/A 35535-2025 tillsynsbegäran.docx", "A 35535-2025")</f>
        <v/>
      </c>
      <c r="Y1823">
        <f>HYPERLINK("https://klasma.github.io/Logging_2326/tillsynsmail/A 35535-2025 tillsynsbegäran mail.docx", "A 35535-2025")</f>
        <v/>
      </c>
    </row>
    <row r="1824" ht="15" customHeight="1">
      <c r="A1824" t="inlineStr">
        <is>
          <t>A 2452-2026</t>
        </is>
      </c>
      <c r="B1824" s="1" t="n">
        <v>46037.34447916667</v>
      </c>
      <c r="C1824" s="1" t="n">
        <v>46045</v>
      </c>
      <c r="D1824" t="inlineStr">
        <is>
          <t>JÄMTLANDS LÄN</t>
        </is>
      </c>
      <c r="E1824" t="inlineStr">
        <is>
          <t>KROKOM</t>
        </is>
      </c>
      <c r="G1824" t="n">
        <v>17.2</v>
      </c>
      <c r="H1824" t="n">
        <v>0</v>
      </c>
      <c r="I1824" t="n">
        <v>1</v>
      </c>
      <c r="J1824" t="n">
        <v>0</v>
      </c>
      <c r="K1824" t="n">
        <v>0</v>
      </c>
      <c r="L1824" t="n">
        <v>0</v>
      </c>
      <c r="M1824" t="n">
        <v>0</v>
      </c>
      <c r="N1824" t="n">
        <v>0</v>
      </c>
      <c r="O1824" t="n">
        <v>0</v>
      </c>
      <c r="P1824" t="n">
        <v>0</v>
      </c>
      <c r="Q1824" t="n">
        <v>1</v>
      </c>
      <c r="R1824" s="2" t="inlineStr">
        <is>
          <t>Stuplav</t>
        </is>
      </c>
      <c r="S1824">
        <f>HYPERLINK("https://klasma.github.io/Logging_2309/artfynd/A 2452-2026 artfynd.xlsx", "A 2452-2026")</f>
        <v/>
      </c>
      <c r="T1824">
        <f>HYPERLINK("https://klasma.github.io/Logging_2309/kartor/A 2452-2026 karta.png", "A 2452-2026")</f>
        <v/>
      </c>
      <c r="V1824">
        <f>HYPERLINK("https://klasma.github.io/Logging_2309/klagomål/A 2452-2026 FSC-klagomål.docx", "A 2452-2026")</f>
        <v/>
      </c>
      <c r="W1824">
        <f>HYPERLINK("https://klasma.github.io/Logging_2309/klagomålsmail/A 2452-2026 FSC-klagomål mail.docx", "A 2452-2026")</f>
        <v/>
      </c>
      <c r="X1824">
        <f>HYPERLINK("https://klasma.github.io/Logging_2309/tillsyn/A 2452-2026 tillsynsbegäran.docx", "A 2452-2026")</f>
        <v/>
      </c>
      <c r="Y1824">
        <f>HYPERLINK("https://klasma.github.io/Logging_2309/tillsynsmail/A 2452-2026 tillsynsbegäran mail.docx", "A 2452-2026")</f>
        <v/>
      </c>
    </row>
    <row r="1825" ht="15" customHeight="1">
      <c r="A1825" t="inlineStr">
        <is>
          <t>A 35579-2025</t>
        </is>
      </c>
      <c r="B1825" s="1" t="n">
        <v>45856.67818287037</v>
      </c>
      <c r="C1825" s="1" t="n">
        <v>46045</v>
      </c>
      <c r="D1825" t="inlineStr">
        <is>
          <t>JÄMTLANDS LÄN</t>
        </is>
      </c>
      <c r="E1825" t="inlineStr">
        <is>
          <t>BRÄCKE</t>
        </is>
      </c>
      <c r="F1825" t="inlineStr">
        <is>
          <t>SCA</t>
        </is>
      </c>
      <c r="G1825" t="n">
        <v>5.2</v>
      </c>
      <c r="H1825" t="n">
        <v>0</v>
      </c>
      <c r="I1825" t="n">
        <v>0</v>
      </c>
      <c r="J1825" t="n">
        <v>1</v>
      </c>
      <c r="K1825" t="n">
        <v>0</v>
      </c>
      <c r="L1825" t="n">
        <v>0</v>
      </c>
      <c r="M1825" t="n">
        <v>0</v>
      </c>
      <c r="N1825" t="n">
        <v>0</v>
      </c>
      <c r="O1825" t="n">
        <v>1</v>
      </c>
      <c r="P1825" t="n">
        <v>0</v>
      </c>
      <c r="Q1825" t="n">
        <v>1</v>
      </c>
      <c r="R1825" s="2" t="inlineStr">
        <is>
          <t>Tallticka</t>
        </is>
      </c>
      <c r="S1825">
        <f>HYPERLINK("https://klasma.github.io/Logging_2305/artfynd/A 35579-2025 artfynd.xlsx", "A 35579-2025")</f>
        <v/>
      </c>
      <c r="T1825">
        <f>HYPERLINK("https://klasma.github.io/Logging_2305/kartor/A 35579-2025 karta.png", "A 35579-2025")</f>
        <v/>
      </c>
      <c r="V1825">
        <f>HYPERLINK("https://klasma.github.io/Logging_2305/klagomål/A 35579-2025 FSC-klagomål.docx", "A 35579-2025")</f>
        <v/>
      </c>
      <c r="W1825">
        <f>HYPERLINK("https://klasma.github.io/Logging_2305/klagomålsmail/A 35579-2025 FSC-klagomål mail.docx", "A 35579-2025")</f>
        <v/>
      </c>
      <c r="X1825">
        <f>HYPERLINK("https://klasma.github.io/Logging_2305/tillsyn/A 35579-2025 tillsynsbegäran.docx", "A 35579-2025")</f>
        <v/>
      </c>
      <c r="Y1825">
        <f>HYPERLINK("https://klasma.github.io/Logging_2305/tillsynsmail/A 35579-2025 tillsynsbegäran mail.docx", "A 35579-2025")</f>
        <v/>
      </c>
    </row>
    <row r="1826" ht="15" customHeight="1">
      <c r="A1826" t="inlineStr">
        <is>
          <t>A 7005-2022</t>
        </is>
      </c>
      <c r="B1826" s="1" t="n">
        <v>44603</v>
      </c>
      <c r="C1826" s="1" t="n">
        <v>46045</v>
      </c>
      <c r="D1826" t="inlineStr">
        <is>
          <t>JÄMTLANDS LÄN</t>
        </is>
      </c>
      <c r="E1826" t="inlineStr">
        <is>
          <t>KROKOM</t>
        </is>
      </c>
      <c r="G1826" t="n">
        <v>46</v>
      </c>
      <c r="H1826" t="n">
        <v>0</v>
      </c>
      <c r="I1826" t="n">
        <v>1</v>
      </c>
      <c r="J1826" t="n">
        <v>0</v>
      </c>
      <c r="K1826" t="n">
        <v>0</v>
      </c>
      <c r="L1826" t="n">
        <v>0</v>
      </c>
      <c r="M1826" t="n">
        <v>0</v>
      </c>
      <c r="N1826" t="n">
        <v>0</v>
      </c>
      <c r="O1826" t="n">
        <v>0</v>
      </c>
      <c r="P1826" t="n">
        <v>0</v>
      </c>
      <c r="Q1826" t="n">
        <v>1</v>
      </c>
      <c r="R1826" s="2" t="inlineStr">
        <is>
          <t>Stuplav</t>
        </is>
      </c>
      <c r="S1826">
        <f>HYPERLINK("https://klasma.github.io/Logging_2309/artfynd/A 7005-2022 artfynd.xlsx", "A 7005-2022")</f>
        <v/>
      </c>
      <c r="T1826">
        <f>HYPERLINK("https://klasma.github.io/Logging_2309/kartor/A 7005-2022 karta.png", "A 7005-2022")</f>
        <v/>
      </c>
      <c r="V1826">
        <f>HYPERLINK("https://klasma.github.io/Logging_2309/klagomål/A 7005-2022 FSC-klagomål.docx", "A 7005-2022")</f>
        <v/>
      </c>
      <c r="W1826">
        <f>HYPERLINK("https://klasma.github.io/Logging_2309/klagomålsmail/A 7005-2022 FSC-klagomål mail.docx", "A 7005-2022")</f>
        <v/>
      </c>
      <c r="X1826">
        <f>HYPERLINK("https://klasma.github.io/Logging_2309/tillsyn/A 7005-2022 tillsynsbegäran.docx", "A 7005-2022")</f>
        <v/>
      </c>
      <c r="Y1826">
        <f>HYPERLINK("https://klasma.github.io/Logging_2309/tillsynsmail/A 7005-2022 tillsynsbegäran mail.docx", "A 7005-2022")</f>
        <v/>
      </c>
    </row>
    <row r="1827" ht="15" customHeight="1">
      <c r="A1827" t="inlineStr">
        <is>
          <t>A 15909-2025</t>
        </is>
      </c>
      <c r="B1827" s="1" t="n">
        <v>45749</v>
      </c>
      <c r="C1827" s="1" t="n">
        <v>46045</v>
      </c>
      <c r="D1827" t="inlineStr">
        <is>
          <t>JÄMTLANDS LÄN</t>
        </is>
      </c>
      <c r="E1827" t="inlineStr">
        <is>
          <t>ÅRE</t>
        </is>
      </c>
      <c r="G1827" t="n">
        <v>23.8</v>
      </c>
      <c r="H1827" t="n">
        <v>0</v>
      </c>
      <c r="I1827" t="n">
        <v>0</v>
      </c>
      <c r="J1827" t="n">
        <v>1</v>
      </c>
      <c r="K1827" t="n">
        <v>0</v>
      </c>
      <c r="L1827" t="n">
        <v>0</v>
      </c>
      <c r="M1827" t="n">
        <v>0</v>
      </c>
      <c r="N1827" t="n">
        <v>0</v>
      </c>
      <c r="O1827" t="n">
        <v>1</v>
      </c>
      <c r="P1827" t="n">
        <v>0</v>
      </c>
      <c r="Q1827" t="n">
        <v>1</v>
      </c>
      <c r="R1827" s="2" t="inlineStr">
        <is>
          <t>Garnlav</t>
        </is>
      </c>
      <c r="S1827">
        <f>HYPERLINK("https://klasma.github.io/Logging_2321/artfynd/A 15909-2025 artfynd.xlsx", "A 15909-2025")</f>
        <v/>
      </c>
      <c r="T1827">
        <f>HYPERLINK("https://klasma.github.io/Logging_2321/kartor/A 15909-2025 karta.png", "A 15909-2025")</f>
        <v/>
      </c>
      <c r="V1827">
        <f>HYPERLINK("https://klasma.github.io/Logging_2321/klagomål/A 15909-2025 FSC-klagomål.docx", "A 15909-2025")</f>
        <v/>
      </c>
      <c r="W1827">
        <f>HYPERLINK("https://klasma.github.io/Logging_2321/klagomålsmail/A 15909-2025 FSC-klagomål mail.docx", "A 15909-2025")</f>
        <v/>
      </c>
      <c r="X1827">
        <f>HYPERLINK("https://klasma.github.io/Logging_2321/tillsyn/A 15909-2025 tillsynsbegäran.docx", "A 15909-2025")</f>
        <v/>
      </c>
      <c r="Y1827">
        <f>HYPERLINK("https://klasma.github.io/Logging_2321/tillsynsmail/A 15909-2025 tillsynsbegäran mail.docx", "A 15909-2025")</f>
        <v/>
      </c>
    </row>
    <row r="1828" ht="15" customHeight="1">
      <c r="A1828" t="inlineStr">
        <is>
          <t>A 60633-2025</t>
        </is>
      </c>
      <c r="B1828" s="1" t="n">
        <v>45996.42788194444</v>
      </c>
      <c r="C1828" s="1" t="n">
        <v>46045</v>
      </c>
      <c r="D1828" t="inlineStr">
        <is>
          <t>JÄMTLANDS LÄN</t>
        </is>
      </c>
      <c r="E1828" t="inlineStr">
        <is>
          <t>BERG</t>
        </is>
      </c>
      <c r="F1828" t="inlineStr">
        <is>
          <t>SCA</t>
        </is>
      </c>
      <c r="G1828" t="n">
        <v>18.3</v>
      </c>
      <c r="H1828" t="n">
        <v>1</v>
      </c>
      <c r="I1828" t="n">
        <v>1</v>
      </c>
      <c r="J1828" t="n">
        <v>0</v>
      </c>
      <c r="K1828" t="n">
        <v>0</v>
      </c>
      <c r="L1828" t="n">
        <v>0</v>
      </c>
      <c r="M1828" t="n">
        <v>0</v>
      </c>
      <c r="N1828" t="n">
        <v>0</v>
      </c>
      <c r="O1828" t="n">
        <v>0</v>
      </c>
      <c r="P1828" t="n">
        <v>0</v>
      </c>
      <c r="Q1828" t="n">
        <v>1</v>
      </c>
      <c r="R1828" s="2" t="inlineStr">
        <is>
          <t>Plattlummer</t>
        </is>
      </c>
      <c r="S1828">
        <f>HYPERLINK("https://klasma.github.io/Logging_2326/artfynd/A 60633-2025 artfynd.xlsx", "A 60633-2025")</f>
        <v/>
      </c>
      <c r="T1828">
        <f>HYPERLINK("https://klasma.github.io/Logging_2326/kartor/A 60633-2025 karta.png", "A 60633-2025")</f>
        <v/>
      </c>
      <c r="V1828">
        <f>HYPERLINK("https://klasma.github.io/Logging_2326/klagomål/A 60633-2025 FSC-klagomål.docx", "A 60633-2025")</f>
        <v/>
      </c>
      <c r="W1828">
        <f>HYPERLINK("https://klasma.github.io/Logging_2326/klagomålsmail/A 60633-2025 FSC-klagomål mail.docx", "A 60633-2025")</f>
        <v/>
      </c>
      <c r="X1828">
        <f>HYPERLINK("https://klasma.github.io/Logging_2326/tillsyn/A 60633-2025 tillsynsbegäran.docx", "A 60633-2025")</f>
        <v/>
      </c>
      <c r="Y1828">
        <f>HYPERLINK("https://klasma.github.io/Logging_2326/tillsynsmail/A 60633-2025 tillsynsbegäran mail.docx", "A 60633-2025")</f>
        <v/>
      </c>
    </row>
    <row r="1829" ht="15" customHeight="1">
      <c r="A1829" t="inlineStr">
        <is>
          <t>A 17340-2023</t>
        </is>
      </c>
      <c r="B1829" s="1" t="n">
        <v>45033</v>
      </c>
      <c r="C1829" s="1" t="n">
        <v>46045</v>
      </c>
      <c r="D1829" t="inlineStr">
        <is>
          <t>JÄMTLANDS LÄN</t>
        </is>
      </c>
      <c r="E1829" t="inlineStr">
        <is>
          <t>RAGUNDA</t>
        </is>
      </c>
      <c r="G1829" t="n">
        <v>1.6</v>
      </c>
      <c r="H1829" t="n">
        <v>0</v>
      </c>
      <c r="I1829" t="n">
        <v>0</v>
      </c>
      <c r="J1829" t="n">
        <v>1</v>
      </c>
      <c r="K1829" t="n">
        <v>0</v>
      </c>
      <c r="L1829" t="n">
        <v>0</v>
      </c>
      <c r="M1829" t="n">
        <v>0</v>
      </c>
      <c r="N1829" t="n">
        <v>0</v>
      </c>
      <c r="O1829" t="n">
        <v>1</v>
      </c>
      <c r="P1829" t="n">
        <v>0</v>
      </c>
      <c r="Q1829" t="n">
        <v>1</v>
      </c>
      <c r="R1829" s="2" t="inlineStr">
        <is>
          <t>Vedtrappmossa</t>
        </is>
      </c>
      <c r="S1829">
        <f>HYPERLINK("https://klasma.github.io/Logging_2303/artfynd/A 17340-2023 artfynd.xlsx", "A 17340-2023")</f>
        <v/>
      </c>
      <c r="T1829">
        <f>HYPERLINK("https://klasma.github.io/Logging_2303/kartor/A 17340-2023 karta.png", "A 17340-2023")</f>
        <v/>
      </c>
      <c r="U1829">
        <f>HYPERLINK("https://klasma.github.io/Logging_2303/knärot/A 17340-2023 karta knärot.png", "A 17340-2023")</f>
        <v/>
      </c>
      <c r="V1829">
        <f>HYPERLINK("https://klasma.github.io/Logging_2303/klagomål/A 17340-2023 FSC-klagomål.docx", "A 17340-2023")</f>
        <v/>
      </c>
      <c r="W1829">
        <f>HYPERLINK("https://klasma.github.io/Logging_2303/klagomålsmail/A 17340-2023 FSC-klagomål mail.docx", "A 17340-2023")</f>
        <v/>
      </c>
      <c r="X1829">
        <f>HYPERLINK("https://klasma.github.io/Logging_2303/tillsyn/A 17340-2023 tillsynsbegäran.docx", "A 17340-2023")</f>
        <v/>
      </c>
      <c r="Y1829">
        <f>HYPERLINK("https://klasma.github.io/Logging_2303/tillsynsmail/A 17340-2023 tillsynsbegäran mail.docx", "A 17340-2023")</f>
        <v/>
      </c>
    </row>
    <row r="1830" ht="15" customHeight="1">
      <c r="A1830" t="inlineStr">
        <is>
          <t>A 61187-2025</t>
        </is>
      </c>
      <c r="B1830" s="1" t="n">
        <v>46000.5865625</v>
      </c>
      <c r="C1830" s="1" t="n">
        <v>46045</v>
      </c>
      <c r="D1830" t="inlineStr">
        <is>
          <t>JÄMTLANDS LÄN</t>
        </is>
      </c>
      <c r="E1830" t="inlineStr">
        <is>
          <t>BRÄCKE</t>
        </is>
      </c>
      <c r="G1830" t="n">
        <v>1.7</v>
      </c>
      <c r="H1830" t="n">
        <v>1</v>
      </c>
      <c r="I1830" t="n">
        <v>0</v>
      </c>
      <c r="J1830" t="n">
        <v>1</v>
      </c>
      <c r="K1830" t="n">
        <v>0</v>
      </c>
      <c r="L1830" t="n">
        <v>0</v>
      </c>
      <c r="M1830" t="n">
        <v>0</v>
      </c>
      <c r="N1830" t="n">
        <v>0</v>
      </c>
      <c r="O1830" t="n">
        <v>1</v>
      </c>
      <c r="P1830" t="n">
        <v>0</v>
      </c>
      <c r="Q1830" t="n">
        <v>1</v>
      </c>
      <c r="R1830" s="2" t="inlineStr">
        <is>
          <t>Talltita</t>
        </is>
      </c>
      <c r="S1830">
        <f>HYPERLINK("https://klasma.github.io/Logging_2305/artfynd/A 61187-2025 artfynd.xlsx", "A 61187-2025")</f>
        <v/>
      </c>
      <c r="T1830">
        <f>HYPERLINK("https://klasma.github.io/Logging_2305/kartor/A 61187-2025 karta.png", "A 61187-2025")</f>
        <v/>
      </c>
      <c r="U1830">
        <f>HYPERLINK("https://klasma.github.io/Logging_2305/knärot/A 61187-2025 karta knärot.png", "A 61187-2025")</f>
        <v/>
      </c>
      <c r="V1830">
        <f>HYPERLINK("https://klasma.github.io/Logging_2305/klagomål/A 61187-2025 FSC-klagomål.docx", "A 61187-2025")</f>
        <v/>
      </c>
      <c r="W1830">
        <f>HYPERLINK("https://klasma.github.io/Logging_2305/klagomålsmail/A 61187-2025 FSC-klagomål mail.docx", "A 61187-2025")</f>
        <v/>
      </c>
      <c r="X1830">
        <f>HYPERLINK("https://klasma.github.io/Logging_2305/tillsyn/A 61187-2025 tillsynsbegäran.docx", "A 61187-2025")</f>
        <v/>
      </c>
      <c r="Y1830">
        <f>HYPERLINK("https://klasma.github.io/Logging_2305/tillsynsmail/A 61187-2025 tillsynsbegäran mail.docx", "A 61187-2025")</f>
        <v/>
      </c>
      <c r="Z1830">
        <f>HYPERLINK("https://klasma.github.io/Logging_2305/fåglar/A 61187-2025 prioriterade fågelarter.docx", "A 61187-2025")</f>
        <v/>
      </c>
    </row>
    <row r="1831" ht="15" customHeight="1">
      <c r="A1831" t="inlineStr">
        <is>
          <t>A 21939-2025</t>
        </is>
      </c>
      <c r="B1831" s="1" t="n">
        <v>45784.58445601852</v>
      </c>
      <c r="C1831" s="1" t="n">
        <v>46045</v>
      </c>
      <c r="D1831" t="inlineStr">
        <is>
          <t>JÄMTLANDS LÄN</t>
        </is>
      </c>
      <c r="E1831" t="inlineStr">
        <is>
          <t>ÅRE</t>
        </is>
      </c>
      <c r="G1831" t="n">
        <v>6.5</v>
      </c>
      <c r="H1831" t="n">
        <v>0</v>
      </c>
      <c r="I1831" t="n">
        <v>1</v>
      </c>
      <c r="J1831" t="n">
        <v>0</v>
      </c>
      <c r="K1831" t="n">
        <v>0</v>
      </c>
      <c r="L1831" t="n">
        <v>0</v>
      </c>
      <c r="M1831" t="n">
        <v>0</v>
      </c>
      <c r="N1831" t="n">
        <v>0</v>
      </c>
      <c r="O1831" t="n">
        <v>0</v>
      </c>
      <c r="P1831" t="n">
        <v>0</v>
      </c>
      <c r="Q1831" t="n">
        <v>1</v>
      </c>
      <c r="R1831" s="2" t="inlineStr">
        <is>
          <t>Finbräken</t>
        </is>
      </c>
      <c r="S1831">
        <f>HYPERLINK("https://klasma.github.io/Logging_2321/artfynd/A 21939-2025 artfynd.xlsx", "A 21939-2025")</f>
        <v/>
      </c>
      <c r="T1831">
        <f>HYPERLINK("https://klasma.github.io/Logging_2321/kartor/A 21939-2025 karta.png", "A 21939-2025")</f>
        <v/>
      </c>
      <c r="V1831">
        <f>HYPERLINK("https://klasma.github.io/Logging_2321/klagomål/A 21939-2025 FSC-klagomål.docx", "A 21939-2025")</f>
        <v/>
      </c>
      <c r="W1831">
        <f>HYPERLINK("https://klasma.github.io/Logging_2321/klagomålsmail/A 21939-2025 FSC-klagomål mail.docx", "A 21939-2025")</f>
        <v/>
      </c>
      <c r="X1831">
        <f>HYPERLINK("https://klasma.github.io/Logging_2321/tillsyn/A 21939-2025 tillsynsbegäran.docx", "A 21939-2025")</f>
        <v/>
      </c>
      <c r="Y1831">
        <f>HYPERLINK("https://klasma.github.io/Logging_2321/tillsynsmail/A 21939-2025 tillsynsbegäran mail.docx", "A 21939-2025")</f>
        <v/>
      </c>
    </row>
    <row r="1832" ht="15" customHeight="1">
      <c r="A1832" t="inlineStr">
        <is>
          <t>A 60833-2025</t>
        </is>
      </c>
      <c r="B1832" s="1" t="n">
        <v>45999.46969907408</v>
      </c>
      <c r="C1832" s="1" t="n">
        <v>46045</v>
      </c>
      <c r="D1832" t="inlineStr">
        <is>
          <t>JÄMTLANDS LÄN</t>
        </is>
      </c>
      <c r="E1832" t="inlineStr">
        <is>
          <t>BERG</t>
        </is>
      </c>
      <c r="F1832" t="inlineStr">
        <is>
          <t>SCA</t>
        </is>
      </c>
      <c r="G1832" t="n">
        <v>18.1</v>
      </c>
      <c r="H1832" t="n">
        <v>1</v>
      </c>
      <c r="I1832" t="n">
        <v>0</v>
      </c>
      <c r="J1832" t="n">
        <v>1</v>
      </c>
      <c r="K1832" t="n">
        <v>0</v>
      </c>
      <c r="L1832" t="n">
        <v>0</v>
      </c>
      <c r="M1832" t="n">
        <v>0</v>
      </c>
      <c r="N1832" t="n">
        <v>0</v>
      </c>
      <c r="O1832" t="n">
        <v>1</v>
      </c>
      <c r="P1832" t="n">
        <v>0</v>
      </c>
      <c r="Q1832" t="n">
        <v>1</v>
      </c>
      <c r="R1832" s="2" t="inlineStr">
        <is>
          <t>Spillkråka</t>
        </is>
      </c>
      <c r="S1832">
        <f>HYPERLINK("https://klasma.github.io/Logging_2326/artfynd/A 60833-2025 artfynd.xlsx", "A 60833-2025")</f>
        <v/>
      </c>
      <c r="T1832">
        <f>HYPERLINK("https://klasma.github.io/Logging_2326/kartor/A 60833-2025 karta.png", "A 60833-2025")</f>
        <v/>
      </c>
      <c r="V1832">
        <f>HYPERLINK("https://klasma.github.io/Logging_2326/klagomål/A 60833-2025 FSC-klagomål.docx", "A 60833-2025")</f>
        <v/>
      </c>
      <c r="W1832">
        <f>HYPERLINK("https://klasma.github.io/Logging_2326/klagomålsmail/A 60833-2025 FSC-klagomål mail.docx", "A 60833-2025")</f>
        <v/>
      </c>
      <c r="X1832">
        <f>HYPERLINK("https://klasma.github.io/Logging_2326/tillsyn/A 60833-2025 tillsynsbegäran.docx", "A 60833-2025")</f>
        <v/>
      </c>
      <c r="Y1832">
        <f>HYPERLINK("https://klasma.github.io/Logging_2326/tillsynsmail/A 60833-2025 tillsynsbegäran mail.docx", "A 60833-2025")</f>
        <v/>
      </c>
      <c r="Z1832">
        <f>HYPERLINK("https://klasma.github.io/Logging_2326/fåglar/A 60833-2025 prioriterade fågelarter.docx", "A 60833-2025")</f>
        <v/>
      </c>
    </row>
    <row r="1833" ht="15" customHeight="1">
      <c r="A1833" t="inlineStr">
        <is>
          <t>A 36225-2025</t>
        </is>
      </c>
      <c r="B1833" s="1" t="n">
        <v>45867.51128472222</v>
      </c>
      <c r="C1833" s="1" t="n">
        <v>46045</v>
      </c>
      <c r="D1833" t="inlineStr">
        <is>
          <t>JÄMTLANDS LÄN</t>
        </is>
      </c>
      <c r="E1833" t="inlineStr">
        <is>
          <t>ÖSTERSUND</t>
        </is>
      </c>
      <c r="F1833" t="inlineStr">
        <is>
          <t>SCA</t>
        </is>
      </c>
      <c r="G1833" t="n">
        <v>1.8</v>
      </c>
      <c r="H1833" t="n">
        <v>0</v>
      </c>
      <c r="I1833" t="n">
        <v>0</v>
      </c>
      <c r="J1833" t="n">
        <v>1</v>
      </c>
      <c r="K1833" t="n">
        <v>0</v>
      </c>
      <c r="L1833" t="n">
        <v>0</v>
      </c>
      <c r="M1833" t="n">
        <v>0</v>
      </c>
      <c r="N1833" t="n">
        <v>0</v>
      </c>
      <c r="O1833" t="n">
        <v>1</v>
      </c>
      <c r="P1833" t="n">
        <v>0</v>
      </c>
      <c r="Q1833" t="n">
        <v>1</v>
      </c>
      <c r="R1833" s="2" t="inlineStr">
        <is>
          <t>Kolflarnlav</t>
        </is>
      </c>
      <c r="S1833">
        <f>HYPERLINK("https://klasma.github.io/Logging_2380/artfynd/A 36225-2025 artfynd.xlsx", "A 36225-2025")</f>
        <v/>
      </c>
      <c r="T1833">
        <f>HYPERLINK("https://klasma.github.io/Logging_2380/kartor/A 36225-2025 karta.png", "A 36225-2025")</f>
        <v/>
      </c>
      <c r="V1833">
        <f>HYPERLINK("https://klasma.github.io/Logging_2380/klagomål/A 36225-2025 FSC-klagomål.docx", "A 36225-2025")</f>
        <v/>
      </c>
      <c r="W1833">
        <f>HYPERLINK("https://klasma.github.io/Logging_2380/klagomålsmail/A 36225-2025 FSC-klagomål mail.docx", "A 36225-2025")</f>
        <v/>
      </c>
      <c r="X1833">
        <f>HYPERLINK("https://klasma.github.io/Logging_2380/tillsyn/A 36225-2025 tillsynsbegäran.docx", "A 36225-2025")</f>
        <v/>
      </c>
      <c r="Y1833">
        <f>HYPERLINK("https://klasma.github.io/Logging_2380/tillsynsmail/A 36225-2025 tillsynsbegäran mail.docx", "A 36225-2025")</f>
        <v/>
      </c>
    </row>
    <row r="1834" ht="15" customHeight="1">
      <c r="A1834" t="inlineStr">
        <is>
          <t>A 3512-2026</t>
        </is>
      </c>
      <c r="B1834" s="1" t="n">
        <v>46042.58655092592</v>
      </c>
      <c r="C1834" s="1" t="n">
        <v>46045</v>
      </c>
      <c r="D1834" t="inlineStr">
        <is>
          <t>JÄMTLANDS LÄN</t>
        </is>
      </c>
      <c r="E1834" t="inlineStr">
        <is>
          <t>ÖSTERSUND</t>
        </is>
      </c>
      <c r="G1834" t="n">
        <v>5.7</v>
      </c>
      <c r="H1834" t="n">
        <v>0</v>
      </c>
      <c r="I1834" t="n">
        <v>0</v>
      </c>
      <c r="J1834" t="n">
        <v>1</v>
      </c>
      <c r="K1834" t="n">
        <v>0</v>
      </c>
      <c r="L1834" t="n">
        <v>0</v>
      </c>
      <c r="M1834" t="n">
        <v>0</v>
      </c>
      <c r="N1834" t="n">
        <v>0</v>
      </c>
      <c r="O1834" t="n">
        <v>1</v>
      </c>
      <c r="P1834" t="n">
        <v>0</v>
      </c>
      <c r="Q1834" t="n">
        <v>1</v>
      </c>
      <c r="R1834" s="2" t="inlineStr">
        <is>
          <t>Slåtterfibbla</t>
        </is>
      </c>
      <c r="S1834">
        <f>HYPERLINK("https://klasma.github.io/Logging_2380/artfynd/A 3512-2026 artfynd.xlsx", "A 3512-2026")</f>
        <v/>
      </c>
      <c r="T1834">
        <f>HYPERLINK("https://klasma.github.io/Logging_2380/kartor/A 3512-2026 karta.png", "A 3512-2026")</f>
        <v/>
      </c>
      <c r="V1834">
        <f>HYPERLINK("https://klasma.github.io/Logging_2380/klagomål/A 3512-2026 FSC-klagomål.docx", "A 3512-2026")</f>
        <v/>
      </c>
      <c r="W1834">
        <f>HYPERLINK("https://klasma.github.io/Logging_2380/klagomålsmail/A 3512-2026 FSC-klagomål mail.docx", "A 3512-2026")</f>
        <v/>
      </c>
      <c r="X1834">
        <f>HYPERLINK("https://klasma.github.io/Logging_2380/tillsyn/A 3512-2026 tillsynsbegäran.docx", "A 3512-2026")</f>
        <v/>
      </c>
      <c r="Y1834">
        <f>HYPERLINK("https://klasma.github.io/Logging_2380/tillsynsmail/A 3512-2026 tillsynsbegäran mail.docx", "A 3512-2026")</f>
        <v/>
      </c>
    </row>
    <row r="1835" ht="15" customHeight="1">
      <c r="A1835" t="inlineStr">
        <is>
          <t>A 24807-2024</t>
        </is>
      </c>
      <c r="B1835" s="1" t="n">
        <v>45460.95350694445</v>
      </c>
      <c r="C1835" s="1" t="n">
        <v>46045</v>
      </c>
      <c r="D1835" t="inlineStr">
        <is>
          <t>JÄMTLANDS LÄN</t>
        </is>
      </c>
      <c r="E1835" t="inlineStr">
        <is>
          <t>STRÖMSUND</t>
        </is>
      </c>
      <c r="F1835" t="inlineStr">
        <is>
          <t>SCA</t>
        </is>
      </c>
      <c r="G1835" t="n">
        <v>2</v>
      </c>
      <c r="H1835" t="n">
        <v>0</v>
      </c>
      <c r="I1835" t="n">
        <v>0</v>
      </c>
      <c r="J1835" t="n">
        <v>1</v>
      </c>
      <c r="K1835" t="n">
        <v>0</v>
      </c>
      <c r="L1835" t="n">
        <v>0</v>
      </c>
      <c r="M1835" t="n">
        <v>0</v>
      </c>
      <c r="N1835" t="n">
        <v>0</v>
      </c>
      <c r="O1835" t="n">
        <v>1</v>
      </c>
      <c r="P1835" t="n">
        <v>0</v>
      </c>
      <c r="Q1835" t="n">
        <v>1</v>
      </c>
      <c r="R1835" s="2" t="inlineStr">
        <is>
          <t>Ullticka</t>
        </is>
      </c>
      <c r="S1835">
        <f>HYPERLINK("https://klasma.github.io/Logging_2313/artfynd/A 24807-2024 artfynd.xlsx", "A 24807-2024")</f>
        <v/>
      </c>
      <c r="T1835">
        <f>HYPERLINK("https://klasma.github.io/Logging_2313/kartor/A 24807-2024 karta.png", "A 24807-2024")</f>
        <v/>
      </c>
      <c r="V1835">
        <f>HYPERLINK("https://klasma.github.io/Logging_2313/klagomål/A 24807-2024 FSC-klagomål.docx", "A 24807-2024")</f>
        <v/>
      </c>
      <c r="W1835">
        <f>HYPERLINK("https://klasma.github.io/Logging_2313/klagomålsmail/A 24807-2024 FSC-klagomål mail.docx", "A 24807-2024")</f>
        <v/>
      </c>
      <c r="X1835">
        <f>HYPERLINK("https://klasma.github.io/Logging_2313/tillsyn/A 24807-2024 tillsynsbegäran.docx", "A 24807-2024")</f>
        <v/>
      </c>
      <c r="Y1835">
        <f>HYPERLINK("https://klasma.github.io/Logging_2313/tillsynsmail/A 24807-2024 tillsynsbegäran mail.docx", "A 24807-2024")</f>
        <v/>
      </c>
    </row>
    <row r="1836" ht="15" customHeight="1">
      <c r="A1836" t="inlineStr">
        <is>
          <t>A 3501-2026</t>
        </is>
      </c>
      <c r="B1836" s="1" t="n">
        <v>46042.57795138889</v>
      </c>
      <c r="C1836" s="1" t="n">
        <v>46045</v>
      </c>
      <c r="D1836" t="inlineStr">
        <is>
          <t>JÄMTLANDS LÄN</t>
        </is>
      </c>
      <c r="E1836" t="inlineStr">
        <is>
          <t>KROKOM</t>
        </is>
      </c>
      <c r="G1836" t="n">
        <v>7</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3501-2026 artfynd.xlsx", "A 3501-2026")</f>
        <v/>
      </c>
      <c r="T1836">
        <f>HYPERLINK("https://klasma.github.io/Logging_2309/kartor/A 3501-2026 karta.png", "A 3501-2026")</f>
        <v/>
      </c>
      <c r="V1836">
        <f>HYPERLINK("https://klasma.github.io/Logging_2309/klagomål/A 3501-2026 FSC-klagomål.docx", "A 3501-2026")</f>
        <v/>
      </c>
      <c r="W1836">
        <f>HYPERLINK("https://klasma.github.io/Logging_2309/klagomålsmail/A 3501-2026 FSC-klagomål mail.docx", "A 3501-2026")</f>
        <v/>
      </c>
      <c r="X1836">
        <f>HYPERLINK("https://klasma.github.io/Logging_2309/tillsyn/A 3501-2026 tillsynsbegäran.docx", "A 3501-2026")</f>
        <v/>
      </c>
      <c r="Y1836">
        <f>HYPERLINK("https://klasma.github.io/Logging_2309/tillsynsmail/A 3501-2026 tillsynsbegäran mail.docx", "A 3501-2026")</f>
        <v/>
      </c>
      <c r="Z1836">
        <f>HYPERLINK("https://klasma.github.io/Logging_2309/fåglar/A 3501-2026 prioriterade fågelarter.docx", "A 3501-2026")</f>
        <v/>
      </c>
    </row>
    <row r="1837" ht="15" customHeight="1">
      <c r="A1837" t="inlineStr">
        <is>
          <t>A 60966-2025</t>
        </is>
      </c>
      <c r="B1837" s="1" t="n">
        <v>45999.67758101852</v>
      </c>
      <c r="C1837" s="1" t="n">
        <v>46045</v>
      </c>
      <c r="D1837" t="inlineStr">
        <is>
          <t>JÄMTLANDS LÄN</t>
        </is>
      </c>
      <c r="E1837" t="inlineStr">
        <is>
          <t>ÖSTERSUND</t>
        </is>
      </c>
      <c r="F1837" t="inlineStr">
        <is>
          <t>SCA</t>
        </is>
      </c>
      <c r="G1837" t="n">
        <v>1.9</v>
      </c>
      <c r="H1837" t="n">
        <v>1</v>
      </c>
      <c r="I1837" t="n">
        <v>1</v>
      </c>
      <c r="J1837" t="n">
        <v>0</v>
      </c>
      <c r="K1837" t="n">
        <v>0</v>
      </c>
      <c r="L1837" t="n">
        <v>0</v>
      </c>
      <c r="M1837" t="n">
        <v>0</v>
      </c>
      <c r="N1837" t="n">
        <v>0</v>
      </c>
      <c r="O1837" t="n">
        <v>0</v>
      </c>
      <c r="P1837" t="n">
        <v>0</v>
      </c>
      <c r="Q1837" t="n">
        <v>1</v>
      </c>
      <c r="R1837" s="2" t="inlineStr">
        <is>
          <t>Tvåblad</t>
        </is>
      </c>
      <c r="S1837">
        <f>HYPERLINK("https://klasma.github.io/Logging_2380/artfynd/A 60966-2025 artfynd.xlsx", "A 60966-2025")</f>
        <v/>
      </c>
      <c r="T1837">
        <f>HYPERLINK("https://klasma.github.io/Logging_2380/kartor/A 60966-2025 karta.png", "A 60966-2025")</f>
        <v/>
      </c>
      <c r="V1837">
        <f>HYPERLINK("https://klasma.github.io/Logging_2380/klagomål/A 60966-2025 FSC-klagomål.docx", "A 60966-2025")</f>
        <v/>
      </c>
      <c r="W1837">
        <f>HYPERLINK("https://klasma.github.io/Logging_2380/klagomålsmail/A 60966-2025 FSC-klagomål mail.docx", "A 60966-2025")</f>
        <v/>
      </c>
      <c r="X1837">
        <f>HYPERLINK("https://klasma.github.io/Logging_2380/tillsyn/A 60966-2025 tillsynsbegäran.docx", "A 60966-2025")</f>
        <v/>
      </c>
      <c r="Y1837">
        <f>HYPERLINK("https://klasma.github.io/Logging_2380/tillsynsmail/A 60966-2025 tillsynsbegäran mail.docx", "A 60966-2025")</f>
        <v/>
      </c>
    </row>
    <row r="1838" ht="15" customHeight="1">
      <c r="A1838" t="inlineStr">
        <is>
          <t>A 36874-2025</t>
        </is>
      </c>
      <c r="B1838" s="1" t="n">
        <v>45874.42949074074</v>
      </c>
      <c r="C1838" s="1" t="n">
        <v>46045</v>
      </c>
      <c r="D1838" t="inlineStr">
        <is>
          <t>JÄMTLANDS LÄN</t>
        </is>
      </c>
      <c r="E1838" t="inlineStr">
        <is>
          <t>STRÖMSUND</t>
        </is>
      </c>
      <c r="F1838" t="inlineStr">
        <is>
          <t>SCA</t>
        </is>
      </c>
      <c r="G1838" t="n">
        <v>6.2</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HYPERLINK("https://klasma.github.io/Logging_2313/artfynd/A 36874-2025 artfynd.xlsx", "A 36874-2025")</f>
        <v/>
      </c>
      <c r="T1838">
        <f>HYPERLINK("https://klasma.github.io/Logging_2313/kartor/A 36874-2025 karta.png", "A 36874-2025")</f>
        <v/>
      </c>
      <c r="V1838">
        <f>HYPERLINK("https://klasma.github.io/Logging_2313/klagomål/A 36874-2025 FSC-klagomål.docx", "A 36874-2025")</f>
        <v/>
      </c>
      <c r="W1838">
        <f>HYPERLINK("https://klasma.github.io/Logging_2313/klagomålsmail/A 36874-2025 FSC-klagomål mail.docx", "A 36874-2025")</f>
        <v/>
      </c>
      <c r="X1838">
        <f>HYPERLINK("https://klasma.github.io/Logging_2313/tillsyn/A 36874-2025 tillsynsbegäran.docx", "A 36874-2025")</f>
        <v/>
      </c>
      <c r="Y1838">
        <f>HYPERLINK("https://klasma.github.io/Logging_2313/tillsynsmail/A 36874-2025 tillsynsbegäran mail.docx", "A 36874-2025")</f>
        <v/>
      </c>
      <c r="Z1838">
        <f>HYPERLINK("https://klasma.github.io/Logging_2313/fåglar/A 36874-2025 prioriterade fågelarter.docx", "A 36874-2025")</f>
        <v/>
      </c>
    </row>
    <row r="1839" ht="15" customHeight="1">
      <c r="A1839" t="inlineStr">
        <is>
          <t>A 61451-2025</t>
        </is>
      </c>
      <c r="B1839" s="1" t="n">
        <v>46001.57850694445</v>
      </c>
      <c r="C1839" s="1" t="n">
        <v>46045</v>
      </c>
      <c r="D1839" t="inlineStr">
        <is>
          <t>JÄMTLANDS LÄN</t>
        </is>
      </c>
      <c r="E1839" t="inlineStr">
        <is>
          <t>KROKOM</t>
        </is>
      </c>
      <c r="G1839" t="n">
        <v>3.4</v>
      </c>
      <c r="H1839" t="n">
        <v>0</v>
      </c>
      <c r="I1839" t="n">
        <v>1</v>
      </c>
      <c r="J1839" t="n">
        <v>0</v>
      </c>
      <c r="K1839" t="n">
        <v>0</v>
      </c>
      <c r="L1839" t="n">
        <v>0</v>
      </c>
      <c r="M1839" t="n">
        <v>0</v>
      </c>
      <c r="N1839" t="n">
        <v>0</v>
      </c>
      <c r="O1839" t="n">
        <v>0</v>
      </c>
      <c r="P1839" t="n">
        <v>0</v>
      </c>
      <c r="Q1839" t="n">
        <v>1</v>
      </c>
      <c r="R1839" s="2" t="inlineStr">
        <is>
          <t>Spädstarr</t>
        </is>
      </c>
      <c r="S1839">
        <f>HYPERLINK("https://klasma.github.io/Logging_2309/artfynd/A 61451-2025 artfynd.xlsx", "A 61451-2025")</f>
        <v/>
      </c>
      <c r="T1839">
        <f>HYPERLINK("https://klasma.github.io/Logging_2309/kartor/A 61451-2025 karta.png", "A 61451-2025")</f>
        <v/>
      </c>
      <c r="V1839">
        <f>HYPERLINK("https://klasma.github.io/Logging_2309/klagomål/A 61451-2025 FSC-klagomål.docx", "A 61451-2025")</f>
        <v/>
      </c>
      <c r="W1839">
        <f>HYPERLINK("https://klasma.github.io/Logging_2309/klagomålsmail/A 61451-2025 FSC-klagomål mail.docx", "A 61451-2025")</f>
        <v/>
      </c>
      <c r="X1839">
        <f>HYPERLINK("https://klasma.github.io/Logging_2309/tillsyn/A 61451-2025 tillsynsbegäran.docx", "A 61451-2025")</f>
        <v/>
      </c>
      <c r="Y1839">
        <f>HYPERLINK("https://klasma.github.io/Logging_2309/tillsynsmail/A 61451-2025 tillsynsbegäran mail.docx", "A 61451-2025")</f>
        <v/>
      </c>
    </row>
    <row r="1840" ht="15" customHeight="1">
      <c r="A1840" t="inlineStr">
        <is>
          <t>A 4157-2026</t>
        </is>
      </c>
      <c r="B1840" s="1" t="n">
        <v>46044.65694444445</v>
      </c>
      <c r="C1840" s="1" t="n">
        <v>46045</v>
      </c>
      <c r="D1840" t="inlineStr">
        <is>
          <t>JÄMTLANDS LÄN</t>
        </is>
      </c>
      <c r="E1840" t="inlineStr">
        <is>
          <t>RAGUNDA</t>
        </is>
      </c>
      <c r="F1840" t="inlineStr">
        <is>
          <t>SCA</t>
        </is>
      </c>
      <c r="G1840" t="n">
        <v>2.6</v>
      </c>
      <c r="H1840" t="n">
        <v>1</v>
      </c>
      <c r="I1840" t="n">
        <v>1</v>
      </c>
      <c r="J1840" t="n">
        <v>0</v>
      </c>
      <c r="K1840" t="n">
        <v>0</v>
      </c>
      <c r="L1840" t="n">
        <v>0</v>
      </c>
      <c r="M1840" t="n">
        <v>0</v>
      </c>
      <c r="N1840" t="n">
        <v>0</v>
      </c>
      <c r="O1840" t="n">
        <v>0</v>
      </c>
      <c r="P1840" t="n">
        <v>0</v>
      </c>
      <c r="Q1840" t="n">
        <v>1</v>
      </c>
      <c r="R1840" s="2" t="inlineStr">
        <is>
          <t>Tvåblad</t>
        </is>
      </c>
      <c r="S1840">
        <f>HYPERLINK("https://klasma.github.io/Logging_2303/artfynd/A 4157-2026 artfynd.xlsx", "A 4157-2026")</f>
        <v/>
      </c>
      <c r="T1840">
        <f>HYPERLINK("https://klasma.github.io/Logging_2303/kartor/A 4157-2026 karta.png", "A 4157-2026")</f>
        <v/>
      </c>
      <c r="V1840">
        <f>HYPERLINK("https://klasma.github.io/Logging_2303/klagomål/A 4157-2026 FSC-klagomål.docx", "A 4157-2026")</f>
        <v/>
      </c>
      <c r="W1840">
        <f>HYPERLINK("https://klasma.github.io/Logging_2303/klagomålsmail/A 4157-2026 FSC-klagomål mail.docx", "A 4157-2026")</f>
        <v/>
      </c>
      <c r="X1840">
        <f>HYPERLINK("https://klasma.github.io/Logging_2303/tillsyn/A 4157-2026 tillsynsbegäran.docx", "A 4157-2026")</f>
        <v/>
      </c>
      <c r="Y1840">
        <f>HYPERLINK("https://klasma.github.io/Logging_2303/tillsynsmail/A 4157-2026 tillsynsbegäran mail.docx", "A 4157-2026")</f>
        <v/>
      </c>
    </row>
    <row r="1841" ht="15" customHeight="1">
      <c r="A1841" t="inlineStr">
        <is>
          <t>A 36890-2025</t>
        </is>
      </c>
      <c r="B1841" s="1" t="n">
        <v>45874.46942129629</v>
      </c>
      <c r="C1841" s="1" t="n">
        <v>46045</v>
      </c>
      <c r="D1841" t="inlineStr">
        <is>
          <t>JÄMTLANDS LÄN</t>
        </is>
      </c>
      <c r="E1841" t="inlineStr">
        <is>
          <t>STRÖMSUND</t>
        </is>
      </c>
      <c r="F1841" t="inlineStr">
        <is>
          <t>SCA</t>
        </is>
      </c>
      <c r="G1841" t="n">
        <v>2.7</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36890-2025 artfynd.xlsx", "A 36890-2025")</f>
        <v/>
      </c>
      <c r="T1841">
        <f>HYPERLINK("https://klasma.github.io/Logging_2313/kartor/A 36890-2025 karta.png", "A 36890-2025")</f>
        <v/>
      </c>
      <c r="V1841">
        <f>HYPERLINK("https://klasma.github.io/Logging_2313/klagomål/A 36890-2025 FSC-klagomål.docx", "A 36890-2025")</f>
        <v/>
      </c>
      <c r="W1841">
        <f>HYPERLINK("https://klasma.github.io/Logging_2313/klagomålsmail/A 36890-2025 FSC-klagomål mail.docx", "A 36890-2025")</f>
        <v/>
      </c>
      <c r="X1841">
        <f>HYPERLINK("https://klasma.github.io/Logging_2313/tillsyn/A 36890-2025 tillsynsbegäran.docx", "A 36890-2025")</f>
        <v/>
      </c>
      <c r="Y1841">
        <f>HYPERLINK("https://klasma.github.io/Logging_2313/tillsynsmail/A 36890-2025 tillsynsbegäran mail.docx", "A 36890-2025")</f>
        <v/>
      </c>
    </row>
    <row r="1842" ht="15" customHeight="1">
      <c r="A1842" t="inlineStr">
        <is>
          <t>A 55821-2021</t>
        </is>
      </c>
      <c r="B1842" s="1" t="n">
        <v>44476</v>
      </c>
      <c r="C1842" s="1" t="n">
        <v>46045</v>
      </c>
      <c r="D1842" t="inlineStr">
        <is>
          <t>JÄMTLANDS LÄN</t>
        </is>
      </c>
      <c r="E1842" t="inlineStr">
        <is>
          <t>ÖSTERSUND</t>
        </is>
      </c>
      <c r="G1842" t="n">
        <v>7.2</v>
      </c>
      <c r="H1842" t="n">
        <v>0</v>
      </c>
      <c r="I1842" t="n">
        <v>0</v>
      </c>
      <c r="J1842" t="n">
        <v>1</v>
      </c>
      <c r="K1842" t="n">
        <v>0</v>
      </c>
      <c r="L1842" t="n">
        <v>0</v>
      </c>
      <c r="M1842" t="n">
        <v>0</v>
      </c>
      <c r="N1842" t="n">
        <v>0</v>
      </c>
      <c r="O1842" t="n">
        <v>1</v>
      </c>
      <c r="P1842" t="n">
        <v>0</v>
      </c>
      <c r="Q1842" t="n">
        <v>1</v>
      </c>
      <c r="R1842" s="2" t="inlineStr">
        <is>
          <t>Harticka</t>
        </is>
      </c>
      <c r="S1842">
        <f>HYPERLINK("https://klasma.github.io/Logging_2380/artfynd/A 55821-2021 artfynd.xlsx", "A 55821-2021")</f>
        <v/>
      </c>
      <c r="T1842">
        <f>HYPERLINK("https://klasma.github.io/Logging_2380/kartor/A 55821-2021 karta.png", "A 55821-2021")</f>
        <v/>
      </c>
      <c r="V1842">
        <f>HYPERLINK("https://klasma.github.io/Logging_2380/klagomål/A 55821-2021 FSC-klagomål.docx", "A 55821-2021")</f>
        <v/>
      </c>
      <c r="W1842">
        <f>HYPERLINK("https://klasma.github.io/Logging_2380/klagomålsmail/A 55821-2021 FSC-klagomål mail.docx", "A 55821-2021")</f>
        <v/>
      </c>
      <c r="X1842">
        <f>HYPERLINK("https://klasma.github.io/Logging_2380/tillsyn/A 55821-2021 tillsynsbegäran.docx", "A 55821-2021")</f>
        <v/>
      </c>
      <c r="Y1842">
        <f>HYPERLINK("https://klasma.github.io/Logging_2380/tillsynsmail/A 55821-2021 tillsynsbegäran mail.docx", "A 55821-2021")</f>
        <v/>
      </c>
    </row>
    <row r="1843" ht="15" customHeight="1">
      <c r="A1843" t="inlineStr">
        <is>
          <t>A 61377-2025</t>
        </is>
      </c>
      <c r="B1843" s="1" t="n">
        <v>46001.44233796297</v>
      </c>
      <c r="C1843" s="1" t="n">
        <v>46045</v>
      </c>
      <c r="D1843" t="inlineStr">
        <is>
          <t>JÄMTLANDS LÄN</t>
        </is>
      </c>
      <c r="E1843" t="inlineStr">
        <is>
          <t>KROKOM</t>
        </is>
      </c>
      <c r="G1843" t="n">
        <v>11.8</v>
      </c>
      <c r="H1843" t="n">
        <v>0</v>
      </c>
      <c r="I1843" t="n">
        <v>0</v>
      </c>
      <c r="J1843" t="n">
        <v>1</v>
      </c>
      <c r="K1843" t="n">
        <v>0</v>
      </c>
      <c r="L1843" t="n">
        <v>0</v>
      </c>
      <c r="M1843" t="n">
        <v>0</v>
      </c>
      <c r="N1843" t="n">
        <v>0</v>
      </c>
      <c r="O1843" t="n">
        <v>1</v>
      </c>
      <c r="P1843" t="n">
        <v>0</v>
      </c>
      <c r="Q1843" t="n">
        <v>1</v>
      </c>
      <c r="R1843" s="2" t="inlineStr">
        <is>
          <t>Garnlav</t>
        </is>
      </c>
      <c r="S1843">
        <f>HYPERLINK("https://klasma.github.io/Logging_2309/artfynd/A 61377-2025 artfynd.xlsx", "A 61377-2025")</f>
        <v/>
      </c>
      <c r="T1843">
        <f>HYPERLINK("https://klasma.github.io/Logging_2309/kartor/A 61377-2025 karta.png", "A 61377-2025")</f>
        <v/>
      </c>
      <c r="V1843">
        <f>HYPERLINK("https://klasma.github.io/Logging_2309/klagomål/A 61377-2025 FSC-klagomål.docx", "A 61377-2025")</f>
        <v/>
      </c>
      <c r="W1843">
        <f>HYPERLINK("https://klasma.github.io/Logging_2309/klagomålsmail/A 61377-2025 FSC-klagomål mail.docx", "A 61377-2025")</f>
        <v/>
      </c>
      <c r="X1843">
        <f>HYPERLINK("https://klasma.github.io/Logging_2309/tillsyn/A 61377-2025 tillsynsbegäran.docx", "A 61377-2025")</f>
        <v/>
      </c>
      <c r="Y1843">
        <f>HYPERLINK("https://klasma.github.io/Logging_2309/tillsynsmail/A 61377-2025 tillsynsbegäran mail.docx", "A 61377-2025")</f>
        <v/>
      </c>
    </row>
    <row r="1844" ht="15" customHeight="1">
      <c r="A1844" t="inlineStr">
        <is>
          <t>A 61415-2025</t>
        </is>
      </c>
      <c r="B1844" s="1" t="n">
        <v>46001.53170138889</v>
      </c>
      <c r="C1844" s="1" t="n">
        <v>46045</v>
      </c>
      <c r="D1844" t="inlineStr">
        <is>
          <t>JÄMTLANDS LÄN</t>
        </is>
      </c>
      <c r="E1844" t="inlineStr">
        <is>
          <t>BRÄCKE</t>
        </is>
      </c>
      <c r="G1844" t="n">
        <v>5.3</v>
      </c>
      <c r="H1844" t="n">
        <v>0</v>
      </c>
      <c r="I1844" t="n">
        <v>0</v>
      </c>
      <c r="J1844" t="n">
        <v>1</v>
      </c>
      <c r="K1844" t="n">
        <v>0</v>
      </c>
      <c r="L1844" t="n">
        <v>0</v>
      </c>
      <c r="M1844" t="n">
        <v>0</v>
      </c>
      <c r="N1844" t="n">
        <v>0</v>
      </c>
      <c r="O1844" t="n">
        <v>1</v>
      </c>
      <c r="P1844" t="n">
        <v>0</v>
      </c>
      <c r="Q1844" t="n">
        <v>1</v>
      </c>
      <c r="R1844" s="2" t="inlineStr">
        <is>
          <t>Garnlav</t>
        </is>
      </c>
      <c r="S1844">
        <f>HYPERLINK("https://klasma.github.io/Logging_2305/artfynd/A 61415-2025 artfynd.xlsx", "A 61415-2025")</f>
        <v/>
      </c>
      <c r="T1844">
        <f>HYPERLINK("https://klasma.github.io/Logging_2305/kartor/A 61415-2025 karta.png", "A 61415-2025")</f>
        <v/>
      </c>
      <c r="V1844">
        <f>HYPERLINK("https://klasma.github.io/Logging_2305/klagomål/A 61415-2025 FSC-klagomål.docx", "A 61415-2025")</f>
        <v/>
      </c>
      <c r="W1844">
        <f>HYPERLINK("https://klasma.github.io/Logging_2305/klagomålsmail/A 61415-2025 FSC-klagomål mail.docx", "A 61415-2025")</f>
        <v/>
      </c>
      <c r="X1844">
        <f>HYPERLINK("https://klasma.github.io/Logging_2305/tillsyn/A 61415-2025 tillsynsbegäran.docx", "A 61415-2025")</f>
        <v/>
      </c>
      <c r="Y1844">
        <f>HYPERLINK("https://klasma.github.io/Logging_2305/tillsynsmail/A 61415-2025 tillsynsbegäran mail.docx", "A 61415-2025")</f>
        <v/>
      </c>
    </row>
    <row r="1845" ht="15" customHeight="1">
      <c r="A1845" t="inlineStr">
        <is>
          <t>A 52473-2024</t>
        </is>
      </c>
      <c r="B1845" s="1" t="n">
        <v>45609</v>
      </c>
      <c r="C1845" s="1" t="n">
        <v>46045</v>
      </c>
      <c r="D1845" t="inlineStr">
        <is>
          <t>JÄMTLANDS LÄN</t>
        </is>
      </c>
      <c r="E1845" t="inlineStr">
        <is>
          <t>KROKOM</t>
        </is>
      </c>
      <c r="G1845" t="n">
        <v>38.5</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52473-2024 artfynd.xlsx", "A 52473-2024")</f>
        <v/>
      </c>
      <c r="T1845">
        <f>HYPERLINK("https://klasma.github.io/Logging_2309/kartor/A 52473-2024 karta.png", "A 52473-2024")</f>
        <v/>
      </c>
      <c r="V1845">
        <f>HYPERLINK("https://klasma.github.io/Logging_2309/klagomål/A 52473-2024 FSC-klagomål.docx", "A 52473-2024")</f>
        <v/>
      </c>
      <c r="W1845">
        <f>HYPERLINK("https://klasma.github.io/Logging_2309/klagomålsmail/A 52473-2024 FSC-klagomål mail.docx", "A 52473-2024")</f>
        <v/>
      </c>
      <c r="X1845">
        <f>HYPERLINK("https://klasma.github.io/Logging_2309/tillsyn/A 52473-2024 tillsynsbegäran.docx", "A 52473-2024")</f>
        <v/>
      </c>
      <c r="Y1845">
        <f>HYPERLINK("https://klasma.github.io/Logging_2309/tillsynsmail/A 52473-2024 tillsynsbegäran mail.docx", "A 52473-2024")</f>
        <v/>
      </c>
      <c r="Z1845">
        <f>HYPERLINK("https://klasma.github.io/Logging_2309/fåglar/A 52473-2024 prioriterade fågelarter.docx", "A 52473-2024")</f>
        <v/>
      </c>
    </row>
    <row r="1846" ht="15" customHeight="1">
      <c r="A1846" t="inlineStr">
        <is>
          <t>A 27998-2025</t>
        </is>
      </c>
      <c r="B1846" s="1" t="n">
        <v>45817.59481481482</v>
      </c>
      <c r="C1846" s="1" t="n">
        <v>46045</v>
      </c>
      <c r="D1846" t="inlineStr">
        <is>
          <t>JÄMTLANDS LÄN</t>
        </is>
      </c>
      <c r="E1846" t="inlineStr">
        <is>
          <t>STRÖMSUND</t>
        </is>
      </c>
      <c r="F1846" t="inlineStr">
        <is>
          <t>SCA</t>
        </is>
      </c>
      <c r="G1846" t="n">
        <v>1.5</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HYPERLINK("https://klasma.github.io/Logging_2313/artfynd/A 27998-2025 artfynd.xlsx", "A 27998-2025")</f>
        <v/>
      </c>
      <c r="T1846">
        <f>HYPERLINK("https://klasma.github.io/Logging_2313/kartor/A 27998-2025 karta.png", "A 27998-2025")</f>
        <v/>
      </c>
      <c r="U1846">
        <f>HYPERLINK("https://klasma.github.io/Logging_2313/knärot/A 27998-2025 karta knärot.png", "A 27998-2025")</f>
        <v/>
      </c>
      <c r="V1846">
        <f>HYPERLINK("https://klasma.github.io/Logging_2313/klagomål/A 27998-2025 FSC-klagomål.docx", "A 27998-2025")</f>
        <v/>
      </c>
      <c r="W1846">
        <f>HYPERLINK("https://klasma.github.io/Logging_2313/klagomålsmail/A 27998-2025 FSC-klagomål mail.docx", "A 27998-2025")</f>
        <v/>
      </c>
      <c r="X1846">
        <f>HYPERLINK("https://klasma.github.io/Logging_2313/tillsyn/A 27998-2025 tillsynsbegäran.docx", "A 27998-2025")</f>
        <v/>
      </c>
      <c r="Y1846">
        <f>HYPERLINK("https://klasma.github.io/Logging_2313/tillsynsmail/A 27998-2025 tillsynsbegäran mail.docx", "A 27998-2025")</f>
        <v/>
      </c>
      <c r="Z1846">
        <f>HYPERLINK("https://klasma.github.io/Logging_2313/fåglar/A 27998-2025 prioriterade fågelarter.docx", "A 27998-2025")</f>
        <v/>
      </c>
    </row>
    <row r="1847" ht="15" customHeight="1">
      <c r="A1847" t="inlineStr">
        <is>
          <t>A 37248-2025</t>
        </is>
      </c>
      <c r="B1847" s="1" t="n">
        <v>45876.40665509259</v>
      </c>
      <c r="C1847" s="1" t="n">
        <v>46045</v>
      </c>
      <c r="D1847" t="inlineStr">
        <is>
          <t>JÄMTLANDS LÄN</t>
        </is>
      </c>
      <c r="E1847" t="inlineStr">
        <is>
          <t>BRÄCKE</t>
        </is>
      </c>
      <c r="F1847" t="inlineStr">
        <is>
          <t>SCA</t>
        </is>
      </c>
      <c r="G1847" t="n">
        <v>5</v>
      </c>
      <c r="H1847" t="n">
        <v>0</v>
      </c>
      <c r="I1847" t="n">
        <v>1</v>
      </c>
      <c r="J1847" t="n">
        <v>0</v>
      </c>
      <c r="K1847" t="n">
        <v>0</v>
      </c>
      <c r="L1847" t="n">
        <v>0</v>
      </c>
      <c r="M1847" t="n">
        <v>0</v>
      </c>
      <c r="N1847" t="n">
        <v>0</v>
      </c>
      <c r="O1847" t="n">
        <v>0</v>
      </c>
      <c r="P1847" t="n">
        <v>0</v>
      </c>
      <c r="Q1847" t="n">
        <v>1</v>
      </c>
      <c r="R1847" s="2" t="inlineStr">
        <is>
          <t>Vedticka</t>
        </is>
      </c>
      <c r="S1847">
        <f>HYPERLINK("https://klasma.github.io/Logging_2305/artfynd/A 37248-2025 artfynd.xlsx", "A 37248-2025")</f>
        <v/>
      </c>
      <c r="T1847">
        <f>HYPERLINK("https://klasma.github.io/Logging_2305/kartor/A 37248-2025 karta.png", "A 37248-2025")</f>
        <v/>
      </c>
      <c r="V1847">
        <f>HYPERLINK("https://klasma.github.io/Logging_2305/klagomål/A 37248-2025 FSC-klagomål.docx", "A 37248-2025")</f>
        <v/>
      </c>
      <c r="W1847">
        <f>HYPERLINK("https://klasma.github.io/Logging_2305/klagomålsmail/A 37248-2025 FSC-klagomål mail.docx", "A 37248-2025")</f>
        <v/>
      </c>
      <c r="X1847">
        <f>HYPERLINK("https://klasma.github.io/Logging_2305/tillsyn/A 37248-2025 tillsynsbegäran.docx", "A 37248-2025")</f>
        <v/>
      </c>
      <c r="Y1847">
        <f>HYPERLINK("https://klasma.github.io/Logging_2305/tillsynsmail/A 37248-2025 tillsynsbegäran mail.docx", "A 37248-2025")</f>
        <v/>
      </c>
    </row>
    <row r="1848" ht="15" customHeight="1">
      <c r="A1848" t="inlineStr">
        <is>
          <t>A 37513-2025</t>
        </is>
      </c>
      <c r="B1848" s="1" t="n">
        <v>45877.69828703703</v>
      </c>
      <c r="C1848" s="1" t="n">
        <v>46045</v>
      </c>
      <c r="D1848" t="inlineStr">
        <is>
          <t>JÄMTLANDS LÄN</t>
        </is>
      </c>
      <c r="E1848" t="inlineStr">
        <is>
          <t>BERG</t>
        </is>
      </c>
      <c r="F1848" t="inlineStr">
        <is>
          <t>SCA</t>
        </is>
      </c>
      <c r="G1848" t="n">
        <v>14.1</v>
      </c>
      <c r="H1848" t="n">
        <v>0</v>
      </c>
      <c r="I1848" t="n">
        <v>0</v>
      </c>
      <c r="J1848" t="n">
        <v>1</v>
      </c>
      <c r="K1848" t="n">
        <v>0</v>
      </c>
      <c r="L1848" t="n">
        <v>0</v>
      </c>
      <c r="M1848" t="n">
        <v>0</v>
      </c>
      <c r="N1848" t="n">
        <v>0</v>
      </c>
      <c r="O1848" t="n">
        <v>1</v>
      </c>
      <c r="P1848" t="n">
        <v>0</v>
      </c>
      <c r="Q1848" t="n">
        <v>1</v>
      </c>
      <c r="R1848" s="2" t="inlineStr">
        <is>
          <t>Dvärgbägarlav</t>
        </is>
      </c>
      <c r="S1848">
        <f>HYPERLINK("https://klasma.github.io/Logging_2326/artfynd/A 37513-2025 artfynd.xlsx", "A 37513-2025")</f>
        <v/>
      </c>
      <c r="T1848">
        <f>HYPERLINK("https://klasma.github.io/Logging_2326/kartor/A 37513-2025 karta.png", "A 37513-2025")</f>
        <v/>
      </c>
      <c r="V1848">
        <f>HYPERLINK("https://klasma.github.io/Logging_2326/klagomål/A 37513-2025 FSC-klagomål.docx", "A 37513-2025")</f>
        <v/>
      </c>
      <c r="W1848">
        <f>HYPERLINK("https://klasma.github.io/Logging_2326/klagomålsmail/A 37513-2025 FSC-klagomål mail.docx", "A 37513-2025")</f>
        <v/>
      </c>
      <c r="X1848">
        <f>HYPERLINK("https://klasma.github.io/Logging_2326/tillsyn/A 37513-2025 tillsynsbegäran.docx", "A 37513-2025")</f>
        <v/>
      </c>
      <c r="Y1848">
        <f>HYPERLINK("https://klasma.github.io/Logging_2326/tillsynsmail/A 37513-2025 tillsynsbegäran mail.docx", "A 37513-2025")</f>
        <v/>
      </c>
    </row>
    <row r="1849" ht="15" customHeight="1">
      <c r="A1849" t="inlineStr">
        <is>
          <t>A 24368-2025</t>
        </is>
      </c>
      <c r="B1849" s="1" t="n">
        <v>45797.60623842593</v>
      </c>
      <c r="C1849" s="1" t="n">
        <v>46045</v>
      </c>
      <c r="D1849" t="inlineStr">
        <is>
          <t>JÄMTLANDS LÄN</t>
        </is>
      </c>
      <c r="E1849" t="inlineStr">
        <is>
          <t>ÖSTERSUND</t>
        </is>
      </c>
      <c r="G1849" t="n">
        <v>2.9</v>
      </c>
      <c r="H1849" t="n">
        <v>0</v>
      </c>
      <c r="I1849" t="n">
        <v>0</v>
      </c>
      <c r="J1849" t="n">
        <v>0</v>
      </c>
      <c r="K1849" t="n">
        <v>1</v>
      </c>
      <c r="L1849" t="n">
        <v>0</v>
      </c>
      <c r="M1849" t="n">
        <v>0</v>
      </c>
      <c r="N1849" t="n">
        <v>0</v>
      </c>
      <c r="O1849" t="n">
        <v>1</v>
      </c>
      <c r="P1849" t="n">
        <v>1</v>
      </c>
      <c r="Q1849" t="n">
        <v>1</v>
      </c>
      <c r="R1849" s="2" t="inlineStr">
        <is>
          <t>Fjällfotad fingersvamp</t>
        </is>
      </c>
      <c r="S1849">
        <f>HYPERLINK("https://klasma.github.io/Logging_2380/artfynd/A 24368-2025 artfynd.xlsx", "A 24368-2025")</f>
        <v/>
      </c>
      <c r="T1849">
        <f>HYPERLINK("https://klasma.github.io/Logging_2380/kartor/A 24368-2025 karta.png", "A 24368-2025")</f>
        <v/>
      </c>
      <c r="V1849">
        <f>HYPERLINK("https://klasma.github.io/Logging_2380/klagomål/A 24368-2025 FSC-klagomål.docx", "A 24368-2025")</f>
        <v/>
      </c>
      <c r="W1849">
        <f>HYPERLINK("https://klasma.github.io/Logging_2380/klagomålsmail/A 24368-2025 FSC-klagomål mail.docx", "A 24368-2025")</f>
        <v/>
      </c>
      <c r="X1849">
        <f>HYPERLINK("https://klasma.github.io/Logging_2380/tillsyn/A 24368-2025 tillsynsbegäran.docx", "A 24368-2025")</f>
        <v/>
      </c>
      <c r="Y1849">
        <f>HYPERLINK("https://klasma.github.io/Logging_2380/tillsynsmail/A 24368-2025 tillsynsbegäran mail.docx", "A 24368-2025")</f>
        <v/>
      </c>
    </row>
    <row r="1850" ht="15" customHeight="1">
      <c r="A1850" t="inlineStr">
        <is>
          <t>A 61378-2025</t>
        </is>
      </c>
      <c r="B1850" s="1" t="n">
        <v>46001.44364583334</v>
      </c>
      <c r="C1850" s="1" t="n">
        <v>46045</v>
      </c>
      <c r="D1850" t="inlineStr">
        <is>
          <t>JÄMTLANDS LÄN</t>
        </is>
      </c>
      <c r="E1850" t="inlineStr">
        <is>
          <t>KROKOM</t>
        </is>
      </c>
      <c r="G1850" t="n">
        <v>20.6</v>
      </c>
      <c r="H1850" t="n">
        <v>0</v>
      </c>
      <c r="I1850" t="n">
        <v>0</v>
      </c>
      <c r="J1850" t="n">
        <v>1</v>
      </c>
      <c r="K1850" t="n">
        <v>0</v>
      </c>
      <c r="L1850" t="n">
        <v>0</v>
      </c>
      <c r="M1850" t="n">
        <v>0</v>
      </c>
      <c r="N1850" t="n">
        <v>0</v>
      </c>
      <c r="O1850" t="n">
        <v>1</v>
      </c>
      <c r="P1850" t="n">
        <v>0</v>
      </c>
      <c r="Q1850" t="n">
        <v>1</v>
      </c>
      <c r="R1850" s="2" t="inlineStr">
        <is>
          <t>Garnlav</t>
        </is>
      </c>
      <c r="S1850">
        <f>HYPERLINK("https://klasma.github.io/Logging_2309/artfynd/A 61378-2025 artfynd.xlsx", "A 61378-2025")</f>
        <v/>
      </c>
      <c r="T1850">
        <f>HYPERLINK("https://klasma.github.io/Logging_2309/kartor/A 61378-2025 karta.png", "A 61378-2025")</f>
        <v/>
      </c>
      <c r="V1850">
        <f>HYPERLINK("https://klasma.github.io/Logging_2309/klagomål/A 61378-2025 FSC-klagomål.docx", "A 61378-2025")</f>
        <v/>
      </c>
      <c r="W1850">
        <f>HYPERLINK("https://klasma.github.io/Logging_2309/klagomålsmail/A 61378-2025 FSC-klagomål mail.docx", "A 61378-2025")</f>
        <v/>
      </c>
      <c r="X1850">
        <f>HYPERLINK("https://klasma.github.io/Logging_2309/tillsyn/A 61378-2025 tillsynsbegäran.docx", "A 61378-2025")</f>
        <v/>
      </c>
      <c r="Y1850">
        <f>HYPERLINK("https://klasma.github.io/Logging_2309/tillsynsmail/A 61378-2025 tillsynsbegäran mail.docx", "A 61378-2025")</f>
        <v/>
      </c>
    </row>
    <row r="1851" ht="15" customHeight="1">
      <c r="A1851" t="inlineStr">
        <is>
          <t>A 40781-2025</t>
        </is>
      </c>
      <c r="B1851" s="1" t="n">
        <v>45897</v>
      </c>
      <c r="C1851" s="1" t="n">
        <v>46045</v>
      </c>
      <c r="D1851" t="inlineStr">
        <is>
          <t>JÄMTLANDS LÄN</t>
        </is>
      </c>
      <c r="E1851" t="inlineStr">
        <is>
          <t>ÖSTERSUND</t>
        </is>
      </c>
      <c r="F1851" t="inlineStr">
        <is>
          <t>Övriga Aktiebolag</t>
        </is>
      </c>
      <c r="G1851" t="n">
        <v>2.2</v>
      </c>
      <c r="H1851" t="n">
        <v>1</v>
      </c>
      <c r="I1851" t="n">
        <v>0</v>
      </c>
      <c r="J1851" t="n">
        <v>0</v>
      </c>
      <c r="K1851" t="n">
        <v>0</v>
      </c>
      <c r="L1851" t="n">
        <v>0</v>
      </c>
      <c r="M1851" t="n">
        <v>0</v>
      </c>
      <c r="N1851" t="n">
        <v>0</v>
      </c>
      <c r="O1851" t="n">
        <v>0</v>
      </c>
      <c r="P1851" t="n">
        <v>0</v>
      </c>
      <c r="Q1851" t="n">
        <v>1</v>
      </c>
      <c r="R1851" s="2" t="inlineStr">
        <is>
          <t>Blåsippa</t>
        </is>
      </c>
      <c r="S1851">
        <f>HYPERLINK("https://klasma.github.io/Logging_2380/artfynd/A 40781-2025 artfynd.xlsx", "A 40781-2025")</f>
        <v/>
      </c>
      <c r="T1851">
        <f>HYPERLINK("https://klasma.github.io/Logging_2380/kartor/A 40781-2025 karta.png", "A 40781-2025")</f>
        <v/>
      </c>
      <c r="V1851">
        <f>HYPERLINK("https://klasma.github.io/Logging_2380/klagomål/A 40781-2025 FSC-klagomål.docx", "A 40781-2025")</f>
        <v/>
      </c>
      <c r="W1851">
        <f>HYPERLINK("https://klasma.github.io/Logging_2380/klagomålsmail/A 40781-2025 FSC-klagomål mail.docx", "A 40781-2025")</f>
        <v/>
      </c>
      <c r="X1851">
        <f>HYPERLINK("https://klasma.github.io/Logging_2380/tillsyn/A 40781-2025 tillsynsbegäran.docx", "A 40781-2025")</f>
        <v/>
      </c>
      <c r="Y1851">
        <f>HYPERLINK("https://klasma.github.io/Logging_2380/tillsynsmail/A 40781-2025 tillsynsbegäran mail.docx", "A 40781-2025")</f>
        <v/>
      </c>
    </row>
    <row r="1852" ht="15" customHeight="1">
      <c r="A1852" t="inlineStr">
        <is>
          <t>A 37651-2025</t>
        </is>
      </c>
      <c r="B1852" s="1" t="n">
        <v>45880.49006944444</v>
      </c>
      <c r="C1852" s="1" t="n">
        <v>46045</v>
      </c>
      <c r="D1852" t="inlineStr">
        <is>
          <t>JÄMTLANDS LÄN</t>
        </is>
      </c>
      <c r="E1852" t="inlineStr">
        <is>
          <t>BERG</t>
        </is>
      </c>
      <c r="F1852" t="inlineStr">
        <is>
          <t>SCA</t>
        </is>
      </c>
      <c r="G1852" t="n">
        <v>8.5</v>
      </c>
      <c r="H1852" t="n">
        <v>0</v>
      </c>
      <c r="I1852" t="n">
        <v>0</v>
      </c>
      <c r="J1852" t="n">
        <v>1</v>
      </c>
      <c r="K1852" t="n">
        <v>0</v>
      </c>
      <c r="L1852" t="n">
        <v>0</v>
      </c>
      <c r="M1852" t="n">
        <v>0</v>
      </c>
      <c r="N1852" t="n">
        <v>0</v>
      </c>
      <c r="O1852" t="n">
        <v>1</v>
      </c>
      <c r="P1852" t="n">
        <v>0</v>
      </c>
      <c r="Q1852" t="n">
        <v>1</v>
      </c>
      <c r="R1852" s="2" t="inlineStr">
        <is>
          <t>Vedflamlav</t>
        </is>
      </c>
      <c r="S1852">
        <f>HYPERLINK("https://klasma.github.io/Logging_2326/artfynd/A 37651-2025 artfynd.xlsx", "A 37651-2025")</f>
        <v/>
      </c>
      <c r="T1852">
        <f>HYPERLINK("https://klasma.github.io/Logging_2326/kartor/A 37651-2025 karta.png", "A 37651-2025")</f>
        <v/>
      </c>
      <c r="V1852">
        <f>HYPERLINK("https://klasma.github.io/Logging_2326/klagomål/A 37651-2025 FSC-klagomål.docx", "A 37651-2025")</f>
        <v/>
      </c>
      <c r="W1852">
        <f>HYPERLINK("https://klasma.github.io/Logging_2326/klagomålsmail/A 37651-2025 FSC-klagomål mail.docx", "A 37651-2025")</f>
        <v/>
      </c>
      <c r="X1852">
        <f>HYPERLINK("https://klasma.github.io/Logging_2326/tillsyn/A 37651-2025 tillsynsbegäran.docx", "A 37651-2025")</f>
        <v/>
      </c>
      <c r="Y1852">
        <f>HYPERLINK("https://klasma.github.io/Logging_2326/tillsynsmail/A 37651-2025 tillsynsbegäran mail.docx", "A 37651-2025")</f>
        <v/>
      </c>
    </row>
    <row r="1853" ht="15" customHeight="1">
      <c r="A1853" t="inlineStr">
        <is>
          <t>A 3894-2026</t>
        </is>
      </c>
      <c r="B1853" s="1" t="n">
        <v>46043.67922453704</v>
      </c>
      <c r="C1853" s="1" t="n">
        <v>46045</v>
      </c>
      <c r="D1853" t="inlineStr">
        <is>
          <t>JÄMTLANDS LÄN</t>
        </is>
      </c>
      <c r="E1853" t="inlineStr">
        <is>
          <t>ÖSTERSUND</t>
        </is>
      </c>
      <c r="G1853" t="n">
        <v>3.5</v>
      </c>
      <c r="H1853" t="n">
        <v>0</v>
      </c>
      <c r="I1853" t="n">
        <v>0</v>
      </c>
      <c r="J1853" t="n">
        <v>0</v>
      </c>
      <c r="K1853" t="n">
        <v>1</v>
      </c>
      <c r="L1853" t="n">
        <v>0</v>
      </c>
      <c r="M1853" t="n">
        <v>0</v>
      </c>
      <c r="N1853" t="n">
        <v>0</v>
      </c>
      <c r="O1853" t="n">
        <v>1</v>
      </c>
      <c r="P1853" t="n">
        <v>1</v>
      </c>
      <c r="Q1853" t="n">
        <v>1</v>
      </c>
      <c r="R1853" s="2" t="inlineStr">
        <is>
          <t>Rynkskinn</t>
        </is>
      </c>
      <c r="S1853">
        <f>HYPERLINK("https://klasma.github.io/Logging_2380/artfynd/A 3894-2026 artfynd.xlsx", "A 3894-2026")</f>
        <v/>
      </c>
      <c r="T1853">
        <f>HYPERLINK("https://klasma.github.io/Logging_2380/kartor/A 3894-2026 karta.png", "A 3894-2026")</f>
        <v/>
      </c>
      <c r="V1853">
        <f>HYPERLINK("https://klasma.github.io/Logging_2380/klagomål/A 3894-2026 FSC-klagomål.docx", "A 3894-2026")</f>
        <v/>
      </c>
      <c r="W1853">
        <f>HYPERLINK("https://klasma.github.io/Logging_2380/klagomålsmail/A 3894-2026 FSC-klagomål mail.docx", "A 3894-2026")</f>
        <v/>
      </c>
      <c r="X1853">
        <f>HYPERLINK("https://klasma.github.io/Logging_2380/tillsyn/A 3894-2026 tillsynsbegäran.docx", "A 3894-2026")</f>
        <v/>
      </c>
      <c r="Y1853">
        <f>HYPERLINK("https://klasma.github.io/Logging_2380/tillsynsmail/A 3894-2026 tillsynsbegäran mail.docx", "A 3894-2026")</f>
        <v/>
      </c>
    </row>
    <row r="1854" ht="15" customHeight="1">
      <c r="A1854" t="inlineStr">
        <is>
          <t>A 37922-2025</t>
        </is>
      </c>
      <c r="B1854" s="1" t="n">
        <v>45881.5750462963</v>
      </c>
      <c r="C1854" s="1" t="n">
        <v>46045</v>
      </c>
      <c r="D1854" t="inlineStr">
        <is>
          <t>JÄMTLANDS LÄN</t>
        </is>
      </c>
      <c r="E1854" t="inlineStr">
        <is>
          <t>BRÄCKE</t>
        </is>
      </c>
      <c r="F1854" t="inlineStr">
        <is>
          <t>SCA</t>
        </is>
      </c>
      <c r="G1854" t="n">
        <v>2.1</v>
      </c>
      <c r="H1854" t="n">
        <v>1</v>
      </c>
      <c r="I1854" t="n">
        <v>1</v>
      </c>
      <c r="J1854" t="n">
        <v>0</v>
      </c>
      <c r="K1854" t="n">
        <v>0</v>
      </c>
      <c r="L1854" t="n">
        <v>0</v>
      </c>
      <c r="M1854" t="n">
        <v>0</v>
      </c>
      <c r="N1854" t="n">
        <v>0</v>
      </c>
      <c r="O1854" t="n">
        <v>0</v>
      </c>
      <c r="P1854" t="n">
        <v>0</v>
      </c>
      <c r="Q1854" t="n">
        <v>1</v>
      </c>
      <c r="R1854" s="2" t="inlineStr">
        <is>
          <t>Plattlummer</t>
        </is>
      </c>
      <c r="S1854">
        <f>HYPERLINK("https://klasma.github.io/Logging_2305/artfynd/A 37922-2025 artfynd.xlsx", "A 37922-2025")</f>
        <v/>
      </c>
      <c r="T1854">
        <f>HYPERLINK("https://klasma.github.io/Logging_2305/kartor/A 37922-2025 karta.png", "A 37922-2025")</f>
        <v/>
      </c>
      <c r="V1854">
        <f>HYPERLINK("https://klasma.github.io/Logging_2305/klagomål/A 37922-2025 FSC-klagomål.docx", "A 37922-2025")</f>
        <v/>
      </c>
      <c r="W1854">
        <f>HYPERLINK("https://klasma.github.io/Logging_2305/klagomålsmail/A 37922-2025 FSC-klagomål mail.docx", "A 37922-2025")</f>
        <v/>
      </c>
      <c r="X1854">
        <f>HYPERLINK("https://klasma.github.io/Logging_2305/tillsyn/A 37922-2025 tillsynsbegäran.docx", "A 37922-2025")</f>
        <v/>
      </c>
      <c r="Y1854">
        <f>HYPERLINK("https://klasma.github.io/Logging_2305/tillsynsmail/A 37922-2025 tillsynsbegäran mail.docx", "A 37922-2025")</f>
        <v/>
      </c>
    </row>
    <row r="1855" ht="15" customHeight="1">
      <c r="A1855" t="inlineStr">
        <is>
          <t>A 54354-2024</t>
        </is>
      </c>
      <c r="B1855" s="1" t="n">
        <v>45617.40244212963</v>
      </c>
      <c r="C1855" s="1" t="n">
        <v>46045</v>
      </c>
      <c r="D1855" t="inlineStr">
        <is>
          <t>JÄMTLANDS LÄN</t>
        </is>
      </c>
      <c r="E1855" t="inlineStr">
        <is>
          <t>ÖSTERSUND</t>
        </is>
      </c>
      <c r="G1855" t="n">
        <v>7</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HYPERLINK("https://klasma.github.io/Logging_2380/artfynd/A 54354-2024 artfynd.xlsx", "A 54354-2024")</f>
        <v/>
      </c>
      <c r="T1855">
        <f>HYPERLINK("https://klasma.github.io/Logging_2380/kartor/A 54354-2024 karta.png", "A 54354-2024")</f>
        <v/>
      </c>
      <c r="V1855">
        <f>HYPERLINK("https://klasma.github.io/Logging_2380/klagomål/A 54354-2024 FSC-klagomål.docx", "A 54354-2024")</f>
        <v/>
      </c>
      <c r="W1855">
        <f>HYPERLINK("https://klasma.github.io/Logging_2380/klagomålsmail/A 54354-2024 FSC-klagomål mail.docx", "A 54354-2024")</f>
        <v/>
      </c>
      <c r="X1855">
        <f>HYPERLINK("https://klasma.github.io/Logging_2380/tillsyn/A 54354-2024 tillsynsbegäran.docx", "A 54354-2024")</f>
        <v/>
      </c>
      <c r="Y1855">
        <f>HYPERLINK("https://klasma.github.io/Logging_2380/tillsynsmail/A 54354-2024 tillsynsbegäran mail.docx", "A 54354-2024")</f>
        <v/>
      </c>
      <c r="Z1855">
        <f>HYPERLINK("https://klasma.github.io/Logging_2380/fåglar/A 54354-2024 prioriterade fågelarter.docx", "A 54354-2024")</f>
        <v/>
      </c>
    </row>
    <row r="1856" ht="15" customHeight="1">
      <c r="A1856" t="inlineStr">
        <is>
          <t>A 38022-2025</t>
        </is>
      </c>
      <c r="B1856" s="1" t="n">
        <v>45882.34482638889</v>
      </c>
      <c r="C1856" s="1" t="n">
        <v>46045</v>
      </c>
      <c r="D1856" t="inlineStr">
        <is>
          <t>JÄMTLANDS LÄN</t>
        </is>
      </c>
      <c r="E1856" t="inlineStr">
        <is>
          <t>STRÖMSUND</t>
        </is>
      </c>
      <c r="F1856" t="inlineStr">
        <is>
          <t>SCA</t>
        </is>
      </c>
      <c r="G1856" t="n">
        <v>0.7</v>
      </c>
      <c r="H1856" t="n">
        <v>0</v>
      </c>
      <c r="I1856" t="n">
        <v>0</v>
      </c>
      <c r="J1856" t="n">
        <v>1</v>
      </c>
      <c r="K1856" t="n">
        <v>0</v>
      </c>
      <c r="L1856" t="n">
        <v>0</v>
      </c>
      <c r="M1856" t="n">
        <v>0</v>
      </c>
      <c r="N1856" t="n">
        <v>0</v>
      </c>
      <c r="O1856" t="n">
        <v>1</v>
      </c>
      <c r="P1856" t="n">
        <v>0</v>
      </c>
      <c r="Q1856" t="n">
        <v>1</v>
      </c>
      <c r="R1856" s="2" t="inlineStr">
        <is>
          <t>Ullticka</t>
        </is>
      </c>
      <c r="S1856">
        <f>HYPERLINK("https://klasma.github.io/Logging_2313/artfynd/A 38022-2025 artfynd.xlsx", "A 38022-2025")</f>
        <v/>
      </c>
      <c r="T1856">
        <f>HYPERLINK("https://klasma.github.io/Logging_2313/kartor/A 38022-2025 karta.png", "A 38022-2025")</f>
        <v/>
      </c>
      <c r="V1856">
        <f>HYPERLINK("https://klasma.github.io/Logging_2313/klagomål/A 38022-2025 FSC-klagomål.docx", "A 38022-2025")</f>
        <v/>
      </c>
      <c r="W1856">
        <f>HYPERLINK("https://klasma.github.io/Logging_2313/klagomålsmail/A 38022-2025 FSC-klagomål mail.docx", "A 38022-2025")</f>
        <v/>
      </c>
      <c r="X1856">
        <f>HYPERLINK("https://klasma.github.io/Logging_2313/tillsyn/A 38022-2025 tillsynsbegäran.docx", "A 38022-2025")</f>
        <v/>
      </c>
      <c r="Y1856">
        <f>HYPERLINK("https://klasma.github.io/Logging_2313/tillsynsmail/A 38022-2025 tillsynsbegäran mail.docx", "A 38022-2025")</f>
        <v/>
      </c>
    </row>
    <row r="1857" ht="15" customHeight="1">
      <c r="A1857" t="inlineStr">
        <is>
          <t>A 38158-2025</t>
        </is>
      </c>
      <c r="B1857" s="1" t="n">
        <v>45882.61518518518</v>
      </c>
      <c r="C1857" s="1" t="n">
        <v>46045</v>
      </c>
      <c r="D1857" t="inlineStr">
        <is>
          <t>JÄMTLANDS LÄN</t>
        </is>
      </c>
      <c r="E1857" t="inlineStr">
        <is>
          <t>BRÄCKE</t>
        </is>
      </c>
      <c r="F1857" t="inlineStr">
        <is>
          <t>SCA</t>
        </is>
      </c>
      <c r="G1857" t="n">
        <v>19.9</v>
      </c>
      <c r="H1857" t="n">
        <v>0</v>
      </c>
      <c r="I1857" t="n">
        <v>0</v>
      </c>
      <c r="J1857" t="n">
        <v>1</v>
      </c>
      <c r="K1857" t="n">
        <v>0</v>
      </c>
      <c r="L1857" t="n">
        <v>0</v>
      </c>
      <c r="M1857" t="n">
        <v>0</v>
      </c>
      <c r="N1857" t="n">
        <v>0</v>
      </c>
      <c r="O1857" t="n">
        <v>1</v>
      </c>
      <c r="P1857" t="n">
        <v>0</v>
      </c>
      <c r="Q1857" t="n">
        <v>1</v>
      </c>
      <c r="R1857" s="2" t="inlineStr">
        <is>
          <t>Rödbrun klubbdyna</t>
        </is>
      </c>
      <c r="S1857">
        <f>HYPERLINK("https://klasma.github.io/Logging_2305/artfynd/A 38158-2025 artfynd.xlsx", "A 38158-2025")</f>
        <v/>
      </c>
      <c r="T1857">
        <f>HYPERLINK("https://klasma.github.io/Logging_2305/kartor/A 38158-2025 karta.png", "A 38158-2025")</f>
        <v/>
      </c>
      <c r="V1857">
        <f>HYPERLINK("https://klasma.github.io/Logging_2305/klagomål/A 38158-2025 FSC-klagomål.docx", "A 38158-2025")</f>
        <v/>
      </c>
      <c r="W1857">
        <f>HYPERLINK("https://klasma.github.io/Logging_2305/klagomålsmail/A 38158-2025 FSC-klagomål mail.docx", "A 38158-2025")</f>
        <v/>
      </c>
      <c r="X1857">
        <f>HYPERLINK("https://klasma.github.io/Logging_2305/tillsyn/A 38158-2025 tillsynsbegäran.docx", "A 38158-2025")</f>
        <v/>
      </c>
      <c r="Y1857">
        <f>HYPERLINK("https://klasma.github.io/Logging_2305/tillsynsmail/A 38158-2025 tillsynsbegäran mail.docx", "A 38158-2025")</f>
        <v/>
      </c>
    </row>
    <row r="1858" ht="15" customHeight="1">
      <c r="A1858" t="inlineStr">
        <is>
          <t>A 37976-2025</t>
        </is>
      </c>
      <c r="B1858" s="1" t="n">
        <v>45881.67775462963</v>
      </c>
      <c r="C1858" s="1" t="n">
        <v>46045</v>
      </c>
      <c r="D1858" t="inlineStr">
        <is>
          <t>JÄMTLANDS LÄN</t>
        </is>
      </c>
      <c r="E1858" t="inlineStr">
        <is>
          <t>BRÄCKE</t>
        </is>
      </c>
      <c r="F1858" t="inlineStr">
        <is>
          <t>SCA</t>
        </is>
      </c>
      <c r="G1858" t="n">
        <v>11.3</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37976-2025 artfynd.xlsx", "A 37976-2025")</f>
        <v/>
      </c>
      <c r="T1858">
        <f>HYPERLINK("https://klasma.github.io/Logging_2305/kartor/A 37976-2025 karta.png", "A 37976-2025")</f>
        <v/>
      </c>
      <c r="V1858">
        <f>HYPERLINK("https://klasma.github.io/Logging_2305/klagomål/A 37976-2025 FSC-klagomål.docx", "A 37976-2025")</f>
        <v/>
      </c>
      <c r="W1858">
        <f>HYPERLINK("https://klasma.github.io/Logging_2305/klagomålsmail/A 37976-2025 FSC-klagomål mail.docx", "A 37976-2025")</f>
        <v/>
      </c>
      <c r="X1858">
        <f>HYPERLINK("https://klasma.github.io/Logging_2305/tillsyn/A 37976-2025 tillsynsbegäran.docx", "A 37976-2025")</f>
        <v/>
      </c>
      <c r="Y1858">
        <f>HYPERLINK("https://klasma.github.io/Logging_2305/tillsynsmail/A 37976-2025 tillsynsbegäran mail.docx", "A 37976-2025")</f>
        <v/>
      </c>
    </row>
    <row r="1859" ht="15" customHeight="1">
      <c r="A1859" t="inlineStr">
        <is>
          <t>A 49388-2024</t>
        </is>
      </c>
      <c r="B1859" s="1" t="n">
        <v>45595</v>
      </c>
      <c r="C1859" s="1" t="n">
        <v>46045</v>
      </c>
      <c r="D1859" t="inlineStr">
        <is>
          <t>JÄMTLANDS LÄN</t>
        </is>
      </c>
      <c r="E1859" t="inlineStr">
        <is>
          <t>KROKOM</t>
        </is>
      </c>
      <c r="G1859" t="n">
        <v>7.4</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HYPERLINK("https://klasma.github.io/Logging_2309/artfynd/A 49388-2024 artfynd.xlsx", "A 49388-2024")</f>
        <v/>
      </c>
      <c r="T1859">
        <f>HYPERLINK("https://klasma.github.io/Logging_2309/kartor/A 49388-2024 karta.png", "A 49388-2024")</f>
        <v/>
      </c>
      <c r="V1859">
        <f>HYPERLINK("https://klasma.github.io/Logging_2309/klagomål/A 49388-2024 FSC-klagomål.docx", "A 49388-2024")</f>
        <v/>
      </c>
      <c r="W1859">
        <f>HYPERLINK("https://klasma.github.io/Logging_2309/klagomålsmail/A 49388-2024 FSC-klagomål mail.docx", "A 49388-2024")</f>
        <v/>
      </c>
      <c r="X1859">
        <f>HYPERLINK("https://klasma.github.io/Logging_2309/tillsyn/A 49388-2024 tillsynsbegäran.docx", "A 49388-2024")</f>
        <v/>
      </c>
      <c r="Y1859">
        <f>HYPERLINK("https://klasma.github.io/Logging_2309/tillsynsmail/A 49388-2024 tillsynsbegäran mail.docx", "A 49388-2024")</f>
        <v/>
      </c>
      <c r="Z1859">
        <f>HYPERLINK("https://klasma.github.io/Logging_2309/fåglar/A 49388-2024 prioriterade fågelarter.docx", "A 49388-2024")</f>
        <v/>
      </c>
    </row>
    <row r="1860" ht="15" customHeight="1">
      <c r="A1860" t="inlineStr">
        <is>
          <t>A 44603-2024</t>
        </is>
      </c>
      <c r="B1860" s="1" t="n">
        <v>45574.51158564815</v>
      </c>
      <c r="C1860" s="1" t="n">
        <v>46045</v>
      </c>
      <c r="D1860" t="inlineStr">
        <is>
          <t>JÄMTLANDS LÄN</t>
        </is>
      </c>
      <c r="E1860" t="inlineStr">
        <is>
          <t>STRÖMSUND</t>
        </is>
      </c>
      <c r="F1860" t="inlineStr">
        <is>
          <t>SCA</t>
        </is>
      </c>
      <c r="G1860" t="n">
        <v>4.6</v>
      </c>
      <c r="H1860" t="n">
        <v>0</v>
      </c>
      <c r="I1860" t="n">
        <v>0</v>
      </c>
      <c r="J1860" t="n">
        <v>0</v>
      </c>
      <c r="K1860" t="n">
        <v>1</v>
      </c>
      <c r="L1860" t="n">
        <v>0</v>
      </c>
      <c r="M1860" t="n">
        <v>0</v>
      </c>
      <c r="N1860" t="n">
        <v>0</v>
      </c>
      <c r="O1860" t="n">
        <v>1</v>
      </c>
      <c r="P1860" t="n">
        <v>1</v>
      </c>
      <c r="Q1860" t="n">
        <v>1</v>
      </c>
      <c r="R1860" s="2" t="inlineStr">
        <is>
          <t>Norsk näverlav</t>
        </is>
      </c>
      <c r="S1860">
        <f>HYPERLINK("https://klasma.github.io/Logging_2313/artfynd/A 44603-2024 artfynd.xlsx", "A 44603-2024")</f>
        <v/>
      </c>
      <c r="T1860">
        <f>HYPERLINK("https://klasma.github.io/Logging_2313/kartor/A 44603-2024 karta.png", "A 44603-2024")</f>
        <v/>
      </c>
      <c r="V1860">
        <f>HYPERLINK("https://klasma.github.io/Logging_2313/klagomål/A 44603-2024 FSC-klagomål.docx", "A 44603-2024")</f>
        <v/>
      </c>
      <c r="W1860">
        <f>HYPERLINK("https://klasma.github.io/Logging_2313/klagomålsmail/A 44603-2024 FSC-klagomål mail.docx", "A 44603-2024")</f>
        <v/>
      </c>
      <c r="X1860">
        <f>HYPERLINK("https://klasma.github.io/Logging_2313/tillsyn/A 44603-2024 tillsynsbegäran.docx", "A 44603-2024")</f>
        <v/>
      </c>
      <c r="Y1860">
        <f>HYPERLINK("https://klasma.github.io/Logging_2313/tillsynsmail/A 44603-2024 tillsynsbegäran mail.docx", "A 44603-2024")</f>
        <v/>
      </c>
    </row>
    <row r="1861" ht="15" customHeight="1">
      <c r="A1861" t="inlineStr">
        <is>
          <t>A 2882-2025</t>
        </is>
      </c>
      <c r="B1861" s="1" t="n">
        <v>45677.69878472222</v>
      </c>
      <c r="C1861" s="1" t="n">
        <v>46045</v>
      </c>
      <c r="D1861" t="inlineStr">
        <is>
          <t>JÄMTLANDS LÄN</t>
        </is>
      </c>
      <c r="E1861" t="inlineStr">
        <is>
          <t>BRÄCKE</t>
        </is>
      </c>
      <c r="F1861" t="inlineStr">
        <is>
          <t>SCA</t>
        </is>
      </c>
      <c r="G1861" t="n">
        <v>2.7</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HYPERLINK("https://klasma.github.io/Logging_2305/artfynd/A 2882-2025 artfynd.xlsx", "A 2882-2025")</f>
        <v/>
      </c>
      <c r="T1861">
        <f>HYPERLINK("https://klasma.github.io/Logging_2305/kartor/A 2882-2025 karta.png", "A 2882-2025")</f>
        <v/>
      </c>
      <c r="V1861">
        <f>HYPERLINK("https://klasma.github.io/Logging_2305/klagomål/A 2882-2025 FSC-klagomål.docx", "A 2882-2025")</f>
        <v/>
      </c>
      <c r="W1861">
        <f>HYPERLINK("https://klasma.github.io/Logging_2305/klagomålsmail/A 2882-2025 FSC-klagomål mail.docx", "A 2882-2025")</f>
        <v/>
      </c>
      <c r="X1861">
        <f>HYPERLINK("https://klasma.github.io/Logging_2305/tillsyn/A 2882-2025 tillsynsbegäran.docx", "A 2882-2025")</f>
        <v/>
      </c>
      <c r="Y1861">
        <f>HYPERLINK("https://klasma.github.io/Logging_2305/tillsynsmail/A 2882-2025 tillsynsbegäran mail.docx", "A 2882-2025")</f>
        <v/>
      </c>
    </row>
    <row r="1862" ht="15" customHeight="1">
      <c r="A1862" t="inlineStr">
        <is>
          <t>A 17996-2025</t>
        </is>
      </c>
      <c r="B1862" s="1" t="n">
        <v>45761.40716435185</v>
      </c>
      <c r="C1862" s="1" t="n">
        <v>46045</v>
      </c>
      <c r="D1862" t="inlineStr">
        <is>
          <t>JÄMTLANDS LÄN</t>
        </is>
      </c>
      <c r="E1862" t="inlineStr">
        <is>
          <t>BRÄCKE</t>
        </is>
      </c>
      <c r="F1862" t="inlineStr">
        <is>
          <t>SCA</t>
        </is>
      </c>
      <c r="G1862" t="n">
        <v>1.3</v>
      </c>
      <c r="H1862" t="n">
        <v>0</v>
      </c>
      <c r="I1862" t="n">
        <v>1</v>
      </c>
      <c r="J1862" t="n">
        <v>0</v>
      </c>
      <c r="K1862" t="n">
        <v>0</v>
      </c>
      <c r="L1862" t="n">
        <v>0</v>
      </c>
      <c r="M1862" t="n">
        <v>0</v>
      </c>
      <c r="N1862" t="n">
        <v>0</v>
      </c>
      <c r="O1862" t="n">
        <v>0</v>
      </c>
      <c r="P1862" t="n">
        <v>0</v>
      </c>
      <c r="Q1862" t="n">
        <v>1</v>
      </c>
      <c r="R1862" s="2" t="inlineStr">
        <is>
          <t>Rödgul trumpetsvamp</t>
        </is>
      </c>
      <c r="S1862">
        <f>HYPERLINK("https://klasma.github.io/Logging_2305/artfynd/A 17996-2025 artfynd.xlsx", "A 17996-2025")</f>
        <v/>
      </c>
      <c r="T1862">
        <f>HYPERLINK("https://klasma.github.io/Logging_2305/kartor/A 17996-2025 karta.png", "A 17996-2025")</f>
        <v/>
      </c>
      <c r="V1862">
        <f>HYPERLINK("https://klasma.github.io/Logging_2305/klagomål/A 17996-2025 FSC-klagomål.docx", "A 17996-2025")</f>
        <v/>
      </c>
      <c r="W1862">
        <f>HYPERLINK("https://klasma.github.io/Logging_2305/klagomålsmail/A 17996-2025 FSC-klagomål mail.docx", "A 17996-2025")</f>
        <v/>
      </c>
      <c r="X1862">
        <f>HYPERLINK("https://klasma.github.io/Logging_2305/tillsyn/A 17996-2025 tillsynsbegäran.docx", "A 17996-2025")</f>
        <v/>
      </c>
      <c r="Y1862">
        <f>HYPERLINK("https://klasma.github.io/Logging_2305/tillsynsmail/A 17996-2025 tillsynsbegäran mail.docx", "A 17996-2025")</f>
        <v/>
      </c>
    </row>
    <row r="1863" ht="15" customHeight="1">
      <c r="A1863" t="inlineStr">
        <is>
          <t>A 235-2022</t>
        </is>
      </c>
      <c r="B1863" s="1" t="n">
        <v>44564</v>
      </c>
      <c r="C1863" s="1" t="n">
        <v>46045</v>
      </c>
      <c r="D1863" t="inlineStr">
        <is>
          <t>JÄMTLANDS LÄN</t>
        </is>
      </c>
      <c r="E1863" t="inlineStr">
        <is>
          <t>BRÄCKE</t>
        </is>
      </c>
      <c r="F1863" t="inlineStr">
        <is>
          <t>SCA</t>
        </is>
      </c>
      <c r="G1863" t="n">
        <v>5.8</v>
      </c>
      <c r="H1863" t="n">
        <v>0</v>
      </c>
      <c r="I1863" t="n">
        <v>0</v>
      </c>
      <c r="J1863" t="n">
        <v>1</v>
      </c>
      <c r="K1863" t="n">
        <v>0</v>
      </c>
      <c r="L1863" t="n">
        <v>0</v>
      </c>
      <c r="M1863" t="n">
        <v>0</v>
      </c>
      <c r="N1863" t="n">
        <v>0</v>
      </c>
      <c r="O1863" t="n">
        <v>1</v>
      </c>
      <c r="P1863" t="n">
        <v>0</v>
      </c>
      <c r="Q1863" t="n">
        <v>1</v>
      </c>
      <c r="R1863" s="2" t="inlineStr">
        <is>
          <t>Harticka</t>
        </is>
      </c>
      <c r="S1863">
        <f>HYPERLINK("https://klasma.github.io/Logging_2305/artfynd/A 235-2022 artfynd.xlsx", "A 235-2022")</f>
        <v/>
      </c>
      <c r="T1863">
        <f>HYPERLINK("https://klasma.github.io/Logging_2305/kartor/A 235-2022 karta.png", "A 235-2022")</f>
        <v/>
      </c>
      <c r="V1863">
        <f>HYPERLINK("https://klasma.github.io/Logging_2305/klagomål/A 235-2022 FSC-klagomål.docx", "A 235-2022")</f>
        <v/>
      </c>
      <c r="W1863">
        <f>HYPERLINK("https://klasma.github.io/Logging_2305/klagomålsmail/A 235-2022 FSC-klagomål mail.docx", "A 235-2022")</f>
        <v/>
      </c>
      <c r="X1863">
        <f>HYPERLINK("https://klasma.github.io/Logging_2305/tillsyn/A 235-2022 tillsynsbegäran.docx", "A 235-2022")</f>
        <v/>
      </c>
      <c r="Y1863">
        <f>HYPERLINK("https://klasma.github.io/Logging_2305/tillsynsmail/A 235-2022 tillsynsbegäran mail.docx", "A 235-2022")</f>
        <v/>
      </c>
    </row>
    <row r="1864" ht="15" customHeight="1">
      <c r="A1864" t="inlineStr">
        <is>
          <t>A 74392-2021</t>
        </is>
      </c>
      <c r="B1864" s="1" t="n">
        <v>44559</v>
      </c>
      <c r="C1864" s="1" t="n">
        <v>46045</v>
      </c>
      <c r="D1864" t="inlineStr">
        <is>
          <t>JÄMTLANDS LÄN</t>
        </is>
      </c>
      <c r="E1864" t="inlineStr">
        <is>
          <t>ÅRE</t>
        </is>
      </c>
      <c r="G1864" t="n">
        <v>11.6</v>
      </c>
      <c r="H1864" t="n">
        <v>0</v>
      </c>
      <c r="I1864" t="n">
        <v>0</v>
      </c>
      <c r="J1864" t="n">
        <v>1</v>
      </c>
      <c r="K1864" t="n">
        <v>0</v>
      </c>
      <c r="L1864" t="n">
        <v>0</v>
      </c>
      <c r="M1864" t="n">
        <v>0</v>
      </c>
      <c r="N1864" t="n">
        <v>0</v>
      </c>
      <c r="O1864" t="n">
        <v>1</v>
      </c>
      <c r="P1864" t="n">
        <v>0</v>
      </c>
      <c r="Q1864" t="n">
        <v>1</v>
      </c>
      <c r="R1864" s="2" t="inlineStr">
        <is>
          <t>Skrovellav</t>
        </is>
      </c>
      <c r="S1864">
        <f>HYPERLINK("https://klasma.github.io/Logging_2321/artfynd/A 74392-2021 artfynd.xlsx", "A 74392-2021")</f>
        <v/>
      </c>
      <c r="T1864">
        <f>HYPERLINK("https://klasma.github.io/Logging_2321/kartor/A 74392-2021 karta.png", "A 74392-2021")</f>
        <v/>
      </c>
      <c r="V1864">
        <f>HYPERLINK("https://klasma.github.io/Logging_2321/klagomål/A 74392-2021 FSC-klagomål.docx", "A 74392-2021")</f>
        <v/>
      </c>
      <c r="W1864">
        <f>HYPERLINK("https://klasma.github.io/Logging_2321/klagomålsmail/A 74392-2021 FSC-klagomål mail.docx", "A 74392-2021")</f>
        <v/>
      </c>
      <c r="X1864">
        <f>HYPERLINK("https://klasma.github.io/Logging_2321/tillsyn/A 74392-2021 tillsynsbegäran.docx", "A 74392-2021")</f>
        <v/>
      </c>
      <c r="Y1864">
        <f>HYPERLINK("https://klasma.github.io/Logging_2321/tillsynsmail/A 74392-2021 tillsynsbegäran mail.docx", "A 74392-2021")</f>
        <v/>
      </c>
    </row>
    <row r="1865" ht="15" customHeight="1">
      <c r="A1865" t="inlineStr">
        <is>
          <t>A 16724-2025</t>
        </is>
      </c>
      <c r="B1865" s="1" t="n">
        <v>45754.51064814815</v>
      </c>
      <c r="C1865" s="1" t="n">
        <v>46045</v>
      </c>
      <c r="D1865" t="inlineStr">
        <is>
          <t>JÄMTLANDS LÄN</t>
        </is>
      </c>
      <c r="E1865" t="inlineStr">
        <is>
          <t>RAGUNDA</t>
        </is>
      </c>
      <c r="G1865" t="n">
        <v>3.5</v>
      </c>
      <c r="H1865" t="n">
        <v>0</v>
      </c>
      <c r="I1865" t="n">
        <v>0</v>
      </c>
      <c r="J1865" t="n">
        <v>1</v>
      </c>
      <c r="K1865" t="n">
        <v>0</v>
      </c>
      <c r="L1865" t="n">
        <v>0</v>
      </c>
      <c r="M1865" t="n">
        <v>0</v>
      </c>
      <c r="N1865" t="n">
        <v>0</v>
      </c>
      <c r="O1865" t="n">
        <v>1</v>
      </c>
      <c r="P1865" t="n">
        <v>0</v>
      </c>
      <c r="Q1865" t="n">
        <v>1</v>
      </c>
      <c r="R1865" s="2" t="inlineStr">
        <is>
          <t>Kolflarnlav</t>
        </is>
      </c>
      <c r="S1865">
        <f>HYPERLINK("https://klasma.github.io/Logging_2303/artfynd/A 16724-2025 artfynd.xlsx", "A 16724-2025")</f>
        <v/>
      </c>
      <c r="T1865">
        <f>HYPERLINK("https://klasma.github.io/Logging_2303/kartor/A 16724-2025 karta.png", "A 16724-2025")</f>
        <v/>
      </c>
      <c r="V1865">
        <f>HYPERLINK("https://klasma.github.io/Logging_2303/klagomål/A 16724-2025 FSC-klagomål.docx", "A 16724-2025")</f>
        <v/>
      </c>
      <c r="W1865">
        <f>HYPERLINK("https://klasma.github.io/Logging_2303/klagomålsmail/A 16724-2025 FSC-klagomål mail.docx", "A 16724-2025")</f>
        <v/>
      </c>
      <c r="X1865">
        <f>HYPERLINK("https://klasma.github.io/Logging_2303/tillsyn/A 16724-2025 tillsynsbegäran.docx", "A 16724-2025")</f>
        <v/>
      </c>
      <c r="Y1865">
        <f>HYPERLINK("https://klasma.github.io/Logging_2303/tillsynsmail/A 16724-2025 tillsynsbegäran mail.docx", "A 16724-2025")</f>
        <v/>
      </c>
    </row>
    <row r="1866" ht="15" customHeight="1">
      <c r="A1866" t="inlineStr">
        <is>
          <t>A 44049-2024</t>
        </is>
      </c>
      <c r="B1866" s="1" t="n">
        <v>45572.59462962963</v>
      </c>
      <c r="C1866" s="1" t="n">
        <v>46045</v>
      </c>
      <c r="D1866" t="inlineStr">
        <is>
          <t>JÄMTLANDS LÄN</t>
        </is>
      </c>
      <c r="E1866" t="inlineStr">
        <is>
          <t>ÖSTERSUND</t>
        </is>
      </c>
      <c r="F1866" t="inlineStr">
        <is>
          <t>SCA</t>
        </is>
      </c>
      <c r="G1866" t="n">
        <v>4.5</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HYPERLINK("https://klasma.github.io/Logging_2380/artfynd/A 44049-2024 artfynd.xlsx", "A 44049-2024")</f>
        <v/>
      </c>
      <c r="T1866">
        <f>HYPERLINK("https://klasma.github.io/Logging_2380/kartor/A 44049-2024 karta.png", "A 44049-2024")</f>
        <v/>
      </c>
      <c r="V1866">
        <f>HYPERLINK("https://klasma.github.io/Logging_2380/klagomål/A 44049-2024 FSC-klagomål.docx", "A 44049-2024")</f>
        <v/>
      </c>
      <c r="W1866">
        <f>HYPERLINK("https://klasma.github.io/Logging_2380/klagomålsmail/A 44049-2024 FSC-klagomål mail.docx", "A 44049-2024")</f>
        <v/>
      </c>
      <c r="X1866">
        <f>HYPERLINK("https://klasma.github.io/Logging_2380/tillsyn/A 44049-2024 tillsynsbegäran.docx", "A 44049-2024")</f>
        <v/>
      </c>
      <c r="Y1866">
        <f>HYPERLINK("https://klasma.github.io/Logging_2380/tillsynsmail/A 44049-2024 tillsynsbegäran mail.docx", "A 44049-2024")</f>
        <v/>
      </c>
    </row>
    <row r="1867" ht="15" customHeight="1">
      <c r="A1867" t="inlineStr">
        <is>
          <t>A 55135-2024</t>
        </is>
      </c>
      <c r="B1867" s="1" t="n">
        <v>45621.47555555555</v>
      </c>
      <c r="C1867" s="1" t="n">
        <v>46045</v>
      </c>
      <c r="D1867" t="inlineStr">
        <is>
          <t>JÄMTLANDS LÄN</t>
        </is>
      </c>
      <c r="E1867" t="inlineStr">
        <is>
          <t>HÄRJEDALEN</t>
        </is>
      </c>
      <c r="F1867" t="inlineStr">
        <is>
          <t>Sveaskog</t>
        </is>
      </c>
      <c r="G1867" t="n">
        <v>12.6</v>
      </c>
      <c r="H1867" t="n">
        <v>0</v>
      </c>
      <c r="I1867" t="n">
        <v>1</v>
      </c>
      <c r="J1867" t="n">
        <v>0</v>
      </c>
      <c r="K1867" t="n">
        <v>0</v>
      </c>
      <c r="L1867" t="n">
        <v>0</v>
      </c>
      <c r="M1867" t="n">
        <v>0</v>
      </c>
      <c r="N1867" t="n">
        <v>0</v>
      </c>
      <c r="O1867" t="n">
        <v>0</v>
      </c>
      <c r="P1867" t="n">
        <v>0</v>
      </c>
      <c r="Q1867" t="n">
        <v>1</v>
      </c>
      <c r="R1867" s="2" t="inlineStr">
        <is>
          <t>Skarp dropptaggsvamp</t>
        </is>
      </c>
      <c r="S1867">
        <f>HYPERLINK("https://klasma.github.io/Logging_2361/artfynd/A 55135-2024 artfynd.xlsx", "A 55135-2024")</f>
        <v/>
      </c>
      <c r="T1867">
        <f>HYPERLINK("https://klasma.github.io/Logging_2361/kartor/A 55135-2024 karta.png", "A 55135-2024")</f>
        <v/>
      </c>
      <c r="V1867">
        <f>HYPERLINK("https://klasma.github.io/Logging_2361/klagomål/A 55135-2024 FSC-klagomål.docx", "A 55135-2024")</f>
        <v/>
      </c>
      <c r="W1867">
        <f>HYPERLINK("https://klasma.github.io/Logging_2361/klagomålsmail/A 55135-2024 FSC-klagomål mail.docx", "A 55135-2024")</f>
        <v/>
      </c>
      <c r="X1867">
        <f>HYPERLINK("https://klasma.github.io/Logging_2361/tillsyn/A 55135-2024 tillsynsbegäran.docx", "A 55135-2024")</f>
        <v/>
      </c>
      <c r="Y1867">
        <f>HYPERLINK("https://klasma.github.io/Logging_2361/tillsynsmail/A 55135-2024 tillsynsbegäran mail.docx", "A 55135-2024")</f>
        <v/>
      </c>
    </row>
    <row r="1868" ht="15" customHeight="1">
      <c r="A1868" t="inlineStr">
        <is>
          <t>A 20808-2024</t>
        </is>
      </c>
      <c r="B1868" s="1" t="n">
        <v>45439</v>
      </c>
      <c r="C1868" s="1" t="n">
        <v>46045</v>
      </c>
      <c r="D1868" t="inlineStr">
        <is>
          <t>JÄMTLANDS LÄN</t>
        </is>
      </c>
      <c r="E1868" t="inlineStr">
        <is>
          <t>BERG</t>
        </is>
      </c>
      <c r="G1868" t="n">
        <v>1.4</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HYPERLINK("https://klasma.github.io/Logging_2326/artfynd/A 20808-2024 artfynd.xlsx", "A 20808-2024")</f>
        <v/>
      </c>
      <c r="T1868">
        <f>HYPERLINK("https://klasma.github.io/Logging_2326/kartor/A 20808-2024 karta.png", "A 20808-2024")</f>
        <v/>
      </c>
      <c r="V1868">
        <f>HYPERLINK("https://klasma.github.io/Logging_2326/klagomål/A 20808-2024 FSC-klagomål.docx", "A 20808-2024")</f>
        <v/>
      </c>
      <c r="W1868">
        <f>HYPERLINK("https://klasma.github.io/Logging_2326/klagomålsmail/A 20808-2024 FSC-klagomål mail.docx", "A 20808-2024")</f>
        <v/>
      </c>
      <c r="X1868">
        <f>HYPERLINK("https://klasma.github.io/Logging_2326/tillsyn/A 20808-2024 tillsynsbegäran.docx", "A 20808-2024")</f>
        <v/>
      </c>
      <c r="Y1868">
        <f>HYPERLINK("https://klasma.github.io/Logging_2326/tillsynsmail/A 20808-2024 tillsynsbegäran mail.docx", "A 20808-2024")</f>
        <v/>
      </c>
      <c r="Z1868">
        <f>HYPERLINK("https://klasma.github.io/Logging_2326/fåglar/A 20808-2024 prioriterade fågelarter.docx", "A 20808-2024")</f>
        <v/>
      </c>
    </row>
    <row r="1869" ht="15" customHeight="1">
      <c r="A1869" t="inlineStr">
        <is>
          <t>A 62072-2023</t>
        </is>
      </c>
      <c r="B1869" s="1" t="n">
        <v>45266</v>
      </c>
      <c r="C1869" s="1" t="n">
        <v>46045</v>
      </c>
      <c r="D1869" t="inlineStr">
        <is>
          <t>JÄMTLANDS LÄN</t>
        </is>
      </c>
      <c r="E1869" t="inlineStr">
        <is>
          <t>RAGUNDA</t>
        </is>
      </c>
      <c r="G1869" t="n">
        <v>4.5</v>
      </c>
      <c r="H1869" t="n">
        <v>1</v>
      </c>
      <c r="I1869" t="n">
        <v>0</v>
      </c>
      <c r="J1869" t="n">
        <v>0</v>
      </c>
      <c r="K1869" t="n">
        <v>1</v>
      </c>
      <c r="L1869" t="n">
        <v>0</v>
      </c>
      <c r="M1869" t="n">
        <v>0</v>
      </c>
      <c r="N1869" t="n">
        <v>0</v>
      </c>
      <c r="O1869" t="n">
        <v>1</v>
      </c>
      <c r="P1869" t="n">
        <v>1</v>
      </c>
      <c r="Q1869" t="n">
        <v>1</v>
      </c>
      <c r="R1869" s="2" t="inlineStr">
        <is>
          <t>Lappuggla</t>
        </is>
      </c>
      <c r="S1869">
        <f>HYPERLINK("https://klasma.github.io/Logging_2303/artfynd/A 62072-2023 artfynd.xlsx", "A 62072-2023")</f>
        <v/>
      </c>
      <c r="T1869">
        <f>HYPERLINK("https://klasma.github.io/Logging_2303/kartor/A 62072-2023 karta.png", "A 62072-2023")</f>
        <v/>
      </c>
      <c r="V1869">
        <f>HYPERLINK("https://klasma.github.io/Logging_2303/klagomål/A 62072-2023 FSC-klagomål.docx", "A 62072-2023")</f>
        <v/>
      </c>
      <c r="W1869">
        <f>HYPERLINK("https://klasma.github.io/Logging_2303/klagomålsmail/A 62072-2023 FSC-klagomål mail.docx", "A 62072-2023")</f>
        <v/>
      </c>
      <c r="X1869">
        <f>HYPERLINK("https://klasma.github.io/Logging_2303/tillsyn/A 62072-2023 tillsynsbegäran.docx", "A 62072-2023")</f>
        <v/>
      </c>
      <c r="Y1869">
        <f>HYPERLINK("https://klasma.github.io/Logging_2303/tillsynsmail/A 62072-2023 tillsynsbegäran mail.docx", "A 62072-2023")</f>
        <v/>
      </c>
      <c r="Z1869">
        <f>HYPERLINK("https://klasma.github.io/Logging_2303/fåglar/A 62072-2023 prioriterade fågelarter.docx", "A 62072-2023")</f>
        <v/>
      </c>
    </row>
    <row r="1870" ht="15" customHeight="1">
      <c r="A1870" t="inlineStr">
        <is>
          <t>A 40097-2023</t>
        </is>
      </c>
      <c r="B1870" s="1" t="n">
        <v>45168</v>
      </c>
      <c r="C1870" s="1" t="n">
        <v>46045</v>
      </c>
      <c r="D1870" t="inlineStr">
        <is>
          <t>JÄMTLANDS LÄN</t>
        </is>
      </c>
      <c r="E1870" t="inlineStr">
        <is>
          <t>BRÄCKE</t>
        </is>
      </c>
      <c r="F1870" t="inlineStr">
        <is>
          <t>SCA</t>
        </is>
      </c>
      <c r="G1870" t="n">
        <v>3.8</v>
      </c>
      <c r="H1870" t="n">
        <v>1</v>
      </c>
      <c r="I1870" t="n">
        <v>0</v>
      </c>
      <c r="J1870" t="n">
        <v>0</v>
      </c>
      <c r="K1870" t="n">
        <v>1</v>
      </c>
      <c r="L1870" t="n">
        <v>0</v>
      </c>
      <c r="M1870" t="n">
        <v>0</v>
      </c>
      <c r="N1870" t="n">
        <v>0</v>
      </c>
      <c r="O1870" t="n">
        <v>1</v>
      </c>
      <c r="P1870" t="n">
        <v>1</v>
      </c>
      <c r="Q1870" t="n">
        <v>1</v>
      </c>
      <c r="R1870" s="2" t="inlineStr">
        <is>
          <t>Knärot</t>
        </is>
      </c>
      <c r="S1870">
        <f>HYPERLINK("https://klasma.github.io/Logging_2305/artfynd/A 40097-2023 artfynd.xlsx", "A 40097-2023")</f>
        <v/>
      </c>
      <c r="T1870">
        <f>HYPERLINK("https://klasma.github.io/Logging_2305/kartor/A 40097-2023 karta.png", "A 40097-2023")</f>
        <v/>
      </c>
      <c r="U1870">
        <f>HYPERLINK("https://klasma.github.io/Logging_2305/knärot/A 40097-2023 karta knärot.png", "A 40097-2023")</f>
        <v/>
      </c>
      <c r="V1870">
        <f>HYPERLINK("https://klasma.github.io/Logging_2305/klagomål/A 40097-2023 FSC-klagomål.docx", "A 40097-2023")</f>
        <v/>
      </c>
      <c r="W1870">
        <f>HYPERLINK("https://klasma.github.io/Logging_2305/klagomålsmail/A 40097-2023 FSC-klagomål mail.docx", "A 40097-2023")</f>
        <v/>
      </c>
      <c r="X1870">
        <f>HYPERLINK("https://klasma.github.io/Logging_2305/tillsyn/A 40097-2023 tillsynsbegäran.docx", "A 40097-2023")</f>
        <v/>
      </c>
      <c r="Y1870">
        <f>HYPERLINK("https://klasma.github.io/Logging_2305/tillsynsmail/A 40097-2023 tillsynsbegäran mail.docx", "A 40097-2023")</f>
        <v/>
      </c>
    </row>
    <row r="1871" ht="15" customHeight="1">
      <c r="A1871" t="inlineStr">
        <is>
          <t>A 9233-2025</t>
        </is>
      </c>
      <c r="B1871" s="1" t="n">
        <v>45714.55248842593</v>
      </c>
      <c r="C1871" s="1" t="n">
        <v>46045</v>
      </c>
      <c r="D1871" t="inlineStr">
        <is>
          <t>JÄMTLANDS LÄN</t>
        </is>
      </c>
      <c r="E1871" t="inlineStr">
        <is>
          <t>HÄRJEDALEN</t>
        </is>
      </c>
      <c r="F1871" t="inlineStr">
        <is>
          <t>SCA</t>
        </is>
      </c>
      <c r="G1871" t="n">
        <v>16.8</v>
      </c>
      <c r="H1871" t="n">
        <v>1</v>
      </c>
      <c r="I1871" t="n">
        <v>0</v>
      </c>
      <c r="J1871" t="n">
        <v>1</v>
      </c>
      <c r="K1871" t="n">
        <v>0</v>
      </c>
      <c r="L1871" t="n">
        <v>0</v>
      </c>
      <c r="M1871" t="n">
        <v>0</v>
      </c>
      <c r="N1871" t="n">
        <v>0</v>
      </c>
      <c r="O1871" t="n">
        <v>1</v>
      </c>
      <c r="P1871" t="n">
        <v>0</v>
      </c>
      <c r="Q1871" t="n">
        <v>1</v>
      </c>
      <c r="R1871" s="2" t="inlineStr">
        <is>
          <t>Järpe</t>
        </is>
      </c>
      <c r="S1871">
        <f>HYPERLINK("https://klasma.github.io/Logging_2361/artfynd/A 9233-2025 artfynd.xlsx", "A 9233-2025")</f>
        <v/>
      </c>
      <c r="T1871">
        <f>HYPERLINK("https://klasma.github.io/Logging_2361/kartor/A 9233-2025 karta.png", "A 9233-2025")</f>
        <v/>
      </c>
      <c r="V1871">
        <f>HYPERLINK("https://klasma.github.io/Logging_2361/klagomål/A 9233-2025 FSC-klagomål.docx", "A 9233-2025")</f>
        <v/>
      </c>
      <c r="W1871">
        <f>HYPERLINK("https://klasma.github.io/Logging_2361/klagomålsmail/A 9233-2025 FSC-klagomål mail.docx", "A 9233-2025")</f>
        <v/>
      </c>
      <c r="X1871">
        <f>HYPERLINK("https://klasma.github.io/Logging_2361/tillsyn/A 9233-2025 tillsynsbegäran.docx", "A 9233-2025")</f>
        <v/>
      </c>
      <c r="Y1871">
        <f>HYPERLINK("https://klasma.github.io/Logging_2361/tillsynsmail/A 9233-2025 tillsynsbegäran mail.docx", "A 9233-2025")</f>
        <v/>
      </c>
      <c r="Z1871">
        <f>HYPERLINK("https://klasma.github.io/Logging_2361/fåglar/A 9233-2025 prioriterade fågelarter.docx", "A 9233-2025")</f>
        <v/>
      </c>
    </row>
    <row r="1872" ht="15" customHeight="1">
      <c r="A1872" t="inlineStr">
        <is>
          <t>A 31684-2024</t>
        </is>
      </c>
      <c r="B1872" s="1" t="n">
        <v>45506.94950231481</v>
      </c>
      <c r="C1872" s="1" t="n">
        <v>46045</v>
      </c>
      <c r="D1872" t="inlineStr">
        <is>
          <t>JÄMTLANDS LÄN</t>
        </is>
      </c>
      <c r="E1872" t="inlineStr">
        <is>
          <t>STRÖMSUND</t>
        </is>
      </c>
      <c r="F1872" t="inlineStr">
        <is>
          <t>SCA</t>
        </is>
      </c>
      <c r="G1872" t="n">
        <v>5.4</v>
      </c>
      <c r="H1872" t="n">
        <v>0</v>
      </c>
      <c r="I1872" t="n">
        <v>0</v>
      </c>
      <c r="J1872" t="n">
        <v>1</v>
      </c>
      <c r="K1872" t="n">
        <v>0</v>
      </c>
      <c r="L1872" t="n">
        <v>0</v>
      </c>
      <c r="M1872" t="n">
        <v>0</v>
      </c>
      <c r="N1872" t="n">
        <v>0</v>
      </c>
      <c r="O1872" t="n">
        <v>1</v>
      </c>
      <c r="P1872" t="n">
        <v>0</v>
      </c>
      <c r="Q1872" t="n">
        <v>1</v>
      </c>
      <c r="R1872" s="2" t="inlineStr">
        <is>
          <t>Skrovellav</t>
        </is>
      </c>
      <c r="S1872">
        <f>HYPERLINK("https://klasma.github.io/Logging_2313/artfynd/A 31684-2024 artfynd.xlsx", "A 31684-2024")</f>
        <v/>
      </c>
      <c r="T1872">
        <f>HYPERLINK("https://klasma.github.io/Logging_2313/kartor/A 31684-2024 karta.png", "A 31684-2024")</f>
        <v/>
      </c>
      <c r="V1872">
        <f>HYPERLINK("https://klasma.github.io/Logging_2313/klagomål/A 31684-2024 FSC-klagomål.docx", "A 31684-2024")</f>
        <v/>
      </c>
      <c r="W1872">
        <f>HYPERLINK("https://klasma.github.io/Logging_2313/klagomålsmail/A 31684-2024 FSC-klagomål mail.docx", "A 31684-2024")</f>
        <v/>
      </c>
      <c r="X1872">
        <f>HYPERLINK("https://klasma.github.io/Logging_2313/tillsyn/A 31684-2024 tillsynsbegäran.docx", "A 31684-2024")</f>
        <v/>
      </c>
      <c r="Y1872">
        <f>HYPERLINK("https://klasma.github.io/Logging_2313/tillsynsmail/A 31684-2024 tillsynsbegäran mail.docx", "A 31684-2024")</f>
        <v/>
      </c>
    </row>
    <row r="1873" ht="15" customHeight="1">
      <c r="A1873" t="inlineStr">
        <is>
          <t>A 25694-2023</t>
        </is>
      </c>
      <c r="B1873" s="1" t="n">
        <v>45089</v>
      </c>
      <c r="C1873" s="1" t="n">
        <v>46045</v>
      </c>
      <c r="D1873" t="inlineStr">
        <is>
          <t>JÄMTLANDS LÄN</t>
        </is>
      </c>
      <c r="E1873" t="inlineStr">
        <is>
          <t>RAGUNDA</t>
        </is>
      </c>
      <c r="F1873" t="inlineStr">
        <is>
          <t>SCA</t>
        </is>
      </c>
      <c r="G1873" t="n">
        <v>1.5</v>
      </c>
      <c r="H1873" t="n">
        <v>0</v>
      </c>
      <c r="I1873" t="n">
        <v>0</v>
      </c>
      <c r="J1873" t="n">
        <v>1</v>
      </c>
      <c r="K1873" t="n">
        <v>0</v>
      </c>
      <c r="L1873" t="n">
        <v>0</v>
      </c>
      <c r="M1873" t="n">
        <v>0</v>
      </c>
      <c r="N1873" t="n">
        <v>0</v>
      </c>
      <c r="O1873" t="n">
        <v>1</v>
      </c>
      <c r="P1873" t="n">
        <v>0</v>
      </c>
      <c r="Q1873" t="n">
        <v>1</v>
      </c>
      <c r="R1873" s="2" t="inlineStr">
        <is>
          <t>Ullticka</t>
        </is>
      </c>
      <c r="S1873">
        <f>HYPERLINK("https://klasma.github.io/Logging_2303/artfynd/A 25694-2023 artfynd.xlsx", "A 25694-2023")</f>
        <v/>
      </c>
      <c r="T1873">
        <f>HYPERLINK("https://klasma.github.io/Logging_2303/kartor/A 25694-2023 karta.png", "A 25694-2023")</f>
        <v/>
      </c>
      <c r="V1873">
        <f>HYPERLINK("https://klasma.github.io/Logging_2303/klagomål/A 25694-2023 FSC-klagomål.docx", "A 25694-2023")</f>
        <v/>
      </c>
      <c r="W1873">
        <f>HYPERLINK("https://klasma.github.io/Logging_2303/klagomålsmail/A 25694-2023 FSC-klagomål mail.docx", "A 25694-2023")</f>
        <v/>
      </c>
      <c r="X1873">
        <f>HYPERLINK("https://klasma.github.io/Logging_2303/tillsyn/A 25694-2023 tillsynsbegäran.docx", "A 25694-2023")</f>
        <v/>
      </c>
      <c r="Y1873">
        <f>HYPERLINK("https://klasma.github.io/Logging_2303/tillsynsmail/A 25694-2023 tillsynsbegäran mail.docx", "A 25694-2023")</f>
        <v/>
      </c>
    </row>
    <row r="1874" ht="15" customHeight="1">
      <c r="A1874" t="inlineStr">
        <is>
          <t>A 49049-2024</t>
        </is>
      </c>
      <c r="B1874" s="1" t="n">
        <v>45594.5742824074</v>
      </c>
      <c r="C1874" s="1" t="n">
        <v>46045</v>
      </c>
      <c r="D1874" t="inlineStr">
        <is>
          <t>JÄMTLANDS LÄN</t>
        </is>
      </c>
      <c r="E1874" t="inlineStr">
        <is>
          <t>BERG</t>
        </is>
      </c>
      <c r="G1874" t="n">
        <v>0.8</v>
      </c>
      <c r="H1874" t="n">
        <v>1</v>
      </c>
      <c r="I1874" t="n">
        <v>1</v>
      </c>
      <c r="J1874" t="n">
        <v>0</v>
      </c>
      <c r="K1874" t="n">
        <v>0</v>
      </c>
      <c r="L1874" t="n">
        <v>0</v>
      </c>
      <c r="M1874" t="n">
        <v>0</v>
      </c>
      <c r="N1874" t="n">
        <v>0</v>
      </c>
      <c r="O1874" t="n">
        <v>0</v>
      </c>
      <c r="P1874" t="n">
        <v>0</v>
      </c>
      <c r="Q1874" t="n">
        <v>1</v>
      </c>
      <c r="R1874" s="2" t="inlineStr">
        <is>
          <t>Korallrot</t>
        </is>
      </c>
      <c r="S1874">
        <f>HYPERLINK("https://klasma.github.io/Logging_2326/artfynd/A 49049-2024 artfynd.xlsx", "A 49049-2024")</f>
        <v/>
      </c>
      <c r="T1874">
        <f>HYPERLINK("https://klasma.github.io/Logging_2326/kartor/A 49049-2024 karta.png", "A 49049-2024")</f>
        <v/>
      </c>
      <c r="V1874">
        <f>HYPERLINK("https://klasma.github.io/Logging_2326/klagomål/A 49049-2024 FSC-klagomål.docx", "A 49049-2024")</f>
        <v/>
      </c>
      <c r="W1874">
        <f>HYPERLINK("https://klasma.github.io/Logging_2326/klagomålsmail/A 49049-2024 FSC-klagomål mail.docx", "A 49049-2024")</f>
        <v/>
      </c>
      <c r="X1874">
        <f>HYPERLINK("https://klasma.github.io/Logging_2326/tillsyn/A 49049-2024 tillsynsbegäran.docx", "A 49049-2024")</f>
        <v/>
      </c>
      <c r="Y1874">
        <f>HYPERLINK("https://klasma.github.io/Logging_2326/tillsynsmail/A 49049-2024 tillsynsbegäran mail.docx", "A 49049-2024")</f>
        <v/>
      </c>
    </row>
    <row r="1875" ht="15" customHeight="1">
      <c r="A1875" t="inlineStr">
        <is>
          <t>A 51910-2024</t>
        </is>
      </c>
      <c r="B1875" s="1" t="n">
        <v>45607.59954861111</v>
      </c>
      <c r="C1875" s="1" t="n">
        <v>46045</v>
      </c>
      <c r="D1875" t="inlineStr">
        <is>
          <t>JÄMTLANDS LÄN</t>
        </is>
      </c>
      <c r="E1875" t="inlineStr">
        <is>
          <t>BRÄCKE</t>
        </is>
      </c>
      <c r="G1875" t="n">
        <v>2.7</v>
      </c>
      <c r="H1875" t="n">
        <v>0</v>
      </c>
      <c r="I1875" t="n">
        <v>0</v>
      </c>
      <c r="J1875" t="n">
        <v>1</v>
      </c>
      <c r="K1875" t="n">
        <v>0</v>
      </c>
      <c r="L1875" t="n">
        <v>0</v>
      </c>
      <c r="M1875" t="n">
        <v>0</v>
      </c>
      <c r="N1875" t="n">
        <v>0</v>
      </c>
      <c r="O1875" t="n">
        <v>1</v>
      </c>
      <c r="P1875" t="n">
        <v>0</v>
      </c>
      <c r="Q1875" t="n">
        <v>1</v>
      </c>
      <c r="R1875" s="2" t="inlineStr">
        <is>
          <t>Slåtterfibbla</t>
        </is>
      </c>
      <c r="S1875">
        <f>HYPERLINK("https://klasma.github.io/Logging_2305/artfynd/A 51910-2024 artfynd.xlsx", "A 51910-2024")</f>
        <v/>
      </c>
      <c r="T1875">
        <f>HYPERLINK("https://klasma.github.io/Logging_2305/kartor/A 51910-2024 karta.png", "A 51910-2024")</f>
        <v/>
      </c>
      <c r="V1875">
        <f>HYPERLINK("https://klasma.github.io/Logging_2305/klagomål/A 51910-2024 FSC-klagomål.docx", "A 51910-2024")</f>
        <v/>
      </c>
      <c r="W1875">
        <f>HYPERLINK("https://klasma.github.io/Logging_2305/klagomålsmail/A 51910-2024 FSC-klagomål mail.docx", "A 51910-2024")</f>
        <v/>
      </c>
      <c r="X1875">
        <f>HYPERLINK("https://klasma.github.io/Logging_2305/tillsyn/A 51910-2024 tillsynsbegäran.docx", "A 51910-2024")</f>
        <v/>
      </c>
      <c r="Y1875">
        <f>HYPERLINK("https://klasma.github.io/Logging_2305/tillsynsmail/A 51910-2024 tillsynsbegäran mail.docx", "A 51910-2024")</f>
        <v/>
      </c>
    </row>
    <row r="1876" ht="15" customHeight="1">
      <c r="A1876" t="inlineStr">
        <is>
          <t>A 7318-2024</t>
        </is>
      </c>
      <c r="B1876" s="1" t="n">
        <v>45345</v>
      </c>
      <c r="C1876" s="1" t="n">
        <v>46045</v>
      </c>
      <c r="D1876" t="inlineStr">
        <is>
          <t>JÄMTLANDS LÄN</t>
        </is>
      </c>
      <c r="E1876" t="inlineStr">
        <is>
          <t>HÄRJEDALEN</t>
        </is>
      </c>
      <c r="F1876" t="inlineStr">
        <is>
          <t>Holmen skog AB</t>
        </is>
      </c>
      <c r="G1876" t="n">
        <v>3.6</v>
      </c>
      <c r="H1876" t="n">
        <v>0</v>
      </c>
      <c r="I1876" t="n">
        <v>0</v>
      </c>
      <c r="J1876" t="n">
        <v>1</v>
      </c>
      <c r="K1876" t="n">
        <v>0</v>
      </c>
      <c r="L1876" t="n">
        <v>0</v>
      </c>
      <c r="M1876" t="n">
        <v>0</v>
      </c>
      <c r="N1876" t="n">
        <v>0</v>
      </c>
      <c r="O1876" t="n">
        <v>1</v>
      </c>
      <c r="P1876" t="n">
        <v>0</v>
      </c>
      <c r="Q1876" t="n">
        <v>1</v>
      </c>
      <c r="R1876" s="2" t="inlineStr">
        <is>
          <t>Lunglav</t>
        </is>
      </c>
      <c r="S1876">
        <f>HYPERLINK("https://klasma.github.io/Logging_2361/artfynd/A 7318-2024 artfynd.xlsx", "A 7318-2024")</f>
        <v/>
      </c>
      <c r="T1876">
        <f>HYPERLINK("https://klasma.github.io/Logging_2361/kartor/A 7318-2024 karta.png", "A 7318-2024")</f>
        <v/>
      </c>
      <c r="V1876">
        <f>HYPERLINK("https://klasma.github.io/Logging_2361/klagomål/A 7318-2024 FSC-klagomål.docx", "A 7318-2024")</f>
        <v/>
      </c>
      <c r="W1876">
        <f>HYPERLINK("https://klasma.github.io/Logging_2361/klagomålsmail/A 7318-2024 FSC-klagomål mail.docx", "A 7318-2024")</f>
        <v/>
      </c>
      <c r="X1876">
        <f>HYPERLINK("https://klasma.github.io/Logging_2361/tillsyn/A 7318-2024 tillsynsbegäran.docx", "A 7318-2024")</f>
        <v/>
      </c>
      <c r="Y1876">
        <f>HYPERLINK("https://klasma.github.io/Logging_2361/tillsynsmail/A 7318-2024 tillsynsbegäran mail.docx", "A 7318-2024")</f>
        <v/>
      </c>
    </row>
    <row r="1877" ht="15" customHeight="1">
      <c r="A1877" t="inlineStr">
        <is>
          <t>A 23177-2024</t>
        </is>
      </c>
      <c r="B1877" s="1" t="n">
        <v>45450</v>
      </c>
      <c r="C1877" s="1" t="n">
        <v>46045</v>
      </c>
      <c r="D1877" t="inlineStr">
        <is>
          <t>JÄMTLANDS LÄN</t>
        </is>
      </c>
      <c r="E1877" t="inlineStr">
        <is>
          <t>BERG</t>
        </is>
      </c>
      <c r="F1877" t="inlineStr">
        <is>
          <t>SCA</t>
        </is>
      </c>
      <c r="G1877" t="n">
        <v>3.2</v>
      </c>
      <c r="H1877" t="n">
        <v>0</v>
      </c>
      <c r="I1877" t="n">
        <v>1</v>
      </c>
      <c r="J1877" t="n">
        <v>0</v>
      </c>
      <c r="K1877" t="n">
        <v>0</v>
      </c>
      <c r="L1877" t="n">
        <v>0</v>
      </c>
      <c r="M1877" t="n">
        <v>0</v>
      </c>
      <c r="N1877" t="n">
        <v>0</v>
      </c>
      <c r="O1877" t="n">
        <v>0</v>
      </c>
      <c r="P1877" t="n">
        <v>0</v>
      </c>
      <c r="Q1877" t="n">
        <v>1</v>
      </c>
      <c r="R1877" s="2" t="inlineStr">
        <is>
          <t>Stuplav</t>
        </is>
      </c>
      <c r="S1877">
        <f>HYPERLINK("https://klasma.github.io/Logging_2326/artfynd/A 23177-2024 artfynd.xlsx", "A 23177-2024")</f>
        <v/>
      </c>
      <c r="T1877">
        <f>HYPERLINK("https://klasma.github.io/Logging_2326/kartor/A 23177-2024 karta.png", "A 23177-2024")</f>
        <v/>
      </c>
      <c r="V1877">
        <f>HYPERLINK("https://klasma.github.io/Logging_2326/klagomål/A 23177-2024 FSC-klagomål.docx", "A 23177-2024")</f>
        <v/>
      </c>
      <c r="W1877">
        <f>HYPERLINK("https://klasma.github.io/Logging_2326/klagomålsmail/A 23177-2024 FSC-klagomål mail.docx", "A 23177-2024")</f>
        <v/>
      </c>
      <c r="X1877">
        <f>HYPERLINK("https://klasma.github.io/Logging_2326/tillsyn/A 23177-2024 tillsynsbegäran.docx", "A 23177-2024")</f>
        <v/>
      </c>
      <c r="Y1877">
        <f>HYPERLINK("https://klasma.github.io/Logging_2326/tillsynsmail/A 23177-2024 tillsynsbegäran mail.docx", "A 23177-2024")</f>
        <v/>
      </c>
    </row>
    <row r="1878" ht="15" customHeight="1">
      <c r="A1878" t="inlineStr">
        <is>
          <t>A 49770-2024</t>
        </is>
      </c>
      <c r="B1878" s="1" t="n">
        <v>45597.34461805555</v>
      </c>
      <c r="C1878" s="1" t="n">
        <v>46045</v>
      </c>
      <c r="D1878" t="inlineStr">
        <is>
          <t>JÄMTLANDS LÄN</t>
        </is>
      </c>
      <c r="E1878" t="inlineStr">
        <is>
          <t>RAGUNDA</t>
        </is>
      </c>
      <c r="F1878" t="inlineStr">
        <is>
          <t>Naturvårdsverket</t>
        </is>
      </c>
      <c r="G1878" t="n">
        <v>8.9</v>
      </c>
      <c r="H1878" t="n">
        <v>1</v>
      </c>
      <c r="I1878" t="n">
        <v>0</v>
      </c>
      <c r="J1878" t="n">
        <v>0</v>
      </c>
      <c r="K1878" t="n">
        <v>1</v>
      </c>
      <c r="L1878" t="n">
        <v>0</v>
      </c>
      <c r="M1878" t="n">
        <v>0</v>
      </c>
      <c r="N1878" t="n">
        <v>0</v>
      </c>
      <c r="O1878" t="n">
        <v>1</v>
      </c>
      <c r="P1878" t="n">
        <v>1</v>
      </c>
      <c r="Q1878" t="n">
        <v>1</v>
      </c>
      <c r="R1878" s="2" t="inlineStr">
        <is>
          <t>Doftticka</t>
        </is>
      </c>
      <c r="S1878">
        <f>HYPERLINK("https://klasma.github.io/Logging_2303/artfynd/A 49770-2024 artfynd.xlsx", "A 49770-2024")</f>
        <v/>
      </c>
      <c r="T1878">
        <f>HYPERLINK("https://klasma.github.io/Logging_2303/kartor/A 49770-2024 karta.png", "A 49770-2024")</f>
        <v/>
      </c>
      <c r="V1878">
        <f>HYPERLINK("https://klasma.github.io/Logging_2303/klagomål/A 49770-2024 FSC-klagomål.docx", "A 49770-2024")</f>
        <v/>
      </c>
      <c r="W1878">
        <f>HYPERLINK("https://klasma.github.io/Logging_2303/klagomålsmail/A 49770-2024 FSC-klagomål mail.docx", "A 49770-2024")</f>
        <v/>
      </c>
      <c r="X1878">
        <f>HYPERLINK("https://klasma.github.io/Logging_2303/tillsyn/A 49770-2024 tillsynsbegäran.docx", "A 49770-2024")</f>
        <v/>
      </c>
      <c r="Y1878">
        <f>HYPERLINK("https://klasma.github.io/Logging_2303/tillsynsmail/A 49770-2024 tillsynsbegäran mail.docx", "A 49770-2024")</f>
        <v/>
      </c>
    </row>
    <row r="1879" ht="15" customHeight="1">
      <c r="A1879" t="inlineStr">
        <is>
          <t>A 50556-2024</t>
        </is>
      </c>
      <c r="B1879" s="1" t="n">
        <v>45601.59604166666</v>
      </c>
      <c r="C1879" s="1" t="n">
        <v>46045</v>
      </c>
      <c r="D1879" t="inlineStr">
        <is>
          <t>JÄMTLANDS LÄN</t>
        </is>
      </c>
      <c r="E1879" t="inlineStr">
        <is>
          <t>BERG</t>
        </is>
      </c>
      <c r="G1879" t="n">
        <v>5.7</v>
      </c>
      <c r="H1879" t="n">
        <v>0</v>
      </c>
      <c r="I1879" t="n">
        <v>0</v>
      </c>
      <c r="J1879" t="n">
        <v>1</v>
      </c>
      <c r="K1879" t="n">
        <v>0</v>
      </c>
      <c r="L1879" t="n">
        <v>0</v>
      </c>
      <c r="M1879" t="n">
        <v>0</v>
      </c>
      <c r="N1879" t="n">
        <v>0</v>
      </c>
      <c r="O1879" t="n">
        <v>1</v>
      </c>
      <c r="P1879" t="n">
        <v>0</v>
      </c>
      <c r="Q1879" t="n">
        <v>1</v>
      </c>
      <c r="R1879" s="2" t="inlineStr">
        <is>
          <t>Kalkbräken</t>
        </is>
      </c>
      <c r="S1879">
        <f>HYPERLINK("https://klasma.github.io/Logging_2326/artfynd/A 50556-2024 artfynd.xlsx", "A 50556-2024")</f>
        <v/>
      </c>
      <c r="T1879">
        <f>HYPERLINK("https://klasma.github.io/Logging_2326/kartor/A 50556-2024 karta.png", "A 50556-2024")</f>
        <v/>
      </c>
      <c r="V1879">
        <f>HYPERLINK("https://klasma.github.io/Logging_2326/klagomål/A 50556-2024 FSC-klagomål.docx", "A 50556-2024")</f>
        <v/>
      </c>
      <c r="W1879">
        <f>HYPERLINK("https://klasma.github.io/Logging_2326/klagomålsmail/A 50556-2024 FSC-klagomål mail.docx", "A 50556-2024")</f>
        <v/>
      </c>
      <c r="X1879">
        <f>HYPERLINK("https://klasma.github.io/Logging_2326/tillsyn/A 50556-2024 tillsynsbegäran.docx", "A 50556-2024")</f>
        <v/>
      </c>
      <c r="Y1879">
        <f>HYPERLINK("https://klasma.github.io/Logging_2326/tillsynsmail/A 50556-2024 tillsynsbegäran mail.docx", "A 50556-2024")</f>
        <v/>
      </c>
    </row>
    <row r="1880" ht="15" customHeight="1">
      <c r="A1880" t="inlineStr">
        <is>
          <t>A 15462-2025</t>
        </is>
      </c>
      <c r="B1880" s="1" t="n">
        <v>45747.51086805556</v>
      </c>
      <c r="C1880" s="1" t="n">
        <v>46045</v>
      </c>
      <c r="D1880" t="inlineStr">
        <is>
          <t>JÄMTLANDS LÄN</t>
        </is>
      </c>
      <c r="E1880" t="inlineStr">
        <is>
          <t>BRÄCKE</t>
        </is>
      </c>
      <c r="F1880" t="inlineStr">
        <is>
          <t>SCA</t>
        </is>
      </c>
      <c r="G1880" t="n">
        <v>1.6</v>
      </c>
      <c r="H1880" t="n">
        <v>0</v>
      </c>
      <c r="I1880" t="n">
        <v>0</v>
      </c>
      <c r="J1880" t="n">
        <v>0</v>
      </c>
      <c r="K1880" t="n">
        <v>1</v>
      </c>
      <c r="L1880" t="n">
        <v>0</v>
      </c>
      <c r="M1880" t="n">
        <v>0</v>
      </c>
      <c r="N1880" t="n">
        <v>0</v>
      </c>
      <c r="O1880" t="n">
        <v>1</v>
      </c>
      <c r="P1880" t="n">
        <v>1</v>
      </c>
      <c r="Q1880" t="n">
        <v>1</v>
      </c>
      <c r="R1880" s="2" t="inlineStr">
        <is>
          <t>Smalskaftslav</t>
        </is>
      </c>
      <c r="S1880">
        <f>HYPERLINK("https://klasma.github.io/Logging_2305/artfynd/A 15462-2025 artfynd.xlsx", "A 15462-2025")</f>
        <v/>
      </c>
      <c r="T1880">
        <f>HYPERLINK("https://klasma.github.io/Logging_2305/kartor/A 15462-2025 karta.png", "A 15462-2025")</f>
        <v/>
      </c>
      <c r="V1880">
        <f>HYPERLINK("https://klasma.github.io/Logging_2305/klagomål/A 15462-2025 FSC-klagomål.docx", "A 15462-2025")</f>
        <v/>
      </c>
      <c r="W1880">
        <f>HYPERLINK("https://klasma.github.io/Logging_2305/klagomålsmail/A 15462-2025 FSC-klagomål mail.docx", "A 15462-2025")</f>
        <v/>
      </c>
      <c r="X1880">
        <f>HYPERLINK("https://klasma.github.io/Logging_2305/tillsyn/A 15462-2025 tillsynsbegäran.docx", "A 15462-2025")</f>
        <v/>
      </c>
      <c r="Y1880">
        <f>HYPERLINK("https://klasma.github.io/Logging_2305/tillsynsmail/A 15462-2025 tillsynsbegäran mail.docx", "A 15462-2025")</f>
        <v/>
      </c>
    </row>
    <row r="1881" ht="15" customHeight="1">
      <c r="A1881" t="inlineStr">
        <is>
          <t>A 51234-2024</t>
        </is>
      </c>
      <c r="B1881" s="1" t="n">
        <v>45603</v>
      </c>
      <c r="C1881" s="1" t="n">
        <v>46045</v>
      </c>
      <c r="D1881" t="inlineStr">
        <is>
          <t>JÄMTLANDS LÄN</t>
        </is>
      </c>
      <c r="E1881" t="inlineStr">
        <is>
          <t>HÄRJEDALEN</t>
        </is>
      </c>
      <c r="F1881" t="inlineStr">
        <is>
          <t>Holmen skog AB</t>
        </is>
      </c>
      <c r="G1881" t="n">
        <v>2.6</v>
      </c>
      <c r="H1881" t="n">
        <v>0</v>
      </c>
      <c r="I1881" t="n">
        <v>0</v>
      </c>
      <c r="J1881" t="n">
        <v>1</v>
      </c>
      <c r="K1881" t="n">
        <v>0</v>
      </c>
      <c r="L1881" t="n">
        <v>0</v>
      </c>
      <c r="M1881" t="n">
        <v>0</v>
      </c>
      <c r="N1881" t="n">
        <v>0</v>
      </c>
      <c r="O1881" t="n">
        <v>1</v>
      </c>
      <c r="P1881" t="n">
        <v>0</v>
      </c>
      <c r="Q1881" t="n">
        <v>1</v>
      </c>
      <c r="R1881" s="2" t="inlineStr">
        <is>
          <t>Blågrå svartspik</t>
        </is>
      </c>
      <c r="S1881">
        <f>HYPERLINK("https://klasma.github.io/Logging_2361/artfynd/A 51234-2024 artfynd.xlsx", "A 51234-2024")</f>
        <v/>
      </c>
      <c r="T1881">
        <f>HYPERLINK("https://klasma.github.io/Logging_2361/kartor/A 51234-2024 karta.png", "A 51234-2024")</f>
        <v/>
      </c>
      <c r="V1881">
        <f>HYPERLINK("https://klasma.github.io/Logging_2361/klagomål/A 51234-2024 FSC-klagomål.docx", "A 51234-2024")</f>
        <v/>
      </c>
      <c r="W1881">
        <f>HYPERLINK("https://klasma.github.io/Logging_2361/klagomålsmail/A 51234-2024 FSC-klagomål mail.docx", "A 51234-2024")</f>
        <v/>
      </c>
      <c r="X1881">
        <f>HYPERLINK("https://klasma.github.io/Logging_2361/tillsyn/A 51234-2024 tillsynsbegäran.docx", "A 51234-2024")</f>
        <v/>
      </c>
      <c r="Y1881">
        <f>HYPERLINK("https://klasma.github.io/Logging_2361/tillsynsmail/A 51234-2024 tillsynsbegäran mail.docx", "A 51234-2024")</f>
        <v/>
      </c>
    </row>
    <row r="1882" ht="15" customHeight="1">
      <c r="A1882" t="inlineStr">
        <is>
          <t>A 2463-2025</t>
        </is>
      </c>
      <c r="B1882" s="1" t="n">
        <v>45674.46915509259</v>
      </c>
      <c r="C1882" s="1" t="n">
        <v>46045</v>
      </c>
      <c r="D1882" t="inlineStr">
        <is>
          <t>JÄMTLANDS LÄN</t>
        </is>
      </c>
      <c r="E1882" t="inlineStr">
        <is>
          <t>BRÄCKE</t>
        </is>
      </c>
      <c r="F1882" t="inlineStr">
        <is>
          <t>SCA</t>
        </is>
      </c>
      <c r="G1882" t="n">
        <v>3.9</v>
      </c>
      <c r="H1882" t="n">
        <v>0</v>
      </c>
      <c r="I1882" t="n">
        <v>1</v>
      </c>
      <c r="J1882" t="n">
        <v>0</v>
      </c>
      <c r="K1882" t="n">
        <v>0</v>
      </c>
      <c r="L1882" t="n">
        <v>0</v>
      </c>
      <c r="M1882" t="n">
        <v>0</v>
      </c>
      <c r="N1882" t="n">
        <v>0</v>
      </c>
      <c r="O1882" t="n">
        <v>0</v>
      </c>
      <c r="P1882" t="n">
        <v>0</v>
      </c>
      <c r="Q1882" t="n">
        <v>1</v>
      </c>
      <c r="R1882" s="2" t="inlineStr">
        <is>
          <t>Vedticka</t>
        </is>
      </c>
      <c r="S1882">
        <f>HYPERLINK("https://klasma.github.io/Logging_2305/artfynd/A 2463-2025 artfynd.xlsx", "A 2463-2025")</f>
        <v/>
      </c>
      <c r="T1882">
        <f>HYPERLINK("https://klasma.github.io/Logging_2305/kartor/A 2463-2025 karta.png", "A 2463-2025")</f>
        <v/>
      </c>
      <c r="V1882">
        <f>HYPERLINK("https://klasma.github.io/Logging_2305/klagomål/A 2463-2025 FSC-klagomål.docx", "A 2463-2025")</f>
        <v/>
      </c>
      <c r="W1882">
        <f>HYPERLINK("https://klasma.github.io/Logging_2305/klagomålsmail/A 2463-2025 FSC-klagomål mail.docx", "A 2463-2025")</f>
        <v/>
      </c>
      <c r="X1882">
        <f>HYPERLINK("https://klasma.github.io/Logging_2305/tillsyn/A 2463-2025 tillsynsbegäran.docx", "A 2463-2025")</f>
        <v/>
      </c>
      <c r="Y1882">
        <f>HYPERLINK("https://klasma.github.io/Logging_2305/tillsynsmail/A 2463-2025 tillsynsbegäran mail.docx", "A 2463-2025")</f>
        <v/>
      </c>
    </row>
    <row r="1883" ht="15" customHeight="1">
      <c r="A1883" t="inlineStr">
        <is>
          <t>A 8131-2024</t>
        </is>
      </c>
      <c r="B1883" s="1" t="n">
        <v>45351</v>
      </c>
      <c r="C1883" s="1" t="n">
        <v>46045</v>
      </c>
      <c r="D1883" t="inlineStr">
        <is>
          <t>JÄMTLANDS LÄN</t>
        </is>
      </c>
      <c r="E1883" t="inlineStr">
        <is>
          <t>ÅRE</t>
        </is>
      </c>
      <c r="F1883" t="inlineStr">
        <is>
          <t>Övriga Aktiebolag</t>
        </is>
      </c>
      <c r="G1883" t="n">
        <v>3.1</v>
      </c>
      <c r="H1883" t="n">
        <v>0</v>
      </c>
      <c r="I1883" t="n">
        <v>0</v>
      </c>
      <c r="J1883" t="n">
        <v>0</v>
      </c>
      <c r="K1883" t="n">
        <v>1</v>
      </c>
      <c r="L1883" t="n">
        <v>0</v>
      </c>
      <c r="M1883" t="n">
        <v>0</v>
      </c>
      <c r="N1883" t="n">
        <v>0</v>
      </c>
      <c r="O1883" t="n">
        <v>1</v>
      </c>
      <c r="P1883" t="n">
        <v>1</v>
      </c>
      <c r="Q1883" t="n">
        <v>1</v>
      </c>
      <c r="R1883" s="2" t="inlineStr">
        <is>
          <t>Gräddporing</t>
        </is>
      </c>
      <c r="S1883">
        <f>HYPERLINK("https://klasma.github.io/Logging_2321/artfynd/A 8131-2024 artfynd.xlsx", "A 8131-2024")</f>
        <v/>
      </c>
      <c r="T1883">
        <f>HYPERLINK("https://klasma.github.io/Logging_2321/kartor/A 8131-2024 karta.png", "A 8131-2024")</f>
        <v/>
      </c>
      <c r="V1883">
        <f>HYPERLINK("https://klasma.github.io/Logging_2321/klagomål/A 8131-2024 FSC-klagomål.docx", "A 8131-2024")</f>
        <v/>
      </c>
      <c r="W1883">
        <f>HYPERLINK("https://klasma.github.io/Logging_2321/klagomålsmail/A 8131-2024 FSC-klagomål mail.docx", "A 8131-2024")</f>
        <v/>
      </c>
      <c r="X1883">
        <f>HYPERLINK("https://klasma.github.io/Logging_2321/tillsyn/A 8131-2024 tillsynsbegäran.docx", "A 8131-2024")</f>
        <v/>
      </c>
      <c r="Y1883">
        <f>HYPERLINK("https://klasma.github.io/Logging_2321/tillsynsmail/A 8131-2024 tillsynsbegäran mail.docx", "A 8131-2024")</f>
        <v/>
      </c>
    </row>
    <row r="1884" ht="15" customHeight="1">
      <c r="A1884" t="inlineStr">
        <is>
          <t>A 36757-2023</t>
        </is>
      </c>
      <c r="B1884" s="1" t="n">
        <v>45153</v>
      </c>
      <c r="C1884" s="1" t="n">
        <v>46045</v>
      </c>
      <c r="D1884" t="inlineStr">
        <is>
          <t>JÄMTLANDS LÄN</t>
        </is>
      </c>
      <c r="E1884" t="inlineStr">
        <is>
          <t>RAGUNDA</t>
        </is>
      </c>
      <c r="G1884" t="n">
        <v>0.7</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HYPERLINK("https://klasma.github.io/Logging_2303/artfynd/A 36757-2023 artfynd.xlsx", "A 36757-2023")</f>
        <v/>
      </c>
      <c r="T1884">
        <f>HYPERLINK("https://klasma.github.io/Logging_2303/kartor/A 36757-2023 karta.png", "A 36757-2023")</f>
        <v/>
      </c>
      <c r="V1884">
        <f>HYPERLINK("https://klasma.github.io/Logging_2303/klagomål/A 36757-2023 FSC-klagomål.docx", "A 36757-2023")</f>
        <v/>
      </c>
      <c r="W1884">
        <f>HYPERLINK("https://klasma.github.io/Logging_2303/klagomålsmail/A 36757-2023 FSC-klagomål mail.docx", "A 36757-2023")</f>
        <v/>
      </c>
      <c r="X1884">
        <f>HYPERLINK("https://klasma.github.io/Logging_2303/tillsyn/A 36757-2023 tillsynsbegäran.docx", "A 36757-2023")</f>
        <v/>
      </c>
      <c r="Y1884">
        <f>HYPERLINK("https://klasma.github.io/Logging_2303/tillsynsmail/A 36757-2023 tillsynsbegäran mail.docx", "A 36757-2023")</f>
        <v/>
      </c>
      <c r="Z1884">
        <f>HYPERLINK("https://klasma.github.io/Logging_2303/fåglar/A 36757-2023 prioriterade fågelarter.docx", "A 36757-2023")</f>
        <v/>
      </c>
    </row>
    <row r="1885" ht="15" customHeight="1">
      <c r="A1885" t="inlineStr">
        <is>
          <t>A 814-2022</t>
        </is>
      </c>
      <c r="B1885" s="1" t="n">
        <v>44568</v>
      </c>
      <c r="C1885" s="1" t="n">
        <v>46045</v>
      </c>
      <c r="D1885" t="inlineStr">
        <is>
          <t>JÄMTLANDS LÄN</t>
        </is>
      </c>
      <c r="E1885" t="inlineStr">
        <is>
          <t>KROKOM</t>
        </is>
      </c>
      <c r="G1885" t="n">
        <v>2.6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HYPERLINK("https://klasma.github.io/Logging_2309/artfynd/A 814-2022 artfynd.xlsx", "A 814-2022")</f>
        <v/>
      </c>
      <c r="T1885">
        <f>HYPERLINK("https://klasma.github.io/Logging_2309/kartor/A 814-2022 karta.png", "A 814-2022")</f>
        <v/>
      </c>
      <c r="V1885">
        <f>HYPERLINK("https://klasma.github.io/Logging_2309/klagomål/A 814-2022 FSC-klagomål.docx", "A 814-2022")</f>
        <v/>
      </c>
      <c r="W1885">
        <f>HYPERLINK("https://klasma.github.io/Logging_2309/klagomålsmail/A 814-2022 FSC-klagomål mail.docx", "A 814-2022")</f>
        <v/>
      </c>
      <c r="X1885">
        <f>HYPERLINK("https://klasma.github.io/Logging_2309/tillsyn/A 814-2022 tillsynsbegäran.docx", "A 814-2022")</f>
        <v/>
      </c>
      <c r="Y1885">
        <f>HYPERLINK("https://klasma.github.io/Logging_2309/tillsynsmail/A 814-2022 tillsynsbegäran mail.docx", "A 814-2022")</f>
        <v/>
      </c>
      <c r="Z1885">
        <f>HYPERLINK("https://klasma.github.io/Logging_2309/fåglar/A 814-2022 prioriterade fågelarter.docx", "A 814-2022")</f>
        <v/>
      </c>
    </row>
    <row r="1886" ht="15" customHeight="1">
      <c r="A1886" t="inlineStr">
        <is>
          <t>A 30330-2023</t>
        </is>
      </c>
      <c r="B1886" s="1" t="n">
        <v>45111</v>
      </c>
      <c r="C1886" s="1" t="n">
        <v>46045</v>
      </c>
      <c r="D1886" t="inlineStr">
        <is>
          <t>JÄMTLANDS LÄN</t>
        </is>
      </c>
      <c r="E1886" t="inlineStr">
        <is>
          <t>HÄRJEDALEN</t>
        </is>
      </c>
      <c r="F1886" t="inlineStr">
        <is>
          <t>Bergvik skog väst AB</t>
        </is>
      </c>
      <c r="G1886" t="n">
        <v>7.7</v>
      </c>
      <c r="H1886" t="n">
        <v>1</v>
      </c>
      <c r="I1886" t="n">
        <v>0</v>
      </c>
      <c r="J1886" t="n">
        <v>0</v>
      </c>
      <c r="K1886" t="n">
        <v>0</v>
      </c>
      <c r="L1886" t="n">
        <v>1</v>
      </c>
      <c r="M1886" t="n">
        <v>0</v>
      </c>
      <c r="N1886" t="n">
        <v>0</v>
      </c>
      <c r="O1886" t="n">
        <v>1</v>
      </c>
      <c r="P1886" t="n">
        <v>1</v>
      </c>
      <c r="Q1886" t="n">
        <v>1</v>
      </c>
      <c r="R1886" s="2" t="inlineStr">
        <is>
          <t>Mosippa</t>
        </is>
      </c>
      <c r="S1886">
        <f>HYPERLINK("https://klasma.github.io/Logging_2361/artfynd/A 30330-2023 artfynd.xlsx", "A 30330-2023")</f>
        <v/>
      </c>
      <c r="T1886">
        <f>HYPERLINK("https://klasma.github.io/Logging_2361/kartor/A 30330-2023 karta.png", "A 30330-2023")</f>
        <v/>
      </c>
      <c r="V1886">
        <f>HYPERLINK("https://klasma.github.io/Logging_2361/klagomål/A 30330-2023 FSC-klagomål.docx", "A 30330-2023")</f>
        <v/>
      </c>
      <c r="W1886">
        <f>HYPERLINK("https://klasma.github.io/Logging_2361/klagomålsmail/A 30330-2023 FSC-klagomål mail.docx", "A 30330-2023")</f>
        <v/>
      </c>
      <c r="X1886">
        <f>HYPERLINK("https://klasma.github.io/Logging_2361/tillsyn/A 30330-2023 tillsynsbegäran.docx", "A 30330-2023")</f>
        <v/>
      </c>
      <c r="Y1886">
        <f>HYPERLINK("https://klasma.github.io/Logging_2361/tillsynsmail/A 30330-2023 tillsynsbegäran mail.docx", "A 30330-2023")</f>
        <v/>
      </c>
    </row>
    <row r="1887" ht="15" customHeight="1">
      <c r="A1887" t="inlineStr">
        <is>
          <t>A 39511-2023</t>
        </is>
      </c>
      <c r="B1887" s="1" t="n">
        <v>45166</v>
      </c>
      <c r="C1887" s="1" t="n">
        <v>46045</v>
      </c>
      <c r="D1887" t="inlineStr">
        <is>
          <t>JÄMTLANDS LÄN</t>
        </is>
      </c>
      <c r="E1887" t="inlineStr">
        <is>
          <t>STRÖMSUND</t>
        </is>
      </c>
      <c r="F1887" t="inlineStr">
        <is>
          <t>SCA</t>
        </is>
      </c>
      <c r="G1887" t="n">
        <v>3.7</v>
      </c>
      <c r="H1887" t="n">
        <v>0</v>
      </c>
      <c r="I1887" t="n">
        <v>0</v>
      </c>
      <c r="J1887" t="n">
        <v>1</v>
      </c>
      <c r="K1887" t="n">
        <v>0</v>
      </c>
      <c r="L1887" t="n">
        <v>0</v>
      </c>
      <c r="M1887" t="n">
        <v>0</v>
      </c>
      <c r="N1887" t="n">
        <v>0</v>
      </c>
      <c r="O1887" t="n">
        <v>1</v>
      </c>
      <c r="P1887" t="n">
        <v>0</v>
      </c>
      <c r="Q1887" t="n">
        <v>1</v>
      </c>
      <c r="R1887" s="2" t="inlineStr">
        <is>
          <t>Rosenticka</t>
        </is>
      </c>
      <c r="S1887">
        <f>HYPERLINK("https://klasma.github.io/Logging_2313/artfynd/A 39511-2023 artfynd.xlsx", "A 39511-2023")</f>
        <v/>
      </c>
      <c r="T1887">
        <f>HYPERLINK("https://klasma.github.io/Logging_2313/kartor/A 39511-2023 karta.png", "A 39511-2023")</f>
        <v/>
      </c>
      <c r="V1887">
        <f>HYPERLINK("https://klasma.github.io/Logging_2313/klagomål/A 39511-2023 FSC-klagomål.docx", "A 39511-2023")</f>
        <v/>
      </c>
      <c r="W1887">
        <f>HYPERLINK("https://klasma.github.io/Logging_2313/klagomålsmail/A 39511-2023 FSC-klagomål mail.docx", "A 39511-2023")</f>
        <v/>
      </c>
      <c r="X1887">
        <f>HYPERLINK("https://klasma.github.io/Logging_2313/tillsyn/A 39511-2023 tillsynsbegäran.docx", "A 39511-2023")</f>
        <v/>
      </c>
      <c r="Y1887">
        <f>HYPERLINK("https://klasma.github.io/Logging_2313/tillsynsmail/A 39511-2023 tillsynsbegäran mail.docx", "A 39511-2023")</f>
        <v/>
      </c>
    </row>
    <row r="1888" ht="15" customHeight="1">
      <c r="A1888" t="inlineStr">
        <is>
          <t>A 4881-2025</t>
        </is>
      </c>
      <c r="B1888" s="1" t="n">
        <v>45688.67707175926</v>
      </c>
      <c r="C1888" s="1" t="n">
        <v>46045</v>
      </c>
      <c r="D1888" t="inlineStr">
        <is>
          <t>JÄMTLANDS LÄN</t>
        </is>
      </c>
      <c r="E1888" t="inlineStr">
        <is>
          <t>STRÖMSUND</t>
        </is>
      </c>
      <c r="F1888" t="inlineStr">
        <is>
          <t>SCA</t>
        </is>
      </c>
      <c r="G1888" t="n">
        <v>11.2</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HYPERLINK("https://klasma.github.io/Logging_2313/artfynd/A 4881-2025 artfynd.xlsx", "A 4881-2025")</f>
        <v/>
      </c>
      <c r="T1888">
        <f>HYPERLINK("https://klasma.github.io/Logging_2313/kartor/A 4881-2025 karta.png", "A 4881-2025")</f>
        <v/>
      </c>
      <c r="V1888">
        <f>HYPERLINK("https://klasma.github.io/Logging_2313/klagomål/A 4881-2025 FSC-klagomål.docx", "A 4881-2025")</f>
        <v/>
      </c>
      <c r="W1888">
        <f>HYPERLINK("https://klasma.github.io/Logging_2313/klagomålsmail/A 4881-2025 FSC-klagomål mail.docx", "A 4881-2025")</f>
        <v/>
      </c>
      <c r="X1888">
        <f>HYPERLINK("https://klasma.github.io/Logging_2313/tillsyn/A 4881-2025 tillsynsbegäran.docx", "A 4881-2025")</f>
        <v/>
      </c>
      <c r="Y1888">
        <f>HYPERLINK("https://klasma.github.io/Logging_2313/tillsynsmail/A 4881-2025 tillsynsbegäran mail.docx", "A 4881-2025")</f>
        <v/>
      </c>
      <c r="Z1888">
        <f>HYPERLINK("https://klasma.github.io/Logging_2313/fåglar/A 4881-2025 prioriterade fågelarter.docx", "A 4881-2025")</f>
        <v/>
      </c>
    </row>
    <row r="1889" ht="15" customHeight="1">
      <c r="A1889" t="inlineStr">
        <is>
          <t>A 14628-2022</t>
        </is>
      </c>
      <c r="B1889" s="1" t="n">
        <v>44655</v>
      </c>
      <c r="C1889" s="1" t="n">
        <v>46045</v>
      </c>
      <c r="D1889" t="inlineStr">
        <is>
          <t>JÄMTLANDS LÄN</t>
        </is>
      </c>
      <c r="E1889" t="inlineStr">
        <is>
          <t>BRÄCKE</t>
        </is>
      </c>
      <c r="G1889" t="n">
        <v>4.7</v>
      </c>
      <c r="H1889" t="n">
        <v>0</v>
      </c>
      <c r="I1889" t="n">
        <v>1</v>
      </c>
      <c r="J1889" t="n">
        <v>0</v>
      </c>
      <c r="K1889" t="n">
        <v>0</v>
      </c>
      <c r="L1889" t="n">
        <v>0</v>
      </c>
      <c r="M1889" t="n">
        <v>0</v>
      </c>
      <c r="N1889" t="n">
        <v>0</v>
      </c>
      <c r="O1889" t="n">
        <v>0</v>
      </c>
      <c r="P1889" t="n">
        <v>0</v>
      </c>
      <c r="Q1889" t="n">
        <v>1</v>
      </c>
      <c r="R1889" s="2" t="inlineStr">
        <is>
          <t>Dropptaggsvamp</t>
        </is>
      </c>
      <c r="S1889">
        <f>HYPERLINK("https://klasma.github.io/Logging_2305/artfynd/A 14628-2022 artfynd.xlsx", "A 14628-2022")</f>
        <v/>
      </c>
      <c r="T1889">
        <f>HYPERLINK("https://klasma.github.io/Logging_2305/kartor/A 14628-2022 karta.png", "A 14628-2022")</f>
        <v/>
      </c>
      <c r="V1889">
        <f>HYPERLINK("https://klasma.github.io/Logging_2305/klagomål/A 14628-2022 FSC-klagomål.docx", "A 14628-2022")</f>
        <v/>
      </c>
      <c r="W1889">
        <f>HYPERLINK("https://klasma.github.io/Logging_2305/klagomålsmail/A 14628-2022 FSC-klagomål mail.docx", "A 14628-2022")</f>
        <v/>
      </c>
      <c r="X1889">
        <f>HYPERLINK("https://klasma.github.io/Logging_2305/tillsyn/A 14628-2022 tillsynsbegäran.docx", "A 14628-2022")</f>
        <v/>
      </c>
      <c r="Y1889">
        <f>HYPERLINK("https://klasma.github.io/Logging_2305/tillsynsmail/A 14628-2022 tillsynsbegäran mail.docx", "A 14628-2022")</f>
        <v/>
      </c>
    </row>
    <row r="1890" ht="15" customHeight="1">
      <c r="A1890" t="inlineStr">
        <is>
          <t>A 43404-2023</t>
        </is>
      </c>
      <c r="B1890" s="1" t="n">
        <v>45183</v>
      </c>
      <c r="C1890" s="1" t="n">
        <v>46045</v>
      </c>
      <c r="D1890" t="inlineStr">
        <is>
          <t>JÄMTLANDS LÄN</t>
        </is>
      </c>
      <c r="E1890" t="inlineStr">
        <is>
          <t>RAGUNDA</t>
        </is>
      </c>
      <c r="F1890" t="inlineStr">
        <is>
          <t>SCA</t>
        </is>
      </c>
      <c r="G1890" t="n">
        <v>0.9</v>
      </c>
      <c r="H1890" t="n">
        <v>0</v>
      </c>
      <c r="I1890" t="n">
        <v>1</v>
      </c>
      <c r="J1890" t="n">
        <v>0</v>
      </c>
      <c r="K1890" t="n">
        <v>0</v>
      </c>
      <c r="L1890" t="n">
        <v>0</v>
      </c>
      <c r="M1890" t="n">
        <v>0</v>
      </c>
      <c r="N1890" t="n">
        <v>0</v>
      </c>
      <c r="O1890" t="n">
        <v>0</v>
      </c>
      <c r="P1890" t="n">
        <v>0</v>
      </c>
      <c r="Q1890" t="n">
        <v>1</v>
      </c>
      <c r="R1890" s="2" t="inlineStr">
        <is>
          <t>Kryddspindling</t>
        </is>
      </c>
      <c r="S1890">
        <f>HYPERLINK("https://klasma.github.io/Logging_2303/artfynd/A 43404-2023 artfynd.xlsx", "A 43404-2023")</f>
        <v/>
      </c>
      <c r="T1890">
        <f>HYPERLINK("https://klasma.github.io/Logging_2303/kartor/A 43404-2023 karta.png", "A 43404-2023")</f>
        <v/>
      </c>
      <c r="V1890">
        <f>HYPERLINK("https://klasma.github.io/Logging_2303/klagomål/A 43404-2023 FSC-klagomål.docx", "A 43404-2023")</f>
        <v/>
      </c>
      <c r="W1890">
        <f>HYPERLINK("https://klasma.github.io/Logging_2303/klagomålsmail/A 43404-2023 FSC-klagomål mail.docx", "A 43404-2023")</f>
        <v/>
      </c>
      <c r="X1890">
        <f>HYPERLINK("https://klasma.github.io/Logging_2303/tillsyn/A 43404-2023 tillsynsbegäran.docx", "A 43404-2023")</f>
        <v/>
      </c>
      <c r="Y1890">
        <f>HYPERLINK("https://klasma.github.io/Logging_2303/tillsynsmail/A 43404-2023 tillsynsbegäran mail.docx", "A 43404-2023")</f>
        <v/>
      </c>
    </row>
    <row r="1891" ht="15" customHeight="1">
      <c r="A1891" t="inlineStr">
        <is>
          <t>A 59367-2024</t>
        </is>
      </c>
      <c r="B1891" s="1" t="n">
        <v>45638.33607638889</v>
      </c>
      <c r="C1891" s="1" t="n">
        <v>46045</v>
      </c>
      <c r="D1891" t="inlineStr">
        <is>
          <t>JÄMTLANDS LÄN</t>
        </is>
      </c>
      <c r="E1891" t="inlineStr">
        <is>
          <t>HÄRJEDALEN</t>
        </is>
      </c>
      <c r="F1891" t="inlineStr">
        <is>
          <t>Holmen skog AB</t>
        </is>
      </c>
      <c r="G1891" t="n">
        <v>5.9</v>
      </c>
      <c r="H1891" t="n">
        <v>0</v>
      </c>
      <c r="I1891" t="n">
        <v>0</v>
      </c>
      <c r="J1891" t="n">
        <v>1</v>
      </c>
      <c r="K1891" t="n">
        <v>0</v>
      </c>
      <c r="L1891" t="n">
        <v>0</v>
      </c>
      <c r="M1891" t="n">
        <v>0</v>
      </c>
      <c r="N1891" t="n">
        <v>0</v>
      </c>
      <c r="O1891" t="n">
        <v>1</v>
      </c>
      <c r="P1891" t="n">
        <v>0</v>
      </c>
      <c r="Q1891" t="n">
        <v>1</v>
      </c>
      <c r="R1891" s="2" t="inlineStr">
        <is>
          <t>Vedflamlav</t>
        </is>
      </c>
      <c r="S1891">
        <f>HYPERLINK("https://klasma.github.io/Logging_2361/artfynd/A 59367-2024 artfynd.xlsx", "A 59367-2024")</f>
        <v/>
      </c>
      <c r="T1891">
        <f>HYPERLINK("https://klasma.github.io/Logging_2361/kartor/A 59367-2024 karta.png", "A 59367-2024")</f>
        <v/>
      </c>
      <c r="V1891">
        <f>HYPERLINK("https://klasma.github.io/Logging_2361/klagomål/A 59367-2024 FSC-klagomål.docx", "A 59367-2024")</f>
        <v/>
      </c>
      <c r="W1891">
        <f>HYPERLINK("https://klasma.github.io/Logging_2361/klagomålsmail/A 59367-2024 FSC-klagomål mail.docx", "A 59367-2024")</f>
        <v/>
      </c>
      <c r="X1891">
        <f>HYPERLINK("https://klasma.github.io/Logging_2361/tillsyn/A 59367-2024 tillsynsbegäran.docx", "A 59367-2024")</f>
        <v/>
      </c>
      <c r="Y1891">
        <f>HYPERLINK("https://klasma.github.io/Logging_2361/tillsynsmail/A 59367-2024 tillsynsbegäran mail.docx", "A 59367-2024")</f>
        <v/>
      </c>
    </row>
    <row r="1892" ht="15" customHeight="1">
      <c r="A1892" t="inlineStr">
        <is>
          <t>A 21938-2021</t>
        </is>
      </c>
      <c r="B1892" s="1" t="n">
        <v>44322</v>
      </c>
      <c r="C1892" s="1" t="n">
        <v>46045</v>
      </c>
      <c r="D1892" t="inlineStr">
        <is>
          <t>JÄMTLANDS LÄN</t>
        </is>
      </c>
      <c r="E1892" t="inlineStr">
        <is>
          <t>STRÖMSUND</t>
        </is>
      </c>
      <c r="F1892" t="inlineStr">
        <is>
          <t>SCA</t>
        </is>
      </c>
      <c r="G1892" t="n">
        <v>4.9</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HYPERLINK("https://klasma.github.io/Logging_2313/artfynd/A 21938-2021 artfynd.xlsx", "A 21938-2021")</f>
        <v/>
      </c>
      <c r="T1892">
        <f>HYPERLINK("https://klasma.github.io/Logging_2313/kartor/A 21938-2021 karta.png", "A 21938-2021")</f>
        <v/>
      </c>
      <c r="U1892">
        <f>HYPERLINK("https://klasma.github.io/Logging_2313/knärot/A 21938-2021 karta knärot.png", "A 21938-2021")</f>
        <v/>
      </c>
      <c r="V1892">
        <f>HYPERLINK("https://klasma.github.io/Logging_2313/klagomål/A 21938-2021 FSC-klagomål.docx", "A 21938-2021")</f>
        <v/>
      </c>
      <c r="W1892">
        <f>HYPERLINK("https://klasma.github.io/Logging_2313/klagomålsmail/A 21938-2021 FSC-klagomål mail.docx", "A 21938-2021")</f>
        <v/>
      </c>
      <c r="X1892">
        <f>HYPERLINK("https://klasma.github.io/Logging_2313/tillsyn/A 21938-2021 tillsynsbegäran.docx", "A 21938-2021")</f>
        <v/>
      </c>
      <c r="Y1892">
        <f>HYPERLINK("https://klasma.github.io/Logging_2313/tillsynsmail/A 21938-2021 tillsynsbegäran mail.docx", "A 21938-2021")</f>
        <v/>
      </c>
      <c r="Z1892">
        <f>HYPERLINK("https://klasma.github.io/Logging_2313/fåglar/A 21938-2021 prioriterade fågelarter.docx", "A 21938-2021")</f>
        <v/>
      </c>
    </row>
    <row r="1893" ht="15" customHeight="1">
      <c r="A1893" t="inlineStr">
        <is>
          <t>A 15366-2022</t>
        </is>
      </c>
      <c r="B1893" s="1" t="n">
        <v>44659</v>
      </c>
      <c r="C1893" s="1" t="n">
        <v>46045</v>
      </c>
      <c r="D1893" t="inlineStr">
        <is>
          <t>JÄMTLANDS LÄN</t>
        </is>
      </c>
      <c r="E1893" t="inlineStr">
        <is>
          <t>BRÄCKE</t>
        </is>
      </c>
      <c r="G1893" t="n">
        <v>3.3</v>
      </c>
      <c r="H1893" t="n">
        <v>1</v>
      </c>
      <c r="I1893" t="n">
        <v>0</v>
      </c>
      <c r="J1893" t="n">
        <v>0</v>
      </c>
      <c r="K1893" t="n">
        <v>0</v>
      </c>
      <c r="L1893" t="n">
        <v>0</v>
      </c>
      <c r="M1893" t="n">
        <v>0</v>
      </c>
      <c r="N1893" t="n">
        <v>0</v>
      </c>
      <c r="O1893" t="n">
        <v>0</v>
      </c>
      <c r="P1893" t="n">
        <v>0</v>
      </c>
      <c r="Q1893" t="n">
        <v>1</v>
      </c>
      <c r="R1893" s="2" t="inlineStr">
        <is>
          <t>Brudsporre</t>
        </is>
      </c>
      <c r="S1893">
        <f>HYPERLINK("https://klasma.github.io/Logging_2305/artfynd/A 15366-2022 artfynd.xlsx", "A 15366-2022")</f>
        <v/>
      </c>
      <c r="T1893">
        <f>HYPERLINK("https://klasma.github.io/Logging_2305/kartor/A 15366-2022 karta.png", "A 15366-2022")</f>
        <v/>
      </c>
      <c r="V1893">
        <f>HYPERLINK("https://klasma.github.io/Logging_2305/klagomål/A 15366-2022 FSC-klagomål.docx", "A 15366-2022")</f>
        <v/>
      </c>
      <c r="W1893">
        <f>HYPERLINK("https://klasma.github.io/Logging_2305/klagomålsmail/A 15366-2022 FSC-klagomål mail.docx", "A 15366-2022")</f>
        <v/>
      </c>
      <c r="X1893">
        <f>HYPERLINK("https://klasma.github.io/Logging_2305/tillsyn/A 15366-2022 tillsynsbegäran.docx", "A 15366-2022")</f>
        <v/>
      </c>
      <c r="Y1893">
        <f>HYPERLINK("https://klasma.github.io/Logging_2305/tillsynsmail/A 15366-2022 tillsynsbegäran mail.docx", "A 15366-2022")</f>
        <v/>
      </c>
    </row>
    <row r="1894" ht="15" customHeight="1">
      <c r="A1894" t="inlineStr">
        <is>
          <t>A 24309-2023</t>
        </is>
      </c>
      <c r="B1894" s="1" t="n">
        <v>45079</v>
      </c>
      <c r="C1894" s="1" t="n">
        <v>46045</v>
      </c>
      <c r="D1894" t="inlineStr">
        <is>
          <t>JÄMTLANDS LÄN</t>
        </is>
      </c>
      <c r="E1894" t="inlineStr">
        <is>
          <t>BERG</t>
        </is>
      </c>
      <c r="F1894" t="inlineStr">
        <is>
          <t>SCA</t>
        </is>
      </c>
      <c r="G1894" t="n">
        <v>3.3</v>
      </c>
      <c r="H1894" t="n">
        <v>1</v>
      </c>
      <c r="I1894" t="n">
        <v>0</v>
      </c>
      <c r="J1894" t="n">
        <v>0</v>
      </c>
      <c r="K1894" t="n">
        <v>0</v>
      </c>
      <c r="L1894" t="n">
        <v>0</v>
      </c>
      <c r="M1894" t="n">
        <v>0</v>
      </c>
      <c r="N1894" t="n">
        <v>0</v>
      </c>
      <c r="O1894" t="n">
        <v>0</v>
      </c>
      <c r="P1894" t="n">
        <v>0</v>
      </c>
      <c r="Q1894" t="n">
        <v>1</v>
      </c>
      <c r="R1894" s="2" t="inlineStr">
        <is>
          <t>Vanlig groda</t>
        </is>
      </c>
      <c r="S1894">
        <f>HYPERLINK("https://klasma.github.io/Logging_2326/artfynd/A 24309-2023 artfynd.xlsx", "A 24309-2023")</f>
        <v/>
      </c>
      <c r="T1894">
        <f>HYPERLINK("https://klasma.github.io/Logging_2326/kartor/A 24309-2023 karta.png", "A 24309-2023")</f>
        <v/>
      </c>
      <c r="V1894">
        <f>HYPERLINK("https://klasma.github.io/Logging_2326/klagomål/A 24309-2023 FSC-klagomål.docx", "A 24309-2023")</f>
        <v/>
      </c>
      <c r="W1894">
        <f>HYPERLINK("https://klasma.github.io/Logging_2326/klagomålsmail/A 24309-2023 FSC-klagomål mail.docx", "A 24309-2023")</f>
        <v/>
      </c>
      <c r="X1894">
        <f>HYPERLINK("https://klasma.github.io/Logging_2326/tillsyn/A 24309-2023 tillsynsbegäran.docx", "A 24309-2023")</f>
        <v/>
      </c>
      <c r="Y1894">
        <f>HYPERLINK("https://klasma.github.io/Logging_2326/tillsynsmail/A 24309-2023 tillsynsbegäran mail.docx", "A 24309-2023")</f>
        <v/>
      </c>
    </row>
    <row r="1895" ht="15" customHeight="1">
      <c r="A1895" t="inlineStr">
        <is>
          <t>A 36754-2023</t>
        </is>
      </c>
      <c r="B1895" s="1" t="n">
        <v>45153</v>
      </c>
      <c r="C1895" s="1" t="n">
        <v>46045</v>
      </c>
      <c r="D1895" t="inlineStr">
        <is>
          <t>JÄMTLANDS LÄN</t>
        </is>
      </c>
      <c r="E1895" t="inlineStr">
        <is>
          <t>STRÖMSUND</t>
        </is>
      </c>
      <c r="F1895" t="inlineStr">
        <is>
          <t>SCA</t>
        </is>
      </c>
      <c r="G1895" t="n">
        <v>2.7</v>
      </c>
      <c r="H1895" t="n">
        <v>1</v>
      </c>
      <c r="I1895" t="n">
        <v>1</v>
      </c>
      <c r="J1895" t="n">
        <v>0</v>
      </c>
      <c r="K1895" t="n">
        <v>0</v>
      </c>
      <c r="L1895" t="n">
        <v>0</v>
      </c>
      <c r="M1895" t="n">
        <v>0</v>
      </c>
      <c r="N1895" t="n">
        <v>0</v>
      </c>
      <c r="O1895" t="n">
        <v>0</v>
      </c>
      <c r="P1895" t="n">
        <v>0</v>
      </c>
      <c r="Q1895" t="n">
        <v>1</v>
      </c>
      <c r="R1895" s="2" t="inlineStr">
        <is>
          <t>Lappranunkel</t>
        </is>
      </c>
      <c r="S1895">
        <f>HYPERLINK("https://klasma.github.io/Logging_2313/artfynd/A 36754-2023 artfynd.xlsx", "A 36754-2023")</f>
        <v/>
      </c>
      <c r="T1895">
        <f>HYPERLINK("https://klasma.github.io/Logging_2313/kartor/A 36754-2023 karta.png", "A 36754-2023")</f>
        <v/>
      </c>
      <c r="V1895">
        <f>HYPERLINK("https://klasma.github.io/Logging_2313/klagomål/A 36754-2023 FSC-klagomål.docx", "A 36754-2023")</f>
        <v/>
      </c>
      <c r="W1895">
        <f>HYPERLINK("https://klasma.github.io/Logging_2313/klagomålsmail/A 36754-2023 FSC-klagomål mail.docx", "A 36754-2023")</f>
        <v/>
      </c>
      <c r="X1895">
        <f>HYPERLINK("https://klasma.github.io/Logging_2313/tillsyn/A 36754-2023 tillsynsbegäran.docx", "A 36754-2023")</f>
        <v/>
      </c>
      <c r="Y1895">
        <f>HYPERLINK("https://klasma.github.io/Logging_2313/tillsynsmail/A 36754-2023 tillsynsbegäran mail.docx", "A 36754-2023")</f>
        <v/>
      </c>
    </row>
    <row r="1896" ht="15" customHeight="1">
      <c r="A1896" t="inlineStr">
        <is>
          <t>A 9816-2024</t>
        </is>
      </c>
      <c r="B1896" s="1" t="n">
        <v>45363.04525462963</v>
      </c>
      <c r="C1896" s="1" t="n">
        <v>46045</v>
      </c>
      <c r="D1896" t="inlineStr">
        <is>
          <t>JÄMTLANDS LÄN</t>
        </is>
      </c>
      <c r="E1896" t="inlineStr">
        <is>
          <t>BRÄCKE</t>
        </is>
      </c>
      <c r="F1896" t="inlineStr">
        <is>
          <t>SCA</t>
        </is>
      </c>
      <c r="G1896" t="n">
        <v>2.1</v>
      </c>
      <c r="H1896" t="n">
        <v>1</v>
      </c>
      <c r="I1896" t="n">
        <v>0</v>
      </c>
      <c r="J1896" t="n">
        <v>0</v>
      </c>
      <c r="K1896" t="n">
        <v>1</v>
      </c>
      <c r="L1896" t="n">
        <v>0</v>
      </c>
      <c r="M1896" t="n">
        <v>0</v>
      </c>
      <c r="N1896" t="n">
        <v>0</v>
      </c>
      <c r="O1896" t="n">
        <v>1</v>
      </c>
      <c r="P1896" t="n">
        <v>1</v>
      </c>
      <c r="Q1896" t="n">
        <v>1</v>
      </c>
      <c r="R1896" s="2" t="inlineStr">
        <is>
          <t>Knärot</t>
        </is>
      </c>
      <c r="S1896">
        <f>HYPERLINK("https://klasma.github.io/Logging_2305/artfynd/A 9816-2024 artfynd.xlsx", "A 9816-2024")</f>
        <v/>
      </c>
      <c r="T1896">
        <f>HYPERLINK("https://klasma.github.io/Logging_2305/kartor/A 9816-2024 karta.png", "A 9816-2024")</f>
        <v/>
      </c>
      <c r="U1896">
        <f>HYPERLINK("https://klasma.github.io/Logging_2305/knärot/A 9816-2024 karta knärot.png", "A 9816-2024")</f>
        <v/>
      </c>
      <c r="V1896">
        <f>HYPERLINK("https://klasma.github.io/Logging_2305/klagomål/A 9816-2024 FSC-klagomål.docx", "A 9816-2024")</f>
        <v/>
      </c>
      <c r="W1896">
        <f>HYPERLINK("https://klasma.github.io/Logging_2305/klagomålsmail/A 9816-2024 FSC-klagomål mail.docx", "A 9816-2024")</f>
        <v/>
      </c>
      <c r="X1896">
        <f>HYPERLINK("https://klasma.github.io/Logging_2305/tillsyn/A 9816-2024 tillsynsbegäran.docx", "A 9816-2024")</f>
        <v/>
      </c>
      <c r="Y1896">
        <f>HYPERLINK("https://klasma.github.io/Logging_2305/tillsynsmail/A 9816-2024 tillsynsbegäran mail.docx", "A 9816-2024")</f>
        <v/>
      </c>
    </row>
    <row r="1897" ht="15" customHeight="1">
      <c r="A1897" t="inlineStr">
        <is>
          <t>A 49325-2023</t>
        </is>
      </c>
      <c r="B1897" s="1" t="n">
        <v>45210</v>
      </c>
      <c r="C1897" s="1" t="n">
        <v>46045</v>
      </c>
      <c r="D1897" t="inlineStr">
        <is>
          <t>JÄMTLANDS LÄN</t>
        </is>
      </c>
      <c r="E1897" t="inlineStr">
        <is>
          <t>BRÄCKE</t>
        </is>
      </c>
      <c r="F1897" t="inlineStr">
        <is>
          <t>SCA</t>
        </is>
      </c>
      <c r="G1897" t="n">
        <v>7</v>
      </c>
      <c r="H1897" t="n">
        <v>1</v>
      </c>
      <c r="I1897" t="n">
        <v>0</v>
      </c>
      <c r="J1897" t="n">
        <v>0</v>
      </c>
      <c r="K1897" t="n">
        <v>1</v>
      </c>
      <c r="L1897" t="n">
        <v>0</v>
      </c>
      <c r="M1897" t="n">
        <v>0</v>
      </c>
      <c r="N1897" t="n">
        <v>0</v>
      </c>
      <c r="O1897" t="n">
        <v>1</v>
      </c>
      <c r="P1897" t="n">
        <v>1</v>
      </c>
      <c r="Q1897" t="n">
        <v>1</v>
      </c>
      <c r="R1897" s="2" t="inlineStr">
        <is>
          <t>Doftticka</t>
        </is>
      </c>
      <c r="S1897">
        <f>HYPERLINK("https://klasma.github.io/Logging_2305/artfynd/A 49325-2023 artfynd.xlsx", "A 49325-2023")</f>
        <v/>
      </c>
      <c r="T1897">
        <f>HYPERLINK("https://klasma.github.io/Logging_2305/kartor/A 49325-2023 karta.png", "A 49325-2023")</f>
        <v/>
      </c>
      <c r="V1897">
        <f>HYPERLINK("https://klasma.github.io/Logging_2305/klagomål/A 49325-2023 FSC-klagomål.docx", "A 49325-2023")</f>
        <v/>
      </c>
      <c r="W1897">
        <f>HYPERLINK("https://klasma.github.io/Logging_2305/klagomålsmail/A 49325-2023 FSC-klagomål mail.docx", "A 49325-2023")</f>
        <v/>
      </c>
      <c r="X1897">
        <f>HYPERLINK("https://klasma.github.io/Logging_2305/tillsyn/A 49325-2023 tillsynsbegäran.docx", "A 49325-2023")</f>
        <v/>
      </c>
      <c r="Y1897">
        <f>HYPERLINK("https://klasma.github.io/Logging_2305/tillsynsmail/A 49325-2023 tillsynsbegäran mail.docx", "A 49325-2023")</f>
        <v/>
      </c>
    </row>
    <row r="1898" ht="15" customHeight="1">
      <c r="A1898" t="inlineStr">
        <is>
          <t>A 61324-2024</t>
        </is>
      </c>
      <c r="B1898" s="1" t="n">
        <v>45646.34438657408</v>
      </c>
      <c r="C1898" s="1" t="n">
        <v>46045</v>
      </c>
      <c r="D1898" t="inlineStr">
        <is>
          <t>JÄMTLANDS LÄN</t>
        </is>
      </c>
      <c r="E1898" t="inlineStr">
        <is>
          <t>RAGUNDA</t>
        </is>
      </c>
      <c r="F1898" t="inlineStr">
        <is>
          <t>SCA</t>
        </is>
      </c>
      <c r="G1898" t="n">
        <v>11.2</v>
      </c>
      <c r="H1898" t="n">
        <v>1</v>
      </c>
      <c r="I1898" t="n">
        <v>0</v>
      </c>
      <c r="J1898" t="n">
        <v>0</v>
      </c>
      <c r="K1898" t="n">
        <v>0</v>
      </c>
      <c r="L1898" t="n">
        <v>0</v>
      </c>
      <c r="M1898" t="n">
        <v>0</v>
      </c>
      <c r="N1898" t="n">
        <v>0</v>
      </c>
      <c r="O1898" t="n">
        <v>0</v>
      </c>
      <c r="P1898" t="n">
        <v>0</v>
      </c>
      <c r="Q1898" t="n">
        <v>1</v>
      </c>
      <c r="R1898" s="2" t="inlineStr">
        <is>
          <t>Trana</t>
        </is>
      </c>
      <c r="S1898">
        <f>HYPERLINK("https://klasma.github.io/Logging_2303/artfynd/A 61324-2024 artfynd.xlsx", "A 61324-2024")</f>
        <v/>
      </c>
      <c r="T1898">
        <f>HYPERLINK("https://klasma.github.io/Logging_2303/kartor/A 61324-2024 karta.png", "A 61324-2024")</f>
        <v/>
      </c>
      <c r="V1898">
        <f>HYPERLINK("https://klasma.github.io/Logging_2303/klagomål/A 61324-2024 FSC-klagomål.docx", "A 61324-2024")</f>
        <v/>
      </c>
      <c r="W1898">
        <f>HYPERLINK("https://klasma.github.io/Logging_2303/klagomålsmail/A 61324-2024 FSC-klagomål mail.docx", "A 61324-2024")</f>
        <v/>
      </c>
      <c r="X1898">
        <f>HYPERLINK("https://klasma.github.io/Logging_2303/tillsyn/A 61324-2024 tillsynsbegäran.docx", "A 61324-2024")</f>
        <v/>
      </c>
      <c r="Y1898">
        <f>HYPERLINK("https://klasma.github.io/Logging_2303/tillsynsmail/A 61324-2024 tillsynsbegäran mail.docx", "A 61324-2024")</f>
        <v/>
      </c>
      <c r="Z1898">
        <f>HYPERLINK("https://klasma.github.io/Logging_2303/fåglar/A 61324-2024 prioriterade fågelarter.docx", "A 61324-2024")</f>
        <v/>
      </c>
    </row>
    <row r="1899" ht="15" customHeight="1">
      <c r="A1899" t="inlineStr">
        <is>
          <t>A 6705-2025</t>
        </is>
      </c>
      <c r="B1899" s="1" t="n">
        <v>45700</v>
      </c>
      <c r="C1899" s="1" t="n">
        <v>46045</v>
      </c>
      <c r="D1899" t="inlineStr">
        <is>
          <t>JÄMTLANDS LÄN</t>
        </is>
      </c>
      <c r="E1899" t="inlineStr">
        <is>
          <t>KROKOM</t>
        </is>
      </c>
      <c r="G1899" t="n">
        <v>20.4</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6705-2025 artfynd.xlsx", "A 6705-2025")</f>
        <v/>
      </c>
      <c r="T1899">
        <f>HYPERLINK("https://klasma.github.io/Logging_2309/kartor/A 6705-2025 karta.png", "A 6705-2025")</f>
        <v/>
      </c>
      <c r="V1899">
        <f>HYPERLINK("https://klasma.github.io/Logging_2309/klagomål/A 6705-2025 FSC-klagomål.docx", "A 6705-2025")</f>
        <v/>
      </c>
      <c r="W1899">
        <f>HYPERLINK("https://klasma.github.io/Logging_2309/klagomålsmail/A 6705-2025 FSC-klagomål mail.docx", "A 6705-2025")</f>
        <v/>
      </c>
      <c r="X1899">
        <f>HYPERLINK("https://klasma.github.io/Logging_2309/tillsyn/A 6705-2025 tillsynsbegäran.docx", "A 6705-2025")</f>
        <v/>
      </c>
      <c r="Y1899">
        <f>HYPERLINK("https://klasma.github.io/Logging_2309/tillsynsmail/A 6705-2025 tillsynsbegäran mail.docx", "A 6705-2025")</f>
        <v/>
      </c>
      <c r="Z1899">
        <f>HYPERLINK("https://klasma.github.io/Logging_2309/fåglar/A 6705-2025 prioriterade fågelarter.docx", "A 6705-2025")</f>
        <v/>
      </c>
    </row>
    <row r="1900" ht="15" customHeight="1">
      <c r="A1900" t="inlineStr">
        <is>
          <t>A 58777-2023</t>
        </is>
      </c>
      <c r="B1900" s="1" t="n">
        <v>45251.96747685185</v>
      </c>
      <c r="C1900" s="1" t="n">
        <v>46045</v>
      </c>
      <c r="D1900" t="inlineStr">
        <is>
          <t>JÄMTLANDS LÄN</t>
        </is>
      </c>
      <c r="E1900" t="inlineStr">
        <is>
          <t>BRÄCKE</t>
        </is>
      </c>
      <c r="F1900" t="inlineStr">
        <is>
          <t>SCA</t>
        </is>
      </c>
      <c r="G1900" t="n">
        <v>1.1</v>
      </c>
      <c r="H1900" t="n">
        <v>0</v>
      </c>
      <c r="I1900" t="n">
        <v>0</v>
      </c>
      <c r="J1900" t="n">
        <v>1</v>
      </c>
      <c r="K1900" t="n">
        <v>0</v>
      </c>
      <c r="L1900" t="n">
        <v>0</v>
      </c>
      <c r="M1900" t="n">
        <v>0</v>
      </c>
      <c r="N1900" t="n">
        <v>0</v>
      </c>
      <c r="O1900" t="n">
        <v>1</v>
      </c>
      <c r="P1900" t="n">
        <v>0</v>
      </c>
      <c r="Q1900" t="n">
        <v>1</v>
      </c>
      <c r="R1900" s="2" t="inlineStr">
        <is>
          <t>Igelkott</t>
        </is>
      </c>
      <c r="S1900">
        <f>HYPERLINK("https://klasma.github.io/Logging_2305/artfynd/A 58777-2023 artfynd.xlsx", "A 58777-2023")</f>
        <v/>
      </c>
      <c r="T1900">
        <f>HYPERLINK("https://klasma.github.io/Logging_2305/kartor/A 58777-2023 karta.png", "A 58777-2023")</f>
        <v/>
      </c>
      <c r="V1900">
        <f>HYPERLINK("https://klasma.github.io/Logging_2305/klagomål/A 58777-2023 FSC-klagomål.docx", "A 58777-2023")</f>
        <v/>
      </c>
      <c r="W1900">
        <f>HYPERLINK("https://klasma.github.io/Logging_2305/klagomålsmail/A 58777-2023 FSC-klagomål mail.docx", "A 58777-2023")</f>
        <v/>
      </c>
      <c r="X1900">
        <f>HYPERLINK("https://klasma.github.io/Logging_2305/tillsyn/A 58777-2023 tillsynsbegäran.docx", "A 58777-2023")</f>
        <v/>
      </c>
      <c r="Y1900">
        <f>HYPERLINK("https://klasma.github.io/Logging_2305/tillsynsmail/A 58777-2023 tillsynsbegäran mail.docx", "A 58777-2023")</f>
        <v/>
      </c>
    </row>
    <row r="1901" ht="15" customHeight="1">
      <c r="A1901" t="inlineStr">
        <is>
          <t>A 24729-2022</t>
        </is>
      </c>
      <c r="B1901" s="1" t="n">
        <v>44727</v>
      </c>
      <c r="C1901" s="1" t="n">
        <v>46045</v>
      </c>
      <c r="D1901" t="inlineStr">
        <is>
          <t>JÄMTLANDS LÄN</t>
        </is>
      </c>
      <c r="E1901" t="inlineStr">
        <is>
          <t>STRÖMSUND</t>
        </is>
      </c>
      <c r="F1901" t="inlineStr">
        <is>
          <t>SCA</t>
        </is>
      </c>
      <c r="G1901" t="n">
        <v>1.3</v>
      </c>
      <c r="H1901" t="n">
        <v>0</v>
      </c>
      <c r="I1901" t="n">
        <v>0</v>
      </c>
      <c r="J1901" t="n">
        <v>1</v>
      </c>
      <c r="K1901" t="n">
        <v>0</v>
      </c>
      <c r="L1901" t="n">
        <v>0</v>
      </c>
      <c r="M1901" t="n">
        <v>0</v>
      </c>
      <c r="N1901" t="n">
        <v>0</v>
      </c>
      <c r="O1901" t="n">
        <v>1</v>
      </c>
      <c r="P1901" t="n">
        <v>0</v>
      </c>
      <c r="Q1901" t="n">
        <v>1</v>
      </c>
      <c r="R1901" s="2" t="inlineStr">
        <is>
          <t>Granticka</t>
        </is>
      </c>
      <c r="S1901">
        <f>HYPERLINK("https://klasma.github.io/Logging_2313/artfynd/A 24729-2022 artfynd.xlsx", "A 24729-2022")</f>
        <v/>
      </c>
      <c r="T1901">
        <f>HYPERLINK("https://klasma.github.io/Logging_2313/kartor/A 24729-2022 karta.png", "A 24729-2022")</f>
        <v/>
      </c>
      <c r="U1901">
        <f>HYPERLINK("https://klasma.github.io/Logging_2313/knärot/A 24729-2022 karta knärot.png", "A 24729-2022")</f>
        <v/>
      </c>
      <c r="V1901">
        <f>HYPERLINK("https://klasma.github.io/Logging_2313/klagomål/A 24729-2022 FSC-klagomål.docx", "A 24729-2022")</f>
        <v/>
      </c>
      <c r="W1901">
        <f>HYPERLINK("https://klasma.github.io/Logging_2313/klagomålsmail/A 24729-2022 FSC-klagomål mail.docx", "A 24729-2022")</f>
        <v/>
      </c>
      <c r="X1901">
        <f>HYPERLINK("https://klasma.github.io/Logging_2313/tillsyn/A 24729-2022 tillsynsbegäran.docx", "A 24729-2022")</f>
        <v/>
      </c>
      <c r="Y1901">
        <f>HYPERLINK("https://klasma.github.io/Logging_2313/tillsynsmail/A 24729-2022 tillsynsbegäran mail.docx", "A 24729-2022")</f>
        <v/>
      </c>
    </row>
    <row r="1902" ht="15" customHeight="1">
      <c r="A1902" t="inlineStr">
        <is>
          <t>A 59523-2023</t>
        </is>
      </c>
      <c r="B1902" s="1" t="n">
        <v>45254</v>
      </c>
      <c r="C1902" s="1" t="n">
        <v>46045</v>
      </c>
      <c r="D1902" t="inlineStr">
        <is>
          <t>JÄMTLANDS LÄN</t>
        </is>
      </c>
      <c r="E1902" t="inlineStr">
        <is>
          <t>STRÖMSUND</t>
        </is>
      </c>
      <c r="F1902" t="inlineStr">
        <is>
          <t>Holmen skog AB</t>
        </is>
      </c>
      <c r="G1902" t="n">
        <v>51.2</v>
      </c>
      <c r="H1902" t="n">
        <v>0</v>
      </c>
      <c r="I1902" t="n">
        <v>0</v>
      </c>
      <c r="J1902" t="n">
        <v>1</v>
      </c>
      <c r="K1902" t="n">
        <v>0</v>
      </c>
      <c r="L1902" t="n">
        <v>0</v>
      </c>
      <c r="M1902" t="n">
        <v>0</v>
      </c>
      <c r="N1902" t="n">
        <v>0</v>
      </c>
      <c r="O1902" t="n">
        <v>1</v>
      </c>
      <c r="P1902" t="n">
        <v>0</v>
      </c>
      <c r="Q1902" t="n">
        <v>1</v>
      </c>
      <c r="R1902" s="2" t="inlineStr">
        <is>
          <t>Granticka</t>
        </is>
      </c>
      <c r="S1902">
        <f>HYPERLINK("https://klasma.github.io/Logging_2313/artfynd/A 59523-2023 artfynd.xlsx", "A 59523-2023")</f>
        <v/>
      </c>
      <c r="T1902">
        <f>HYPERLINK("https://klasma.github.io/Logging_2313/kartor/A 59523-2023 karta.png", "A 59523-2023")</f>
        <v/>
      </c>
      <c r="V1902">
        <f>HYPERLINK("https://klasma.github.io/Logging_2313/klagomål/A 59523-2023 FSC-klagomål.docx", "A 59523-2023")</f>
        <v/>
      </c>
      <c r="W1902">
        <f>HYPERLINK("https://klasma.github.io/Logging_2313/klagomålsmail/A 59523-2023 FSC-klagomål mail.docx", "A 59523-2023")</f>
        <v/>
      </c>
      <c r="X1902">
        <f>HYPERLINK("https://klasma.github.io/Logging_2313/tillsyn/A 59523-2023 tillsynsbegäran.docx", "A 59523-2023")</f>
        <v/>
      </c>
      <c r="Y1902">
        <f>HYPERLINK("https://klasma.github.io/Logging_2313/tillsynsmail/A 59523-2023 tillsynsbegäran mail.docx", "A 59523-2023")</f>
        <v/>
      </c>
    </row>
    <row r="1903" ht="15" customHeight="1">
      <c r="A1903" t="inlineStr">
        <is>
          <t>A 23331-2025</t>
        </is>
      </c>
      <c r="B1903" s="1" t="n">
        <v>45791</v>
      </c>
      <c r="C1903" s="1" t="n">
        <v>46045</v>
      </c>
      <c r="D1903" t="inlineStr">
        <is>
          <t>JÄMTLANDS LÄN</t>
        </is>
      </c>
      <c r="E1903" t="inlineStr">
        <is>
          <t>HÄRJEDALEN</t>
        </is>
      </c>
      <c r="G1903" t="n">
        <v>1.6</v>
      </c>
      <c r="H1903" t="n">
        <v>0</v>
      </c>
      <c r="I1903" t="n">
        <v>0</v>
      </c>
      <c r="J1903" t="n">
        <v>1</v>
      </c>
      <c r="K1903" t="n">
        <v>0</v>
      </c>
      <c r="L1903" t="n">
        <v>0</v>
      </c>
      <c r="M1903" t="n">
        <v>0</v>
      </c>
      <c r="N1903" t="n">
        <v>0</v>
      </c>
      <c r="O1903" t="n">
        <v>1</v>
      </c>
      <c r="P1903" t="n">
        <v>0</v>
      </c>
      <c r="Q1903" t="n">
        <v>1</v>
      </c>
      <c r="R1903" s="2" t="inlineStr">
        <is>
          <t>Lunglav</t>
        </is>
      </c>
      <c r="S1903">
        <f>HYPERLINK("https://klasma.github.io/Logging_2361/artfynd/A 23331-2025 artfynd.xlsx", "A 23331-2025")</f>
        <v/>
      </c>
      <c r="T1903">
        <f>HYPERLINK("https://klasma.github.io/Logging_2361/kartor/A 23331-2025 karta.png", "A 23331-2025")</f>
        <v/>
      </c>
      <c r="V1903">
        <f>HYPERLINK("https://klasma.github.io/Logging_2361/klagomål/A 23331-2025 FSC-klagomål.docx", "A 23331-2025")</f>
        <v/>
      </c>
      <c r="W1903">
        <f>HYPERLINK("https://klasma.github.io/Logging_2361/klagomålsmail/A 23331-2025 FSC-klagomål mail.docx", "A 23331-2025")</f>
        <v/>
      </c>
      <c r="X1903">
        <f>HYPERLINK("https://klasma.github.io/Logging_2361/tillsyn/A 23331-2025 tillsynsbegäran.docx", "A 23331-2025")</f>
        <v/>
      </c>
      <c r="Y1903">
        <f>HYPERLINK("https://klasma.github.io/Logging_2361/tillsynsmail/A 23331-2025 tillsynsbegäran mail.docx", "A 23331-2025")</f>
        <v/>
      </c>
    </row>
    <row r="1904" ht="15" customHeight="1">
      <c r="A1904" t="inlineStr">
        <is>
          <t>A 14290-2022</t>
        </is>
      </c>
      <c r="B1904" s="1" t="n">
        <v>44651</v>
      </c>
      <c r="C1904" s="1" t="n">
        <v>46045</v>
      </c>
      <c r="D1904" t="inlineStr">
        <is>
          <t>JÄMTLANDS LÄN</t>
        </is>
      </c>
      <c r="E1904" t="inlineStr">
        <is>
          <t>STRÖMSUND</t>
        </is>
      </c>
      <c r="F1904" t="inlineStr">
        <is>
          <t>SCA</t>
        </is>
      </c>
      <c r="G1904" t="n">
        <v>0.3</v>
      </c>
      <c r="H1904" t="n">
        <v>0</v>
      </c>
      <c r="I1904" t="n">
        <v>0</v>
      </c>
      <c r="J1904" t="n">
        <v>1</v>
      </c>
      <c r="K1904" t="n">
        <v>0</v>
      </c>
      <c r="L1904" t="n">
        <v>0</v>
      </c>
      <c r="M1904" t="n">
        <v>0</v>
      </c>
      <c r="N1904" t="n">
        <v>0</v>
      </c>
      <c r="O1904" t="n">
        <v>1</v>
      </c>
      <c r="P1904" t="n">
        <v>0</v>
      </c>
      <c r="Q1904" t="n">
        <v>1</v>
      </c>
      <c r="R1904" s="2" t="inlineStr">
        <is>
          <t>Garnlav</t>
        </is>
      </c>
      <c r="S1904">
        <f>HYPERLINK("https://klasma.github.io/Logging_2313/artfynd/A 14290-2022 artfynd.xlsx", "A 14290-2022")</f>
        <v/>
      </c>
      <c r="T1904">
        <f>HYPERLINK("https://klasma.github.io/Logging_2313/kartor/A 14290-2022 karta.png", "A 14290-2022")</f>
        <v/>
      </c>
      <c r="U1904">
        <f>HYPERLINK("https://klasma.github.io/Logging_2313/knärot/A 14290-2022 karta knärot.png", "A 14290-2022")</f>
        <v/>
      </c>
      <c r="V1904">
        <f>HYPERLINK("https://klasma.github.io/Logging_2313/klagomål/A 14290-2022 FSC-klagomål.docx", "A 14290-2022")</f>
        <v/>
      </c>
      <c r="W1904">
        <f>HYPERLINK("https://klasma.github.io/Logging_2313/klagomålsmail/A 14290-2022 FSC-klagomål mail.docx", "A 14290-2022")</f>
        <v/>
      </c>
      <c r="X1904">
        <f>HYPERLINK("https://klasma.github.io/Logging_2313/tillsyn/A 14290-2022 tillsynsbegäran.docx", "A 14290-2022")</f>
        <v/>
      </c>
      <c r="Y1904">
        <f>HYPERLINK("https://klasma.github.io/Logging_2313/tillsynsmail/A 14290-2022 tillsynsbegäran mail.docx", "A 14290-2022")</f>
        <v/>
      </c>
    </row>
    <row r="1905" ht="15" customHeight="1">
      <c r="A1905" t="inlineStr">
        <is>
          <t>A 50513-2023</t>
        </is>
      </c>
      <c r="B1905" s="1" t="n">
        <v>45216</v>
      </c>
      <c r="C1905" s="1" t="n">
        <v>46045</v>
      </c>
      <c r="D1905" t="inlineStr">
        <is>
          <t>JÄMTLANDS LÄN</t>
        </is>
      </c>
      <c r="E1905" t="inlineStr">
        <is>
          <t>BRÄCKE</t>
        </is>
      </c>
      <c r="F1905" t="inlineStr">
        <is>
          <t>SCA</t>
        </is>
      </c>
      <c r="G1905" t="n">
        <v>1.7</v>
      </c>
      <c r="H1905" t="n">
        <v>1</v>
      </c>
      <c r="I1905" t="n">
        <v>0</v>
      </c>
      <c r="J1905" t="n">
        <v>0</v>
      </c>
      <c r="K1905" t="n">
        <v>0</v>
      </c>
      <c r="L1905" t="n">
        <v>0</v>
      </c>
      <c r="M1905" t="n">
        <v>0</v>
      </c>
      <c r="N1905" t="n">
        <v>0</v>
      </c>
      <c r="O1905" t="n">
        <v>0</v>
      </c>
      <c r="P1905" t="n">
        <v>0</v>
      </c>
      <c r="Q1905" t="n">
        <v>1</v>
      </c>
      <c r="R1905" s="2" t="inlineStr">
        <is>
          <t>Grönsiska</t>
        </is>
      </c>
      <c r="S1905">
        <f>HYPERLINK("https://klasma.github.io/Logging_2305/artfynd/A 50513-2023 artfynd.xlsx", "A 50513-2023")</f>
        <v/>
      </c>
      <c r="T1905">
        <f>HYPERLINK("https://klasma.github.io/Logging_2305/kartor/A 50513-2023 karta.png", "A 50513-2023")</f>
        <v/>
      </c>
      <c r="V1905">
        <f>HYPERLINK("https://klasma.github.io/Logging_2305/klagomål/A 50513-2023 FSC-klagomål.docx", "A 50513-2023")</f>
        <v/>
      </c>
      <c r="W1905">
        <f>HYPERLINK("https://klasma.github.io/Logging_2305/klagomålsmail/A 50513-2023 FSC-klagomål mail.docx", "A 50513-2023")</f>
        <v/>
      </c>
      <c r="X1905">
        <f>HYPERLINK("https://klasma.github.io/Logging_2305/tillsyn/A 50513-2023 tillsynsbegäran.docx", "A 50513-2023")</f>
        <v/>
      </c>
      <c r="Y1905">
        <f>HYPERLINK("https://klasma.github.io/Logging_2305/tillsynsmail/A 50513-2023 tillsynsbegäran mail.docx", "A 50513-2023")</f>
        <v/>
      </c>
      <c r="Z1905">
        <f>HYPERLINK("https://klasma.github.io/Logging_2305/fåglar/A 50513-2023 prioriterade fågelarter.docx", "A 50513-2023")</f>
        <v/>
      </c>
    </row>
    <row r="1906" ht="15" customHeight="1">
      <c r="A1906" t="inlineStr">
        <is>
          <t>A 53447-2023</t>
        </is>
      </c>
      <c r="B1906" s="1" t="n">
        <v>45229</v>
      </c>
      <c r="C1906" s="1" t="n">
        <v>46045</v>
      </c>
      <c r="D1906" t="inlineStr">
        <is>
          <t>JÄMTLANDS LÄN</t>
        </is>
      </c>
      <c r="E1906" t="inlineStr">
        <is>
          <t>STRÖMSUND</t>
        </is>
      </c>
      <c r="F1906" t="inlineStr">
        <is>
          <t>SCA</t>
        </is>
      </c>
      <c r="G1906" t="n">
        <v>3.4</v>
      </c>
      <c r="H1906" t="n">
        <v>0</v>
      </c>
      <c r="I1906" t="n">
        <v>0</v>
      </c>
      <c r="J1906" t="n">
        <v>1</v>
      </c>
      <c r="K1906" t="n">
        <v>0</v>
      </c>
      <c r="L1906" t="n">
        <v>0</v>
      </c>
      <c r="M1906" t="n">
        <v>0</v>
      </c>
      <c r="N1906" t="n">
        <v>0</v>
      </c>
      <c r="O1906" t="n">
        <v>1</v>
      </c>
      <c r="P1906" t="n">
        <v>0</v>
      </c>
      <c r="Q1906" t="n">
        <v>1</v>
      </c>
      <c r="R1906" s="2" t="inlineStr">
        <is>
          <t>Harticka</t>
        </is>
      </c>
      <c r="S1906">
        <f>HYPERLINK("https://klasma.github.io/Logging_2313/artfynd/A 53447-2023 artfynd.xlsx", "A 53447-2023")</f>
        <v/>
      </c>
      <c r="T1906">
        <f>HYPERLINK("https://klasma.github.io/Logging_2313/kartor/A 53447-2023 karta.png", "A 53447-2023")</f>
        <v/>
      </c>
      <c r="V1906">
        <f>HYPERLINK("https://klasma.github.io/Logging_2313/klagomål/A 53447-2023 FSC-klagomål.docx", "A 53447-2023")</f>
        <v/>
      </c>
      <c r="W1906">
        <f>HYPERLINK("https://klasma.github.io/Logging_2313/klagomålsmail/A 53447-2023 FSC-klagomål mail.docx", "A 53447-2023")</f>
        <v/>
      </c>
      <c r="X1906">
        <f>HYPERLINK("https://klasma.github.io/Logging_2313/tillsyn/A 53447-2023 tillsynsbegäran.docx", "A 53447-2023")</f>
        <v/>
      </c>
      <c r="Y1906">
        <f>HYPERLINK("https://klasma.github.io/Logging_2313/tillsynsmail/A 53447-2023 tillsynsbegäran mail.docx", "A 53447-2023")</f>
        <v/>
      </c>
    </row>
    <row r="1907" ht="15" customHeight="1">
      <c r="A1907" t="inlineStr">
        <is>
          <t>A 19387-2025</t>
        </is>
      </c>
      <c r="B1907" s="1" t="n">
        <v>45769.65736111111</v>
      </c>
      <c r="C1907" s="1" t="n">
        <v>46045</v>
      </c>
      <c r="D1907" t="inlineStr">
        <is>
          <t>JÄMTLANDS LÄN</t>
        </is>
      </c>
      <c r="E1907" t="inlineStr">
        <is>
          <t>RAGUNDA</t>
        </is>
      </c>
      <c r="F1907" t="inlineStr">
        <is>
          <t>SCA</t>
        </is>
      </c>
      <c r="G1907" t="n">
        <v>16.4</v>
      </c>
      <c r="H1907" t="n">
        <v>1</v>
      </c>
      <c r="I1907" t="n">
        <v>0</v>
      </c>
      <c r="J1907" t="n">
        <v>0</v>
      </c>
      <c r="K1907" t="n">
        <v>1</v>
      </c>
      <c r="L1907" t="n">
        <v>0</v>
      </c>
      <c r="M1907" t="n">
        <v>0</v>
      </c>
      <c r="N1907" t="n">
        <v>0</v>
      </c>
      <c r="O1907" t="n">
        <v>1</v>
      </c>
      <c r="P1907" t="n">
        <v>1</v>
      </c>
      <c r="Q1907" t="n">
        <v>1</v>
      </c>
      <c r="R1907" s="2" t="inlineStr">
        <is>
          <t>Norna</t>
        </is>
      </c>
      <c r="S1907">
        <f>HYPERLINK("https://klasma.github.io/Logging_2303/artfynd/A 19387-2025 artfynd.xlsx", "A 19387-2025")</f>
        <v/>
      </c>
      <c r="T1907">
        <f>HYPERLINK("https://klasma.github.io/Logging_2303/kartor/A 19387-2025 karta.png", "A 19387-2025")</f>
        <v/>
      </c>
      <c r="V1907">
        <f>HYPERLINK("https://klasma.github.io/Logging_2303/klagomål/A 19387-2025 FSC-klagomål.docx", "A 19387-2025")</f>
        <v/>
      </c>
      <c r="W1907">
        <f>HYPERLINK("https://klasma.github.io/Logging_2303/klagomålsmail/A 19387-2025 FSC-klagomål mail.docx", "A 19387-2025")</f>
        <v/>
      </c>
      <c r="X1907">
        <f>HYPERLINK("https://klasma.github.io/Logging_2303/tillsyn/A 19387-2025 tillsynsbegäran.docx", "A 19387-2025")</f>
        <v/>
      </c>
      <c r="Y1907">
        <f>HYPERLINK("https://klasma.github.io/Logging_2303/tillsynsmail/A 19387-2025 tillsynsbegäran mail.docx", "A 19387-2025")</f>
        <v/>
      </c>
    </row>
    <row r="1908" ht="15" customHeight="1">
      <c r="A1908" t="inlineStr">
        <is>
          <t>A 14322-2025</t>
        </is>
      </c>
      <c r="B1908" s="1" t="n">
        <v>45740.76611111111</v>
      </c>
      <c r="C1908" s="1" t="n">
        <v>46045</v>
      </c>
      <c r="D1908" t="inlineStr">
        <is>
          <t>JÄMTLANDS LÄN</t>
        </is>
      </c>
      <c r="E1908" t="inlineStr">
        <is>
          <t>STRÖMSUND</t>
        </is>
      </c>
      <c r="G1908" t="n">
        <v>5.4</v>
      </c>
      <c r="H1908" t="n">
        <v>1</v>
      </c>
      <c r="I1908" t="n">
        <v>0</v>
      </c>
      <c r="J1908" t="n">
        <v>1</v>
      </c>
      <c r="K1908" t="n">
        <v>0</v>
      </c>
      <c r="L1908" t="n">
        <v>0</v>
      </c>
      <c r="M1908" t="n">
        <v>0</v>
      </c>
      <c r="N1908" t="n">
        <v>0</v>
      </c>
      <c r="O1908" t="n">
        <v>1</v>
      </c>
      <c r="P1908" t="n">
        <v>0</v>
      </c>
      <c r="Q1908" t="n">
        <v>1</v>
      </c>
      <c r="R1908" s="2" t="inlineStr">
        <is>
          <t>Nordfladdermus</t>
        </is>
      </c>
      <c r="S1908">
        <f>HYPERLINK("https://klasma.github.io/Logging_2313/artfynd/A 14322-2025 artfynd.xlsx", "A 14322-2025")</f>
        <v/>
      </c>
      <c r="T1908">
        <f>HYPERLINK("https://klasma.github.io/Logging_2313/kartor/A 14322-2025 karta.png", "A 14322-2025")</f>
        <v/>
      </c>
      <c r="V1908">
        <f>HYPERLINK("https://klasma.github.io/Logging_2313/klagomål/A 14322-2025 FSC-klagomål.docx", "A 14322-2025")</f>
        <v/>
      </c>
      <c r="W1908">
        <f>HYPERLINK("https://klasma.github.io/Logging_2313/klagomålsmail/A 14322-2025 FSC-klagomål mail.docx", "A 14322-2025")</f>
        <v/>
      </c>
      <c r="X1908">
        <f>HYPERLINK("https://klasma.github.io/Logging_2313/tillsyn/A 14322-2025 tillsynsbegäran.docx", "A 14322-2025")</f>
        <v/>
      </c>
      <c r="Y1908">
        <f>HYPERLINK("https://klasma.github.io/Logging_2313/tillsynsmail/A 14322-2025 tillsynsbegäran mail.docx", "A 14322-2025")</f>
        <v/>
      </c>
    </row>
    <row r="1909" ht="15" customHeight="1">
      <c r="A1909" t="inlineStr">
        <is>
          <t>A 20575-2025</t>
        </is>
      </c>
      <c r="B1909" s="1" t="n">
        <v>45775.67769675926</v>
      </c>
      <c r="C1909" s="1" t="n">
        <v>46045</v>
      </c>
      <c r="D1909" t="inlineStr">
        <is>
          <t>JÄMTLANDS LÄN</t>
        </is>
      </c>
      <c r="E1909" t="inlineStr">
        <is>
          <t>RAGUNDA</t>
        </is>
      </c>
      <c r="F1909" t="inlineStr">
        <is>
          <t>SCA</t>
        </is>
      </c>
      <c r="G1909" t="n">
        <v>8.1</v>
      </c>
      <c r="H1909" t="n">
        <v>1</v>
      </c>
      <c r="I1909" t="n">
        <v>0</v>
      </c>
      <c r="J1909" t="n">
        <v>1</v>
      </c>
      <c r="K1909" t="n">
        <v>0</v>
      </c>
      <c r="L1909" t="n">
        <v>0</v>
      </c>
      <c r="M1909" t="n">
        <v>0</v>
      </c>
      <c r="N1909" t="n">
        <v>0</v>
      </c>
      <c r="O1909" t="n">
        <v>1</v>
      </c>
      <c r="P1909" t="n">
        <v>0</v>
      </c>
      <c r="Q1909" t="n">
        <v>1</v>
      </c>
      <c r="R1909" s="2" t="inlineStr">
        <is>
          <t>Skogsfru</t>
        </is>
      </c>
      <c r="S1909">
        <f>HYPERLINK("https://klasma.github.io/Logging_2303/artfynd/A 20575-2025 artfynd.xlsx", "A 20575-2025")</f>
        <v/>
      </c>
      <c r="T1909">
        <f>HYPERLINK("https://klasma.github.io/Logging_2303/kartor/A 20575-2025 karta.png", "A 20575-2025")</f>
        <v/>
      </c>
      <c r="V1909">
        <f>HYPERLINK("https://klasma.github.io/Logging_2303/klagomål/A 20575-2025 FSC-klagomål.docx", "A 20575-2025")</f>
        <v/>
      </c>
      <c r="W1909">
        <f>HYPERLINK("https://klasma.github.io/Logging_2303/klagomålsmail/A 20575-2025 FSC-klagomål mail.docx", "A 20575-2025")</f>
        <v/>
      </c>
      <c r="X1909">
        <f>HYPERLINK("https://klasma.github.io/Logging_2303/tillsyn/A 20575-2025 tillsynsbegäran.docx", "A 20575-2025")</f>
        <v/>
      </c>
      <c r="Y1909">
        <f>HYPERLINK("https://klasma.github.io/Logging_2303/tillsynsmail/A 20575-2025 tillsynsbegäran mail.docx", "A 20575-2025")</f>
        <v/>
      </c>
    </row>
    <row r="1910" ht="15" customHeight="1">
      <c r="A1910" t="inlineStr">
        <is>
          <t>A 18983-2025</t>
        </is>
      </c>
      <c r="B1910" s="1" t="n">
        <v>45764.55618055556</v>
      </c>
      <c r="C1910" s="1" t="n">
        <v>46045</v>
      </c>
      <c r="D1910" t="inlineStr">
        <is>
          <t>JÄMTLANDS LÄN</t>
        </is>
      </c>
      <c r="E1910" t="inlineStr">
        <is>
          <t>BRÄCKE</t>
        </is>
      </c>
      <c r="G1910" t="n">
        <v>23.8</v>
      </c>
      <c r="H1910" t="n">
        <v>1</v>
      </c>
      <c r="I1910" t="n">
        <v>0</v>
      </c>
      <c r="J1910" t="n">
        <v>0</v>
      </c>
      <c r="K1910" t="n">
        <v>0</v>
      </c>
      <c r="L1910" t="n">
        <v>0</v>
      </c>
      <c r="M1910" t="n">
        <v>0</v>
      </c>
      <c r="N1910" t="n">
        <v>0</v>
      </c>
      <c r="O1910" t="n">
        <v>0</v>
      </c>
      <c r="P1910" t="n">
        <v>0</v>
      </c>
      <c r="Q1910" t="n">
        <v>1</v>
      </c>
      <c r="R1910" s="2" t="inlineStr">
        <is>
          <t>Kungsfågel</t>
        </is>
      </c>
      <c r="S1910">
        <f>HYPERLINK("https://klasma.github.io/Logging_2305/artfynd/A 18983-2025 artfynd.xlsx", "A 18983-2025")</f>
        <v/>
      </c>
      <c r="T1910">
        <f>HYPERLINK("https://klasma.github.io/Logging_2305/kartor/A 18983-2025 karta.png", "A 18983-2025")</f>
        <v/>
      </c>
      <c r="V1910">
        <f>HYPERLINK("https://klasma.github.io/Logging_2305/klagomål/A 18983-2025 FSC-klagomål.docx", "A 18983-2025")</f>
        <v/>
      </c>
      <c r="W1910">
        <f>HYPERLINK("https://klasma.github.io/Logging_2305/klagomålsmail/A 18983-2025 FSC-klagomål mail.docx", "A 18983-2025")</f>
        <v/>
      </c>
      <c r="X1910">
        <f>HYPERLINK("https://klasma.github.io/Logging_2305/tillsyn/A 18983-2025 tillsynsbegäran.docx", "A 18983-2025")</f>
        <v/>
      </c>
      <c r="Y1910">
        <f>HYPERLINK("https://klasma.github.io/Logging_2305/tillsynsmail/A 18983-2025 tillsynsbegäran mail.docx", "A 18983-2025")</f>
        <v/>
      </c>
      <c r="Z1910">
        <f>HYPERLINK("https://klasma.github.io/Logging_2305/fåglar/A 18983-2025 prioriterade fågelarter.docx", "A 18983-2025")</f>
        <v/>
      </c>
    </row>
    <row r="1911" ht="15" customHeight="1">
      <c r="A1911" t="inlineStr">
        <is>
          <t>A 55530-2022</t>
        </is>
      </c>
      <c r="B1911" s="1" t="n">
        <v>44887</v>
      </c>
      <c r="C1911" s="1" t="n">
        <v>46045</v>
      </c>
      <c r="D1911" t="inlineStr">
        <is>
          <t>JÄMTLANDS LÄN</t>
        </is>
      </c>
      <c r="E1911" t="inlineStr">
        <is>
          <t>STRÖMSUND</t>
        </is>
      </c>
      <c r="F1911" t="inlineStr">
        <is>
          <t>SCA</t>
        </is>
      </c>
      <c r="G1911" t="n">
        <v>5.5</v>
      </c>
      <c r="H1911" t="n">
        <v>0</v>
      </c>
      <c r="I1911" t="n">
        <v>0</v>
      </c>
      <c r="J1911" t="n">
        <v>1</v>
      </c>
      <c r="K1911" t="n">
        <v>0</v>
      </c>
      <c r="L1911" t="n">
        <v>0</v>
      </c>
      <c r="M1911" t="n">
        <v>0</v>
      </c>
      <c r="N1911" t="n">
        <v>0</v>
      </c>
      <c r="O1911" t="n">
        <v>1</v>
      </c>
      <c r="P1911" t="n">
        <v>0</v>
      </c>
      <c r="Q1911" t="n">
        <v>1</v>
      </c>
      <c r="R1911" s="2" t="inlineStr">
        <is>
          <t>Lunglav</t>
        </is>
      </c>
      <c r="S1911">
        <f>HYPERLINK("https://klasma.github.io/Logging_2313/artfynd/A 55530-2022 artfynd.xlsx", "A 55530-2022")</f>
        <v/>
      </c>
      <c r="T1911">
        <f>HYPERLINK("https://klasma.github.io/Logging_2313/kartor/A 55530-2022 karta.png", "A 55530-2022")</f>
        <v/>
      </c>
      <c r="V1911">
        <f>HYPERLINK("https://klasma.github.io/Logging_2313/klagomål/A 55530-2022 FSC-klagomål.docx", "A 55530-2022")</f>
        <v/>
      </c>
      <c r="W1911">
        <f>HYPERLINK("https://klasma.github.io/Logging_2313/klagomålsmail/A 55530-2022 FSC-klagomål mail.docx", "A 55530-2022")</f>
        <v/>
      </c>
      <c r="X1911">
        <f>HYPERLINK("https://klasma.github.io/Logging_2313/tillsyn/A 55530-2022 tillsynsbegäran.docx", "A 55530-2022")</f>
        <v/>
      </c>
      <c r="Y1911">
        <f>HYPERLINK("https://klasma.github.io/Logging_2313/tillsynsmail/A 55530-2022 tillsynsbegäran mail.docx", "A 55530-2022")</f>
        <v/>
      </c>
    </row>
    <row r="1912" ht="15" customHeight="1">
      <c r="A1912" t="inlineStr">
        <is>
          <t>A 11513-2024</t>
        </is>
      </c>
      <c r="B1912" s="1" t="n">
        <v>45372</v>
      </c>
      <c r="C1912" s="1" t="n">
        <v>46045</v>
      </c>
      <c r="D1912" t="inlineStr">
        <is>
          <t>JÄMTLANDS LÄN</t>
        </is>
      </c>
      <c r="E1912" t="inlineStr">
        <is>
          <t>ÖSTERSUND</t>
        </is>
      </c>
      <c r="G1912" t="n">
        <v>21.2</v>
      </c>
      <c r="H1912" t="n">
        <v>0</v>
      </c>
      <c r="I1912" t="n">
        <v>1</v>
      </c>
      <c r="J1912" t="n">
        <v>0</v>
      </c>
      <c r="K1912" t="n">
        <v>0</v>
      </c>
      <c r="L1912" t="n">
        <v>0</v>
      </c>
      <c r="M1912" t="n">
        <v>0</v>
      </c>
      <c r="N1912" t="n">
        <v>0</v>
      </c>
      <c r="O1912" t="n">
        <v>0</v>
      </c>
      <c r="P1912" t="n">
        <v>0</v>
      </c>
      <c r="Q1912" t="n">
        <v>1</v>
      </c>
      <c r="R1912" s="2" t="inlineStr">
        <is>
          <t>Tibast</t>
        </is>
      </c>
      <c r="S1912">
        <f>HYPERLINK("https://klasma.github.io/Logging_2380/artfynd/A 11513-2024 artfynd.xlsx", "A 11513-2024")</f>
        <v/>
      </c>
      <c r="T1912">
        <f>HYPERLINK("https://klasma.github.io/Logging_2380/kartor/A 11513-2024 karta.png", "A 11513-2024")</f>
        <v/>
      </c>
      <c r="V1912">
        <f>HYPERLINK("https://klasma.github.io/Logging_2380/klagomål/A 11513-2024 FSC-klagomål.docx", "A 11513-2024")</f>
        <v/>
      </c>
      <c r="W1912">
        <f>HYPERLINK("https://klasma.github.io/Logging_2380/klagomålsmail/A 11513-2024 FSC-klagomål mail.docx", "A 11513-2024")</f>
        <v/>
      </c>
      <c r="X1912">
        <f>HYPERLINK("https://klasma.github.io/Logging_2380/tillsyn/A 11513-2024 tillsynsbegäran.docx", "A 11513-2024")</f>
        <v/>
      </c>
      <c r="Y1912">
        <f>HYPERLINK("https://klasma.github.io/Logging_2380/tillsynsmail/A 11513-2024 tillsynsbegäran mail.docx", "A 11513-2024")</f>
        <v/>
      </c>
    </row>
    <row r="1913" ht="15" customHeight="1">
      <c r="A1913" t="inlineStr">
        <is>
          <t>A 4851-2025</t>
        </is>
      </c>
      <c r="B1913" s="1" t="n">
        <v>45688.67340277778</v>
      </c>
      <c r="C1913" s="1" t="n">
        <v>46045</v>
      </c>
      <c r="D1913" t="inlineStr">
        <is>
          <t>JÄMTLANDS LÄN</t>
        </is>
      </c>
      <c r="E1913" t="inlineStr">
        <is>
          <t>BRÄCKE</t>
        </is>
      </c>
      <c r="F1913" t="inlineStr">
        <is>
          <t>SCA</t>
        </is>
      </c>
      <c r="G1913" t="n">
        <v>9.9</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4851-2025 artfynd.xlsx", "A 4851-2025")</f>
        <v/>
      </c>
      <c r="T1913">
        <f>HYPERLINK("https://klasma.github.io/Logging_2305/kartor/A 4851-2025 karta.png", "A 4851-2025")</f>
        <v/>
      </c>
      <c r="V1913">
        <f>HYPERLINK("https://klasma.github.io/Logging_2305/klagomål/A 4851-2025 FSC-klagomål.docx", "A 4851-2025")</f>
        <v/>
      </c>
      <c r="W1913">
        <f>HYPERLINK("https://klasma.github.io/Logging_2305/klagomålsmail/A 4851-2025 FSC-klagomål mail.docx", "A 4851-2025")</f>
        <v/>
      </c>
      <c r="X1913">
        <f>HYPERLINK("https://klasma.github.io/Logging_2305/tillsyn/A 4851-2025 tillsynsbegäran.docx", "A 4851-2025")</f>
        <v/>
      </c>
      <c r="Y1913">
        <f>HYPERLINK("https://klasma.github.io/Logging_2305/tillsynsmail/A 4851-2025 tillsynsbegäran mail.docx", "A 4851-2025")</f>
        <v/>
      </c>
    </row>
    <row r="1914" ht="15" customHeight="1">
      <c r="A1914" t="inlineStr">
        <is>
          <t>A 12525-2025</t>
        </is>
      </c>
      <c r="B1914" s="1" t="n">
        <v>45730.67770833334</v>
      </c>
      <c r="C1914" s="1" t="n">
        <v>46045</v>
      </c>
      <c r="D1914" t="inlineStr">
        <is>
          <t>JÄMTLANDS LÄN</t>
        </is>
      </c>
      <c r="E1914" t="inlineStr">
        <is>
          <t>BRÄCKE</t>
        </is>
      </c>
      <c r="F1914" t="inlineStr">
        <is>
          <t>SCA</t>
        </is>
      </c>
      <c r="G1914" t="n">
        <v>3.5</v>
      </c>
      <c r="H1914" t="n">
        <v>1</v>
      </c>
      <c r="I1914" t="n">
        <v>0</v>
      </c>
      <c r="J1914" t="n">
        <v>0</v>
      </c>
      <c r="K1914" t="n">
        <v>0</v>
      </c>
      <c r="L1914" t="n">
        <v>0</v>
      </c>
      <c r="M1914" t="n">
        <v>0</v>
      </c>
      <c r="N1914" t="n">
        <v>0</v>
      </c>
      <c r="O1914" t="n">
        <v>0</v>
      </c>
      <c r="P1914" t="n">
        <v>0</v>
      </c>
      <c r="Q1914" t="n">
        <v>1</v>
      </c>
      <c r="R1914" s="2" t="inlineStr">
        <is>
          <t>Fläcknycklar</t>
        </is>
      </c>
      <c r="S1914">
        <f>HYPERLINK("https://klasma.github.io/Logging_2305/artfynd/A 12525-2025 artfynd.xlsx", "A 12525-2025")</f>
        <v/>
      </c>
      <c r="T1914">
        <f>HYPERLINK("https://klasma.github.io/Logging_2305/kartor/A 12525-2025 karta.png", "A 12525-2025")</f>
        <v/>
      </c>
      <c r="V1914">
        <f>HYPERLINK("https://klasma.github.io/Logging_2305/klagomål/A 12525-2025 FSC-klagomål.docx", "A 12525-2025")</f>
        <v/>
      </c>
      <c r="W1914">
        <f>HYPERLINK("https://klasma.github.io/Logging_2305/klagomålsmail/A 12525-2025 FSC-klagomål mail.docx", "A 12525-2025")</f>
        <v/>
      </c>
      <c r="X1914">
        <f>HYPERLINK("https://klasma.github.io/Logging_2305/tillsyn/A 12525-2025 tillsynsbegäran.docx", "A 12525-2025")</f>
        <v/>
      </c>
      <c r="Y1914">
        <f>HYPERLINK("https://klasma.github.io/Logging_2305/tillsynsmail/A 12525-2025 tillsynsbegäran mail.docx", "A 12525-2025")</f>
        <v/>
      </c>
    </row>
    <row r="1915" ht="15" customHeight="1">
      <c r="A1915" t="inlineStr">
        <is>
          <t>A 20774-2024</t>
        </is>
      </c>
      <c r="B1915" s="1" t="n">
        <v>45436.94644675926</v>
      </c>
      <c r="C1915" s="1" t="n">
        <v>46045</v>
      </c>
      <c r="D1915" t="inlineStr">
        <is>
          <t>JÄMTLANDS LÄN</t>
        </is>
      </c>
      <c r="E1915" t="inlineStr">
        <is>
          <t>RAGUNDA</t>
        </is>
      </c>
      <c r="F1915" t="inlineStr">
        <is>
          <t>SCA</t>
        </is>
      </c>
      <c r="G1915" t="n">
        <v>2.3</v>
      </c>
      <c r="H1915" t="n">
        <v>0</v>
      </c>
      <c r="I1915" t="n">
        <v>1</v>
      </c>
      <c r="J1915" t="n">
        <v>0</v>
      </c>
      <c r="K1915" t="n">
        <v>0</v>
      </c>
      <c r="L1915" t="n">
        <v>0</v>
      </c>
      <c r="M1915" t="n">
        <v>0</v>
      </c>
      <c r="N1915" t="n">
        <v>0</v>
      </c>
      <c r="O1915" t="n">
        <v>0</v>
      </c>
      <c r="P1915" t="n">
        <v>0</v>
      </c>
      <c r="Q1915" t="n">
        <v>1</v>
      </c>
      <c r="R1915" s="2" t="inlineStr">
        <is>
          <t>Fjällig taggsvamp s.str.</t>
        </is>
      </c>
      <c r="S1915">
        <f>HYPERLINK("https://klasma.github.io/Logging_2303/artfynd/A 20774-2024 artfynd.xlsx", "A 20774-2024")</f>
        <v/>
      </c>
      <c r="T1915">
        <f>HYPERLINK("https://klasma.github.io/Logging_2303/kartor/A 20774-2024 karta.png", "A 20774-2024")</f>
        <v/>
      </c>
      <c r="V1915">
        <f>HYPERLINK("https://klasma.github.io/Logging_2303/klagomål/A 20774-2024 FSC-klagomål.docx", "A 20774-2024")</f>
        <v/>
      </c>
      <c r="W1915">
        <f>HYPERLINK("https://klasma.github.io/Logging_2303/klagomålsmail/A 20774-2024 FSC-klagomål mail.docx", "A 20774-2024")</f>
        <v/>
      </c>
      <c r="X1915">
        <f>HYPERLINK("https://klasma.github.io/Logging_2303/tillsyn/A 20774-2024 tillsynsbegäran.docx", "A 20774-2024")</f>
        <v/>
      </c>
      <c r="Y1915">
        <f>HYPERLINK("https://klasma.github.io/Logging_2303/tillsynsmail/A 20774-2024 tillsynsbegäran mail.docx", "A 20774-2024")</f>
        <v/>
      </c>
    </row>
    <row r="1916" ht="15" customHeight="1">
      <c r="A1916" t="inlineStr">
        <is>
          <t>A 32216-2022</t>
        </is>
      </c>
      <c r="B1916" s="1" t="n">
        <v>44781</v>
      </c>
      <c r="C1916" s="1" t="n">
        <v>46045</v>
      </c>
      <c r="D1916" t="inlineStr">
        <is>
          <t>JÄMTLANDS LÄN</t>
        </is>
      </c>
      <c r="E1916" t="inlineStr">
        <is>
          <t>ÅRE</t>
        </is>
      </c>
      <c r="G1916" t="n">
        <v>27.3</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32216-2022 artfynd.xlsx", "A 32216-2022")</f>
        <v/>
      </c>
      <c r="T1916">
        <f>HYPERLINK("https://klasma.github.io/Logging_2321/kartor/A 32216-2022 karta.png", "A 32216-2022")</f>
        <v/>
      </c>
      <c r="V1916">
        <f>HYPERLINK("https://klasma.github.io/Logging_2321/klagomål/A 32216-2022 FSC-klagomål.docx", "A 32216-2022")</f>
        <v/>
      </c>
      <c r="W1916">
        <f>HYPERLINK("https://klasma.github.io/Logging_2321/klagomålsmail/A 32216-2022 FSC-klagomål mail.docx", "A 32216-2022")</f>
        <v/>
      </c>
      <c r="X1916">
        <f>HYPERLINK("https://klasma.github.io/Logging_2321/tillsyn/A 32216-2022 tillsynsbegäran.docx", "A 32216-2022")</f>
        <v/>
      </c>
      <c r="Y1916">
        <f>HYPERLINK("https://klasma.github.io/Logging_2321/tillsynsmail/A 32216-2022 tillsynsbegäran mail.docx", "A 32216-2022")</f>
        <v/>
      </c>
      <c r="Z1916">
        <f>HYPERLINK("https://klasma.github.io/Logging_2321/fåglar/A 32216-2022 prioriterade fågelarter.docx", "A 32216-2022")</f>
        <v/>
      </c>
    </row>
    <row r="1917" ht="15" customHeight="1">
      <c r="A1917" t="inlineStr">
        <is>
          <t>A 57797-2023</t>
        </is>
      </c>
      <c r="B1917" s="1" t="n">
        <v>45246</v>
      </c>
      <c r="C1917" s="1" t="n">
        <v>46045</v>
      </c>
      <c r="D1917" t="inlineStr">
        <is>
          <t>JÄMTLANDS LÄN</t>
        </is>
      </c>
      <c r="E1917" t="inlineStr">
        <is>
          <t>BRÄCKE</t>
        </is>
      </c>
      <c r="F1917" t="inlineStr">
        <is>
          <t>SCA</t>
        </is>
      </c>
      <c r="G1917" t="n">
        <v>2.7</v>
      </c>
      <c r="H1917" t="n">
        <v>0</v>
      </c>
      <c r="I1917" t="n">
        <v>1</v>
      </c>
      <c r="J1917" t="n">
        <v>0</v>
      </c>
      <c r="K1917" t="n">
        <v>0</v>
      </c>
      <c r="L1917" t="n">
        <v>0</v>
      </c>
      <c r="M1917" t="n">
        <v>0</v>
      </c>
      <c r="N1917" t="n">
        <v>0</v>
      </c>
      <c r="O1917" t="n">
        <v>0</v>
      </c>
      <c r="P1917" t="n">
        <v>0</v>
      </c>
      <c r="Q1917" t="n">
        <v>1</v>
      </c>
      <c r="R1917" s="2" t="inlineStr">
        <is>
          <t>Korallblylav</t>
        </is>
      </c>
      <c r="S1917">
        <f>HYPERLINK("https://klasma.github.io/Logging_2305/artfynd/A 57797-2023 artfynd.xlsx", "A 57797-2023")</f>
        <v/>
      </c>
      <c r="T1917">
        <f>HYPERLINK("https://klasma.github.io/Logging_2305/kartor/A 57797-2023 karta.png", "A 57797-2023")</f>
        <v/>
      </c>
      <c r="V1917">
        <f>HYPERLINK("https://klasma.github.io/Logging_2305/klagomål/A 57797-2023 FSC-klagomål.docx", "A 57797-2023")</f>
        <v/>
      </c>
      <c r="W1917">
        <f>HYPERLINK("https://klasma.github.io/Logging_2305/klagomålsmail/A 57797-2023 FSC-klagomål mail.docx", "A 57797-2023")</f>
        <v/>
      </c>
      <c r="X1917">
        <f>HYPERLINK("https://klasma.github.io/Logging_2305/tillsyn/A 57797-2023 tillsynsbegäran.docx", "A 57797-2023")</f>
        <v/>
      </c>
      <c r="Y1917">
        <f>HYPERLINK("https://klasma.github.io/Logging_2305/tillsynsmail/A 57797-2023 tillsynsbegäran mail.docx", "A 57797-2023")</f>
        <v/>
      </c>
    </row>
    <row r="1918" ht="15" customHeight="1">
      <c r="A1918" t="inlineStr">
        <is>
          <t>A 43406-2023</t>
        </is>
      </c>
      <c r="B1918" s="1" t="n">
        <v>45183</v>
      </c>
      <c r="C1918" s="1" t="n">
        <v>46045</v>
      </c>
      <c r="D1918" t="inlineStr">
        <is>
          <t>JÄMTLANDS LÄN</t>
        </is>
      </c>
      <c r="E1918" t="inlineStr">
        <is>
          <t>STRÖMSUND</t>
        </is>
      </c>
      <c r="F1918" t="inlineStr">
        <is>
          <t>SCA</t>
        </is>
      </c>
      <c r="G1918" t="n">
        <v>3.6</v>
      </c>
      <c r="H1918" t="n">
        <v>0</v>
      </c>
      <c r="I1918" t="n">
        <v>0</v>
      </c>
      <c r="J1918" t="n">
        <v>1</v>
      </c>
      <c r="K1918" t="n">
        <v>0</v>
      </c>
      <c r="L1918" t="n">
        <v>0</v>
      </c>
      <c r="M1918" t="n">
        <v>0</v>
      </c>
      <c r="N1918" t="n">
        <v>0</v>
      </c>
      <c r="O1918" t="n">
        <v>1</v>
      </c>
      <c r="P1918" t="n">
        <v>0</v>
      </c>
      <c r="Q1918" t="n">
        <v>1</v>
      </c>
      <c r="R1918" s="2" t="inlineStr">
        <is>
          <t>Lunglav</t>
        </is>
      </c>
      <c r="S1918">
        <f>HYPERLINK("https://klasma.github.io/Logging_2313/artfynd/A 43406-2023 artfynd.xlsx", "A 43406-2023")</f>
        <v/>
      </c>
      <c r="T1918">
        <f>HYPERLINK("https://klasma.github.io/Logging_2313/kartor/A 43406-2023 karta.png", "A 43406-2023")</f>
        <v/>
      </c>
      <c r="V1918">
        <f>HYPERLINK("https://klasma.github.io/Logging_2313/klagomål/A 43406-2023 FSC-klagomål.docx", "A 43406-2023")</f>
        <v/>
      </c>
      <c r="W1918">
        <f>HYPERLINK("https://klasma.github.io/Logging_2313/klagomålsmail/A 43406-2023 FSC-klagomål mail.docx", "A 43406-2023")</f>
        <v/>
      </c>
      <c r="X1918">
        <f>HYPERLINK("https://klasma.github.io/Logging_2313/tillsyn/A 43406-2023 tillsynsbegäran.docx", "A 43406-2023")</f>
        <v/>
      </c>
      <c r="Y1918">
        <f>HYPERLINK("https://klasma.github.io/Logging_2313/tillsynsmail/A 43406-2023 tillsynsbegäran mail.docx", "A 43406-2023")</f>
        <v/>
      </c>
    </row>
    <row r="1919" ht="15" customHeight="1">
      <c r="A1919" t="inlineStr">
        <is>
          <t>A 26317-2024</t>
        </is>
      </c>
      <c r="B1919" s="1" t="n">
        <v>45468</v>
      </c>
      <c r="C1919" s="1" t="n">
        <v>46045</v>
      </c>
      <c r="D1919" t="inlineStr">
        <is>
          <t>JÄMTLANDS LÄN</t>
        </is>
      </c>
      <c r="E1919" t="inlineStr">
        <is>
          <t>RAGUNDA</t>
        </is>
      </c>
      <c r="F1919" t="inlineStr">
        <is>
          <t>SCA</t>
        </is>
      </c>
      <c r="G1919" t="n">
        <v>3.8</v>
      </c>
      <c r="H1919" t="n">
        <v>0</v>
      </c>
      <c r="I1919" t="n">
        <v>0</v>
      </c>
      <c r="J1919" t="n">
        <v>1</v>
      </c>
      <c r="K1919" t="n">
        <v>0</v>
      </c>
      <c r="L1919" t="n">
        <v>0</v>
      </c>
      <c r="M1919" t="n">
        <v>0</v>
      </c>
      <c r="N1919" t="n">
        <v>0</v>
      </c>
      <c r="O1919" t="n">
        <v>1</v>
      </c>
      <c r="P1919" t="n">
        <v>0</v>
      </c>
      <c r="Q1919" t="n">
        <v>1</v>
      </c>
      <c r="R1919" s="2" t="inlineStr">
        <is>
          <t>Kortskaftad ärgspik</t>
        </is>
      </c>
      <c r="S1919">
        <f>HYPERLINK("https://klasma.github.io/Logging_2303/artfynd/A 26317-2024 artfynd.xlsx", "A 26317-2024")</f>
        <v/>
      </c>
      <c r="T1919">
        <f>HYPERLINK("https://klasma.github.io/Logging_2303/kartor/A 26317-2024 karta.png", "A 26317-2024")</f>
        <v/>
      </c>
      <c r="V1919">
        <f>HYPERLINK("https://klasma.github.io/Logging_2303/klagomål/A 26317-2024 FSC-klagomål.docx", "A 26317-2024")</f>
        <v/>
      </c>
      <c r="W1919">
        <f>HYPERLINK("https://klasma.github.io/Logging_2303/klagomålsmail/A 26317-2024 FSC-klagomål mail.docx", "A 26317-2024")</f>
        <v/>
      </c>
      <c r="X1919">
        <f>HYPERLINK("https://klasma.github.io/Logging_2303/tillsyn/A 26317-2024 tillsynsbegäran.docx", "A 26317-2024")</f>
        <v/>
      </c>
      <c r="Y1919">
        <f>HYPERLINK("https://klasma.github.io/Logging_2303/tillsynsmail/A 26317-2024 tillsynsbegäran mail.docx", "A 26317-2024")</f>
        <v/>
      </c>
    </row>
    <row r="1920" ht="15" customHeight="1">
      <c r="A1920" t="inlineStr">
        <is>
          <t>A 59845-2024</t>
        </is>
      </c>
      <c r="B1920" s="1" t="n">
        <v>45639.67739583334</v>
      </c>
      <c r="C1920" s="1" t="n">
        <v>46045</v>
      </c>
      <c r="D1920" t="inlineStr">
        <is>
          <t>JÄMTLANDS LÄN</t>
        </is>
      </c>
      <c r="E1920" t="inlineStr">
        <is>
          <t>STRÖMSUND</t>
        </is>
      </c>
      <c r="F1920" t="inlineStr">
        <is>
          <t>SCA</t>
        </is>
      </c>
      <c r="G1920" t="n">
        <v>4.2</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59845-2024 artfynd.xlsx", "A 59845-2024")</f>
        <v/>
      </c>
      <c r="T1920">
        <f>HYPERLINK("https://klasma.github.io/Logging_2313/kartor/A 59845-2024 karta.png", "A 59845-2024")</f>
        <v/>
      </c>
      <c r="V1920">
        <f>HYPERLINK("https://klasma.github.io/Logging_2313/klagomål/A 59845-2024 FSC-klagomål.docx", "A 59845-2024")</f>
        <v/>
      </c>
      <c r="W1920">
        <f>HYPERLINK("https://klasma.github.io/Logging_2313/klagomålsmail/A 59845-2024 FSC-klagomål mail.docx", "A 59845-2024")</f>
        <v/>
      </c>
      <c r="X1920">
        <f>HYPERLINK("https://klasma.github.io/Logging_2313/tillsyn/A 59845-2024 tillsynsbegäran.docx", "A 59845-2024")</f>
        <v/>
      </c>
      <c r="Y1920">
        <f>HYPERLINK("https://klasma.github.io/Logging_2313/tillsynsmail/A 59845-2024 tillsynsbegäran mail.docx", "A 59845-2024")</f>
        <v/>
      </c>
    </row>
    <row r="1921" ht="15" customHeight="1">
      <c r="A1921" t="inlineStr">
        <is>
          <t>A 49276-2024</t>
        </is>
      </c>
      <c r="B1921" s="1" t="n">
        <v>45595.50819444445</v>
      </c>
      <c r="C1921" s="1" t="n">
        <v>46045</v>
      </c>
      <c r="D1921" t="inlineStr">
        <is>
          <t>JÄMTLANDS LÄN</t>
        </is>
      </c>
      <c r="E1921" t="inlineStr">
        <is>
          <t>BERG</t>
        </is>
      </c>
      <c r="G1921" t="n">
        <v>0.8</v>
      </c>
      <c r="H1921" t="n">
        <v>1</v>
      </c>
      <c r="I1921" t="n">
        <v>1</v>
      </c>
      <c r="J1921" t="n">
        <v>0</v>
      </c>
      <c r="K1921" t="n">
        <v>0</v>
      </c>
      <c r="L1921" t="n">
        <v>0</v>
      </c>
      <c r="M1921" t="n">
        <v>0</v>
      </c>
      <c r="N1921" t="n">
        <v>0</v>
      </c>
      <c r="O1921" t="n">
        <v>0</v>
      </c>
      <c r="P1921" t="n">
        <v>0</v>
      </c>
      <c r="Q1921" t="n">
        <v>1</v>
      </c>
      <c r="R1921" s="2" t="inlineStr">
        <is>
          <t>Korallrot</t>
        </is>
      </c>
      <c r="S1921">
        <f>HYPERLINK("https://klasma.github.io/Logging_2326/artfynd/A 49276-2024 artfynd.xlsx", "A 49276-2024")</f>
        <v/>
      </c>
      <c r="T1921">
        <f>HYPERLINK("https://klasma.github.io/Logging_2326/kartor/A 49276-2024 karta.png", "A 49276-2024")</f>
        <v/>
      </c>
      <c r="V1921">
        <f>HYPERLINK("https://klasma.github.io/Logging_2326/klagomål/A 49276-2024 FSC-klagomål.docx", "A 49276-2024")</f>
        <v/>
      </c>
      <c r="W1921">
        <f>HYPERLINK("https://klasma.github.io/Logging_2326/klagomålsmail/A 49276-2024 FSC-klagomål mail.docx", "A 49276-2024")</f>
        <v/>
      </c>
      <c r="X1921">
        <f>HYPERLINK("https://klasma.github.io/Logging_2326/tillsyn/A 49276-2024 tillsynsbegäran.docx", "A 49276-2024")</f>
        <v/>
      </c>
      <c r="Y1921">
        <f>HYPERLINK("https://klasma.github.io/Logging_2326/tillsynsmail/A 49276-2024 tillsynsbegäran mail.docx", "A 49276-2024")</f>
        <v/>
      </c>
    </row>
    <row r="1922" ht="15" customHeight="1">
      <c r="A1922" t="inlineStr">
        <is>
          <t>A 7208-2025</t>
        </is>
      </c>
      <c r="B1922" s="1" t="n">
        <v>45702.47149305556</v>
      </c>
      <c r="C1922" s="1" t="n">
        <v>46045</v>
      </c>
      <c r="D1922" t="inlineStr">
        <is>
          <t>JÄMTLANDS LÄN</t>
        </is>
      </c>
      <c r="E1922" t="inlineStr">
        <is>
          <t>KROKOM</t>
        </is>
      </c>
      <c r="F1922" t="inlineStr">
        <is>
          <t>Övriga Aktiebolag</t>
        </is>
      </c>
      <c r="G1922" t="n">
        <v>39.4</v>
      </c>
      <c r="H1922" t="n">
        <v>0</v>
      </c>
      <c r="I1922" t="n">
        <v>0</v>
      </c>
      <c r="J1922" t="n">
        <v>1</v>
      </c>
      <c r="K1922" t="n">
        <v>0</v>
      </c>
      <c r="L1922" t="n">
        <v>0</v>
      </c>
      <c r="M1922" t="n">
        <v>0</v>
      </c>
      <c r="N1922" t="n">
        <v>0</v>
      </c>
      <c r="O1922" t="n">
        <v>1</v>
      </c>
      <c r="P1922" t="n">
        <v>0</v>
      </c>
      <c r="Q1922" t="n">
        <v>1</v>
      </c>
      <c r="R1922" s="2" t="inlineStr">
        <is>
          <t>Ullticka</t>
        </is>
      </c>
      <c r="S1922">
        <f>HYPERLINK("https://klasma.github.io/Logging_2309/artfynd/A 7208-2025 artfynd.xlsx", "A 7208-2025")</f>
        <v/>
      </c>
      <c r="T1922">
        <f>HYPERLINK("https://klasma.github.io/Logging_2309/kartor/A 7208-2025 karta.png", "A 7208-2025")</f>
        <v/>
      </c>
      <c r="V1922">
        <f>HYPERLINK("https://klasma.github.io/Logging_2309/klagomål/A 7208-2025 FSC-klagomål.docx", "A 7208-2025")</f>
        <v/>
      </c>
      <c r="W1922">
        <f>HYPERLINK("https://klasma.github.io/Logging_2309/klagomålsmail/A 7208-2025 FSC-klagomål mail.docx", "A 7208-2025")</f>
        <v/>
      </c>
      <c r="X1922">
        <f>HYPERLINK("https://klasma.github.io/Logging_2309/tillsyn/A 7208-2025 tillsynsbegäran.docx", "A 7208-2025")</f>
        <v/>
      </c>
      <c r="Y1922">
        <f>HYPERLINK("https://klasma.github.io/Logging_2309/tillsynsmail/A 7208-2025 tillsynsbegäran mail.docx", "A 7208-2025")</f>
        <v/>
      </c>
    </row>
    <row r="1923" ht="15" customHeight="1">
      <c r="A1923" t="inlineStr">
        <is>
          <t>A 32913-2021</t>
        </is>
      </c>
      <c r="B1923" s="1" t="n">
        <v>44375</v>
      </c>
      <c r="C1923" s="1" t="n">
        <v>46045</v>
      </c>
      <c r="D1923" t="inlineStr">
        <is>
          <t>JÄMTLANDS LÄN</t>
        </is>
      </c>
      <c r="E1923" t="inlineStr">
        <is>
          <t>STRÖMSUND</t>
        </is>
      </c>
      <c r="F1923" t="inlineStr">
        <is>
          <t>SCA</t>
        </is>
      </c>
      <c r="G1923" t="n">
        <v>22</v>
      </c>
      <c r="H1923" t="n">
        <v>0</v>
      </c>
      <c r="I1923" t="n">
        <v>1</v>
      </c>
      <c r="J1923" t="n">
        <v>0</v>
      </c>
      <c r="K1923" t="n">
        <v>0</v>
      </c>
      <c r="L1923" t="n">
        <v>0</v>
      </c>
      <c r="M1923" t="n">
        <v>0</v>
      </c>
      <c r="N1923" t="n">
        <v>0</v>
      </c>
      <c r="O1923" t="n">
        <v>0</v>
      </c>
      <c r="P1923" t="n">
        <v>0</v>
      </c>
      <c r="Q1923" t="n">
        <v>1</v>
      </c>
      <c r="R1923" s="2" t="inlineStr">
        <is>
          <t>Korallblylav</t>
        </is>
      </c>
      <c r="S1923">
        <f>HYPERLINK("https://klasma.github.io/Logging_2313/artfynd/A 32913-2021 artfynd.xlsx", "A 32913-2021")</f>
        <v/>
      </c>
      <c r="T1923">
        <f>HYPERLINK("https://klasma.github.io/Logging_2313/kartor/A 32913-2021 karta.png", "A 32913-2021")</f>
        <v/>
      </c>
      <c r="V1923">
        <f>HYPERLINK("https://klasma.github.io/Logging_2313/klagomål/A 32913-2021 FSC-klagomål.docx", "A 32913-2021")</f>
        <v/>
      </c>
      <c r="W1923">
        <f>HYPERLINK("https://klasma.github.io/Logging_2313/klagomålsmail/A 32913-2021 FSC-klagomål mail.docx", "A 32913-2021")</f>
        <v/>
      </c>
      <c r="X1923">
        <f>HYPERLINK("https://klasma.github.io/Logging_2313/tillsyn/A 32913-2021 tillsynsbegäran.docx", "A 32913-2021")</f>
        <v/>
      </c>
      <c r="Y1923">
        <f>HYPERLINK("https://klasma.github.io/Logging_2313/tillsynsmail/A 32913-2021 tillsynsbegäran mail.docx", "A 32913-2021")</f>
        <v/>
      </c>
    </row>
    <row r="1924" ht="15" customHeight="1">
      <c r="A1924" t="inlineStr">
        <is>
          <t>A 36334-2024</t>
        </is>
      </c>
      <c r="B1924" s="1" t="n">
        <v>45534.64203703704</v>
      </c>
      <c r="C1924" s="1" t="n">
        <v>46045</v>
      </c>
      <c r="D1924" t="inlineStr">
        <is>
          <t>JÄMTLANDS LÄN</t>
        </is>
      </c>
      <c r="E1924" t="inlineStr">
        <is>
          <t>STRÖMSUND</t>
        </is>
      </c>
      <c r="F1924" t="inlineStr">
        <is>
          <t>SCA</t>
        </is>
      </c>
      <c r="G1924" t="n">
        <v>9.699999999999999</v>
      </c>
      <c r="H1924" t="n">
        <v>1</v>
      </c>
      <c r="I1924" t="n">
        <v>0</v>
      </c>
      <c r="J1924" t="n">
        <v>0</v>
      </c>
      <c r="K1924" t="n">
        <v>1</v>
      </c>
      <c r="L1924" t="n">
        <v>0</v>
      </c>
      <c r="M1924" t="n">
        <v>0</v>
      </c>
      <c r="N1924" t="n">
        <v>0</v>
      </c>
      <c r="O1924" t="n">
        <v>1</v>
      </c>
      <c r="P1924" t="n">
        <v>1</v>
      </c>
      <c r="Q1924" t="n">
        <v>1</v>
      </c>
      <c r="R1924" s="2" t="inlineStr">
        <is>
          <t>Doftticka</t>
        </is>
      </c>
      <c r="S1924">
        <f>HYPERLINK("https://klasma.github.io/Logging_2313/artfynd/A 36334-2024 artfynd.xlsx", "A 36334-2024")</f>
        <v/>
      </c>
      <c r="T1924">
        <f>HYPERLINK("https://klasma.github.io/Logging_2313/kartor/A 36334-2024 karta.png", "A 36334-2024")</f>
        <v/>
      </c>
      <c r="V1924">
        <f>HYPERLINK("https://klasma.github.io/Logging_2313/klagomål/A 36334-2024 FSC-klagomål.docx", "A 36334-2024")</f>
        <v/>
      </c>
      <c r="W1924">
        <f>HYPERLINK("https://klasma.github.io/Logging_2313/klagomålsmail/A 36334-2024 FSC-klagomål mail.docx", "A 36334-2024")</f>
        <v/>
      </c>
      <c r="X1924">
        <f>HYPERLINK("https://klasma.github.io/Logging_2313/tillsyn/A 36334-2024 tillsynsbegäran.docx", "A 36334-2024")</f>
        <v/>
      </c>
      <c r="Y1924">
        <f>HYPERLINK("https://klasma.github.io/Logging_2313/tillsynsmail/A 36334-2024 tillsynsbegäran mail.docx", "A 36334-2024")</f>
        <v/>
      </c>
    </row>
    <row r="1925" ht="15" customHeight="1">
      <c r="A1925" t="inlineStr">
        <is>
          <t>A 806-2022</t>
        </is>
      </c>
      <c r="B1925" s="1" t="n">
        <v>44568</v>
      </c>
      <c r="C1925" s="1" t="n">
        <v>46045</v>
      </c>
      <c r="D1925" t="inlineStr">
        <is>
          <t>JÄMTLANDS LÄN</t>
        </is>
      </c>
      <c r="E1925" t="inlineStr">
        <is>
          <t>KROKOM</t>
        </is>
      </c>
      <c r="G1925" t="n">
        <v>46.8</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806-2022 artfynd.xlsx", "A 806-2022")</f>
        <v/>
      </c>
      <c r="T1925">
        <f>HYPERLINK("https://klasma.github.io/Logging_2309/kartor/A 806-2022 karta.png", "A 806-2022")</f>
        <v/>
      </c>
      <c r="V1925">
        <f>HYPERLINK("https://klasma.github.io/Logging_2309/klagomål/A 806-2022 FSC-klagomål.docx", "A 806-2022")</f>
        <v/>
      </c>
      <c r="W1925">
        <f>HYPERLINK("https://klasma.github.io/Logging_2309/klagomålsmail/A 806-2022 FSC-klagomål mail.docx", "A 806-2022")</f>
        <v/>
      </c>
      <c r="X1925">
        <f>HYPERLINK("https://klasma.github.io/Logging_2309/tillsyn/A 806-2022 tillsynsbegäran.docx", "A 806-2022")</f>
        <v/>
      </c>
      <c r="Y1925">
        <f>HYPERLINK("https://klasma.github.io/Logging_2309/tillsynsmail/A 806-2022 tillsynsbegäran mail.docx", "A 806-2022")</f>
        <v/>
      </c>
      <c r="Z1925">
        <f>HYPERLINK("https://klasma.github.io/Logging_2309/fåglar/A 806-2022 prioriterade fågelarter.docx", "A 806-2022")</f>
        <v/>
      </c>
    </row>
    <row r="1926" ht="15" customHeight="1">
      <c r="A1926" t="inlineStr">
        <is>
          <t>A 41770-2024</t>
        </is>
      </c>
      <c r="B1926" s="1" t="n">
        <v>45561.34641203703</v>
      </c>
      <c r="C1926" s="1" t="n">
        <v>46045</v>
      </c>
      <c r="D1926" t="inlineStr">
        <is>
          <t>JÄMTLANDS LÄN</t>
        </is>
      </c>
      <c r="E1926" t="inlineStr">
        <is>
          <t>ÖSTERSUND</t>
        </is>
      </c>
      <c r="F1926" t="inlineStr">
        <is>
          <t>SCA</t>
        </is>
      </c>
      <c r="G1926" t="n">
        <v>4.4</v>
      </c>
      <c r="H1926" t="n">
        <v>0</v>
      </c>
      <c r="I1926" t="n">
        <v>1</v>
      </c>
      <c r="J1926" t="n">
        <v>0</v>
      </c>
      <c r="K1926" t="n">
        <v>0</v>
      </c>
      <c r="L1926" t="n">
        <v>0</v>
      </c>
      <c r="M1926" t="n">
        <v>0</v>
      </c>
      <c r="N1926" t="n">
        <v>0</v>
      </c>
      <c r="O1926" t="n">
        <v>0</v>
      </c>
      <c r="P1926" t="n">
        <v>0</v>
      </c>
      <c r="Q1926" t="n">
        <v>1</v>
      </c>
      <c r="R1926" s="2" t="inlineStr">
        <is>
          <t>Vedticka</t>
        </is>
      </c>
      <c r="S1926">
        <f>HYPERLINK("https://klasma.github.io/Logging_2380/artfynd/A 41770-2024 artfynd.xlsx", "A 41770-2024")</f>
        <v/>
      </c>
      <c r="T1926">
        <f>HYPERLINK("https://klasma.github.io/Logging_2380/kartor/A 41770-2024 karta.png", "A 41770-2024")</f>
        <v/>
      </c>
      <c r="V1926">
        <f>HYPERLINK("https://klasma.github.io/Logging_2380/klagomål/A 41770-2024 FSC-klagomål.docx", "A 41770-2024")</f>
        <v/>
      </c>
      <c r="W1926">
        <f>HYPERLINK("https://klasma.github.io/Logging_2380/klagomålsmail/A 41770-2024 FSC-klagomål mail.docx", "A 41770-2024")</f>
        <v/>
      </c>
      <c r="X1926">
        <f>HYPERLINK("https://klasma.github.io/Logging_2380/tillsyn/A 41770-2024 tillsynsbegäran.docx", "A 41770-2024")</f>
        <v/>
      </c>
      <c r="Y1926">
        <f>HYPERLINK("https://klasma.github.io/Logging_2380/tillsynsmail/A 41770-2024 tillsynsbegäran mail.docx", "A 41770-2024")</f>
        <v/>
      </c>
    </row>
    <row r="1927" ht="15" customHeight="1">
      <c r="A1927" t="inlineStr">
        <is>
          <t>A 31773-2021</t>
        </is>
      </c>
      <c r="B1927" s="1" t="n">
        <v>44369</v>
      </c>
      <c r="C1927" s="1" t="n">
        <v>46045</v>
      </c>
      <c r="D1927" t="inlineStr">
        <is>
          <t>JÄMTLANDS LÄN</t>
        </is>
      </c>
      <c r="E1927" t="inlineStr">
        <is>
          <t>RAGUNDA</t>
        </is>
      </c>
      <c r="G1927" t="n">
        <v>0.8</v>
      </c>
      <c r="H1927" t="n">
        <v>0</v>
      </c>
      <c r="I1927" t="n">
        <v>0</v>
      </c>
      <c r="J1927" t="n">
        <v>0</v>
      </c>
      <c r="K1927" t="n">
        <v>1</v>
      </c>
      <c r="L1927" t="n">
        <v>0</v>
      </c>
      <c r="M1927" t="n">
        <v>0</v>
      </c>
      <c r="N1927" t="n">
        <v>0</v>
      </c>
      <c r="O1927" t="n">
        <v>1</v>
      </c>
      <c r="P1927" t="n">
        <v>1</v>
      </c>
      <c r="Q1927" t="n">
        <v>1</v>
      </c>
      <c r="R1927" s="2" t="inlineStr">
        <is>
          <t>Strandsandjägare</t>
        </is>
      </c>
      <c r="S1927">
        <f>HYPERLINK("https://klasma.github.io/Logging_2303/artfynd/A 31773-2021 artfynd.xlsx", "A 31773-2021")</f>
        <v/>
      </c>
      <c r="T1927">
        <f>HYPERLINK("https://klasma.github.io/Logging_2303/kartor/A 31773-2021 karta.png", "A 31773-2021")</f>
        <v/>
      </c>
      <c r="V1927">
        <f>HYPERLINK("https://klasma.github.io/Logging_2303/klagomål/A 31773-2021 FSC-klagomål.docx", "A 31773-2021")</f>
        <v/>
      </c>
      <c r="W1927">
        <f>HYPERLINK("https://klasma.github.io/Logging_2303/klagomålsmail/A 31773-2021 FSC-klagomål mail.docx", "A 31773-2021")</f>
        <v/>
      </c>
      <c r="X1927">
        <f>HYPERLINK("https://klasma.github.io/Logging_2303/tillsyn/A 31773-2021 tillsynsbegäran.docx", "A 31773-2021")</f>
        <v/>
      </c>
      <c r="Y1927">
        <f>HYPERLINK("https://klasma.github.io/Logging_2303/tillsynsmail/A 31773-2021 tillsynsbegäran mail.docx", "A 31773-2021")</f>
        <v/>
      </c>
    </row>
    <row r="1928" ht="15" customHeight="1">
      <c r="A1928" t="inlineStr">
        <is>
          <t>A 12733-2024</t>
        </is>
      </c>
      <c r="B1928" s="1" t="n">
        <v>45384</v>
      </c>
      <c r="C1928" s="1" t="n">
        <v>46045</v>
      </c>
      <c r="D1928" t="inlineStr">
        <is>
          <t>JÄMTLANDS LÄN</t>
        </is>
      </c>
      <c r="E1928" t="inlineStr">
        <is>
          <t>BERG</t>
        </is>
      </c>
      <c r="G1928" t="n">
        <v>9.9</v>
      </c>
      <c r="H1928" t="n">
        <v>0</v>
      </c>
      <c r="I1928" t="n">
        <v>0</v>
      </c>
      <c r="J1928" t="n">
        <v>1</v>
      </c>
      <c r="K1928" t="n">
        <v>0</v>
      </c>
      <c r="L1928" t="n">
        <v>0</v>
      </c>
      <c r="M1928" t="n">
        <v>0</v>
      </c>
      <c r="N1928" t="n">
        <v>0</v>
      </c>
      <c r="O1928" t="n">
        <v>1</v>
      </c>
      <c r="P1928" t="n">
        <v>0</v>
      </c>
      <c r="Q1928" t="n">
        <v>1</v>
      </c>
      <c r="R1928" s="2" t="inlineStr">
        <is>
          <t>Lunglav</t>
        </is>
      </c>
      <c r="S1928">
        <f>HYPERLINK("https://klasma.github.io/Logging_2326/artfynd/A 12733-2024 artfynd.xlsx", "A 12733-2024")</f>
        <v/>
      </c>
      <c r="T1928">
        <f>HYPERLINK("https://klasma.github.io/Logging_2326/kartor/A 12733-2024 karta.png", "A 12733-2024")</f>
        <v/>
      </c>
      <c r="V1928">
        <f>HYPERLINK("https://klasma.github.io/Logging_2326/klagomål/A 12733-2024 FSC-klagomål.docx", "A 12733-2024")</f>
        <v/>
      </c>
      <c r="W1928">
        <f>HYPERLINK("https://klasma.github.io/Logging_2326/klagomålsmail/A 12733-2024 FSC-klagomål mail.docx", "A 12733-2024")</f>
        <v/>
      </c>
      <c r="X1928">
        <f>HYPERLINK("https://klasma.github.io/Logging_2326/tillsyn/A 12733-2024 tillsynsbegäran.docx", "A 12733-2024")</f>
        <v/>
      </c>
      <c r="Y1928">
        <f>HYPERLINK("https://klasma.github.io/Logging_2326/tillsynsmail/A 12733-2024 tillsynsbegäran mail.docx", "A 12733-2024")</f>
        <v/>
      </c>
    </row>
    <row r="1929" ht="15" customHeight="1">
      <c r="A1929" t="inlineStr">
        <is>
          <t>A 42384-2024</t>
        </is>
      </c>
      <c r="B1929" s="1" t="n">
        <v>45562</v>
      </c>
      <c r="C1929" s="1" t="n">
        <v>46045</v>
      </c>
      <c r="D1929" t="inlineStr">
        <is>
          <t>JÄMTLANDS LÄN</t>
        </is>
      </c>
      <c r="E1929" t="inlineStr">
        <is>
          <t>STRÖMSUND</t>
        </is>
      </c>
      <c r="F1929" t="inlineStr">
        <is>
          <t>Övriga statliga verk och myndigheter</t>
        </is>
      </c>
      <c r="G1929" t="n">
        <v>6.1</v>
      </c>
      <c r="H1929" t="n">
        <v>0</v>
      </c>
      <c r="I1929" t="n">
        <v>0</v>
      </c>
      <c r="J1929" t="n">
        <v>1</v>
      </c>
      <c r="K1929" t="n">
        <v>0</v>
      </c>
      <c r="L1929" t="n">
        <v>0</v>
      </c>
      <c r="M1929" t="n">
        <v>0</v>
      </c>
      <c r="N1929" t="n">
        <v>0</v>
      </c>
      <c r="O1929" t="n">
        <v>1</v>
      </c>
      <c r="P1929" t="n">
        <v>0</v>
      </c>
      <c r="Q1929" t="n">
        <v>1</v>
      </c>
      <c r="R1929" s="2" t="inlineStr">
        <is>
          <t>Granticka</t>
        </is>
      </c>
      <c r="S1929">
        <f>HYPERLINK("https://klasma.github.io/Logging_2313/artfynd/A 42384-2024 artfynd.xlsx", "A 42384-2024")</f>
        <v/>
      </c>
      <c r="T1929">
        <f>HYPERLINK("https://klasma.github.io/Logging_2313/kartor/A 42384-2024 karta.png", "A 42384-2024")</f>
        <v/>
      </c>
      <c r="V1929">
        <f>HYPERLINK("https://klasma.github.io/Logging_2313/klagomål/A 42384-2024 FSC-klagomål.docx", "A 42384-2024")</f>
        <v/>
      </c>
      <c r="W1929">
        <f>HYPERLINK("https://klasma.github.io/Logging_2313/klagomålsmail/A 42384-2024 FSC-klagomål mail.docx", "A 42384-2024")</f>
        <v/>
      </c>
      <c r="X1929">
        <f>HYPERLINK("https://klasma.github.io/Logging_2313/tillsyn/A 42384-2024 tillsynsbegäran.docx", "A 42384-2024")</f>
        <v/>
      </c>
      <c r="Y1929">
        <f>HYPERLINK("https://klasma.github.io/Logging_2313/tillsynsmail/A 42384-2024 tillsynsbegäran mail.docx", "A 42384-2024")</f>
        <v/>
      </c>
    </row>
    <row r="1930" ht="15" customHeight="1">
      <c r="A1930" t="inlineStr">
        <is>
          <t>A 804-2022</t>
        </is>
      </c>
      <c r="B1930" s="1" t="n">
        <v>44568</v>
      </c>
      <c r="C1930" s="1" t="n">
        <v>46045</v>
      </c>
      <c r="D1930" t="inlineStr">
        <is>
          <t>JÄMTLANDS LÄN</t>
        </is>
      </c>
      <c r="E1930" t="inlineStr">
        <is>
          <t>KROKOM</t>
        </is>
      </c>
      <c r="G1930" t="n">
        <v>20</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HYPERLINK("https://klasma.github.io/Logging_2309/artfynd/A 804-2022 artfynd.xlsx", "A 804-2022")</f>
        <v/>
      </c>
      <c r="T1930">
        <f>HYPERLINK("https://klasma.github.io/Logging_2309/kartor/A 804-2022 karta.png", "A 804-2022")</f>
        <v/>
      </c>
      <c r="V1930">
        <f>HYPERLINK("https://klasma.github.io/Logging_2309/klagomål/A 804-2022 FSC-klagomål.docx", "A 804-2022")</f>
        <v/>
      </c>
      <c r="W1930">
        <f>HYPERLINK("https://klasma.github.io/Logging_2309/klagomålsmail/A 804-2022 FSC-klagomål mail.docx", "A 804-2022")</f>
        <v/>
      </c>
      <c r="X1930">
        <f>HYPERLINK("https://klasma.github.io/Logging_2309/tillsyn/A 804-2022 tillsynsbegäran.docx", "A 804-2022")</f>
        <v/>
      </c>
      <c r="Y1930">
        <f>HYPERLINK("https://klasma.github.io/Logging_2309/tillsynsmail/A 804-2022 tillsynsbegäran mail.docx", "A 804-2022")</f>
        <v/>
      </c>
      <c r="Z1930">
        <f>HYPERLINK("https://klasma.github.io/Logging_2309/fåglar/A 804-2022 prioriterade fågelarter.docx", "A 804-2022")</f>
        <v/>
      </c>
    </row>
    <row r="1931" ht="15" customHeight="1">
      <c r="A1931" t="inlineStr">
        <is>
          <t>A 39075-2023</t>
        </is>
      </c>
      <c r="B1931" s="1" t="n">
        <v>45163</v>
      </c>
      <c r="C1931" s="1" t="n">
        <v>46045</v>
      </c>
      <c r="D1931" t="inlineStr">
        <is>
          <t>JÄMTLANDS LÄN</t>
        </is>
      </c>
      <c r="E1931" t="inlineStr">
        <is>
          <t>STRÖMSUND</t>
        </is>
      </c>
      <c r="F1931" t="inlineStr">
        <is>
          <t>SCA</t>
        </is>
      </c>
      <c r="G1931" t="n">
        <v>2.1</v>
      </c>
      <c r="H1931" t="n">
        <v>0</v>
      </c>
      <c r="I1931" t="n">
        <v>0</v>
      </c>
      <c r="J1931" t="n">
        <v>1</v>
      </c>
      <c r="K1931" t="n">
        <v>0</v>
      </c>
      <c r="L1931" t="n">
        <v>0</v>
      </c>
      <c r="M1931" t="n">
        <v>0</v>
      </c>
      <c r="N1931" t="n">
        <v>0</v>
      </c>
      <c r="O1931" t="n">
        <v>1</v>
      </c>
      <c r="P1931" t="n">
        <v>0</v>
      </c>
      <c r="Q1931" t="n">
        <v>1</v>
      </c>
      <c r="R1931" s="2" t="inlineStr">
        <is>
          <t>Brunpudrad nållav</t>
        </is>
      </c>
      <c r="S1931">
        <f>HYPERLINK("https://klasma.github.io/Logging_2313/artfynd/A 39075-2023 artfynd.xlsx", "A 39075-2023")</f>
        <v/>
      </c>
      <c r="T1931">
        <f>HYPERLINK("https://klasma.github.io/Logging_2313/kartor/A 39075-2023 karta.png", "A 39075-2023")</f>
        <v/>
      </c>
      <c r="V1931">
        <f>HYPERLINK("https://klasma.github.io/Logging_2313/klagomål/A 39075-2023 FSC-klagomål.docx", "A 39075-2023")</f>
        <v/>
      </c>
      <c r="W1931">
        <f>HYPERLINK("https://klasma.github.io/Logging_2313/klagomålsmail/A 39075-2023 FSC-klagomål mail.docx", "A 39075-2023")</f>
        <v/>
      </c>
      <c r="X1931">
        <f>HYPERLINK("https://klasma.github.io/Logging_2313/tillsyn/A 39075-2023 tillsynsbegäran.docx", "A 39075-2023")</f>
        <v/>
      </c>
      <c r="Y1931">
        <f>HYPERLINK("https://klasma.github.io/Logging_2313/tillsynsmail/A 39075-2023 tillsynsbegäran mail.docx", "A 39075-2023")</f>
        <v/>
      </c>
    </row>
    <row r="1932" ht="15" customHeight="1">
      <c r="A1932" t="inlineStr">
        <is>
          <t>A 33267-2022</t>
        </is>
      </c>
      <c r="B1932" s="1" t="n">
        <v>44785</v>
      </c>
      <c r="C1932" s="1" t="n">
        <v>46045</v>
      </c>
      <c r="D1932" t="inlineStr">
        <is>
          <t>JÄMTLANDS LÄN</t>
        </is>
      </c>
      <c r="E1932" t="inlineStr">
        <is>
          <t>ÖSTERSUND</t>
        </is>
      </c>
      <c r="G1932" t="n">
        <v>0.9</v>
      </c>
      <c r="H1932" t="n">
        <v>1</v>
      </c>
      <c r="I1932" t="n">
        <v>0</v>
      </c>
      <c r="J1932" t="n">
        <v>1</v>
      </c>
      <c r="K1932" t="n">
        <v>0</v>
      </c>
      <c r="L1932" t="n">
        <v>0</v>
      </c>
      <c r="M1932" t="n">
        <v>0</v>
      </c>
      <c r="N1932" t="n">
        <v>0</v>
      </c>
      <c r="O1932" t="n">
        <v>1</v>
      </c>
      <c r="P1932" t="n">
        <v>0</v>
      </c>
      <c r="Q1932" t="n">
        <v>1</v>
      </c>
      <c r="R1932" s="2" t="inlineStr">
        <is>
          <t>Talltita</t>
        </is>
      </c>
      <c r="S1932">
        <f>HYPERLINK("https://klasma.github.io/Logging_2380/artfynd/A 33267-2022 artfynd.xlsx", "A 33267-2022")</f>
        <v/>
      </c>
      <c r="T1932">
        <f>HYPERLINK("https://klasma.github.io/Logging_2380/kartor/A 33267-2022 karta.png", "A 33267-2022")</f>
        <v/>
      </c>
      <c r="V1932">
        <f>HYPERLINK("https://klasma.github.io/Logging_2380/klagomål/A 33267-2022 FSC-klagomål.docx", "A 33267-2022")</f>
        <v/>
      </c>
      <c r="W1932">
        <f>HYPERLINK("https://klasma.github.io/Logging_2380/klagomålsmail/A 33267-2022 FSC-klagomål mail.docx", "A 33267-2022")</f>
        <v/>
      </c>
      <c r="X1932">
        <f>HYPERLINK("https://klasma.github.io/Logging_2380/tillsyn/A 33267-2022 tillsynsbegäran.docx", "A 33267-2022")</f>
        <v/>
      </c>
      <c r="Y1932">
        <f>HYPERLINK("https://klasma.github.io/Logging_2380/tillsynsmail/A 33267-2022 tillsynsbegäran mail.docx", "A 33267-2022")</f>
        <v/>
      </c>
      <c r="Z1932">
        <f>HYPERLINK("https://klasma.github.io/Logging_2380/fåglar/A 33267-2022 prioriterade fågelarter.docx", "A 33267-2022")</f>
        <v/>
      </c>
    </row>
    <row r="1933" ht="15" customHeight="1">
      <c r="A1933" t="inlineStr">
        <is>
          <t>A 60828-2023</t>
        </is>
      </c>
      <c r="B1933" s="1" t="n">
        <v>45258</v>
      </c>
      <c r="C1933" s="1" t="n">
        <v>46045</v>
      </c>
      <c r="D1933" t="inlineStr">
        <is>
          <t>JÄMTLANDS LÄN</t>
        </is>
      </c>
      <c r="E1933" t="inlineStr">
        <is>
          <t>STRÖMSUND</t>
        </is>
      </c>
      <c r="G1933" t="n">
        <v>6.7</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HYPERLINK("https://klasma.github.io/Logging_2313/artfynd/A 60828-2023 artfynd.xlsx", "A 60828-2023")</f>
        <v/>
      </c>
      <c r="T1933">
        <f>HYPERLINK("https://klasma.github.io/Logging_2313/kartor/A 60828-2023 karta.png", "A 60828-2023")</f>
        <v/>
      </c>
      <c r="V1933">
        <f>HYPERLINK("https://klasma.github.io/Logging_2313/klagomål/A 60828-2023 FSC-klagomål.docx", "A 60828-2023")</f>
        <v/>
      </c>
      <c r="W1933">
        <f>HYPERLINK("https://klasma.github.io/Logging_2313/klagomålsmail/A 60828-2023 FSC-klagomål mail.docx", "A 60828-2023")</f>
        <v/>
      </c>
      <c r="X1933">
        <f>HYPERLINK("https://klasma.github.io/Logging_2313/tillsyn/A 60828-2023 tillsynsbegäran.docx", "A 60828-2023")</f>
        <v/>
      </c>
      <c r="Y1933">
        <f>HYPERLINK("https://klasma.github.io/Logging_2313/tillsynsmail/A 60828-2023 tillsynsbegäran mail.docx", "A 60828-2023")</f>
        <v/>
      </c>
      <c r="Z1933">
        <f>HYPERLINK("https://klasma.github.io/Logging_2313/fåglar/A 60828-2023 prioriterade fågelarter.docx", "A 60828-2023")</f>
        <v/>
      </c>
    </row>
    <row r="1934" ht="15" customHeight="1">
      <c r="A1934" t="inlineStr">
        <is>
          <t>A 40382-2024</t>
        </is>
      </c>
      <c r="B1934" s="1" t="n">
        <v>45555.42225694445</v>
      </c>
      <c r="C1934" s="1" t="n">
        <v>46045</v>
      </c>
      <c r="D1934" t="inlineStr">
        <is>
          <t>JÄMTLANDS LÄN</t>
        </is>
      </c>
      <c r="E1934" t="inlineStr">
        <is>
          <t>BERG</t>
        </is>
      </c>
      <c r="G1934" t="n">
        <v>1.5</v>
      </c>
      <c r="H1934" t="n">
        <v>0</v>
      </c>
      <c r="I1934" t="n">
        <v>0</v>
      </c>
      <c r="J1934" t="n">
        <v>1</v>
      </c>
      <c r="K1934" t="n">
        <v>0</v>
      </c>
      <c r="L1934" t="n">
        <v>0</v>
      </c>
      <c r="M1934" t="n">
        <v>0</v>
      </c>
      <c r="N1934" t="n">
        <v>0</v>
      </c>
      <c r="O1934" t="n">
        <v>1</v>
      </c>
      <c r="P1934" t="n">
        <v>0</v>
      </c>
      <c r="Q1934" t="n">
        <v>1</v>
      </c>
      <c r="R1934" s="2" t="inlineStr">
        <is>
          <t>Backruta</t>
        </is>
      </c>
      <c r="S1934">
        <f>HYPERLINK("https://klasma.github.io/Logging_2326/artfynd/A 40382-2024 artfynd.xlsx", "A 40382-2024")</f>
        <v/>
      </c>
      <c r="T1934">
        <f>HYPERLINK("https://klasma.github.io/Logging_2326/kartor/A 40382-2024 karta.png", "A 40382-2024")</f>
        <v/>
      </c>
      <c r="V1934">
        <f>HYPERLINK("https://klasma.github.io/Logging_2326/klagomål/A 40382-2024 FSC-klagomål.docx", "A 40382-2024")</f>
        <v/>
      </c>
      <c r="W1934">
        <f>HYPERLINK("https://klasma.github.io/Logging_2326/klagomålsmail/A 40382-2024 FSC-klagomål mail.docx", "A 40382-2024")</f>
        <v/>
      </c>
      <c r="X1934">
        <f>HYPERLINK("https://klasma.github.io/Logging_2326/tillsyn/A 40382-2024 tillsynsbegäran.docx", "A 40382-2024")</f>
        <v/>
      </c>
      <c r="Y1934">
        <f>HYPERLINK("https://klasma.github.io/Logging_2326/tillsynsmail/A 40382-2024 tillsynsbegäran mail.docx", "A 40382-2024")</f>
        <v/>
      </c>
    </row>
    <row r="1935" ht="15" customHeight="1">
      <c r="A1935" t="inlineStr">
        <is>
          <t>A 48477-2023</t>
        </is>
      </c>
      <c r="B1935" s="1" t="n">
        <v>45206</v>
      </c>
      <c r="C1935" s="1" t="n">
        <v>46045</v>
      </c>
      <c r="D1935" t="inlineStr">
        <is>
          <t>JÄMTLANDS LÄN</t>
        </is>
      </c>
      <c r="E1935" t="inlineStr">
        <is>
          <t>RAGUNDA</t>
        </is>
      </c>
      <c r="F1935" t="inlineStr">
        <is>
          <t>SCA</t>
        </is>
      </c>
      <c r="G1935" t="n">
        <v>1.8</v>
      </c>
      <c r="H1935" t="n">
        <v>0</v>
      </c>
      <c r="I1935" t="n">
        <v>1</v>
      </c>
      <c r="J1935" t="n">
        <v>0</v>
      </c>
      <c r="K1935" t="n">
        <v>0</v>
      </c>
      <c r="L1935" t="n">
        <v>0</v>
      </c>
      <c r="M1935" t="n">
        <v>0</v>
      </c>
      <c r="N1935" t="n">
        <v>0</v>
      </c>
      <c r="O1935" t="n">
        <v>0</v>
      </c>
      <c r="P1935" t="n">
        <v>0</v>
      </c>
      <c r="Q1935" t="n">
        <v>1</v>
      </c>
      <c r="R1935" s="2" t="inlineStr">
        <is>
          <t>Dropptaggsvamp</t>
        </is>
      </c>
      <c r="S1935">
        <f>HYPERLINK("https://klasma.github.io/Logging_2303/artfynd/A 48477-2023 artfynd.xlsx", "A 48477-2023")</f>
        <v/>
      </c>
      <c r="T1935">
        <f>HYPERLINK("https://klasma.github.io/Logging_2303/kartor/A 48477-2023 karta.png", "A 48477-2023")</f>
        <v/>
      </c>
      <c r="V1935">
        <f>HYPERLINK("https://klasma.github.io/Logging_2303/klagomål/A 48477-2023 FSC-klagomål.docx", "A 48477-2023")</f>
        <v/>
      </c>
      <c r="W1935">
        <f>HYPERLINK("https://klasma.github.io/Logging_2303/klagomålsmail/A 48477-2023 FSC-klagomål mail.docx", "A 48477-2023")</f>
        <v/>
      </c>
      <c r="X1935">
        <f>HYPERLINK("https://klasma.github.io/Logging_2303/tillsyn/A 48477-2023 tillsynsbegäran.docx", "A 48477-2023")</f>
        <v/>
      </c>
      <c r="Y1935">
        <f>HYPERLINK("https://klasma.github.io/Logging_2303/tillsynsmail/A 48477-2023 tillsynsbegäran mail.docx", "A 48477-2023")</f>
        <v/>
      </c>
    </row>
    <row r="1936" ht="15" customHeight="1">
      <c r="A1936" t="inlineStr">
        <is>
          <t>A 41938-2024</t>
        </is>
      </c>
      <c r="B1936" s="1" t="n">
        <v>45561.57325231482</v>
      </c>
      <c r="C1936" s="1" t="n">
        <v>46045</v>
      </c>
      <c r="D1936" t="inlineStr">
        <is>
          <t>JÄMTLANDS LÄN</t>
        </is>
      </c>
      <c r="E1936" t="inlineStr">
        <is>
          <t>STRÖMSUND</t>
        </is>
      </c>
      <c r="F1936" t="inlineStr">
        <is>
          <t>SCA</t>
        </is>
      </c>
      <c r="G1936" t="n">
        <v>5.4</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41938-2024 artfynd.xlsx", "A 41938-2024")</f>
        <v/>
      </c>
      <c r="T1936">
        <f>HYPERLINK("https://klasma.github.io/Logging_2313/kartor/A 41938-2024 karta.png", "A 41938-2024")</f>
        <v/>
      </c>
      <c r="V1936">
        <f>HYPERLINK("https://klasma.github.io/Logging_2313/klagomål/A 41938-2024 FSC-klagomål.docx", "A 41938-2024")</f>
        <v/>
      </c>
      <c r="W1936">
        <f>HYPERLINK("https://klasma.github.io/Logging_2313/klagomålsmail/A 41938-2024 FSC-klagomål mail.docx", "A 41938-2024")</f>
        <v/>
      </c>
      <c r="X1936">
        <f>HYPERLINK("https://klasma.github.io/Logging_2313/tillsyn/A 41938-2024 tillsynsbegäran.docx", "A 41938-2024")</f>
        <v/>
      </c>
      <c r="Y1936">
        <f>HYPERLINK("https://klasma.github.io/Logging_2313/tillsynsmail/A 41938-2024 tillsynsbegäran mail.docx", "A 41938-2024")</f>
        <v/>
      </c>
    </row>
    <row r="1937" ht="15" customHeight="1">
      <c r="A1937" t="inlineStr">
        <is>
          <t>A 39701-2022</t>
        </is>
      </c>
      <c r="B1937" s="1" t="n">
        <v>44818</v>
      </c>
      <c r="C1937" s="1" t="n">
        <v>46045</v>
      </c>
      <c r="D1937" t="inlineStr">
        <is>
          <t>JÄMTLANDS LÄN</t>
        </is>
      </c>
      <c r="E1937" t="inlineStr">
        <is>
          <t>BRÄCKE</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19984-2021</t>
        </is>
      </c>
      <c r="B1938" s="1" t="n">
        <v>44313</v>
      </c>
      <c r="C1938" s="1" t="n">
        <v>46045</v>
      </c>
      <c r="D1938" t="inlineStr">
        <is>
          <t>JÄMTLANDS LÄN</t>
        </is>
      </c>
      <c r="E1938" t="inlineStr">
        <is>
          <t>KROKOM</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14826-2021</t>
        </is>
      </c>
      <c r="B1939" s="1" t="n">
        <v>44280</v>
      </c>
      <c r="C1939" s="1" t="n">
        <v>46045</v>
      </c>
      <c r="D1939" t="inlineStr">
        <is>
          <t>JÄMTLANDS LÄN</t>
        </is>
      </c>
      <c r="E1939" t="inlineStr">
        <is>
          <t>ÅRE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30044-2022</t>
        </is>
      </c>
      <c r="B1940" s="1" t="n">
        <v>44756</v>
      </c>
      <c r="C1940" s="1" t="n">
        <v>46045</v>
      </c>
      <c r="D1940" t="inlineStr">
        <is>
          <t>JÄMTLANDS LÄN</t>
        </is>
      </c>
      <c r="E1940" t="inlineStr">
        <is>
          <t>STRÖMSUND</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37097-2022</t>
        </is>
      </c>
      <c r="B1941" s="1" t="n">
        <v>44806</v>
      </c>
      <c r="C1941" s="1" t="n">
        <v>46045</v>
      </c>
      <c r="D1941" t="inlineStr">
        <is>
          <t>JÄMTLANDS LÄN</t>
        </is>
      </c>
      <c r="E1941" t="inlineStr">
        <is>
          <t>STRÖMSUND</t>
        </is>
      </c>
      <c r="F1941" t="inlineStr">
        <is>
          <t>Kommuner</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44605-2021</t>
        </is>
      </c>
      <c r="B1942" s="1" t="n">
        <v>44435.94144675926</v>
      </c>
      <c r="C1942" s="1" t="n">
        <v>46045</v>
      </c>
      <c r="D1942" t="inlineStr">
        <is>
          <t>JÄMTLANDS LÄN</t>
        </is>
      </c>
      <c r="E1942" t="inlineStr">
        <is>
          <t>STRÖMSUND</t>
        </is>
      </c>
      <c r="F1942" t="inlineStr">
        <is>
          <t>SCA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36690-2022</t>
        </is>
      </c>
      <c r="B1943" s="1" t="n">
        <v>44804.94759259259</v>
      </c>
      <c r="C1943" s="1" t="n">
        <v>46045</v>
      </c>
      <c r="D1943" t="inlineStr">
        <is>
          <t>JÄMTLANDS LÄN</t>
        </is>
      </c>
      <c r="E1943" t="inlineStr">
        <is>
          <t>STRÖMSUND</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49196-2022</t>
        </is>
      </c>
      <c r="B1944" s="1" t="n">
        <v>44860.95508101852</v>
      </c>
      <c r="C1944" s="1" t="n">
        <v>46045</v>
      </c>
      <c r="D1944" t="inlineStr">
        <is>
          <t>JÄMTLANDS LÄN</t>
        </is>
      </c>
      <c r="E1944" t="inlineStr">
        <is>
          <t>BERG</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20620-2021</t>
        </is>
      </c>
      <c r="B1945" s="1" t="n">
        <v>44316</v>
      </c>
      <c r="C1945" s="1" t="n">
        <v>46045</v>
      </c>
      <c r="D1945" t="inlineStr">
        <is>
          <t>JÄMTLANDS LÄN</t>
        </is>
      </c>
      <c r="E1945" t="inlineStr">
        <is>
          <t>ÖSTERSUND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21334-2021</t>
        </is>
      </c>
      <c r="B1946" s="1" t="n">
        <v>44320</v>
      </c>
      <c r="C1946" s="1" t="n">
        <v>46045</v>
      </c>
      <c r="D1946" t="inlineStr">
        <is>
          <t>JÄMTLANDS LÄN</t>
        </is>
      </c>
      <c r="E1946" t="inlineStr">
        <is>
          <t>HÄRJEDALEN</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5401-2021</t>
        </is>
      </c>
      <c r="B1947" s="1" t="n">
        <v>44229</v>
      </c>
      <c r="C1947" s="1" t="n">
        <v>46045</v>
      </c>
      <c r="D1947" t="inlineStr">
        <is>
          <t>JÄMTLANDS LÄN</t>
        </is>
      </c>
      <c r="E1947" t="inlineStr">
        <is>
          <t>ÅRE</t>
        </is>
      </c>
      <c r="G1947" t="n">
        <v>10</v>
      </c>
      <c r="H1947" t="n">
        <v>0</v>
      </c>
      <c r="I1947" t="n">
        <v>0</v>
      </c>
      <c r="J1947" t="n">
        <v>0</v>
      </c>
      <c r="K1947" t="n">
        <v>0</v>
      </c>
      <c r="L1947" t="n">
        <v>0</v>
      </c>
      <c r="M1947" t="n">
        <v>0</v>
      </c>
      <c r="N1947" t="n">
        <v>0</v>
      </c>
      <c r="O1947" t="n">
        <v>0</v>
      </c>
      <c r="P1947" t="n">
        <v>0</v>
      </c>
      <c r="Q1947" t="n">
        <v>0</v>
      </c>
      <c r="R1947" s="2" t="inlineStr"/>
    </row>
    <row r="1948" ht="15" customHeight="1">
      <c r="A1948" t="inlineStr">
        <is>
          <t>A 19207-2021</t>
        </is>
      </c>
      <c r="B1948" s="1" t="n">
        <v>44308.91864583334</v>
      </c>
      <c r="C1948" s="1" t="n">
        <v>46045</v>
      </c>
      <c r="D1948" t="inlineStr">
        <is>
          <t>JÄMTLANDS LÄN</t>
        </is>
      </c>
      <c r="E1948" t="inlineStr">
        <is>
          <t>STRÖMSUND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21833-2021</t>
        </is>
      </c>
      <c r="B1949" s="1" t="n">
        <v>44316</v>
      </c>
      <c r="C1949" s="1" t="n">
        <v>46045</v>
      </c>
      <c r="D1949" t="inlineStr">
        <is>
          <t>JÄMTLANDS LÄN</t>
        </is>
      </c>
      <c r="E1949" t="inlineStr">
        <is>
          <t>HÄRJEDALEN</t>
        </is>
      </c>
      <c r="G1949" t="n">
        <v>20.2</v>
      </c>
      <c r="H1949" t="n">
        <v>0</v>
      </c>
      <c r="I1949" t="n">
        <v>0</v>
      </c>
      <c r="J1949" t="n">
        <v>0</v>
      </c>
      <c r="K1949" t="n">
        <v>0</v>
      </c>
      <c r="L1949" t="n">
        <v>0</v>
      </c>
      <c r="M1949" t="n">
        <v>0</v>
      </c>
      <c r="N1949" t="n">
        <v>0</v>
      </c>
      <c r="O1949" t="n">
        <v>0</v>
      </c>
      <c r="P1949" t="n">
        <v>0</v>
      </c>
      <c r="Q1949" t="n">
        <v>0</v>
      </c>
      <c r="R1949" s="2" t="inlineStr"/>
    </row>
    <row r="1950" ht="15" customHeight="1">
      <c r="A1950" t="inlineStr">
        <is>
          <t>A 21298-2021</t>
        </is>
      </c>
      <c r="B1950" s="1" t="n">
        <v>44320</v>
      </c>
      <c r="C1950" s="1" t="n">
        <v>46045</v>
      </c>
      <c r="D1950" t="inlineStr">
        <is>
          <t>JÄMTLANDS LÄN</t>
        </is>
      </c>
      <c r="E1950" t="inlineStr">
        <is>
          <t>HÄRJEDALEN</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17368-2021</t>
        </is>
      </c>
      <c r="B1951" s="1" t="n">
        <v>44298.91940972222</v>
      </c>
      <c r="C1951" s="1" t="n">
        <v>46045</v>
      </c>
      <c r="D1951" t="inlineStr">
        <is>
          <t>JÄMTLANDS LÄN</t>
        </is>
      </c>
      <c r="E1951" t="inlineStr">
        <is>
          <t>STRÖMSUND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36454-2021</t>
        </is>
      </c>
      <c r="B1952" s="1" t="n">
        <v>44390.93842592592</v>
      </c>
      <c r="C1952" s="1" t="n">
        <v>46045</v>
      </c>
      <c r="D1952" t="inlineStr">
        <is>
          <t>JÄMTLANDS LÄN</t>
        </is>
      </c>
      <c r="E1952" t="inlineStr">
        <is>
          <t>STRÖMSUND</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8016-2021</t>
        </is>
      </c>
      <c r="B1953" s="1" t="n">
        <v>44243</v>
      </c>
      <c r="C1953" s="1" t="n">
        <v>46045</v>
      </c>
      <c r="D1953" t="inlineStr">
        <is>
          <t>JÄMTLANDS LÄN</t>
        </is>
      </c>
      <c r="E1953" t="inlineStr">
        <is>
          <t>STRÖMSUND</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39944-2021</t>
        </is>
      </c>
      <c r="B1954" s="1" t="n">
        <v>44417</v>
      </c>
      <c r="C1954" s="1" t="n">
        <v>46045</v>
      </c>
      <c r="D1954" t="inlineStr">
        <is>
          <t>JÄMTLANDS LÄN</t>
        </is>
      </c>
      <c r="E1954" t="inlineStr">
        <is>
          <t>STRÖMSUND</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38763-2021</t>
        </is>
      </c>
      <c r="B1955" s="1" t="n">
        <v>44410</v>
      </c>
      <c r="C1955" s="1" t="n">
        <v>46045</v>
      </c>
      <c r="D1955" t="inlineStr">
        <is>
          <t>JÄMTLANDS LÄN</t>
        </is>
      </c>
      <c r="E1955" t="inlineStr">
        <is>
          <t>STRÖMSUND</t>
        </is>
      </c>
      <c r="F1955" t="inlineStr">
        <is>
          <t>Kyrkan</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72926-2021</t>
        </is>
      </c>
      <c r="B1956" s="1" t="n">
        <v>44546</v>
      </c>
      <c r="C1956" s="1" t="n">
        <v>46045</v>
      </c>
      <c r="D1956" t="inlineStr">
        <is>
          <t>JÄMTLANDS LÄN</t>
        </is>
      </c>
      <c r="E1956" t="inlineStr">
        <is>
          <t>BERG</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14079-2021</t>
        </is>
      </c>
      <c r="B1957" s="1" t="n">
        <v>44277</v>
      </c>
      <c r="C1957" s="1" t="n">
        <v>46045</v>
      </c>
      <c r="D1957" t="inlineStr">
        <is>
          <t>JÄMTLANDS LÄN</t>
        </is>
      </c>
      <c r="E1957" t="inlineStr">
        <is>
          <t>BRÄCKE</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1087-2022</t>
        </is>
      </c>
      <c r="B1958" s="1" t="n">
        <v>44571</v>
      </c>
      <c r="C1958" s="1" t="n">
        <v>46045</v>
      </c>
      <c r="D1958" t="inlineStr">
        <is>
          <t>JÄMTLANDS LÄN</t>
        </is>
      </c>
      <c r="E1958" t="inlineStr">
        <is>
          <t>BRÄCKE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11158-2022</t>
        </is>
      </c>
      <c r="B1959" s="1" t="n">
        <v>44629.40729166667</v>
      </c>
      <c r="C1959" s="1" t="n">
        <v>46045</v>
      </c>
      <c r="D1959" t="inlineStr">
        <is>
          <t>JÄMTLANDS LÄN</t>
        </is>
      </c>
      <c r="E1959" t="inlineStr">
        <is>
          <t>STRÖMSUND</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31077-2021</t>
        </is>
      </c>
      <c r="B1960" s="1" t="n">
        <v>44365</v>
      </c>
      <c r="C1960" s="1" t="n">
        <v>46045</v>
      </c>
      <c r="D1960" t="inlineStr">
        <is>
          <t>JÄMTLANDS LÄN</t>
        </is>
      </c>
      <c r="E1960" t="inlineStr">
        <is>
          <t>STRÖMSUND</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4602-2022</t>
        </is>
      </c>
      <c r="B1961" s="1" t="n">
        <v>44589</v>
      </c>
      <c r="C1961" s="1" t="n">
        <v>46045</v>
      </c>
      <c r="D1961" t="inlineStr">
        <is>
          <t>JÄMTLANDS LÄN</t>
        </is>
      </c>
      <c r="E1961" t="inlineStr">
        <is>
          <t>STRÖMSUND</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45421-2022</t>
        </is>
      </c>
      <c r="B1962" s="1" t="n">
        <v>44844.95244212963</v>
      </c>
      <c r="C1962" s="1" t="n">
        <v>46045</v>
      </c>
      <c r="D1962" t="inlineStr">
        <is>
          <t>JÄMTLANDS LÄN</t>
        </is>
      </c>
      <c r="E1962" t="inlineStr">
        <is>
          <t>STRÖMSUND</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13099-2022</t>
        </is>
      </c>
      <c r="B1963" s="1" t="n">
        <v>44643.93510416667</v>
      </c>
      <c r="C1963" s="1" t="n">
        <v>46045</v>
      </c>
      <c r="D1963" t="inlineStr">
        <is>
          <t>JÄMTLANDS LÄN</t>
        </is>
      </c>
      <c r="E1963" t="inlineStr">
        <is>
          <t>STRÖMSUND</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28736-2022</t>
        </is>
      </c>
      <c r="B1964" s="1" t="n">
        <v>44748.94689814815</v>
      </c>
      <c r="C1964" s="1" t="n">
        <v>46045</v>
      </c>
      <c r="D1964" t="inlineStr">
        <is>
          <t>JÄMTLANDS LÄN</t>
        </is>
      </c>
      <c r="E1964" t="inlineStr">
        <is>
          <t>KROKOM</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52969-2021</t>
        </is>
      </c>
      <c r="B1965" s="1" t="n">
        <v>44466</v>
      </c>
      <c r="C1965" s="1" t="n">
        <v>46045</v>
      </c>
      <c r="D1965" t="inlineStr">
        <is>
          <t>JÄMTLANDS LÄN</t>
        </is>
      </c>
      <c r="E1965" t="inlineStr">
        <is>
          <t>STRÖMSUND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71756-2021</t>
        </is>
      </c>
      <c r="B1966" s="1" t="n">
        <v>44543</v>
      </c>
      <c r="C1966" s="1" t="n">
        <v>46045</v>
      </c>
      <c r="D1966" t="inlineStr">
        <is>
          <t>JÄMTLANDS LÄN</t>
        </is>
      </c>
      <c r="E1966" t="inlineStr">
        <is>
          <t>HÄRJEDALEN</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42827-2021</t>
        </is>
      </c>
      <c r="B1967" s="1" t="n">
        <v>44430</v>
      </c>
      <c r="C1967" s="1" t="n">
        <v>46045</v>
      </c>
      <c r="D1967" t="inlineStr">
        <is>
          <t>JÄMTLANDS LÄN</t>
        </is>
      </c>
      <c r="E1967" t="inlineStr">
        <is>
          <t>HÄRJEDALEN</t>
        </is>
      </c>
      <c r="F1967" t="inlineStr">
        <is>
          <t>Sveaskog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36840-2022</t>
        </is>
      </c>
      <c r="B1968" s="1" t="n">
        <v>44805</v>
      </c>
      <c r="C1968" s="1" t="n">
        <v>46045</v>
      </c>
      <c r="D1968" t="inlineStr">
        <is>
          <t>JÄMTLANDS LÄN</t>
        </is>
      </c>
      <c r="E1968" t="inlineStr">
        <is>
          <t>BRÄCKE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3801-2022</t>
        </is>
      </c>
      <c r="B1969" s="1" t="n">
        <v>44586.93952546296</v>
      </c>
      <c r="C1969" s="1" t="n">
        <v>46045</v>
      </c>
      <c r="D1969" t="inlineStr">
        <is>
          <t>JÄMTLANDS LÄN</t>
        </is>
      </c>
      <c r="E1969" t="inlineStr">
        <is>
          <t>BERG</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24690-2022</t>
        </is>
      </c>
      <c r="B1970" s="1" t="n">
        <v>44727.70908564814</v>
      </c>
      <c r="C1970" s="1" t="n">
        <v>46045</v>
      </c>
      <c r="D1970" t="inlineStr">
        <is>
          <t>JÄMTLANDS LÄN</t>
        </is>
      </c>
      <c r="E1970" t="inlineStr">
        <is>
          <t>HÄRJEDALEN</t>
        </is>
      </c>
      <c r="F1970" t="inlineStr">
        <is>
          <t>Kyrkan</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64656-2021</t>
        </is>
      </c>
      <c r="B1971" s="1" t="n">
        <v>44511.94716435186</v>
      </c>
      <c r="C1971" s="1" t="n">
        <v>46045</v>
      </c>
      <c r="D1971" t="inlineStr">
        <is>
          <t>JÄMTLANDS LÄN</t>
        </is>
      </c>
      <c r="E1971" t="inlineStr">
        <is>
          <t>STRÖMSUND</t>
        </is>
      </c>
      <c r="F1971" t="inlineStr">
        <is>
          <t>SCA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46050-2022</t>
        </is>
      </c>
      <c r="B1972" s="1" t="n">
        <v>44846</v>
      </c>
      <c r="C1972" s="1" t="n">
        <v>46045</v>
      </c>
      <c r="D1972" t="inlineStr">
        <is>
          <t>JÄMTLANDS LÄN</t>
        </is>
      </c>
      <c r="E1972" t="inlineStr">
        <is>
          <t>RAGUNDA</t>
        </is>
      </c>
      <c r="F1972" t="inlineStr">
        <is>
          <t>SCA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69801-2021</t>
        </is>
      </c>
      <c r="B1973" s="1" t="n">
        <v>44532</v>
      </c>
      <c r="C1973" s="1" t="n">
        <v>46045</v>
      </c>
      <c r="D1973" t="inlineStr">
        <is>
          <t>JÄMTLANDS LÄN</t>
        </is>
      </c>
      <c r="E1973" t="inlineStr">
        <is>
          <t>ÅRE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8823-2022</t>
        </is>
      </c>
      <c r="B1974" s="1" t="n">
        <v>44614</v>
      </c>
      <c r="C1974" s="1" t="n">
        <v>46045</v>
      </c>
      <c r="D1974" t="inlineStr">
        <is>
          <t>JÄMTLANDS LÄN</t>
        </is>
      </c>
      <c r="E1974" t="inlineStr">
        <is>
          <t>HÄRJEDALEN</t>
        </is>
      </c>
      <c r="F1974" t="inlineStr">
        <is>
          <t>Naturvårdsverket</t>
        </is>
      </c>
      <c r="G1974" t="n">
        <v>23.7</v>
      </c>
      <c r="H1974" t="n">
        <v>0</v>
      </c>
      <c r="I1974" t="n">
        <v>0</v>
      </c>
      <c r="J1974" t="n">
        <v>0</v>
      </c>
      <c r="K1974" t="n">
        <v>0</v>
      </c>
      <c r="L1974" t="n">
        <v>0</v>
      </c>
      <c r="M1974" t="n">
        <v>0</v>
      </c>
      <c r="N1974" t="n">
        <v>0</v>
      </c>
      <c r="O1974" t="n">
        <v>0</v>
      </c>
      <c r="P1974" t="n">
        <v>0</v>
      </c>
      <c r="Q1974" t="n">
        <v>0</v>
      </c>
      <c r="R1974" s="2" t="inlineStr"/>
    </row>
    <row r="1975" ht="15" customHeight="1">
      <c r="A1975" t="inlineStr">
        <is>
          <t>A 43310-2021</t>
        </is>
      </c>
      <c r="B1975" s="1" t="n">
        <v>44432</v>
      </c>
      <c r="C1975" s="1" t="n">
        <v>46045</v>
      </c>
      <c r="D1975" t="inlineStr">
        <is>
          <t>JÄMTLANDS LÄN</t>
        </is>
      </c>
      <c r="E1975" t="inlineStr">
        <is>
          <t>ÖSTERSUND</t>
        </is>
      </c>
      <c r="F1975" t="inlineStr">
        <is>
          <t>Sveaskog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66059-2021</t>
        </is>
      </c>
      <c r="B1976" s="1" t="n">
        <v>44517</v>
      </c>
      <c r="C1976" s="1" t="n">
        <v>46045</v>
      </c>
      <c r="D1976" t="inlineStr">
        <is>
          <t>JÄMTLANDS LÄN</t>
        </is>
      </c>
      <c r="E1976" t="inlineStr">
        <is>
          <t>RAGUNDA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38511-2021</t>
        </is>
      </c>
      <c r="B1977" s="1" t="n">
        <v>44407</v>
      </c>
      <c r="C1977" s="1" t="n">
        <v>46045</v>
      </c>
      <c r="D1977" t="inlineStr">
        <is>
          <t>JÄMTLANDS LÄN</t>
        </is>
      </c>
      <c r="E1977" t="inlineStr">
        <is>
          <t>KROKOM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8421-2022</t>
        </is>
      </c>
      <c r="B1978" s="1" t="n">
        <v>44610.94054398148</v>
      </c>
      <c r="C1978" s="1" t="n">
        <v>46045</v>
      </c>
      <c r="D1978" t="inlineStr">
        <is>
          <t>JÄMTLANDS LÄN</t>
        </is>
      </c>
      <c r="E1978" t="inlineStr">
        <is>
          <t>STRÖMSUND</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38001-2021</t>
        </is>
      </c>
      <c r="B1979" s="1" t="n">
        <v>44404</v>
      </c>
      <c r="C1979" s="1" t="n">
        <v>46045</v>
      </c>
      <c r="D1979" t="inlineStr">
        <is>
          <t>JÄMTLANDS LÄN</t>
        </is>
      </c>
      <c r="E1979" t="inlineStr">
        <is>
          <t>HÄRJEDALEN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37791-2022</t>
        </is>
      </c>
      <c r="B1980" s="1" t="n">
        <v>44810.68505787037</v>
      </c>
      <c r="C1980" s="1" t="n">
        <v>46045</v>
      </c>
      <c r="D1980" t="inlineStr">
        <is>
          <t>JÄMTLANDS LÄN</t>
        </is>
      </c>
      <c r="E1980" t="inlineStr">
        <is>
          <t>STRÖMSUND</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40275-2022</t>
        </is>
      </c>
      <c r="B1981" s="1" t="n">
        <v>44820</v>
      </c>
      <c r="C1981" s="1" t="n">
        <v>46045</v>
      </c>
      <c r="D1981" t="inlineStr">
        <is>
          <t>JÄMTLANDS LÄN</t>
        </is>
      </c>
      <c r="E1981" t="inlineStr">
        <is>
          <t>STRÖMSUND</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41829-2022</t>
        </is>
      </c>
      <c r="B1982" s="1" t="n">
        <v>44827.94641203704</v>
      </c>
      <c r="C1982" s="1" t="n">
        <v>46045</v>
      </c>
      <c r="D1982" t="inlineStr">
        <is>
          <t>JÄMTLANDS LÄN</t>
        </is>
      </c>
      <c r="E1982" t="inlineStr">
        <is>
          <t>STRÖMSUND</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44752-2022</t>
        </is>
      </c>
      <c r="B1983" s="1" t="n">
        <v>44840</v>
      </c>
      <c r="C1983" s="1" t="n">
        <v>46045</v>
      </c>
      <c r="D1983" t="inlineStr">
        <is>
          <t>JÄMTLANDS LÄN</t>
        </is>
      </c>
      <c r="E1983" t="inlineStr">
        <is>
          <t>BRÄCKE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44451-2022</t>
        </is>
      </c>
      <c r="B1984" s="1" t="n">
        <v>44839.95523148148</v>
      </c>
      <c r="C1984" s="1" t="n">
        <v>46045</v>
      </c>
      <c r="D1984" t="inlineStr">
        <is>
          <t>JÄMTLANDS LÄN</t>
        </is>
      </c>
      <c r="E1984" t="inlineStr">
        <is>
          <t>STRÖMSUND</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51022-2022</t>
        </is>
      </c>
      <c r="B1985" s="1" t="n">
        <v>44867</v>
      </c>
      <c r="C1985" s="1" t="n">
        <v>46045</v>
      </c>
      <c r="D1985" t="inlineStr">
        <is>
          <t>JÄMTLANDS LÄN</t>
        </is>
      </c>
      <c r="E1985" t="inlineStr">
        <is>
          <t>BRÄCKE</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39408-2022</t>
        </is>
      </c>
      <c r="B1986" s="1" t="n">
        <v>44817</v>
      </c>
      <c r="C1986" s="1" t="n">
        <v>46045</v>
      </c>
      <c r="D1986" t="inlineStr">
        <is>
          <t>JÄMTLANDS LÄN</t>
        </is>
      </c>
      <c r="E1986" t="inlineStr">
        <is>
          <t>RAGUNDA</t>
        </is>
      </c>
      <c r="F1986" t="inlineStr">
        <is>
          <t>SCA</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42155-2022</t>
        </is>
      </c>
      <c r="B1987" s="1" t="n">
        <v>44830.60405092593</v>
      </c>
      <c r="C1987" s="1" t="n">
        <v>46045</v>
      </c>
      <c r="D1987" t="inlineStr">
        <is>
          <t>JÄMTLANDS LÄN</t>
        </is>
      </c>
      <c r="E1987" t="inlineStr">
        <is>
          <t>STRÖMSUND</t>
        </is>
      </c>
      <c r="F1987" t="inlineStr">
        <is>
          <t>Holmen skog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53951-2022</t>
        </is>
      </c>
      <c r="B1988" s="1" t="n">
        <v>44880.95712962963</v>
      </c>
      <c r="C1988" s="1" t="n">
        <v>46045</v>
      </c>
      <c r="D1988" t="inlineStr">
        <is>
          <t>JÄMTLANDS LÄN</t>
        </is>
      </c>
      <c r="E1988" t="inlineStr">
        <is>
          <t>RAGUNDA</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53952-2022</t>
        </is>
      </c>
      <c r="B1989" s="1" t="n">
        <v>44880.95719907407</v>
      </c>
      <c r="C1989" s="1" t="n">
        <v>46045</v>
      </c>
      <c r="D1989" t="inlineStr">
        <is>
          <t>JÄMTLANDS LÄN</t>
        </is>
      </c>
      <c r="E1989" t="inlineStr">
        <is>
          <t>RAGUNDA</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54438-2021</t>
        </is>
      </c>
      <c r="B1990" s="1" t="n">
        <v>44473.44813657407</v>
      </c>
      <c r="C1990" s="1" t="n">
        <v>46045</v>
      </c>
      <c r="D1990" t="inlineStr">
        <is>
          <t>JÄMTLANDS LÄN</t>
        </is>
      </c>
      <c r="E1990" t="inlineStr">
        <is>
          <t>KROKOM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15238-2022</t>
        </is>
      </c>
      <c r="B1991" s="1" t="n">
        <v>44658.93722222222</v>
      </c>
      <c r="C1991" s="1" t="n">
        <v>46045</v>
      </c>
      <c r="D1991" t="inlineStr">
        <is>
          <t>JÄMTLANDS LÄN</t>
        </is>
      </c>
      <c r="E1991" t="inlineStr">
        <is>
          <t>STRÖMSUND</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65782-2021</t>
        </is>
      </c>
      <c r="B1992" s="1" t="n">
        <v>44516</v>
      </c>
      <c r="C1992" s="1" t="n">
        <v>46045</v>
      </c>
      <c r="D1992" t="inlineStr">
        <is>
          <t>JÄMTLANDS LÄN</t>
        </is>
      </c>
      <c r="E1992" t="inlineStr">
        <is>
          <t>ÅRE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66475-2021</t>
        </is>
      </c>
      <c r="B1993" s="1" t="n">
        <v>44518</v>
      </c>
      <c r="C1993" s="1" t="n">
        <v>46045</v>
      </c>
      <c r="D1993" t="inlineStr">
        <is>
          <t>JÄMTLANDS LÄN</t>
        </is>
      </c>
      <c r="E1993" t="inlineStr">
        <is>
          <t>STRÖMSUND</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15971-2022</t>
        </is>
      </c>
      <c r="B1994" s="1" t="n">
        <v>44664</v>
      </c>
      <c r="C1994" s="1" t="n">
        <v>46045</v>
      </c>
      <c r="D1994" t="inlineStr">
        <is>
          <t>JÄMTLANDS LÄN</t>
        </is>
      </c>
      <c r="E1994" t="inlineStr">
        <is>
          <t>STRÖMSUND</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32357-2022</t>
        </is>
      </c>
      <c r="B1995" s="1" t="n">
        <v>44781.94145833333</v>
      </c>
      <c r="C1995" s="1" t="n">
        <v>46045</v>
      </c>
      <c r="D1995" t="inlineStr">
        <is>
          <t>JÄMTLANDS LÄN</t>
        </is>
      </c>
      <c r="E1995" t="inlineStr">
        <is>
          <t>STRÖMSUND</t>
        </is>
      </c>
      <c r="F1995" t="inlineStr">
        <is>
          <t>SCA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54829-2022</t>
        </is>
      </c>
      <c r="B1996" s="1" t="n">
        <v>44883</v>
      </c>
      <c r="C1996" s="1" t="n">
        <v>46045</v>
      </c>
      <c r="D1996" t="inlineStr">
        <is>
          <t>JÄMTLANDS LÄN</t>
        </is>
      </c>
      <c r="E1996" t="inlineStr">
        <is>
          <t>BRÄCKE</t>
        </is>
      </c>
      <c r="F1996" t="inlineStr">
        <is>
          <t>SCA</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35867-2021</t>
        </is>
      </c>
      <c r="B1997" s="1" t="n">
        <v>44386.93510416667</v>
      </c>
      <c r="C1997" s="1" t="n">
        <v>46045</v>
      </c>
      <c r="D1997" t="inlineStr">
        <is>
          <t>JÄMTLANDS LÄN</t>
        </is>
      </c>
      <c r="E1997" t="inlineStr">
        <is>
          <t>BERG</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48053-2022</t>
        </is>
      </c>
      <c r="B1998" s="1" t="n">
        <v>44855.94125</v>
      </c>
      <c r="C1998" s="1" t="n">
        <v>46045</v>
      </c>
      <c r="D1998" t="inlineStr">
        <is>
          <t>JÄMTLANDS LÄN</t>
        </is>
      </c>
      <c r="E1998" t="inlineStr">
        <is>
          <t>RAGUNDA</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41606-2021</t>
        </is>
      </c>
      <c r="B1999" s="1" t="n">
        <v>44425</v>
      </c>
      <c r="C1999" s="1" t="n">
        <v>46045</v>
      </c>
      <c r="D1999" t="inlineStr">
        <is>
          <t>JÄMTLANDS LÄN</t>
        </is>
      </c>
      <c r="E1999" t="inlineStr">
        <is>
          <t>RAGUNDA</t>
        </is>
      </c>
      <c r="F1999" t="inlineStr">
        <is>
          <t>Kommuner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52022-2021</t>
        </is>
      </c>
      <c r="B2000" s="1" t="n">
        <v>44463</v>
      </c>
      <c r="C2000" s="1" t="n">
        <v>46045</v>
      </c>
      <c r="D2000" t="inlineStr">
        <is>
          <t>JÄMTLANDS LÄN</t>
        </is>
      </c>
      <c r="E2000" t="inlineStr">
        <is>
          <t>BRÄCKE</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44025-2021</t>
        </is>
      </c>
      <c r="B2001" s="1" t="n">
        <v>44434.52621527778</v>
      </c>
      <c r="C2001" s="1" t="n">
        <v>46045</v>
      </c>
      <c r="D2001" t="inlineStr">
        <is>
          <t>JÄMTLANDS LÄN</t>
        </is>
      </c>
      <c r="E2001" t="inlineStr">
        <is>
          <t>STRÖMSUND</t>
        </is>
      </c>
      <c r="F2001" t="inlineStr">
        <is>
          <t>Holmen skog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53518-2021</t>
        </is>
      </c>
      <c r="B2002" s="1" t="n">
        <v>44468</v>
      </c>
      <c r="C2002" s="1" t="n">
        <v>46045</v>
      </c>
      <c r="D2002" t="inlineStr">
        <is>
          <t>JÄMTLANDS LÄN</t>
        </is>
      </c>
      <c r="E2002" t="inlineStr">
        <is>
          <t>STRÖMSUND</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39631-2021</t>
        </is>
      </c>
      <c r="B2003" s="1" t="n">
        <v>44417.38271990741</v>
      </c>
      <c r="C2003" s="1" t="n">
        <v>46045</v>
      </c>
      <c r="D2003" t="inlineStr">
        <is>
          <t>JÄMTLANDS LÄN</t>
        </is>
      </c>
      <c r="E2003" t="inlineStr">
        <is>
          <t>HÄRJEDALEN</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39636-2021</t>
        </is>
      </c>
      <c r="B2004" s="1" t="n">
        <v>44417.38614583333</v>
      </c>
      <c r="C2004" s="1" t="n">
        <v>46045</v>
      </c>
      <c r="D2004" t="inlineStr">
        <is>
          <t>JÄMTLANDS LÄN</t>
        </is>
      </c>
      <c r="E2004" t="inlineStr">
        <is>
          <t>HÄRJEDALEN</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10303-2021</t>
        </is>
      </c>
      <c r="B2005" s="1" t="n">
        <v>44256</v>
      </c>
      <c r="C2005" s="1" t="n">
        <v>46045</v>
      </c>
      <c r="D2005" t="inlineStr">
        <is>
          <t>JÄMTLANDS LÄN</t>
        </is>
      </c>
      <c r="E2005" t="inlineStr">
        <is>
          <t>KROKOM</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12827-2021</t>
        </is>
      </c>
      <c r="B2006" s="1" t="n">
        <v>44271</v>
      </c>
      <c r="C2006" s="1" t="n">
        <v>46045</v>
      </c>
      <c r="D2006" t="inlineStr">
        <is>
          <t>JÄMTLANDS LÄN</t>
        </is>
      </c>
      <c r="E2006" t="inlineStr">
        <is>
          <t>ÅRE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59321-2021</t>
        </is>
      </c>
      <c r="B2007" s="1" t="n">
        <v>44490.94109953703</v>
      </c>
      <c r="C2007" s="1" t="n">
        <v>46045</v>
      </c>
      <c r="D2007" t="inlineStr">
        <is>
          <t>JÄMTLANDS LÄN</t>
        </is>
      </c>
      <c r="E2007" t="inlineStr">
        <is>
          <t>RAGUNDA</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59322-2021</t>
        </is>
      </c>
      <c r="B2008" s="1" t="n">
        <v>44490.94116898148</v>
      </c>
      <c r="C2008" s="1" t="n">
        <v>46045</v>
      </c>
      <c r="D2008" t="inlineStr">
        <is>
          <t>JÄMTLANDS LÄN</t>
        </is>
      </c>
      <c r="E2008" t="inlineStr">
        <is>
          <t>BRÄCKE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47546-2021</t>
        </is>
      </c>
      <c r="B2009" s="1" t="n">
        <v>44447.92069444444</v>
      </c>
      <c r="C2009" s="1" t="n">
        <v>46045</v>
      </c>
      <c r="D2009" t="inlineStr">
        <is>
          <t>JÄMTLANDS LÄN</t>
        </is>
      </c>
      <c r="E2009" t="inlineStr">
        <is>
          <t>RAGUNDA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54499-2021</t>
        </is>
      </c>
      <c r="B2010" s="1" t="n">
        <v>44473.508125</v>
      </c>
      <c r="C2010" s="1" t="n">
        <v>46045</v>
      </c>
      <c r="D2010" t="inlineStr">
        <is>
          <t>JÄMTLANDS LÄN</t>
        </is>
      </c>
      <c r="E2010" t="inlineStr">
        <is>
          <t>KROKOM</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60841-2021</t>
        </is>
      </c>
      <c r="B2011" s="1" t="n">
        <v>44497</v>
      </c>
      <c r="C2011" s="1" t="n">
        <v>46045</v>
      </c>
      <c r="D2011" t="inlineStr">
        <is>
          <t>JÄMTLANDS LÄN</t>
        </is>
      </c>
      <c r="E2011" t="inlineStr">
        <is>
          <t>HÄRJEDALEN</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49208-2021</t>
        </is>
      </c>
      <c r="B2012" s="1" t="n">
        <v>44454</v>
      </c>
      <c r="C2012" s="1" t="n">
        <v>46045</v>
      </c>
      <c r="D2012" t="inlineStr">
        <is>
          <t>JÄMTLANDS LÄN</t>
        </is>
      </c>
      <c r="E2012" t="inlineStr">
        <is>
          <t>STRÖMSUND</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50890-2021</t>
        </is>
      </c>
      <c r="B2013" s="1" t="n">
        <v>44460.57545138889</v>
      </c>
      <c r="C2013" s="1" t="n">
        <v>46045</v>
      </c>
      <c r="D2013" t="inlineStr">
        <is>
          <t>JÄMTLANDS LÄN</t>
        </is>
      </c>
      <c r="E2013" t="inlineStr">
        <is>
          <t>STRÖMSUND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66715-2021</t>
        </is>
      </c>
      <c r="B2014" s="1" t="n">
        <v>44519.94534722222</v>
      </c>
      <c r="C2014" s="1" t="n">
        <v>46045</v>
      </c>
      <c r="D2014" t="inlineStr">
        <is>
          <t>JÄMTLANDS LÄN</t>
        </is>
      </c>
      <c r="E2014" t="inlineStr">
        <is>
          <t>RAGUNDA</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55215-2021</t>
        </is>
      </c>
      <c r="B2015" s="1" t="n">
        <v>44475</v>
      </c>
      <c r="C2015" s="1" t="n">
        <v>46045</v>
      </c>
      <c r="D2015" t="inlineStr">
        <is>
          <t>JÄMTLANDS LÄN</t>
        </is>
      </c>
      <c r="E2015" t="inlineStr">
        <is>
          <t>HÄRJEDALEN</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11508-2021</t>
        </is>
      </c>
      <c r="B2016" s="1" t="n">
        <v>44264</v>
      </c>
      <c r="C2016" s="1" t="n">
        <v>46045</v>
      </c>
      <c r="D2016" t="inlineStr">
        <is>
          <t>JÄMTLANDS LÄN</t>
        </is>
      </c>
      <c r="E2016" t="inlineStr">
        <is>
          <t>STRÖMSUND</t>
        </is>
      </c>
      <c r="F2016" t="inlineStr">
        <is>
          <t>Kyrkan</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15277-2021</t>
        </is>
      </c>
      <c r="B2017" s="1" t="n">
        <v>44284.57520833334</v>
      </c>
      <c r="C2017" s="1" t="n">
        <v>46045</v>
      </c>
      <c r="D2017" t="inlineStr">
        <is>
          <t>JÄMTLANDS LÄN</t>
        </is>
      </c>
      <c r="E2017" t="inlineStr">
        <is>
          <t>BERG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69499-2021</t>
        </is>
      </c>
      <c r="B2018" s="1" t="n">
        <v>44531</v>
      </c>
      <c r="C2018" s="1" t="n">
        <v>46045</v>
      </c>
      <c r="D2018" t="inlineStr">
        <is>
          <t>JÄMTLANDS LÄN</t>
        </is>
      </c>
      <c r="E2018" t="inlineStr">
        <is>
          <t>HÄRJEDALEN</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22632-2021</t>
        </is>
      </c>
      <c r="B2019" s="1" t="n">
        <v>44327</v>
      </c>
      <c r="C2019" s="1" t="n">
        <v>46045</v>
      </c>
      <c r="D2019" t="inlineStr">
        <is>
          <t>JÄMTLANDS LÄN</t>
        </is>
      </c>
      <c r="E2019" t="inlineStr">
        <is>
          <t>STRÖMSUND</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26946-2021</t>
        </is>
      </c>
      <c r="B2020" s="1" t="n">
        <v>44349</v>
      </c>
      <c r="C2020" s="1" t="n">
        <v>46045</v>
      </c>
      <c r="D2020" t="inlineStr">
        <is>
          <t>JÄMTLANDS LÄN</t>
        </is>
      </c>
      <c r="E2020" t="inlineStr">
        <is>
          <t>RAGUNDA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18006-2021</t>
        </is>
      </c>
      <c r="B2021" s="1" t="n">
        <v>44301</v>
      </c>
      <c r="C2021" s="1" t="n">
        <v>46045</v>
      </c>
      <c r="D2021" t="inlineStr">
        <is>
          <t>JÄMTLANDS LÄN</t>
        </is>
      </c>
      <c r="E2021" t="inlineStr">
        <is>
          <t>BRÄCKE</t>
        </is>
      </c>
      <c r="F2021" t="inlineStr">
        <is>
          <t>SCA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73289-2021</t>
        </is>
      </c>
      <c r="B2022" s="1" t="n">
        <v>44550</v>
      </c>
      <c r="C2022" s="1" t="n">
        <v>46045</v>
      </c>
      <c r="D2022" t="inlineStr">
        <is>
          <t>JÄMTLANDS LÄN</t>
        </is>
      </c>
      <c r="E2022" t="inlineStr">
        <is>
          <t>STRÖMSUND</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6309-2022</t>
        </is>
      </c>
      <c r="B2023" s="1" t="n">
        <v>44600</v>
      </c>
      <c r="C2023" s="1" t="n">
        <v>46045</v>
      </c>
      <c r="D2023" t="inlineStr">
        <is>
          <t>JÄMTLANDS LÄN</t>
        </is>
      </c>
      <c r="E2023" t="inlineStr">
        <is>
          <t>HÄRJEDALEN</t>
        </is>
      </c>
      <c r="G2023" t="n">
        <v>38.2</v>
      </c>
      <c r="H2023" t="n">
        <v>0</v>
      </c>
      <c r="I2023" t="n">
        <v>0</v>
      </c>
      <c r="J2023" t="n">
        <v>0</v>
      </c>
      <c r="K2023" t="n">
        <v>0</v>
      </c>
      <c r="L2023" t="n">
        <v>0</v>
      </c>
      <c r="M2023" t="n">
        <v>0</v>
      </c>
      <c r="N2023" t="n">
        <v>0</v>
      </c>
      <c r="O2023" t="n">
        <v>0</v>
      </c>
      <c r="P2023" t="n">
        <v>0</v>
      </c>
      <c r="Q2023" t="n">
        <v>0</v>
      </c>
      <c r="R2023" s="2" t="inlineStr"/>
    </row>
    <row r="2024" ht="15" customHeight="1">
      <c r="A2024" t="inlineStr">
        <is>
          <t>A 37461-2021</t>
        </is>
      </c>
      <c r="B2024" s="1" t="n">
        <v>44398</v>
      </c>
      <c r="C2024" s="1" t="n">
        <v>46045</v>
      </c>
      <c r="D2024" t="inlineStr">
        <is>
          <t>JÄMTLANDS LÄN</t>
        </is>
      </c>
      <c r="E2024" t="inlineStr">
        <is>
          <t>ÅRE</t>
        </is>
      </c>
      <c r="G2024" t="n">
        <v>11.7</v>
      </c>
      <c r="H2024" t="n">
        <v>0</v>
      </c>
      <c r="I2024" t="n">
        <v>0</v>
      </c>
      <c r="J2024" t="n">
        <v>0</v>
      </c>
      <c r="K2024" t="n">
        <v>0</v>
      </c>
      <c r="L2024" t="n">
        <v>0</v>
      </c>
      <c r="M2024" t="n">
        <v>0</v>
      </c>
      <c r="N2024" t="n">
        <v>0</v>
      </c>
      <c r="O2024" t="n">
        <v>0</v>
      </c>
      <c r="P2024" t="n">
        <v>0</v>
      </c>
      <c r="Q2024" t="n">
        <v>0</v>
      </c>
      <c r="R2024" s="2" t="inlineStr"/>
    </row>
    <row r="2025" ht="15" customHeight="1">
      <c r="A2025" t="inlineStr">
        <is>
          <t>A 4135-2021</t>
        </is>
      </c>
      <c r="B2025" s="1" t="n">
        <v>44223</v>
      </c>
      <c r="C2025" s="1" t="n">
        <v>46045</v>
      </c>
      <c r="D2025" t="inlineStr">
        <is>
          <t>JÄMTLANDS LÄN</t>
        </is>
      </c>
      <c r="E2025" t="inlineStr">
        <is>
          <t>STRÖMSUND</t>
        </is>
      </c>
      <c r="F2025" t="inlineStr">
        <is>
          <t>Holmen skog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29585-2021</t>
        </is>
      </c>
      <c r="B2026" s="1" t="n">
        <v>44361</v>
      </c>
      <c r="C2026" s="1" t="n">
        <v>46045</v>
      </c>
      <c r="D2026" t="inlineStr">
        <is>
          <t>JÄMTLANDS LÄN</t>
        </is>
      </c>
      <c r="E2026" t="inlineStr">
        <is>
          <t>HÄRJEDALEN</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29601-2021</t>
        </is>
      </c>
      <c r="B2027" s="1" t="n">
        <v>44361.93670138889</v>
      </c>
      <c r="C2027" s="1" t="n">
        <v>46045</v>
      </c>
      <c r="D2027" t="inlineStr">
        <is>
          <t>JÄMTLANDS LÄN</t>
        </is>
      </c>
      <c r="E2027" t="inlineStr">
        <is>
          <t>STRÖMSUND</t>
        </is>
      </c>
      <c r="F2027" t="inlineStr">
        <is>
          <t>SCA</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22527-2021</t>
        </is>
      </c>
      <c r="B2028" s="1" t="n">
        <v>44326</v>
      </c>
      <c r="C2028" s="1" t="n">
        <v>46045</v>
      </c>
      <c r="D2028" t="inlineStr">
        <is>
          <t>JÄMTLANDS LÄN</t>
        </is>
      </c>
      <c r="E2028" t="inlineStr">
        <is>
          <t>STRÖMSUND</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23187-2021</t>
        </is>
      </c>
      <c r="B2029" s="1" t="n">
        <v>44328</v>
      </c>
      <c r="C2029" s="1" t="n">
        <v>46045</v>
      </c>
      <c r="D2029" t="inlineStr">
        <is>
          <t>JÄMTLANDS LÄN</t>
        </is>
      </c>
      <c r="E2029" t="inlineStr">
        <is>
          <t>ÖSTERSUND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71467-2021</t>
        </is>
      </c>
      <c r="B2030" s="1" t="n">
        <v>44540</v>
      </c>
      <c r="C2030" s="1" t="n">
        <v>46045</v>
      </c>
      <c r="D2030" t="inlineStr">
        <is>
          <t>JÄMTLANDS LÄN</t>
        </is>
      </c>
      <c r="E2030" t="inlineStr">
        <is>
          <t>HÄRJEDALEN</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38629-2021</t>
        </is>
      </c>
      <c r="B2031" s="1" t="n">
        <v>44409.93987268519</v>
      </c>
      <c r="C2031" s="1" t="n">
        <v>46045</v>
      </c>
      <c r="D2031" t="inlineStr">
        <is>
          <t>JÄMTLANDS LÄN</t>
        </is>
      </c>
      <c r="E2031" t="inlineStr">
        <is>
          <t>STRÖMSUND</t>
        </is>
      </c>
      <c r="F2031" t="inlineStr">
        <is>
          <t>SCA</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72957-2021</t>
        </is>
      </c>
      <c r="B2032" s="1" t="n">
        <v>44547.94171296297</v>
      </c>
      <c r="C2032" s="1" t="n">
        <v>46045</v>
      </c>
      <c r="D2032" t="inlineStr">
        <is>
          <t>JÄMTLANDS LÄN</t>
        </is>
      </c>
      <c r="E2032" t="inlineStr">
        <is>
          <t>STRÖMSUND</t>
        </is>
      </c>
      <c r="F2032" t="inlineStr">
        <is>
          <t>SCA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50022-2021</t>
        </is>
      </c>
      <c r="B2033" s="1" t="n">
        <v>44456.48565972222</v>
      </c>
      <c r="C2033" s="1" t="n">
        <v>46045</v>
      </c>
      <c r="D2033" t="inlineStr">
        <is>
          <t>JÄMTLANDS LÄN</t>
        </is>
      </c>
      <c r="E2033" t="inlineStr">
        <is>
          <t>STRÖMSUND</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61731-2021</t>
        </is>
      </c>
      <c r="B2034" s="1" t="n">
        <v>44501</v>
      </c>
      <c r="C2034" s="1" t="n">
        <v>46045</v>
      </c>
      <c r="D2034" t="inlineStr">
        <is>
          <t>JÄMTLANDS LÄN</t>
        </is>
      </c>
      <c r="E2034" t="inlineStr">
        <is>
          <t>STRÖMSUND</t>
        </is>
      </c>
      <c r="F2034" t="inlineStr">
        <is>
          <t>Holmen skog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63590-2021</t>
        </is>
      </c>
      <c r="B2035" s="1" t="n">
        <v>44508.92332175926</v>
      </c>
      <c r="C2035" s="1" t="n">
        <v>46045</v>
      </c>
      <c r="D2035" t="inlineStr">
        <is>
          <t>JÄMTLANDS LÄN</t>
        </is>
      </c>
      <c r="E2035" t="inlineStr">
        <is>
          <t>BRÄCKE</t>
        </is>
      </c>
      <c r="G2035" t="n">
        <v>9.1</v>
      </c>
      <c r="H2035" t="n">
        <v>0</v>
      </c>
      <c r="I2035" t="n">
        <v>0</v>
      </c>
      <c r="J2035" t="n">
        <v>0</v>
      </c>
      <c r="K2035" t="n">
        <v>0</v>
      </c>
      <c r="L2035" t="n">
        <v>0</v>
      </c>
      <c r="M2035" t="n">
        <v>0</v>
      </c>
      <c r="N2035" t="n">
        <v>0</v>
      </c>
      <c r="O2035" t="n">
        <v>0</v>
      </c>
      <c r="P2035" t="n">
        <v>0</v>
      </c>
      <c r="Q2035" t="n">
        <v>0</v>
      </c>
      <c r="R2035" s="2" t="inlineStr"/>
    </row>
    <row r="2036" ht="15" customHeight="1">
      <c r="A2036" t="inlineStr">
        <is>
          <t>A 62669-2021</t>
        </is>
      </c>
      <c r="B2036" s="1" t="n">
        <v>44503.94450231481</v>
      </c>
      <c r="C2036" s="1" t="n">
        <v>46045</v>
      </c>
      <c r="D2036" t="inlineStr">
        <is>
          <t>JÄMTLANDS LÄN</t>
        </is>
      </c>
      <c r="E2036" t="inlineStr">
        <is>
          <t>STRÖMSUND</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5380-2022</t>
        </is>
      </c>
      <c r="B2037" s="1" t="n">
        <v>44594</v>
      </c>
      <c r="C2037" s="1" t="n">
        <v>46045</v>
      </c>
      <c r="D2037" t="inlineStr">
        <is>
          <t>JÄMTLANDS LÄN</t>
        </is>
      </c>
      <c r="E2037" t="inlineStr">
        <is>
          <t>BRÄCKE</t>
        </is>
      </c>
      <c r="F2037" t="inlineStr">
        <is>
          <t>SCA</t>
        </is>
      </c>
      <c r="G2037" t="n">
        <v>18.3</v>
      </c>
      <c r="H2037" t="n">
        <v>0</v>
      </c>
      <c r="I2037" t="n">
        <v>0</v>
      </c>
      <c r="J2037" t="n">
        <v>0</v>
      </c>
      <c r="K2037" t="n">
        <v>0</v>
      </c>
      <c r="L2037" t="n">
        <v>0</v>
      </c>
      <c r="M2037" t="n">
        <v>0</v>
      </c>
      <c r="N2037" t="n">
        <v>0</v>
      </c>
      <c r="O2037" t="n">
        <v>0</v>
      </c>
      <c r="P2037" t="n">
        <v>0</v>
      </c>
      <c r="Q2037" t="n">
        <v>0</v>
      </c>
      <c r="R2037" s="2" t="inlineStr"/>
      <c r="U2037">
        <f>HYPERLINK("https://klasma.github.io/Logging_2305/knärot/A 5380-2022 karta knärot.png", "A 5380-2022")</f>
        <v/>
      </c>
      <c r="V2037">
        <f>HYPERLINK("https://klasma.github.io/Logging_2305/klagomål/A 5380-2022 FSC-klagomål.docx", "A 5380-2022")</f>
        <v/>
      </c>
      <c r="W2037">
        <f>HYPERLINK("https://klasma.github.io/Logging_2305/klagomålsmail/A 5380-2022 FSC-klagomål mail.docx", "A 5380-2022")</f>
        <v/>
      </c>
      <c r="X2037">
        <f>HYPERLINK("https://klasma.github.io/Logging_2305/tillsyn/A 5380-2022 tillsynsbegäran.docx", "A 5380-2022")</f>
        <v/>
      </c>
      <c r="Y2037">
        <f>HYPERLINK("https://klasma.github.io/Logging_2305/tillsynsmail/A 5380-2022 tillsynsbegäran mail.docx", "A 5380-2022")</f>
        <v/>
      </c>
    </row>
    <row r="2038" ht="15" customHeight="1">
      <c r="A2038" t="inlineStr">
        <is>
          <t>A 55231-2021</t>
        </is>
      </c>
      <c r="B2038" s="1" t="n">
        <v>44475</v>
      </c>
      <c r="C2038" s="1" t="n">
        <v>46045</v>
      </c>
      <c r="D2038" t="inlineStr">
        <is>
          <t>JÄMTLANDS LÄN</t>
        </is>
      </c>
      <c r="E2038" t="inlineStr">
        <is>
          <t>HÄRJEDALEN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35572-2021</t>
        </is>
      </c>
      <c r="B2039" s="1" t="n">
        <v>44385.93652777778</v>
      </c>
      <c r="C2039" s="1" t="n">
        <v>46045</v>
      </c>
      <c r="D2039" t="inlineStr">
        <is>
          <t>JÄMTLANDS LÄN</t>
        </is>
      </c>
      <c r="E2039" t="inlineStr">
        <is>
          <t>HÄRJEDALEN</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38356-2021</t>
        </is>
      </c>
      <c r="B2040" s="1" t="n">
        <v>44406</v>
      </c>
      <c r="C2040" s="1" t="n">
        <v>46045</v>
      </c>
      <c r="D2040" t="inlineStr">
        <is>
          <t>JÄMTLANDS LÄN</t>
        </is>
      </c>
      <c r="E2040" t="inlineStr">
        <is>
          <t>HÄRJEDALEN</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34523-2022</t>
        </is>
      </c>
      <c r="B2041" s="1" t="n">
        <v>44792.94503472222</v>
      </c>
      <c r="C2041" s="1" t="n">
        <v>46045</v>
      </c>
      <c r="D2041" t="inlineStr">
        <is>
          <t>JÄMTLANDS LÄN</t>
        </is>
      </c>
      <c r="E2041" t="inlineStr">
        <is>
          <t>STRÖMSUND</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57560-2021</t>
        </is>
      </c>
      <c r="B2042" s="1" t="n">
        <v>44483</v>
      </c>
      <c r="C2042" s="1" t="n">
        <v>46045</v>
      </c>
      <c r="D2042" t="inlineStr">
        <is>
          <t>JÄMTLANDS LÄN</t>
        </is>
      </c>
      <c r="E2042" t="inlineStr">
        <is>
          <t>STRÖMSUND</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48440-2021</t>
        </is>
      </c>
      <c r="B2043" s="1" t="n">
        <v>44449</v>
      </c>
      <c r="C2043" s="1" t="n">
        <v>46045</v>
      </c>
      <c r="D2043" t="inlineStr">
        <is>
          <t>JÄMTLANDS LÄN</t>
        </is>
      </c>
      <c r="E2043" t="inlineStr">
        <is>
          <t>KROKOM</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71668-2021</t>
        </is>
      </c>
      <c r="B2044" s="1" t="n">
        <v>44538</v>
      </c>
      <c r="C2044" s="1" t="n">
        <v>46045</v>
      </c>
      <c r="D2044" t="inlineStr">
        <is>
          <t>JÄMTLANDS LÄN</t>
        </is>
      </c>
      <c r="E2044" t="inlineStr">
        <is>
          <t>HÄRJEDALEN</t>
        </is>
      </c>
      <c r="F2044" t="inlineStr">
        <is>
          <t>Övriga statliga verk och myndigheter</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55393-2021</t>
        </is>
      </c>
      <c r="B2045" s="1" t="n">
        <v>44475</v>
      </c>
      <c r="C2045" s="1" t="n">
        <v>46045</v>
      </c>
      <c r="D2045" t="inlineStr">
        <is>
          <t>JÄMTLANDS LÄN</t>
        </is>
      </c>
      <c r="E2045" t="inlineStr">
        <is>
          <t>HÄRJEDALEN</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2010-2022</t>
        </is>
      </c>
      <c r="B2046" s="1" t="n">
        <v>44575.5847337963</v>
      </c>
      <c r="C2046" s="1" t="n">
        <v>46045</v>
      </c>
      <c r="D2046" t="inlineStr">
        <is>
          <t>JÄMTLANDS LÄN</t>
        </is>
      </c>
      <c r="E2046" t="inlineStr">
        <is>
          <t>BERG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16037-2022</t>
        </is>
      </c>
      <c r="B2047" s="1" t="n">
        <v>44665</v>
      </c>
      <c r="C2047" s="1" t="n">
        <v>46045</v>
      </c>
      <c r="D2047" t="inlineStr">
        <is>
          <t>JÄMTLANDS LÄN</t>
        </is>
      </c>
      <c r="E2047" t="inlineStr">
        <is>
          <t>KROKOM</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4662-2021</t>
        </is>
      </c>
      <c r="B2048" s="1" t="n">
        <v>44224</v>
      </c>
      <c r="C2048" s="1" t="n">
        <v>46045</v>
      </c>
      <c r="D2048" t="inlineStr">
        <is>
          <t>JÄMTLANDS LÄN</t>
        </is>
      </c>
      <c r="E2048" t="inlineStr">
        <is>
          <t>STRÖMSUND</t>
        </is>
      </c>
      <c r="F2048" t="inlineStr">
        <is>
          <t>SCA</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18443-2022</t>
        </is>
      </c>
      <c r="B2049" s="1" t="n">
        <v>44686.48277777778</v>
      </c>
      <c r="C2049" s="1" t="n">
        <v>46045</v>
      </c>
      <c r="D2049" t="inlineStr">
        <is>
          <t>JÄMTLANDS LÄN</t>
        </is>
      </c>
      <c r="E2049" t="inlineStr">
        <is>
          <t>ÅRE</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16359-2022</t>
        </is>
      </c>
      <c r="B2050" s="1" t="n">
        <v>44670.9254050926</v>
      </c>
      <c r="C2050" s="1" t="n">
        <v>46045</v>
      </c>
      <c r="D2050" t="inlineStr">
        <is>
          <t>JÄMTLANDS LÄN</t>
        </is>
      </c>
      <c r="E2050" t="inlineStr">
        <is>
          <t>STRÖMSUND</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8979-2021</t>
        </is>
      </c>
      <c r="B2051" s="1" t="n">
        <v>44246</v>
      </c>
      <c r="C2051" s="1" t="n">
        <v>46045</v>
      </c>
      <c r="D2051" t="inlineStr">
        <is>
          <t>JÄMTLANDS LÄN</t>
        </is>
      </c>
      <c r="E2051" t="inlineStr">
        <is>
          <t>STRÖMSUND</t>
        </is>
      </c>
      <c r="G2051" t="n">
        <v>40.4</v>
      </c>
      <c r="H2051" t="n">
        <v>0</v>
      </c>
      <c r="I2051" t="n">
        <v>0</v>
      </c>
      <c r="J2051" t="n">
        <v>0</v>
      </c>
      <c r="K2051" t="n">
        <v>0</v>
      </c>
      <c r="L2051" t="n">
        <v>0</v>
      </c>
      <c r="M2051" t="n">
        <v>0</v>
      </c>
      <c r="N2051" t="n">
        <v>0</v>
      </c>
      <c r="O2051" t="n">
        <v>0</v>
      </c>
      <c r="P2051" t="n">
        <v>0</v>
      </c>
      <c r="Q2051" t="n">
        <v>0</v>
      </c>
      <c r="R2051" s="2" t="inlineStr"/>
    </row>
    <row r="2052" ht="15" customHeight="1">
      <c r="A2052" t="inlineStr">
        <is>
          <t>A 17528-2022</t>
        </is>
      </c>
      <c r="B2052" s="1" t="n">
        <v>44679</v>
      </c>
      <c r="C2052" s="1" t="n">
        <v>46045</v>
      </c>
      <c r="D2052" t="inlineStr">
        <is>
          <t>JÄMTLANDS LÄN</t>
        </is>
      </c>
      <c r="E2052" t="inlineStr">
        <is>
          <t>KROKOM</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16311-2022</t>
        </is>
      </c>
      <c r="B2053" s="1" t="n">
        <v>44670</v>
      </c>
      <c r="C2053" s="1" t="n">
        <v>46045</v>
      </c>
      <c r="D2053" t="inlineStr">
        <is>
          <t>JÄMTLANDS LÄN</t>
        </is>
      </c>
      <c r="E2053" t="inlineStr">
        <is>
          <t>STRÖMSUND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47635-2022</t>
        </is>
      </c>
      <c r="B2054" s="1" t="n">
        <v>44854</v>
      </c>
      <c r="C2054" s="1" t="n">
        <v>46045</v>
      </c>
      <c r="D2054" t="inlineStr">
        <is>
          <t>JÄMTLANDS LÄN</t>
        </is>
      </c>
      <c r="E2054" t="inlineStr">
        <is>
          <t>HÄRJEDALEN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8033-2021</t>
        </is>
      </c>
      <c r="B2055" s="1" t="n">
        <v>44243</v>
      </c>
      <c r="C2055" s="1" t="n">
        <v>46045</v>
      </c>
      <c r="D2055" t="inlineStr">
        <is>
          <t>JÄMTLANDS LÄN</t>
        </is>
      </c>
      <c r="E2055" t="inlineStr">
        <is>
          <t>RAGUNDA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40578-2022</t>
        </is>
      </c>
      <c r="B2056" s="1" t="n">
        <v>44823</v>
      </c>
      <c r="C2056" s="1" t="n">
        <v>46045</v>
      </c>
      <c r="D2056" t="inlineStr">
        <is>
          <t>JÄMTLANDS LÄN</t>
        </is>
      </c>
      <c r="E2056" t="inlineStr">
        <is>
          <t>HÄRJEDALEN</t>
        </is>
      </c>
      <c r="F2056" t="inlineStr">
        <is>
          <t>Sveaskog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53453-2022</t>
        </is>
      </c>
      <c r="B2057" s="1" t="n">
        <v>44879.49488425926</v>
      </c>
      <c r="C2057" s="1" t="n">
        <v>46045</v>
      </c>
      <c r="D2057" t="inlineStr">
        <is>
          <t>JÄMTLANDS LÄN</t>
        </is>
      </c>
      <c r="E2057" t="inlineStr">
        <is>
          <t>ÖSTERSUND</t>
        </is>
      </c>
      <c r="G2057" t="n">
        <v>22.2</v>
      </c>
      <c r="H2057" t="n">
        <v>0</v>
      </c>
      <c r="I2057" t="n">
        <v>0</v>
      </c>
      <c r="J2057" t="n">
        <v>0</v>
      </c>
      <c r="K2057" t="n">
        <v>0</v>
      </c>
      <c r="L2057" t="n">
        <v>0</v>
      </c>
      <c r="M2057" t="n">
        <v>0</v>
      </c>
      <c r="N2057" t="n">
        <v>0</v>
      </c>
      <c r="O2057" t="n">
        <v>0</v>
      </c>
      <c r="P2057" t="n">
        <v>0</v>
      </c>
      <c r="Q2057" t="n">
        <v>0</v>
      </c>
      <c r="R2057" s="2" t="inlineStr"/>
    </row>
    <row r="2058" ht="15" customHeight="1">
      <c r="A2058" t="inlineStr">
        <is>
          <t>A 41822-2022</t>
        </is>
      </c>
      <c r="B2058" s="1" t="n">
        <v>44827.94597222222</v>
      </c>
      <c r="C2058" s="1" t="n">
        <v>46045</v>
      </c>
      <c r="D2058" t="inlineStr">
        <is>
          <t>JÄMTLANDS LÄN</t>
        </is>
      </c>
      <c r="E2058" t="inlineStr">
        <is>
          <t>STRÖMSUND</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13041-2021</t>
        </is>
      </c>
      <c r="B2059" s="1" t="n">
        <v>44271</v>
      </c>
      <c r="C2059" s="1" t="n">
        <v>46045</v>
      </c>
      <c r="D2059" t="inlineStr">
        <is>
          <t>JÄMTLANDS LÄN</t>
        </is>
      </c>
      <c r="E2059" t="inlineStr">
        <is>
          <t>STRÖMSUND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50661-2022</t>
        </is>
      </c>
      <c r="B2060" s="1" t="n">
        <v>44866.95263888889</v>
      </c>
      <c r="C2060" s="1" t="n">
        <v>46045</v>
      </c>
      <c r="D2060" t="inlineStr">
        <is>
          <t>JÄMTLANDS LÄN</t>
        </is>
      </c>
      <c r="E2060" t="inlineStr">
        <is>
          <t>STRÖMSUND</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43752-2021</t>
        </is>
      </c>
      <c r="B2061" s="1" t="n">
        <v>44433.66100694444</v>
      </c>
      <c r="C2061" s="1" t="n">
        <v>46045</v>
      </c>
      <c r="D2061" t="inlineStr">
        <is>
          <t>JÄMTLANDS LÄN</t>
        </is>
      </c>
      <c r="E2061" t="inlineStr">
        <is>
          <t>STRÖMSUND</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43754-2021</t>
        </is>
      </c>
      <c r="B2062" s="1" t="n">
        <v>44433.66350694445</v>
      </c>
      <c r="C2062" s="1" t="n">
        <v>46045</v>
      </c>
      <c r="D2062" t="inlineStr">
        <is>
          <t>JÄMTLANDS LÄN</t>
        </is>
      </c>
      <c r="E2062" t="inlineStr">
        <is>
          <t>STRÖMSUND</t>
        </is>
      </c>
      <c r="F2062" t="inlineStr">
        <is>
          <t>Sveaskog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45626-2021</t>
        </is>
      </c>
      <c r="B2063" s="1" t="n">
        <v>44440.98006944444</v>
      </c>
      <c r="C2063" s="1" t="n">
        <v>46045</v>
      </c>
      <c r="D2063" t="inlineStr">
        <is>
          <t>JÄMTLANDS LÄN</t>
        </is>
      </c>
      <c r="E2063" t="inlineStr">
        <is>
          <t>STRÖMSUND</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45627-2021</t>
        </is>
      </c>
      <c r="B2064" s="1" t="n">
        <v>44440.98012731481</v>
      </c>
      <c r="C2064" s="1" t="n">
        <v>46045</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41474-2021</t>
        </is>
      </c>
      <c r="B2065" s="1" t="n">
        <v>44424</v>
      </c>
      <c r="C2065" s="1" t="n">
        <v>46045</v>
      </c>
      <c r="D2065" t="inlineStr">
        <is>
          <t>JÄMTLANDS LÄN</t>
        </is>
      </c>
      <c r="E2065" t="inlineStr">
        <is>
          <t>BRÄCKE</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37229-2021</t>
        </is>
      </c>
      <c r="B2066" s="1" t="n">
        <v>44396.93260416666</v>
      </c>
      <c r="C2066" s="1" t="n">
        <v>46045</v>
      </c>
      <c r="D2066" t="inlineStr">
        <is>
          <t>JÄMTLANDS LÄN</t>
        </is>
      </c>
      <c r="E2066" t="inlineStr">
        <is>
          <t>STRÖMSUND</t>
        </is>
      </c>
      <c r="F2066" t="inlineStr">
        <is>
          <t>SCA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46625-2021</t>
        </is>
      </c>
      <c r="B2067" s="1" t="n">
        <v>44445</v>
      </c>
      <c r="C2067" s="1" t="n">
        <v>46045</v>
      </c>
      <c r="D2067" t="inlineStr">
        <is>
          <t>JÄMTLANDS LÄN</t>
        </is>
      </c>
      <c r="E2067" t="inlineStr">
        <is>
          <t>KROKOM</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14776-2021</t>
        </is>
      </c>
      <c r="B2068" s="1" t="n">
        <v>44280</v>
      </c>
      <c r="C2068" s="1" t="n">
        <v>46045</v>
      </c>
      <c r="D2068" t="inlineStr">
        <is>
          <t>JÄMTLANDS LÄN</t>
        </is>
      </c>
      <c r="E2068" t="inlineStr">
        <is>
          <t>RAGUNDA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35352-2021</t>
        </is>
      </c>
      <c r="B2069" s="1" t="n">
        <v>44384</v>
      </c>
      <c r="C2069" s="1" t="n">
        <v>46045</v>
      </c>
      <c r="D2069" t="inlineStr">
        <is>
          <t>JÄMTLANDS LÄN</t>
        </is>
      </c>
      <c r="E2069" t="inlineStr">
        <is>
          <t>STRÖMSUND</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35386-2021</t>
        </is>
      </c>
      <c r="B2070" s="1" t="n">
        <v>44385.33887731482</v>
      </c>
      <c r="C2070" s="1" t="n">
        <v>46045</v>
      </c>
      <c r="D2070" t="inlineStr">
        <is>
          <t>JÄMTLANDS LÄN</t>
        </is>
      </c>
      <c r="E2070" t="inlineStr">
        <is>
          <t>RAGUNDA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43421-2022</t>
        </is>
      </c>
      <c r="B2071" s="1" t="n">
        <v>44834</v>
      </c>
      <c r="C2071" s="1" t="n">
        <v>46045</v>
      </c>
      <c r="D2071" t="inlineStr">
        <is>
          <t>JÄMTLANDS LÄN</t>
        </is>
      </c>
      <c r="E2071" t="inlineStr">
        <is>
          <t>BRÄCKE</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41395-2021</t>
        </is>
      </c>
      <c r="B2072" s="1" t="n">
        <v>44424</v>
      </c>
      <c r="C2072" s="1" t="n">
        <v>46045</v>
      </c>
      <c r="D2072" t="inlineStr">
        <is>
          <t>JÄMTLANDS LÄN</t>
        </is>
      </c>
      <c r="E2072" t="inlineStr">
        <is>
          <t>HÄRJEDALEN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47261-2021</t>
        </is>
      </c>
      <c r="B2073" s="1" t="n">
        <v>44447</v>
      </c>
      <c r="C2073" s="1" t="n">
        <v>46045</v>
      </c>
      <c r="D2073" t="inlineStr">
        <is>
          <t>JÄMTLANDS LÄN</t>
        </is>
      </c>
      <c r="E2073" t="inlineStr">
        <is>
          <t>STRÖMSUND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3539-2022</t>
        </is>
      </c>
      <c r="B2074" s="1" t="n">
        <v>44585.93717592592</v>
      </c>
      <c r="C2074" s="1" t="n">
        <v>46045</v>
      </c>
      <c r="D2074" t="inlineStr">
        <is>
          <t>JÄMTLANDS LÄN</t>
        </is>
      </c>
      <c r="E2074" t="inlineStr">
        <is>
          <t>STRÖMSUND</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59913-2021</t>
        </is>
      </c>
      <c r="B2075" s="1" t="n">
        <v>44494</v>
      </c>
      <c r="C2075" s="1" t="n">
        <v>46045</v>
      </c>
      <c r="D2075" t="inlineStr">
        <is>
          <t>JÄMTLANDS LÄN</t>
        </is>
      </c>
      <c r="E2075" t="inlineStr">
        <is>
          <t>KROKOM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12387-2021</t>
        </is>
      </c>
      <c r="B2076" s="1" t="n">
        <v>44267</v>
      </c>
      <c r="C2076" s="1" t="n">
        <v>46045</v>
      </c>
      <c r="D2076" t="inlineStr">
        <is>
          <t>JÄMTLANDS LÄN</t>
        </is>
      </c>
      <c r="E2076" t="inlineStr">
        <is>
          <t>ÅRE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49620-2021</t>
        </is>
      </c>
      <c r="B2077" s="1" t="n">
        <v>44455.43430555556</v>
      </c>
      <c r="C2077" s="1" t="n">
        <v>46045</v>
      </c>
      <c r="D2077" t="inlineStr">
        <is>
          <t>JÄMTLANDS LÄN</t>
        </is>
      </c>
      <c r="E2077" t="inlineStr">
        <is>
          <t>STRÖMSUND</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35914-2021</t>
        </is>
      </c>
      <c r="B2078" s="1" t="n">
        <v>44387.93270833333</v>
      </c>
      <c r="C2078" s="1" t="n">
        <v>46045</v>
      </c>
      <c r="D2078" t="inlineStr">
        <is>
          <t>JÄMTLANDS LÄN</t>
        </is>
      </c>
      <c r="E2078" t="inlineStr">
        <is>
          <t>STRÖMSUND</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21837-2021</t>
        </is>
      </c>
      <c r="B2079" s="1" t="n">
        <v>44316</v>
      </c>
      <c r="C2079" s="1" t="n">
        <v>46045</v>
      </c>
      <c r="D2079" t="inlineStr">
        <is>
          <t>JÄMTLANDS LÄN</t>
        </is>
      </c>
      <c r="E2079" t="inlineStr">
        <is>
          <t>HÄRJEDALEN</t>
        </is>
      </c>
      <c r="G2079" t="n">
        <v>20</v>
      </c>
      <c r="H2079" t="n">
        <v>0</v>
      </c>
      <c r="I2079" t="n">
        <v>0</v>
      </c>
      <c r="J2079" t="n">
        <v>0</v>
      </c>
      <c r="K2079" t="n">
        <v>0</v>
      </c>
      <c r="L2079" t="n">
        <v>0</v>
      </c>
      <c r="M2079" t="n">
        <v>0</v>
      </c>
      <c r="N2079" t="n">
        <v>0</v>
      </c>
      <c r="O2079" t="n">
        <v>0</v>
      </c>
      <c r="P2079" t="n">
        <v>0</v>
      </c>
      <c r="Q2079" t="n">
        <v>0</v>
      </c>
      <c r="R2079" s="2" t="inlineStr"/>
    </row>
    <row r="2080" ht="15" customHeight="1">
      <c r="A2080" t="inlineStr">
        <is>
          <t>A 24843-2021</t>
        </is>
      </c>
      <c r="B2080" s="1" t="n">
        <v>44340.82405092593</v>
      </c>
      <c r="C2080" s="1" t="n">
        <v>46045</v>
      </c>
      <c r="D2080" t="inlineStr">
        <is>
          <t>JÄMTLANDS LÄN</t>
        </is>
      </c>
      <c r="E2080" t="inlineStr">
        <is>
          <t>BERG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70463-2021</t>
        </is>
      </c>
      <c r="B2081" s="1" t="n">
        <v>44536.65293981481</v>
      </c>
      <c r="C2081" s="1" t="n">
        <v>46045</v>
      </c>
      <c r="D2081" t="inlineStr">
        <is>
          <t>JÄMTLANDS LÄN</t>
        </is>
      </c>
      <c r="E2081" t="inlineStr">
        <is>
          <t>BERG</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8559-2022</t>
        </is>
      </c>
      <c r="B2082" s="1" t="n">
        <v>44610</v>
      </c>
      <c r="C2082" s="1" t="n">
        <v>46045</v>
      </c>
      <c r="D2082" t="inlineStr">
        <is>
          <t>JÄMTLANDS LÄN</t>
        </is>
      </c>
      <c r="E2082" t="inlineStr">
        <is>
          <t>KROKOM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33189-2021</t>
        </is>
      </c>
      <c r="B2083" s="1" t="n">
        <v>44376.87497685185</v>
      </c>
      <c r="C2083" s="1" t="n">
        <v>46045</v>
      </c>
      <c r="D2083" t="inlineStr">
        <is>
          <t>JÄMTLANDS LÄN</t>
        </is>
      </c>
      <c r="E2083" t="inlineStr">
        <is>
          <t>KROKOM</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33320-2021</t>
        </is>
      </c>
      <c r="B2084" s="1" t="n">
        <v>44377.44767361111</v>
      </c>
      <c r="C2084" s="1" t="n">
        <v>46045</v>
      </c>
      <c r="D2084" t="inlineStr">
        <is>
          <t>JÄMTLANDS LÄN</t>
        </is>
      </c>
      <c r="E2084" t="inlineStr">
        <is>
          <t>KROKOM</t>
        </is>
      </c>
      <c r="F2084" t="inlineStr">
        <is>
          <t>Övriga Aktiebolag</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28883-2021</t>
        </is>
      </c>
      <c r="B2085" s="1" t="n">
        <v>44357</v>
      </c>
      <c r="C2085" s="1" t="n">
        <v>46045</v>
      </c>
      <c r="D2085" t="inlineStr">
        <is>
          <t>JÄMTLANDS LÄN</t>
        </is>
      </c>
      <c r="E2085" t="inlineStr">
        <is>
          <t>BERG</t>
        </is>
      </c>
      <c r="F2085" t="inlineStr">
        <is>
          <t>Kyrkan</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26104-2021</t>
        </is>
      </c>
      <c r="B2086" s="1" t="n">
        <v>44344</v>
      </c>
      <c r="C2086" s="1" t="n">
        <v>46045</v>
      </c>
      <c r="D2086" t="inlineStr">
        <is>
          <t>JÄMTLANDS LÄN</t>
        </is>
      </c>
      <c r="E2086" t="inlineStr">
        <is>
          <t>STRÖMSUND</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33327-2022</t>
        </is>
      </c>
      <c r="B2087" s="1" t="n">
        <v>44788</v>
      </c>
      <c r="C2087" s="1" t="n">
        <v>46045</v>
      </c>
      <c r="D2087" t="inlineStr">
        <is>
          <t>JÄMTLANDS LÄN</t>
        </is>
      </c>
      <c r="E2087" t="inlineStr">
        <is>
          <t>KROKOM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14790-2021</t>
        </is>
      </c>
      <c r="B2088" s="1" t="n">
        <v>44280</v>
      </c>
      <c r="C2088" s="1" t="n">
        <v>46045</v>
      </c>
      <c r="D2088" t="inlineStr">
        <is>
          <t>JÄMTLANDS LÄN</t>
        </is>
      </c>
      <c r="E2088" t="inlineStr">
        <is>
          <t>RAGUNDA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64291-2021</t>
        </is>
      </c>
      <c r="B2089" s="1" t="n">
        <v>44510</v>
      </c>
      <c r="C2089" s="1" t="n">
        <v>46045</v>
      </c>
      <c r="D2089" t="inlineStr">
        <is>
          <t>JÄMTLANDS LÄN</t>
        </is>
      </c>
      <c r="E2089" t="inlineStr">
        <is>
          <t>STRÖMSUND</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60132-2021</t>
        </is>
      </c>
      <c r="B2090" s="1" t="n">
        <v>44495</v>
      </c>
      <c r="C2090" s="1" t="n">
        <v>46045</v>
      </c>
      <c r="D2090" t="inlineStr">
        <is>
          <t>JÄMTLANDS LÄN</t>
        </is>
      </c>
      <c r="E2090" t="inlineStr">
        <is>
          <t>ÅRE</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29903-2021</t>
        </is>
      </c>
      <c r="B2091" s="1" t="n">
        <v>44362.91957175926</v>
      </c>
      <c r="C2091" s="1" t="n">
        <v>46045</v>
      </c>
      <c r="D2091" t="inlineStr">
        <is>
          <t>JÄMTLANDS LÄN</t>
        </is>
      </c>
      <c r="E2091" t="inlineStr">
        <is>
          <t>STRÖMSUND</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8396-2021</t>
        </is>
      </c>
      <c r="B2092" s="1" t="n">
        <v>44238</v>
      </c>
      <c r="C2092" s="1" t="n">
        <v>46045</v>
      </c>
      <c r="D2092" t="inlineStr">
        <is>
          <t>JÄMTLANDS LÄN</t>
        </is>
      </c>
      <c r="E2092" t="inlineStr">
        <is>
          <t>ÖSTERSUND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57381-2021</t>
        </is>
      </c>
      <c r="B2093" s="1" t="n">
        <v>44483</v>
      </c>
      <c r="C2093" s="1" t="n">
        <v>46045</v>
      </c>
      <c r="D2093" t="inlineStr">
        <is>
          <t>JÄMTLANDS LÄN</t>
        </is>
      </c>
      <c r="E2093" t="inlineStr">
        <is>
          <t>HÄRJEDALEN</t>
        </is>
      </c>
      <c r="G2093" t="n">
        <v>17.9</v>
      </c>
      <c r="H2093" t="n">
        <v>0</v>
      </c>
      <c r="I2093" t="n">
        <v>0</v>
      </c>
      <c r="J2093" t="n">
        <v>0</v>
      </c>
      <c r="K2093" t="n">
        <v>0</v>
      </c>
      <c r="L2093" t="n">
        <v>0</v>
      </c>
      <c r="M2093" t="n">
        <v>0</v>
      </c>
      <c r="N2093" t="n">
        <v>0</v>
      </c>
      <c r="O2093" t="n">
        <v>0</v>
      </c>
      <c r="P2093" t="n">
        <v>0</v>
      </c>
      <c r="Q2093" t="n">
        <v>0</v>
      </c>
      <c r="R2093" s="2" t="inlineStr"/>
    </row>
    <row r="2094" ht="15" customHeight="1">
      <c r="A2094" t="inlineStr">
        <is>
          <t>A 40808-2021</t>
        </is>
      </c>
      <c r="B2094" s="1" t="n">
        <v>44421</v>
      </c>
      <c r="C2094" s="1" t="n">
        <v>46045</v>
      </c>
      <c r="D2094" t="inlineStr">
        <is>
          <t>JÄMTLANDS LÄN</t>
        </is>
      </c>
      <c r="E2094" t="inlineStr">
        <is>
          <t>HÄRJEDALEN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30810-2022</t>
        </is>
      </c>
      <c r="B2095" s="1" t="n">
        <v>44764.94164351852</v>
      </c>
      <c r="C2095" s="1" t="n">
        <v>46045</v>
      </c>
      <c r="D2095" t="inlineStr">
        <is>
          <t>JÄMTLANDS LÄN</t>
        </is>
      </c>
      <c r="E2095" t="inlineStr">
        <is>
          <t>BRÄCKE</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39950-2021</t>
        </is>
      </c>
      <c r="B2096" s="1" t="n">
        <v>44418</v>
      </c>
      <c r="C2096" s="1" t="n">
        <v>46045</v>
      </c>
      <c r="D2096" t="inlineStr">
        <is>
          <t>JÄMTLANDS LÄN</t>
        </is>
      </c>
      <c r="E2096" t="inlineStr">
        <is>
          <t>HÄRJEDALEN</t>
        </is>
      </c>
      <c r="F2096" t="inlineStr">
        <is>
          <t>Sveaskog</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23501-2021</t>
        </is>
      </c>
      <c r="B2097" s="1" t="n">
        <v>44333</v>
      </c>
      <c r="C2097" s="1" t="n">
        <v>46045</v>
      </c>
      <c r="D2097" t="inlineStr">
        <is>
          <t>JÄMTLANDS LÄN</t>
        </is>
      </c>
      <c r="E2097" t="inlineStr">
        <is>
          <t>STRÖMSUND</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29296-2022</t>
        </is>
      </c>
      <c r="B2098" s="1" t="n">
        <v>44750.94336805555</v>
      </c>
      <c r="C2098" s="1" t="n">
        <v>46045</v>
      </c>
      <c r="D2098" t="inlineStr">
        <is>
          <t>JÄMTLANDS LÄN</t>
        </is>
      </c>
      <c r="E2098" t="inlineStr">
        <is>
          <t>STRÖMSUND</t>
        </is>
      </c>
      <c r="F2098" t="inlineStr">
        <is>
          <t>SCA</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64092-2021</t>
        </is>
      </c>
      <c r="B2099" s="1" t="n">
        <v>44510.44064814815</v>
      </c>
      <c r="C2099" s="1" t="n">
        <v>46045</v>
      </c>
      <c r="D2099" t="inlineStr">
        <is>
          <t>JÄMTLANDS LÄN</t>
        </is>
      </c>
      <c r="E2099" t="inlineStr">
        <is>
          <t>ÖSTERSUND</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16379-2021</t>
        </is>
      </c>
      <c r="B2100" s="1" t="n">
        <v>44292</v>
      </c>
      <c r="C2100" s="1" t="n">
        <v>46045</v>
      </c>
      <c r="D2100" t="inlineStr">
        <is>
          <t>JÄMTLANDS LÄN</t>
        </is>
      </c>
      <c r="E2100" t="inlineStr">
        <is>
          <t>RAGUNDA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48547-2022</t>
        </is>
      </c>
      <c r="B2101" s="1" t="n">
        <v>44858</v>
      </c>
      <c r="C2101" s="1" t="n">
        <v>46045</v>
      </c>
      <c r="D2101" t="inlineStr">
        <is>
          <t>JÄMTLANDS LÄN</t>
        </is>
      </c>
      <c r="E2101" t="inlineStr">
        <is>
          <t>STRÖMSUND</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21413-2022</t>
        </is>
      </c>
      <c r="B2102" s="1" t="n">
        <v>44705</v>
      </c>
      <c r="C2102" s="1" t="n">
        <v>46045</v>
      </c>
      <c r="D2102" t="inlineStr">
        <is>
          <t>JÄMTLANDS LÄN</t>
        </is>
      </c>
      <c r="E2102" t="inlineStr">
        <is>
          <t>RAGUNDA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30042-2022</t>
        </is>
      </c>
      <c r="B2103" s="1" t="n">
        <v>44756.94591435185</v>
      </c>
      <c r="C2103" s="1" t="n">
        <v>46045</v>
      </c>
      <c r="D2103" t="inlineStr">
        <is>
          <t>JÄMTLANDS LÄN</t>
        </is>
      </c>
      <c r="E2103" t="inlineStr">
        <is>
          <t>STRÖMSUND</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31485-2022</t>
        </is>
      </c>
      <c r="B2104" s="1" t="n">
        <v>44774.94420138889</v>
      </c>
      <c r="C2104" s="1" t="n">
        <v>46045</v>
      </c>
      <c r="D2104" t="inlineStr">
        <is>
          <t>JÄMTLANDS LÄN</t>
        </is>
      </c>
      <c r="E2104" t="inlineStr">
        <is>
          <t>STRÖMSUND</t>
        </is>
      </c>
      <c r="F2104" t="inlineStr">
        <is>
          <t>SCA</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38265-2022</t>
        </is>
      </c>
      <c r="B2105" s="1" t="n">
        <v>44812</v>
      </c>
      <c r="C2105" s="1" t="n">
        <v>46045</v>
      </c>
      <c r="D2105" t="inlineStr">
        <is>
          <t>JÄMTLANDS LÄN</t>
        </is>
      </c>
      <c r="E2105" t="inlineStr">
        <is>
          <t>ÅRE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34005-2022</t>
        </is>
      </c>
      <c r="B2106" s="1" t="n">
        <v>44790.94476851852</v>
      </c>
      <c r="C2106" s="1" t="n">
        <v>46045</v>
      </c>
      <c r="D2106" t="inlineStr">
        <is>
          <t>JÄMTLANDS LÄN</t>
        </is>
      </c>
      <c r="E2106" t="inlineStr">
        <is>
          <t>STRÖMSUND</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40038-2021</t>
        </is>
      </c>
      <c r="B2107" s="1" t="n">
        <v>44418.45925925926</v>
      </c>
      <c r="C2107" s="1" t="n">
        <v>46045</v>
      </c>
      <c r="D2107" t="inlineStr">
        <is>
          <t>JÄMTLANDS LÄN</t>
        </is>
      </c>
      <c r="E2107" t="inlineStr">
        <is>
          <t>ÖSTERSUND</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22318-2021</t>
        </is>
      </c>
      <c r="B2108" s="1" t="n">
        <v>44321</v>
      </c>
      <c r="C2108" s="1" t="n">
        <v>46045</v>
      </c>
      <c r="D2108" t="inlineStr">
        <is>
          <t>JÄMTLANDS LÄN</t>
        </is>
      </c>
      <c r="E2108" t="inlineStr">
        <is>
          <t>STRÖMSUND</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27233-2021</t>
        </is>
      </c>
      <c r="B2109" s="1" t="n">
        <v>44350</v>
      </c>
      <c r="C2109" s="1" t="n">
        <v>46045</v>
      </c>
      <c r="D2109" t="inlineStr">
        <is>
          <t>JÄMTLANDS LÄN</t>
        </is>
      </c>
      <c r="E2109" t="inlineStr">
        <is>
          <t>STRÖMSUND</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51042-2021</t>
        </is>
      </c>
      <c r="B2110" s="1" t="n">
        <v>44461</v>
      </c>
      <c r="C2110" s="1" t="n">
        <v>46045</v>
      </c>
      <c r="D2110" t="inlineStr">
        <is>
          <t>JÄMTLANDS LÄN</t>
        </is>
      </c>
      <c r="E2110" t="inlineStr">
        <is>
          <t>ÅRE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39702-2022</t>
        </is>
      </c>
      <c r="B2111" s="1" t="n">
        <v>44818</v>
      </c>
      <c r="C2111" s="1" t="n">
        <v>46045</v>
      </c>
      <c r="D2111" t="inlineStr">
        <is>
          <t>JÄMTLANDS LÄN</t>
        </is>
      </c>
      <c r="E2111" t="inlineStr">
        <is>
          <t>BRÄCKE</t>
        </is>
      </c>
      <c r="F2111" t="inlineStr">
        <is>
          <t>SCA</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61612-2021</t>
        </is>
      </c>
      <c r="B2112" s="1" t="n">
        <v>44498</v>
      </c>
      <c r="C2112" s="1" t="n">
        <v>46045</v>
      </c>
      <c r="D2112" t="inlineStr">
        <is>
          <t>JÄMTLANDS LÄN</t>
        </is>
      </c>
      <c r="E2112" t="inlineStr">
        <is>
          <t>STRÖMSUND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66472-2021</t>
        </is>
      </c>
      <c r="B2113" s="1" t="n">
        <v>44518.94394675926</v>
      </c>
      <c r="C2113" s="1" t="n">
        <v>46045</v>
      </c>
      <c r="D2113" t="inlineStr">
        <is>
          <t>JÄMTLANDS LÄN</t>
        </is>
      </c>
      <c r="E2113" t="inlineStr">
        <is>
          <t>RAGUNDA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58451-2021</t>
        </is>
      </c>
      <c r="B2114" s="1" t="n">
        <v>44488</v>
      </c>
      <c r="C2114" s="1" t="n">
        <v>46045</v>
      </c>
      <c r="D2114" t="inlineStr">
        <is>
          <t>JÄMTLANDS LÄN</t>
        </is>
      </c>
      <c r="E2114" t="inlineStr">
        <is>
          <t>HÄRJEDALEN</t>
        </is>
      </c>
      <c r="F2114" t="inlineStr">
        <is>
          <t>Naturvårdsverket</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27261-2021</t>
        </is>
      </c>
      <c r="B2115" s="1" t="n">
        <v>44350.93945601852</v>
      </c>
      <c r="C2115" s="1" t="n">
        <v>46045</v>
      </c>
      <c r="D2115" t="inlineStr">
        <is>
          <t>JÄMTLANDS LÄN</t>
        </is>
      </c>
      <c r="E2115" t="inlineStr">
        <is>
          <t>BRÄCKE</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37232-2022</t>
        </is>
      </c>
      <c r="B2116" s="1" t="n">
        <v>44806</v>
      </c>
      <c r="C2116" s="1" t="n">
        <v>46045</v>
      </c>
      <c r="D2116" t="inlineStr">
        <is>
          <t>JÄMTLANDS LÄN</t>
        </is>
      </c>
      <c r="E2116" t="inlineStr">
        <is>
          <t>BRÄCKE</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58973-2021</t>
        </is>
      </c>
      <c r="B2117" s="1" t="n">
        <v>44489</v>
      </c>
      <c r="C2117" s="1" t="n">
        <v>46045</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58230-2021</t>
        </is>
      </c>
      <c r="B2118" s="1" t="n">
        <v>44487</v>
      </c>
      <c r="C2118" s="1" t="n">
        <v>46045</v>
      </c>
      <c r="D2118" t="inlineStr">
        <is>
          <t>JÄMTLANDS LÄN</t>
        </is>
      </c>
      <c r="E2118" t="inlineStr">
        <is>
          <t>ÅRE</t>
        </is>
      </c>
      <c r="G2118" t="n">
        <v>19.3</v>
      </c>
      <c r="H2118" t="n">
        <v>0</v>
      </c>
      <c r="I2118" t="n">
        <v>0</v>
      </c>
      <c r="J2118" t="n">
        <v>0</v>
      </c>
      <c r="K2118" t="n">
        <v>0</v>
      </c>
      <c r="L2118" t="n">
        <v>0</v>
      </c>
      <c r="M2118" t="n">
        <v>0</v>
      </c>
      <c r="N2118" t="n">
        <v>0</v>
      </c>
      <c r="O2118" t="n">
        <v>0</v>
      </c>
      <c r="P2118" t="n">
        <v>0</v>
      </c>
      <c r="Q2118" t="n">
        <v>0</v>
      </c>
      <c r="R2118" s="2" t="inlineStr"/>
    </row>
    <row r="2119" ht="15" customHeight="1">
      <c r="A2119" t="inlineStr">
        <is>
          <t>A 35240-2022</t>
        </is>
      </c>
      <c r="B2119" s="1" t="n">
        <v>44797</v>
      </c>
      <c r="C2119" s="1" t="n">
        <v>46045</v>
      </c>
      <c r="D2119" t="inlineStr">
        <is>
          <t>JÄMTLANDS LÄN</t>
        </is>
      </c>
      <c r="E2119" t="inlineStr">
        <is>
          <t>STRÖMSUND</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59139-2021</t>
        </is>
      </c>
      <c r="B2120" s="1" t="n">
        <v>44490</v>
      </c>
      <c r="C2120" s="1" t="n">
        <v>46045</v>
      </c>
      <c r="D2120" t="inlineStr">
        <is>
          <t>JÄMTLANDS LÄN</t>
        </is>
      </c>
      <c r="E2120" t="inlineStr">
        <is>
          <t>STRÖMSUND</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30438-2021</t>
        </is>
      </c>
      <c r="B2121" s="1" t="n">
        <v>44362</v>
      </c>
      <c r="C2121" s="1" t="n">
        <v>46045</v>
      </c>
      <c r="D2121" t="inlineStr">
        <is>
          <t>JÄMTLANDS LÄN</t>
        </is>
      </c>
      <c r="E2121" t="inlineStr">
        <is>
          <t>RAGUNDA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48927-2022</t>
        </is>
      </c>
      <c r="B2122" s="1" t="n">
        <v>44859.95621527778</v>
      </c>
      <c r="C2122" s="1" t="n">
        <v>46045</v>
      </c>
      <c r="D2122" t="inlineStr">
        <is>
          <t>JÄMTLANDS LÄN</t>
        </is>
      </c>
      <c r="E2122" t="inlineStr">
        <is>
          <t>BRÄCKE</t>
        </is>
      </c>
      <c r="F2122" t="inlineStr">
        <is>
          <t>SCA</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45461-2022</t>
        </is>
      </c>
      <c r="B2123" s="1" t="n">
        <v>44841</v>
      </c>
      <c r="C2123" s="1" t="n">
        <v>46045</v>
      </c>
      <c r="D2123" t="inlineStr">
        <is>
          <t>JÄMTLANDS LÄN</t>
        </is>
      </c>
      <c r="E2123" t="inlineStr">
        <is>
          <t>ÅRE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30046-2022</t>
        </is>
      </c>
      <c r="B2124" s="1" t="n">
        <v>44756.94616898148</v>
      </c>
      <c r="C2124" s="1" t="n">
        <v>46045</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42260-2021</t>
        </is>
      </c>
      <c r="B2125" s="1" t="n">
        <v>44426.94077546296</v>
      </c>
      <c r="C2125" s="1" t="n">
        <v>46045</v>
      </c>
      <c r="D2125" t="inlineStr">
        <is>
          <t>JÄMTLANDS LÄN</t>
        </is>
      </c>
      <c r="E2125" t="inlineStr">
        <is>
          <t>RAGUNDA</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46047-2022</t>
        </is>
      </c>
      <c r="B2126" s="1" t="n">
        <v>44846.9522337963</v>
      </c>
      <c r="C2126" s="1" t="n">
        <v>46045</v>
      </c>
      <c r="D2126" t="inlineStr">
        <is>
          <t>JÄMTLANDS LÄN</t>
        </is>
      </c>
      <c r="E2126" t="inlineStr">
        <is>
          <t>RAGUNDA</t>
        </is>
      </c>
      <c r="F2126" t="inlineStr">
        <is>
          <t>SCA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63498-2021</t>
        </is>
      </c>
      <c r="B2127" s="1" t="n">
        <v>44508.62822916666</v>
      </c>
      <c r="C2127" s="1" t="n">
        <v>46045</v>
      </c>
      <c r="D2127" t="inlineStr">
        <is>
          <t>JÄMTLANDS LÄN</t>
        </is>
      </c>
      <c r="E2127" t="inlineStr">
        <is>
          <t>STRÖMSUND</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63600-2021</t>
        </is>
      </c>
      <c r="B2128" s="1" t="n">
        <v>44508</v>
      </c>
      <c r="C2128" s="1" t="n">
        <v>46045</v>
      </c>
      <c r="D2128" t="inlineStr">
        <is>
          <t>JÄMTLANDS LÄN</t>
        </is>
      </c>
      <c r="E2128" t="inlineStr">
        <is>
          <t>BRÄCKE</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28734-2022</t>
        </is>
      </c>
      <c r="B2129" s="1" t="n">
        <v>44748</v>
      </c>
      <c r="C2129" s="1" t="n">
        <v>46045</v>
      </c>
      <c r="D2129" t="inlineStr">
        <is>
          <t>JÄMTLANDS LÄN</t>
        </is>
      </c>
      <c r="E2129" t="inlineStr">
        <is>
          <t>STRÖMSUND</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37591-2021</t>
        </is>
      </c>
      <c r="B2130" s="1" t="n">
        <v>44399</v>
      </c>
      <c r="C2130" s="1" t="n">
        <v>46045</v>
      </c>
      <c r="D2130" t="inlineStr">
        <is>
          <t>JÄMTLANDS LÄN</t>
        </is>
      </c>
      <c r="E2130" t="inlineStr">
        <is>
          <t>BERG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49858-2022</t>
        </is>
      </c>
      <c r="B2131" s="1" t="n">
        <v>44862</v>
      </c>
      <c r="C2131" s="1" t="n">
        <v>46045</v>
      </c>
      <c r="D2131" t="inlineStr">
        <is>
          <t>JÄMTLANDS LÄN</t>
        </is>
      </c>
      <c r="E2131" t="inlineStr">
        <is>
          <t>BRÄCKE</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67695-2021</t>
        </is>
      </c>
      <c r="B2132" s="1" t="n">
        <v>44524.94607638889</v>
      </c>
      <c r="C2132" s="1" t="n">
        <v>46045</v>
      </c>
      <c r="D2132" t="inlineStr">
        <is>
          <t>JÄMTLANDS LÄN</t>
        </is>
      </c>
      <c r="E2132" t="inlineStr">
        <is>
          <t>ÖSTERSUND</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37562-2021</t>
        </is>
      </c>
      <c r="B2133" s="1" t="n">
        <v>44399</v>
      </c>
      <c r="C2133" s="1" t="n">
        <v>46045</v>
      </c>
      <c r="D2133" t="inlineStr">
        <is>
          <t>JÄMTLANDS LÄN</t>
        </is>
      </c>
      <c r="E2133" t="inlineStr">
        <is>
          <t>RAGUNDA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32986-2021</t>
        </is>
      </c>
      <c r="B2134" s="1" t="n">
        <v>44375</v>
      </c>
      <c r="C2134" s="1" t="n">
        <v>46045</v>
      </c>
      <c r="D2134" t="inlineStr">
        <is>
          <t>JÄMTLANDS LÄN</t>
        </is>
      </c>
      <c r="E2134" t="inlineStr">
        <is>
          <t>ÖSTERSUND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44641-2022</t>
        </is>
      </c>
      <c r="B2135" s="1" t="n">
        <v>44839</v>
      </c>
      <c r="C2135" s="1" t="n">
        <v>46045</v>
      </c>
      <c r="D2135" t="inlineStr">
        <is>
          <t>JÄMTLANDS LÄN</t>
        </is>
      </c>
      <c r="E2135" t="inlineStr">
        <is>
          <t>STRÖMSUND</t>
        </is>
      </c>
      <c r="F2135" t="inlineStr">
        <is>
          <t>Kommuner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39693-2022</t>
        </is>
      </c>
      <c r="B2136" s="1" t="n">
        <v>44818.94929398148</v>
      </c>
      <c r="C2136" s="1" t="n">
        <v>46045</v>
      </c>
      <c r="D2136" t="inlineStr">
        <is>
          <t>JÄMTLANDS LÄN</t>
        </is>
      </c>
      <c r="E2136" t="inlineStr">
        <is>
          <t>RAGUNDA</t>
        </is>
      </c>
      <c r="F2136" t="inlineStr">
        <is>
          <t>SCA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6941-2022</t>
        </is>
      </c>
      <c r="B2137" s="1" t="n">
        <v>44603</v>
      </c>
      <c r="C2137" s="1" t="n">
        <v>46045</v>
      </c>
      <c r="D2137" t="inlineStr">
        <is>
          <t>JÄMTLANDS LÄN</t>
        </is>
      </c>
      <c r="E2137" t="inlineStr">
        <is>
          <t>HÄRJEDALEN</t>
        </is>
      </c>
      <c r="F2137" t="inlineStr">
        <is>
          <t>Holmen skog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41175-2022</t>
        </is>
      </c>
      <c r="B2138" s="1" t="n">
        <v>44825.94803240741</v>
      </c>
      <c r="C2138" s="1" t="n">
        <v>46045</v>
      </c>
      <c r="D2138" t="inlineStr">
        <is>
          <t>JÄMTLANDS LÄN</t>
        </is>
      </c>
      <c r="E2138" t="inlineStr">
        <is>
          <t>BRÄCKE</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47607-2021</t>
        </is>
      </c>
      <c r="B2139" s="1" t="n">
        <v>44447</v>
      </c>
      <c r="C2139" s="1" t="n">
        <v>46045</v>
      </c>
      <c r="D2139" t="inlineStr">
        <is>
          <t>JÄMTLANDS LÄN</t>
        </is>
      </c>
      <c r="E2139" t="inlineStr">
        <is>
          <t>STRÖMSUND</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2544-2022</t>
        </is>
      </c>
      <c r="B2140" s="1" t="n">
        <v>44579.9719212963</v>
      </c>
      <c r="C2140" s="1" t="n">
        <v>46045</v>
      </c>
      <c r="D2140" t="inlineStr">
        <is>
          <t>JÄMTLANDS LÄN</t>
        </is>
      </c>
      <c r="E2140" t="inlineStr">
        <is>
          <t>BERG</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15452-2021</t>
        </is>
      </c>
      <c r="B2141" s="1" t="n">
        <v>44285</v>
      </c>
      <c r="C2141" s="1" t="n">
        <v>46045</v>
      </c>
      <c r="D2141" t="inlineStr">
        <is>
          <t>JÄMTLANDS LÄN</t>
        </is>
      </c>
      <c r="E2141" t="inlineStr">
        <is>
          <t>KROKOM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14281-2022</t>
        </is>
      </c>
      <c r="B2142" s="1" t="n">
        <v>44651</v>
      </c>
      <c r="C2142" s="1" t="n">
        <v>46045</v>
      </c>
      <c r="D2142" t="inlineStr">
        <is>
          <t>JÄMTLANDS LÄN</t>
        </is>
      </c>
      <c r="E2142" t="inlineStr">
        <is>
          <t>STRÖMSUND</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11530-2021</t>
        </is>
      </c>
      <c r="B2143" s="1" t="n">
        <v>44263</v>
      </c>
      <c r="C2143" s="1" t="n">
        <v>46045</v>
      </c>
      <c r="D2143" t="inlineStr">
        <is>
          <t>JÄMTLANDS LÄN</t>
        </is>
      </c>
      <c r="E2143" t="inlineStr">
        <is>
          <t>KROKOM</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29707-2021</t>
        </is>
      </c>
      <c r="B2144" s="1" t="n">
        <v>44362</v>
      </c>
      <c r="C2144" s="1" t="n">
        <v>46045</v>
      </c>
      <c r="D2144" t="inlineStr">
        <is>
          <t>JÄMTLANDS LÄN</t>
        </is>
      </c>
      <c r="E2144" t="inlineStr">
        <is>
          <t>ÖSTERSUND</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49197-2022</t>
        </is>
      </c>
      <c r="B2145" s="1" t="n">
        <v>44860</v>
      </c>
      <c r="C2145" s="1" t="n">
        <v>46045</v>
      </c>
      <c r="D2145" t="inlineStr">
        <is>
          <t>JÄMTLANDS LÄN</t>
        </is>
      </c>
      <c r="E2145" t="inlineStr">
        <is>
          <t>RAGUNDA</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43296-2022</t>
        </is>
      </c>
      <c r="B2146" s="1" t="n">
        <v>44834</v>
      </c>
      <c r="C2146" s="1" t="n">
        <v>46045</v>
      </c>
      <c r="D2146" t="inlineStr">
        <is>
          <t>JÄMTLANDS LÄN</t>
        </is>
      </c>
      <c r="E2146" t="inlineStr">
        <is>
          <t>BERG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31484-2022</t>
        </is>
      </c>
      <c r="B2147" s="1" t="n">
        <v>44774.94414351852</v>
      </c>
      <c r="C2147" s="1" t="n">
        <v>46045</v>
      </c>
      <c r="D2147" t="inlineStr">
        <is>
          <t>JÄMTLANDS LÄN</t>
        </is>
      </c>
      <c r="E2147" t="inlineStr">
        <is>
          <t>RAGUNDA</t>
        </is>
      </c>
      <c r="F2147" t="inlineStr">
        <is>
          <t>SCA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39951-2021</t>
        </is>
      </c>
      <c r="B2148" s="1" t="n">
        <v>44418</v>
      </c>
      <c r="C2148" s="1" t="n">
        <v>46045</v>
      </c>
      <c r="D2148" t="inlineStr">
        <is>
          <t>JÄMTLANDS LÄN</t>
        </is>
      </c>
      <c r="E2148" t="inlineStr">
        <is>
          <t>HÄRJEDALEN</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42549-2021</t>
        </is>
      </c>
      <c r="B2149" s="1" t="n">
        <v>44427</v>
      </c>
      <c r="C2149" s="1" t="n">
        <v>46045</v>
      </c>
      <c r="D2149" t="inlineStr">
        <is>
          <t>JÄMTLANDS LÄN</t>
        </is>
      </c>
      <c r="E2149" t="inlineStr">
        <is>
          <t>STRÖMSUND</t>
        </is>
      </c>
      <c r="F2149" t="inlineStr">
        <is>
          <t>SCA</t>
        </is>
      </c>
      <c r="G2149" t="n">
        <v>10.7</v>
      </c>
      <c r="H2149" t="n">
        <v>0</v>
      </c>
      <c r="I2149" t="n">
        <v>0</v>
      </c>
      <c r="J2149" t="n">
        <v>0</v>
      </c>
      <c r="K2149" t="n">
        <v>0</v>
      </c>
      <c r="L2149" t="n">
        <v>0</v>
      </c>
      <c r="M2149" t="n">
        <v>0</v>
      </c>
      <c r="N2149" t="n">
        <v>0</v>
      </c>
      <c r="O2149" t="n">
        <v>0</v>
      </c>
      <c r="P2149" t="n">
        <v>0</v>
      </c>
      <c r="Q2149" t="n">
        <v>0</v>
      </c>
      <c r="R2149" s="2" t="inlineStr"/>
    </row>
    <row r="2150" ht="15" customHeight="1">
      <c r="A2150" t="inlineStr">
        <is>
          <t>A 16828-2021</t>
        </is>
      </c>
      <c r="B2150" s="1" t="n">
        <v>44293</v>
      </c>
      <c r="C2150" s="1" t="n">
        <v>46045</v>
      </c>
      <c r="D2150" t="inlineStr">
        <is>
          <t>JÄMTLANDS LÄN</t>
        </is>
      </c>
      <c r="E2150" t="inlineStr">
        <is>
          <t>BERG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31501-2022</t>
        </is>
      </c>
      <c r="B2151" s="1" t="n">
        <v>44774.94633101852</v>
      </c>
      <c r="C2151" s="1" t="n">
        <v>46045</v>
      </c>
      <c r="D2151" t="inlineStr">
        <is>
          <t>JÄMTLANDS LÄN</t>
        </is>
      </c>
      <c r="E2151" t="inlineStr">
        <is>
          <t>STRÖMSUND</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31506-2022</t>
        </is>
      </c>
      <c r="B2152" s="1" t="n">
        <v>44774</v>
      </c>
      <c r="C2152" s="1" t="n">
        <v>46045</v>
      </c>
      <c r="D2152" t="inlineStr">
        <is>
          <t>JÄMTLANDS LÄN</t>
        </is>
      </c>
      <c r="E2152" t="inlineStr">
        <is>
          <t>STRÖMSUND</t>
        </is>
      </c>
      <c r="F2152" t="inlineStr">
        <is>
          <t>SCA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49929-2021</t>
        </is>
      </c>
      <c r="B2153" s="1" t="n">
        <v>44455.92151620371</v>
      </c>
      <c r="C2153" s="1" t="n">
        <v>46045</v>
      </c>
      <c r="D2153" t="inlineStr">
        <is>
          <t>JÄMTLANDS LÄN</t>
        </is>
      </c>
      <c r="E2153" t="inlineStr">
        <is>
          <t>STRÖMSUND</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197-2022</t>
        </is>
      </c>
      <c r="B2154" s="1" t="n">
        <v>44564.6747337963</v>
      </c>
      <c r="C2154" s="1" t="n">
        <v>46045</v>
      </c>
      <c r="D2154" t="inlineStr">
        <is>
          <t>JÄMTLANDS LÄN</t>
        </is>
      </c>
      <c r="E2154" t="inlineStr">
        <is>
          <t>HÄRJEDALEN</t>
        </is>
      </c>
      <c r="F2154" t="inlineStr">
        <is>
          <t>Övriga Aktiebolag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43790-2022</t>
        </is>
      </c>
      <c r="B2155" s="1" t="n">
        <v>44837</v>
      </c>
      <c r="C2155" s="1" t="n">
        <v>46045</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3870-2022</t>
        </is>
      </c>
      <c r="B2156" s="1" t="n">
        <v>44587</v>
      </c>
      <c r="C2156" s="1" t="n">
        <v>46045</v>
      </c>
      <c r="D2156" t="inlineStr">
        <is>
          <t>JÄMTLANDS LÄN</t>
        </is>
      </c>
      <c r="E2156" t="inlineStr">
        <is>
          <t>BERG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41609-2021</t>
        </is>
      </c>
      <c r="B2157" s="1" t="n">
        <v>44425</v>
      </c>
      <c r="C2157" s="1" t="n">
        <v>46045</v>
      </c>
      <c r="D2157" t="inlineStr">
        <is>
          <t>JÄMTLANDS LÄN</t>
        </is>
      </c>
      <c r="E2157" t="inlineStr">
        <is>
          <t>RAGUNDA</t>
        </is>
      </c>
      <c r="F2157" t="inlineStr">
        <is>
          <t>Kommuner</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36373-2022</t>
        </is>
      </c>
      <c r="B2158" s="1" t="n">
        <v>44803</v>
      </c>
      <c r="C2158" s="1" t="n">
        <v>46045</v>
      </c>
      <c r="D2158" t="inlineStr">
        <is>
          <t>JÄMTLANDS LÄN</t>
        </is>
      </c>
      <c r="E2158" t="inlineStr">
        <is>
          <t>BERG</t>
        </is>
      </c>
      <c r="F2158" t="inlineStr">
        <is>
          <t>SCA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36382-2022</t>
        </is>
      </c>
      <c r="B2159" s="1" t="n">
        <v>44803</v>
      </c>
      <c r="C2159" s="1" t="n">
        <v>46045</v>
      </c>
      <c r="D2159" t="inlineStr">
        <is>
          <t>JÄMTLANDS LÄN</t>
        </is>
      </c>
      <c r="E2159" t="inlineStr">
        <is>
          <t>STRÖMSUND</t>
        </is>
      </c>
      <c r="F2159" t="inlineStr">
        <is>
          <t>SCA</t>
        </is>
      </c>
      <c r="G2159" t="n">
        <v>12.6</v>
      </c>
      <c r="H2159" t="n">
        <v>0</v>
      </c>
      <c r="I2159" t="n">
        <v>0</v>
      </c>
      <c r="J2159" t="n">
        <v>0</v>
      </c>
      <c r="K2159" t="n">
        <v>0</v>
      </c>
      <c r="L2159" t="n">
        <v>0</v>
      </c>
      <c r="M2159" t="n">
        <v>0</v>
      </c>
      <c r="N2159" t="n">
        <v>0</v>
      </c>
      <c r="O2159" t="n">
        <v>0</v>
      </c>
      <c r="P2159" t="n">
        <v>0</v>
      </c>
      <c r="Q2159" t="n">
        <v>0</v>
      </c>
      <c r="R2159" s="2" t="inlineStr"/>
    </row>
    <row r="2160" ht="15" customHeight="1">
      <c r="A2160" t="inlineStr">
        <is>
          <t>A 36383-2022</t>
        </is>
      </c>
      <c r="B2160" s="1" t="n">
        <v>44803.94400462963</v>
      </c>
      <c r="C2160" s="1" t="n">
        <v>46045</v>
      </c>
      <c r="D2160" t="inlineStr">
        <is>
          <t>JÄMTLANDS LÄN</t>
        </is>
      </c>
      <c r="E2160" t="inlineStr">
        <is>
          <t>STRÖMSUND</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29372-2021</t>
        </is>
      </c>
      <c r="B2161" s="1" t="n">
        <v>44361</v>
      </c>
      <c r="C2161" s="1" t="n">
        <v>46045</v>
      </c>
      <c r="D2161" t="inlineStr">
        <is>
          <t>JÄMTLANDS LÄN</t>
        </is>
      </c>
      <c r="E2161" t="inlineStr">
        <is>
          <t>HÄRJEDALEN</t>
        </is>
      </c>
      <c r="F2161" t="inlineStr">
        <is>
          <t>Holmen skog AB</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41639-2021</t>
        </is>
      </c>
      <c r="B2162" s="1" t="n">
        <v>44425</v>
      </c>
      <c r="C2162" s="1" t="n">
        <v>46045</v>
      </c>
      <c r="D2162" t="inlineStr">
        <is>
          <t>JÄMTLANDS LÄN</t>
        </is>
      </c>
      <c r="E2162" t="inlineStr">
        <is>
          <t>STRÖMSUND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51095-2021</t>
        </is>
      </c>
      <c r="B2163" s="1" t="n">
        <v>44461.38387731482</v>
      </c>
      <c r="C2163" s="1" t="n">
        <v>46045</v>
      </c>
      <c r="D2163" t="inlineStr">
        <is>
          <t>JÄMTLANDS LÄN</t>
        </is>
      </c>
      <c r="E2163" t="inlineStr">
        <is>
          <t>BRÄCKE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68424-2021</t>
        </is>
      </c>
      <c r="B2164" s="1" t="n">
        <v>44529.38925925926</v>
      </c>
      <c r="C2164" s="1" t="n">
        <v>46045</v>
      </c>
      <c r="D2164" t="inlineStr">
        <is>
          <t>JÄMTLANDS LÄN</t>
        </is>
      </c>
      <c r="E2164" t="inlineStr">
        <is>
          <t>STRÖMSUND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35853-2022</t>
        </is>
      </c>
      <c r="B2165" s="1" t="n">
        <v>44802.42048611111</v>
      </c>
      <c r="C2165" s="1" t="n">
        <v>46045</v>
      </c>
      <c r="D2165" t="inlineStr">
        <is>
          <t>JÄMTLANDS LÄN</t>
        </is>
      </c>
      <c r="E2165" t="inlineStr">
        <is>
          <t>STRÖMSUND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43951-2022</t>
        </is>
      </c>
      <c r="B2166" s="1" t="n">
        <v>44838</v>
      </c>
      <c r="C2166" s="1" t="n">
        <v>46045</v>
      </c>
      <c r="D2166" t="inlineStr">
        <is>
          <t>JÄMTLANDS LÄN</t>
        </is>
      </c>
      <c r="E2166" t="inlineStr">
        <is>
          <t>ÖSTERSUND</t>
        </is>
      </c>
      <c r="F2166" t="inlineStr">
        <is>
          <t>Övriga Aktiebolag</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29541-2022</t>
        </is>
      </c>
      <c r="B2167" s="1" t="n">
        <v>44753.94363425926</v>
      </c>
      <c r="C2167" s="1" t="n">
        <v>46045</v>
      </c>
      <c r="D2167" t="inlineStr">
        <is>
          <t>JÄMTLANDS LÄN</t>
        </is>
      </c>
      <c r="E2167" t="inlineStr">
        <is>
          <t>STRÖMSUND</t>
        </is>
      </c>
      <c r="F2167" t="inlineStr">
        <is>
          <t>SCA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29550-2022</t>
        </is>
      </c>
      <c r="B2168" s="1" t="n">
        <v>44754</v>
      </c>
      <c r="C2168" s="1" t="n">
        <v>46045</v>
      </c>
      <c r="D2168" t="inlineStr">
        <is>
          <t>JÄMTLANDS LÄN</t>
        </is>
      </c>
      <c r="E2168" t="inlineStr">
        <is>
          <t>STRÖMSUND</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52685-2021</t>
        </is>
      </c>
      <c r="B2169" s="1" t="n">
        <v>44466.81701388889</v>
      </c>
      <c r="C2169" s="1" t="n">
        <v>46045</v>
      </c>
      <c r="D2169" t="inlineStr">
        <is>
          <t>JÄMTLANDS LÄN</t>
        </is>
      </c>
      <c r="E2169" t="inlineStr">
        <is>
          <t>HÄRJEDALEN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9095-2022</t>
        </is>
      </c>
      <c r="B2170" s="1" t="n">
        <v>44615</v>
      </c>
      <c r="C2170" s="1" t="n">
        <v>46045</v>
      </c>
      <c r="D2170" t="inlineStr">
        <is>
          <t>JÄMTLANDS LÄN</t>
        </is>
      </c>
      <c r="E2170" t="inlineStr">
        <is>
          <t>HÄRJEDALEN</t>
        </is>
      </c>
      <c r="F2170" t="inlineStr">
        <is>
          <t>Kyrkan</t>
        </is>
      </c>
      <c r="G2170" t="n">
        <v>15.9</v>
      </c>
      <c r="H2170" t="n">
        <v>0</v>
      </c>
      <c r="I2170" t="n">
        <v>0</v>
      </c>
      <c r="J2170" t="n">
        <v>0</v>
      </c>
      <c r="K2170" t="n">
        <v>0</v>
      </c>
      <c r="L2170" t="n">
        <v>0</v>
      </c>
      <c r="M2170" t="n">
        <v>0</v>
      </c>
      <c r="N2170" t="n">
        <v>0</v>
      </c>
      <c r="O2170" t="n">
        <v>0</v>
      </c>
      <c r="P2170" t="n">
        <v>0</v>
      </c>
      <c r="Q2170" t="n">
        <v>0</v>
      </c>
      <c r="R2170" s="2" t="inlineStr"/>
    </row>
    <row r="2171" ht="15" customHeight="1">
      <c r="A2171" t="inlineStr">
        <is>
          <t>A 67797-2021</t>
        </is>
      </c>
      <c r="B2171" s="1" t="n">
        <v>44524</v>
      </c>
      <c r="C2171" s="1" t="n">
        <v>46045</v>
      </c>
      <c r="D2171" t="inlineStr">
        <is>
          <t>JÄMTLANDS LÄN</t>
        </is>
      </c>
      <c r="E2171" t="inlineStr">
        <is>
          <t>KROKOM</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60939-2021</t>
        </is>
      </c>
      <c r="B2172" s="1" t="n">
        <v>44496</v>
      </c>
      <c r="C2172" s="1" t="n">
        <v>46045</v>
      </c>
      <c r="D2172" t="inlineStr">
        <is>
          <t>JÄMTLANDS LÄN</t>
        </is>
      </c>
      <c r="E2172" t="inlineStr">
        <is>
          <t>STRÖMSUND</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19567-2021</t>
        </is>
      </c>
      <c r="B2173" s="1" t="n">
        <v>44312</v>
      </c>
      <c r="C2173" s="1" t="n">
        <v>46045</v>
      </c>
      <c r="D2173" t="inlineStr">
        <is>
          <t>JÄMTLANDS LÄN</t>
        </is>
      </c>
      <c r="E2173" t="inlineStr">
        <is>
          <t>STRÖMSUND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69155-2021</t>
        </is>
      </c>
      <c r="B2174" s="1" t="n">
        <v>44530.94708333333</v>
      </c>
      <c r="C2174" s="1" t="n">
        <v>46045</v>
      </c>
      <c r="D2174" t="inlineStr">
        <is>
          <t>JÄMTLANDS LÄN</t>
        </is>
      </c>
      <c r="E2174" t="inlineStr">
        <is>
          <t>BRÄCKE</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40436-2022</t>
        </is>
      </c>
      <c r="B2175" s="1" t="n">
        <v>44823.48666666666</v>
      </c>
      <c r="C2175" s="1" t="n">
        <v>46045</v>
      </c>
      <c r="D2175" t="inlineStr">
        <is>
          <t>JÄMTLANDS LÄN</t>
        </is>
      </c>
      <c r="E2175" t="inlineStr">
        <is>
          <t>RAGUNDA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15808-2022</t>
        </is>
      </c>
      <c r="B2176" s="1" t="n">
        <v>44663</v>
      </c>
      <c r="C2176" s="1" t="n">
        <v>46045</v>
      </c>
      <c r="D2176" t="inlineStr">
        <is>
          <t>JÄMTLANDS LÄN</t>
        </is>
      </c>
      <c r="E2176" t="inlineStr">
        <is>
          <t>RAGUNDA</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21722-2022</t>
        </is>
      </c>
      <c r="B2177" s="1" t="n">
        <v>44706</v>
      </c>
      <c r="C2177" s="1" t="n">
        <v>46045</v>
      </c>
      <c r="D2177" t="inlineStr">
        <is>
          <t>JÄMTLANDS LÄN</t>
        </is>
      </c>
      <c r="E2177" t="inlineStr">
        <is>
          <t>BRÄCKE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49838-2022</t>
        </is>
      </c>
      <c r="B2178" s="1" t="n">
        <v>44862.92952546296</v>
      </c>
      <c r="C2178" s="1" t="n">
        <v>46045</v>
      </c>
      <c r="D2178" t="inlineStr">
        <is>
          <t>JÄMTLANDS LÄN</t>
        </is>
      </c>
      <c r="E2178" t="inlineStr">
        <is>
          <t>BRÄCKE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33728-2022</t>
        </is>
      </c>
      <c r="B2179" s="1" t="n">
        <v>44789.94667824074</v>
      </c>
      <c r="C2179" s="1" t="n">
        <v>46045</v>
      </c>
      <c r="D2179" t="inlineStr">
        <is>
          <t>JÄMTLANDS LÄN</t>
        </is>
      </c>
      <c r="E2179" t="inlineStr">
        <is>
          <t>STRÖMSUND</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24020-2022</t>
        </is>
      </c>
      <c r="B2180" s="1" t="n">
        <v>44722.94193287037</v>
      </c>
      <c r="C2180" s="1" t="n">
        <v>46045</v>
      </c>
      <c r="D2180" t="inlineStr">
        <is>
          <t>JÄMTLANDS LÄN</t>
        </is>
      </c>
      <c r="E2180" t="inlineStr">
        <is>
          <t>STRÖMSUND</t>
        </is>
      </c>
      <c r="F2180" t="inlineStr">
        <is>
          <t>SCA</t>
        </is>
      </c>
      <c r="G2180" t="n">
        <v>20.2</v>
      </c>
      <c r="H2180" t="n">
        <v>0</v>
      </c>
      <c r="I2180" t="n">
        <v>0</v>
      </c>
      <c r="J2180" t="n">
        <v>0</v>
      </c>
      <c r="K2180" t="n">
        <v>0</v>
      </c>
      <c r="L2180" t="n">
        <v>0</v>
      </c>
      <c r="M2180" t="n">
        <v>0</v>
      </c>
      <c r="N2180" t="n">
        <v>0</v>
      </c>
      <c r="O2180" t="n">
        <v>0</v>
      </c>
      <c r="P2180" t="n">
        <v>0</v>
      </c>
      <c r="Q2180" t="n">
        <v>0</v>
      </c>
      <c r="R2180" s="2" t="inlineStr"/>
    </row>
    <row r="2181" ht="15" customHeight="1">
      <c r="A2181" t="inlineStr">
        <is>
          <t>A 20706-2022</t>
        </is>
      </c>
      <c r="B2181" s="1" t="n">
        <v>44700.94395833334</v>
      </c>
      <c r="C2181" s="1" t="n">
        <v>46045</v>
      </c>
      <c r="D2181" t="inlineStr">
        <is>
          <t>JÄMTLANDS LÄN</t>
        </is>
      </c>
      <c r="E2181" t="inlineStr">
        <is>
          <t>STRÖMSUND</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15685-2021</t>
        </is>
      </c>
      <c r="B2182" s="1" t="n">
        <v>44286</v>
      </c>
      <c r="C2182" s="1" t="n">
        <v>46045</v>
      </c>
      <c r="D2182" t="inlineStr">
        <is>
          <t>JÄMTLANDS LÄN</t>
        </is>
      </c>
      <c r="E2182" t="inlineStr">
        <is>
          <t>HÄRJEDALEN</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33993-2022</t>
        </is>
      </c>
      <c r="B2183" s="1" t="n">
        <v>44790</v>
      </c>
      <c r="C2183" s="1" t="n">
        <v>46045</v>
      </c>
      <c r="D2183" t="inlineStr">
        <is>
          <t>JÄMTLANDS LÄN</t>
        </is>
      </c>
      <c r="E2183" t="inlineStr">
        <is>
          <t>BRÄCKE</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31858-2021</t>
        </is>
      </c>
      <c r="B2184" s="1" t="n">
        <v>44370</v>
      </c>
      <c r="C2184" s="1" t="n">
        <v>46045</v>
      </c>
      <c r="D2184" t="inlineStr">
        <is>
          <t>JÄMTLANDS LÄN</t>
        </is>
      </c>
      <c r="E2184" t="inlineStr">
        <is>
          <t>KROKOM</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55226-2021</t>
        </is>
      </c>
      <c r="B2185" s="1" t="n">
        <v>44475</v>
      </c>
      <c r="C2185" s="1" t="n">
        <v>46045</v>
      </c>
      <c r="D2185" t="inlineStr">
        <is>
          <t>JÄMTLANDS LÄN</t>
        </is>
      </c>
      <c r="E2185" t="inlineStr">
        <is>
          <t>HÄRJEDALEN</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68450-2021</t>
        </is>
      </c>
      <c r="B2186" s="1" t="n">
        <v>44529</v>
      </c>
      <c r="C2186" s="1" t="n">
        <v>46045</v>
      </c>
      <c r="D2186" t="inlineStr">
        <is>
          <t>JÄMTLANDS LÄN</t>
        </is>
      </c>
      <c r="E2186" t="inlineStr">
        <is>
          <t>BERG</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55255-2021</t>
        </is>
      </c>
      <c r="B2187" s="1" t="n">
        <v>44475</v>
      </c>
      <c r="C2187" s="1" t="n">
        <v>46045</v>
      </c>
      <c r="D2187" t="inlineStr">
        <is>
          <t>JÄMTLANDS LÄN</t>
        </is>
      </c>
      <c r="E2187" t="inlineStr">
        <is>
          <t>HÄRJEDALEN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16774-2021</t>
        </is>
      </c>
      <c r="B2188" s="1" t="n">
        <v>44294</v>
      </c>
      <c r="C2188" s="1" t="n">
        <v>46045</v>
      </c>
      <c r="D2188" t="inlineStr">
        <is>
          <t>JÄMTLANDS LÄN</t>
        </is>
      </c>
      <c r="E2188" t="inlineStr">
        <is>
          <t>STRÖMSUND</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72089-2021</t>
        </is>
      </c>
      <c r="B2189" s="1" t="n">
        <v>44540</v>
      </c>
      <c r="C2189" s="1" t="n">
        <v>46045</v>
      </c>
      <c r="D2189" t="inlineStr">
        <is>
          <t>JÄMTLANDS LÄN</t>
        </is>
      </c>
      <c r="E2189" t="inlineStr">
        <is>
          <t>ÖSTERSUND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45435-2022</t>
        </is>
      </c>
      <c r="B2190" s="1" t="n">
        <v>44844.95348379629</v>
      </c>
      <c r="C2190" s="1" t="n">
        <v>46045</v>
      </c>
      <c r="D2190" t="inlineStr">
        <is>
          <t>JÄMTLANDS LÄN</t>
        </is>
      </c>
      <c r="E2190" t="inlineStr">
        <is>
          <t>STRÖMSUND</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23498-2021</t>
        </is>
      </c>
      <c r="B2191" s="1" t="n">
        <v>44333.94412037037</v>
      </c>
      <c r="C2191" s="1" t="n">
        <v>46045</v>
      </c>
      <c r="D2191" t="inlineStr">
        <is>
          <t>JÄMTLANDS LÄN</t>
        </is>
      </c>
      <c r="E2191" t="inlineStr">
        <is>
          <t>STRÖMSUND</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38794-2021</t>
        </is>
      </c>
      <c r="B2192" s="1" t="n">
        <v>44410.74284722222</v>
      </c>
      <c r="C2192" s="1" t="n">
        <v>46045</v>
      </c>
      <c r="D2192" t="inlineStr">
        <is>
          <t>JÄMTLANDS LÄN</t>
        </is>
      </c>
      <c r="E2192" t="inlineStr">
        <is>
          <t>HÄRJEDALEN</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10322-2022</t>
        </is>
      </c>
      <c r="B2193" s="1" t="n">
        <v>44622</v>
      </c>
      <c r="C2193" s="1" t="n">
        <v>46045</v>
      </c>
      <c r="D2193" t="inlineStr">
        <is>
          <t>JÄMTLANDS LÄN</t>
        </is>
      </c>
      <c r="E2193" t="inlineStr">
        <is>
          <t>STRÖMSUND</t>
        </is>
      </c>
      <c r="F2193" t="inlineStr">
        <is>
          <t>SCA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11557-2022</t>
        </is>
      </c>
      <c r="B2194" s="1" t="n">
        <v>44631</v>
      </c>
      <c r="C2194" s="1" t="n">
        <v>46045</v>
      </c>
      <c r="D2194" t="inlineStr">
        <is>
          <t>JÄMTLANDS LÄN</t>
        </is>
      </c>
      <c r="E2194" t="inlineStr">
        <is>
          <t>HÄRJEDALEN</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17857-2021</t>
        </is>
      </c>
      <c r="B2195" s="1" t="n">
        <v>44300</v>
      </c>
      <c r="C2195" s="1" t="n">
        <v>46045</v>
      </c>
      <c r="D2195" t="inlineStr">
        <is>
          <t>JÄMTLANDS LÄN</t>
        </is>
      </c>
      <c r="E2195" t="inlineStr">
        <is>
          <t>STRÖMSUND</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12762-2022</t>
        </is>
      </c>
      <c r="B2196" s="1" t="n">
        <v>44641.93427083334</v>
      </c>
      <c r="C2196" s="1" t="n">
        <v>46045</v>
      </c>
      <c r="D2196" t="inlineStr">
        <is>
          <t>JÄMTLANDS LÄN</t>
        </is>
      </c>
      <c r="E2196" t="inlineStr">
        <is>
          <t>STRÖMSUND</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44443-2022</t>
        </is>
      </c>
      <c r="B2197" s="1" t="n">
        <v>44839.95467592592</v>
      </c>
      <c r="C2197" s="1" t="n">
        <v>46045</v>
      </c>
      <c r="D2197" t="inlineStr">
        <is>
          <t>JÄMTLANDS LÄN</t>
        </is>
      </c>
      <c r="E2197" t="inlineStr">
        <is>
          <t>BERG</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44448-2022</t>
        </is>
      </c>
      <c r="B2198" s="1" t="n">
        <v>44839.95502314815</v>
      </c>
      <c r="C2198" s="1" t="n">
        <v>46045</v>
      </c>
      <c r="D2198" t="inlineStr">
        <is>
          <t>JÄMTLANDS LÄN</t>
        </is>
      </c>
      <c r="E2198" t="inlineStr">
        <is>
          <t>STRÖMSUND</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52720-2022</t>
        </is>
      </c>
      <c r="B2199" s="1" t="n">
        <v>44874.95553240741</v>
      </c>
      <c r="C2199" s="1" t="n">
        <v>46045</v>
      </c>
      <c r="D2199" t="inlineStr">
        <is>
          <t>JÄMTLANDS LÄN</t>
        </is>
      </c>
      <c r="E2199" t="inlineStr">
        <is>
          <t>RAGUNDA</t>
        </is>
      </c>
      <c r="F2199" t="inlineStr">
        <is>
          <t>SCA</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32979-2022</t>
        </is>
      </c>
      <c r="B2200" s="1" t="n">
        <v>44784.9408912037</v>
      </c>
      <c r="C2200" s="1" t="n">
        <v>46045</v>
      </c>
      <c r="D2200" t="inlineStr">
        <is>
          <t>JÄMTLANDS LÄN</t>
        </is>
      </c>
      <c r="E2200" t="inlineStr">
        <is>
          <t>RAGUNDA</t>
        </is>
      </c>
      <c r="F2200" t="inlineStr">
        <is>
          <t>SCA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65415-2021</t>
        </is>
      </c>
      <c r="B2201" s="1" t="n">
        <v>44515</v>
      </c>
      <c r="C2201" s="1" t="n">
        <v>46045</v>
      </c>
      <c r="D2201" t="inlineStr">
        <is>
          <t>JÄMTLANDS LÄN</t>
        </is>
      </c>
      <c r="E2201" t="inlineStr">
        <is>
          <t>ÅRE</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23217-2022</t>
        </is>
      </c>
      <c r="B2202" s="1" t="n">
        <v>44719.94307870371</v>
      </c>
      <c r="C2202" s="1" t="n">
        <v>46045</v>
      </c>
      <c r="D2202" t="inlineStr">
        <is>
          <t>JÄMTLANDS LÄN</t>
        </is>
      </c>
      <c r="E2202" t="inlineStr">
        <is>
          <t>STRÖMSUND</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28869-2022</t>
        </is>
      </c>
      <c r="B2203" s="1" t="n">
        <v>44749</v>
      </c>
      <c r="C2203" s="1" t="n">
        <v>46045</v>
      </c>
      <c r="D2203" t="inlineStr">
        <is>
          <t>JÄMTLANDS LÄN</t>
        </is>
      </c>
      <c r="E2203" t="inlineStr">
        <is>
          <t>STRÖMSUND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14289-2022</t>
        </is>
      </c>
      <c r="B2204" s="1" t="n">
        <v>44651</v>
      </c>
      <c r="C2204" s="1" t="n">
        <v>46045</v>
      </c>
      <c r="D2204" t="inlineStr">
        <is>
          <t>JÄMTLANDS LÄN</t>
        </is>
      </c>
      <c r="E2204" t="inlineStr">
        <is>
          <t>STRÖMSUND</t>
        </is>
      </c>
      <c r="F2204" t="inlineStr">
        <is>
          <t>SCA</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52344-2022</t>
        </is>
      </c>
      <c r="B2205" s="1" t="n">
        <v>44873</v>
      </c>
      <c r="C2205" s="1" t="n">
        <v>46045</v>
      </c>
      <c r="D2205" t="inlineStr">
        <is>
          <t>JÄMTLANDS LÄN</t>
        </is>
      </c>
      <c r="E2205" t="inlineStr">
        <is>
          <t>STRÖMSUND</t>
        </is>
      </c>
      <c r="F2205" t="inlineStr">
        <is>
          <t>SCA</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11541-2022</t>
        </is>
      </c>
      <c r="B2206" s="1" t="n">
        <v>44631.41535879629</v>
      </c>
      <c r="C2206" s="1" t="n">
        <v>46045</v>
      </c>
      <c r="D2206" t="inlineStr">
        <is>
          <t>JÄMTLANDS LÄN</t>
        </is>
      </c>
      <c r="E2206" t="inlineStr">
        <is>
          <t>HÄRJEDALEN</t>
        </is>
      </c>
      <c r="F2206" t="inlineStr">
        <is>
          <t>Holmen skog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4569-2022</t>
        </is>
      </c>
      <c r="B2207" s="1" t="n">
        <v>44591</v>
      </c>
      <c r="C2207" s="1" t="n">
        <v>46045</v>
      </c>
      <c r="D2207" t="inlineStr">
        <is>
          <t>JÄMTLANDS LÄN</t>
        </is>
      </c>
      <c r="E2207" t="inlineStr">
        <is>
          <t>KROKOM</t>
        </is>
      </c>
      <c r="G2207" t="n">
        <v>20.3</v>
      </c>
      <c r="H2207" t="n">
        <v>0</v>
      </c>
      <c r="I2207" t="n">
        <v>0</v>
      </c>
      <c r="J2207" t="n">
        <v>0</v>
      </c>
      <c r="K2207" t="n">
        <v>0</v>
      </c>
      <c r="L2207" t="n">
        <v>0</v>
      </c>
      <c r="M2207" t="n">
        <v>0</v>
      </c>
      <c r="N2207" t="n">
        <v>0</v>
      </c>
      <c r="O2207" t="n">
        <v>0</v>
      </c>
      <c r="P2207" t="n">
        <v>0</v>
      </c>
      <c r="Q2207" t="n">
        <v>0</v>
      </c>
      <c r="R2207" s="2" t="inlineStr"/>
    </row>
    <row r="2208" ht="15" customHeight="1">
      <c r="A2208" t="inlineStr">
        <is>
          <t>A 54668-2022</t>
        </is>
      </c>
      <c r="B2208" s="1" t="n">
        <v>44883</v>
      </c>
      <c r="C2208" s="1" t="n">
        <v>46045</v>
      </c>
      <c r="D2208" t="inlineStr">
        <is>
          <t>JÄMTLANDS LÄN</t>
        </is>
      </c>
      <c r="E2208" t="inlineStr">
        <is>
          <t>BRÄCKE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49839-2022</t>
        </is>
      </c>
      <c r="B2209" s="1" t="n">
        <v>44862.92956018518</v>
      </c>
      <c r="C2209" s="1" t="n">
        <v>46045</v>
      </c>
      <c r="D2209" t="inlineStr">
        <is>
          <t>JÄMTLANDS LÄN</t>
        </is>
      </c>
      <c r="E2209" t="inlineStr">
        <is>
          <t>BRÄCKE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67541-2021</t>
        </is>
      </c>
      <c r="B2210" s="1" t="n">
        <v>44524</v>
      </c>
      <c r="C2210" s="1" t="n">
        <v>46045</v>
      </c>
      <c r="D2210" t="inlineStr">
        <is>
          <t>JÄMTLANDS LÄN</t>
        </is>
      </c>
      <c r="E2210" t="inlineStr">
        <is>
          <t>ÅRE</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3875-2022</t>
        </is>
      </c>
      <c r="B2211" s="1" t="n">
        <v>44587.45596064815</v>
      </c>
      <c r="C2211" s="1" t="n">
        <v>46045</v>
      </c>
      <c r="D2211" t="inlineStr">
        <is>
          <t>JÄMTLANDS LÄN</t>
        </is>
      </c>
      <c r="E2211" t="inlineStr">
        <is>
          <t>STRÖMSUND</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25265-2022</t>
        </is>
      </c>
      <c r="B2212" s="1" t="n">
        <v>44729.94224537037</v>
      </c>
      <c r="C2212" s="1" t="n">
        <v>46045</v>
      </c>
      <c r="D2212" t="inlineStr">
        <is>
          <t>JÄMTLANDS LÄN</t>
        </is>
      </c>
      <c r="E2212" t="inlineStr">
        <is>
          <t>BERG</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24792-2022</t>
        </is>
      </c>
      <c r="B2213" s="1" t="n">
        <v>44728</v>
      </c>
      <c r="C2213" s="1" t="n">
        <v>46045</v>
      </c>
      <c r="D2213" t="inlineStr">
        <is>
          <t>JÄMTLANDS LÄN</t>
        </is>
      </c>
      <c r="E2213" t="inlineStr">
        <is>
          <t>HÄRJEDALEN</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36372-2022</t>
        </is>
      </c>
      <c r="B2214" s="1" t="n">
        <v>44803.9416087963</v>
      </c>
      <c r="C2214" s="1" t="n">
        <v>46045</v>
      </c>
      <c r="D2214" t="inlineStr">
        <is>
          <t>JÄMTLANDS LÄN</t>
        </is>
      </c>
      <c r="E2214" t="inlineStr">
        <is>
          <t>STRÖMSUND</t>
        </is>
      </c>
      <c r="F2214" t="inlineStr">
        <is>
          <t>SCA</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24023-2022</t>
        </is>
      </c>
      <c r="B2215" s="1" t="n">
        <v>44722.9420949074</v>
      </c>
      <c r="C2215" s="1" t="n">
        <v>46045</v>
      </c>
      <c r="D2215" t="inlineStr">
        <is>
          <t>JÄMTLANDS LÄN</t>
        </is>
      </c>
      <c r="E2215" t="inlineStr">
        <is>
          <t>STRÖMSUND</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42806-2022</t>
        </is>
      </c>
      <c r="B2216" s="1" t="n">
        <v>44832</v>
      </c>
      <c r="C2216" s="1" t="n">
        <v>46045</v>
      </c>
      <c r="D2216" t="inlineStr">
        <is>
          <t>JÄMTLANDS LÄN</t>
        </is>
      </c>
      <c r="E2216" t="inlineStr">
        <is>
          <t>STRÖMSUND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36720-2021</t>
        </is>
      </c>
      <c r="B2217" s="1" t="n">
        <v>44392</v>
      </c>
      <c r="C2217" s="1" t="n">
        <v>46045</v>
      </c>
      <c r="D2217" t="inlineStr">
        <is>
          <t>JÄMTLANDS LÄN</t>
        </is>
      </c>
      <c r="E2217" t="inlineStr">
        <is>
          <t>BERG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3719-2022</t>
        </is>
      </c>
      <c r="B2218" s="1" t="n">
        <v>44586</v>
      </c>
      <c r="C2218" s="1" t="n">
        <v>46045</v>
      </c>
      <c r="D2218" t="inlineStr">
        <is>
          <t>JÄMTLANDS LÄN</t>
        </is>
      </c>
      <c r="E2218" t="inlineStr">
        <is>
          <t>STRÖMSUND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32533-2021</t>
        </is>
      </c>
      <c r="B2219" s="1" t="n">
        <v>44374.93210648148</v>
      </c>
      <c r="C2219" s="1" t="n">
        <v>46045</v>
      </c>
      <c r="D2219" t="inlineStr">
        <is>
          <t>JÄMTLANDS LÄN</t>
        </is>
      </c>
      <c r="E2219" t="inlineStr">
        <is>
          <t>STRÖMSUND</t>
        </is>
      </c>
      <c r="F2219" t="inlineStr">
        <is>
          <t>SCA</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39618-2021</t>
        </is>
      </c>
      <c r="B2220" s="1" t="n">
        <v>44417.37519675926</v>
      </c>
      <c r="C2220" s="1" t="n">
        <v>46045</v>
      </c>
      <c r="D2220" t="inlineStr">
        <is>
          <t>JÄMTLANDS LÄN</t>
        </is>
      </c>
      <c r="E2220" t="inlineStr">
        <is>
          <t>HÄRJEDALEN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22695-2022</t>
        </is>
      </c>
      <c r="B2221" s="1" t="n">
        <v>44714</v>
      </c>
      <c r="C2221" s="1" t="n">
        <v>46045</v>
      </c>
      <c r="D2221" t="inlineStr">
        <is>
          <t>JÄMTLANDS LÄN</t>
        </is>
      </c>
      <c r="E2221" t="inlineStr">
        <is>
          <t>RAGUNDA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32539-2021</t>
        </is>
      </c>
      <c r="B2222" s="1" t="n">
        <v>44374.93653935185</v>
      </c>
      <c r="C2222" s="1" t="n">
        <v>46045</v>
      </c>
      <c r="D2222" t="inlineStr">
        <is>
          <t>JÄMTLANDS LÄN</t>
        </is>
      </c>
      <c r="E2222" t="inlineStr">
        <is>
          <t>STRÖMSUND</t>
        </is>
      </c>
      <c r="F2222" t="inlineStr">
        <is>
          <t>SCA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26167-2021</t>
        </is>
      </c>
      <c r="B2223" s="1" t="n">
        <v>44344</v>
      </c>
      <c r="C2223" s="1" t="n">
        <v>46045</v>
      </c>
      <c r="D2223" t="inlineStr">
        <is>
          <t>JÄMTLANDS LÄN</t>
        </is>
      </c>
      <c r="E2223" t="inlineStr">
        <is>
          <t>HÄRJEDALEN</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16246-2022</t>
        </is>
      </c>
      <c r="B2224" s="1" t="n">
        <v>44670</v>
      </c>
      <c r="C2224" s="1" t="n">
        <v>46045</v>
      </c>
      <c r="D2224" t="inlineStr">
        <is>
          <t>JÄMTLANDS LÄN</t>
        </is>
      </c>
      <c r="E2224" t="inlineStr">
        <is>
          <t>RAGUNDA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33808-2022</t>
        </is>
      </c>
      <c r="B2225" s="1" t="n">
        <v>44790</v>
      </c>
      <c r="C2225" s="1" t="n">
        <v>46045</v>
      </c>
      <c r="D2225" t="inlineStr">
        <is>
          <t>JÄMTLANDS LÄN</t>
        </is>
      </c>
      <c r="E2225" t="inlineStr">
        <is>
          <t>ÖSTERSUND</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10319-2022</t>
        </is>
      </c>
      <c r="B2226" s="1" t="n">
        <v>44622.9416087963</v>
      </c>
      <c r="C2226" s="1" t="n">
        <v>46045</v>
      </c>
      <c r="D2226" t="inlineStr">
        <is>
          <t>JÄMTLANDS LÄN</t>
        </is>
      </c>
      <c r="E2226" t="inlineStr">
        <is>
          <t>STRÖMSUND</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43794-2022</t>
        </is>
      </c>
      <c r="B2227" s="1" t="n">
        <v>44837</v>
      </c>
      <c r="C2227" s="1" t="n">
        <v>46045</v>
      </c>
      <c r="D2227" t="inlineStr">
        <is>
          <t>JÄMTLANDS LÄN</t>
        </is>
      </c>
      <c r="E2227" t="inlineStr">
        <is>
          <t>RAGUNDA</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48894-2022</t>
        </is>
      </c>
      <c r="B2228" s="1" t="n">
        <v>44859.953125</v>
      </c>
      <c r="C2228" s="1" t="n">
        <v>46045</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48933-2022</t>
        </is>
      </c>
      <c r="B2229" s="1" t="n">
        <v>44859.95666666667</v>
      </c>
      <c r="C2229" s="1" t="n">
        <v>46045</v>
      </c>
      <c r="D2229" t="inlineStr">
        <is>
          <t>JÄMTLANDS LÄN</t>
        </is>
      </c>
      <c r="E2229" t="inlineStr">
        <is>
          <t>STRÖMSUND</t>
        </is>
      </c>
      <c r="F2229" t="inlineStr">
        <is>
          <t>SCA</t>
        </is>
      </c>
      <c r="G2229" t="n">
        <v>10.8</v>
      </c>
      <c r="H2229" t="n">
        <v>0</v>
      </c>
      <c r="I2229" t="n">
        <v>0</v>
      </c>
      <c r="J2229" t="n">
        <v>0</v>
      </c>
      <c r="K2229" t="n">
        <v>0</v>
      </c>
      <c r="L2229" t="n">
        <v>0</v>
      </c>
      <c r="M2229" t="n">
        <v>0</v>
      </c>
      <c r="N2229" t="n">
        <v>0</v>
      </c>
      <c r="O2229" t="n">
        <v>0</v>
      </c>
      <c r="P2229" t="n">
        <v>0</v>
      </c>
      <c r="Q2229" t="n">
        <v>0</v>
      </c>
      <c r="R2229" s="2" t="inlineStr"/>
    </row>
    <row r="2230" ht="15" customHeight="1">
      <c r="A2230" t="inlineStr">
        <is>
          <t>A 38593-2021</t>
        </is>
      </c>
      <c r="B2230" s="1" t="n">
        <v>44407</v>
      </c>
      <c r="C2230" s="1" t="n">
        <v>46045</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33225-2021</t>
        </is>
      </c>
      <c r="B2231" s="1" t="n">
        <v>44376</v>
      </c>
      <c r="C2231" s="1" t="n">
        <v>46045</v>
      </c>
      <c r="D2231" t="inlineStr">
        <is>
          <t>JÄMTLANDS LÄN</t>
        </is>
      </c>
      <c r="E2231" t="inlineStr">
        <is>
          <t>STRÖMSUND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21196-2022</t>
        </is>
      </c>
      <c r="B2232" s="1" t="n">
        <v>44704.94234953704</v>
      </c>
      <c r="C2232" s="1" t="n">
        <v>46045</v>
      </c>
      <c r="D2232" t="inlineStr">
        <is>
          <t>JÄMTLANDS LÄN</t>
        </is>
      </c>
      <c r="E2232" t="inlineStr">
        <is>
          <t>RAGUNDA</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24303-2022</t>
        </is>
      </c>
      <c r="B2233" s="1" t="n">
        <v>44725.94363425926</v>
      </c>
      <c r="C2233" s="1" t="n">
        <v>46045</v>
      </c>
      <c r="D2233" t="inlineStr">
        <is>
          <t>JÄMTLANDS LÄN</t>
        </is>
      </c>
      <c r="E2233" t="inlineStr">
        <is>
          <t>STRÖMSUND</t>
        </is>
      </c>
      <c r="F2233" t="inlineStr">
        <is>
          <t>SCA</t>
        </is>
      </c>
      <c r="G2233" t="n">
        <v>20.2</v>
      </c>
      <c r="H2233" t="n">
        <v>0</v>
      </c>
      <c r="I2233" t="n">
        <v>0</v>
      </c>
      <c r="J2233" t="n">
        <v>0</v>
      </c>
      <c r="K2233" t="n">
        <v>0</v>
      </c>
      <c r="L2233" t="n">
        <v>0</v>
      </c>
      <c r="M2233" t="n">
        <v>0</v>
      </c>
      <c r="N2233" t="n">
        <v>0</v>
      </c>
      <c r="O2233" t="n">
        <v>0</v>
      </c>
      <c r="P2233" t="n">
        <v>0</v>
      </c>
      <c r="Q2233" t="n">
        <v>0</v>
      </c>
      <c r="R2233" s="2" t="inlineStr"/>
    </row>
    <row r="2234" ht="15" customHeight="1">
      <c r="A2234" t="inlineStr">
        <is>
          <t>A 48075-2022</t>
        </is>
      </c>
      <c r="B2234" s="1" t="n">
        <v>44855</v>
      </c>
      <c r="C2234" s="1" t="n">
        <v>46045</v>
      </c>
      <c r="D2234" t="inlineStr">
        <is>
          <t>JÄMTLANDS LÄN</t>
        </is>
      </c>
      <c r="E2234" t="inlineStr">
        <is>
          <t>RAGUNDA</t>
        </is>
      </c>
      <c r="F2234" t="inlineStr">
        <is>
          <t>SCA</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48538-2022</t>
        </is>
      </c>
      <c r="B2235" s="1" t="n">
        <v>44858</v>
      </c>
      <c r="C2235" s="1" t="n">
        <v>46045</v>
      </c>
      <c r="D2235" t="inlineStr">
        <is>
          <t>JÄMTLANDS LÄN</t>
        </is>
      </c>
      <c r="E2235" t="inlineStr">
        <is>
          <t>RAGUNDA</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8647-2022</t>
        </is>
      </c>
      <c r="B2236" s="1" t="n">
        <v>44613</v>
      </c>
      <c r="C2236" s="1" t="n">
        <v>46045</v>
      </c>
      <c r="D2236" t="inlineStr">
        <is>
          <t>JÄMTLANDS LÄN</t>
        </is>
      </c>
      <c r="E2236" t="inlineStr">
        <is>
          <t>ÖSTERSUND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50028-2021</t>
        </is>
      </c>
      <c r="B2237" s="1" t="n">
        <v>44456.49083333334</v>
      </c>
      <c r="C2237" s="1" t="n">
        <v>46045</v>
      </c>
      <c r="D2237" t="inlineStr">
        <is>
          <t>JÄMTLANDS LÄN</t>
        </is>
      </c>
      <c r="E2237" t="inlineStr">
        <is>
          <t>STRÖMSUND</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55232-2021</t>
        </is>
      </c>
      <c r="B2238" s="1" t="n">
        <v>44475</v>
      </c>
      <c r="C2238" s="1" t="n">
        <v>46045</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35522-2021</t>
        </is>
      </c>
      <c r="B2239" s="1" t="n">
        <v>44385.65266203704</v>
      </c>
      <c r="C2239" s="1" t="n">
        <v>46045</v>
      </c>
      <c r="D2239" t="inlineStr">
        <is>
          <t>JÄMTLANDS LÄN</t>
        </is>
      </c>
      <c r="E2239" t="inlineStr">
        <is>
          <t>STRÖMSUND</t>
        </is>
      </c>
      <c r="F2239" t="inlineStr">
        <is>
          <t>Holmen skog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16822-2021</t>
        </is>
      </c>
      <c r="B2240" s="1" t="n">
        <v>44293</v>
      </c>
      <c r="C2240" s="1" t="n">
        <v>46045</v>
      </c>
      <c r="D2240" t="inlineStr">
        <is>
          <t>JÄMTLANDS LÄN</t>
        </is>
      </c>
      <c r="E2240" t="inlineStr">
        <is>
          <t>BERG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16825-2021</t>
        </is>
      </c>
      <c r="B2241" s="1" t="n">
        <v>44293</v>
      </c>
      <c r="C2241" s="1" t="n">
        <v>46045</v>
      </c>
      <c r="D2241" t="inlineStr">
        <is>
          <t>JÄMTLANDS LÄN</t>
        </is>
      </c>
      <c r="E2241" t="inlineStr">
        <is>
          <t>BERG</t>
        </is>
      </c>
      <c r="G2241" t="n">
        <v>20</v>
      </c>
      <c r="H2241" t="n">
        <v>0</v>
      </c>
      <c r="I2241" t="n">
        <v>0</v>
      </c>
      <c r="J2241" t="n">
        <v>0</v>
      </c>
      <c r="K2241" t="n">
        <v>0</v>
      </c>
      <c r="L2241" t="n">
        <v>0</v>
      </c>
      <c r="M2241" t="n">
        <v>0</v>
      </c>
      <c r="N2241" t="n">
        <v>0</v>
      </c>
      <c r="O2241" t="n">
        <v>0</v>
      </c>
      <c r="P2241" t="n">
        <v>0</v>
      </c>
      <c r="Q2241" t="n">
        <v>0</v>
      </c>
      <c r="R2241" s="2" t="inlineStr"/>
    </row>
    <row r="2242" ht="15" customHeight="1">
      <c r="A2242" t="inlineStr">
        <is>
          <t>A 10008-2021</t>
        </is>
      </c>
      <c r="B2242" s="1" t="n">
        <v>44255</v>
      </c>
      <c r="C2242" s="1" t="n">
        <v>46045</v>
      </c>
      <c r="D2242" t="inlineStr">
        <is>
          <t>JÄMTLANDS LÄN</t>
        </is>
      </c>
      <c r="E2242" t="inlineStr">
        <is>
          <t>KROKOM</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7575-2021</t>
        </is>
      </c>
      <c r="B2243" s="1" t="n">
        <v>44239</v>
      </c>
      <c r="C2243" s="1" t="n">
        <v>46045</v>
      </c>
      <c r="D2243" t="inlineStr">
        <is>
          <t>JÄMTLANDS LÄN</t>
        </is>
      </c>
      <c r="E2243" t="inlineStr">
        <is>
          <t>RAGUNDA</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37107-2022</t>
        </is>
      </c>
      <c r="B2244" s="1" t="n">
        <v>44806</v>
      </c>
      <c r="C2244" s="1" t="n">
        <v>46045</v>
      </c>
      <c r="D2244" t="inlineStr">
        <is>
          <t>JÄMTLANDS LÄN</t>
        </is>
      </c>
      <c r="E2244" t="inlineStr">
        <is>
          <t>STRÖMSUND</t>
        </is>
      </c>
      <c r="F2244" t="inlineStr">
        <is>
          <t>Kommuner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46058-2022</t>
        </is>
      </c>
      <c r="B2245" s="1" t="n">
        <v>44846.95311342592</v>
      </c>
      <c r="C2245" s="1" t="n">
        <v>46045</v>
      </c>
      <c r="D2245" t="inlineStr">
        <is>
          <t>JÄMTLANDS LÄN</t>
        </is>
      </c>
      <c r="E2245" t="inlineStr">
        <is>
          <t>STRÖMSUND</t>
        </is>
      </c>
      <c r="F2245" t="inlineStr">
        <is>
          <t>SCA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12186-2021</t>
        </is>
      </c>
      <c r="B2246" s="1" t="n">
        <v>44266</v>
      </c>
      <c r="C2246" s="1" t="n">
        <v>46045</v>
      </c>
      <c r="D2246" t="inlineStr">
        <is>
          <t>JÄMTLANDS LÄN</t>
        </is>
      </c>
      <c r="E2246" t="inlineStr">
        <is>
          <t>STRÖMSUND</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7268-2021</t>
        </is>
      </c>
      <c r="B2247" s="1" t="n">
        <v>44238</v>
      </c>
      <c r="C2247" s="1" t="n">
        <v>46045</v>
      </c>
      <c r="D2247" t="inlineStr">
        <is>
          <t>JÄMTLANDS LÄN</t>
        </is>
      </c>
      <c r="E2247" t="inlineStr">
        <is>
          <t>STRÖMSUND</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19541-2021</t>
        </is>
      </c>
      <c r="B2248" s="1" t="n">
        <v>44312.41724537037</v>
      </c>
      <c r="C2248" s="1" t="n">
        <v>46045</v>
      </c>
      <c r="D2248" t="inlineStr">
        <is>
          <t>JÄMTLANDS LÄN</t>
        </is>
      </c>
      <c r="E2248" t="inlineStr">
        <is>
          <t>ÖSTERSUND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46401-2021</t>
        </is>
      </c>
      <c r="B2249" s="1" t="n">
        <v>44443</v>
      </c>
      <c r="C2249" s="1" t="n">
        <v>46045</v>
      </c>
      <c r="D2249" t="inlineStr">
        <is>
          <t>JÄMTLANDS LÄN</t>
        </is>
      </c>
      <c r="E2249" t="inlineStr">
        <is>
          <t>RAGUNDA</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10530-2021</t>
        </is>
      </c>
      <c r="B2250" s="1" t="n">
        <v>44258</v>
      </c>
      <c r="C2250" s="1" t="n">
        <v>46045</v>
      </c>
      <c r="D2250" t="inlineStr">
        <is>
          <t>JÄMTLANDS LÄN</t>
        </is>
      </c>
      <c r="E2250" t="inlineStr">
        <is>
          <t>HÄRJEDALEN</t>
        </is>
      </c>
      <c r="G2250" t="n">
        <v>19.5</v>
      </c>
      <c r="H2250" t="n">
        <v>0</v>
      </c>
      <c r="I2250" t="n">
        <v>0</v>
      </c>
      <c r="J2250" t="n">
        <v>0</v>
      </c>
      <c r="K2250" t="n">
        <v>0</v>
      </c>
      <c r="L2250" t="n">
        <v>0</v>
      </c>
      <c r="M2250" t="n">
        <v>0</v>
      </c>
      <c r="N2250" t="n">
        <v>0</v>
      </c>
      <c r="O2250" t="n">
        <v>0</v>
      </c>
      <c r="P2250" t="n">
        <v>0</v>
      </c>
      <c r="Q2250" t="n">
        <v>0</v>
      </c>
      <c r="R2250" s="2" t="inlineStr"/>
    </row>
    <row r="2251" ht="15" customHeight="1">
      <c r="A2251" t="inlineStr">
        <is>
          <t>A 2880-2022</t>
        </is>
      </c>
      <c r="B2251" s="1" t="n">
        <v>44581</v>
      </c>
      <c r="C2251" s="1" t="n">
        <v>46045</v>
      </c>
      <c r="D2251" t="inlineStr">
        <is>
          <t>JÄMTLANDS LÄN</t>
        </is>
      </c>
      <c r="E2251" t="inlineStr">
        <is>
          <t>ÖSTERSUND</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30031-2022</t>
        </is>
      </c>
      <c r="B2252" s="1" t="n">
        <v>44756.94519675926</v>
      </c>
      <c r="C2252" s="1" t="n">
        <v>46045</v>
      </c>
      <c r="D2252" t="inlineStr">
        <is>
          <t>JÄMTLANDS LÄN</t>
        </is>
      </c>
      <c r="E2252" t="inlineStr">
        <is>
          <t>STRÖMSUND</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2093-2022</t>
        </is>
      </c>
      <c r="B2253" s="1" t="n">
        <v>44577.47756944445</v>
      </c>
      <c r="C2253" s="1" t="n">
        <v>46045</v>
      </c>
      <c r="D2253" t="inlineStr">
        <is>
          <t>JÄMTLANDS LÄN</t>
        </is>
      </c>
      <c r="E2253" t="inlineStr">
        <is>
          <t>KROKOM</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41391-2021</t>
        </is>
      </c>
      <c r="B2254" s="1" t="n">
        <v>44424</v>
      </c>
      <c r="C2254" s="1" t="n">
        <v>46045</v>
      </c>
      <c r="D2254" t="inlineStr">
        <is>
          <t>JÄMTLANDS LÄN</t>
        </is>
      </c>
      <c r="E2254" t="inlineStr">
        <is>
          <t>HÄRJEDALEN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41400-2021</t>
        </is>
      </c>
      <c r="B2255" s="1" t="n">
        <v>44424</v>
      </c>
      <c r="C2255" s="1" t="n">
        <v>46045</v>
      </c>
      <c r="D2255" t="inlineStr">
        <is>
          <t>JÄMTLANDS LÄN</t>
        </is>
      </c>
      <c r="E2255" t="inlineStr">
        <is>
          <t>HÄRJEDALEN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72827-2021</t>
        </is>
      </c>
      <c r="B2256" s="1" t="n">
        <v>44547</v>
      </c>
      <c r="C2256" s="1" t="n">
        <v>46045</v>
      </c>
      <c r="D2256" t="inlineStr">
        <is>
          <t>JÄMTLANDS LÄN</t>
        </is>
      </c>
      <c r="E2256" t="inlineStr">
        <is>
          <t>STRÖMSUND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69949-2021</t>
        </is>
      </c>
      <c r="B2257" s="1" t="n">
        <v>44533</v>
      </c>
      <c r="C2257" s="1" t="n">
        <v>46045</v>
      </c>
      <c r="D2257" t="inlineStr">
        <is>
          <t>JÄMTLANDS LÄN</t>
        </is>
      </c>
      <c r="E2257" t="inlineStr">
        <is>
          <t>KROKOM</t>
        </is>
      </c>
      <c r="G2257" t="n">
        <v>15.8</v>
      </c>
      <c r="H2257" t="n">
        <v>0</v>
      </c>
      <c r="I2257" t="n">
        <v>0</v>
      </c>
      <c r="J2257" t="n">
        <v>0</v>
      </c>
      <c r="K2257" t="n">
        <v>0</v>
      </c>
      <c r="L2257" t="n">
        <v>0</v>
      </c>
      <c r="M2257" t="n">
        <v>0</v>
      </c>
      <c r="N2257" t="n">
        <v>0</v>
      </c>
      <c r="O2257" t="n">
        <v>0</v>
      </c>
      <c r="P2257" t="n">
        <v>0</v>
      </c>
      <c r="Q2257" t="n">
        <v>0</v>
      </c>
      <c r="R2257" s="2" t="inlineStr"/>
    </row>
    <row r="2258" ht="15" customHeight="1">
      <c r="A2258" t="inlineStr">
        <is>
          <t>A 34550-2022</t>
        </is>
      </c>
      <c r="B2258" s="1" t="n">
        <v>44793</v>
      </c>
      <c r="C2258" s="1" t="n">
        <v>46045</v>
      </c>
      <c r="D2258" t="inlineStr">
        <is>
          <t>JÄMTLANDS LÄN</t>
        </is>
      </c>
      <c r="E2258" t="inlineStr">
        <is>
          <t>STRÖMSUND</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13571-2021</t>
        </is>
      </c>
      <c r="B2259" s="1" t="n">
        <v>44273.92081018518</v>
      </c>
      <c r="C2259" s="1" t="n">
        <v>46045</v>
      </c>
      <c r="D2259" t="inlineStr">
        <is>
          <t>JÄMTLANDS LÄN</t>
        </is>
      </c>
      <c r="E2259" t="inlineStr">
        <is>
          <t>RAGUNDA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22505-2021</t>
        </is>
      </c>
      <c r="B2260" s="1" t="n">
        <v>44326</v>
      </c>
      <c r="C2260" s="1" t="n">
        <v>46045</v>
      </c>
      <c r="D2260" t="inlineStr">
        <is>
          <t>JÄMTLANDS LÄN</t>
        </is>
      </c>
      <c r="E2260" t="inlineStr">
        <is>
          <t>ÅRE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27302-2022</t>
        </is>
      </c>
      <c r="B2261" s="1" t="n">
        <v>44741</v>
      </c>
      <c r="C2261" s="1" t="n">
        <v>46045</v>
      </c>
      <c r="D2261" t="inlineStr">
        <is>
          <t>JÄMTLANDS LÄN</t>
        </is>
      </c>
      <c r="E2261" t="inlineStr">
        <is>
          <t>RAGUNDA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61422-2021</t>
        </is>
      </c>
      <c r="B2262" s="1" t="n">
        <v>44500.93625</v>
      </c>
      <c r="C2262" s="1" t="n">
        <v>46045</v>
      </c>
      <c r="D2262" t="inlineStr">
        <is>
          <t>JÄMTLANDS LÄN</t>
        </is>
      </c>
      <c r="E2262" t="inlineStr">
        <is>
          <t>STRÖMSUND</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61450-2021</t>
        </is>
      </c>
      <c r="B2263" s="1" t="n">
        <v>44500</v>
      </c>
      <c r="C2263" s="1" t="n">
        <v>46045</v>
      </c>
      <c r="D2263" t="inlineStr">
        <is>
          <t>JÄMTLANDS LÄN</t>
        </is>
      </c>
      <c r="E2263" t="inlineStr">
        <is>
          <t>STRÖMSUND</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42794-2021</t>
        </is>
      </c>
      <c r="B2264" s="1" t="n">
        <v>44428.93994212963</v>
      </c>
      <c r="C2264" s="1" t="n">
        <v>46045</v>
      </c>
      <c r="D2264" t="inlineStr">
        <is>
          <t>JÄMTLANDS LÄN</t>
        </is>
      </c>
      <c r="E2264" t="inlineStr">
        <is>
          <t>STRÖMSUND</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48963-2022</t>
        </is>
      </c>
      <c r="B2265" s="1" t="n">
        <v>44860.31708333334</v>
      </c>
      <c r="C2265" s="1" t="n">
        <v>46045</v>
      </c>
      <c r="D2265" t="inlineStr">
        <is>
          <t>JÄMTLANDS LÄN</t>
        </is>
      </c>
      <c r="E2265" t="inlineStr">
        <is>
          <t>STRÖMSUND</t>
        </is>
      </c>
      <c r="F2265" t="inlineStr">
        <is>
          <t>Sveaskog</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40271-2022</t>
        </is>
      </c>
      <c r="B2266" s="1" t="n">
        <v>44820.94378472222</v>
      </c>
      <c r="C2266" s="1" t="n">
        <v>46045</v>
      </c>
      <c r="D2266" t="inlineStr">
        <is>
          <t>JÄMTLANDS LÄN</t>
        </is>
      </c>
      <c r="E2266" t="inlineStr">
        <is>
          <t>STRÖMSUND</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9379-2022</t>
        </is>
      </c>
      <c r="B2267" s="1" t="n">
        <v>44616.63193287037</v>
      </c>
      <c r="C2267" s="1" t="n">
        <v>46045</v>
      </c>
      <c r="D2267" t="inlineStr">
        <is>
          <t>JÄMTLANDS LÄN</t>
        </is>
      </c>
      <c r="E2267" t="inlineStr">
        <is>
          <t>STRÖMSUND</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39618-2022</t>
        </is>
      </c>
      <c r="B2268" s="1" t="n">
        <v>44818</v>
      </c>
      <c r="C2268" s="1" t="n">
        <v>46045</v>
      </c>
      <c r="D2268" t="inlineStr">
        <is>
          <t>JÄMTLANDS LÄN</t>
        </is>
      </c>
      <c r="E2268" t="inlineStr">
        <is>
          <t>HÄRJEDALEN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47248-2022</t>
        </is>
      </c>
      <c r="B2269" s="1" t="n">
        <v>44852.92776620371</v>
      </c>
      <c r="C2269" s="1" t="n">
        <v>46045</v>
      </c>
      <c r="D2269" t="inlineStr">
        <is>
          <t>JÄMTLANDS LÄN</t>
        </is>
      </c>
      <c r="E2269" t="inlineStr">
        <is>
          <t>STRÖMSUND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47295-2022</t>
        </is>
      </c>
      <c r="B2270" s="1" t="n">
        <v>44852</v>
      </c>
      <c r="C2270" s="1" t="n">
        <v>46045</v>
      </c>
      <c r="D2270" t="inlineStr">
        <is>
          <t>JÄMTLANDS LÄN</t>
        </is>
      </c>
      <c r="E2270" t="inlineStr">
        <is>
          <t>ÖSTERSUND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31167-2022</t>
        </is>
      </c>
      <c r="B2271" s="1" t="n">
        <v>44770.53315972222</v>
      </c>
      <c r="C2271" s="1" t="n">
        <v>46045</v>
      </c>
      <c r="D2271" t="inlineStr">
        <is>
          <t>JÄMTLANDS LÄN</t>
        </is>
      </c>
      <c r="E2271" t="inlineStr">
        <is>
          <t>HÄRJEDALEN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28804-2022</t>
        </is>
      </c>
      <c r="B2272" s="1" t="n">
        <v>44749</v>
      </c>
      <c r="C2272" s="1" t="n">
        <v>46045</v>
      </c>
      <c r="D2272" t="inlineStr">
        <is>
          <t>JÄMTLANDS LÄN</t>
        </is>
      </c>
      <c r="E2272" t="inlineStr">
        <is>
          <t>KROKOM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46937-2021</t>
        </is>
      </c>
      <c r="B2273" s="1" t="n">
        <v>44446</v>
      </c>
      <c r="C2273" s="1" t="n">
        <v>46045</v>
      </c>
      <c r="D2273" t="inlineStr">
        <is>
          <t>JÄMTLANDS LÄN</t>
        </is>
      </c>
      <c r="E2273" t="inlineStr">
        <is>
          <t>BERG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18808-2022</t>
        </is>
      </c>
      <c r="B2274" s="1" t="n">
        <v>44690</v>
      </c>
      <c r="C2274" s="1" t="n">
        <v>46045</v>
      </c>
      <c r="D2274" t="inlineStr">
        <is>
          <t>JÄMTLANDS LÄN</t>
        </is>
      </c>
      <c r="E2274" t="inlineStr">
        <is>
          <t>HÄRJEDALEN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60312-2021</t>
        </is>
      </c>
      <c r="B2275" s="1" t="n">
        <v>44495.93966435185</v>
      </c>
      <c r="C2275" s="1" t="n">
        <v>46045</v>
      </c>
      <c r="D2275" t="inlineStr">
        <is>
          <t>JÄMTLANDS LÄN</t>
        </is>
      </c>
      <c r="E2275" t="inlineStr">
        <is>
          <t>RAGUNDA</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28294-2022</t>
        </is>
      </c>
      <c r="B2276" s="1" t="n">
        <v>44746.94328703704</v>
      </c>
      <c r="C2276" s="1" t="n">
        <v>46045</v>
      </c>
      <c r="D2276" t="inlineStr">
        <is>
          <t>JÄMTLANDS LÄN</t>
        </is>
      </c>
      <c r="E2276" t="inlineStr">
        <is>
          <t>STRÖMSUND</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34011-2022</t>
        </is>
      </c>
      <c r="B2277" s="1" t="n">
        <v>44790</v>
      </c>
      <c r="C2277" s="1" t="n">
        <v>46045</v>
      </c>
      <c r="D2277" t="inlineStr">
        <is>
          <t>JÄMTLANDS LÄN</t>
        </is>
      </c>
      <c r="E2277" t="inlineStr">
        <is>
          <t>STRÖMSUND</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46327-2022</t>
        </is>
      </c>
      <c r="B2278" s="1" t="n">
        <v>44847.94736111111</v>
      </c>
      <c r="C2278" s="1" t="n">
        <v>46045</v>
      </c>
      <c r="D2278" t="inlineStr">
        <is>
          <t>JÄMTLANDS LÄN</t>
        </is>
      </c>
      <c r="E2278" t="inlineStr">
        <is>
          <t>STRÖMSUND</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47873-2022</t>
        </is>
      </c>
      <c r="B2279" s="1" t="n">
        <v>44855</v>
      </c>
      <c r="C2279" s="1" t="n">
        <v>46045</v>
      </c>
      <c r="D2279" t="inlineStr">
        <is>
          <t>JÄMTLANDS LÄN</t>
        </is>
      </c>
      <c r="E2279" t="inlineStr">
        <is>
          <t>ÅRE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42360-2022</t>
        </is>
      </c>
      <c r="B2280" s="1" t="n">
        <v>44831.37650462963</v>
      </c>
      <c r="C2280" s="1" t="n">
        <v>46045</v>
      </c>
      <c r="D2280" t="inlineStr">
        <is>
          <t>JÄMTLANDS LÄN</t>
        </is>
      </c>
      <c r="E2280" t="inlineStr">
        <is>
          <t>KROKOM</t>
        </is>
      </c>
      <c r="F2280" t="inlineStr">
        <is>
          <t>Övriga Aktiebolag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47801-2022</t>
        </is>
      </c>
      <c r="B2281" s="1" t="n">
        <v>44854</v>
      </c>
      <c r="C2281" s="1" t="n">
        <v>46045</v>
      </c>
      <c r="D2281" t="inlineStr">
        <is>
          <t>JÄMTLANDS LÄN</t>
        </is>
      </c>
      <c r="E2281" t="inlineStr">
        <is>
          <t>RAGUNDA</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48938-2022</t>
        </is>
      </c>
      <c r="B2282" s="1" t="n">
        <v>44859.95710648148</v>
      </c>
      <c r="C2282" s="1" t="n">
        <v>46045</v>
      </c>
      <c r="D2282" t="inlineStr">
        <is>
          <t>JÄMTLANDS LÄN</t>
        </is>
      </c>
      <c r="E2282" t="inlineStr">
        <is>
          <t>RAGUNDA</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47256-2022</t>
        </is>
      </c>
      <c r="B2283" s="1" t="n">
        <v>44852.94697916666</v>
      </c>
      <c r="C2283" s="1" t="n">
        <v>46045</v>
      </c>
      <c r="D2283" t="inlineStr">
        <is>
          <t>JÄMTLANDS LÄN</t>
        </is>
      </c>
      <c r="E2283" t="inlineStr">
        <is>
          <t>BRÄCKE</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47264-2022</t>
        </is>
      </c>
      <c r="B2284" s="1" t="n">
        <v>44852.94967592593</v>
      </c>
      <c r="C2284" s="1" t="n">
        <v>46045</v>
      </c>
      <c r="D2284" t="inlineStr">
        <is>
          <t>JÄMTLANDS LÄN</t>
        </is>
      </c>
      <c r="E2284" t="inlineStr">
        <is>
          <t>BRÄCKE</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69316-2021</t>
        </is>
      </c>
      <c r="B2285" s="1" t="n">
        <v>44530</v>
      </c>
      <c r="C2285" s="1" t="n">
        <v>46045</v>
      </c>
      <c r="D2285" t="inlineStr">
        <is>
          <t>JÄMTLANDS LÄN</t>
        </is>
      </c>
      <c r="E2285" t="inlineStr">
        <is>
          <t>RAGUNDA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40612-2022</t>
        </is>
      </c>
      <c r="B2286" s="1" t="n">
        <v>44823.94993055556</v>
      </c>
      <c r="C2286" s="1" t="n">
        <v>46045</v>
      </c>
      <c r="D2286" t="inlineStr">
        <is>
          <t>JÄMTLANDS LÄN</t>
        </is>
      </c>
      <c r="E2286" t="inlineStr">
        <is>
          <t>RAGUNDA</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43478-2022</t>
        </is>
      </c>
      <c r="B2287" s="1" t="n">
        <v>44836.9491087963</v>
      </c>
      <c r="C2287" s="1" t="n">
        <v>46045</v>
      </c>
      <c r="D2287" t="inlineStr">
        <is>
          <t>JÄMTLANDS LÄN</t>
        </is>
      </c>
      <c r="E2287" t="inlineStr">
        <is>
          <t>RAGUNDA</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16188-2021</t>
        </is>
      </c>
      <c r="B2288" s="1" t="n">
        <v>44287</v>
      </c>
      <c r="C2288" s="1" t="n">
        <v>46045</v>
      </c>
      <c r="D2288" t="inlineStr">
        <is>
          <t>JÄMTLANDS LÄN</t>
        </is>
      </c>
      <c r="E2288" t="inlineStr">
        <is>
          <t>KROKOM</t>
        </is>
      </c>
      <c r="G2288" t="n">
        <v>30.5</v>
      </c>
      <c r="H2288" t="n">
        <v>0</v>
      </c>
      <c r="I2288" t="n">
        <v>0</v>
      </c>
      <c r="J2288" t="n">
        <v>0</v>
      </c>
      <c r="K2288" t="n">
        <v>0</v>
      </c>
      <c r="L2288" t="n">
        <v>0</v>
      </c>
      <c r="M2288" t="n">
        <v>0</v>
      </c>
      <c r="N2288" t="n">
        <v>0</v>
      </c>
      <c r="O2288" t="n">
        <v>0</v>
      </c>
      <c r="P2288" t="n">
        <v>0</v>
      </c>
      <c r="Q2288" t="n">
        <v>0</v>
      </c>
      <c r="R2288" s="2" t="inlineStr"/>
    </row>
    <row r="2289" ht="15" customHeight="1">
      <c r="A2289" t="inlineStr">
        <is>
          <t>A 41182-2022</t>
        </is>
      </c>
      <c r="B2289" s="1" t="n">
        <v>44825.94918981481</v>
      </c>
      <c r="C2289" s="1" t="n">
        <v>46045</v>
      </c>
      <c r="D2289" t="inlineStr">
        <is>
          <t>JÄMTLANDS LÄN</t>
        </is>
      </c>
      <c r="E2289" t="inlineStr">
        <is>
          <t>BRÄCKE</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63534-2021</t>
        </is>
      </c>
      <c r="B2290" s="1" t="n">
        <v>44508.6696875</v>
      </c>
      <c r="C2290" s="1" t="n">
        <v>46045</v>
      </c>
      <c r="D2290" t="inlineStr">
        <is>
          <t>JÄMTLANDS LÄN</t>
        </is>
      </c>
      <c r="E2290" t="inlineStr">
        <is>
          <t>BRÄCKE</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15681-2021</t>
        </is>
      </c>
      <c r="B2291" s="1" t="n">
        <v>44286</v>
      </c>
      <c r="C2291" s="1" t="n">
        <v>46045</v>
      </c>
      <c r="D2291" t="inlineStr">
        <is>
          <t>JÄMTLANDS LÄN</t>
        </is>
      </c>
      <c r="E2291" t="inlineStr">
        <is>
          <t>HÄRJEDALEN</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15585-2021</t>
        </is>
      </c>
      <c r="B2292" s="1" t="n">
        <v>44285</v>
      </c>
      <c r="C2292" s="1" t="n">
        <v>46045</v>
      </c>
      <c r="D2292" t="inlineStr">
        <is>
          <t>JÄMTLANDS LÄN</t>
        </is>
      </c>
      <c r="E2292" t="inlineStr">
        <is>
          <t>HÄRJEDALEN</t>
        </is>
      </c>
      <c r="G2292" t="n">
        <v>21.2</v>
      </c>
      <c r="H2292" t="n">
        <v>0</v>
      </c>
      <c r="I2292" t="n">
        <v>0</v>
      </c>
      <c r="J2292" t="n">
        <v>0</v>
      </c>
      <c r="K2292" t="n">
        <v>0</v>
      </c>
      <c r="L2292" t="n">
        <v>0</v>
      </c>
      <c r="M2292" t="n">
        <v>0</v>
      </c>
      <c r="N2292" t="n">
        <v>0</v>
      </c>
      <c r="O2292" t="n">
        <v>0</v>
      </c>
      <c r="P2292" t="n">
        <v>0</v>
      </c>
      <c r="Q2292" t="n">
        <v>0</v>
      </c>
      <c r="R2292" s="2" t="inlineStr"/>
    </row>
    <row r="2293" ht="15" customHeight="1">
      <c r="A2293" t="inlineStr">
        <is>
          <t>A 64953-2021</t>
        </is>
      </c>
      <c r="B2293" s="1" t="n">
        <v>44512.94539351852</v>
      </c>
      <c r="C2293" s="1" t="n">
        <v>46045</v>
      </c>
      <c r="D2293" t="inlineStr">
        <is>
          <t>JÄMTLANDS LÄN</t>
        </is>
      </c>
      <c r="E2293" t="inlineStr">
        <is>
          <t>KROKOM</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10191-2021</t>
        </is>
      </c>
      <c r="B2294" s="1" t="n">
        <v>44256</v>
      </c>
      <c r="C2294" s="1" t="n">
        <v>46045</v>
      </c>
      <c r="D2294" t="inlineStr">
        <is>
          <t>JÄMTLANDS LÄN</t>
        </is>
      </c>
      <c r="E2294" t="inlineStr">
        <is>
          <t>ÅRE</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27979-2021</t>
        </is>
      </c>
      <c r="B2295" s="1" t="n">
        <v>44354</v>
      </c>
      <c r="C2295" s="1" t="n">
        <v>46045</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42902-2022</t>
        </is>
      </c>
      <c r="B2296" s="1" t="n">
        <v>44832</v>
      </c>
      <c r="C2296" s="1" t="n">
        <v>46045</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43142-2022</t>
        </is>
      </c>
      <c r="B2297" s="1" t="n">
        <v>44833.95155092593</v>
      </c>
      <c r="C2297" s="1" t="n">
        <v>46045</v>
      </c>
      <c r="D2297" t="inlineStr">
        <is>
          <t>JÄMTLANDS LÄN</t>
        </is>
      </c>
      <c r="E2297" t="inlineStr">
        <is>
          <t>BRÄCKE</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43163-2022</t>
        </is>
      </c>
      <c r="B2298" s="1" t="n">
        <v>44833.95405092592</v>
      </c>
      <c r="C2298" s="1" t="n">
        <v>46045</v>
      </c>
      <c r="D2298" t="inlineStr">
        <is>
          <t>JÄMTLANDS LÄN</t>
        </is>
      </c>
      <c r="E2298" t="inlineStr">
        <is>
          <t>RAGUNDA</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10834-2021</t>
        </is>
      </c>
      <c r="B2299" s="1" t="n">
        <v>44259</v>
      </c>
      <c r="C2299" s="1" t="n">
        <v>46045</v>
      </c>
      <c r="D2299" t="inlineStr">
        <is>
          <t>JÄMTLANDS LÄN</t>
        </is>
      </c>
      <c r="E2299" t="inlineStr">
        <is>
          <t>ÖSTERSUND</t>
        </is>
      </c>
      <c r="G2299" t="n">
        <v>12.2</v>
      </c>
      <c r="H2299" t="n">
        <v>0</v>
      </c>
      <c r="I2299" t="n">
        <v>0</v>
      </c>
      <c r="J2299" t="n">
        <v>0</v>
      </c>
      <c r="K2299" t="n">
        <v>0</v>
      </c>
      <c r="L2299" t="n">
        <v>0</v>
      </c>
      <c r="M2299" t="n">
        <v>0</v>
      </c>
      <c r="N2299" t="n">
        <v>0</v>
      </c>
      <c r="O2299" t="n">
        <v>0</v>
      </c>
      <c r="P2299" t="n">
        <v>0</v>
      </c>
      <c r="Q2299" t="n">
        <v>0</v>
      </c>
      <c r="R2299" s="2" t="inlineStr"/>
    </row>
    <row r="2300" ht="15" customHeight="1">
      <c r="A2300" t="inlineStr">
        <is>
          <t>A 34492-2022</t>
        </is>
      </c>
      <c r="B2300" s="1" t="n">
        <v>44792.68023148148</v>
      </c>
      <c r="C2300" s="1" t="n">
        <v>46045</v>
      </c>
      <c r="D2300" t="inlineStr">
        <is>
          <t>JÄMTLANDS LÄN</t>
        </is>
      </c>
      <c r="E2300" t="inlineStr">
        <is>
          <t>HÄRJEDALEN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2494-2022</t>
        </is>
      </c>
      <c r="B2301" s="1" t="n">
        <v>44579.68604166667</v>
      </c>
      <c r="C2301" s="1" t="n">
        <v>46045</v>
      </c>
      <c r="D2301" t="inlineStr">
        <is>
          <t>JÄMTLANDS LÄN</t>
        </is>
      </c>
      <c r="E2301" t="inlineStr">
        <is>
          <t>RAGUNDA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154-2022</t>
        </is>
      </c>
      <c r="B2302" s="1" t="n">
        <v>44561</v>
      </c>
      <c r="C2302" s="1" t="n">
        <v>46045</v>
      </c>
      <c r="D2302" t="inlineStr">
        <is>
          <t>JÄMTLANDS LÄN</t>
        </is>
      </c>
      <c r="E2302" t="inlineStr">
        <is>
          <t>ÖSTERSUND</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29628-2021</t>
        </is>
      </c>
      <c r="B2303" s="1" t="n">
        <v>44361</v>
      </c>
      <c r="C2303" s="1" t="n">
        <v>46045</v>
      </c>
      <c r="D2303" t="inlineStr">
        <is>
          <t>JÄMTLANDS LÄN</t>
        </is>
      </c>
      <c r="E2303" t="inlineStr">
        <is>
          <t>STRÖMSUND</t>
        </is>
      </c>
      <c r="F2303" t="inlineStr">
        <is>
          <t>SCA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8020-2021</t>
        </is>
      </c>
      <c r="B2304" s="1" t="n">
        <v>44243</v>
      </c>
      <c r="C2304" s="1" t="n">
        <v>46045</v>
      </c>
      <c r="D2304" t="inlineStr">
        <is>
          <t>JÄMTLANDS LÄN</t>
        </is>
      </c>
      <c r="E2304" t="inlineStr">
        <is>
          <t>STRÖMSUND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43455-2022</t>
        </is>
      </c>
      <c r="B2305" s="1" t="n">
        <v>44835.95166666667</v>
      </c>
      <c r="C2305" s="1" t="n">
        <v>46045</v>
      </c>
      <c r="D2305" t="inlineStr">
        <is>
          <t>JÄMTLANDS LÄN</t>
        </is>
      </c>
      <c r="E2305" t="inlineStr">
        <is>
          <t>STRÖMSUND</t>
        </is>
      </c>
      <c r="F2305" t="inlineStr">
        <is>
          <t>SCA</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8055-2021</t>
        </is>
      </c>
      <c r="B2306" s="1" t="n">
        <v>44243.63096064814</v>
      </c>
      <c r="C2306" s="1" t="n">
        <v>46045</v>
      </c>
      <c r="D2306" t="inlineStr">
        <is>
          <t>JÄMTLANDS LÄN</t>
        </is>
      </c>
      <c r="E2306" t="inlineStr">
        <is>
          <t>HÄRJEDALEN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35573-2021</t>
        </is>
      </c>
      <c r="B2307" s="1" t="n">
        <v>44385.93658564815</v>
      </c>
      <c r="C2307" s="1" t="n">
        <v>46045</v>
      </c>
      <c r="D2307" t="inlineStr">
        <is>
          <t>JÄMTLANDS LÄN</t>
        </is>
      </c>
      <c r="E2307" t="inlineStr">
        <is>
          <t>HÄRJEDALEN</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17373-2021</t>
        </is>
      </c>
      <c r="B2308" s="1" t="n">
        <v>44298.91964120371</v>
      </c>
      <c r="C2308" s="1" t="n">
        <v>46045</v>
      </c>
      <c r="D2308" t="inlineStr">
        <is>
          <t>JÄMTLANDS LÄN</t>
        </is>
      </c>
      <c r="E2308" t="inlineStr">
        <is>
          <t>STRÖMSUND</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31467-2021</t>
        </is>
      </c>
      <c r="B2309" s="1" t="n">
        <v>44369.41452546296</v>
      </c>
      <c r="C2309" s="1" t="n">
        <v>46045</v>
      </c>
      <c r="D2309" t="inlineStr">
        <is>
          <t>JÄMTLANDS LÄN</t>
        </is>
      </c>
      <c r="E2309" t="inlineStr">
        <is>
          <t>KROKOM</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31093-2021</t>
        </is>
      </c>
      <c r="B2310" s="1" t="n">
        <v>44368</v>
      </c>
      <c r="C2310" s="1" t="n">
        <v>46045</v>
      </c>
      <c r="D2310" t="inlineStr">
        <is>
          <t>JÄMTLANDS LÄN</t>
        </is>
      </c>
      <c r="E2310" t="inlineStr">
        <is>
          <t>BRÄCKE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29930-2021</t>
        </is>
      </c>
      <c r="B2311" s="1" t="n">
        <v>44362</v>
      </c>
      <c r="C2311" s="1" t="n">
        <v>46045</v>
      </c>
      <c r="D2311" t="inlineStr">
        <is>
          <t>JÄMTLANDS LÄN</t>
        </is>
      </c>
      <c r="E2311" t="inlineStr">
        <is>
          <t>BRÄCKE</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42806-2021</t>
        </is>
      </c>
      <c r="B2312" s="1" t="n">
        <v>44428.94063657407</v>
      </c>
      <c r="C2312" s="1" t="n">
        <v>46045</v>
      </c>
      <c r="D2312" t="inlineStr">
        <is>
          <t>JÄMTLANDS LÄN</t>
        </is>
      </c>
      <c r="E2312" t="inlineStr">
        <is>
          <t>BRÄCKE</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4004-2021</t>
        </is>
      </c>
      <c r="B2313" s="1" t="n">
        <v>44222</v>
      </c>
      <c r="C2313" s="1" t="n">
        <v>46045</v>
      </c>
      <c r="D2313" t="inlineStr">
        <is>
          <t>JÄMTLANDS LÄN</t>
        </is>
      </c>
      <c r="E2313" t="inlineStr">
        <is>
          <t>STRÖMSUND</t>
        </is>
      </c>
      <c r="F2313" t="inlineStr">
        <is>
          <t>Kyrkan</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54837-2022</t>
        </is>
      </c>
      <c r="B2314" s="1" t="n">
        <v>44883</v>
      </c>
      <c r="C2314" s="1" t="n">
        <v>46045</v>
      </c>
      <c r="D2314" t="inlineStr">
        <is>
          <t>JÄMTLANDS LÄN</t>
        </is>
      </c>
      <c r="E2314" t="inlineStr">
        <is>
          <t>RAGUNDA</t>
        </is>
      </c>
      <c r="F2314" t="inlineStr">
        <is>
          <t>SCA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17187-2021</t>
        </is>
      </c>
      <c r="B2315" s="1" t="n">
        <v>44298</v>
      </c>
      <c r="C2315" s="1" t="n">
        <v>46045</v>
      </c>
      <c r="D2315" t="inlineStr">
        <is>
          <t>JÄMTLANDS LÄN</t>
        </is>
      </c>
      <c r="E2315" t="inlineStr">
        <is>
          <t>HÄRJEDALEN</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14155-2021</t>
        </is>
      </c>
      <c r="B2316" s="1" t="n">
        <v>44278.42459490741</v>
      </c>
      <c r="C2316" s="1" t="n">
        <v>46045</v>
      </c>
      <c r="D2316" t="inlineStr">
        <is>
          <t>JÄMTLANDS LÄN</t>
        </is>
      </c>
      <c r="E2316" t="inlineStr">
        <is>
          <t>ÖSTERSUND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14163-2021</t>
        </is>
      </c>
      <c r="B2317" s="1" t="n">
        <v>44277</v>
      </c>
      <c r="C2317" s="1" t="n">
        <v>46045</v>
      </c>
      <c r="D2317" t="inlineStr">
        <is>
          <t>JÄMTLANDS LÄN</t>
        </is>
      </c>
      <c r="E2317" t="inlineStr">
        <is>
          <t>BERG</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25028-2022</t>
        </is>
      </c>
      <c r="B2318" s="1" t="n">
        <v>44728.94398148148</v>
      </c>
      <c r="C2318" s="1" t="n">
        <v>46045</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14224-2021</t>
        </is>
      </c>
      <c r="B2319" s="1" t="n">
        <v>44277</v>
      </c>
      <c r="C2319" s="1" t="n">
        <v>46045</v>
      </c>
      <c r="D2319" t="inlineStr">
        <is>
          <t>JÄMTLANDS LÄN</t>
        </is>
      </c>
      <c r="E2319" t="inlineStr">
        <is>
          <t>BERG</t>
        </is>
      </c>
      <c r="G2319" t="n">
        <v>24.9</v>
      </c>
      <c r="H2319" t="n">
        <v>0</v>
      </c>
      <c r="I2319" t="n">
        <v>0</v>
      </c>
      <c r="J2319" t="n">
        <v>0</v>
      </c>
      <c r="K2319" t="n">
        <v>0</v>
      </c>
      <c r="L2319" t="n">
        <v>0</v>
      </c>
      <c r="M2319" t="n">
        <v>0</v>
      </c>
      <c r="N2319" t="n">
        <v>0</v>
      </c>
      <c r="O2319" t="n">
        <v>0</v>
      </c>
      <c r="P2319" t="n">
        <v>0</v>
      </c>
      <c r="Q2319" t="n">
        <v>0</v>
      </c>
      <c r="R2319" s="2" t="inlineStr"/>
    </row>
    <row r="2320" ht="15" customHeight="1">
      <c r="A2320" t="inlineStr">
        <is>
          <t>A 26142-2021</t>
        </is>
      </c>
      <c r="B2320" s="1" t="n">
        <v>44346.79850694445</v>
      </c>
      <c r="C2320" s="1" t="n">
        <v>46045</v>
      </c>
      <c r="D2320" t="inlineStr">
        <is>
          <t>JÄMTLANDS LÄN</t>
        </is>
      </c>
      <c r="E2320" t="inlineStr">
        <is>
          <t>STRÖMSUND</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20708-2022</t>
        </is>
      </c>
      <c r="B2321" s="1" t="n">
        <v>44700</v>
      </c>
      <c r="C2321" s="1" t="n">
        <v>46045</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3721-2022</t>
        </is>
      </c>
      <c r="B2322" s="1" t="n">
        <v>44586</v>
      </c>
      <c r="C2322" s="1" t="n">
        <v>46045</v>
      </c>
      <c r="D2322" t="inlineStr">
        <is>
          <t>JÄMTLANDS LÄN</t>
        </is>
      </c>
      <c r="E2322" t="inlineStr">
        <is>
          <t>STRÖMSUND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12884-2021</t>
        </is>
      </c>
      <c r="B2323" s="1" t="n">
        <v>44271.43831018519</v>
      </c>
      <c r="C2323" s="1" t="n">
        <v>46045</v>
      </c>
      <c r="D2323" t="inlineStr">
        <is>
          <t>JÄMTLANDS LÄN</t>
        </is>
      </c>
      <c r="E2323" t="inlineStr">
        <is>
          <t>KROKOM</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10937-2021</t>
        </is>
      </c>
      <c r="B2324" s="1" t="n">
        <v>44259</v>
      </c>
      <c r="C2324" s="1" t="n">
        <v>46045</v>
      </c>
      <c r="D2324" t="inlineStr">
        <is>
          <t>JÄMTLANDS LÄN</t>
        </is>
      </c>
      <c r="E2324" t="inlineStr">
        <is>
          <t>RAGUNDA</t>
        </is>
      </c>
      <c r="G2324" t="n">
        <v>10.8</v>
      </c>
      <c r="H2324" t="n">
        <v>0</v>
      </c>
      <c r="I2324" t="n">
        <v>0</v>
      </c>
      <c r="J2324" t="n">
        <v>0</v>
      </c>
      <c r="K2324" t="n">
        <v>0</v>
      </c>
      <c r="L2324" t="n">
        <v>0</v>
      </c>
      <c r="M2324" t="n">
        <v>0</v>
      </c>
      <c r="N2324" t="n">
        <v>0</v>
      </c>
      <c r="O2324" t="n">
        <v>0</v>
      </c>
      <c r="P2324" t="n">
        <v>0</v>
      </c>
      <c r="Q2324" t="n">
        <v>0</v>
      </c>
      <c r="R2324" s="2" t="inlineStr"/>
    </row>
    <row r="2325" ht="15" customHeight="1">
      <c r="A2325" t="inlineStr">
        <is>
          <t>A 24136-2021</t>
        </is>
      </c>
      <c r="B2325" s="1" t="n">
        <v>44336.540625</v>
      </c>
      <c r="C2325" s="1" t="n">
        <v>46045</v>
      </c>
      <c r="D2325" t="inlineStr">
        <is>
          <t>JÄMTLANDS LÄN</t>
        </is>
      </c>
      <c r="E2325" t="inlineStr">
        <is>
          <t>BERG</t>
        </is>
      </c>
      <c r="G2325" t="n">
        <v>12.6</v>
      </c>
      <c r="H2325" t="n">
        <v>0</v>
      </c>
      <c r="I2325" t="n">
        <v>0</v>
      </c>
      <c r="J2325" t="n">
        <v>0</v>
      </c>
      <c r="K2325" t="n">
        <v>0</v>
      </c>
      <c r="L2325" t="n">
        <v>0</v>
      </c>
      <c r="M2325" t="n">
        <v>0</v>
      </c>
      <c r="N2325" t="n">
        <v>0</v>
      </c>
      <c r="O2325" t="n">
        <v>0</v>
      </c>
      <c r="P2325" t="n">
        <v>0</v>
      </c>
      <c r="Q2325" t="n">
        <v>0</v>
      </c>
      <c r="R2325" s="2" t="inlineStr"/>
    </row>
    <row r="2326" ht="15" customHeight="1">
      <c r="A2326" t="inlineStr">
        <is>
          <t>A 16002-2021</t>
        </is>
      </c>
      <c r="B2326" s="1" t="n">
        <v>44287</v>
      </c>
      <c r="C2326" s="1" t="n">
        <v>46045</v>
      </c>
      <c r="D2326" t="inlineStr">
        <is>
          <t>JÄMTLANDS LÄN</t>
        </is>
      </c>
      <c r="E2326" t="inlineStr">
        <is>
          <t>RAGUNDA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35032-2021</t>
        </is>
      </c>
      <c r="B2327" s="1" t="n">
        <v>44383.85295138889</v>
      </c>
      <c r="C2327" s="1" t="n">
        <v>46045</v>
      </c>
      <c r="D2327" t="inlineStr">
        <is>
          <t>JÄMTLANDS LÄN</t>
        </is>
      </c>
      <c r="E2327" t="inlineStr">
        <is>
          <t>ÖSTERSUND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11217-2022</t>
        </is>
      </c>
      <c r="B2328" s="1" t="n">
        <v>44629.56258101852</v>
      </c>
      <c r="C2328" s="1" t="n">
        <v>46045</v>
      </c>
      <c r="D2328" t="inlineStr">
        <is>
          <t>JÄMTLANDS LÄN</t>
        </is>
      </c>
      <c r="E2328" t="inlineStr">
        <is>
          <t>RAGUNDA</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26254-2021</t>
        </is>
      </c>
      <c r="B2329" s="1" t="n">
        <v>44347</v>
      </c>
      <c r="C2329" s="1" t="n">
        <v>46045</v>
      </c>
      <c r="D2329" t="inlineStr">
        <is>
          <t>JÄMTLANDS LÄN</t>
        </is>
      </c>
      <c r="E2329" t="inlineStr">
        <is>
          <t>ÖSTERSUND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30219-2022</t>
        </is>
      </c>
      <c r="B2330" s="1" t="n">
        <v>44757.94258101852</v>
      </c>
      <c r="C2330" s="1" t="n">
        <v>46045</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30227-2022</t>
        </is>
      </c>
      <c r="B2331" s="1" t="n">
        <v>44757.94329861111</v>
      </c>
      <c r="C2331" s="1" t="n">
        <v>46045</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30232-2022</t>
        </is>
      </c>
      <c r="B2332" s="1" t="n">
        <v>44757.94375</v>
      </c>
      <c r="C2332" s="1" t="n">
        <v>46045</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48832-2021</t>
        </is>
      </c>
      <c r="B2333" s="1" t="n">
        <v>44452</v>
      </c>
      <c r="C2333" s="1" t="n">
        <v>46045</v>
      </c>
      <c r="D2333" t="inlineStr">
        <is>
          <t>JÄMTLANDS LÄN</t>
        </is>
      </c>
      <c r="E2333" t="inlineStr">
        <is>
          <t>RAGUNDA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27942-2022</t>
        </is>
      </c>
      <c r="B2334" s="1" t="n">
        <v>44743.94326388889</v>
      </c>
      <c r="C2334" s="1" t="n">
        <v>46045</v>
      </c>
      <c r="D2334" t="inlineStr">
        <is>
          <t>JÄMTLANDS LÄN</t>
        </is>
      </c>
      <c r="E2334" t="inlineStr">
        <is>
          <t>STRÖMSUND</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21753-2021</t>
        </is>
      </c>
      <c r="B2335" s="1" t="n">
        <v>44319</v>
      </c>
      <c r="C2335" s="1" t="n">
        <v>46045</v>
      </c>
      <c r="D2335" t="inlineStr">
        <is>
          <t>JÄMTLANDS LÄN</t>
        </is>
      </c>
      <c r="E2335" t="inlineStr">
        <is>
          <t>HÄRJEDALEN</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21848-2021</t>
        </is>
      </c>
      <c r="B2336" s="1" t="n">
        <v>44316</v>
      </c>
      <c r="C2336" s="1" t="n">
        <v>46045</v>
      </c>
      <c r="D2336" t="inlineStr">
        <is>
          <t>JÄMTLANDS LÄN</t>
        </is>
      </c>
      <c r="E2336" t="inlineStr">
        <is>
          <t>HÄRJEDALEN</t>
        </is>
      </c>
      <c r="G2336" t="n">
        <v>19.4</v>
      </c>
      <c r="H2336" t="n">
        <v>0</v>
      </c>
      <c r="I2336" t="n">
        <v>0</v>
      </c>
      <c r="J2336" t="n">
        <v>0</v>
      </c>
      <c r="K2336" t="n">
        <v>0</v>
      </c>
      <c r="L2336" t="n">
        <v>0</v>
      </c>
      <c r="M2336" t="n">
        <v>0</v>
      </c>
      <c r="N2336" t="n">
        <v>0</v>
      </c>
      <c r="O2336" t="n">
        <v>0</v>
      </c>
      <c r="P2336" t="n">
        <v>0</v>
      </c>
      <c r="Q2336" t="n">
        <v>0</v>
      </c>
      <c r="R2336" s="2" t="inlineStr"/>
    </row>
    <row r="2337" ht="15" customHeight="1">
      <c r="A2337" t="inlineStr">
        <is>
          <t>A 5034-2021</t>
        </is>
      </c>
      <c r="B2337" s="1" t="n">
        <v>44228</v>
      </c>
      <c r="C2337" s="1" t="n">
        <v>46045</v>
      </c>
      <c r="D2337" t="inlineStr">
        <is>
          <t>JÄMTLANDS LÄN</t>
        </is>
      </c>
      <c r="E2337" t="inlineStr">
        <is>
          <t>STRÖMSUND</t>
        </is>
      </c>
      <c r="F2337" t="inlineStr">
        <is>
          <t>Kommuner</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19612-2021</t>
        </is>
      </c>
      <c r="B2338" s="1" t="n">
        <v>44308</v>
      </c>
      <c r="C2338" s="1" t="n">
        <v>46045</v>
      </c>
      <c r="D2338" t="inlineStr">
        <is>
          <t>JÄMTLANDS LÄN</t>
        </is>
      </c>
      <c r="E2338" t="inlineStr">
        <is>
          <t>RAGUNDA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19615-2021</t>
        </is>
      </c>
      <c r="B2339" s="1" t="n">
        <v>44308</v>
      </c>
      <c r="C2339" s="1" t="n">
        <v>46045</v>
      </c>
      <c r="D2339" t="inlineStr">
        <is>
          <t>JÄMTLANDS LÄN</t>
        </is>
      </c>
      <c r="E2339" t="inlineStr">
        <is>
          <t>RAGUNDA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15102-2021</t>
        </is>
      </c>
      <c r="B2340" s="1" t="n">
        <v>44281</v>
      </c>
      <c r="C2340" s="1" t="n">
        <v>46045</v>
      </c>
      <c r="D2340" t="inlineStr">
        <is>
          <t>JÄMTLANDS LÄN</t>
        </is>
      </c>
      <c r="E2340" t="inlineStr">
        <is>
          <t>RAGUNDA</t>
        </is>
      </c>
      <c r="F2340" t="inlineStr">
        <is>
          <t>SCA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46002-2021</t>
        </is>
      </c>
      <c r="B2341" s="1" t="n">
        <v>44441.80453703704</v>
      </c>
      <c r="C2341" s="1" t="n">
        <v>46045</v>
      </c>
      <c r="D2341" t="inlineStr">
        <is>
          <t>JÄMTLANDS LÄN</t>
        </is>
      </c>
      <c r="E2341" t="inlineStr">
        <is>
          <t>ÖSTERSUND</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38956-2021</t>
        </is>
      </c>
      <c r="B2342" s="1" t="n">
        <v>44411</v>
      </c>
      <c r="C2342" s="1" t="n">
        <v>46045</v>
      </c>
      <c r="D2342" t="inlineStr">
        <is>
          <t>JÄMTLANDS LÄN</t>
        </is>
      </c>
      <c r="E2342" t="inlineStr">
        <is>
          <t>BRÄCKE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61434-2021</t>
        </is>
      </c>
      <c r="B2343" s="1" t="n">
        <v>44500</v>
      </c>
      <c r="C2343" s="1" t="n">
        <v>46045</v>
      </c>
      <c r="D2343" t="inlineStr">
        <is>
          <t>JÄMTLANDS LÄN</t>
        </is>
      </c>
      <c r="E2343" t="inlineStr">
        <is>
          <t>STRÖMSUND</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24706-2021</t>
        </is>
      </c>
      <c r="B2344" s="1" t="n">
        <v>44340</v>
      </c>
      <c r="C2344" s="1" t="n">
        <v>46045</v>
      </c>
      <c r="D2344" t="inlineStr">
        <is>
          <t>JÄMTLANDS LÄN</t>
        </is>
      </c>
      <c r="E2344" t="inlineStr">
        <is>
          <t>ÖSTERSUND</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27946-2022</t>
        </is>
      </c>
      <c r="B2345" s="1" t="n">
        <v>44743.94369212963</v>
      </c>
      <c r="C2345" s="1" t="n">
        <v>46045</v>
      </c>
      <c r="D2345" t="inlineStr">
        <is>
          <t>JÄMTLANDS LÄN</t>
        </is>
      </c>
      <c r="E2345" t="inlineStr">
        <is>
          <t>STRÖMSUND</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21854-2021</t>
        </is>
      </c>
      <c r="B2346" s="1" t="n">
        <v>44316</v>
      </c>
      <c r="C2346" s="1" t="n">
        <v>46045</v>
      </c>
      <c r="D2346" t="inlineStr">
        <is>
          <t>JÄMTLANDS LÄN</t>
        </is>
      </c>
      <c r="E2346" t="inlineStr">
        <is>
          <t>HÄRJEDALEN</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27144-2021</t>
        </is>
      </c>
      <c r="B2347" s="1" t="n">
        <v>44350</v>
      </c>
      <c r="C2347" s="1" t="n">
        <v>46045</v>
      </c>
      <c r="D2347" t="inlineStr">
        <is>
          <t>JÄMTLANDS LÄN</t>
        </is>
      </c>
      <c r="E2347" t="inlineStr">
        <is>
          <t>BERG</t>
        </is>
      </c>
      <c r="F2347" t="inlineStr">
        <is>
          <t>Sveaskog</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20405-2021</t>
        </is>
      </c>
      <c r="B2348" s="1" t="n">
        <v>44312</v>
      </c>
      <c r="C2348" s="1" t="n">
        <v>46045</v>
      </c>
      <c r="D2348" t="inlineStr">
        <is>
          <t>JÄMTLANDS LÄN</t>
        </is>
      </c>
      <c r="E2348" t="inlineStr">
        <is>
          <t>KROKOM</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41062-2021</t>
        </is>
      </c>
      <c r="B2349" s="1" t="n">
        <v>44421.97322916667</v>
      </c>
      <c r="C2349" s="1" t="n">
        <v>46045</v>
      </c>
      <c r="D2349" t="inlineStr">
        <is>
          <t>JÄMTLANDS LÄN</t>
        </is>
      </c>
      <c r="E2349" t="inlineStr">
        <is>
          <t>RAGUNDA</t>
        </is>
      </c>
      <c r="F2349" t="inlineStr">
        <is>
          <t>SCA</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18544-2021</t>
        </is>
      </c>
      <c r="B2350" s="1" t="n">
        <v>44306</v>
      </c>
      <c r="C2350" s="1" t="n">
        <v>46045</v>
      </c>
      <c r="D2350" t="inlineStr">
        <is>
          <t>JÄMTLANDS LÄN</t>
        </is>
      </c>
      <c r="E2350" t="inlineStr">
        <is>
          <t>KROKOM</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62206-2021</t>
        </is>
      </c>
      <c r="B2351" s="1" t="n">
        <v>44502.94153935185</v>
      </c>
      <c r="C2351" s="1" t="n">
        <v>46045</v>
      </c>
      <c r="D2351" t="inlineStr">
        <is>
          <t>JÄMTLANDS LÄN</t>
        </is>
      </c>
      <c r="E2351" t="inlineStr">
        <is>
          <t>KROKOM</t>
        </is>
      </c>
      <c r="F2351" t="inlineStr">
        <is>
          <t>SCA</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48947-2021</t>
        </is>
      </c>
      <c r="B2352" s="1" t="n">
        <v>44453</v>
      </c>
      <c r="C2352" s="1" t="n">
        <v>46045</v>
      </c>
      <c r="D2352" t="inlineStr">
        <is>
          <t>JÄMTLANDS LÄN</t>
        </is>
      </c>
      <c r="E2352" t="inlineStr">
        <is>
          <t>ÖSTERSUND</t>
        </is>
      </c>
      <c r="G2352" t="n">
        <v>22.3</v>
      </c>
      <c r="H2352" t="n">
        <v>0</v>
      </c>
      <c r="I2352" t="n">
        <v>0</v>
      </c>
      <c r="J2352" t="n">
        <v>0</v>
      </c>
      <c r="K2352" t="n">
        <v>0</v>
      </c>
      <c r="L2352" t="n">
        <v>0</v>
      </c>
      <c r="M2352" t="n">
        <v>0</v>
      </c>
      <c r="N2352" t="n">
        <v>0</v>
      </c>
      <c r="O2352" t="n">
        <v>0</v>
      </c>
      <c r="P2352" t="n">
        <v>0</v>
      </c>
      <c r="Q2352" t="n">
        <v>0</v>
      </c>
      <c r="R2352" s="2" t="inlineStr"/>
    </row>
    <row r="2353" ht="15" customHeight="1">
      <c r="A2353" t="inlineStr">
        <is>
          <t>A 29552-2021</t>
        </is>
      </c>
      <c r="B2353" s="1" t="n">
        <v>44361</v>
      </c>
      <c r="C2353" s="1" t="n">
        <v>46045</v>
      </c>
      <c r="D2353" t="inlineStr">
        <is>
          <t>JÄMTLANDS LÄN</t>
        </is>
      </c>
      <c r="E2353" t="inlineStr">
        <is>
          <t>STRÖMSUND</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43140-2022</t>
        </is>
      </c>
      <c r="B2354" s="1" t="n">
        <v>44833.95140046296</v>
      </c>
      <c r="C2354" s="1" t="n">
        <v>46045</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35918-2021</t>
        </is>
      </c>
      <c r="B2355" s="1" t="n">
        <v>44387.93637731481</v>
      </c>
      <c r="C2355" s="1" t="n">
        <v>46045</v>
      </c>
      <c r="D2355" t="inlineStr">
        <is>
          <t>JÄMTLANDS LÄN</t>
        </is>
      </c>
      <c r="E2355" t="inlineStr">
        <is>
          <t>STRÖMSUND</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33395-2022</t>
        </is>
      </c>
      <c r="B2356" s="1" t="n">
        <v>44788</v>
      </c>
      <c r="C2356" s="1" t="n">
        <v>46045</v>
      </c>
      <c r="D2356" t="inlineStr">
        <is>
          <t>JÄMTLANDS LÄN</t>
        </is>
      </c>
      <c r="E2356" t="inlineStr">
        <is>
          <t>KROKOM</t>
        </is>
      </c>
      <c r="F2356" t="inlineStr">
        <is>
          <t>Övriga Aktiebolag</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62183-2021</t>
        </is>
      </c>
      <c r="B2357" s="1" t="n">
        <v>44502</v>
      </c>
      <c r="C2357" s="1" t="n">
        <v>46045</v>
      </c>
      <c r="D2357" t="inlineStr">
        <is>
          <t>JÄMTLANDS LÄN</t>
        </is>
      </c>
      <c r="E2357" t="inlineStr">
        <is>
          <t>ÅRE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62201-2021</t>
        </is>
      </c>
      <c r="B2358" s="1" t="n">
        <v>44502</v>
      </c>
      <c r="C2358" s="1" t="n">
        <v>46045</v>
      </c>
      <c r="D2358" t="inlineStr">
        <is>
          <t>JÄMTLANDS LÄN</t>
        </is>
      </c>
      <c r="E2358" t="inlineStr">
        <is>
          <t>KROKOM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62203-2021</t>
        </is>
      </c>
      <c r="B2359" s="1" t="n">
        <v>44502</v>
      </c>
      <c r="C2359" s="1" t="n">
        <v>46045</v>
      </c>
      <c r="D2359" t="inlineStr">
        <is>
          <t>JÄMTLANDS LÄN</t>
        </is>
      </c>
      <c r="E2359" t="inlineStr">
        <is>
          <t>STRÖMSUND</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27061-2021</t>
        </is>
      </c>
      <c r="B2360" s="1" t="n">
        <v>44349</v>
      </c>
      <c r="C2360" s="1" t="n">
        <v>46045</v>
      </c>
      <c r="D2360" t="inlineStr">
        <is>
          <t>JÄMTLANDS LÄN</t>
        </is>
      </c>
      <c r="E2360" t="inlineStr">
        <is>
          <t>ÖSTERSUND</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38415-2022</t>
        </is>
      </c>
      <c r="B2361" s="1" t="n">
        <v>44812</v>
      </c>
      <c r="C2361" s="1" t="n">
        <v>46045</v>
      </c>
      <c r="D2361" t="inlineStr">
        <is>
          <t>JÄMTLANDS LÄN</t>
        </is>
      </c>
      <c r="E2361" t="inlineStr">
        <is>
          <t>STRÖMSUND</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28617-2021</t>
        </is>
      </c>
      <c r="B2362" s="1" t="n">
        <v>44356</v>
      </c>
      <c r="C2362" s="1" t="n">
        <v>46045</v>
      </c>
      <c r="D2362" t="inlineStr">
        <is>
          <t>JÄMTLANDS LÄN</t>
        </is>
      </c>
      <c r="E2362" t="inlineStr">
        <is>
          <t>BRÄCKE</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37102-2022</t>
        </is>
      </c>
      <c r="B2363" s="1" t="n">
        <v>44806</v>
      </c>
      <c r="C2363" s="1" t="n">
        <v>46045</v>
      </c>
      <c r="D2363" t="inlineStr">
        <is>
          <t>JÄMTLANDS LÄN</t>
        </is>
      </c>
      <c r="E2363" t="inlineStr">
        <is>
          <t>STRÖMSUND</t>
        </is>
      </c>
      <c r="F2363" t="inlineStr">
        <is>
          <t>Kommuner</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41164-2022</t>
        </is>
      </c>
      <c r="B2364" s="1" t="n">
        <v>44825</v>
      </c>
      <c r="C2364" s="1" t="n">
        <v>46045</v>
      </c>
      <c r="D2364" t="inlineStr">
        <is>
          <t>JÄMTLANDS LÄN</t>
        </is>
      </c>
      <c r="E2364" t="inlineStr">
        <is>
          <t>HÄRJEDALEN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36699-2022</t>
        </is>
      </c>
      <c r="B2365" s="1" t="n">
        <v>44804.94813657407</v>
      </c>
      <c r="C2365" s="1" t="n">
        <v>46045</v>
      </c>
      <c r="D2365" t="inlineStr">
        <is>
          <t>JÄMTLANDS LÄN</t>
        </is>
      </c>
      <c r="E2365" t="inlineStr">
        <is>
          <t>STRÖMSUND</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32349-2022</t>
        </is>
      </c>
      <c r="B2366" s="1" t="n">
        <v>44781.9250462963</v>
      </c>
      <c r="C2366" s="1" t="n">
        <v>46045</v>
      </c>
      <c r="D2366" t="inlineStr">
        <is>
          <t>JÄMTLANDS LÄN</t>
        </is>
      </c>
      <c r="E2366" t="inlineStr">
        <is>
          <t>STRÖMSUND</t>
        </is>
      </c>
      <c r="F2366" t="inlineStr">
        <is>
          <t>SCA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47183-2022</t>
        </is>
      </c>
      <c r="B2367" s="1" t="n">
        <v>44851</v>
      </c>
      <c r="C2367" s="1" t="n">
        <v>46045</v>
      </c>
      <c r="D2367" t="inlineStr">
        <is>
          <t>JÄMTLANDS LÄN</t>
        </is>
      </c>
      <c r="E2367" t="inlineStr">
        <is>
          <t>BRÄCKE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58972-2021</t>
        </is>
      </c>
      <c r="B2368" s="1" t="n">
        <v>44489.94628472222</v>
      </c>
      <c r="C2368" s="1" t="n">
        <v>46045</v>
      </c>
      <c r="D2368" t="inlineStr">
        <is>
          <t>JÄMTLANDS LÄN</t>
        </is>
      </c>
      <c r="E2368" t="inlineStr">
        <is>
          <t>STRÖMSUND</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37234-2022</t>
        </is>
      </c>
      <c r="B2369" s="1" t="n">
        <v>44806.94603009259</v>
      </c>
      <c r="C2369" s="1" t="n">
        <v>46045</v>
      </c>
      <c r="D2369" t="inlineStr">
        <is>
          <t>JÄMTLANDS LÄN</t>
        </is>
      </c>
      <c r="E2369" t="inlineStr">
        <is>
          <t>BRÄCKE</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27399-2021</t>
        </is>
      </c>
      <c r="B2370" s="1" t="n">
        <v>44351</v>
      </c>
      <c r="C2370" s="1" t="n">
        <v>46045</v>
      </c>
      <c r="D2370" t="inlineStr">
        <is>
          <t>JÄMTLANDS LÄN</t>
        </is>
      </c>
      <c r="E2370" t="inlineStr">
        <is>
          <t>RAGUNDA</t>
        </is>
      </c>
      <c r="F2370" t="inlineStr">
        <is>
          <t>Kommuner</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42790-2022</t>
        </is>
      </c>
      <c r="B2371" s="1" t="n">
        <v>44832</v>
      </c>
      <c r="C2371" s="1" t="n">
        <v>46045</v>
      </c>
      <c r="D2371" t="inlineStr">
        <is>
          <t>JÄMTLANDS LÄN</t>
        </is>
      </c>
      <c r="E2371" t="inlineStr">
        <is>
          <t>STRÖMSUND</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33558-2021</t>
        </is>
      </c>
      <c r="B2372" s="1" t="n">
        <v>44377</v>
      </c>
      <c r="C2372" s="1" t="n">
        <v>46045</v>
      </c>
      <c r="D2372" t="inlineStr">
        <is>
          <t>JÄMTLANDS LÄN</t>
        </is>
      </c>
      <c r="E2372" t="inlineStr">
        <is>
          <t>BERG</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72214-2021</t>
        </is>
      </c>
      <c r="B2373" s="1" t="n">
        <v>44544.72591435185</v>
      </c>
      <c r="C2373" s="1" t="n">
        <v>46045</v>
      </c>
      <c r="D2373" t="inlineStr">
        <is>
          <t>JÄMTLANDS LÄN</t>
        </is>
      </c>
      <c r="E2373" t="inlineStr">
        <is>
          <t>ÅRE</t>
        </is>
      </c>
      <c r="G2373" t="n">
        <v>14.1</v>
      </c>
      <c r="H2373" t="n">
        <v>0</v>
      </c>
      <c r="I2373" t="n">
        <v>0</v>
      </c>
      <c r="J2373" t="n">
        <v>0</v>
      </c>
      <c r="K2373" t="n">
        <v>0</v>
      </c>
      <c r="L2373" t="n">
        <v>0</v>
      </c>
      <c r="M2373" t="n">
        <v>0</v>
      </c>
      <c r="N2373" t="n">
        <v>0</v>
      </c>
      <c r="O2373" t="n">
        <v>0</v>
      </c>
      <c r="P2373" t="n">
        <v>0</v>
      </c>
      <c r="Q2373" t="n">
        <v>0</v>
      </c>
      <c r="R2373" s="2" t="inlineStr"/>
    </row>
    <row r="2374" ht="15" customHeight="1">
      <c r="A2374" t="inlineStr">
        <is>
          <t>A 72215-2021</t>
        </is>
      </c>
      <c r="B2374" s="1" t="n">
        <v>44544</v>
      </c>
      <c r="C2374" s="1" t="n">
        <v>46045</v>
      </c>
      <c r="D2374" t="inlineStr">
        <is>
          <t>JÄMTLANDS LÄN</t>
        </is>
      </c>
      <c r="E2374" t="inlineStr">
        <is>
          <t>ÅRE</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43160-2022</t>
        </is>
      </c>
      <c r="B2375" s="1" t="n">
        <v>44833.95378472222</v>
      </c>
      <c r="C2375" s="1" t="n">
        <v>46045</v>
      </c>
      <c r="D2375" t="inlineStr">
        <is>
          <t>JÄMTLANDS LÄN</t>
        </is>
      </c>
      <c r="E2375" t="inlineStr">
        <is>
          <t>STRÖMSUND</t>
        </is>
      </c>
      <c r="F2375" t="inlineStr">
        <is>
          <t>SCA</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43165-2022</t>
        </is>
      </c>
      <c r="B2376" s="1" t="n">
        <v>44833</v>
      </c>
      <c r="C2376" s="1" t="n">
        <v>46045</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31446-2022</t>
        </is>
      </c>
      <c r="B2377" s="1" t="n">
        <v>44774.94104166667</v>
      </c>
      <c r="C2377" s="1" t="n">
        <v>46045</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29594-2021</t>
        </is>
      </c>
      <c r="B2378" s="1" t="n">
        <v>44361</v>
      </c>
      <c r="C2378" s="1" t="n">
        <v>46045</v>
      </c>
      <c r="D2378" t="inlineStr">
        <is>
          <t>JÄMTLANDS LÄN</t>
        </is>
      </c>
      <c r="E2378" t="inlineStr">
        <is>
          <t>STRÖMSUND</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29603-2021</t>
        </is>
      </c>
      <c r="B2379" s="1" t="n">
        <v>44361</v>
      </c>
      <c r="C2379" s="1" t="n">
        <v>46045</v>
      </c>
      <c r="D2379" t="inlineStr">
        <is>
          <t>JÄMTLANDS LÄN</t>
        </is>
      </c>
      <c r="E2379" t="inlineStr">
        <is>
          <t>BRÄCKE</t>
        </is>
      </c>
      <c r="F2379" t="inlineStr">
        <is>
          <t>Naturvårdsverket</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17362-2021</t>
        </is>
      </c>
      <c r="B2380" s="1" t="n">
        <v>44298</v>
      </c>
      <c r="C2380" s="1" t="n">
        <v>46045</v>
      </c>
      <c r="D2380" t="inlineStr">
        <is>
          <t>JÄMTLANDS LÄN</t>
        </is>
      </c>
      <c r="E2380" t="inlineStr">
        <is>
          <t>ÖSTERSUND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39388-2022</t>
        </is>
      </c>
      <c r="B2381" s="1" t="n">
        <v>44817</v>
      </c>
      <c r="C2381" s="1" t="n">
        <v>46045</v>
      </c>
      <c r="D2381" t="inlineStr">
        <is>
          <t>JÄMTLANDS LÄN</t>
        </is>
      </c>
      <c r="E2381" t="inlineStr">
        <is>
          <t>STRÖMSUND</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26259-2021</t>
        </is>
      </c>
      <c r="B2382" s="1" t="n">
        <v>44347</v>
      </c>
      <c r="C2382" s="1" t="n">
        <v>46045</v>
      </c>
      <c r="D2382" t="inlineStr">
        <is>
          <t>JÄMTLANDS LÄN</t>
        </is>
      </c>
      <c r="E2382" t="inlineStr">
        <is>
          <t>ÖSTERSUND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46825-2022</t>
        </is>
      </c>
      <c r="B2383" s="1" t="n">
        <v>44851.57131944445</v>
      </c>
      <c r="C2383" s="1" t="n">
        <v>46045</v>
      </c>
      <c r="D2383" t="inlineStr">
        <is>
          <t>JÄMTLANDS LÄN</t>
        </is>
      </c>
      <c r="E2383" t="inlineStr">
        <is>
          <t>KROKOM</t>
        </is>
      </c>
      <c r="F2383" t="inlineStr">
        <is>
          <t>Övriga Aktiebolag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695-2022</t>
        </is>
      </c>
      <c r="B2384" s="1" t="n">
        <v>44566</v>
      </c>
      <c r="C2384" s="1" t="n">
        <v>46045</v>
      </c>
      <c r="D2384" t="inlineStr">
        <is>
          <t>JÄMTLANDS LÄN</t>
        </is>
      </c>
      <c r="E2384" t="inlineStr">
        <is>
          <t>ÖSTERSUND</t>
        </is>
      </c>
      <c r="G2384" t="n">
        <v>14.9</v>
      </c>
      <c r="H2384" t="n">
        <v>0</v>
      </c>
      <c r="I2384" t="n">
        <v>0</v>
      </c>
      <c r="J2384" t="n">
        <v>0</v>
      </c>
      <c r="K2384" t="n">
        <v>0</v>
      </c>
      <c r="L2384" t="n">
        <v>0</v>
      </c>
      <c r="M2384" t="n">
        <v>0</v>
      </c>
      <c r="N2384" t="n">
        <v>0</v>
      </c>
      <c r="O2384" t="n">
        <v>0</v>
      </c>
      <c r="P2384" t="n">
        <v>0</v>
      </c>
      <c r="Q2384" t="n">
        <v>0</v>
      </c>
      <c r="R2384" s="2" t="inlineStr"/>
    </row>
    <row r="2385" ht="15" customHeight="1">
      <c r="A2385" t="inlineStr">
        <is>
          <t>A 37086-2021</t>
        </is>
      </c>
      <c r="B2385" s="1" t="n">
        <v>44395</v>
      </c>
      <c r="C2385" s="1" t="n">
        <v>46045</v>
      </c>
      <c r="D2385" t="inlineStr">
        <is>
          <t>JÄMTLANDS LÄN</t>
        </is>
      </c>
      <c r="E2385" t="inlineStr">
        <is>
          <t>ÅRE</t>
        </is>
      </c>
      <c r="G2385" t="n">
        <v>34.1</v>
      </c>
      <c r="H2385" t="n">
        <v>0</v>
      </c>
      <c r="I2385" t="n">
        <v>0</v>
      </c>
      <c r="J2385" t="n">
        <v>0</v>
      </c>
      <c r="K2385" t="n">
        <v>0</v>
      </c>
      <c r="L2385" t="n">
        <v>0</v>
      </c>
      <c r="M2385" t="n">
        <v>0</v>
      </c>
      <c r="N2385" t="n">
        <v>0</v>
      </c>
      <c r="O2385" t="n">
        <v>0</v>
      </c>
      <c r="P2385" t="n">
        <v>0</v>
      </c>
      <c r="Q2385" t="n">
        <v>0</v>
      </c>
      <c r="R2385" s="2" t="inlineStr"/>
    </row>
    <row r="2386" ht="15" customHeight="1">
      <c r="A2386" t="inlineStr">
        <is>
          <t>A 37155-2021</t>
        </is>
      </c>
      <c r="B2386" s="1" t="n">
        <v>44396</v>
      </c>
      <c r="C2386" s="1" t="n">
        <v>46045</v>
      </c>
      <c r="D2386" t="inlineStr">
        <is>
          <t>JÄMTLANDS LÄN</t>
        </is>
      </c>
      <c r="E2386" t="inlineStr">
        <is>
          <t>HÄRJEDALEN</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35915-2021</t>
        </is>
      </c>
      <c r="B2387" s="1" t="n">
        <v>44387.9327662037</v>
      </c>
      <c r="C2387" s="1" t="n">
        <v>46045</v>
      </c>
      <c r="D2387" t="inlineStr">
        <is>
          <t>JÄMTLANDS LÄN</t>
        </is>
      </c>
      <c r="E2387" t="inlineStr">
        <is>
          <t>STRÖMSUND</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42900-2022</t>
        </is>
      </c>
      <c r="B2388" s="1" t="n">
        <v>44832.95435185185</v>
      </c>
      <c r="C2388" s="1" t="n">
        <v>46045</v>
      </c>
      <c r="D2388" t="inlineStr">
        <is>
          <t>JÄMTLANDS LÄN</t>
        </is>
      </c>
      <c r="E2388" t="inlineStr">
        <is>
          <t>RAGUNDA</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44410-2021</t>
        </is>
      </c>
      <c r="B2389" s="1" t="n">
        <v>44435</v>
      </c>
      <c r="C2389" s="1" t="n">
        <v>46045</v>
      </c>
      <c r="D2389" t="inlineStr">
        <is>
          <t>JÄMTLANDS LÄN</t>
        </is>
      </c>
      <c r="E2389" t="inlineStr">
        <is>
          <t>STRÖMSUND</t>
        </is>
      </c>
      <c r="F2389" t="inlineStr">
        <is>
          <t>Holmen skog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44606-2021</t>
        </is>
      </c>
      <c r="B2390" s="1" t="n">
        <v>44435.9415162037</v>
      </c>
      <c r="C2390" s="1" t="n">
        <v>46045</v>
      </c>
      <c r="D2390" t="inlineStr">
        <is>
          <t>JÄMTLANDS LÄN</t>
        </is>
      </c>
      <c r="E2390" t="inlineStr">
        <is>
          <t>STRÖMSUND</t>
        </is>
      </c>
      <c r="F2390" t="inlineStr">
        <is>
          <t>SCA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29828-2022</t>
        </is>
      </c>
      <c r="B2391" s="1" t="n">
        <v>44755</v>
      </c>
      <c r="C2391" s="1" t="n">
        <v>46045</v>
      </c>
      <c r="D2391" t="inlineStr">
        <is>
          <t>JÄMTLANDS LÄN</t>
        </is>
      </c>
      <c r="E2391" t="inlineStr">
        <is>
          <t>ÖSTERSUND</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72753-2021</t>
        </is>
      </c>
      <c r="B2392" s="1" t="n">
        <v>44546.92266203704</v>
      </c>
      <c r="C2392" s="1" t="n">
        <v>46045</v>
      </c>
      <c r="D2392" t="inlineStr">
        <is>
          <t>JÄMTLANDS LÄN</t>
        </is>
      </c>
      <c r="E2392" t="inlineStr">
        <is>
          <t>STRÖMSUND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46056-2022</t>
        </is>
      </c>
      <c r="B2393" s="1" t="n">
        <v>44846.95290509259</v>
      </c>
      <c r="C2393" s="1" t="n">
        <v>46045</v>
      </c>
      <c r="D2393" t="inlineStr">
        <is>
          <t>JÄMTLANDS LÄN</t>
        </is>
      </c>
      <c r="E2393" t="inlineStr">
        <is>
          <t>STRÖMSUND</t>
        </is>
      </c>
      <c r="F2393" t="inlineStr">
        <is>
          <t>SCA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71352-2021</t>
        </is>
      </c>
      <c r="B2394" s="1" t="n">
        <v>44539</v>
      </c>
      <c r="C2394" s="1" t="n">
        <v>46045</v>
      </c>
      <c r="D2394" t="inlineStr">
        <is>
          <t>JÄMTLANDS LÄN</t>
        </is>
      </c>
      <c r="E2394" t="inlineStr">
        <is>
          <t>STRÖMSUND</t>
        </is>
      </c>
      <c r="G2394" t="n">
        <v>0.2</v>
      </c>
      <c r="H2394" t="n">
        <v>0</v>
      </c>
      <c r="I2394" t="n">
        <v>0</v>
      </c>
      <c r="J2394" t="n">
        <v>0</v>
      </c>
      <c r="K2394" t="n">
        <v>0</v>
      </c>
      <c r="L2394" t="n">
        <v>0</v>
      </c>
      <c r="M2394" t="n">
        <v>0</v>
      </c>
      <c r="N2394" t="n">
        <v>0</v>
      </c>
      <c r="O2394" t="n">
        <v>0</v>
      </c>
      <c r="P2394" t="n">
        <v>0</v>
      </c>
      <c r="Q2394" t="n">
        <v>0</v>
      </c>
      <c r="R2394" s="2" t="inlineStr"/>
      <c r="U2394">
        <f>HYPERLINK("https://klasma.github.io/Logging_2313/knärot/A 71352-2021 karta knärot.png", "A 71352-2021")</f>
        <v/>
      </c>
      <c r="V2394">
        <f>HYPERLINK("https://klasma.github.io/Logging_2313/klagomål/A 71352-2021 FSC-klagomål.docx", "A 71352-2021")</f>
        <v/>
      </c>
      <c r="W2394">
        <f>HYPERLINK("https://klasma.github.io/Logging_2313/klagomålsmail/A 71352-2021 FSC-klagomål mail.docx", "A 71352-2021")</f>
        <v/>
      </c>
      <c r="X2394">
        <f>HYPERLINK("https://klasma.github.io/Logging_2313/tillsyn/A 71352-2021 tillsynsbegäran.docx", "A 71352-2021")</f>
        <v/>
      </c>
      <c r="Y2394">
        <f>HYPERLINK("https://klasma.github.io/Logging_2313/tillsynsmail/A 71352-2021 tillsynsbegäran mail.docx", "A 71352-2021")</f>
        <v/>
      </c>
    </row>
    <row r="2395" ht="15" customHeight="1">
      <c r="A2395" t="inlineStr">
        <is>
          <t>A 71353-2021</t>
        </is>
      </c>
      <c r="B2395" s="1" t="n">
        <v>44539</v>
      </c>
      <c r="C2395" s="1" t="n">
        <v>46045</v>
      </c>
      <c r="D2395" t="inlineStr">
        <is>
          <t>JÄMTLANDS LÄN</t>
        </is>
      </c>
      <c r="E2395" t="inlineStr">
        <is>
          <t>STRÖMSUND</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55517-2021</t>
        </is>
      </c>
      <c r="B2396" s="1" t="n">
        <v>44475</v>
      </c>
      <c r="C2396" s="1" t="n">
        <v>46045</v>
      </c>
      <c r="D2396" t="inlineStr">
        <is>
          <t>JÄMTLANDS LÄN</t>
        </is>
      </c>
      <c r="E2396" t="inlineStr">
        <is>
          <t>HÄRJEDALEN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43583-2022</t>
        </is>
      </c>
      <c r="B2397" s="1" t="n">
        <v>44834</v>
      </c>
      <c r="C2397" s="1" t="n">
        <v>46045</v>
      </c>
      <c r="D2397" t="inlineStr">
        <is>
          <t>JÄMTLANDS LÄN</t>
        </is>
      </c>
      <c r="E2397" t="inlineStr">
        <is>
          <t>ÅRE</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3796-2022</t>
        </is>
      </c>
      <c r="B2398" s="1" t="n">
        <v>44586</v>
      </c>
      <c r="C2398" s="1" t="n">
        <v>46045</v>
      </c>
      <c r="D2398" t="inlineStr">
        <is>
          <t>JÄMTLANDS LÄN</t>
        </is>
      </c>
      <c r="E2398" t="inlineStr">
        <is>
          <t>RAGUNDA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44247-2021</t>
        </is>
      </c>
      <c r="B2399" s="1" t="n">
        <v>44434.94559027778</v>
      </c>
      <c r="C2399" s="1" t="n">
        <v>46045</v>
      </c>
      <c r="D2399" t="inlineStr">
        <is>
          <t>JÄMTLANDS LÄN</t>
        </is>
      </c>
      <c r="E2399" t="inlineStr">
        <is>
          <t>RAGUNDA</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44267-2021</t>
        </is>
      </c>
      <c r="B2400" s="1" t="n">
        <v>44434</v>
      </c>
      <c r="C2400" s="1" t="n">
        <v>46045</v>
      </c>
      <c r="D2400" t="inlineStr">
        <is>
          <t>JÄMTLANDS LÄN</t>
        </is>
      </c>
      <c r="E2400" t="inlineStr">
        <is>
          <t>ÖSTERSUND</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12250-2021</t>
        </is>
      </c>
      <c r="B2401" s="1" t="n">
        <v>44266</v>
      </c>
      <c r="C2401" s="1" t="n">
        <v>46045</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36176-2021</t>
        </is>
      </c>
      <c r="B2402" s="1" t="n">
        <v>44389.63510416666</v>
      </c>
      <c r="C2402" s="1" t="n">
        <v>46045</v>
      </c>
      <c r="D2402" t="inlineStr">
        <is>
          <t>JÄMTLANDS LÄN</t>
        </is>
      </c>
      <c r="E2402" t="inlineStr">
        <is>
          <t>STRÖMSUND</t>
        </is>
      </c>
      <c r="F2402" t="inlineStr">
        <is>
          <t>Holmen skog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8154-2021</t>
        </is>
      </c>
      <c r="B2403" s="1" t="n">
        <v>44243</v>
      </c>
      <c r="C2403" s="1" t="n">
        <v>46045</v>
      </c>
      <c r="D2403" t="inlineStr">
        <is>
          <t>JÄMTLANDS LÄN</t>
        </is>
      </c>
      <c r="E2403" t="inlineStr">
        <is>
          <t>KROKOM</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40827-2021</t>
        </is>
      </c>
      <c r="B2404" s="1" t="n">
        <v>44421.39092592592</v>
      </c>
      <c r="C2404" s="1" t="n">
        <v>46045</v>
      </c>
      <c r="D2404" t="inlineStr">
        <is>
          <t>JÄMTLANDS LÄN</t>
        </is>
      </c>
      <c r="E2404" t="inlineStr">
        <is>
          <t>STRÖMSUND</t>
        </is>
      </c>
      <c r="F2404" t="inlineStr">
        <is>
          <t>Holmen skog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13098-2022</t>
        </is>
      </c>
      <c r="B2405" s="1" t="n">
        <v>44643</v>
      </c>
      <c r="C2405" s="1" t="n">
        <v>46045</v>
      </c>
      <c r="D2405" t="inlineStr">
        <is>
          <t>JÄMTLANDS LÄN</t>
        </is>
      </c>
      <c r="E2405" t="inlineStr">
        <is>
          <t>STRÖMSUND</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51012-2022</t>
        </is>
      </c>
      <c r="B2406" s="1" t="n">
        <v>44867</v>
      </c>
      <c r="C2406" s="1" t="n">
        <v>46045</v>
      </c>
      <c r="D2406" t="inlineStr">
        <is>
          <t>JÄMTLANDS LÄN</t>
        </is>
      </c>
      <c r="E2406" t="inlineStr">
        <is>
          <t>RAGUNDA</t>
        </is>
      </c>
      <c r="F2406" t="inlineStr">
        <is>
          <t>Sveaskog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12404-2022</t>
        </is>
      </c>
      <c r="B2407" s="1" t="n">
        <v>44637.94065972222</v>
      </c>
      <c r="C2407" s="1" t="n">
        <v>46045</v>
      </c>
      <c r="D2407" t="inlineStr">
        <is>
          <t>JÄMTLANDS LÄN</t>
        </is>
      </c>
      <c r="E2407" t="inlineStr">
        <is>
          <t>STRÖMSUND</t>
        </is>
      </c>
      <c r="F2407" t="inlineStr">
        <is>
          <t>SCA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19010-2022</t>
        </is>
      </c>
      <c r="B2408" s="1" t="n">
        <v>44690</v>
      </c>
      <c r="C2408" s="1" t="n">
        <v>46045</v>
      </c>
      <c r="D2408" t="inlineStr">
        <is>
          <t>JÄMTLANDS LÄN</t>
        </is>
      </c>
      <c r="E2408" t="inlineStr">
        <is>
          <t>RAGUNDA</t>
        </is>
      </c>
      <c r="F2408" t="inlineStr">
        <is>
          <t>SCA</t>
        </is>
      </c>
      <c r="G2408" t="n">
        <v>19.6</v>
      </c>
      <c r="H2408" t="n">
        <v>0</v>
      </c>
      <c r="I2408" t="n">
        <v>0</v>
      </c>
      <c r="J2408" t="n">
        <v>0</v>
      </c>
      <c r="K2408" t="n">
        <v>0</v>
      </c>
      <c r="L2408" t="n">
        <v>0</v>
      </c>
      <c r="M2408" t="n">
        <v>0</v>
      </c>
      <c r="N2408" t="n">
        <v>0</v>
      </c>
      <c r="O2408" t="n">
        <v>0</v>
      </c>
      <c r="P2408" t="n">
        <v>0</v>
      </c>
      <c r="Q2408" t="n">
        <v>0</v>
      </c>
      <c r="R2408" s="2" t="inlineStr"/>
    </row>
    <row r="2409" ht="15" customHeight="1">
      <c r="A2409" t="inlineStr">
        <is>
          <t>A 53288-2022</t>
        </is>
      </c>
      <c r="B2409" s="1" t="n">
        <v>44876.95104166667</v>
      </c>
      <c r="C2409" s="1" t="n">
        <v>46045</v>
      </c>
      <c r="D2409" t="inlineStr">
        <is>
          <t>JÄMTLANDS LÄN</t>
        </is>
      </c>
      <c r="E2409" t="inlineStr">
        <is>
          <t>RAGUNDA</t>
        </is>
      </c>
      <c r="F2409" t="inlineStr">
        <is>
          <t>SCA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51957-2021</t>
        </is>
      </c>
      <c r="B2410" s="1" t="n">
        <v>44462.95658564815</v>
      </c>
      <c r="C2410" s="1" t="n">
        <v>46045</v>
      </c>
      <c r="D2410" t="inlineStr">
        <is>
          <t>JÄMTLANDS LÄN</t>
        </is>
      </c>
      <c r="E2410" t="inlineStr">
        <is>
          <t>BRÄCKE</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15355-2021</t>
        </is>
      </c>
      <c r="B2411" s="1" t="n">
        <v>44284</v>
      </c>
      <c r="C2411" s="1" t="n">
        <v>46045</v>
      </c>
      <c r="D2411" t="inlineStr">
        <is>
          <t>JÄMTLANDS LÄN</t>
        </is>
      </c>
      <c r="E2411" t="inlineStr">
        <is>
          <t>STRÖMSUND</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64310-2021</t>
        </is>
      </c>
      <c r="B2412" s="1" t="n">
        <v>44510.94982638889</v>
      </c>
      <c r="C2412" s="1" t="n">
        <v>46045</v>
      </c>
      <c r="D2412" t="inlineStr">
        <is>
          <t>JÄMTLANDS LÄN</t>
        </is>
      </c>
      <c r="E2412" t="inlineStr">
        <is>
          <t>STRÖMSUND</t>
        </is>
      </c>
      <c r="F2412" t="inlineStr">
        <is>
          <t>SCA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66166-2021</t>
        </is>
      </c>
      <c r="B2413" s="1" t="n">
        <v>44517.9390625</v>
      </c>
      <c r="C2413" s="1" t="n">
        <v>46045</v>
      </c>
      <c r="D2413" t="inlineStr">
        <is>
          <t>JÄMTLANDS LÄN</t>
        </is>
      </c>
      <c r="E2413" t="inlineStr">
        <is>
          <t>STRÖMSUND</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58022-2021</t>
        </is>
      </c>
      <c r="B2414" s="1" t="n">
        <v>44487</v>
      </c>
      <c r="C2414" s="1" t="n">
        <v>46045</v>
      </c>
      <c r="D2414" t="inlineStr">
        <is>
          <t>JÄMTLANDS LÄN</t>
        </is>
      </c>
      <c r="E2414" t="inlineStr">
        <is>
          <t>STRÖMSUND</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50023-2021</t>
        </is>
      </c>
      <c r="B2415" s="1" t="n">
        <v>44456.48688657407</v>
      </c>
      <c r="C2415" s="1" t="n">
        <v>46045</v>
      </c>
      <c r="D2415" t="inlineStr">
        <is>
          <t>JÄMTLANDS LÄN</t>
        </is>
      </c>
      <c r="E2415" t="inlineStr">
        <is>
          <t>STRÖMSUND</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50037-2021</t>
        </is>
      </c>
      <c r="B2416" s="1" t="n">
        <v>44456.49731481481</v>
      </c>
      <c r="C2416" s="1" t="n">
        <v>46045</v>
      </c>
      <c r="D2416" t="inlineStr">
        <is>
          <t>JÄMTLANDS LÄN</t>
        </is>
      </c>
      <c r="E2416" t="inlineStr">
        <is>
          <t>STRÖMSUND</t>
        </is>
      </c>
      <c r="F2416" t="inlineStr">
        <is>
          <t>Sveaskog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47296-2022</t>
        </is>
      </c>
      <c r="B2417" s="1" t="n">
        <v>44852.95248842592</v>
      </c>
      <c r="C2417" s="1" t="n">
        <v>46045</v>
      </c>
      <c r="D2417" t="inlineStr">
        <is>
          <t>JÄMTLANDS LÄN</t>
        </is>
      </c>
      <c r="E2417" t="inlineStr">
        <is>
          <t>ÖSTERSUND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63995-2021</t>
        </is>
      </c>
      <c r="B2418" s="1" t="n">
        <v>44509</v>
      </c>
      <c r="C2418" s="1" t="n">
        <v>46045</v>
      </c>
      <c r="D2418" t="inlineStr">
        <is>
          <t>JÄMTLANDS LÄN</t>
        </is>
      </c>
      <c r="E2418" t="inlineStr">
        <is>
          <t>BRÄCKE</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64002-2021</t>
        </is>
      </c>
      <c r="B2419" s="1" t="n">
        <v>44509.97879629629</v>
      </c>
      <c r="C2419" s="1" t="n">
        <v>46045</v>
      </c>
      <c r="D2419" t="inlineStr">
        <is>
          <t>JÄMTLANDS LÄN</t>
        </is>
      </c>
      <c r="E2419" t="inlineStr">
        <is>
          <t>BRÄCKE</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65442-2021</t>
        </is>
      </c>
      <c r="B2420" s="1" t="n">
        <v>44515.93943287037</v>
      </c>
      <c r="C2420" s="1" t="n">
        <v>46045</v>
      </c>
      <c r="D2420" t="inlineStr">
        <is>
          <t>JÄMTLANDS LÄN</t>
        </is>
      </c>
      <c r="E2420" t="inlineStr">
        <is>
          <t>STRÖMSUND</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52927-2022</t>
        </is>
      </c>
      <c r="B2421" s="1" t="n">
        <v>44872</v>
      </c>
      <c r="C2421" s="1" t="n">
        <v>46045</v>
      </c>
      <c r="D2421" t="inlineStr">
        <is>
          <t>JÄMTLANDS LÄN</t>
        </is>
      </c>
      <c r="E2421" t="inlineStr">
        <is>
          <t>BERG</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23486-2021</t>
        </is>
      </c>
      <c r="B2422" s="1" t="n">
        <v>44333</v>
      </c>
      <c r="C2422" s="1" t="n">
        <v>46045</v>
      </c>
      <c r="D2422" t="inlineStr">
        <is>
          <t>JÄMTLANDS LÄN</t>
        </is>
      </c>
      <c r="E2422" t="inlineStr">
        <is>
          <t>STRÖMSUND</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52557-2021</t>
        </is>
      </c>
      <c r="B2423" s="1" t="n">
        <v>44466.53040509259</v>
      </c>
      <c r="C2423" s="1" t="n">
        <v>46045</v>
      </c>
      <c r="D2423" t="inlineStr">
        <is>
          <t>JÄMTLANDS LÄN</t>
        </is>
      </c>
      <c r="E2423" t="inlineStr">
        <is>
          <t>KROKOM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29929-2021</t>
        </is>
      </c>
      <c r="B2424" s="1" t="n">
        <v>44362</v>
      </c>
      <c r="C2424" s="1" t="n">
        <v>46045</v>
      </c>
      <c r="D2424" t="inlineStr">
        <is>
          <t>JÄMTLANDS LÄN</t>
        </is>
      </c>
      <c r="E2424" t="inlineStr">
        <is>
          <t>BRÄCKE</t>
        </is>
      </c>
      <c r="F2424" t="inlineStr">
        <is>
          <t>SCA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17726-2021</t>
        </is>
      </c>
      <c r="B2425" s="1" t="n">
        <v>44300</v>
      </c>
      <c r="C2425" s="1" t="n">
        <v>46045</v>
      </c>
      <c r="D2425" t="inlineStr">
        <is>
          <t>JÄMTLANDS LÄN</t>
        </is>
      </c>
      <c r="E2425" t="inlineStr">
        <is>
          <t>KROKOM</t>
        </is>
      </c>
      <c r="G2425" t="n">
        <v>30.7</v>
      </c>
      <c r="H2425" t="n">
        <v>0</v>
      </c>
      <c r="I2425" t="n">
        <v>0</v>
      </c>
      <c r="J2425" t="n">
        <v>0</v>
      </c>
      <c r="K2425" t="n">
        <v>0</v>
      </c>
      <c r="L2425" t="n">
        <v>0</v>
      </c>
      <c r="M2425" t="n">
        <v>0</v>
      </c>
      <c r="N2425" t="n">
        <v>0</v>
      </c>
      <c r="O2425" t="n">
        <v>0</v>
      </c>
      <c r="P2425" t="n">
        <v>0</v>
      </c>
      <c r="Q2425" t="n">
        <v>0</v>
      </c>
      <c r="R2425" s="2" t="inlineStr"/>
    </row>
    <row r="2426" ht="15" customHeight="1">
      <c r="A2426" t="inlineStr">
        <is>
          <t>A 61420-2021</t>
        </is>
      </c>
      <c r="B2426" s="1" t="n">
        <v>44500</v>
      </c>
      <c r="C2426" s="1" t="n">
        <v>46045</v>
      </c>
      <c r="D2426" t="inlineStr">
        <is>
          <t>JÄMTLANDS LÄN</t>
        </is>
      </c>
      <c r="E2426" t="inlineStr">
        <is>
          <t>STRÖMSUND</t>
        </is>
      </c>
      <c r="F2426" t="inlineStr">
        <is>
          <t>SCA</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61433-2021</t>
        </is>
      </c>
      <c r="B2427" s="1" t="n">
        <v>44500</v>
      </c>
      <c r="C2427" s="1" t="n">
        <v>46045</v>
      </c>
      <c r="D2427" t="inlineStr">
        <is>
          <t>JÄMTLANDS LÄN</t>
        </is>
      </c>
      <c r="E2427" t="inlineStr">
        <is>
          <t>STRÖMSUND</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61442-2021</t>
        </is>
      </c>
      <c r="B2428" s="1" t="n">
        <v>44500.93887731482</v>
      </c>
      <c r="C2428" s="1" t="n">
        <v>46045</v>
      </c>
      <c r="D2428" t="inlineStr">
        <is>
          <t>JÄMTLANDS LÄN</t>
        </is>
      </c>
      <c r="E2428" t="inlineStr">
        <is>
          <t>RAGUNDA</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56639-2021</t>
        </is>
      </c>
      <c r="B2429" s="1" t="n">
        <v>44480</v>
      </c>
      <c r="C2429" s="1" t="n">
        <v>46045</v>
      </c>
      <c r="D2429" t="inlineStr">
        <is>
          <t>JÄMTLANDS LÄN</t>
        </is>
      </c>
      <c r="E2429" t="inlineStr">
        <is>
          <t>BRÄCKE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64655-2021</t>
        </is>
      </c>
      <c r="B2430" s="1" t="n">
        <v>44511</v>
      </c>
      <c r="C2430" s="1" t="n">
        <v>46045</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55932-2021</t>
        </is>
      </c>
      <c r="B2431" s="1" t="n">
        <v>44476</v>
      </c>
      <c r="C2431" s="1" t="n">
        <v>46045</v>
      </c>
      <c r="D2431" t="inlineStr">
        <is>
          <t>JÄMTLANDS LÄN</t>
        </is>
      </c>
      <c r="E2431" t="inlineStr">
        <is>
          <t>RAGUNDA</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64660-2021</t>
        </is>
      </c>
      <c r="B2432" s="1" t="n">
        <v>44511</v>
      </c>
      <c r="C2432" s="1" t="n">
        <v>46045</v>
      </c>
      <c r="D2432" t="inlineStr">
        <is>
          <t>JÄMTLANDS LÄN</t>
        </is>
      </c>
      <c r="E2432" t="inlineStr">
        <is>
          <t>STRÖMSUND</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72041-2021</t>
        </is>
      </c>
      <c r="B2433" s="1" t="n">
        <v>44540</v>
      </c>
      <c r="C2433" s="1" t="n">
        <v>46045</v>
      </c>
      <c r="D2433" t="inlineStr">
        <is>
          <t>JÄMTLANDS LÄN</t>
        </is>
      </c>
      <c r="E2433" t="inlineStr">
        <is>
          <t>ÖSTERSUND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17596-2021</t>
        </is>
      </c>
      <c r="B2434" s="1" t="n">
        <v>44299</v>
      </c>
      <c r="C2434" s="1" t="n">
        <v>46045</v>
      </c>
      <c r="D2434" t="inlineStr">
        <is>
          <t>JÄMTLANDS LÄN</t>
        </is>
      </c>
      <c r="E2434" t="inlineStr">
        <is>
          <t>ÖSTERSUND</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21019-2021</t>
        </is>
      </c>
      <c r="B2435" s="1" t="n">
        <v>44319.62415509259</v>
      </c>
      <c r="C2435" s="1" t="n">
        <v>46045</v>
      </c>
      <c r="D2435" t="inlineStr">
        <is>
          <t>JÄMTLANDS LÄN</t>
        </is>
      </c>
      <c r="E2435" t="inlineStr">
        <is>
          <t>BRÄCKE</t>
        </is>
      </c>
      <c r="G2435" t="n">
        <v>9.800000000000001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23895-2021</t>
        </is>
      </c>
      <c r="B2436" s="1" t="n">
        <v>44335</v>
      </c>
      <c r="C2436" s="1" t="n">
        <v>46045</v>
      </c>
      <c r="D2436" t="inlineStr">
        <is>
          <t>JÄMTLANDS LÄN</t>
        </is>
      </c>
      <c r="E2436" t="inlineStr">
        <is>
          <t>ÖSTERSUND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6492-2022</t>
        </is>
      </c>
      <c r="B2437" s="1" t="n">
        <v>44601</v>
      </c>
      <c r="C2437" s="1" t="n">
        <v>46045</v>
      </c>
      <c r="D2437" t="inlineStr">
        <is>
          <t>JÄMTLANDS LÄN</t>
        </is>
      </c>
      <c r="E2437" t="inlineStr">
        <is>
          <t>RAGUNDA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73629-2021</t>
        </is>
      </c>
      <c r="B2438" s="1" t="n">
        <v>44552</v>
      </c>
      <c r="C2438" s="1" t="n">
        <v>46045</v>
      </c>
      <c r="D2438" t="inlineStr">
        <is>
          <t>JÄMTLANDS LÄN</t>
        </is>
      </c>
      <c r="E2438" t="inlineStr">
        <is>
          <t>ÅRE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71246-2021</t>
        </is>
      </c>
      <c r="B2439" s="1" t="n">
        <v>44539</v>
      </c>
      <c r="C2439" s="1" t="n">
        <v>46045</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60348-2021</t>
        </is>
      </c>
      <c r="B2440" s="1" t="n">
        <v>44495</v>
      </c>
      <c r="C2440" s="1" t="n">
        <v>46045</v>
      </c>
      <c r="D2440" t="inlineStr">
        <is>
          <t>JÄMTLANDS LÄN</t>
        </is>
      </c>
      <c r="E2440" t="inlineStr">
        <is>
          <t>KROKOM</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60351-2021</t>
        </is>
      </c>
      <c r="B2441" s="1" t="n">
        <v>44495</v>
      </c>
      <c r="C2441" s="1" t="n">
        <v>46045</v>
      </c>
      <c r="D2441" t="inlineStr">
        <is>
          <t>JÄMTLANDS LÄN</t>
        </is>
      </c>
      <c r="E2441" t="inlineStr">
        <is>
          <t>KROKOM</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70812-2021</t>
        </is>
      </c>
      <c r="B2442" s="1" t="n">
        <v>44537</v>
      </c>
      <c r="C2442" s="1" t="n">
        <v>46045</v>
      </c>
      <c r="D2442" t="inlineStr">
        <is>
          <t>JÄMTLANDS LÄN</t>
        </is>
      </c>
      <c r="E2442" t="inlineStr">
        <is>
          <t>BRÄCKE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70813-2021</t>
        </is>
      </c>
      <c r="B2443" s="1" t="n">
        <v>44537</v>
      </c>
      <c r="C2443" s="1" t="n">
        <v>46045</v>
      </c>
      <c r="D2443" t="inlineStr">
        <is>
          <t>JÄMTLANDS LÄN</t>
        </is>
      </c>
      <c r="E2443" t="inlineStr">
        <is>
          <t>BRÄCKE</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41819-2021</t>
        </is>
      </c>
      <c r="B2444" s="1" t="n">
        <v>44425.85641203704</v>
      </c>
      <c r="C2444" s="1" t="n">
        <v>46045</v>
      </c>
      <c r="D2444" t="inlineStr">
        <is>
          <t>JÄMTLANDS LÄN</t>
        </is>
      </c>
      <c r="E2444" t="inlineStr">
        <is>
          <t>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55399-2021</t>
        </is>
      </c>
      <c r="B2445" s="1" t="n">
        <v>44475</v>
      </c>
      <c r="C2445" s="1" t="n">
        <v>46045</v>
      </c>
      <c r="D2445" t="inlineStr">
        <is>
          <t>JÄMTLANDS LÄN</t>
        </is>
      </c>
      <c r="E2445" t="inlineStr">
        <is>
          <t>HÄRJEDALEN</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70816-2021</t>
        </is>
      </c>
      <c r="B2446" s="1" t="n">
        <v>44537.935</v>
      </c>
      <c r="C2446" s="1" t="n">
        <v>46045</v>
      </c>
      <c r="D2446" t="inlineStr">
        <is>
          <t>JÄMTLANDS LÄN</t>
        </is>
      </c>
      <c r="E2446" t="inlineStr">
        <is>
          <t>ÖSTERSUND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50029-2021</t>
        </is>
      </c>
      <c r="B2447" s="1" t="n">
        <v>44456.4916087963</v>
      </c>
      <c r="C2447" s="1" t="n">
        <v>46045</v>
      </c>
      <c r="D2447" t="inlineStr">
        <is>
          <t>JÄMTLANDS LÄN</t>
        </is>
      </c>
      <c r="E2447" t="inlineStr">
        <is>
          <t>STRÖMSUND</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22772-2022</t>
        </is>
      </c>
      <c r="B2448" s="1" t="n">
        <v>44714.94162037037</v>
      </c>
      <c r="C2448" s="1" t="n">
        <v>46045</v>
      </c>
      <c r="D2448" t="inlineStr">
        <is>
          <t>JÄMTLANDS LÄN</t>
        </is>
      </c>
      <c r="E2448" t="inlineStr">
        <is>
          <t>RAGUNDA</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71377-2021</t>
        </is>
      </c>
      <c r="B2449" s="1" t="n">
        <v>44539.94553240741</v>
      </c>
      <c r="C2449" s="1" t="n">
        <v>46045</v>
      </c>
      <c r="D2449" t="inlineStr">
        <is>
          <t>JÄMTLANDS LÄN</t>
        </is>
      </c>
      <c r="E2449" t="inlineStr">
        <is>
          <t>STRÖMSUND</t>
        </is>
      </c>
      <c r="F2449" t="inlineStr">
        <is>
          <t>SCA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73291-2021</t>
        </is>
      </c>
      <c r="B2450" s="1" t="n">
        <v>44550</v>
      </c>
      <c r="C2450" s="1" t="n">
        <v>46045</v>
      </c>
      <c r="D2450" t="inlineStr">
        <is>
          <t>JÄMTLANDS LÄN</t>
        </is>
      </c>
      <c r="E2450" t="inlineStr">
        <is>
          <t>STRÖMSUND</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38219-2021</t>
        </is>
      </c>
      <c r="B2451" s="1" t="n">
        <v>44405</v>
      </c>
      <c r="C2451" s="1" t="n">
        <v>46045</v>
      </c>
      <c r="D2451" t="inlineStr">
        <is>
          <t>JÄMTLANDS LÄN</t>
        </is>
      </c>
      <c r="E2451" t="inlineStr">
        <is>
          <t>STRÖMSUND</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30037-2022</t>
        </is>
      </c>
      <c r="B2452" s="1" t="n">
        <v>44756.94559027778</v>
      </c>
      <c r="C2452" s="1" t="n">
        <v>46045</v>
      </c>
      <c r="D2452" t="inlineStr">
        <is>
          <t>JÄMTLANDS LÄN</t>
        </is>
      </c>
      <c r="E2452" t="inlineStr">
        <is>
          <t>STRÖMSUND</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55379-2021</t>
        </is>
      </c>
      <c r="B2453" s="1" t="n">
        <v>44475</v>
      </c>
      <c r="C2453" s="1" t="n">
        <v>46045</v>
      </c>
      <c r="D2453" t="inlineStr">
        <is>
          <t>JÄMTLANDS LÄN</t>
        </is>
      </c>
      <c r="E2453" t="inlineStr">
        <is>
          <t>HÄRJEDALEN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55384-2021</t>
        </is>
      </c>
      <c r="B2454" s="1" t="n">
        <v>44475</v>
      </c>
      <c r="C2454" s="1" t="n">
        <v>46045</v>
      </c>
      <c r="D2454" t="inlineStr">
        <is>
          <t>JÄMTLANDS LÄN</t>
        </is>
      </c>
      <c r="E2454" t="inlineStr">
        <is>
          <t>HÄRJEDALEN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55385-2021</t>
        </is>
      </c>
      <c r="B2455" s="1" t="n">
        <v>44475</v>
      </c>
      <c r="C2455" s="1" t="n">
        <v>46045</v>
      </c>
      <c r="D2455" t="inlineStr">
        <is>
          <t>JÄMTLANDS LÄN</t>
        </is>
      </c>
      <c r="E2455" t="inlineStr">
        <is>
          <t>HÄRJEDALEN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56114-2021</t>
        </is>
      </c>
      <c r="B2456" s="1" t="n">
        <v>44477.58694444445</v>
      </c>
      <c r="C2456" s="1" t="n">
        <v>46045</v>
      </c>
      <c r="D2456" t="inlineStr">
        <is>
          <t>JÄMTLANDS LÄN</t>
        </is>
      </c>
      <c r="E2456" t="inlineStr">
        <is>
          <t>BRÄCKE</t>
        </is>
      </c>
      <c r="G2456" t="n">
        <v>12.7</v>
      </c>
      <c r="H2456" t="n">
        <v>0</v>
      </c>
      <c r="I2456" t="n">
        <v>0</v>
      </c>
      <c r="J2456" t="n">
        <v>0</v>
      </c>
      <c r="K2456" t="n">
        <v>0</v>
      </c>
      <c r="L2456" t="n">
        <v>0</v>
      </c>
      <c r="M2456" t="n">
        <v>0</v>
      </c>
      <c r="N2456" t="n">
        <v>0</v>
      </c>
      <c r="O2456" t="n">
        <v>0</v>
      </c>
      <c r="P2456" t="n">
        <v>0</v>
      </c>
      <c r="Q2456" t="n">
        <v>0</v>
      </c>
      <c r="R2456" s="2" t="inlineStr"/>
    </row>
    <row r="2457" ht="15" customHeight="1">
      <c r="A2457" t="inlineStr">
        <is>
          <t>A 68646-2021</t>
        </is>
      </c>
      <c r="B2457" s="1" t="n">
        <v>44529.60631944444</v>
      </c>
      <c r="C2457" s="1" t="n">
        <v>46045</v>
      </c>
      <c r="D2457" t="inlineStr">
        <is>
          <t>JÄMTLANDS LÄN</t>
        </is>
      </c>
      <c r="E2457" t="inlineStr">
        <is>
          <t>STRÖMSUND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28881-2021</t>
        </is>
      </c>
      <c r="B2458" s="1" t="n">
        <v>44357</v>
      </c>
      <c r="C2458" s="1" t="n">
        <v>46045</v>
      </c>
      <c r="D2458" t="inlineStr">
        <is>
          <t>JÄMTLANDS LÄN</t>
        </is>
      </c>
      <c r="E2458" t="inlineStr">
        <is>
          <t>ÅRE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164-2022</t>
        </is>
      </c>
      <c r="B2459" s="1" t="n">
        <v>44564</v>
      </c>
      <c r="C2459" s="1" t="n">
        <v>46045</v>
      </c>
      <c r="D2459" t="inlineStr">
        <is>
          <t>JÄMTLANDS LÄN</t>
        </is>
      </c>
      <c r="E2459" t="inlineStr">
        <is>
          <t>BERG</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28887-2021</t>
        </is>
      </c>
      <c r="B2460" s="1" t="n">
        <v>44357</v>
      </c>
      <c r="C2460" s="1" t="n">
        <v>46045</v>
      </c>
      <c r="D2460" t="inlineStr">
        <is>
          <t>JÄMTLANDS LÄN</t>
        </is>
      </c>
      <c r="E2460" t="inlineStr">
        <is>
          <t>RAGUNDA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35241-2022</t>
        </is>
      </c>
      <c r="B2461" s="1" t="n">
        <v>44797</v>
      </c>
      <c r="C2461" s="1" t="n">
        <v>46045</v>
      </c>
      <c r="D2461" t="inlineStr">
        <is>
          <t>JÄMTLANDS LÄN</t>
        </is>
      </c>
      <c r="E2461" t="inlineStr">
        <is>
          <t>STRÖMSUND</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35321-2022</t>
        </is>
      </c>
      <c r="B2462" s="1" t="n">
        <v>44798</v>
      </c>
      <c r="C2462" s="1" t="n">
        <v>46045</v>
      </c>
      <c r="D2462" t="inlineStr">
        <is>
          <t>JÄMTLANDS LÄN</t>
        </is>
      </c>
      <c r="E2462" t="inlineStr">
        <is>
          <t>STRÖMSUND</t>
        </is>
      </c>
      <c r="F2462" t="inlineStr">
        <is>
          <t>Kommuner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56055-2021</t>
        </is>
      </c>
      <c r="B2463" s="1" t="n">
        <v>44477.48994212963</v>
      </c>
      <c r="C2463" s="1" t="n">
        <v>46045</v>
      </c>
      <c r="D2463" t="inlineStr">
        <is>
          <t>JÄMTLANDS LÄN</t>
        </is>
      </c>
      <c r="E2463" t="inlineStr">
        <is>
          <t>RAGUNDA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40481-2021</t>
        </is>
      </c>
      <c r="B2464" s="1" t="n">
        <v>44419.94328703704</v>
      </c>
      <c r="C2464" s="1" t="n">
        <v>46045</v>
      </c>
      <c r="D2464" t="inlineStr">
        <is>
          <t>JÄMTLANDS LÄN</t>
        </is>
      </c>
      <c r="E2464" t="inlineStr">
        <is>
          <t>BRÄCKE</t>
        </is>
      </c>
      <c r="F2464" t="inlineStr">
        <is>
          <t>SCA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40497-2021</t>
        </is>
      </c>
      <c r="B2465" s="1" t="n">
        <v>44420.33096064815</v>
      </c>
      <c r="C2465" s="1" t="n">
        <v>46045</v>
      </c>
      <c r="D2465" t="inlineStr">
        <is>
          <t>JÄMTLANDS LÄN</t>
        </is>
      </c>
      <c r="E2465" t="inlineStr">
        <is>
          <t>HÄRJEDALEN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35064-2021</t>
        </is>
      </c>
      <c r="B2466" s="1" t="n">
        <v>44383</v>
      </c>
      <c r="C2466" s="1" t="n">
        <v>46045</v>
      </c>
      <c r="D2466" t="inlineStr">
        <is>
          <t>JÄMTLANDS LÄN</t>
        </is>
      </c>
      <c r="E2466" t="inlineStr">
        <is>
          <t>STRÖMSUND</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29540-2022</t>
        </is>
      </c>
      <c r="B2467" s="1" t="n">
        <v>44753.94357638889</v>
      </c>
      <c r="C2467" s="1" t="n">
        <v>46045</v>
      </c>
      <c r="D2467" t="inlineStr">
        <is>
          <t>JÄMTLANDS LÄN</t>
        </is>
      </c>
      <c r="E2467" t="inlineStr">
        <is>
          <t>STRÖMSUND</t>
        </is>
      </c>
      <c r="F2467" t="inlineStr">
        <is>
          <t>SCA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71989-2021</t>
        </is>
      </c>
      <c r="B2468" s="1" t="n">
        <v>44544</v>
      </c>
      <c r="C2468" s="1" t="n">
        <v>46045</v>
      </c>
      <c r="D2468" t="inlineStr">
        <is>
          <t>JÄMTLANDS LÄN</t>
        </is>
      </c>
      <c r="E2468" t="inlineStr">
        <is>
          <t>HÄRJEDALEN</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21034-2021</t>
        </is>
      </c>
      <c r="B2469" s="1" t="n">
        <v>44319</v>
      </c>
      <c r="C2469" s="1" t="n">
        <v>46045</v>
      </c>
      <c r="D2469" t="inlineStr">
        <is>
          <t>JÄMTLANDS LÄN</t>
        </is>
      </c>
      <c r="E2469" t="inlineStr">
        <is>
          <t>BRÄCKE</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5130-2021</t>
        </is>
      </c>
      <c r="B2470" s="1" t="n">
        <v>44228</v>
      </c>
      <c r="C2470" s="1" t="n">
        <v>46045</v>
      </c>
      <c r="D2470" t="inlineStr">
        <is>
          <t>JÄMTLANDS LÄN</t>
        </is>
      </c>
      <c r="E2470" t="inlineStr">
        <is>
          <t>RAGUNDA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39000-2022</t>
        </is>
      </c>
      <c r="B2471" s="1" t="n">
        <v>44816.94270833334</v>
      </c>
      <c r="C2471" s="1" t="n">
        <v>46045</v>
      </c>
      <c r="D2471" t="inlineStr">
        <is>
          <t>JÄMTLANDS LÄN</t>
        </is>
      </c>
      <c r="E2471" t="inlineStr">
        <is>
          <t>STRÖMSUND</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57256-2021</t>
        </is>
      </c>
      <c r="B2472" s="1" t="n">
        <v>44483.36435185185</v>
      </c>
      <c r="C2472" s="1" t="n">
        <v>46045</v>
      </c>
      <c r="D2472" t="inlineStr">
        <is>
          <t>JÄMTLANDS LÄN</t>
        </is>
      </c>
      <c r="E2472" t="inlineStr">
        <is>
          <t>HÄRJEDALEN</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2571-2022</t>
        </is>
      </c>
      <c r="B2473" s="1" t="n">
        <v>44580</v>
      </c>
      <c r="C2473" s="1" t="n">
        <v>46045</v>
      </c>
      <c r="D2473" t="inlineStr">
        <is>
          <t>JÄMTLANDS LÄN</t>
        </is>
      </c>
      <c r="E2473" t="inlineStr">
        <is>
          <t>ÅRE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65424-2021</t>
        </is>
      </c>
      <c r="B2474" s="1" t="n">
        <v>44515.93767361111</v>
      </c>
      <c r="C2474" s="1" t="n">
        <v>46045</v>
      </c>
      <c r="D2474" t="inlineStr">
        <is>
          <t>JÄMTLANDS LÄN</t>
        </is>
      </c>
      <c r="E2474" t="inlineStr">
        <is>
          <t>RAGUNDA</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19850-2022</t>
        </is>
      </c>
      <c r="B2475" s="1" t="n">
        <v>44696.93986111111</v>
      </c>
      <c r="C2475" s="1" t="n">
        <v>46045</v>
      </c>
      <c r="D2475" t="inlineStr">
        <is>
          <t>JÄMTLANDS LÄN</t>
        </is>
      </c>
      <c r="E2475" t="inlineStr">
        <is>
          <t>RAGUNDA</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17173-2021</t>
        </is>
      </c>
      <c r="B2476" s="1" t="n">
        <v>44295</v>
      </c>
      <c r="C2476" s="1" t="n">
        <v>46045</v>
      </c>
      <c r="D2476" t="inlineStr">
        <is>
          <t>JÄMTLANDS LÄN</t>
        </is>
      </c>
      <c r="E2476" t="inlineStr">
        <is>
          <t>BRÄCKE</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4931-2022</t>
        </is>
      </c>
      <c r="B2477" s="1" t="n">
        <v>44593</v>
      </c>
      <c r="C2477" s="1" t="n">
        <v>46045</v>
      </c>
      <c r="D2477" t="inlineStr">
        <is>
          <t>JÄMTLANDS LÄN</t>
        </is>
      </c>
      <c r="E2477" t="inlineStr">
        <is>
          <t>STRÖMSUND</t>
        </is>
      </c>
      <c r="G2477" t="n">
        <v>41.9</v>
      </c>
      <c r="H2477" t="n">
        <v>0</v>
      </c>
      <c r="I2477" t="n">
        <v>0</v>
      </c>
      <c r="J2477" t="n">
        <v>0</v>
      </c>
      <c r="K2477" t="n">
        <v>0</v>
      </c>
      <c r="L2477" t="n">
        <v>0</v>
      </c>
      <c r="M2477" t="n">
        <v>0</v>
      </c>
      <c r="N2477" t="n">
        <v>0</v>
      </c>
      <c r="O2477" t="n">
        <v>0</v>
      </c>
      <c r="P2477" t="n">
        <v>0</v>
      </c>
      <c r="Q2477" t="n">
        <v>0</v>
      </c>
      <c r="R2477" s="2" t="inlineStr"/>
    </row>
    <row r="2478" ht="15" customHeight="1">
      <c r="A2478" t="inlineStr">
        <is>
          <t>A 14288-2022</t>
        </is>
      </c>
      <c r="B2478" s="1" t="n">
        <v>44651</v>
      </c>
      <c r="C2478" s="1" t="n">
        <v>46045</v>
      </c>
      <c r="D2478" t="inlineStr">
        <is>
          <t>JÄMTLANDS LÄN</t>
        </is>
      </c>
      <c r="E2478" t="inlineStr">
        <is>
          <t>STRÖMSUND</t>
        </is>
      </c>
      <c r="F2478" t="inlineStr">
        <is>
          <t>SCA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32780-2022</t>
        </is>
      </c>
      <c r="B2479" s="1" t="n">
        <v>44783</v>
      </c>
      <c r="C2479" s="1" t="n">
        <v>46045</v>
      </c>
      <c r="D2479" t="inlineStr">
        <is>
          <t>JÄMTLANDS LÄN</t>
        </is>
      </c>
      <c r="E2479" t="inlineStr">
        <is>
          <t>RAGUNDA</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71911-2021</t>
        </is>
      </c>
      <c r="B2480" s="1" t="n">
        <v>44543.92153935185</v>
      </c>
      <c r="C2480" s="1" t="n">
        <v>46045</v>
      </c>
      <c r="D2480" t="inlineStr">
        <is>
          <t>JÄMTLANDS LÄN</t>
        </is>
      </c>
      <c r="E2480" t="inlineStr">
        <is>
          <t>STRÖMSUND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71912-2021</t>
        </is>
      </c>
      <c r="B2481" s="1" t="n">
        <v>44543</v>
      </c>
      <c r="C2481" s="1" t="n">
        <v>46045</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64966-2021</t>
        </is>
      </c>
      <c r="B2482" s="1" t="n">
        <v>44512</v>
      </c>
      <c r="C2482" s="1" t="n">
        <v>46045</v>
      </c>
      <c r="D2482" t="inlineStr">
        <is>
          <t>JÄMTLANDS LÄN</t>
        </is>
      </c>
      <c r="E2482" t="inlineStr">
        <is>
          <t>KROKOM</t>
        </is>
      </c>
      <c r="F2482" t="inlineStr">
        <is>
          <t>SCA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39611-2021</t>
        </is>
      </c>
      <c r="B2483" s="1" t="n">
        <v>44417</v>
      </c>
      <c r="C2483" s="1" t="n">
        <v>46045</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36084-2022</t>
        </is>
      </c>
      <c r="B2484" s="1" t="n">
        <v>44802</v>
      </c>
      <c r="C2484" s="1" t="n">
        <v>46045</v>
      </c>
      <c r="D2484" t="inlineStr">
        <is>
          <t>JÄMTLANDS LÄN</t>
        </is>
      </c>
      <c r="E2484" t="inlineStr">
        <is>
          <t>RAGUNDA</t>
        </is>
      </c>
      <c r="F2484" t="inlineStr">
        <is>
          <t>SCA</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13989-2021</t>
        </is>
      </c>
      <c r="B2485" s="1" t="n">
        <v>44277.59521990741</v>
      </c>
      <c r="C2485" s="1" t="n">
        <v>46045</v>
      </c>
      <c r="D2485" t="inlineStr">
        <is>
          <t>JÄMTLANDS LÄN</t>
        </is>
      </c>
      <c r="E2485" t="inlineStr">
        <is>
          <t>KROKOM</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46969-2021</t>
        </is>
      </c>
      <c r="B2486" s="1" t="n">
        <v>44446</v>
      </c>
      <c r="C2486" s="1" t="n">
        <v>46045</v>
      </c>
      <c r="D2486" t="inlineStr">
        <is>
          <t>JÄMTLANDS LÄN</t>
        </is>
      </c>
      <c r="E2486" t="inlineStr">
        <is>
          <t>STRÖMSUND</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41978-2021</t>
        </is>
      </c>
      <c r="B2487" s="1" t="n">
        <v>44426.45706018519</v>
      </c>
      <c r="C2487" s="1" t="n">
        <v>46045</v>
      </c>
      <c r="D2487" t="inlineStr">
        <is>
          <t>JÄMTLANDS LÄN</t>
        </is>
      </c>
      <c r="E2487" t="inlineStr">
        <is>
          <t>HÄRJEDALEN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24677-2021</t>
        </is>
      </c>
      <c r="B2488" s="1" t="n">
        <v>44337</v>
      </c>
      <c r="C2488" s="1" t="n">
        <v>46045</v>
      </c>
      <c r="D2488" t="inlineStr">
        <is>
          <t>JÄMTLANDS LÄN</t>
        </is>
      </c>
      <c r="E2488" t="inlineStr">
        <is>
          <t>KROKOM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49904-2022</t>
        </is>
      </c>
      <c r="B2489" s="1" t="n">
        <v>44864.94835648148</v>
      </c>
      <c r="C2489" s="1" t="n">
        <v>46045</v>
      </c>
      <c r="D2489" t="inlineStr">
        <is>
          <t>JÄMTLANDS LÄN</t>
        </is>
      </c>
      <c r="E2489" t="inlineStr">
        <is>
          <t>RAGUNDA</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70468-2021</t>
        </is>
      </c>
      <c r="B2490" s="1" t="n">
        <v>44536.66070601852</v>
      </c>
      <c r="C2490" s="1" t="n">
        <v>46045</v>
      </c>
      <c r="D2490" t="inlineStr">
        <is>
          <t>JÄMTLANDS LÄN</t>
        </is>
      </c>
      <c r="E2490" t="inlineStr">
        <is>
          <t>BERG</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15118-2021</t>
        </is>
      </c>
      <c r="B2491" s="1" t="n">
        <v>44282</v>
      </c>
      <c r="C2491" s="1" t="n">
        <v>46045</v>
      </c>
      <c r="D2491" t="inlineStr">
        <is>
          <t>JÄMTLANDS LÄN</t>
        </is>
      </c>
      <c r="E2491" t="inlineStr">
        <is>
          <t>STRÖMSUND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23208-2022</t>
        </is>
      </c>
      <c r="B2492" s="1" t="n">
        <v>44719</v>
      </c>
      <c r="C2492" s="1" t="n">
        <v>46045</v>
      </c>
      <c r="D2492" t="inlineStr">
        <is>
          <t>JÄMTLANDS LÄN</t>
        </is>
      </c>
      <c r="E2492" t="inlineStr">
        <is>
          <t>STRÖMSUND</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23209-2022</t>
        </is>
      </c>
      <c r="B2493" s="1" t="n">
        <v>44719</v>
      </c>
      <c r="C2493" s="1" t="n">
        <v>46045</v>
      </c>
      <c r="D2493" t="inlineStr">
        <is>
          <t>JÄMTLANDS LÄN</t>
        </is>
      </c>
      <c r="E2493" t="inlineStr">
        <is>
          <t>STRÖMSUND</t>
        </is>
      </c>
      <c r="F2493" t="inlineStr">
        <is>
          <t>SCA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8227-2022</t>
        </is>
      </c>
      <c r="B2494" s="1" t="n">
        <v>44609.93075231482</v>
      </c>
      <c r="C2494" s="1" t="n">
        <v>46045</v>
      </c>
      <c r="D2494" t="inlineStr">
        <is>
          <t>JÄMTLANDS LÄN</t>
        </is>
      </c>
      <c r="E2494" t="inlineStr">
        <is>
          <t>ÖSTERSUND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19595-2021</t>
        </is>
      </c>
      <c r="B2495" s="1" t="n">
        <v>44308</v>
      </c>
      <c r="C2495" s="1" t="n">
        <v>46045</v>
      </c>
      <c r="D2495" t="inlineStr">
        <is>
          <t>JÄMTLANDS LÄN</t>
        </is>
      </c>
      <c r="E2495" t="inlineStr">
        <is>
          <t>RAGUNDA</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19455-2022</t>
        </is>
      </c>
      <c r="B2496" s="1" t="n">
        <v>44693.41668981482</v>
      </c>
      <c r="C2496" s="1" t="n">
        <v>46045</v>
      </c>
      <c r="D2496" t="inlineStr">
        <is>
          <t>JÄMTLANDS LÄN</t>
        </is>
      </c>
      <c r="E2496" t="inlineStr">
        <is>
          <t>KROKOM</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62205-2021</t>
        </is>
      </c>
      <c r="B2497" s="1" t="n">
        <v>44502.94140046297</v>
      </c>
      <c r="C2497" s="1" t="n">
        <v>46045</v>
      </c>
      <c r="D2497" t="inlineStr">
        <is>
          <t>JÄMTLANDS LÄN</t>
        </is>
      </c>
      <c r="E2497" t="inlineStr">
        <is>
          <t>KROKOM</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48555-2022</t>
        </is>
      </c>
      <c r="B2498" s="1" t="n">
        <v>44859</v>
      </c>
      <c r="C2498" s="1" t="n">
        <v>46045</v>
      </c>
      <c r="D2498" t="inlineStr">
        <is>
          <t>JÄMTLANDS LÄN</t>
        </is>
      </c>
      <c r="E2498" t="inlineStr">
        <is>
          <t>BRÄCKE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14210-2021</t>
        </is>
      </c>
      <c r="B2499" s="1" t="n">
        <v>44278.51930555556</v>
      </c>
      <c r="C2499" s="1" t="n">
        <v>46045</v>
      </c>
      <c r="D2499" t="inlineStr">
        <is>
          <t>JÄMTLANDS LÄN</t>
        </is>
      </c>
      <c r="E2499" t="inlineStr">
        <is>
          <t>ÅRE</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48583-2022</t>
        </is>
      </c>
      <c r="B2500" s="1" t="n">
        <v>44859</v>
      </c>
      <c r="C2500" s="1" t="n">
        <v>46045</v>
      </c>
      <c r="D2500" t="inlineStr">
        <is>
          <t>JÄMTLANDS LÄN</t>
        </is>
      </c>
      <c r="E2500" t="inlineStr">
        <is>
          <t>HÄRJEDALEN</t>
        </is>
      </c>
      <c r="F2500" t="inlineStr">
        <is>
          <t>Bergvik skog väst AB</t>
        </is>
      </c>
      <c r="G2500" t="n">
        <v>8.6</v>
      </c>
      <c r="H2500" t="n">
        <v>0</v>
      </c>
      <c r="I2500" t="n">
        <v>0</v>
      </c>
      <c r="J2500" t="n">
        <v>0</v>
      </c>
      <c r="K2500" t="n">
        <v>0</v>
      </c>
      <c r="L2500" t="n">
        <v>0</v>
      </c>
      <c r="M2500" t="n">
        <v>0</v>
      </c>
      <c r="N2500" t="n">
        <v>0</v>
      </c>
      <c r="O2500" t="n">
        <v>0</v>
      </c>
      <c r="P2500" t="n">
        <v>0</v>
      </c>
      <c r="Q2500" t="n">
        <v>0</v>
      </c>
      <c r="R2500" s="2" t="inlineStr"/>
    </row>
    <row r="2501" ht="15" customHeight="1">
      <c r="A2501" t="inlineStr">
        <is>
          <t>A 56148-2022</t>
        </is>
      </c>
      <c r="B2501" s="1" t="n">
        <v>44889.89929398148</v>
      </c>
      <c r="C2501" s="1" t="n">
        <v>46045</v>
      </c>
      <c r="D2501" t="inlineStr">
        <is>
          <t>JÄMTLANDS LÄN</t>
        </is>
      </c>
      <c r="E2501" t="inlineStr">
        <is>
          <t>ÖSTERSUND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51020-2022</t>
        </is>
      </c>
      <c r="B2502" s="1" t="n">
        <v>44867.95071759259</v>
      </c>
      <c r="C2502" s="1" t="n">
        <v>46045</v>
      </c>
      <c r="D2502" t="inlineStr">
        <is>
          <t>JÄMTLANDS LÄN</t>
        </is>
      </c>
      <c r="E2502" t="inlineStr">
        <is>
          <t>BRÄCKE</t>
        </is>
      </c>
      <c r="F2502" t="inlineStr">
        <is>
          <t>SCA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64200-2021</t>
        </is>
      </c>
      <c r="B2503" s="1" t="n">
        <v>44510</v>
      </c>
      <c r="C2503" s="1" t="n">
        <v>46045</v>
      </c>
      <c r="D2503" t="inlineStr">
        <is>
          <t>JÄMTLANDS LÄN</t>
        </is>
      </c>
      <c r="E2503" t="inlineStr">
        <is>
          <t>STRÖMSUND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54842-2021</t>
        </is>
      </c>
      <c r="B2504" s="1" t="n">
        <v>44473</v>
      </c>
      <c r="C2504" s="1" t="n">
        <v>46045</v>
      </c>
      <c r="D2504" t="inlineStr">
        <is>
          <t>JÄMTLANDS LÄN</t>
        </is>
      </c>
      <c r="E2504" t="inlineStr">
        <is>
          <t>HÄRJEDALEN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57194-2021</t>
        </is>
      </c>
      <c r="B2505" s="1" t="n">
        <v>44482.92271990741</v>
      </c>
      <c r="C2505" s="1" t="n">
        <v>46045</v>
      </c>
      <c r="D2505" t="inlineStr">
        <is>
          <t>JÄMTLANDS LÄN</t>
        </is>
      </c>
      <c r="E2505" t="inlineStr">
        <is>
          <t>RAGUNDA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16619-2021</t>
        </is>
      </c>
      <c r="B2506" s="1" t="n">
        <v>44294</v>
      </c>
      <c r="C2506" s="1" t="n">
        <v>46045</v>
      </c>
      <c r="D2506" t="inlineStr">
        <is>
          <t>JÄMTLANDS LÄN</t>
        </is>
      </c>
      <c r="E2506" t="inlineStr">
        <is>
          <t>BRÄCKE</t>
        </is>
      </c>
      <c r="G2506" t="n">
        <v>10.3</v>
      </c>
      <c r="H2506" t="n">
        <v>0</v>
      </c>
      <c r="I2506" t="n">
        <v>0</v>
      </c>
      <c r="J2506" t="n">
        <v>0</v>
      </c>
      <c r="K2506" t="n">
        <v>0</v>
      </c>
      <c r="L2506" t="n">
        <v>0</v>
      </c>
      <c r="M2506" t="n">
        <v>0</v>
      </c>
      <c r="N2506" t="n">
        <v>0</v>
      </c>
      <c r="O2506" t="n">
        <v>0</v>
      </c>
      <c r="P2506" t="n">
        <v>0</v>
      </c>
      <c r="Q2506" t="n">
        <v>0</v>
      </c>
      <c r="R2506" s="2" t="inlineStr"/>
    </row>
    <row r="2507" ht="15" customHeight="1">
      <c r="A2507" t="inlineStr">
        <is>
          <t>A 16625-2021</t>
        </is>
      </c>
      <c r="B2507" s="1" t="n">
        <v>44294</v>
      </c>
      <c r="C2507" s="1" t="n">
        <v>46045</v>
      </c>
      <c r="D2507" t="inlineStr">
        <is>
          <t>JÄMTLANDS LÄN</t>
        </is>
      </c>
      <c r="E2507" t="inlineStr">
        <is>
          <t>ÅRE</t>
        </is>
      </c>
      <c r="F2507" t="inlineStr">
        <is>
          <t>Övriga Aktiebolag</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31445-2022</t>
        </is>
      </c>
      <c r="B2508" s="1" t="n">
        <v>44774.9409837963</v>
      </c>
      <c r="C2508" s="1" t="n">
        <v>46045</v>
      </c>
      <c r="D2508" t="inlineStr">
        <is>
          <t>JÄMTLANDS LÄN</t>
        </is>
      </c>
      <c r="E2508" t="inlineStr">
        <is>
          <t>STRÖMSUND</t>
        </is>
      </c>
      <c r="F2508" t="inlineStr">
        <is>
          <t>SCA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31449-2022</t>
        </is>
      </c>
      <c r="B2509" s="1" t="n">
        <v>44774.94123842593</v>
      </c>
      <c r="C2509" s="1" t="n">
        <v>46045</v>
      </c>
      <c r="D2509" t="inlineStr">
        <is>
          <t>JÄMTLANDS LÄN</t>
        </is>
      </c>
      <c r="E2509" t="inlineStr">
        <is>
          <t>STRÖMSUND</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23869-2021</t>
        </is>
      </c>
      <c r="B2510" s="1" t="n">
        <v>44335.4837962963</v>
      </c>
      <c r="C2510" s="1" t="n">
        <v>46045</v>
      </c>
      <c r="D2510" t="inlineStr">
        <is>
          <t>JÄMTLANDS LÄN</t>
        </is>
      </c>
      <c r="E2510" t="inlineStr">
        <is>
          <t>HÄRJEDALEN</t>
        </is>
      </c>
      <c r="G2510" t="n">
        <v>15.3</v>
      </c>
      <c r="H2510" t="n">
        <v>0</v>
      </c>
      <c r="I2510" t="n">
        <v>0</v>
      </c>
      <c r="J2510" t="n">
        <v>0</v>
      </c>
      <c r="K2510" t="n">
        <v>0</v>
      </c>
      <c r="L2510" t="n">
        <v>0</v>
      </c>
      <c r="M2510" t="n">
        <v>0</v>
      </c>
      <c r="N2510" t="n">
        <v>0</v>
      </c>
      <c r="O2510" t="n">
        <v>0</v>
      </c>
      <c r="P2510" t="n">
        <v>0</v>
      </c>
      <c r="Q2510" t="n">
        <v>0</v>
      </c>
      <c r="R2510" s="2" t="inlineStr"/>
    </row>
    <row r="2511" ht="15" customHeight="1">
      <c r="A2511" t="inlineStr">
        <is>
          <t>A 21593-2021</t>
        </is>
      </c>
      <c r="B2511" s="1" t="n">
        <v>44314</v>
      </c>
      <c r="C2511" s="1" t="n">
        <v>46045</v>
      </c>
      <c r="D2511" t="inlineStr">
        <is>
          <t>JÄMTLANDS LÄN</t>
        </is>
      </c>
      <c r="E2511" t="inlineStr">
        <is>
          <t>HÄRJEDALEN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58228-2021</t>
        </is>
      </c>
      <c r="B2512" s="1" t="n">
        <v>44487</v>
      </c>
      <c r="C2512" s="1" t="n">
        <v>46045</v>
      </c>
      <c r="D2512" t="inlineStr">
        <is>
          <t>JÄMTLANDS LÄN</t>
        </is>
      </c>
      <c r="E2512" t="inlineStr">
        <is>
          <t>ÅRE</t>
        </is>
      </c>
      <c r="G2512" t="n">
        <v>46.2</v>
      </c>
      <c r="H2512" t="n">
        <v>0</v>
      </c>
      <c r="I2512" t="n">
        <v>0</v>
      </c>
      <c r="J2512" t="n">
        <v>0</v>
      </c>
      <c r="K2512" t="n">
        <v>0</v>
      </c>
      <c r="L2512" t="n">
        <v>0</v>
      </c>
      <c r="M2512" t="n">
        <v>0</v>
      </c>
      <c r="N2512" t="n">
        <v>0</v>
      </c>
      <c r="O2512" t="n">
        <v>0</v>
      </c>
      <c r="P2512" t="n">
        <v>0</v>
      </c>
      <c r="Q2512" t="n">
        <v>0</v>
      </c>
      <c r="R2512" s="2" t="inlineStr"/>
    </row>
    <row r="2513" ht="15" customHeight="1">
      <c r="A2513" t="inlineStr">
        <is>
          <t>A 51563-2022</t>
        </is>
      </c>
      <c r="B2513" s="1" t="n">
        <v>44869</v>
      </c>
      <c r="C2513" s="1" t="n">
        <v>46045</v>
      </c>
      <c r="D2513" t="inlineStr">
        <is>
          <t>JÄMTLANDS LÄN</t>
        </is>
      </c>
      <c r="E2513" t="inlineStr">
        <is>
          <t>STRÖMSUND</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54526-2021</t>
        </is>
      </c>
      <c r="B2514" s="1" t="n">
        <v>44473.53681712963</v>
      </c>
      <c r="C2514" s="1" t="n">
        <v>46045</v>
      </c>
      <c r="D2514" t="inlineStr">
        <is>
          <t>JÄMTLANDS LÄN</t>
        </is>
      </c>
      <c r="E2514" t="inlineStr">
        <is>
          <t>KROKOM</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15360-2021</t>
        </is>
      </c>
      <c r="B2515" s="1" t="n">
        <v>44284</v>
      </c>
      <c r="C2515" s="1" t="n">
        <v>46045</v>
      </c>
      <c r="D2515" t="inlineStr">
        <is>
          <t>JÄMTLANDS LÄN</t>
        </is>
      </c>
      <c r="E2515" t="inlineStr">
        <is>
          <t>STRÖMSUND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46045</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61449-2021</t>
        </is>
      </c>
      <c r="B2517" s="1" t="n">
        <v>44500.93988425926</v>
      </c>
      <c r="C2517" s="1" t="n">
        <v>46045</v>
      </c>
      <c r="D2517" t="inlineStr">
        <is>
          <t>JÄMTLANDS LÄN</t>
        </is>
      </c>
      <c r="E2517" t="inlineStr">
        <is>
          <t>STRÖMSUND</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40829-2022</t>
        </is>
      </c>
      <c r="B2518" s="1" t="n">
        <v>44824.94635416667</v>
      </c>
      <c r="C2518" s="1" t="n">
        <v>46045</v>
      </c>
      <c r="D2518" t="inlineStr">
        <is>
          <t>JÄMTLANDS LÄN</t>
        </is>
      </c>
      <c r="E2518" t="inlineStr">
        <is>
          <t>RAGUNDA</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50887-2021</t>
        </is>
      </c>
      <c r="B2519" s="1" t="n">
        <v>44459</v>
      </c>
      <c r="C2519" s="1" t="n">
        <v>46045</v>
      </c>
      <c r="D2519" t="inlineStr">
        <is>
          <t>JÄMTLANDS LÄN</t>
        </is>
      </c>
      <c r="E2519" t="inlineStr">
        <is>
          <t>KROKOM</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39700-2022</t>
        </is>
      </c>
      <c r="B2520" s="1" t="n">
        <v>44818.94979166667</v>
      </c>
      <c r="C2520" s="1" t="n">
        <v>46045</v>
      </c>
      <c r="D2520" t="inlineStr">
        <is>
          <t>JÄMTLANDS LÄN</t>
        </is>
      </c>
      <c r="E2520" t="inlineStr">
        <is>
          <t>STRÖMSUND</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71864-2021</t>
        </is>
      </c>
      <c r="B2521" s="1" t="n">
        <v>44543</v>
      </c>
      <c r="C2521" s="1" t="n">
        <v>46045</v>
      </c>
      <c r="D2521" t="inlineStr">
        <is>
          <t>JÄMTLANDS LÄN</t>
        </is>
      </c>
      <c r="E2521" t="inlineStr">
        <is>
          <t>HÄRJEDALEN</t>
        </is>
      </c>
      <c r="F2521" t="inlineStr">
        <is>
          <t>Holmen skog AB</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62954-2021</t>
        </is>
      </c>
      <c r="B2522" s="1" t="n">
        <v>44504</v>
      </c>
      <c r="C2522" s="1" t="n">
        <v>46045</v>
      </c>
      <c r="D2522" t="inlineStr">
        <is>
          <t>JÄMTLANDS LÄN</t>
        </is>
      </c>
      <c r="E2522" t="inlineStr">
        <is>
          <t>BRÄCKE</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24021-2022</t>
        </is>
      </c>
      <c r="B2523" s="1" t="n">
        <v>44722.94199074074</v>
      </c>
      <c r="C2523" s="1" t="n">
        <v>46045</v>
      </c>
      <c r="D2523" t="inlineStr">
        <is>
          <t>JÄMTLANDS LÄN</t>
        </is>
      </c>
      <c r="E2523" t="inlineStr">
        <is>
          <t>STRÖMSUND</t>
        </is>
      </c>
      <c r="F2523" t="inlineStr">
        <is>
          <t>SCA</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46992-2022</t>
        </is>
      </c>
      <c r="B2524" s="1" t="n">
        <v>44851.95488425926</v>
      </c>
      <c r="C2524" s="1" t="n">
        <v>46045</v>
      </c>
      <c r="D2524" t="inlineStr">
        <is>
          <t>JÄMTLANDS LÄN</t>
        </is>
      </c>
      <c r="E2524" t="inlineStr">
        <is>
          <t>RAGUNDA</t>
        </is>
      </c>
      <c r="F2524" t="inlineStr">
        <is>
          <t>SCA</t>
        </is>
      </c>
      <c r="G2524" t="n">
        <v>26.4</v>
      </c>
      <c r="H2524" t="n">
        <v>0</v>
      </c>
      <c r="I2524" t="n">
        <v>0</v>
      </c>
      <c r="J2524" t="n">
        <v>0</v>
      </c>
      <c r="K2524" t="n">
        <v>0</v>
      </c>
      <c r="L2524" t="n">
        <v>0</v>
      </c>
      <c r="M2524" t="n">
        <v>0</v>
      </c>
      <c r="N2524" t="n">
        <v>0</v>
      </c>
      <c r="O2524" t="n">
        <v>0</v>
      </c>
      <c r="P2524" t="n">
        <v>0</v>
      </c>
      <c r="Q2524" t="n">
        <v>0</v>
      </c>
      <c r="R2524" s="2" t="inlineStr"/>
    </row>
    <row r="2525" ht="15" customHeight="1">
      <c r="A2525" t="inlineStr">
        <is>
          <t>A 36079-2022</t>
        </is>
      </c>
      <c r="B2525" s="1" t="n">
        <v>44802.94603009259</v>
      </c>
      <c r="C2525" s="1" t="n">
        <v>46045</v>
      </c>
      <c r="D2525" t="inlineStr">
        <is>
          <t>JÄMTLANDS LÄN</t>
        </is>
      </c>
      <c r="E2525" t="inlineStr">
        <is>
          <t>STRÖMSUND</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10656-2022</t>
        </is>
      </c>
      <c r="B2526" s="1" t="n">
        <v>44624</v>
      </c>
      <c r="C2526" s="1" t="n">
        <v>46045</v>
      </c>
      <c r="D2526" t="inlineStr">
        <is>
          <t>JÄMTLANDS LÄN</t>
        </is>
      </c>
      <c r="E2526" t="inlineStr">
        <is>
          <t>STRÖMSUND</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34348-2021</t>
        </is>
      </c>
      <c r="B2527" s="1" t="n">
        <v>44379</v>
      </c>
      <c r="C2527" s="1" t="n">
        <v>46045</v>
      </c>
      <c r="D2527" t="inlineStr">
        <is>
          <t>JÄMTLANDS LÄN</t>
        </is>
      </c>
      <c r="E2527" t="inlineStr">
        <is>
          <t>RAGUNDA</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28498-2022</t>
        </is>
      </c>
      <c r="B2528" s="1" t="n">
        <v>44747.94269675926</v>
      </c>
      <c r="C2528" s="1" t="n">
        <v>46045</v>
      </c>
      <c r="D2528" t="inlineStr">
        <is>
          <t>JÄMTLANDS LÄN</t>
        </is>
      </c>
      <c r="E2528" t="inlineStr">
        <is>
          <t>STRÖMSUND</t>
        </is>
      </c>
      <c r="F2528" t="inlineStr">
        <is>
          <t>SCA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23206-2022</t>
        </is>
      </c>
      <c r="B2529" s="1" t="n">
        <v>44719</v>
      </c>
      <c r="C2529" s="1" t="n">
        <v>46045</v>
      </c>
      <c r="D2529" t="inlineStr">
        <is>
          <t>JÄMTLANDS LÄN</t>
        </is>
      </c>
      <c r="E2529" t="inlineStr">
        <is>
          <t>STRÖMSUND</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58088-2021</t>
        </is>
      </c>
      <c r="B2530" s="1" t="n">
        <v>44487.50133101852</v>
      </c>
      <c r="C2530" s="1" t="n">
        <v>46045</v>
      </c>
      <c r="D2530" t="inlineStr">
        <is>
          <t>JÄMTLANDS LÄN</t>
        </is>
      </c>
      <c r="E2530" t="inlineStr">
        <is>
          <t>BERG</t>
        </is>
      </c>
      <c r="F2530" t="inlineStr">
        <is>
          <t>Sveaskog</t>
        </is>
      </c>
      <c r="G2530" t="n">
        <v>10.7</v>
      </c>
      <c r="H2530" t="n">
        <v>0</v>
      </c>
      <c r="I2530" t="n">
        <v>0</v>
      </c>
      <c r="J2530" t="n">
        <v>0</v>
      </c>
      <c r="K2530" t="n">
        <v>0</v>
      </c>
      <c r="L2530" t="n">
        <v>0</v>
      </c>
      <c r="M2530" t="n">
        <v>0</v>
      </c>
      <c r="N2530" t="n">
        <v>0</v>
      </c>
      <c r="O2530" t="n">
        <v>0</v>
      </c>
      <c r="P2530" t="n">
        <v>0</v>
      </c>
      <c r="Q2530" t="n">
        <v>0</v>
      </c>
      <c r="R2530" s="2" t="inlineStr"/>
    </row>
    <row r="2531" ht="15" customHeight="1">
      <c r="A2531" t="inlineStr">
        <is>
          <t>A 54581-2022</t>
        </is>
      </c>
      <c r="B2531" s="1" t="n">
        <v>44882.95608796296</v>
      </c>
      <c r="C2531" s="1" t="n">
        <v>46045</v>
      </c>
      <c r="D2531" t="inlineStr">
        <is>
          <t>JÄMTLANDS LÄN</t>
        </is>
      </c>
      <c r="E2531" t="inlineStr">
        <is>
          <t>STRÖMSUND</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30036-2022</t>
        </is>
      </c>
      <c r="B2532" s="1" t="n">
        <v>44756</v>
      </c>
      <c r="C2532" s="1" t="n">
        <v>46045</v>
      </c>
      <c r="D2532" t="inlineStr">
        <is>
          <t>JÄMTLANDS LÄN</t>
        </is>
      </c>
      <c r="E2532" t="inlineStr">
        <is>
          <t>STRÖMSUND</t>
        </is>
      </c>
      <c r="F2532" t="inlineStr">
        <is>
          <t>SCA</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42294-2022</t>
        </is>
      </c>
      <c r="B2533" s="1" t="n">
        <v>44830.95416666667</v>
      </c>
      <c r="C2533" s="1" t="n">
        <v>46045</v>
      </c>
      <c r="D2533" t="inlineStr">
        <is>
          <t>JÄMTLANDS LÄN</t>
        </is>
      </c>
      <c r="E2533" t="inlineStr">
        <is>
          <t>STRÖMSUND</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48756-2022</t>
        </is>
      </c>
      <c r="B2534" s="1" t="n">
        <v>44859</v>
      </c>
      <c r="C2534" s="1" t="n">
        <v>46045</v>
      </c>
      <c r="D2534" t="inlineStr">
        <is>
          <t>JÄMTLANDS LÄN</t>
        </is>
      </c>
      <c r="E2534" t="inlineStr">
        <is>
          <t>BERG</t>
        </is>
      </c>
      <c r="G2534" t="n">
        <v>10.8</v>
      </c>
      <c r="H2534" t="n">
        <v>0</v>
      </c>
      <c r="I2534" t="n">
        <v>0</v>
      </c>
      <c r="J2534" t="n">
        <v>0</v>
      </c>
      <c r="K2534" t="n">
        <v>0</v>
      </c>
      <c r="L2534" t="n">
        <v>0</v>
      </c>
      <c r="M2534" t="n">
        <v>0</v>
      </c>
      <c r="N2534" t="n">
        <v>0</v>
      </c>
      <c r="O2534" t="n">
        <v>0</v>
      </c>
      <c r="P2534" t="n">
        <v>0</v>
      </c>
      <c r="Q2534" t="n">
        <v>0</v>
      </c>
      <c r="R2534" s="2" t="inlineStr"/>
    </row>
    <row r="2535" ht="15" customHeight="1">
      <c r="A2535" t="inlineStr">
        <is>
          <t>A 25253-2022</t>
        </is>
      </c>
      <c r="B2535" s="1" t="n">
        <v>44729.94136574074</v>
      </c>
      <c r="C2535" s="1" t="n">
        <v>46045</v>
      </c>
      <c r="D2535" t="inlineStr">
        <is>
          <t>JÄMTLANDS LÄN</t>
        </is>
      </c>
      <c r="E2535" t="inlineStr">
        <is>
          <t>RAGUNDA</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41821-2022</t>
        </is>
      </c>
      <c r="B2536" s="1" t="n">
        <v>44827</v>
      </c>
      <c r="C2536" s="1" t="n">
        <v>46045</v>
      </c>
      <c r="D2536" t="inlineStr">
        <is>
          <t>JÄMTLANDS LÄN</t>
        </is>
      </c>
      <c r="E2536" t="inlineStr">
        <is>
          <t>STRÖMSUND</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24214-2022</t>
        </is>
      </c>
      <c r="B2537" s="1" t="n">
        <v>44725</v>
      </c>
      <c r="C2537" s="1" t="n">
        <v>46045</v>
      </c>
      <c r="D2537" t="inlineStr">
        <is>
          <t>JÄMTLANDS LÄN</t>
        </is>
      </c>
      <c r="E2537" t="inlineStr">
        <is>
          <t>HÄRJEDALEN</t>
        </is>
      </c>
      <c r="F2537" t="inlineStr">
        <is>
          <t>Holmen skog AB</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41828-2022</t>
        </is>
      </c>
      <c r="B2538" s="1" t="n">
        <v>44827.94636574074</v>
      </c>
      <c r="C2538" s="1" t="n">
        <v>46045</v>
      </c>
      <c r="D2538" t="inlineStr">
        <is>
          <t>JÄMTLANDS LÄN</t>
        </is>
      </c>
      <c r="E2538" t="inlineStr">
        <is>
          <t>STRÖMSUND</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1559-2022</t>
        </is>
      </c>
      <c r="B2539" s="1" t="n">
        <v>44573</v>
      </c>
      <c r="C2539" s="1" t="n">
        <v>46045</v>
      </c>
      <c r="D2539" t="inlineStr">
        <is>
          <t>JÄMTLANDS LÄN</t>
        </is>
      </c>
      <c r="E2539" t="inlineStr">
        <is>
          <t>BERG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42280-2022</t>
        </is>
      </c>
      <c r="B2540" s="1" t="n">
        <v>44830.953125</v>
      </c>
      <c r="C2540" s="1" t="n">
        <v>46045</v>
      </c>
      <c r="D2540" t="inlineStr">
        <is>
          <t>JÄMTLANDS LÄN</t>
        </is>
      </c>
      <c r="E2540" t="inlineStr">
        <is>
          <t>STRÖMSUND</t>
        </is>
      </c>
      <c r="F2540" t="inlineStr">
        <is>
          <t>SCA</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33565-2022</t>
        </is>
      </c>
      <c r="B2541" s="1" t="n">
        <v>44789</v>
      </c>
      <c r="C2541" s="1" t="n">
        <v>46045</v>
      </c>
      <c r="D2541" t="inlineStr">
        <is>
          <t>JÄMTLANDS LÄN</t>
        </is>
      </c>
      <c r="E2541" t="inlineStr">
        <is>
          <t>ÅRE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31849-2022</t>
        </is>
      </c>
      <c r="B2542" s="1" t="n">
        <v>44776.9419212963</v>
      </c>
      <c r="C2542" s="1" t="n">
        <v>46045</v>
      </c>
      <c r="D2542" t="inlineStr">
        <is>
          <t>JÄMTLANDS LÄN</t>
        </is>
      </c>
      <c r="E2542" t="inlineStr">
        <is>
          <t>STRÖMSUND</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31980-2022</t>
        </is>
      </c>
      <c r="B2543" s="1" t="n">
        <v>44777</v>
      </c>
      <c r="C2543" s="1" t="n">
        <v>46045</v>
      </c>
      <c r="D2543" t="inlineStr">
        <is>
          <t>JÄMTLANDS LÄN</t>
        </is>
      </c>
      <c r="E2543" t="inlineStr">
        <is>
          <t>BRÄCKE</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45426-2022</t>
        </is>
      </c>
      <c r="B2544" s="1" t="n">
        <v>44844</v>
      </c>
      <c r="C2544" s="1" t="n">
        <v>46045</v>
      </c>
      <c r="D2544" t="inlineStr">
        <is>
          <t>JÄMTLANDS LÄN</t>
        </is>
      </c>
      <c r="E2544" t="inlineStr">
        <is>
          <t>BRÄCKE</t>
        </is>
      </c>
      <c r="F2544" t="inlineStr">
        <is>
          <t>SCA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65866-2021</t>
        </is>
      </c>
      <c r="B2545" s="1" t="n">
        <v>44516</v>
      </c>
      <c r="C2545" s="1" t="n">
        <v>46045</v>
      </c>
      <c r="D2545" t="inlineStr">
        <is>
          <t>JÄMTLANDS LÄN</t>
        </is>
      </c>
      <c r="E2545" t="inlineStr">
        <is>
          <t>ÖSTERSUND</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50647-2022</t>
        </is>
      </c>
      <c r="B2546" s="1" t="n">
        <v>44866.95054398148</v>
      </c>
      <c r="C2546" s="1" t="n">
        <v>46045</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50663-2022</t>
        </is>
      </c>
      <c r="B2547" s="1" t="n">
        <v>44866.95289351852</v>
      </c>
      <c r="C2547" s="1" t="n">
        <v>46045</v>
      </c>
      <c r="D2547" t="inlineStr">
        <is>
          <t>JÄMTLANDS LÄN</t>
        </is>
      </c>
      <c r="E2547" t="inlineStr">
        <is>
          <t>STRÖMSUND</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37370-2021</t>
        </is>
      </c>
      <c r="B2548" s="1" t="n">
        <v>44397</v>
      </c>
      <c r="C2548" s="1" t="n">
        <v>46045</v>
      </c>
      <c r="D2548" t="inlineStr">
        <is>
          <t>JÄMTLANDS LÄN</t>
        </is>
      </c>
      <c r="E2548" t="inlineStr">
        <is>
          <t>STRÖMSUND</t>
        </is>
      </c>
      <c r="F2548" t="inlineStr">
        <is>
          <t>SCA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37371-2021</t>
        </is>
      </c>
      <c r="B2549" s="1" t="n">
        <v>44397.93497685185</v>
      </c>
      <c r="C2549" s="1" t="n">
        <v>46045</v>
      </c>
      <c r="D2549" t="inlineStr">
        <is>
          <t>JÄMTLANDS LÄN</t>
        </is>
      </c>
      <c r="E2549" t="inlineStr">
        <is>
          <t>STRÖMSUND</t>
        </is>
      </c>
      <c r="F2549" t="inlineStr">
        <is>
          <t>SCA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11553-2022</t>
        </is>
      </c>
      <c r="B2550" s="1" t="n">
        <v>44631.45398148148</v>
      </c>
      <c r="C2550" s="1" t="n">
        <v>46045</v>
      </c>
      <c r="D2550" t="inlineStr">
        <is>
          <t>JÄMTLANDS LÄN</t>
        </is>
      </c>
      <c r="E2550" t="inlineStr">
        <is>
          <t>HÄRJEDALEN</t>
        </is>
      </c>
      <c r="F2550" t="inlineStr">
        <is>
          <t>Holmen skog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22702-2022</t>
        </is>
      </c>
      <c r="B2551" s="1" t="n">
        <v>44714.57748842592</v>
      </c>
      <c r="C2551" s="1" t="n">
        <v>46045</v>
      </c>
      <c r="D2551" t="inlineStr">
        <is>
          <t>JÄMTLANDS LÄN</t>
        </is>
      </c>
      <c r="E2551" t="inlineStr">
        <is>
          <t>BRÄCKE</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37373-2021</t>
        </is>
      </c>
      <c r="B2552" s="1" t="n">
        <v>44397.93509259259</v>
      </c>
      <c r="C2552" s="1" t="n">
        <v>46045</v>
      </c>
      <c r="D2552" t="inlineStr">
        <is>
          <t>JÄMTLANDS LÄN</t>
        </is>
      </c>
      <c r="E2552" t="inlineStr">
        <is>
          <t>STRÖMSUND</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33054-2022</t>
        </is>
      </c>
      <c r="B2553" s="1" t="n">
        <v>44785</v>
      </c>
      <c r="C2553" s="1" t="n">
        <v>46045</v>
      </c>
      <c r="D2553" t="inlineStr">
        <is>
          <t>JÄMTLANDS LÄN</t>
        </is>
      </c>
      <c r="E2553" t="inlineStr">
        <is>
          <t>STRÖMSUND</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68901-2021</t>
        </is>
      </c>
      <c r="B2554" s="1" t="n">
        <v>44526</v>
      </c>
      <c r="C2554" s="1" t="n">
        <v>46045</v>
      </c>
      <c r="D2554" t="inlineStr">
        <is>
          <t>JÄMTLANDS LÄN</t>
        </is>
      </c>
      <c r="E2554" t="inlineStr">
        <is>
          <t>BRÄCKE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5416-2022</t>
        </is>
      </c>
      <c r="B2555" s="1" t="n">
        <v>44595</v>
      </c>
      <c r="C2555" s="1" t="n">
        <v>46045</v>
      </c>
      <c r="D2555" t="inlineStr">
        <is>
          <t>JÄMTLANDS LÄN</t>
        </is>
      </c>
      <c r="E2555" t="inlineStr">
        <is>
          <t>STRÖMSUND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39616-2021</t>
        </is>
      </c>
      <c r="B2556" s="1" t="n">
        <v>44417.37207175926</v>
      </c>
      <c r="C2556" s="1" t="n">
        <v>46045</v>
      </c>
      <c r="D2556" t="inlineStr">
        <is>
          <t>JÄMTLANDS LÄN</t>
        </is>
      </c>
      <c r="E2556" t="inlineStr">
        <is>
          <t>HÄRJEDALEN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3891-2022</t>
        </is>
      </c>
      <c r="B2557" s="1" t="n">
        <v>44587</v>
      </c>
      <c r="C2557" s="1" t="n">
        <v>46045</v>
      </c>
      <c r="D2557" t="inlineStr">
        <is>
          <t>JÄMTLANDS LÄN</t>
        </is>
      </c>
      <c r="E2557" t="inlineStr">
        <is>
          <t>BERG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43844-2021</t>
        </is>
      </c>
      <c r="B2558" s="1" t="n">
        <v>44433</v>
      </c>
      <c r="C2558" s="1" t="n">
        <v>46045</v>
      </c>
      <c r="D2558" t="inlineStr">
        <is>
          <t>JÄMTLANDS LÄN</t>
        </is>
      </c>
      <c r="E2558" t="inlineStr">
        <is>
          <t>STRÖMSUND</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44600-2021</t>
        </is>
      </c>
      <c r="B2559" s="1" t="n">
        <v>44435.94118055556</v>
      </c>
      <c r="C2559" s="1" t="n">
        <v>46045</v>
      </c>
      <c r="D2559" t="inlineStr">
        <is>
          <t>JÄMTLANDS LÄN</t>
        </is>
      </c>
      <c r="E2559" t="inlineStr">
        <is>
          <t>STRÖMSUND</t>
        </is>
      </c>
      <c r="F2559" t="inlineStr">
        <is>
          <t>SCA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24950-2021</t>
        </is>
      </c>
      <c r="B2560" s="1" t="n">
        <v>44341</v>
      </c>
      <c r="C2560" s="1" t="n">
        <v>46045</v>
      </c>
      <c r="D2560" t="inlineStr">
        <is>
          <t>JÄMTLANDS LÄN</t>
        </is>
      </c>
      <c r="E2560" t="inlineStr">
        <is>
          <t>BRÄCKE</t>
        </is>
      </c>
      <c r="F2560" t="inlineStr">
        <is>
          <t>Kyrkan</t>
        </is>
      </c>
      <c r="G2560" t="n">
        <v>15.3</v>
      </c>
      <c r="H2560" t="n">
        <v>0</v>
      </c>
      <c r="I2560" t="n">
        <v>0</v>
      </c>
      <c r="J2560" t="n">
        <v>0</v>
      </c>
      <c r="K2560" t="n">
        <v>0</v>
      </c>
      <c r="L2560" t="n">
        <v>0</v>
      </c>
      <c r="M2560" t="n">
        <v>0</v>
      </c>
      <c r="N2560" t="n">
        <v>0</v>
      </c>
      <c r="O2560" t="n">
        <v>0</v>
      </c>
      <c r="P2560" t="n">
        <v>0</v>
      </c>
      <c r="Q2560" t="n">
        <v>0</v>
      </c>
      <c r="R2560" s="2" t="inlineStr"/>
    </row>
    <row r="2561" ht="15" customHeight="1">
      <c r="A2561" t="inlineStr">
        <is>
          <t>A 47156-2022</t>
        </is>
      </c>
      <c r="B2561" s="1" t="n">
        <v>44852.59005787037</v>
      </c>
      <c r="C2561" s="1" t="n">
        <v>46045</v>
      </c>
      <c r="D2561" t="inlineStr">
        <is>
          <t>JÄMTLANDS LÄN</t>
        </is>
      </c>
      <c r="E2561" t="inlineStr">
        <is>
          <t>STRÖMSUND</t>
        </is>
      </c>
      <c r="F2561" t="inlineStr">
        <is>
          <t>Holmen skog AB</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32531-2021</t>
        </is>
      </c>
      <c r="B2562" s="1" t="n">
        <v>44374.93197916666</v>
      </c>
      <c r="C2562" s="1" t="n">
        <v>46045</v>
      </c>
      <c r="D2562" t="inlineStr">
        <is>
          <t>JÄMTLANDS LÄN</t>
        </is>
      </c>
      <c r="E2562" t="inlineStr">
        <is>
          <t>STRÖMSUND</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8639-2021</t>
        </is>
      </c>
      <c r="B2563" s="1" t="n">
        <v>44245</v>
      </c>
      <c r="C2563" s="1" t="n">
        <v>46045</v>
      </c>
      <c r="D2563" t="inlineStr">
        <is>
          <t>JÄMTLANDS LÄN</t>
        </is>
      </c>
      <c r="E2563" t="inlineStr">
        <is>
          <t>BERG</t>
        </is>
      </c>
      <c r="F2563" t="inlineStr">
        <is>
          <t>Naturvårdsverket</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8668-2021</t>
        </is>
      </c>
      <c r="B2564" s="1" t="n">
        <v>44246</v>
      </c>
      <c r="C2564" s="1" t="n">
        <v>46045</v>
      </c>
      <c r="D2564" t="inlineStr">
        <is>
          <t>JÄMTLANDS LÄN</t>
        </is>
      </c>
      <c r="E2564" t="inlineStr">
        <is>
          <t>ÅRE</t>
        </is>
      </c>
      <c r="G2564" t="n">
        <v>19.5</v>
      </c>
      <c r="H2564" t="n">
        <v>0</v>
      </c>
      <c r="I2564" t="n">
        <v>0</v>
      </c>
      <c r="J2564" t="n">
        <v>0</v>
      </c>
      <c r="K2564" t="n">
        <v>0</v>
      </c>
      <c r="L2564" t="n">
        <v>0</v>
      </c>
      <c r="M2564" t="n">
        <v>0</v>
      </c>
      <c r="N2564" t="n">
        <v>0</v>
      </c>
      <c r="O2564" t="n">
        <v>0</v>
      </c>
      <c r="P2564" t="n">
        <v>0</v>
      </c>
      <c r="Q2564" t="n">
        <v>0</v>
      </c>
      <c r="R2564" s="2" t="inlineStr"/>
    </row>
    <row r="2565" ht="15" customHeight="1">
      <c r="A2565" t="inlineStr">
        <is>
          <t>A 40657-2021</t>
        </is>
      </c>
      <c r="B2565" s="1" t="n">
        <v>44420.56561342593</v>
      </c>
      <c r="C2565" s="1" t="n">
        <v>46045</v>
      </c>
      <c r="D2565" t="inlineStr">
        <is>
          <t>JÄMTLANDS LÄN</t>
        </is>
      </c>
      <c r="E2565" t="inlineStr">
        <is>
          <t>STRÖMSUND</t>
        </is>
      </c>
      <c r="F2565" t="inlineStr">
        <is>
          <t>Holmen skog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46853-2021</t>
        </is>
      </c>
      <c r="B2566" s="1" t="n">
        <v>44446</v>
      </c>
      <c r="C2566" s="1" t="n">
        <v>46045</v>
      </c>
      <c r="D2566" t="inlineStr">
        <is>
          <t>JÄMTLANDS LÄN</t>
        </is>
      </c>
      <c r="E2566" t="inlineStr">
        <is>
          <t>BERG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44453-2022</t>
        </is>
      </c>
      <c r="B2567" s="1" t="n">
        <v>44839.95537037037</v>
      </c>
      <c r="C2567" s="1" t="n">
        <v>46045</v>
      </c>
      <c r="D2567" t="inlineStr">
        <is>
          <t>JÄMTLANDS LÄN</t>
        </is>
      </c>
      <c r="E2567" t="inlineStr">
        <is>
          <t>STRÖMSUND</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1858-2022</t>
        </is>
      </c>
      <c r="B2568" s="1" t="n">
        <v>44574</v>
      </c>
      <c r="C2568" s="1" t="n">
        <v>46045</v>
      </c>
      <c r="D2568" t="inlineStr">
        <is>
          <t>JÄMTLANDS LÄN</t>
        </is>
      </c>
      <c r="E2568" t="inlineStr">
        <is>
          <t>RAGUNDA</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38424-2021</t>
        </is>
      </c>
      <c r="B2569" s="1" t="n">
        <v>44406.93799768519</v>
      </c>
      <c r="C2569" s="1" t="n">
        <v>46045</v>
      </c>
      <c r="D2569" t="inlineStr">
        <is>
          <t>JÄMTLANDS LÄN</t>
        </is>
      </c>
      <c r="E2569" t="inlineStr">
        <is>
          <t>BRÄCKE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48546-2022</t>
        </is>
      </c>
      <c r="B2570" s="1" t="n">
        <v>44858</v>
      </c>
      <c r="C2570" s="1" t="n">
        <v>46045</v>
      </c>
      <c r="D2570" t="inlineStr">
        <is>
          <t>JÄMTLANDS LÄN</t>
        </is>
      </c>
      <c r="E2570" t="inlineStr">
        <is>
          <t>STRÖMSUND</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35749-2022</t>
        </is>
      </c>
      <c r="B2571" s="1" t="n">
        <v>44799.94394675926</v>
      </c>
      <c r="C2571" s="1" t="n">
        <v>46045</v>
      </c>
      <c r="D2571" t="inlineStr">
        <is>
          <t>JÄMTLANDS LÄN</t>
        </is>
      </c>
      <c r="E2571" t="inlineStr">
        <is>
          <t>RAGUNDA</t>
        </is>
      </c>
      <c r="F2571" t="inlineStr">
        <is>
          <t>SCA</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54836-2022</t>
        </is>
      </c>
      <c r="B2572" s="1" t="n">
        <v>44883.94918981481</v>
      </c>
      <c r="C2572" s="1" t="n">
        <v>46045</v>
      </c>
      <c r="D2572" t="inlineStr">
        <is>
          <t>JÄMTLANDS LÄN</t>
        </is>
      </c>
      <c r="E2572" t="inlineStr">
        <is>
          <t>RAGUNDA</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54844-2022</t>
        </is>
      </c>
      <c r="B2573" s="1" t="n">
        <v>44883.95006944444</v>
      </c>
      <c r="C2573" s="1" t="n">
        <v>46045</v>
      </c>
      <c r="D2573" t="inlineStr">
        <is>
          <t>JÄMTLANDS LÄN</t>
        </is>
      </c>
      <c r="E2573" t="inlineStr">
        <is>
          <t>STRÖMSUND</t>
        </is>
      </c>
      <c r="F2573" t="inlineStr">
        <is>
          <t>SCA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40278-2022</t>
        </is>
      </c>
      <c r="B2574" s="1" t="n">
        <v>44820</v>
      </c>
      <c r="C2574" s="1" t="n">
        <v>46045</v>
      </c>
      <c r="D2574" t="inlineStr">
        <is>
          <t>JÄMTLANDS LÄN</t>
        </is>
      </c>
      <c r="E2574" t="inlineStr">
        <is>
          <t>BRÄCKE</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40287-2022</t>
        </is>
      </c>
      <c r="B2575" s="1" t="n">
        <v>44820.94685185186</v>
      </c>
      <c r="C2575" s="1" t="n">
        <v>46045</v>
      </c>
      <c r="D2575" t="inlineStr">
        <is>
          <t>JÄMTLANDS LÄN</t>
        </is>
      </c>
      <c r="E2575" t="inlineStr">
        <is>
          <t>STRÖMSUND</t>
        </is>
      </c>
      <c r="F2575" t="inlineStr">
        <is>
          <t>SCA</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16723-2021</t>
        </is>
      </c>
      <c r="B2576" s="1" t="n">
        <v>44293</v>
      </c>
      <c r="C2576" s="1" t="n">
        <v>46045</v>
      </c>
      <c r="D2576" t="inlineStr">
        <is>
          <t>JÄMTLANDS LÄN</t>
        </is>
      </c>
      <c r="E2576" t="inlineStr">
        <is>
          <t>BRÄCKE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41491-2021</t>
        </is>
      </c>
      <c r="B2577" s="1" t="n">
        <v>44424</v>
      </c>
      <c r="C2577" s="1" t="n">
        <v>46045</v>
      </c>
      <c r="D2577" t="inlineStr">
        <is>
          <t>JÄMTLANDS LÄN</t>
        </is>
      </c>
      <c r="E2577" t="inlineStr">
        <is>
          <t>STRÖMSUND</t>
        </is>
      </c>
      <c r="F2577" t="inlineStr">
        <is>
          <t>SCA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9957-2022</t>
        </is>
      </c>
      <c r="B2578" s="1" t="n">
        <v>44620</v>
      </c>
      <c r="C2578" s="1" t="n">
        <v>46045</v>
      </c>
      <c r="D2578" t="inlineStr">
        <is>
          <t>JÄMTLANDS LÄN</t>
        </is>
      </c>
      <c r="E2578" t="inlineStr">
        <is>
          <t>STRÖMSUND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52801-2022</t>
        </is>
      </c>
      <c r="B2579" s="1" t="n">
        <v>44875.41104166667</v>
      </c>
      <c r="C2579" s="1" t="n">
        <v>46045</v>
      </c>
      <c r="D2579" t="inlineStr">
        <is>
          <t>JÄMTLANDS LÄN</t>
        </is>
      </c>
      <c r="E2579" t="inlineStr">
        <is>
          <t>KROKOM</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37711-2022</t>
        </is>
      </c>
      <c r="B2580" s="1" t="n">
        <v>44810.54903935185</v>
      </c>
      <c r="C2580" s="1" t="n">
        <v>46045</v>
      </c>
      <c r="D2580" t="inlineStr">
        <is>
          <t>JÄMTLANDS LÄN</t>
        </is>
      </c>
      <c r="E2580" t="inlineStr">
        <is>
          <t>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71493-2021</t>
        </is>
      </c>
      <c r="B2581" s="1" t="n">
        <v>44540.56034722222</v>
      </c>
      <c r="C2581" s="1" t="n">
        <v>46045</v>
      </c>
      <c r="D2581" t="inlineStr">
        <is>
          <t>JÄMTLANDS LÄN</t>
        </is>
      </c>
      <c r="E2581" t="inlineStr">
        <is>
          <t>HÄRJEDALEN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3165-2022</t>
        </is>
      </c>
      <c r="B2582" s="1" t="n">
        <v>44582</v>
      </c>
      <c r="C2582" s="1" t="n">
        <v>46045</v>
      </c>
      <c r="D2582" t="inlineStr">
        <is>
          <t>JÄMTLANDS LÄN</t>
        </is>
      </c>
      <c r="E2582" t="inlineStr">
        <is>
          <t>STRÖMSUND</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52852-2022</t>
        </is>
      </c>
      <c r="B2583" s="1" t="n">
        <v>44872</v>
      </c>
      <c r="C2583" s="1" t="n">
        <v>46045</v>
      </c>
      <c r="D2583" t="inlineStr">
        <is>
          <t>JÄMTLANDS LÄN</t>
        </is>
      </c>
      <c r="E2583" t="inlineStr">
        <is>
          <t>HÄRJEDALEN</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54809-2021</t>
        </is>
      </c>
      <c r="B2584" s="1" t="n">
        <v>44473.94386574074</v>
      </c>
      <c r="C2584" s="1" t="n">
        <v>46045</v>
      </c>
      <c r="D2584" t="inlineStr">
        <is>
          <t>JÄMTLANDS LÄN</t>
        </is>
      </c>
      <c r="E2584" t="inlineStr">
        <is>
          <t>BRÄCKE</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46507-2022</t>
        </is>
      </c>
      <c r="B2585" s="1" t="n">
        <v>44848</v>
      </c>
      <c r="C2585" s="1" t="n">
        <v>46045</v>
      </c>
      <c r="D2585" t="inlineStr">
        <is>
          <t>JÄMTLANDS LÄN</t>
        </is>
      </c>
      <c r="E2585" t="inlineStr">
        <is>
          <t>KROKOM</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2230-2022</t>
        </is>
      </c>
      <c r="B2586" s="1" t="n">
        <v>44578</v>
      </c>
      <c r="C2586" s="1" t="n">
        <v>46045</v>
      </c>
      <c r="D2586" t="inlineStr">
        <is>
          <t>JÄMTLANDS LÄN</t>
        </is>
      </c>
      <c r="E2586" t="inlineStr">
        <is>
          <t>ÅRE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58984-2021</t>
        </is>
      </c>
      <c r="B2587" s="1" t="n">
        <v>44489.94711805556</v>
      </c>
      <c r="C2587" s="1" t="n">
        <v>46045</v>
      </c>
      <c r="D2587" t="inlineStr">
        <is>
          <t>JÄMTLANDS LÄN</t>
        </is>
      </c>
      <c r="E2587" t="inlineStr">
        <is>
          <t>RAGUNDA</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10249-2022</t>
        </is>
      </c>
      <c r="B2588" s="1" t="n">
        <v>44622.59777777778</v>
      </c>
      <c r="C2588" s="1" t="n">
        <v>46045</v>
      </c>
      <c r="D2588" t="inlineStr">
        <is>
          <t>JÄMTLANDS LÄN</t>
        </is>
      </c>
      <c r="E2588" t="inlineStr">
        <is>
          <t>STRÖMSUND</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46913-2022</t>
        </is>
      </c>
      <c r="B2589" s="1" t="n">
        <v>44851</v>
      </c>
      <c r="C2589" s="1" t="n">
        <v>46045</v>
      </c>
      <c r="D2589" t="inlineStr">
        <is>
          <t>JÄMTLANDS LÄN</t>
        </is>
      </c>
      <c r="E2589" t="inlineStr">
        <is>
          <t>ÖSTERSUND</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4455-2022</t>
        </is>
      </c>
      <c r="B2590" s="1" t="n">
        <v>44589</v>
      </c>
      <c r="C2590" s="1" t="n">
        <v>46045</v>
      </c>
      <c r="D2590" t="inlineStr">
        <is>
          <t>JÄMTLANDS LÄN</t>
        </is>
      </c>
      <c r="E2590" t="inlineStr">
        <is>
          <t>STRÖMSUND</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40978-2022</t>
        </is>
      </c>
      <c r="B2591" s="1" t="n">
        <v>44823</v>
      </c>
      <c r="C2591" s="1" t="n">
        <v>46045</v>
      </c>
      <c r="D2591" t="inlineStr">
        <is>
          <t>JÄMTLANDS LÄN</t>
        </is>
      </c>
      <c r="E2591" t="inlineStr">
        <is>
          <t>RAGUNDA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10136-2022</t>
        </is>
      </c>
      <c r="B2592" s="1" t="n">
        <v>44621</v>
      </c>
      <c r="C2592" s="1" t="n">
        <v>46045</v>
      </c>
      <c r="D2592" t="inlineStr">
        <is>
          <t>JÄMTLANDS LÄN</t>
        </is>
      </c>
      <c r="E2592" t="inlineStr">
        <is>
          <t>STRÖMSUND</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55900-2022</t>
        </is>
      </c>
      <c r="B2593" s="1" t="n">
        <v>44888.95368055555</v>
      </c>
      <c r="C2593" s="1" t="n">
        <v>46045</v>
      </c>
      <c r="D2593" t="inlineStr">
        <is>
          <t>JÄMTLANDS LÄN</t>
        </is>
      </c>
      <c r="E2593" t="inlineStr">
        <is>
          <t>BRÄCKE</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27483-2022</t>
        </is>
      </c>
      <c r="B2594" s="1" t="n">
        <v>44742</v>
      </c>
      <c r="C2594" s="1" t="n">
        <v>46045</v>
      </c>
      <c r="D2594" t="inlineStr">
        <is>
          <t>JÄMTLANDS LÄN</t>
        </is>
      </c>
      <c r="E2594" t="inlineStr">
        <is>
          <t>HÄRJEDALEN</t>
        </is>
      </c>
      <c r="F2594" t="inlineStr">
        <is>
          <t>Holmen skog AB</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20304-2022</t>
        </is>
      </c>
      <c r="B2595" s="1" t="n">
        <v>44698.94268518518</v>
      </c>
      <c r="C2595" s="1" t="n">
        <v>46045</v>
      </c>
      <c r="D2595" t="inlineStr">
        <is>
          <t>JÄMTLANDS LÄN</t>
        </is>
      </c>
      <c r="E2595" t="inlineStr">
        <is>
          <t>BERG</t>
        </is>
      </c>
      <c r="F2595" t="inlineStr">
        <is>
          <t>SCA</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20334-2022</t>
        </is>
      </c>
      <c r="B2596" s="1" t="n">
        <v>44699</v>
      </c>
      <c r="C2596" s="1" t="n">
        <v>46045</v>
      </c>
      <c r="D2596" t="inlineStr">
        <is>
          <t>JÄMTLANDS LÄN</t>
        </is>
      </c>
      <c r="E2596" t="inlineStr">
        <is>
          <t>STRÖMSUND</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24612-2022</t>
        </is>
      </c>
      <c r="B2597" s="1" t="n">
        <v>44727</v>
      </c>
      <c r="C2597" s="1" t="n">
        <v>46045</v>
      </c>
      <c r="D2597" t="inlineStr">
        <is>
          <t>JÄMTLANDS LÄN</t>
        </is>
      </c>
      <c r="E2597" t="inlineStr">
        <is>
          <t>KROKOM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24741-2022</t>
        </is>
      </c>
      <c r="B2598" s="1" t="n">
        <v>44727</v>
      </c>
      <c r="C2598" s="1" t="n">
        <v>46045</v>
      </c>
      <c r="D2598" t="inlineStr">
        <is>
          <t>JÄMTLANDS LÄN</t>
        </is>
      </c>
      <c r="E2598" t="inlineStr">
        <is>
          <t>RAGUNDA</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30490-2022</t>
        </is>
      </c>
      <c r="B2599" s="1" t="n">
        <v>44761</v>
      </c>
      <c r="C2599" s="1" t="n">
        <v>46045</v>
      </c>
      <c r="D2599" t="inlineStr">
        <is>
          <t>JÄMTLANDS LÄN</t>
        </is>
      </c>
      <c r="E2599" t="inlineStr">
        <is>
          <t>BRÄCKE</t>
        </is>
      </c>
      <c r="F2599" t="inlineStr">
        <is>
          <t>SCA</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28285-2022</t>
        </is>
      </c>
      <c r="B2600" s="1" t="n">
        <v>44746</v>
      </c>
      <c r="C2600" s="1" t="n">
        <v>46045</v>
      </c>
      <c r="D2600" t="inlineStr">
        <is>
          <t>JÄMTLANDS LÄN</t>
        </is>
      </c>
      <c r="E2600" t="inlineStr">
        <is>
          <t>BRÄCKE</t>
        </is>
      </c>
      <c r="F2600" t="inlineStr">
        <is>
          <t>SCA</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48536-2022</t>
        </is>
      </c>
      <c r="B2601" s="1" t="n">
        <v>44858</v>
      </c>
      <c r="C2601" s="1" t="n">
        <v>46045</v>
      </c>
      <c r="D2601" t="inlineStr">
        <is>
          <t>JÄMTLANDS LÄN</t>
        </is>
      </c>
      <c r="E2601" t="inlineStr">
        <is>
          <t>RAGUNDA</t>
        </is>
      </c>
      <c r="F2601" t="inlineStr">
        <is>
          <t>SCA</t>
        </is>
      </c>
      <c r="G2601" t="n">
        <v>9.5</v>
      </c>
      <c r="H2601" t="n">
        <v>0</v>
      </c>
      <c r="I2601" t="n">
        <v>0</v>
      </c>
      <c r="J2601" t="n">
        <v>0</v>
      </c>
      <c r="K2601" t="n">
        <v>0</v>
      </c>
      <c r="L2601" t="n">
        <v>0</v>
      </c>
      <c r="M2601" t="n">
        <v>0</v>
      </c>
      <c r="N2601" t="n">
        <v>0</v>
      </c>
      <c r="O2601" t="n">
        <v>0</v>
      </c>
      <c r="P2601" t="n">
        <v>0</v>
      </c>
      <c r="Q2601" t="n">
        <v>0</v>
      </c>
      <c r="R2601" s="2" t="inlineStr"/>
    </row>
    <row r="2602" ht="15" customHeight="1">
      <c r="A2602" t="inlineStr">
        <is>
          <t>A 32994-2021</t>
        </is>
      </c>
      <c r="B2602" s="1" t="n">
        <v>44375</v>
      </c>
      <c r="C2602" s="1" t="n">
        <v>46045</v>
      </c>
      <c r="D2602" t="inlineStr">
        <is>
          <t>JÄMTLANDS LÄN</t>
        </is>
      </c>
      <c r="E2602" t="inlineStr">
        <is>
          <t>ÖSTERSUND</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41613-2021</t>
        </is>
      </c>
      <c r="B2603" s="1" t="n">
        <v>44425</v>
      </c>
      <c r="C2603" s="1" t="n">
        <v>46045</v>
      </c>
      <c r="D2603" t="inlineStr">
        <is>
          <t>JÄMTLANDS LÄN</t>
        </is>
      </c>
      <c r="E2603" t="inlineStr">
        <is>
          <t>RAGUNDA</t>
        </is>
      </c>
      <c r="F2603" t="inlineStr">
        <is>
          <t>Kommuner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56091-2022</t>
        </is>
      </c>
      <c r="B2604" s="1" t="n">
        <v>44889.63935185185</v>
      </c>
      <c r="C2604" s="1" t="n">
        <v>46045</v>
      </c>
      <c r="D2604" t="inlineStr">
        <is>
          <t>JÄMTLANDS LÄN</t>
        </is>
      </c>
      <c r="E2604" t="inlineStr">
        <is>
          <t>STRÖMSUND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21629-2021</t>
        </is>
      </c>
      <c r="B2605" s="1" t="n">
        <v>44321</v>
      </c>
      <c r="C2605" s="1" t="n">
        <v>46045</v>
      </c>
      <c r="D2605" t="inlineStr">
        <is>
          <t>JÄMTLANDS LÄN</t>
        </is>
      </c>
      <c r="E2605" t="inlineStr">
        <is>
          <t>BERG</t>
        </is>
      </c>
      <c r="G2605" t="n">
        <v>15.9</v>
      </c>
      <c r="H2605" t="n">
        <v>0</v>
      </c>
      <c r="I2605" t="n">
        <v>0</v>
      </c>
      <c r="J2605" t="n">
        <v>0</v>
      </c>
      <c r="K2605" t="n">
        <v>0</v>
      </c>
      <c r="L2605" t="n">
        <v>0</v>
      </c>
      <c r="M2605" t="n">
        <v>0</v>
      </c>
      <c r="N2605" t="n">
        <v>0</v>
      </c>
      <c r="O2605" t="n">
        <v>0</v>
      </c>
      <c r="P2605" t="n">
        <v>0</v>
      </c>
      <c r="Q2605" t="n">
        <v>0</v>
      </c>
      <c r="R2605" s="2" t="inlineStr"/>
    </row>
    <row r="2606" ht="15" customHeight="1">
      <c r="A2606" t="inlineStr">
        <is>
          <t>A 21654-2022</t>
        </is>
      </c>
      <c r="B2606" s="1" t="n">
        <v>44706.94207175926</v>
      </c>
      <c r="C2606" s="1" t="n">
        <v>46045</v>
      </c>
      <c r="D2606" t="inlineStr">
        <is>
          <t>JÄMTLANDS LÄN</t>
        </is>
      </c>
      <c r="E2606" t="inlineStr">
        <is>
          <t>BRÄCKE</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21656-2022</t>
        </is>
      </c>
      <c r="B2607" s="1" t="n">
        <v>44706.9421875</v>
      </c>
      <c r="C2607" s="1" t="n">
        <v>46045</v>
      </c>
      <c r="D2607" t="inlineStr">
        <is>
          <t>JÄMTLANDS LÄN</t>
        </is>
      </c>
      <c r="E2607" t="inlineStr">
        <is>
          <t>BRÄCKE</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57547-2021</t>
        </is>
      </c>
      <c r="B2608" s="1" t="n">
        <v>44483.94194444444</v>
      </c>
      <c r="C2608" s="1" t="n">
        <v>46045</v>
      </c>
      <c r="D2608" t="inlineStr">
        <is>
          <t>JÄMTLANDS LÄN</t>
        </is>
      </c>
      <c r="E2608" t="inlineStr">
        <is>
          <t>STRÖMSUND</t>
        </is>
      </c>
      <c r="F2608" t="inlineStr">
        <is>
          <t>SCA</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26750-2022</t>
        </is>
      </c>
      <c r="B2609" s="1" t="n">
        <v>44739.94125</v>
      </c>
      <c r="C2609" s="1" t="n">
        <v>46045</v>
      </c>
      <c r="D2609" t="inlineStr">
        <is>
          <t>JÄMTLANDS LÄN</t>
        </is>
      </c>
      <c r="E2609" t="inlineStr">
        <is>
          <t>BRÄCKE</t>
        </is>
      </c>
      <c r="F2609" t="inlineStr">
        <is>
          <t>SCA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52806-2022</t>
        </is>
      </c>
      <c r="B2610" s="1" t="n">
        <v>44872</v>
      </c>
      <c r="C2610" s="1" t="n">
        <v>46045</v>
      </c>
      <c r="D2610" t="inlineStr">
        <is>
          <t>JÄMTLANDS LÄN</t>
        </is>
      </c>
      <c r="E2610" t="inlineStr">
        <is>
          <t>STRÖMSUND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68854-2021</t>
        </is>
      </c>
      <c r="B2611" s="1" t="n">
        <v>44530</v>
      </c>
      <c r="C2611" s="1" t="n">
        <v>46045</v>
      </c>
      <c r="D2611" t="inlineStr">
        <is>
          <t>JÄMTLANDS LÄN</t>
        </is>
      </c>
      <c r="E2611" t="inlineStr">
        <is>
          <t>BERG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68858-2021</t>
        </is>
      </c>
      <c r="B2612" s="1" t="n">
        <v>44530.40607638889</v>
      </c>
      <c r="C2612" s="1" t="n">
        <v>46045</v>
      </c>
      <c r="D2612" t="inlineStr">
        <is>
          <t>JÄMTLANDS LÄN</t>
        </is>
      </c>
      <c r="E2612" t="inlineStr">
        <is>
          <t>HÄRJEDALEN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21610-2022</t>
        </is>
      </c>
      <c r="B2613" s="1" t="n">
        <v>44706.66417824074</v>
      </c>
      <c r="C2613" s="1" t="n">
        <v>46045</v>
      </c>
      <c r="D2613" t="inlineStr">
        <is>
          <t>JÄMTLANDS LÄN</t>
        </is>
      </c>
      <c r="E2613" t="inlineStr">
        <is>
          <t>HÄRJEDALEN</t>
        </is>
      </c>
      <c r="F2613" t="inlineStr">
        <is>
          <t>Holmen skog AB</t>
        </is>
      </c>
      <c r="G2613" t="n">
        <v>15.3</v>
      </c>
      <c r="H2613" t="n">
        <v>0</v>
      </c>
      <c r="I2613" t="n">
        <v>0</v>
      </c>
      <c r="J2613" t="n">
        <v>0</v>
      </c>
      <c r="K2613" t="n">
        <v>0</v>
      </c>
      <c r="L2613" t="n">
        <v>0</v>
      </c>
      <c r="M2613" t="n">
        <v>0</v>
      </c>
      <c r="N2613" t="n">
        <v>0</v>
      </c>
      <c r="O2613" t="n">
        <v>0</v>
      </c>
      <c r="P2613" t="n">
        <v>0</v>
      </c>
      <c r="Q2613" t="n">
        <v>0</v>
      </c>
      <c r="R2613" s="2" t="inlineStr"/>
    </row>
    <row r="2614" ht="15" customHeight="1">
      <c r="A2614" t="inlineStr">
        <is>
          <t>A 73288-2021</t>
        </is>
      </c>
      <c r="B2614" s="1" t="n">
        <v>44550</v>
      </c>
      <c r="C2614" s="1" t="n">
        <v>46045</v>
      </c>
      <c r="D2614" t="inlineStr">
        <is>
          <t>JÄMTLANDS LÄN</t>
        </is>
      </c>
      <c r="E2614" t="inlineStr">
        <is>
          <t>STRÖMSUND</t>
        </is>
      </c>
      <c r="F2614" t="inlineStr">
        <is>
          <t>SCA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55250-2021</t>
        </is>
      </c>
      <c r="B2615" s="1" t="n">
        <v>44475</v>
      </c>
      <c r="C2615" s="1" t="n">
        <v>46045</v>
      </c>
      <c r="D2615" t="inlineStr">
        <is>
          <t>JÄMTLANDS LÄN</t>
        </is>
      </c>
      <c r="E2615" t="inlineStr">
        <is>
          <t>HÄRJEDALEN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36249-2022</t>
        </is>
      </c>
      <c r="B2616" s="1" t="n">
        <v>44803</v>
      </c>
      <c r="C2616" s="1" t="n">
        <v>46045</v>
      </c>
      <c r="D2616" t="inlineStr">
        <is>
          <t>JÄMTLANDS LÄN</t>
        </is>
      </c>
      <c r="E2616" t="inlineStr">
        <is>
          <t>HÄRJEDALEN</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25018-2022</t>
        </is>
      </c>
      <c r="B2617" s="1" t="n">
        <v>44728</v>
      </c>
      <c r="C2617" s="1" t="n">
        <v>46045</v>
      </c>
      <c r="D2617" t="inlineStr">
        <is>
          <t>JÄMTLANDS LÄN</t>
        </is>
      </c>
      <c r="E2617" t="inlineStr">
        <is>
          <t>STRÖMSUND</t>
        </is>
      </c>
      <c r="F2617" t="inlineStr">
        <is>
          <t>SCA</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25027-2022</t>
        </is>
      </c>
      <c r="B2618" s="1" t="n">
        <v>44728.94392361111</v>
      </c>
      <c r="C2618" s="1" t="n">
        <v>46045</v>
      </c>
      <c r="D2618" t="inlineStr">
        <is>
          <t>JÄMTLANDS LÄN</t>
        </is>
      </c>
      <c r="E2618" t="inlineStr">
        <is>
          <t>RAGUNDA</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29409-2021</t>
        </is>
      </c>
      <c r="B2619" s="1" t="n">
        <v>44361.55445601852</v>
      </c>
      <c r="C2619" s="1" t="n">
        <v>46045</v>
      </c>
      <c r="D2619" t="inlineStr">
        <is>
          <t>JÄMTLANDS LÄN</t>
        </is>
      </c>
      <c r="E2619" t="inlineStr">
        <is>
          <t>RAGUNDA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43459-2022</t>
        </is>
      </c>
      <c r="B2620" s="1" t="n">
        <v>44835.95378472222</v>
      </c>
      <c r="C2620" s="1" t="n">
        <v>46045</v>
      </c>
      <c r="D2620" t="inlineStr">
        <is>
          <t>JÄMTLANDS LÄN</t>
        </is>
      </c>
      <c r="E2620" t="inlineStr">
        <is>
          <t>STRÖMSUND</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34890-2022</t>
        </is>
      </c>
      <c r="B2621" s="1" t="n">
        <v>44796.53650462963</v>
      </c>
      <c r="C2621" s="1" t="n">
        <v>46045</v>
      </c>
      <c r="D2621" t="inlineStr">
        <is>
          <t>JÄMTLANDS LÄN</t>
        </is>
      </c>
      <c r="E2621" t="inlineStr">
        <is>
          <t>STRÖMSUND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28597-2021</t>
        </is>
      </c>
      <c r="B2622" s="1" t="n">
        <v>44356.91935185185</v>
      </c>
      <c r="C2622" s="1" t="n">
        <v>46045</v>
      </c>
      <c r="D2622" t="inlineStr">
        <is>
          <t>JÄMTLANDS LÄN</t>
        </is>
      </c>
      <c r="E2622" t="inlineStr">
        <is>
          <t>RAGUNDA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33424-2021</t>
        </is>
      </c>
      <c r="B2623" s="1" t="n">
        <v>44377</v>
      </c>
      <c r="C2623" s="1" t="n">
        <v>46045</v>
      </c>
      <c r="D2623" t="inlineStr">
        <is>
          <t>JÄMTLANDS LÄN</t>
        </is>
      </c>
      <c r="E2623" t="inlineStr">
        <is>
          <t>HÄRJEDALEN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15594-2021</t>
        </is>
      </c>
      <c r="B2624" s="1" t="n">
        <v>44285</v>
      </c>
      <c r="C2624" s="1" t="n">
        <v>46045</v>
      </c>
      <c r="D2624" t="inlineStr">
        <is>
          <t>JÄMTLANDS LÄN</t>
        </is>
      </c>
      <c r="E2624" t="inlineStr">
        <is>
          <t>HÄRJEDALEN</t>
        </is>
      </c>
      <c r="G2624" t="n">
        <v>28.5</v>
      </c>
      <c r="H2624" t="n">
        <v>0</v>
      </c>
      <c r="I2624" t="n">
        <v>0</v>
      </c>
      <c r="J2624" t="n">
        <v>0</v>
      </c>
      <c r="K2624" t="n">
        <v>0</v>
      </c>
      <c r="L2624" t="n">
        <v>0</v>
      </c>
      <c r="M2624" t="n">
        <v>0</v>
      </c>
      <c r="N2624" t="n">
        <v>0</v>
      </c>
      <c r="O2624" t="n">
        <v>0</v>
      </c>
      <c r="P2624" t="n">
        <v>0</v>
      </c>
      <c r="Q2624" t="n">
        <v>0</v>
      </c>
      <c r="R2624" s="2" t="inlineStr"/>
    </row>
    <row r="2625" ht="15" customHeight="1">
      <c r="A2625" t="inlineStr">
        <is>
          <t>A 15455-2021</t>
        </is>
      </c>
      <c r="B2625" s="1" t="n">
        <v>44285</v>
      </c>
      <c r="C2625" s="1" t="n">
        <v>46045</v>
      </c>
      <c r="D2625" t="inlineStr">
        <is>
          <t>JÄMTLANDS LÄN</t>
        </is>
      </c>
      <c r="E2625" t="inlineStr">
        <is>
          <t>KROKOM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22611-2022</t>
        </is>
      </c>
      <c r="B2626" s="1" t="n">
        <v>44714</v>
      </c>
      <c r="C2626" s="1" t="n">
        <v>46045</v>
      </c>
      <c r="D2626" t="inlineStr">
        <is>
          <t>JÄMTLANDS LÄN</t>
        </is>
      </c>
      <c r="E2626" t="inlineStr">
        <is>
          <t>KROKOM</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35971-2022</t>
        </is>
      </c>
      <c r="B2627" s="1" t="n">
        <v>44802</v>
      </c>
      <c r="C2627" s="1" t="n">
        <v>46045</v>
      </c>
      <c r="D2627" t="inlineStr">
        <is>
          <t>JÄMTLANDS LÄN</t>
        </is>
      </c>
      <c r="E2627" t="inlineStr">
        <is>
          <t>STRÖMSUND</t>
        </is>
      </c>
      <c r="F2627" t="inlineStr">
        <is>
          <t>Sveaskog</t>
        </is>
      </c>
      <c r="G2627" t="n">
        <v>17.2</v>
      </c>
      <c r="H2627" t="n">
        <v>0</v>
      </c>
      <c r="I2627" t="n">
        <v>0</v>
      </c>
      <c r="J2627" t="n">
        <v>0</v>
      </c>
      <c r="K2627" t="n">
        <v>0</v>
      </c>
      <c r="L2627" t="n">
        <v>0</v>
      </c>
      <c r="M2627" t="n">
        <v>0</v>
      </c>
      <c r="N2627" t="n">
        <v>0</v>
      </c>
      <c r="O2627" t="n">
        <v>0</v>
      </c>
      <c r="P2627" t="n">
        <v>0</v>
      </c>
      <c r="Q2627" t="n">
        <v>0</v>
      </c>
      <c r="R2627" s="2" t="inlineStr"/>
    </row>
    <row r="2628" ht="15" customHeight="1">
      <c r="A2628" t="inlineStr">
        <is>
          <t>A 46506-2022</t>
        </is>
      </c>
      <c r="B2628" s="1" t="n">
        <v>44848</v>
      </c>
      <c r="C2628" s="1" t="n">
        <v>46045</v>
      </c>
      <c r="D2628" t="inlineStr">
        <is>
          <t>JÄMTLANDS LÄN</t>
        </is>
      </c>
      <c r="E2628" t="inlineStr">
        <is>
          <t>KROKOM</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47257-2022</t>
        </is>
      </c>
      <c r="B2629" s="1" t="n">
        <v>44852</v>
      </c>
      <c r="C2629" s="1" t="n">
        <v>46045</v>
      </c>
      <c r="D2629" t="inlineStr">
        <is>
          <t>JÄMTLANDS LÄN</t>
        </is>
      </c>
      <c r="E2629" t="inlineStr">
        <is>
          <t>BRÄCKE</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33333-2021</t>
        </is>
      </c>
      <c r="B2630" s="1" t="n">
        <v>44377</v>
      </c>
      <c r="C2630" s="1" t="n">
        <v>46045</v>
      </c>
      <c r="D2630" t="inlineStr">
        <is>
          <t>JÄMTLANDS LÄN</t>
        </is>
      </c>
      <c r="E2630" t="inlineStr">
        <is>
          <t>KROKOM</t>
        </is>
      </c>
      <c r="F2630" t="inlineStr">
        <is>
          <t>Övriga Aktiebolag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37641-2021</t>
        </is>
      </c>
      <c r="B2631" s="1" t="n">
        <v>44400.37204861111</v>
      </c>
      <c r="C2631" s="1" t="n">
        <v>46045</v>
      </c>
      <c r="D2631" t="inlineStr">
        <is>
          <t>JÄMTLANDS LÄN</t>
        </is>
      </c>
      <c r="E2631" t="inlineStr">
        <is>
          <t>KROKOM</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14653-2022</t>
        </is>
      </c>
      <c r="B2632" s="1" t="n">
        <v>44655.69303240741</v>
      </c>
      <c r="C2632" s="1" t="n">
        <v>46045</v>
      </c>
      <c r="D2632" t="inlineStr">
        <is>
          <t>JÄMTLANDS LÄN</t>
        </is>
      </c>
      <c r="E2632" t="inlineStr">
        <is>
          <t>ÖSTERSUND</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71649-2021</t>
        </is>
      </c>
      <c r="B2633" s="1" t="n">
        <v>44538</v>
      </c>
      <c r="C2633" s="1" t="n">
        <v>46045</v>
      </c>
      <c r="D2633" t="inlineStr">
        <is>
          <t>JÄMTLANDS LÄN</t>
        </is>
      </c>
      <c r="E2633" t="inlineStr">
        <is>
          <t>HÄRJEDALEN</t>
        </is>
      </c>
      <c r="F2633" t="inlineStr">
        <is>
          <t>Övriga statliga verk och myndigheter</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26945-2021</t>
        </is>
      </c>
      <c r="B2634" s="1" t="n">
        <v>44349.91995370371</v>
      </c>
      <c r="C2634" s="1" t="n">
        <v>46045</v>
      </c>
      <c r="D2634" t="inlineStr">
        <is>
          <t>JÄMTLANDS LÄN</t>
        </is>
      </c>
      <c r="E2634" t="inlineStr">
        <is>
          <t>RAGUNDA</t>
        </is>
      </c>
      <c r="G2634" t="n">
        <v>9.300000000000001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25031-2022</t>
        </is>
      </c>
      <c r="B2635" s="1" t="n">
        <v>44728.94420138889</v>
      </c>
      <c r="C2635" s="1" t="n">
        <v>46045</v>
      </c>
      <c r="D2635" t="inlineStr">
        <is>
          <t>JÄMTLANDS LÄN</t>
        </is>
      </c>
      <c r="E2635" t="inlineStr">
        <is>
          <t>KROKOM</t>
        </is>
      </c>
      <c r="F2635" t="inlineStr">
        <is>
          <t>SCA</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48106-2024</t>
        </is>
      </c>
      <c r="B2636" s="1" t="n">
        <v>45589.62625</v>
      </c>
      <c r="C2636" s="1" t="n">
        <v>46045</v>
      </c>
      <c r="D2636" t="inlineStr">
        <is>
          <t>JÄMTLANDS LÄN</t>
        </is>
      </c>
      <c r="E2636" t="inlineStr">
        <is>
          <t>ÖSTERSUND</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48192-2024</t>
        </is>
      </c>
      <c r="B2637" s="1" t="n">
        <v>45590</v>
      </c>
      <c r="C2637" s="1" t="n">
        <v>46045</v>
      </c>
      <c r="D2637" t="inlineStr">
        <is>
          <t>JÄMTLANDS LÄN</t>
        </is>
      </c>
      <c r="E2637" t="inlineStr">
        <is>
          <t>RAGUNDA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47290-2022</t>
        </is>
      </c>
      <c r="B2638" s="1" t="n">
        <v>44852</v>
      </c>
      <c r="C2638" s="1" t="n">
        <v>46045</v>
      </c>
      <c r="D2638" t="inlineStr">
        <is>
          <t>JÄMTLANDS LÄN</t>
        </is>
      </c>
      <c r="E2638" t="inlineStr">
        <is>
          <t>STRÖMSUND</t>
        </is>
      </c>
      <c r="F2638" t="inlineStr">
        <is>
          <t>SCA</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3628-2024</t>
        </is>
      </c>
      <c r="B2639" s="1" t="n">
        <v>45320.95340277778</v>
      </c>
      <c r="C2639" s="1" t="n">
        <v>46045</v>
      </c>
      <c r="D2639" t="inlineStr">
        <is>
          <t>JÄMTLANDS LÄN</t>
        </is>
      </c>
      <c r="E2639" t="inlineStr">
        <is>
          <t>STRÖMSUND</t>
        </is>
      </c>
      <c r="F2639" t="inlineStr">
        <is>
          <t>SCA</t>
        </is>
      </c>
      <c r="G2639" t="n">
        <v>8.699999999999999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12198-2022</t>
        </is>
      </c>
      <c r="B2640" s="1" t="n">
        <v>44636.94222222222</v>
      </c>
      <c r="C2640" s="1" t="n">
        <v>46045</v>
      </c>
      <c r="D2640" t="inlineStr">
        <is>
          <t>JÄMTLANDS LÄN</t>
        </is>
      </c>
      <c r="E2640" t="inlineStr">
        <is>
          <t>STRÖMSUND</t>
        </is>
      </c>
      <c r="F2640" t="inlineStr">
        <is>
          <t>SCA</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42832-2021</t>
        </is>
      </c>
      <c r="B2641" s="1" t="n">
        <v>44430</v>
      </c>
      <c r="C2641" s="1" t="n">
        <v>46045</v>
      </c>
      <c r="D2641" t="inlineStr">
        <is>
          <t>JÄMTLANDS LÄN</t>
        </is>
      </c>
      <c r="E2641" t="inlineStr">
        <is>
          <t>ÖSTERSUND</t>
        </is>
      </c>
      <c r="G2641" t="n">
        <v>9</v>
      </c>
      <c r="H2641" t="n">
        <v>0</v>
      </c>
      <c r="I2641" t="n">
        <v>0</v>
      </c>
      <c r="J2641" t="n">
        <v>0</v>
      </c>
      <c r="K2641" t="n">
        <v>0</v>
      </c>
      <c r="L2641" t="n">
        <v>0</v>
      </c>
      <c r="M2641" t="n">
        <v>0</v>
      </c>
      <c r="N2641" t="n">
        <v>0</v>
      </c>
      <c r="O2641" t="n">
        <v>0</v>
      </c>
      <c r="P2641" t="n">
        <v>0</v>
      </c>
      <c r="Q2641" t="n">
        <v>0</v>
      </c>
      <c r="R2641" s="2" t="inlineStr"/>
    </row>
    <row r="2642" ht="15" customHeight="1">
      <c r="A2642" t="inlineStr">
        <is>
          <t>A 5145-2022</t>
        </is>
      </c>
      <c r="B2642" s="1" t="n">
        <v>44594</v>
      </c>
      <c r="C2642" s="1" t="n">
        <v>46045</v>
      </c>
      <c r="D2642" t="inlineStr">
        <is>
          <t>JÄMTLANDS LÄN</t>
        </is>
      </c>
      <c r="E2642" t="inlineStr">
        <is>
          <t>ÖSTERSUND</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10120-2022</t>
        </is>
      </c>
      <c r="B2643" s="1" t="n">
        <v>44621</v>
      </c>
      <c r="C2643" s="1" t="n">
        <v>46045</v>
      </c>
      <c r="D2643" t="inlineStr">
        <is>
          <t>JÄMTLANDS LÄN</t>
        </is>
      </c>
      <c r="E2643" t="inlineStr">
        <is>
          <t>RAGUNDA</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36941-2022</t>
        </is>
      </c>
      <c r="B2644" s="1" t="n">
        <v>44805</v>
      </c>
      <c r="C2644" s="1" t="n">
        <v>46045</v>
      </c>
      <c r="D2644" t="inlineStr">
        <is>
          <t>JÄMTLANDS LÄN</t>
        </is>
      </c>
      <c r="E2644" t="inlineStr">
        <is>
          <t>RAGUNDA</t>
        </is>
      </c>
      <c r="F2644" t="inlineStr">
        <is>
          <t>SCA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20548-2021</t>
        </is>
      </c>
      <c r="B2645" s="1" t="n">
        <v>44315</v>
      </c>
      <c r="C2645" s="1" t="n">
        <v>46045</v>
      </c>
      <c r="D2645" t="inlineStr">
        <is>
          <t>JÄMTLANDS LÄN</t>
        </is>
      </c>
      <c r="E2645" t="inlineStr">
        <is>
          <t>RAGUNDA</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10536-2022</t>
        </is>
      </c>
      <c r="B2646" s="1" t="n">
        <v>44623.92185185185</v>
      </c>
      <c r="C2646" s="1" t="n">
        <v>46045</v>
      </c>
      <c r="D2646" t="inlineStr">
        <is>
          <t>JÄMTLANDS LÄN</t>
        </is>
      </c>
      <c r="E2646" t="inlineStr">
        <is>
          <t>BRÄCKE</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49530-2022</t>
        </is>
      </c>
      <c r="B2647" s="1" t="n">
        <v>44861</v>
      </c>
      <c r="C2647" s="1" t="n">
        <v>46045</v>
      </c>
      <c r="D2647" t="inlineStr">
        <is>
          <t>JÄMTLANDS LÄN</t>
        </is>
      </c>
      <c r="E2647" t="inlineStr">
        <is>
          <t>RAGUNDA</t>
        </is>
      </c>
      <c r="F2647" t="inlineStr">
        <is>
          <t>SCA</t>
        </is>
      </c>
      <c r="G2647" t="n">
        <v>13.4</v>
      </c>
      <c r="H2647" t="n">
        <v>0</v>
      </c>
      <c r="I2647" t="n">
        <v>0</v>
      </c>
      <c r="J2647" t="n">
        <v>0</v>
      </c>
      <c r="K2647" t="n">
        <v>0</v>
      </c>
      <c r="L2647" t="n">
        <v>0</v>
      </c>
      <c r="M2647" t="n">
        <v>0</v>
      </c>
      <c r="N2647" t="n">
        <v>0</v>
      </c>
      <c r="O2647" t="n">
        <v>0</v>
      </c>
      <c r="P2647" t="n">
        <v>0</v>
      </c>
      <c r="Q2647" t="n">
        <v>0</v>
      </c>
      <c r="R2647" s="2" t="inlineStr"/>
    </row>
    <row r="2648" ht="15" customHeight="1">
      <c r="A2648" t="inlineStr">
        <is>
          <t>A 5221-2022</t>
        </is>
      </c>
      <c r="B2648" s="1" t="n">
        <v>44594.48864583333</v>
      </c>
      <c r="C2648" s="1" t="n">
        <v>46045</v>
      </c>
      <c r="D2648" t="inlineStr">
        <is>
          <t>JÄMTLANDS LÄN</t>
        </is>
      </c>
      <c r="E2648" t="inlineStr">
        <is>
          <t>BERG</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5222-2022</t>
        </is>
      </c>
      <c r="B2649" s="1" t="n">
        <v>44594.4892824074</v>
      </c>
      <c r="C2649" s="1" t="n">
        <v>46045</v>
      </c>
      <c r="D2649" t="inlineStr">
        <is>
          <t>JÄMTLANDS LÄN</t>
        </is>
      </c>
      <c r="E2649" t="inlineStr">
        <is>
          <t>BERG</t>
        </is>
      </c>
      <c r="G2649" t="n">
        <v>12.3</v>
      </c>
      <c r="H2649" t="n">
        <v>0</v>
      </c>
      <c r="I2649" t="n">
        <v>0</v>
      </c>
      <c r="J2649" t="n">
        <v>0</v>
      </c>
      <c r="K2649" t="n">
        <v>0</v>
      </c>
      <c r="L2649" t="n">
        <v>0</v>
      </c>
      <c r="M2649" t="n">
        <v>0</v>
      </c>
      <c r="N2649" t="n">
        <v>0</v>
      </c>
      <c r="O2649" t="n">
        <v>0</v>
      </c>
      <c r="P2649" t="n">
        <v>0</v>
      </c>
      <c r="Q2649" t="n">
        <v>0</v>
      </c>
      <c r="R2649" s="2" t="inlineStr"/>
    </row>
    <row r="2650" ht="15" customHeight="1">
      <c r="A2650" t="inlineStr">
        <is>
          <t>A 13964-2022</t>
        </is>
      </c>
      <c r="B2650" s="1" t="n">
        <v>44650</v>
      </c>
      <c r="C2650" s="1" t="n">
        <v>46045</v>
      </c>
      <c r="D2650" t="inlineStr">
        <is>
          <t>JÄMTLANDS LÄN</t>
        </is>
      </c>
      <c r="E2650" t="inlineStr">
        <is>
          <t>RAGUNDA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55238-2021</t>
        </is>
      </c>
      <c r="B2651" s="1" t="n">
        <v>44475</v>
      </c>
      <c r="C2651" s="1" t="n">
        <v>46045</v>
      </c>
      <c r="D2651" t="inlineStr">
        <is>
          <t>JÄMTLANDS LÄN</t>
        </is>
      </c>
      <c r="E2651" t="inlineStr">
        <is>
          <t>HÄRJEDALEN</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55246-2021</t>
        </is>
      </c>
      <c r="B2652" s="1" t="n">
        <v>44475</v>
      </c>
      <c r="C2652" s="1" t="n">
        <v>46045</v>
      </c>
      <c r="D2652" t="inlineStr">
        <is>
          <t>JÄMTLANDS LÄN</t>
        </is>
      </c>
      <c r="E2652" t="inlineStr">
        <is>
          <t>HÄRJEDALEN</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46199-2022</t>
        </is>
      </c>
      <c r="B2653" s="1" t="n">
        <v>44847.53822916667</v>
      </c>
      <c r="C2653" s="1" t="n">
        <v>46045</v>
      </c>
      <c r="D2653" t="inlineStr">
        <is>
          <t>JÄMTLANDS LÄN</t>
        </is>
      </c>
      <c r="E2653" t="inlineStr">
        <is>
          <t>BERG</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55252-2021</t>
        </is>
      </c>
      <c r="B2654" s="1" t="n">
        <v>44475</v>
      </c>
      <c r="C2654" s="1" t="n">
        <v>46045</v>
      </c>
      <c r="D2654" t="inlineStr">
        <is>
          <t>JÄMTLANDS LÄN</t>
        </is>
      </c>
      <c r="E2654" t="inlineStr">
        <is>
          <t>HÄRJEDALEN</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55257-2021</t>
        </is>
      </c>
      <c r="B2655" s="1" t="n">
        <v>44475</v>
      </c>
      <c r="C2655" s="1" t="n">
        <v>46045</v>
      </c>
      <c r="D2655" t="inlineStr">
        <is>
          <t>JÄMTLANDS LÄN</t>
        </is>
      </c>
      <c r="E2655" t="inlineStr">
        <is>
          <t>HÄRJEDALEN</t>
        </is>
      </c>
      <c r="G2655" t="n">
        <v>0</v>
      </c>
      <c r="H2655" t="n">
        <v>0</v>
      </c>
      <c r="I2655" t="n">
        <v>0</v>
      </c>
      <c r="J2655" t="n">
        <v>0</v>
      </c>
      <c r="K2655" t="n">
        <v>0</v>
      </c>
      <c r="L2655" t="n">
        <v>0</v>
      </c>
      <c r="M2655" t="n">
        <v>0</v>
      </c>
      <c r="N2655" t="n">
        <v>0</v>
      </c>
      <c r="O2655" t="n">
        <v>0</v>
      </c>
      <c r="P2655" t="n">
        <v>0</v>
      </c>
      <c r="Q2655" t="n">
        <v>0</v>
      </c>
      <c r="R2655" s="2" t="inlineStr"/>
    </row>
    <row r="2656" ht="15" customHeight="1">
      <c r="A2656" t="inlineStr">
        <is>
          <t>A 52898-2022</t>
        </is>
      </c>
      <c r="B2656" s="1" t="n">
        <v>44875</v>
      </c>
      <c r="C2656" s="1" t="n">
        <v>46045</v>
      </c>
      <c r="D2656" t="inlineStr">
        <is>
          <t>JÄMTLANDS LÄN</t>
        </is>
      </c>
      <c r="E2656" t="inlineStr">
        <is>
          <t>ÖSTERSUND</t>
        </is>
      </c>
      <c r="F2656" t="inlineStr">
        <is>
          <t>Övriga Aktiebolag</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16117-2021</t>
        </is>
      </c>
      <c r="B2657" s="1" t="n">
        <v>44291</v>
      </c>
      <c r="C2657" s="1" t="n">
        <v>46045</v>
      </c>
      <c r="D2657" t="inlineStr">
        <is>
          <t>JÄMTLANDS LÄN</t>
        </is>
      </c>
      <c r="E2657" t="inlineStr">
        <is>
          <t>BRÄCKE</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70079-2021</t>
        </is>
      </c>
      <c r="B2658" s="1" t="n">
        <v>44533.53759259259</v>
      </c>
      <c r="C2658" s="1" t="n">
        <v>46045</v>
      </c>
      <c r="D2658" t="inlineStr">
        <is>
          <t>JÄMTLANDS LÄN</t>
        </is>
      </c>
      <c r="E2658" t="inlineStr">
        <is>
          <t>STRÖMSUND</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2621-2024</t>
        </is>
      </c>
      <c r="B2659" s="1" t="n">
        <v>45313.94908564815</v>
      </c>
      <c r="C2659" s="1" t="n">
        <v>46045</v>
      </c>
      <c r="D2659" t="inlineStr">
        <is>
          <t>JÄMTLANDS LÄN</t>
        </is>
      </c>
      <c r="E2659" t="inlineStr">
        <is>
          <t>BRÄCKE</t>
        </is>
      </c>
      <c r="F2659" t="inlineStr">
        <is>
          <t>SCA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26533-2022</t>
        </is>
      </c>
      <c r="B2660" s="1" t="n">
        <v>44739.4490162037</v>
      </c>
      <c r="C2660" s="1" t="n">
        <v>46045</v>
      </c>
      <c r="D2660" t="inlineStr">
        <is>
          <t>JÄMTLANDS LÄN</t>
        </is>
      </c>
      <c r="E2660" t="inlineStr">
        <is>
          <t>ÅRE</t>
        </is>
      </c>
      <c r="F2660" t="inlineStr">
        <is>
          <t>Övriga Aktiebolag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12768-2022</t>
        </is>
      </c>
      <c r="B2661" s="1" t="n">
        <v>44641</v>
      </c>
      <c r="C2661" s="1" t="n">
        <v>46045</v>
      </c>
      <c r="D2661" t="inlineStr">
        <is>
          <t>JÄMTLANDS LÄN</t>
        </is>
      </c>
      <c r="E2661" t="inlineStr">
        <is>
          <t>RAGUNDA</t>
        </is>
      </c>
      <c r="F2661" t="inlineStr">
        <is>
          <t>SCA</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12773-2022</t>
        </is>
      </c>
      <c r="B2662" s="1" t="n">
        <v>44641</v>
      </c>
      <c r="C2662" s="1" t="n">
        <v>46045</v>
      </c>
      <c r="D2662" t="inlineStr">
        <is>
          <t>JÄMTLANDS LÄN</t>
        </is>
      </c>
      <c r="E2662" t="inlineStr">
        <is>
          <t>RAGUNDA</t>
        </is>
      </c>
      <c r="F2662" t="inlineStr">
        <is>
          <t>SCA</t>
        </is>
      </c>
      <c r="G2662" t="n">
        <v>14.7</v>
      </c>
      <c r="H2662" t="n">
        <v>0</v>
      </c>
      <c r="I2662" t="n">
        <v>0</v>
      </c>
      <c r="J2662" t="n">
        <v>0</v>
      </c>
      <c r="K2662" t="n">
        <v>0</v>
      </c>
      <c r="L2662" t="n">
        <v>0</v>
      </c>
      <c r="M2662" t="n">
        <v>0</v>
      </c>
      <c r="N2662" t="n">
        <v>0</v>
      </c>
      <c r="O2662" t="n">
        <v>0</v>
      </c>
      <c r="P2662" t="n">
        <v>0</v>
      </c>
      <c r="Q2662" t="n">
        <v>0</v>
      </c>
      <c r="R2662" s="2" t="inlineStr"/>
    </row>
    <row r="2663" ht="15" customHeight="1">
      <c r="A2663" t="inlineStr">
        <is>
          <t>A 70807-2021</t>
        </is>
      </c>
      <c r="B2663" s="1" t="n">
        <v>44537</v>
      </c>
      <c r="C2663" s="1" t="n">
        <v>46045</v>
      </c>
      <c r="D2663" t="inlineStr">
        <is>
          <t>JÄMTLANDS LÄN</t>
        </is>
      </c>
      <c r="E2663" t="inlineStr">
        <is>
          <t>BRÄCKE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19045-2025</t>
        </is>
      </c>
      <c r="B2664" s="1" t="n">
        <v>45764.71907407408</v>
      </c>
      <c r="C2664" s="1" t="n">
        <v>46045</v>
      </c>
      <c r="D2664" t="inlineStr">
        <is>
          <t>JÄMTLANDS LÄN</t>
        </is>
      </c>
      <c r="E2664" t="inlineStr">
        <is>
          <t>STRÖMSUND</t>
        </is>
      </c>
      <c r="F2664" t="inlineStr">
        <is>
          <t>SCA</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59126-2021</t>
        </is>
      </c>
      <c r="B2665" s="1" t="n">
        <v>44487</v>
      </c>
      <c r="C2665" s="1" t="n">
        <v>46045</v>
      </c>
      <c r="D2665" t="inlineStr">
        <is>
          <t>JÄMTLANDS LÄN</t>
        </is>
      </c>
      <c r="E2665" t="inlineStr">
        <is>
          <t>STRÖMSUND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35755-2021</t>
        </is>
      </c>
      <c r="B2666" s="1" t="n">
        <v>44385</v>
      </c>
      <c r="C2666" s="1" t="n">
        <v>46045</v>
      </c>
      <c r="D2666" t="inlineStr">
        <is>
          <t>JÄMTLANDS LÄN</t>
        </is>
      </c>
      <c r="E2666" t="inlineStr">
        <is>
          <t>ÖSTERSUND</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8569-2022</t>
        </is>
      </c>
      <c r="B2667" s="1" t="n">
        <v>44610</v>
      </c>
      <c r="C2667" s="1" t="n">
        <v>46045</v>
      </c>
      <c r="D2667" t="inlineStr">
        <is>
          <t>JÄMTLANDS LÄN</t>
        </is>
      </c>
      <c r="E2667" t="inlineStr">
        <is>
          <t>KROKOM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32359-2021</t>
        </is>
      </c>
      <c r="B2668" s="1" t="n">
        <v>44371</v>
      </c>
      <c r="C2668" s="1" t="n">
        <v>46045</v>
      </c>
      <c r="D2668" t="inlineStr">
        <is>
          <t>JÄMTLANDS LÄN</t>
        </is>
      </c>
      <c r="E2668" t="inlineStr">
        <is>
          <t>STRÖMSUND</t>
        </is>
      </c>
      <c r="F2668" t="inlineStr">
        <is>
          <t>SCA</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55523-2022</t>
        </is>
      </c>
      <c r="B2669" s="1" t="n">
        <v>44887.94924768519</v>
      </c>
      <c r="C2669" s="1" t="n">
        <v>46045</v>
      </c>
      <c r="D2669" t="inlineStr">
        <is>
          <t>JÄMTLANDS LÄN</t>
        </is>
      </c>
      <c r="E2669" t="inlineStr">
        <is>
          <t>BRÄCKE</t>
        </is>
      </c>
      <c r="F2669" t="inlineStr">
        <is>
          <t>SCA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55524-2022</t>
        </is>
      </c>
      <c r="B2670" s="1" t="n">
        <v>44887.94931712963</v>
      </c>
      <c r="C2670" s="1" t="n">
        <v>46045</v>
      </c>
      <c r="D2670" t="inlineStr">
        <is>
          <t>JÄMTLANDS LÄN</t>
        </is>
      </c>
      <c r="E2670" t="inlineStr">
        <is>
          <t>STRÖMSUND</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9187-2022</t>
        </is>
      </c>
      <c r="B2671" s="1" t="n">
        <v>44615</v>
      </c>
      <c r="C2671" s="1" t="n">
        <v>46045</v>
      </c>
      <c r="D2671" t="inlineStr">
        <is>
          <t>JÄMTLANDS LÄN</t>
        </is>
      </c>
      <c r="E2671" t="inlineStr">
        <is>
          <t>RAGUNDA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9370-2022</t>
        </is>
      </c>
      <c r="B2672" s="1" t="n">
        <v>44616.61001157408</v>
      </c>
      <c r="C2672" s="1" t="n">
        <v>46045</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18374-2021</t>
        </is>
      </c>
      <c r="B2673" s="1" t="n">
        <v>44305</v>
      </c>
      <c r="C2673" s="1" t="n">
        <v>46045</v>
      </c>
      <c r="D2673" t="inlineStr">
        <is>
          <t>JÄMTLANDS LÄN</t>
        </is>
      </c>
      <c r="E2673" t="inlineStr">
        <is>
          <t>ÅRE</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30483-2022</t>
        </is>
      </c>
      <c r="B2674" s="1" t="n">
        <v>44761.94037037037</v>
      </c>
      <c r="C2674" s="1" t="n">
        <v>46045</v>
      </c>
      <c r="D2674" t="inlineStr">
        <is>
          <t>JÄMTLANDS LÄN</t>
        </is>
      </c>
      <c r="E2674" t="inlineStr">
        <is>
          <t>BRÄCKE</t>
        </is>
      </c>
      <c r="F2674" t="inlineStr">
        <is>
          <t>SCA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52038-2022</t>
        </is>
      </c>
      <c r="B2675" s="1" t="n">
        <v>44872.95784722222</v>
      </c>
      <c r="C2675" s="1" t="n">
        <v>46045</v>
      </c>
      <c r="D2675" t="inlineStr">
        <is>
          <t>JÄMTLANDS LÄN</t>
        </is>
      </c>
      <c r="E2675" t="inlineStr">
        <is>
          <t>STRÖMSUND</t>
        </is>
      </c>
      <c r="F2675" t="inlineStr">
        <is>
          <t>SCA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40290-2022</t>
        </is>
      </c>
      <c r="B2676" s="1" t="n">
        <v>44820.94702546296</v>
      </c>
      <c r="C2676" s="1" t="n">
        <v>46045</v>
      </c>
      <c r="D2676" t="inlineStr">
        <is>
          <t>JÄMTLANDS LÄN</t>
        </is>
      </c>
      <c r="E2676" t="inlineStr">
        <is>
          <t>STRÖMSUND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47291-2022</t>
        </is>
      </c>
      <c r="B2677" s="1" t="n">
        <v>44852</v>
      </c>
      <c r="C2677" s="1" t="n">
        <v>46045</v>
      </c>
      <c r="D2677" t="inlineStr">
        <is>
          <t>JÄMTLANDS LÄN</t>
        </is>
      </c>
      <c r="E2677" t="inlineStr">
        <is>
          <t>STRÖMSUND</t>
        </is>
      </c>
      <c r="F2677" t="inlineStr">
        <is>
          <t>SCA</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44049-2022</t>
        </is>
      </c>
      <c r="B2678" s="1" t="n">
        <v>44838.94920138889</v>
      </c>
      <c r="C2678" s="1" t="n">
        <v>46045</v>
      </c>
      <c r="D2678" t="inlineStr">
        <is>
          <t>JÄMTLANDS LÄN</t>
        </is>
      </c>
      <c r="E2678" t="inlineStr">
        <is>
          <t>STRÖMSUND</t>
        </is>
      </c>
      <c r="F2678" t="inlineStr">
        <is>
          <t>SCA</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15528-2024</t>
        </is>
      </c>
      <c r="B2679" s="1" t="n">
        <v>45401.59810185185</v>
      </c>
      <c r="C2679" s="1" t="n">
        <v>46045</v>
      </c>
      <c r="D2679" t="inlineStr">
        <is>
          <t>JÄMTLANDS LÄN</t>
        </is>
      </c>
      <c r="E2679" t="inlineStr">
        <is>
          <t>KROKOM</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6177-2022</t>
        </is>
      </c>
      <c r="B2680" s="1" t="n">
        <v>44599.98685185185</v>
      </c>
      <c r="C2680" s="1" t="n">
        <v>46045</v>
      </c>
      <c r="D2680" t="inlineStr">
        <is>
          <t>JÄMTLANDS LÄN</t>
        </is>
      </c>
      <c r="E2680" t="inlineStr">
        <is>
          <t>RAGUNDA</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47566-2022</t>
        </is>
      </c>
      <c r="B2681" s="1" t="n">
        <v>44853.94927083333</v>
      </c>
      <c r="C2681" s="1" t="n">
        <v>46045</v>
      </c>
      <c r="D2681" t="inlineStr">
        <is>
          <t>JÄMTLANDS LÄN</t>
        </is>
      </c>
      <c r="E2681" t="inlineStr">
        <is>
          <t>STRÖMSUND</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47568-2022</t>
        </is>
      </c>
      <c r="B2682" s="1" t="n">
        <v>44853.9499537037</v>
      </c>
      <c r="C2682" s="1" t="n">
        <v>46045</v>
      </c>
      <c r="D2682" t="inlineStr">
        <is>
          <t>JÄMTLANDS LÄN</t>
        </is>
      </c>
      <c r="E2682" t="inlineStr">
        <is>
          <t>RAGUNDA</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22814-2022</t>
        </is>
      </c>
      <c r="B2683" s="1" t="n">
        <v>44715</v>
      </c>
      <c r="C2683" s="1" t="n">
        <v>46045</v>
      </c>
      <c r="D2683" t="inlineStr">
        <is>
          <t>JÄMTLANDS LÄN</t>
        </is>
      </c>
      <c r="E2683" t="inlineStr">
        <is>
          <t>STRÖMSUND</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20074-2022</t>
        </is>
      </c>
      <c r="B2684" s="1" t="n">
        <v>44697.94231481481</v>
      </c>
      <c r="C2684" s="1" t="n">
        <v>46045</v>
      </c>
      <c r="D2684" t="inlineStr">
        <is>
          <t>JÄMTLANDS LÄN</t>
        </is>
      </c>
      <c r="E2684" t="inlineStr">
        <is>
          <t>KROKOM</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13636-2022</t>
        </is>
      </c>
      <c r="B2685" s="1" t="n">
        <v>44648</v>
      </c>
      <c r="C2685" s="1" t="n">
        <v>46045</v>
      </c>
      <c r="D2685" t="inlineStr">
        <is>
          <t>JÄMTLANDS LÄN</t>
        </is>
      </c>
      <c r="E2685" t="inlineStr">
        <is>
          <t>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48545-2022</t>
        </is>
      </c>
      <c r="B2686" s="1" t="n">
        <v>44858</v>
      </c>
      <c r="C2686" s="1" t="n">
        <v>46045</v>
      </c>
      <c r="D2686" t="inlineStr">
        <is>
          <t>JÄMTLANDS LÄN</t>
        </is>
      </c>
      <c r="E2686" t="inlineStr">
        <is>
          <t>STRÖMSUND</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43832-2021</t>
        </is>
      </c>
      <c r="B2687" s="1" t="n">
        <v>44433.9410300926</v>
      </c>
      <c r="C2687" s="1" t="n">
        <v>46045</v>
      </c>
      <c r="D2687" t="inlineStr">
        <is>
          <t>JÄMTLANDS LÄN</t>
        </is>
      </c>
      <c r="E2687" t="inlineStr">
        <is>
          <t>BRÄCKE</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43839-2021</t>
        </is>
      </c>
      <c r="B2688" s="1" t="n">
        <v>44433.94148148148</v>
      </c>
      <c r="C2688" s="1" t="n">
        <v>46045</v>
      </c>
      <c r="D2688" t="inlineStr">
        <is>
          <t>JÄMTLANDS LÄN</t>
        </is>
      </c>
      <c r="E2688" t="inlineStr">
        <is>
          <t>STRÖMSUND</t>
        </is>
      </c>
      <c r="F2688" t="inlineStr">
        <is>
          <t>SCA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44229-2021</t>
        </is>
      </c>
      <c r="B2689" s="1" t="n">
        <v>44434</v>
      </c>
      <c r="C2689" s="1" t="n">
        <v>46045</v>
      </c>
      <c r="D2689" t="inlineStr">
        <is>
          <t>JÄMTLANDS LÄN</t>
        </is>
      </c>
      <c r="E2689" t="inlineStr">
        <is>
          <t>STRÖMSUND</t>
        </is>
      </c>
      <c r="F2689" t="inlineStr">
        <is>
          <t>SCA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44241-2021</t>
        </is>
      </c>
      <c r="B2690" s="1" t="n">
        <v>44434.94517361111</v>
      </c>
      <c r="C2690" s="1" t="n">
        <v>46045</v>
      </c>
      <c r="D2690" t="inlineStr">
        <is>
          <t>JÄMTLANDS LÄN</t>
        </is>
      </c>
      <c r="E2690" t="inlineStr">
        <is>
          <t>RAGUNDA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21770-2022</t>
        </is>
      </c>
      <c r="B2691" s="1" t="n">
        <v>44708.46081018518</v>
      </c>
      <c r="C2691" s="1" t="n">
        <v>46045</v>
      </c>
      <c r="D2691" t="inlineStr">
        <is>
          <t>JÄMTLANDS LÄN</t>
        </is>
      </c>
      <c r="E2691" t="inlineStr">
        <is>
          <t>HÄRJEDALEN</t>
        </is>
      </c>
      <c r="F2691" t="inlineStr">
        <is>
          <t>Holmen skog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25122-2022</t>
        </is>
      </c>
      <c r="B2692" s="1" t="n">
        <v>44729</v>
      </c>
      <c r="C2692" s="1" t="n">
        <v>46045</v>
      </c>
      <c r="D2692" t="inlineStr">
        <is>
          <t>JÄMTLANDS LÄN</t>
        </is>
      </c>
      <c r="E2692" t="inlineStr">
        <is>
          <t>ÅRE</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18169-2022</t>
        </is>
      </c>
      <c r="B2693" s="1" t="n">
        <v>44684</v>
      </c>
      <c r="C2693" s="1" t="n">
        <v>46045</v>
      </c>
      <c r="D2693" t="inlineStr">
        <is>
          <t>JÄMTLANDS LÄN</t>
        </is>
      </c>
      <c r="E2693" t="inlineStr">
        <is>
          <t>HÄRJEDALEN</t>
        </is>
      </c>
      <c r="F2693" t="inlineStr">
        <is>
          <t>Kyrkan</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50450-2022</t>
        </is>
      </c>
      <c r="B2694" s="1" t="n">
        <v>44866.47369212963</v>
      </c>
      <c r="C2694" s="1" t="n">
        <v>46045</v>
      </c>
      <c r="D2694" t="inlineStr">
        <is>
          <t>JÄMTLANDS LÄN</t>
        </is>
      </c>
      <c r="E2694" t="inlineStr">
        <is>
          <t>STRÖMSUND</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48334-2022</t>
        </is>
      </c>
      <c r="B2695" s="1" t="n">
        <v>44858</v>
      </c>
      <c r="C2695" s="1" t="n">
        <v>46045</v>
      </c>
      <c r="D2695" t="inlineStr">
        <is>
          <t>JÄMTLANDS LÄN</t>
        </is>
      </c>
      <c r="E2695" t="inlineStr">
        <is>
          <t>KROKOM</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55105-2022</t>
        </is>
      </c>
      <c r="B2696" s="1" t="n">
        <v>44886.63148148148</v>
      </c>
      <c r="C2696" s="1" t="n">
        <v>46045</v>
      </c>
      <c r="D2696" t="inlineStr">
        <is>
          <t>JÄMTLANDS LÄN</t>
        </is>
      </c>
      <c r="E2696" t="inlineStr">
        <is>
          <t>ÖSTERSUND</t>
        </is>
      </c>
      <c r="F2696" t="inlineStr">
        <is>
          <t>Övriga Aktiebolag</t>
        </is>
      </c>
      <c r="G2696" t="n">
        <v>2.4</v>
      </c>
      <c r="H2696" t="n">
        <v>0</v>
      </c>
      <c r="I2696" t="n">
        <v>0</v>
      </c>
      <c r="J2696" t="n">
        <v>0</v>
      </c>
      <c r="K2696" t="n">
        <v>0</v>
      </c>
      <c r="L2696" t="n">
        <v>0</v>
      </c>
      <c r="M2696" t="n">
        <v>0</v>
      </c>
      <c r="N2696" t="n">
        <v>0</v>
      </c>
      <c r="O2696" t="n">
        <v>0</v>
      </c>
      <c r="P2696" t="n">
        <v>0</v>
      </c>
      <c r="Q2696" t="n">
        <v>0</v>
      </c>
      <c r="R2696" s="2" t="inlineStr"/>
      <c r="U2696">
        <f>HYPERLINK("https://klasma.github.io/Logging_2380/knärot/A 55105-2022 karta knärot.png", "A 55105-2022")</f>
        <v/>
      </c>
      <c r="V2696">
        <f>HYPERLINK("https://klasma.github.io/Logging_2380/klagomål/A 55105-2022 FSC-klagomål.docx", "A 55105-2022")</f>
        <v/>
      </c>
      <c r="W2696">
        <f>HYPERLINK("https://klasma.github.io/Logging_2380/klagomålsmail/A 55105-2022 FSC-klagomål mail.docx", "A 55105-2022")</f>
        <v/>
      </c>
      <c r="X2696">
        <f>HYPERLINK("https://klasma.github.io/Logging_2380/tillsyn/A 55105-2022 tillsynsbegäran.docx", "A 55105-2022")</f>
        <v/>
      </c>
      <c r="Y2696">
        <f>HYPERLINK("https://klasma.github.io/Logging_2380/tillsynsmail/A 55105-2022 tillsynsbegäran mail.docx", "A 55105-2022")</f>
        <v/>
      </c>
    </row>
    <row r="2697" ht="15" customHeight="1">
      <c r="A2697" t="inlineStr">
        <is>
          <t>A 29830-2022</t>
        </is>
      </c>
      <c r="B2697" s="1" t="n">
        <v>44755</v>
      </c>
      <c r="C2697" s="1" t="n">
        <v>46045</v>
      </c>
      <c r="D2697" t="inlineStr">
        <is>
          <t>JÄMTLANDS LÄN</t>
        </is>
      </c>
      <c r="E2697" t="inlineStr">
        <is>
          <t>STRÖMSUND</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49702-2024</t>
        </is>
      </c>
      <c r="B2698" s="1" t="n">
        <v>45596</v>
      </c>
      <c r="C2698" s="1" t="n">
        <v>46045</v>
      </c>
      <c r="D2698" t="inlineStr">
        <is>
          <t>JÄMTLANDS LÄN</t>
        </is>
      </c>
      <c r="E2698" t="inlineStr">
        <is>
          <t>ÅRE</t>
        </is>
      </c>
      <c r="F2698" t="inlineStr">
        <is>
          <t>Övriga Aktiebolag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49709-2024</t>
        </is>
      </c>
      <c r="B2699" s="1" t="n">
        <v>45596.69858796296</v>
      </c>
      <c r="C2699" s="1" t="n">
        <v>46045</v>
      </c>
      <c r="D2699" t="inlineStr">
        <is>
          <t>JÄMTLANDS LÄN</t>
        </is>
      </c>
      <c r="E2699" t="inlineStr">
        <is>
          <t>BRÄCKE</t>
        </is>
      </c>
      <c r="F2699" t="inlineStr">
        <is>
          <t>SCA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27036-2022</t>
        </is>
      </c>
      <c r="B2700" s="1" t="n">
        <v>44740.94358796296</v>
      </c>
      <c r="C2700" s="1" t="n">
        <v>46045</v>
      </c>
      <c r="D2700" t="inlineStr">
        <is>
          <t>JÄMTLANDS LÄN</t>
        </is>
      </c>
      <c r="E2700" t="inlineStr">
        <is>
          <t>STRÖMSUND</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14442-2022</t>
        </is>
      </c>
      <c r="B2701" s="1" t="n">
        <v>44652.94479166667</v>
      </c>
      <c r="C2701" s="1" t="n">
        <v>46045</v>
      </c>
      <c r="D2701" t="inlineStr">
        <is>
          <t>JÄMTLANDS LÄN</t>
        </is>
      </c>
      <c r="E2701" t="inlineStr">
        <is>
          <t>STRÖMSUND</t>
        </is>
      </c>
      <c r="F2701" t="inlineStr">
        <is>
          <t>SCA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27075-2022</t>
        </is>
      </c>
      <c r="B2702" s="1" t="n">
        <v>44741</v>
      </c>
      <c r="C2702" s="1" t="n">
        <v>46045</v>
      </c>
      <c r="D2702" t="inlineStr">
        <is>
          <t>JÄMTLANDS LÄN</t>
        </is>
      </c>
      <c r="E2702" t="inlineStr">
        <is>
          <t>KROKOM</t>
        </is>
      </c>
      <c r="G2702" t="n">
        <v>10.4</v>
      </c>
      <c r="H2702" t="n">
        <v>0</v>
      </c>
      <c r="I2702" t="n">
        <v>0</v>
      </c>
      <c r="J2702" t="n">
        <v>0</v>
      </c>
      <c r="K2702" t="n">
        <v>0</v>
      </c>
      <c r="L2702" t="n">
        <v>0</v>
      </c>
      <c r="M2702" t="n">
        <v>0</v>
      </c>
      <c r="N2702" t="n">
        <v>0</v>
      </c>
      <c r="O2702" t="n">
        <v>0</v>
      </c>
      <c r="P2702" t="n">
        <v>0</v>
      </c>
      <c r="Q2702" t="n">
        <v>0</v>
      </c>
      <c r="R2702" s="2" t="inlineStr"/>
    </row>
    <row r="2703" ht="15" customHeight="1">
      <c r="A2703" t="inlineStr">
        <is>
          <t>A 57012-2022</t>
        </is>
      </c>
      <c r="B2703" s="1" t="n">
        <v>44894.9581712963</v>
      </c>
      <c r="C2703" s="1" t="n">
        <v>46045</v>
      </c>
      <c r="D2703" t="inlineStr">
        <is>
          <t>JÄMTLANDS LÄN</t>
        </is>
      </c>
      <c r="E2703" t="inlineStr">
        <is>
          <t>STRÖMSUND</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57016-2022</t>
        </is>
      </c>
      <c r="B2704" s="1" t="n">
        <v>44894</v>
      </c>
      <c r="C2704" s="1" t="n">
        <v>46045</v>
      </c>
      <c r="D2704" t="inlineStr">
        <is>
          <t>JÄMTLANDS LÄN</t>
        </is>
      </c>
      <c r="E2704" t="inlineStr">
        <is>
          <t>STRÖMSUND</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51167-2023</t>
        </is>
      </c>
      <c r="B2705" s="1" t="n">
        <v>45219.38388888889</v>
      </c>
      <c r="C2705" s="1" t="n">
        <v>46045</v>
      </c>
      <c r="D2705" t="inlineStr">
        <is>
          <t>JÄMTLANDS LÄN</t>
        </is>
      </c>
      <c r="E2705" t="inlineStr">
        <is>
          <t>BRÄCKE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9777-2021</t>
        </is>
      </c>
      <c r="B2706" s="1" t="n">
        <v>44252</v>
      </c>
      <c r="C2706" s="1" t="n">
        <v>46045</v>
      </c>
      <c r="D2706" t="inlineStr">
        <is>
          <t>JÄMTLANDS LÄN</t>
        </is>
      </c>
      <c r="E2706" t="inlineStr">
        <is>
          <t>ÅRE</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20960-2022</t>
        </is>
      </c>
      <c r="B2707" s="1" t="n">
        <v>44701.94034722223</v>
      </c>
      <c r="C2707" s="1" t="n">
        <v>46045</v>
      </c>
      <c r="D2707" t="inlineStr">
        <is>
          <t>JÄMTLANDS LÄN</t>
        </is>
      </c>
      <c r="E2707" t="inlineStr">
        <is>
          <t>ÖSTERSUND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27037-2022</t>
        </is>
      </c>
      <c r="B2708" s="1" t="n">
        <v>44740.94364583334</v>
      </c>
      <c r="C2708" s="1" t="n">
        <v>46045</v>
      </c>
      <c r="D2708" t="inlineStr">
        <is>
          <t>JÄMTLANDS LÄN</t>
        </is>
      </c>
      <c r="E2708" t="inlineStr">
        <is>
          <t>STRÖMSUND</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49212-2021</t>
        </is>
      </c>
      <c r="B2709" s="1" t="n">
        <v>44454</v>
      </c>
      <c r="C2709" s="1" t="n">
        <v>46045</v>
      </c>
      <c r="D2709" t="inlineStr">
        <is>
          <t>JÄMTLANDS LÄN</t>
        </is>
      </c>
      <c r="E2709" t="inlineStr">
        <is>
          <t>STRÖMSUND</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46515-2021</t>
        </is>
      </c>
      <c r="B2710" s="1" t="n">
        <v>44445</v>
      </c>
      <c r="C2710" s="1" t="n">
        <v>46045</v>
      </c>
      <c r="D2710" t="inlineStr">
        <is>
          <t>JÄMTLANDS LÄN</t>
        </is>
      </c>
      <c r="E2710" t="inlineStr">
        <is>
          <t>BERG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15664-2022</t>
        </is>
      </c>
      <c r="B2711" s="1" t="n">
        <v>44662</v>
      </c>
      <c r="C2711" s="1" t="n">
        <v>46045</v>
      </c>
      <c r="D2711" t="inlineStr">
        <is>
          <t>JÄMTLANDS LÄN</t>
        </is>
      </c>
      <c r="E2711" t="inlineStr">
        <is>
          <t>RAGUNDA</t>
        </is>
      </c>
      <c r="F2711" t="inlineStr">
        <is>
          <t>SCA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39698-2022</t>
        </is>
      </c>
      <c r="B2712" s="1" t="n">
        <v>44818</v>
      </c>
      <c r="C2712" s="1" t="n">
        <v>46045</v>
      </c>
      <c r="D2712" t="inlineStr">
        <is>
          <t>JÄMTLANDS LÄN</t>
        </is>
      </c>
      <c r="E2712" t="inlineStr">
        <is>
          <t>RAGUNDA</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21984-2022</t>
        </is>
      </c>
      <c r="B2713" s="1" t="n">
        <v>44704</v>
      </c>
      <c r="C2713" s="1" t="n">
        <v>46045</v>
      </c>
      <c r="D2713" t="inlineStr">
        <is>
          <t>JÄMTLANDS LÄN</t>
        </is>
      </c>
      <c r="E2713" t="inlineStr">
        <is>
          <t>RAGUNDA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27258-2021</t>
        </is>
      </c>
      <c r="B2714" s="1" t="n">
        <v>44350.93927083333</v>
      </c>
      <c r="C2714" s="1" t="n">
        <v>46045</v>
      </c>
      <c r="D2714" t="inlineStr">
        <is>
          <t>JÄMTLANDS LÄN</t>
        </is>
      </c>
      <c r="E2714" t="inlineStr">
        <is>
          <t>BRÄCKE</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64309-2021</t>
        </is>
      </c>
      <c r="B2715" s="1" t="n">
        <v>44510</v>
      </c>
      <c r="C2715" s="1" t="n">
        <v>46045</v>
      </c>
      <c r="D2715" t="inlineStr">
        <is>
          <t>JÄMTLANDS LÄN</t>
        </is>
      </c>
      <c r="E2715" t="inlineStr">
        <is>
          <t>STRÖMSUND</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36275-2022</t>
        </is>
      </c>
      <c r="B2716" s="1" t="n">
        <v>44803.611875</v>
      </c>
      <c r="C2716" s="1" t="n">
        <v>46045</v>
      </c>
      <c r="D2716" t="inlineStr">
        <is>
          <t>JÄMTLANDS LÄN</t>
        </is>
      </c>
      <c r="E2716" t="inlineStr">
        <is>
          <t>STRÖMSUND</t>
        </is>
      </c>
      <c r="F2716" t="inlineStr">
        <is>
          <t>Holmen skog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22655-2021</t>
        </is>
      </c>
      <c r="B2717" s="1" t="n">
        <v>44322</v>
      </c>
      <c r="C2717" s="1" t="n">
        <v>46045</v>
      </c>
      <c r="D2717" t="inlineStr">
        <is>
          <t>JÄMTLANDS LÄN</t>
        </is>
      </c>
      <c r="E2717" t="inlineStr">
        <is>
          <t>RAGUNDA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43147-2022</t>
        </is>
      </c>
      <c r="B2718" s="1" t="n">
        <v>44833.9519212963</v>
      </c>
      <c r="C2718" s="1" t="n">
        <v>46045</v>
      </c>
      <c r="D2718" t="inlineStr">
        <is>
          <t>JÄMTLANDS LÄN</t>
        </is>
      </c>
      <c r="E2718" t="inlineStr">
        <is>
          <t>RAGUNDA</t>
        </is>
      </c>
      <c r="F2718" t="inlineStr">
        <is>
          <t>SCA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56648-2021</t>
        </is>
      </c>
      <c r="B2719" s="1" t="n">
        <v>44480.92122685185</v>
      </c>
      <c r="C2719" s="1" t="n">
        <v>46045</v>
      </c>
      <c r="D2719" t="inlineStr">
        <is>
          <t>JÄMTLANDS LÄN</t>
        </is>
      </c>
      <c r="E2719" t="inlineStr">
        <is>
          <t>BRÄCKE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18341-2022</t>
        </is>
      </c>
      <c r="B2720" s="1" t="n">
        <v>44685</v>
      </c>
      <c r="C2720" s="1" t="n">
        <v>46045</v>
      </c>
      <c r="D2720" t="inlineStr">
        <is>
          <t>JÄMTLANDS LÄN</t>
        </is>
      </c>
      <c r="E2720" t="inlineStr">
        <is>
          <t>RAGUNDA</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40841-2022</t>
        </is>
      </c>
      <c r="B2721" s="1" t="n">
        <v>44824.94743055556</v>
      </c>
      <c r="C2721" s="1" t="n">
        <v>46045</v>
      </c>
      <c r="D2721" t="inlineStr">
        <is>
          <t>JÄMTLANDS LÄN</t>
        </is>
      </c>
      <c r="E2721" t="inlineStr">
        <is>
          <t>STRÖMSUND</t>
        </is>
      </c>
      <c r="F2721" t="inlineStr">
        <is>
          <t>SCA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40866-2022</t>
        </is>
      </c>
      <c r="B2722" s="1" t="n">
        <v>44820</v>
      </c>
      <c r="C2722" s="1" t="n">
        <v>46045</v>
      </c>
      <c r="D2722" t="inlineStr">
        <is>
          <t>JÄMTLANDS LÄN</t>
        </is>
      </c>
      <c r="E2722" t="inlineStr">
        <is>
          <t>KROKOM</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44442-2022</t>
        </is>
      </c>
      <c r="B2723" s="1" t="n">
        <v>44839</v>
      </c>
      <c r="C2723" s="1" t="n">
        <v>46045</v>
      </c>
      <c r="D2723" t="inlineStr">
        <is>
          <t>JÄMTLANDS LÄN</t>
        </is>
      </c>
      <c r="E2723" t="inlineStr">
        <is>
          <t>BERG</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34769-2021</t>
        </is>
      </c>
      <c r="B2724" s="1" t="n">
        <v>44382.92065972222</v>
      </c>
      <c r="C2724" s="1" t="n">
        <v>46045</v>
      </c>
      <c r="D2724" t="inlineStr">
        <is>
          <t>JÄMTLANDS LÄN</t>
        </is>
      </c>
      <c r="E2724" t="inlineStr">
        <is>
          <t>KROKOM</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25963-2021</t>
        </is>
      </c>
      <c r="B2725" s="1" t="n">
        <v>44344.52491898148</v>
      </c>
      <c r="C2725" s="1" t="n">
        <v>46045</v>
      </c>
      <c r="D2725" t="inlineStr">
        <is>
          <t>JÄMTLANDS LÄN</t>
        </is>
      </c>
      <c r="E2725" t="inlineStr">
        <is>
          <t>STRÖMSUND</t>
        </is>
      </c>
      <c r="F2725" t="inlineStr">
        <is>
          <t>Sveaskog</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24559-2024</t>
        </is>
      </c>
      <c r="B2726" s="1" t="n">
        <v>45460.44076388889</v>
      </c>
      <c r="C2726" s="1" t="n">
        <v>46045</v>
      </c>
      <c r="D2726" t="inlineStr">
        <is>
          <t>JÄMTLANDS LÄN</t>
        </is>
      </c>
      <c r="E2726" t="inlineStr">
        <is>
          <t>KROKOM</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52399-2021</t>
        </is>
      </c>
      <c r="B2727" s="1" t="n">
        <v>44466.28903935185</v>
      </c>
      <c r="C2727" s="1" t="n">
        <v>46045</v>
      </c>
      <c r="D2727" t="inlineStr">
        <is>
          <t>JÄMTLANDS LÄN</t>
        </is>
      </c>
      <c r="E2727" t="inlineStr">
        <is>
          <t>STRÖMSUND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37093-2022</t>
        </is>
      </c>
      <c r="B2728" s="1" t="n">
        <v>44806</v>
      </c>
      <c r="C2728" s="1" t="n">
        <v>46045</v>
      </c>
      <c r="D2728" t="inlineStr">
        <is>
          <t>JÄMTLANDS LÄN</t>
        </is>
      </c>
      <c r="E2728" t="inlineStr">
        <is>
          <t>STRÖMSUND</t>
        </is>
      </c>
      <c r="F2728" t="inlineStr">
        <is>
          <t>Kommuner</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64657-2021</t>
        </is>
      </c>
      <c r="B2729" s="1" t="n">
        <v>44511.94723379629</v>
      </c>
      <c r="C2729" s="1" t="n">
        <v>46045</v>
      </c>
      <c r="D2729" t="inlineStr">
        <is>
          <t>JÄMTLANDS LÄN</t>
        </is>
      </c>
      <c r="E2729" t="inlineStr">
        <is>
          <t>STRÖMSUND</t>
        </is>
      </c>
      <c r="F2729" t="inlineStr">
        <is>
          <t>SCA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9114-2022</t>
        </is>
      </c>
      <c r="B2730" s="1" t="n">
        <v>44615</v>
      </c>
      <c r="C2730" s="1" t="n">
        <v>46045</v>
      </c>
      <c r="D2730" t="inlineStr">
        <is>
          <t>JÄMTLANDS LÄN</t>
        </is>
      </c>
      <c r="E2730" t="inlineStr">
        <is>
          <t>BERG</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5519-2021</t>
        </is>
      </c>
      <c r="B2731" s="1" t="n">
        <v>44230</v>
      </c>
      <c r="C2731" s="1" t="n">
        <v>46045</v>
      </c>
      <c r="D2731" t="inlineStr">
        <is>
          <t>JÄMTLANDS LÄN</t>
        </is>
      </c>
      <c r="E2731" t="inlineStr">
        <is>
          <t>HÄRJEDALEN</t>
        </is>
      </c>
      <c r="G2731" t="n">
        <v>10.8</v>
      </c>
      <c r="H2731" t="n">
        <v>0</v>
      </c>
      <c r="I2731" t="n">
        <v>0</v>
      </c>
      <c r="J2731" t="n">
        <v>0</v>
      </c>
      <c r="K2731" t="n">
        <v>0</v>
      </c>
      <c r="L2731" t="n">
        <v>0</v>
      </c>
      <c r="M2731" t="n">
        <v>0</v>
      </c>
      <c r="N2731" t="n">
        <v>0</v>
      </c>
      <c r="O2731" t="n">
        <v>0</v>
      </c>
      <c r="P2731" t="n">
        <v>0</v>
      </c>
      <c r="Q2731" t="n">
        <v>0</v>
      </c>
      <c r="R2731" s="2" t="inlineStr"/>
    </row>
    <row r="2732" ht="15" customHeight="1">
      <c r="A2732" t="inlineStr">
        <is>
          <t>A 9185-2022</t>
        </is>
      </c>
      <c r="B2732" s="1" t="n">
        <v>44615</v>
      </c>
      <c r="C2732" s="1" t="n">
        <v>46045</v>
      </c>
      <c r="D2732" t="inlineStr">
        <is>
          <t>JÄMTLANDS LÄN</t>
        </is>
      </c>
      <c r="E2732" t="inlineStr">
        <is>
          <t>RAGUNDA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29146-2021</t>
        </is>
      </c>
      <c r="B2733" s="1" t="n">
        <v>44358.63585648148</v>
      </c>
      <c r="C2733" s="1" t="n">
        <v>46045</v>
      </c>
      <c r="D2733" t="inlineStr">
        <is>
          <t>JÄMTLANDS LÄN</t>
        </is>
      </c>
      <c r="E2733" t="inlineStr">
        <is>
          <t>KROKOM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26139-2022</t>
        </is>
      </c>
      <c r="B2734" s="1" t="n">
        <v>44734</v>
      </c>
      <c r="C2734" s="1" t="n">
        <v>46045</v>
      </c>
      <c r="D2734" t="inlineStr">
        <is>
          <t>JÄMTLANDS LÄN</t>
        </is>
      </c>
      <c r="E2734" t="inlineStr">
        <is>
          <t>BRÄCKE</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34803-2022</t>
        </is>
      </c>
      <c r="B2735" s="1" t="n">
        <v>44795.94754629629</v>
      </c>
      <c r="C2735" s="1" t="n">
        <v>46045</v>
      </c>
      <c r="D2735" t="inlineStr">
        <is>
          <t>JÄMTLANDS LÄN</t>
        </is>
      </c>
      <c r="E2735" t="inlineStr">
        <is>
          <t>BERG</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10904-2022</t>
        </is>
      </c>
      <c r="B2736" s="1" t="n">
        <v>44627</v>
      </c>
      <c r="C2736" s="1" t="n">
        <v>46045</v>
      </c>
      <c r="D2736" t="inlineStr">
        <is>
          <t>JÄMTLANDS LÄN</t>
        </is>
      </c>
      <c r="E2736" t="inlineStr">
        <is>
          <t>STRÖMSUND</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49166-2021</t>
        </is>
      </c>
      <c r="B2737" s="1" t="n">
        <v>44453.94054398148</v>
      </c>
      <c r="C2737" s="1" t="n">
        <v>46045</v>
      </c>
      <c r="D2737" t="inlineStr">
        <is>
          <t>JÄMTLANDS LÄN</t>
        </is>
      </c>
      <c r="E2737" t="inlineStr">
        <is>
          <t>STRÖMSUND</t>
        </is>
      </c>
      <c r="F2737" t="inlineStr">
        <is>
          <t>SCA</t>
        </is>
      </c>
      <c r="G2737" t="n">
        <v>3.3</v>
      </c>
      <c r="H2737" t="n">
        <v>0</v>
      </c>
      <c r="I2737" t="n">
        <v>0</v>
      </c>
      <c r="J2737" t="n">
        <v>0</v>
      </c>
      <c r="K2737" t="n">
        <v>0</v>
      </c>
      <c r="L2737" t="n">
        <v>0</v>
      </c>
      <c r="M2737" t="n">
        <v>0</v>
      </c>
      <c r="N2737" t="n">
        <v>0</v>
      </c>
      <c r="O2737" t="n">
        <v>0</v>
      </c>
      <c r="P2737" t="n">
        <v>0</v>
      </c>
      <c r="Q2737" t="n">
        <v>0</v>
      </c>
      <c r="R2737" s="2" t="inlineStr"/>
      <c r="U2737">
        <f>HYPERLINK("https://klasma.github.io/Logging_2313/knärot/A 49166-2021 karta knärot.png", "A 49166-2021")</f>
        <v/>
      </c>
      <c r="V2737">
        <f>HYPERLINK("https://klasma.github.io/Logging_2313/klagomål/A 49166-2021 FSC-klagomål.docx", "A 49166-2021")</f>
        <v/>
      </c>
      <c r="W2737">
        <f>HYPERLINK("https://klasma.github.io/Logging_2313/klagomålsmail/A 49166-2021 FSC-klagomål mail.docx", "A 49166-2021")</f>
        <v/>
      </c>
      <c r="X2737">
        <f>HYPERLINK("https://klasma.github.io/Logging_2313/tillsyn/A 49166-2021 tillsynsbegäran.docx", "A 49166-2021")</f>
        <v/>
      </c>
      <c r="Y2737">
        <f>HYPERLINK("https://klasma.github.io/Logging_2313/tillsynsmail/A 49166-2021 tillsynsbegäran mail.docx", "A 49166-2021")</f>
        <v/>
      </c>
    </row>
    <row r="2738" ht="15" customHeight="1">
      <c r="A2738" t="inlineStr">
        <is>
          <t>A 21301-2022</t>
        </is>
      </c>
      <c r="B2738" s="1" t="n">
        <v>44705</v>
      </c>
      <c r="C2738" s="1" t="n">
        <v>46045</v>
      </c>
      <c r="D2738" t="inlineStr">
        <is>
          <t>JÄMTLANDS LÄN</t>
        </is>
      </c>
      <c r="E2738" t="inlineStr">
        <is>
          <t>KROKOM</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21194-2022</t>
        </is>
      </c>
      <c r="B2739" s="1" t="n">
        <v>44704.9422337963</v>
      </c>
      <c r="C2739" s="1" t="n">
        <v>46045</v>
      </c>
      <c r="D2739" t="inlineStr">
        <is>
          <t>JÄMTLANDS LÄN</t>
        </is>
      </c>
      <c r="E2739" t="inlineStr">
        <is>
          <t>RAGUNDA</t>
        </is>
      </c>
      <c r="F2739" t="inlineStr">
        <is>
          <t>SCA</t>
        </is>
      </c>
      <c r="G2739" t="n">
        <v>10.6</v>
      </c>
      <c r="H2739" t="n">
        <v>0</v>
      </c>
      <c r="I2739" t="n">
        <v>0</v>
      </c>
      <c r="J2739" t="n">
        <v>0</v>
      </c>
      <c r="K2739" t="n">
        <v>0</v>
      </c>
      <c r="L2739" t="n">
        <v>0</v>
      </c>
      <c r="M2739" t="n">
        <v>0</v>
      </c>
      <c r="N2739" t="n">
        <v>0</v>
      </c>
      <c r="O2739" t="n">
        <v>0</v>
      </c>
      <c r="P2739" t="n">
        <v>0</v>
      </c>
      <c r="Q2739" t="n">
        <v>0</v>
      </c>
      <c r="R2739" s="2" t="inlineStr"/>
    </row>
    <row r="2740" ht="15" customHeight="1">
      <c r="A2740" t="inlineStr">
        <is>
          <t>A 21211-2022</t>
        </is>
      </c>
      <c r="B2740" s="1" t="n">
        <v>44704.94370370371</v>
      </c>
      <c r="C2740" s="1" t="n">
        <v>46045</v>
      </c>
      <c r="D2740" t="inlineStr">
        <is>
          <t>JÄMTLANDS LÄN</t>
        </is>
      </c>
      <c r="E2740" t="inlineStr">
        <is>
          <t>ÖSTERSUND</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20827-2022</t>
        </is>
      </c>
      <c r="B2741" s="1" t="n">
        <v>44700</v>
      </c>
      <c r="C2741" s="1" t="n">
        <v>46045</v>
      </c>
      <c r="D2741" t="inlineStr">
        <is>
          <t>JÄMTLANDS LÄN</t>
        </is>
      </c>
      <c r="E2741" t="inlineStr">
        <is>
          <t>ÅRE</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66285-2021</t>
        </is>
      </c>
      <c r="B2742" s="1" t="n">
        <v>44518</v>
      </c>
      <c r="C2742" s="1" t="n">
        <v>46045</v>
      </c>
      <c r="D2742" t="inlineStr">
        <is>
          <t>JÄMTLANDS LÄN</t>
        </is>
      </c>
      <c r="E2742" t="inlineStr">
        <is>
          <t>BRÄCKE</t>
        </is>
      </c>
      <c r="G2742" t="n">
        <v>11.9</v>
      </c>
      <c r="H2742" t="n">
        <v>0</v>
      </c>
      <c r="I2742" t="n">
        <v>0</v>
      </c>
      <c r="J2742" t="n">
        <v>0</v>
      </c>
      <c r="K2742" t="n">
        <v>0</v>
      </c>
      <c r="L2742" t="n">
        <v>0</v>
      </c>
      <c r="M2742" t="n">
        <v>0</v>
      </c>
      <c r="N2742" t="n">
        <v>0</v>
      </c>
      <c r="O2742" t="n">
        <v>0</v>
      </c>
      <c r="P2742" t="n">
        <v>0</v>
      </c>
      <c r="Q2742" t="n">
        <v>0</v>
      </c>
      <c r="R2742" s="2" t="inlineStr"/>
    </row>
    <row r="2743" ht="15" customHeight="1">
      <c r="A2743" t="inlineStr">
        <is>
          <t>A 60780-2023</t>
        </is>
      </c>
      <c r="B2743" s="1" t="n">
        <v>45260</v>
      </c>
      <c r="C2743" s="1" t="n">
        <v>46045</v>
      </c>
      <c r="D2743" t="inlineStr">
        <is>
          <t>JÄMTLANDS LÄN</t>
        </is>
      </c>
      <c r="E2743" t="inlineStr">
        <is>
          <t>ÖSTERSUND</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60313-2021</t>
        </is>
      </c>
      <c r="B2744" s="1" t="n">
        <v>44495</v>
      </c>
      <c r="C2744" s="1" t="n">
        <v>46045</v>
      </c>
      <c r="D2744" t="inlineStr">
        <is>
          <t>JÄMTLANDS LÄN</t>
        </is>
      </c>
      <c r="E2744" t="inlineStr">
        <is>
          <t>RAGUNDA</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43072-2021</t>
        </is>
      </c>
      <c r="B2745" s="1" t="n">
        <v>44431.55541666667</v>
      </c>
      <c r="C2745" s="1" t="n">
        <v>46045</v>
      </c>
      <c r="D2745" t="inlineStr">
        <is>
          <t>JÄMTLANDS LÄN</t>
        </is>
      </c>
      <c r="E2745" t="inlineStr">
        <is>
          <t>STRÖMSUND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46115-2021</t>
        </is>
      </c>
      <c r="B2746" s="1" t="n">
        <v>44441</v>
      </c>
      <c r="C2746" s="1" t="n">
        <v>46045</v>
      </c>
      <c r="D2746" t="inlineStr">
        <is>
          <t>JÄMTLANDS LÄN</t>
        </is>
      </c>
      <c r="E2746" t="inlineStr">
        <is>
          <t>BERG</t>
        </is>
      </c>
      <c r="G2746" t="n">
        <v>15.1</v>
      </c>
      <c r="H2746" t="n">
        <v>0</v>
      </c>
      <c r="I2746" t="n">
        <v>0</v>
      </c>
      <c r="J2746" t="n">
        <v>0</v>
      </c>
      <c r="K2746" t="n">
        <v>0</v>
      </c>
      <c r="L2746" t="n">
        <v>0</v>
      </c>
      <c r="M2746" t="n">
        <v>0</v>
      </c>
      <c r="N2746" t="n">
        <v>0</v>
      </c>
      <c r="O2746" t="n">
        <v>0</v>
      </c>
      <c r="P2746" t="n">
        <v>0</v>
      </c>
      <c r="Q2746" t="n">
        <v>0</v>
      </c>
      <c r="R2746" s="2" t="inlineStr"/>
    </row>
    <row r="2747" ht="15" customHeight="1">
      <c r="A2747" t="inlineStr">
        <is>
          <t>A 19809-2022</t>
        </is>
      </c>
      <c r="B2747" s="1" t="n">
        <v>44694</v>
      </c>
      <c r="C2747" s="1" t="n">
        <v>46045</v>
      </c>
      <c r="D2747" t="inlineStr">
        <is>
          <t>JÄMTLANDS LÄN</t>
        </is>
      </c>
      <c r="E2747" t="inlineStr">
        <is>
          <t>BERG</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52334-2021</t>
        </is>
      </c>
      <c r="B2748" s="1" t="n">
        <v>44463.94077546296</v>
      </c>
      <c r="C2748" s="1" t="n">
        <v>46045</v>
      </c>
      <c r="D2748" t="inlineStr">
        <is>
          <t>JÄMTLANDS LÄN</t>
        </is>
      </c>
      <c r="E2748" t="inlineStr">
        <is>
          <t>RAGUNDA</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19810-2022</t>
        </is>
      </c>
      <c r="B2749" s="1" t="n">
        <v>44694.93921296296</v>
      </c>
      <c r="C2749" s="1" t="n">
        <v>46045</v>
      </c>
      <c r="D2749" t="inlineStr">
        <is>
          <t>JÄMTLANDS LÄN</t>
        </is>
      </c>
      <c r="E2749" t="inlineStr">
        <is>
          <t>BRÄCKE</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9920-2021</t>
        </is>
      </c>
      <c r="B2750" s="1" t="n">
        <v>44253</v>
      </c>
      <c r="C2750" s="1" t="n">
        <v>46045</v>
      </c>
      <c r="D2750" t="inlineStr">
        <is>
          <t>JÄMTLANDS LÄN</t>
        </is>
      </c>
      <c r="E2750" t="inlineStr">
        <is>
          <t>BERG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27031-2022</t>
        </is>
      </c>
      <c r="B2751" s="1" t="n">
        <v>44740.94326388889</v>
      </c>
      <c r="C2751" s="1" t="n">
        <v>46045</v>
      </c>
      <c r="D2751" t="inlineStr">
        <is>
          <t>JÄMTLANDS LÄN</t>
        </is>
      </c>
      <c r="E2751" t="inlineStr">
        <is>
          <t>STRÖMSUND</t>
        </is>
      </c>
      <c r="F2751" t="inlineStr">
        <is>
          <t>SCA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21702-2021</t>
        </is>
      </c>
      <c r="B2752" s="1" t="n">
        <v>44316</v>
      </c>
      <c r="C2752" s="1" t="n">
        <v>46045</v>
      </c>
      <c r="D2752" t="inlineStr">
        <is>
          <t>JÄMTLANDS LÄN</t>
        </is>
      </c>
      <c r="E2752" t="inlineStr">
        <is>
          <t>HÄRJEDALEN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65428-2021</t>
        </is>
      </c>
      <c r="B2753" s="1" t="n">
        <v>44515</v>
      </c>
      <c r="C2753" s="1" t="n">
        <v>46045</v>
      </c>
      <c r="D2753" t="inlineStr">
        <is>
          <t>JÄMTLANDS LÄN</t>
        </is>
      </c>
      <c r="E2753" t="inlineStr">
        <is>
          <t>ÖSTERSUND</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18567-2021</t>
        </is>
      </c>
      <c r="B2754" s="1" t="n">
        <v>44306.55199074074</v>
      </c>
      <c r="C2754" s="1" t="n">
        <v>46045</v>
      </c>
      <c r="D2754" t="inlineStr">
        <is>
          <t>JÄMTLANDS LÄN</t>
        </is>
      </c>
      <c r="E2754" t="inlineStr">
        <is>
          <t>BERG</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18569-2021</t>
        </is>
      </c>
      <c r="B2755" s="1" t="n">
        <v>44306.55394675926</v>
      </c>
      <c r="C2755" s="1" t="n">
        <v>46045</v>
      </c>
      <c r="D2755" t="inlineStr">
        <is>
          <t>JÄMTLANDS LÄN</t>
        </is>
      </c>
      <c r="E2755" t="inlineStr">
        <is>
          <t>BERG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21399-2022</t>
        </is>
      </c>
      <c r="B2756" s="1" t="n">
        <v>44705.94010416666</v>
      </c>
      <c r="C2756" s="1" t="n">
        <v>46045</v>
      </c>
      <c r="D2756" t="inlineStr">
        <is>
          <t>JÄMTLANDS LÄN</t>
        </is>
      </c>
      <c r="E2756" t="inlineStr">
        <is>
          <t>STRÖMSUND</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37828-2022</t>
        </is>
      </c>
      <c r="B2757" s="1" t="n">
        <v>44810.9428587963</v>
      </c>
      <c r="C2757" s="1" t="n">
        <v>46045</v>
      </c>
      <c r="D2757" t="inlineStr">
        <is>
          <t>JÄMTLANDS LÄN</t>
        </is>
      </c>
      <c r="E2757" t="inlineStr">
        <is>
          <t>BRÄCKE</t>
        </is>
      </c>
      <c r="F2757" t="inlineStr">
        <is>
          <t>SCA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37829-2022</t>
        </is>
      </c>
      <c r="B2758" s="1" t="n">
        <v>44810.94292824074</v>
      </c>
      <c r="C2758" s="1" t="n">
        <v>46045</v>
      </c>
      <c r="D2758" t="inlineStr">
        <is>
          <t>JÄMTLANDS LÄN</t>
        </is>
      </c>
      <c r="E2758" t="inlineStr">
        <is>
          <t>BRÄCKE</t>
        </is>
      </c>
      <c r="F2758" t="inlineStr">
        <is>
          <t>SCA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30220-2022</t>
        </is>
      </c>
      <c r="B2759" s="1" t="n">
        <v>44757.94265046297</v>
      </c>
      <c r="C2759" s="1" t="n">
        <v>46045</v>
      </c>
      <c r="D2759" t="inlineStr">
        <is>
          <t>JÄMTLANDS LÄN</t>
        </is>
      </c>
      <c r="E2759" t="inlineStr">
        <is>
          <t>STRÖMSUND</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24436-2021</t>
        </is>
      </c>
      <c r="B2760" s="1" t="n">
        <v>44337</v>
      </c>
      <c r="C2760" s="1" t="n">
        <v>46045</v>
      </c>
      <c r="D2760" t="inlineStr">
        <is>
          <t>JÄMTLANDS LÄN</t>
        </is>
      </c>
      <c r="E2760" t="inlineStr">
        <is>
          <t>KROKOM</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2627-2024</t>
        </is>
      </c>
      <c r="B2761" s="1" t="n">
        <v>45313.9496875</v>
      </c>
      <c r="C2761" s="1" t="n">
        <v>46045</v>
      </c>
      <c r="D2761" t="inlineStr">
        <is>
          <t>JÄMTLANDS LÄN</t>
        </is>
      </c>
      <c r="E2761" t="inlineStr">
        <is>
          <t>ÖSTERSUND</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53191-2021</t>
        </is>
      </c>
      <c r="B2762" s="1" t="n">
        <v>44468</v>
      </c>
      <c r="C2762" s="1" t="n">
        <v>46045</v>
      </c>
      <c r="D2762" t="inlineStr">
        <is>
          <t>JÄMTLANDS LÄN</t>
        </is>
      </c>
      <c r="E2762" t="inlineStr">
        <is>
          <t>KROKOM</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62666-2021</t>
        </is>
      </c>
      <c r="B2763" s="1" t="n">
        <v>44503.94432870371</v>
      </c>
      <c r="C2763" s="1" t="n">
        <v>46045</v>
      </c>
      <c r="D2763" t="inlineStr">
        <is>
          <t>JÄMTLANDS LÄN</t>
        </is>
      </c>
      <c r="E2763" t="inlineStr">
        <is>
          <t>STRÖMSUND</t>
        </is>
      </c>
      <c r="F2763" t="inlineStr">
        <is>
          <t>SCA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67488-2021</t>
        </is>
      </c>
      <c r="B2764" s="1" t="n">
        <v>44524</v>
      </c>
      <c r="C2764" s="1" t="n">
        <v>46045</v>
      </c>
      <c r="D2764" t="inlineStr">
        <is>
          <t>JÄMTLANDS LÄN</t>
        </is>
      </c>
      <c r="E2764" t="inlineStr">
        <is>
          <t>KROKOM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20816-2022</t>
        </is>
      </c>
      <c r="B2765" s="1" t="n">
        <v>44700</v>
      </c>
      <c r="C2765" s="1" t="n">
        <v>46045</v>
      </c>
      <c r="D2765" t="inlineStr">
        <is>
          <t>JÄMTLANDS LÄN</t>
        </is>
      </c>
      <c r="E2765" t="inlineStr">
        <is>
          <t>ÅRE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59313-2021</t>
        </is>
      </c>
      <c r="B2766" s="1" t="n">
        <v>44490.94037037037</v>
      </c>
      <c r="C2766" s="1" t="n">
        <v>46045</v>
      </c>
      <c r="D2766" t="inlineStr">
        <is>
          <t>JÄMTLANDS LÄN</t>
        </is>
      </c>
      <c r="E2766" t="inlineStr">
        <is>
          <t>STRÖMSUND</t>
        </is>
      </c>
      <c r="F2766" t="inlineStr">
        <is>
          <t>SCA</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56193-2022</t>
        </is>
      </c>
      <c r="B2767" s="1" t="n">
        <v>44889</v>
      </c>
      <c r="C2767" s="1" t="n">
        <v>46045</v>
      </c>
      <c r="D2767" t="inlineStr">
        <is>
          <t>JÄMTLANDS LÄN</t>
        </is>
      </c>
      <c r="E2767" t="inlineStr">
        <is>
          <t>RAGUNDA</t>
        </is>
      </c>
      <c r="F2767" t="inlineStr">
        <is>
          <t>Sveaskog</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35342-2021</t>
        </is>
      </c>
      <c r="B2768" s="1" t="n">
        <v>44384.9189699074</v>
      </c>
      <c r="C2768" s="1" t="n">
        <v>46045</v>
      </c>
      <c r="D2768" t="inlineStr">
        <is>
          <t>JÄMTLANDS LÄN</t>
        </is>
      </c>
      <c r="E2768" t="inlineStr">
        <is>
          <t>STRÖMSUND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5515-2022</t>
        </is>
      </c>
      <c r="B2769" s="1" t="n">
        <v>44595</v>
      </c>
      <c r="C2769" s="1" t="n">
        <v>46045</v>
      </c>
      <c r="D2769" t="inlineStr">
        <is>
          <t>JÄMTLANDS LÄN</t>
        </is>
      </c>
      <c r="E2769" t="inlineStr">
        <is>
          <t>RAGUNDA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69143-2021</t>
        </is>
      </c>
      <c r="B2770" s="1" t="n">
        <v>44530</v>
      </c>
      <c r="C2770" s="1" t="n">
        <v>46045</v>
      </c>
      <c r="D2770" t="inlineStr">
        <is>
          <t>JÄMTLANDS LÄN</t>
        </is>
      </c>
      <c r="E2770" t="inlineStr">
        <is>
          <t>STRÖMSUND</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27148-2021</t>
        </is>
      </c>
      <c r="B2771" s="1" t="n">
        <v>44350</v>
      </c>
      <c r="C2771" s="1" t="n">
        <v>46045</v>
      </c>
      <c r="D2771" t="inlineStr">
        <is>
          <t>JÄMTLANDS LÄN</t>
        </is>
      </c>
      <c r="E2771" t="inlineStr">
        <is>
          <t>STRÖMSUND</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27917-2022</t>
        </is>
      </c>
      <c r="B2772" s="1" t="n">
        <v>44743.94123842593</v>
      </c>
      <c r="C2772" s="1" t="n">
        <v>46045</v>
      </c>
      <c r="D2772" t="inlineStr">
        <is>
          <t>JÄMTLANDS LÄN</t>
        </is>
      </c>
      <c r="E2772" t="inlineStr">
        <is>
          <t>STRÖMSUND</t>
        </is>
      </c>
      <c r="F2772" t="inlineStr">
        <is>
          <t>SCA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27232-2021</t>
        </is>
      </c>
      <c r="B2773" s="1" t="n">
        <v>44350</v>
      </c>
      <c r="C2773" s="1" t="n">
        <v>46045</v>
      </c>
      <c r="D2773" t="inlineStr">
        <is>
          <t>JÄMTLANDS LÄN</t>
        </is>
      </c>
      <c r="E2773" t="inlineStr">
        <is>
          <t>STRÖMSUND</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70522-2021</t>
        </is>
      </c>
      <c r="B2774" s="1" t="n">
        <v>44536.94172453704</v>
      </c>
      <c r="C2774" s="1" t="n">
        <v>46045</v>
      </c>
      <c r="D2774" t="inlineStr">
        <is>
          <t>JÄMTLANDS LÄN</t>
        </is>
      </c>
      <c r="E2774" t="inlineStr">
        <is>
          <t>ÅRE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70523-2021</t>
        </is>
      </c>
      <c r="B2775" s="1" t="n">
        <v>44536.94177083333</v>
      </c>
      <c r="C2775" s="1" t="n">
        <v>46045</v>
      </c>
      <c r="D2775" t="inlineStr">
        <is>
          <t>JÄMTLANDS LÄN</t>
        </is>
      </c>
      <c r="E2775" t="inlineStr">
        <is>
          <t>ÅRE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34805-2022</t>
        </is>
      </c>
      <c r="B2776" s="1" t="n">
        <v>44795.94767361111</v>
      </c>
      <c r="C2776" s="1" t="n">
        <v>46045</v>
      </c>
      <c r="D2776" t="inlineStr">
        <is>
          <t>JÄMTLANDS LÄN</t>
        </is>
      </c>
      <c r="E2776" t="inlineStr">
        <is>
          <t>STRÖMSUND</t>
        </is>
      </c>
      <c r="F2776" t="inlineStr">
        <is>
          <t>SCA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62953-2021</t>
        </is>
      </c>
      <c r="B2777" s="1" t="n">
        <v>44504</v>
      </c>
      <c r="C2777" s="1" t="n">
        <v>46045</v>
      </c>
      <c r="D2777" t="inlineStr">
        <is>
          <t>JÄMTLANDS LÄN</t>
        </is>
      </c>
      <c r="E2777" t="inlineStr">
        <is>
          <t>BRÄCKE</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31972-2022</t>
        </is>
      </c>
      <c r="B2778" s="1" t="n">
        <v>44777.95504629629</v>
      </c>
      <c r="C2778" s="1" t="n">
        <v>46045</v>
      </c>
      <c r="D2778" t="inlineStr">
        <is>
          <t>JÄMTLANDS LÄN</t>
        </is>
      </c>
      <c r="E2778" t="inlineStr">
        <is>
          <t>RAGUNDA</t>
        </is>
      </c>
      <c r="F2778" t="inlineStr">
        <is>
          <t>Naturvårdsverket</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31978-2022</t>
        </is>
      </c>
      <c r="B2779" s="1" t="n">
        <v>44777.95574074074</v>
      </c>
      <c r="C2779" s="1" t="n">
        <v>46045</v>
      </c>
      <c r="D2779" t="inlineStr">
        <is>
          <t>JÄMTLANDS LÄN</t>
        </is>
      </c>
      <c r="E2779" t="inlineStr">
        <is>
          <t>BRÄCKE</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63579-2021</t>
        </is>
      </c>
      <c r="B2780" s="1" t="n">
        <v>44508</v>
      </c>
      <c r="C2780" s="1" t="n">
        <v>46045</v>
      </c>
      <c r="D2780" t="inlineStr">
        <is>
          <t>JÄMTLANDS LÄN</t>
        </is>
      </c>
      <c r="E2780" t="inlineStr">
        <is>
          <t>BRÄCKE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48086-2022</t>
        </is>
      </c>
      <c r="B2781" s="1" t="n">
        <v>44855.9471875</v>
      </c>
      <c r="C2781" s="1" t="n">
        <v>46045</v>
      </c>
      <c r="D2781" t="inlineStr">
        <is>
          <t>JÄMTLANDS LÄN</t>
        </is>
      </c>
      <c r="E2781" t="inlineStr">
        <is>
          <t>RAGUNDA</t>
        </is>
      </c>
      <c r="F2781" t="inlineStr">
        <is>
          <t>SCA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60957-2021</t>
        </is>
      </c>
      <c r="B2782" s="1" t="n">
        <v>44496</v>
      </c>
      <c r="C2782" s="1" t="n">
        <v>46045</v>
      </c>
      <c r="D2782" t="inlineStr">
        <is>
          <t>JÄMTLANDS LÄN</t>
        </is>
      </c>
      <c r="E2782" t="inlineStr">
        <is>
          <t>RAGUNDA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47975-2022</t>
        </is>
      </c>
      <c r="B2783" s="1" t="n">
        <v>44855.60383101852</v>
      </c>
      <c r="C2783" s="1" t="n">
        <v>46045</v>
      </c>
      <c r="D2783" t="inlineStr">
        <is>
          <t>JÄMTLANDS LÄN</t>
        </is>
      </c>
      <c r="E2783" t="inlineStr">
        <is>
          <t>HÄRJEDALEN</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31740-2021</t>
        </is>
      </c>
      <c r="B2784" s="1" t="n">
        <v>44369.93760416667</v>
      </c>
      <c r="C2784" s="1" t="n">
        <v>46045</v>
      </c>
      <c r="D2784" t="inlineStr">
        <is>
          <t>JÄMTLANDS LÄN</t>
        </is>
      </c>
      <c r="E2784" t="inlineStr">
        <is>
          <t>STRÖMSUND</t>
        </is>
      </c>
      <c r="F2784" t="inlineStr">
        <is>
          <t>SCA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66683-2021</t>
        </is>
      </c>
      <c r="B2785" s="1" t="n">
        <v>44519.63436342592</v>
      </c>
      <c r="C2785" s="1" t="n">
        <v>46045</v>
      </c>
      <c r="D2785" t="inlineStr">
        <is>
          <t>JÄMTLANDS LÄN</t>
        </is>
      </c>
      <c r="E2785" t="inlineStr">
        <is>
          <t>KROKOM</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10741-2022</t>
        </is>
      </c>
      <c r="B2786" s="1" t="n">
        <v>44627.36047453704</v>
      </c>
      <c r="C2786" s="1" t="n">
        <v>46045</v>
      </c>
      <c r="D2786" t="inlineStr">
        <is>
          <t>JÄMTLANDS LÄN</t>
        </is>
      </c>
      <c r="E2786" t="inlineStr">
        <is>
          <t>HÄRJEDALEN</t>
        </is>
      </c>
      <c r="F2786" t="inlineStr">
        <is>
          <t>Holmen skog AB</t>
        </is>
      </c>
      <c r="G2786" t="n">
        <v>8</v>
      </c>
      <c r="H2786" t="n">
        <v>0</v>
      </c>
      <c r="I2786" t="n">
        <v>0</v>
      </c>
      <c r="J2786" t="n">
        <v>0</v>
      </c>
      <c r="K2786" t="n">
        <v>0</v>
      </c>
      <c r="L2786" t="n">
        <v>0</v>
      </c>
      <c r="M2786" t="n">
        <v>0</v>
      </c>
      <c r="N2786" t="n">
        <v>0</v>
      </c>
      <c r="O2786" t="n">
        <v>0</v>
      </c>
      <c r="P2786" t="n">
        <v>0</v>
      </c>
      <c r="Q2786" t="n">
        <v>0</v>
      </c>
      <c r="R2786" s="2" t="inlineStr"/>
    </row>
    <row r="2787" ht="15" customHeight="1">
      <c r="A2787" t="inlineStr">
        <is>
          <t>A 26122-2022</t>
        </is>
      </c>
      <c r="B2787" s="1" t="n">
        <v>44734.94193287037</v>
      </c>
      <c r="C2787" s="1" t="n">
        <v>46045</v>
      </c>
      <c r="D2787" t="inlineStr">
        <is>
          <t>JÄMTLANDS LÄN</t>
        </is>
      </c>
      <c r="E2787" t="inlineStr">
        <is>
          <t>RAGUNDA</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1107-2022</t>
        </is>
      </c>
      <c r="B2788" s="1" t="n">
        <v>44571</v>
      </c>
      <c r="C2788" s="1" t="n">
        <v>46045</v>
      </c>
      <c r="D2788" t="inlineStr">
        <is>
          <t>JÄMTLANDS LÄN</t>
        </is>
      </c>
      <c r="E2788" t="inlineStr">
        <is>
          <t>STRÖMSUND</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59969-2021</t>
        </is>
      </c>
      <c r="B2789" s="1" t="n">
        <v>44494.93578703704</v>
      </c>
      <c r="C2789" s="1" t="n">
        <v>46045</v>
      </c>
      <c r="D2789" t="inlineStr">
        <is>
          <t>JÄMTLANDS LÄN</t>
        </is>
      </c>
      <c r="E2789" t="inlineStr">
        <is>
          <t>STRÖMSUND</t>
        </is>
      </c>
      <c r="F2789" t="inlineStr">
        <is>
          <t>SCA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59996-2021</t>
        </is>
      </c>
      <c r="B2790" s="1" t="n">
        <v>44494.93930555556</v>
      </c>
      <c r="C2790" s="1" t="n">
        <v>46045</v>
      </c>
      <c r="D2790" t="inlineStr">
        <is>
          <t>JÄMTLANDS LÄN</t>
        </is>
      </c>
      <c r="E2790" t="inlineStr">
        <is>
          <t>RAGUNDA</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71956-2021</t>
        </is>
      </c>
      <c r="B2791" s="1" t="n">
        <v>44544</v>
      </c>
      <c r="C2791" s="1" t="n">
        <v>46045</v>
      </c>
      <c r="D2791" t="inlineStr">
        <is>
          <t>JÄMTLANDS LÄN</t>
        </is>
      </c>
      <c r="E2791" t="inlineStr">
        <is>
          <t>ÖSTERSUND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29094-2022</t>
        </is>
      </c>
      <c r="B2792" s="1" t="n">
        <v>44750</v>
      </c>
      <c r="C2792" s="1" t="n">
        <v>46045</v>
      </c>
      <c r="D2792" t="inlineStr">
        <is>
          <t>JÄMTLANDS LÄN</t>
        </is>
      </c>
      <c r="E2792" t="inlineStr">
        <is>
          <t>ÖSTERSUND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36689-2022</t>
        </is>
      </c>
      <c r="B2793" s="1" t="n">
        <v>44804</v>
      </c>
      <c r="C2793" s="1" t="n">
        <v>46045</v>
      </c>
      <c r="D2793" t="inlineStr">
        <is>
          <t>JÄMTLANDS LÄN</t>
        </is>
      </c>
      <c r="E2793" t="inlineStr">
        <is>
          <t>STRÖMSUND</t>
        </is>
      </c>
      <c r="F2793" t="inlineStr">
        <is>
          <t>SCA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21193-2022</t>
        </is>
      </c>
      <c r="B2794" s="1" t="n">
        <v>44704.94217592593</v>
      </c>
      <c r="C2794" s="1" t="n">
        <v>46045</v>
      </c>
      <c r="D2794" t="inlineStr">
        <is>
          <t>JÄMTLANDS LÄN</t>
        </is>
      </c>
      <c r="E2794" t="inlineStr">
        <is>
          <t>RAGUNDA</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68483-2021</t>
        </is>
      </c>
      <c r="B2795" s="1" t="n">
        <v>44529</v>
      </c>
      <c r="C2795" s="1" t="n">
        <v>46045</v>
      </c>
      <c r="D2795" t="inlineStr">
        <is>
          <t>JÄMTLANDS LÄN</t>
        </is>
      </c>
      <c r="E2795" t="inlineStr">
        <is>
          <t>BERG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20179-2021</t>
        </is>
      </c>
      <c r="B2796" s="1" t="n">
        <v>44314.56744212963</v>
      </c>
      <c r="C2796" s="1" t="n">
        <v>46045</v>
      </c>
      <c r="D2796" t="inlineStr">
        <is>
          <t>JÄMTLANDS LÄN</t>
        </is>
      </c>
      <c r="E2796" t="inlineStr">
        <is>
          <t>BERG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4121-2025</t>
        </is>
      </c>
      <c r="B2797" s="1" t="n">
        <v>45685.26607638889</v>
      </c>
      <c r="C2797" s="1" t="n">
        <v>46045</v>
      </c>
      <c r="D2797" t="inlineStr">
        <is>
          <t>JÄMTLANDS LÄN</t>
        </is>
      </c>
      <c r="E2797" t="inlineStr">
        <is>
          <t>BRÄCKE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30962-2022</t>
        </is>
      </c>
      <c r="B2798" s="1" t="n">
        <v>44768.44859953703</v>
      </c>
      <c r="C2798" s="1" t="n">
        <v>46045</v>
      </c>
      <c r="D2798" t="inlineStr">
        <is>
          <t>JÄMTLANDS LÄN</t>
        </is>
      </c>
      <c r="E2798" t="inlineStr">
        <is>
          <t>HÄRJEDALEN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40213-2021</t>
        </is>
      </c>
      <c r="B2799" s="1" t="n">
        <v>44418.9369212963</v>
      </c>
      <c r="C2799" s="1" t="n">
        <v>46045</v>
      </c>
      <c r="D2799" t="inlineStr">
        <is>
          <t>JÄMTLANDS LÄN</t>
        </is>
      </c>
      <c r="E2799" t="inlineStr">
        <is>
          <t>RAGUNDA</t>
        </is>
      </c>
      <c r="F2799" t="inlineStr">
        <is>
          <t>SCA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69504-2021</t>
        </is>
      </c>
      <c r="B2800" s="1" t="n">
        <v>44531</v>
      </c>
      <c r="C2800" s="1" t="n">
        <v>46045</v>
      </c>
      <c r="D2800" t="inlineStr">
        <is>
          <t>JÄMTLANDS LÄN</t>
        </is>
      </c>
      <c r="E2800" t="inlineStr">
        <is>
          <t>HÄRJEDALEN</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34521-2022</t>
        </is>
      </c>
      <c r="B2801" s="1" t="n">
        <v>44792.94493055555</v>
      </c>
      <c r="C2801" s="1" t="n">
        <v>46045</v>
      </c>
      <c r="D2801" t="inlineStr">
        <is>
          <t>JÄMTLANDS LÄN</t>
        </is>
      </c>
      <c r="E2801" t="inlineStr">
        <is>
          <t>STRÖMSUND</t>
        </is>
      </c>
      <c r="F2801" t="inlineStr">
        <is>
          <t>SCA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69139-2021</t>
        </is>
      </c>
      <c r="B2802" s="1" t="n">
        <v>44530.94604166667</v>
      </c>
      <c r="C2802" s="1" t="n">
        <v>46045</v>
      </c>
      <c r="D2802" t="inlineStr">
        <is>
          <t>JÄMTLANDS LÄN</t>
        </is>
      </c>
      <c r="E2802" t="inlineStr">
        <is>
          <t>STRÖMSUND</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41209-2022</t>
        </is>
      </c>
      <c r="B2803" s="1" t="n">
        <v>44825</v>
      </c>
      <c r="C2803" s="1" t="n">
        <v>46045</v>
      </c>
      <c r="D2803" t="inlineStr">
        <is>
          <t>JÄMTLANDS LÄN</t>
        </is>
      </c>
      <c r="E2803" t="inlineStr">
        <is>
          <t>HÄRJEDALEN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33279-2022</t>
        </is>
      </c>
      <c r="B2804" s="1" t="n">
        <v>44788</v>
      </c>
      <c r="C2804" s="1" t="n">
        <v>46045</v>
      </c>
      <c r="D2804" t="inlineStr">
        <is>
          <t>JÄMTLANDS LÄN</t>
        </is>
      </c>
      <c r="E2804" t="inlineStr">
        <is>
          <t>RAGUNDA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47567-2022</t>
        </is>
      </c>
      <c r="B2805" s="1" t="n">
        <v>44853</v>
      </c>
      <c r="C2805" s="1" t="n">
        <v>46045</v>
      </c>
      <c r="D2805" t="inlineStr">
        <is>
          <t>JÄMTLANDS LÄN</t>
        </is>
      </c>
      <c r="E2805" t="inlineStr">
        <is>
          <t>RAGUNDA</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56678-2024</t>
        </is>
      </c>
      <c r="B2806" s="1" t="n">
        <v>45627.48559027778</v>
      </c>
      <c r="C2806" s="1" t="n">
        <v>46045</v>
      </c>
      <c r="D2806" t="inlineStr">
        <is>
          <t>JÄMTLANDS LÄN</t>
        </is>
      </c>
      <c r="E2806" t="inlineStr">
        <is>
          <t>STRÖMSUND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16247-2025</t>
        </is>
      </c>
      <c r="B2807" s="1" t="n">
        <v>45749</v>
      </c>
      <c r="C2807" s="1" t="n">
        <v>46045</v>
      </c>
      <c r="D2807" t="inlineStr">
        <is>
          <t>JÄMTLANDS LÄN</t>
        </is>
      </c>
      <c r="E2807" t="inlineStr">
        <is>
          <t>KROKOM</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31212-2021</t>
        </is>
      </c>
      <c r="B2808" s="1" t="n">
        <v>44368</v>
      </c>
      <c r="C2808" s="1" t="n">
        <v>46045</v>
      </c>
      <c r="D2808" t="inlineStr">
        <is>
          <t>JÄMTLANDS LÄN</t>
        </is>
      </c>
      <c r="E2808" t="inlineStr">
        <is>
          <t>HÄRJEDALEN</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2009-2022</t>
        </is>
      </c>
      <c r="B2809" s="1" t="n">
        <v>44575</v>
      </c>
      <c r="C2809" s="1" t="n">
        <v>46045</v>
      </c>
      <c r="D2809" t="inlineStr">
        <is>
          <t>JÄMTLANDS LÄN</t>
        </is>
      </c>
      <c r="E2809" t="inlineStr">
        <is>
          <t>BERG</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7908-2025</t>
        </is>
      </c>
      <c r="B2810" s="1" t="n">
        <v>45707.33935185185</v>
      </c>
      <c r="C2810" s="1" t="n">
        <v>46045</v>
      </c>
      <c r="D2810" t="inlineStr">
        <is>
          <t>JÄMTLANDS LÄN</t>
        </is>
      </c>
      <c r="E2810" t="inlineStr">
        <is>
          <t>KROKOM</t>
        </is>
      </c>
      <c r="F2810" t="inlineStr">
        <is>
          <t>Övriga Aktiebolag</t>
        </is>
      </c>
      <c r="G2810" t="n">
        <v>10.1</v>
      </c>
      <c r="H2810" t="n">
        <v>0</v>
      </c>
      <c r="I2810" t="n">
        <v>0</v>
      </c>
      <c r="J2810" t="n">
        <v>0</v>
      </c>
      <c r="K2810" t="n">
        <v>0</v>
      </c>
      <c r="L2810" t="n">
        <v>0</v>
      </c>
      <c r="M2810" t="n">
        <v>0</v>
      </c>
      <c r="N2810" t="n">
        <v>0</v>
      </c>
      <c r="O2810" t="n">
        <v>0</v>
      </c>
      <c r="P2810" t="n">
        <v>0</v>
      </c>
      <c r="Q2810" t="n">
        <v>0</v>
      </c>
      <c r="R2810" s="2" t="inlineStr"/>
    </row>
    <row r="2811" ht="15" customHeight="1">
      <c r="A2811" t="inlineStr">
        <is>
          <t>A 25328-2023</t>
        </is>
      </c>
      <c r="B2811" s="1" t="n">
        <v>45086.93983796296</v>
      </c>
      <c r="C2811" s="1" t="n">
        <v>46045</v>
      </c>
      <c r="D2811" t="inlineStr">
        <is>
          <t>JÄMTLANDS LÄN</t>
        </is>
      </c>
      <c r="E2811" t="inlineStr">
        <is>
          <t>STRÖMSUND</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64723-2021</t>
        </is>
      </c>
      <c r="B2812" s="1" t="n">
        <v>44512</v>
      </c>
      <c r="C2812" s="1" t="n">
        <v>46045</v>
      </c>
      <c r="D2812" t="inlineStr">
        <is>
          <t>JÄMTLANDS LÄN</t>
        </is>
      </c>
      <c r="E2812" t="inlineStr">
        <is>
          <t>STRÖMSUND</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10220-2025</t>
        </is>
      </c>
      <c r="B2813" s="1" t="n">
        <v>45720</v>
      </c>
      <c r="C2813" s="1" t="n">
        <v>46045</v>
      </c>
      <c r="D2813" t="inlineStr">
        <is>
          <t>JÄMTLANDS LÄN</t>
        </is>
      </c>
      <c r="E2813" t="inlineStr">
        <is>
          <t>KROKOM</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17383-2023</t>
        </is>
      </c>
      <c r="B2814" s="1" t="n">
        <v>45035</v>
      </c>
      <c r="C2814" s="1" t="n">
        <v>46045</v>
      </c>
      <c r="D2814" t="inlineStr">
        <is>
          <t>JÄMTLANDS LÄN</t>
        </is>
      </c>
      <c r="E2814" t="inlineStr">
        <is>
          <t>KROKOM</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37832-2021</t>
        </is>
      </c>
      <c r="B2815" s="1" t="n">
        <v>44403</v>
      </c>
      <c r="C2815" s="1" t="n">
        <v>46045</v>
      </c>
      <c r="D2815" t="inlineStr">
        <is>
          <t>JÄMTLANDS LÄN</t>
        </is>
      </c>
      <c r="E2815" t="inlineStr">
        <is>
          <t>HÄRJEDALEN</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63346-2021</t>
        </is>
      </c>
      <c r="B2816" s="1" t="n">
        <v>44508.47607638889</v>
      </c>
      <c r="C2816" s="1" t="n">
        <v>46045</v>
      </c>
      <c r="D2816" t="inlineStr">
        <is>
          <t>JÄMTLANDS LÄN</t>
        </is>
      </c>
      <c r="E2816" t="inlineStr">
        <is>
          <t>BRÄCKE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55002-2024</t>
        </is>
      </c>
      <c r="B2817" s="1" t="n">
        <v>45621</v>
      </c>
      <c r="C2817" s="1" t="n">
        <v>46045</v>
      </c>
      <c r="D2817" t="inlineStr">
        <is>
          <t>JÄMTLANDS LÄN</t>
        </is>
      </c>
      <c r="E2817" t="inlineStr">
        <is>
          <t>ÖSTERSUND</t>
        </is>
      </c>
      <c r="F2817" t="inlineStr">
        <is>
          <t>Övriga Aktiebolag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33878-2021</t>
        </is>
      </c>
      <c r="B2818" s="1" t="n">
        <v>44378.64378472222</v>
      </c>
      <c r="C2818" s="1" t="n">
        <v>46045</v>
      </c>
      <c r="D2818" t="inlineStr">
        <is>
          <t>JÄMTLANDS LÄN</t>
        </is>
      </c>
      <c r="E2818" t="inlineStr">
        <is>
          <t>BERG</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69490-2021</t>
        </is>
      </c>
      <c r="B2819" s="1" t="n">
        <v>44531</v>
      </c>
      <c r="C2819" s="1" t="n">
        <v>46045</v>
      </c>
      <c r="D2819" t="inlineStr">
        <is>
          <t>JÄMTLANDS LÄN</t>
        </is>
      </c>
      <c r="E2819" t="inlineStr">
        <is>
          <t>HÄRJEDALEN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69501-2021</t>
        </is>
      </c>
      <c r="B2820" s="1" t="n">
        <v>44531</v>
      </c>
      <c r="C2820" s="1" t="n">
        <v>46045</v>
      </c>
      <c r="D2820" t="inlineStr">
        <is>
          <t>JÄMTLANDS LÄN</t>
        </is>
      </c>
      <c r="E2820" t="inlineStr">
        <is>
          <t>HÄRJEDALEN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12611-2025</t>
        </is>
      </c>
      <c r="B2821" s="1" t="n">
        <v>45733.33921296296</v>
      </c>
      <c r="C2821" s="1" t="n">
        <v>46045</v>
      </c>
      <c r="D2821" t="inlineStr">
        <is>
          <t>JÄMTLANDS LÄN</t>
        </is>
      </c>
      <c r="E2821" t="inlineStr">
        <is>
          <t>BERG</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55100-2022</t>
        </is>
      </c>
      <c r="B2822" s="1" t="n">
        <v>44886.62578703704</v>
      </c>
      <c r="C2822" s="1" t="n">
        <v>46045</v>
      </c>
      <c r="D2822" t="inlineStr">
        <is>
          <t>JÄMTLANDS LÄN</t>
        </is>
      </c>
      <c r="E2822" t="inlineStr">
        <is>
          <t>HÄRJEDALEN</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14598-2021</t>
        </is>
      </c>
      <c r="B2823" s="1" t="n">
        <v>44279</v>
      </c>
      <c r="C2823" s="1" t="n">
        <v>46045</v>
      </c>
      <c r="D2823" t="inlineStr">
        <is>
          <t>JÄMTLANDS LÄN</t>
        </is>
      </c>
      <c r="E2823" t="inlineStr">
        <is>
          <t>KROKOM</t>
        </is>
      </c>
      <c r="G2823" t="n">
        <v>25.4</v>
      </c>
      <c r="H2823" t="n">
        <v>0</v>
      </c>
      <c r="I2823" t="n">
        <v>0</v>
      </c>
      <c r="J2823" t="n">
        <v>0</v>
      </c>
      <c r="K2823" t="n">
        <v>0</v>
      </c>
      <c r="L2823" t="n">
        <v>0</v>
      </c>
      <c r="M2823" t="n">
        <v>0</v>
      </c>
      <c r="N2823" t="n">
        <v>0</v>
      </c>
      <c r="O2823" t="n">
        <v>0</v>
      </c>
      <c r="P2823" t="n">
        <v>0</v>
      </c>
      <c r="Q2823" t="n">
        <v>0</v>
      </c>
      <c r="R2823" s="2" t="inlineStr"/>
    </row>
    <row r="2824" ht="15" customHeight="1">
      <c r="A2824" t="inlineStr">
        <is>
          <t>A 20210-2025</t>
        </is>
      </c>
      <c r="B2824" s="1" t="n">
        <v>45772.62052083333</v>
      </c>
      <c r="C2824" s="1" t="n">
        <v>46045</v>
      </c>
      <c r="D2824" t="inlineStr">
        <is>
          <t>JÄMTLANDS LÄN</t>
        </is>
      </c>
      <c r="E2824" t="inlineStr">
        <is>
          <t>KROKOM</t>
        </is>
      </c>
      <c r="G2824" t="n">
        <v>12.3</v>
      </c>
      <c r="H2824" t="n">
        <v>0</v>
      </c>
      <c r="I2824" t="n">
        <v>0</v>
      </c>
      <c r="J2824" t="n">
        <v>0</v>
      </c>
      <c r="K2824" t="n">
        <v>0</v>
      </c>
      <c r="L2824" t="n">
        <v>0</v>
      </c>
      <c r="M2824" t="n">
        <v>0</v>
      </c>
      <c r="N2824" t="n">
        <v>0</v>
      </c>
      <c r="O2824" t="n">
        <v>0</v>
      </c>
      <c r="P2824" t="n">
        <v>0</v>
      </c>
      <c r="Q2824" t="n">
        <v>0</v>
      </c>
      <c r="R2824" s="2" t="inlineStr"/>
    </row>
    <row r="2825" ht="15" customHeight="1">
      <c r="A2825" t="inlineStr">
        <is>
          <t>A 55103-2022</t>
        </is>
      </c>
      <c r="B2825" s="1" t="n">
        <v>44886.629375</v>
      </c>
      <c r="C2825" s="1" t="n">
        <v>46045</v>
      </c>
      <c r="D2825" t="inlineStr">
        <is>
          <t>JÄMTLANDS LÄN</t>
        </is>
      </c>
      <c r="E2825" t="inlineStr">
        <is>
          <t>HÄRJEDALEN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43040-2021</t>
        </is>
      </c>
      <c r="B2826" s="1" t="n">
        <v>44431</v>
      </c>
      <c r="C2826" s="1" t="n">
        <v>46045</v>
      </c>
      <c r="D2826" t="inlineStr">
        <is>
          <t>JÄMTLANDS LÄN</t>
        </is>
      </c>
      <c r="E2826" t="inlineStr">
        <is>
          <t>RAGUNDA</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32978-2022</t>
        </is>
      </c>
      <c r="B2827" s="1" t="n">
        <v>44784.94083333333</v>
      </c>
      <c r="C2827" s="1" t="n">
        <v>46045</v>
      </c>
      <c r="D2827" t="inlineStr">
        <is>
          <t>JÄMTLANDS LÄN</t>
        </is>
      </c>
      <c r="E2827" t="inlineStr">
        <is>
          <t>STRÖMSUND</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3866-2025</t>
        </is>
      </c>
      <c r="B2828" s="1" t="n">
        <v>45684.31995370371</v>
      </c>
      <c r="C2828" s="1" t="n">
        <v>46045</v>
      </c>
      <c r="D2828" t="inlineStr">
        <is>
          <t>JÄMTLANDS LÄN</t>
        </is>
      </c>
      <c r="E2828" t="inlineStr">
        <is>
          <t>BRÄCKE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45628-2021</t>
        </is>
      </c>
      <c r="B2829" s="1" t="n">
        <v>44440.98024305556</v>
      </c>
      <c r="C2829" s="1" t="n">
        <v>46045</v>
      </c>
      <c r="D2829" t="inlineStr">
        <is>
          <t>JÄMTLANDS LÄN</t>
        </is>
      </c>
      <c r="E2829" t="inlineStr">
        <is>
          <t>STRÖMSUND</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43551-2023</t>
        </is>
      </c>
      <c r="B2830" s="1" t="n">
        <v>45181</v>
      </c>
      <c r="C2830" s="1" t="n">
        <v>46045</v>
      </c>
      <c r="D2830" t="inlineStr">
        <is>
          <t>JÄMTLANDS LÄN</t>
        </is>
      </c>
      <c r="E2830" t="inlineStr">
        <is>
          <t>BRÄCKE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32964-2022</t>
        </is>
      </c>
      <c r="B2831" s="1" t="n">
        <v>44784.9250462963</v>
      </c>
      <c r="C2831" s="1" t="n">
        <v>46045</v>
      </c>
      <c r="D2831" t="inlineStr">
        <is>
          <t>JÄMTLANDS LÄN</t>
        </is>
      </c>
      <c r="E2831" t="inlineStr">
        <is>
          <t>BRÄCKE</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10590-2021</t>
        </is>
      </c>
      <c r="B2832" s="1" t="n">
        <v>44258</v>
      </c>
      <c r="C2832" s="1" t="n">
        <v>46045</v>
      </c>
      <c r="D2832" t="inlineStr">
        <is>
          <t>JÄMTLANDS LÄN</t>
        </is>
      </c>
      <c r="E2832" t="inlineStr">
        <is>
          <t>ÖSTERSUND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27575-2022</t>
        </is>
      </c>
      <c r="B2833" s="1" t="n">
        <v>44742</v>
      </c>
      <c r="C2833" s="1" t="n">
        <v>46045</v>
      </c>
      <c r="D2833" t="inlineStr">
        <is>
          <t>JÄMTLANDS LÄN</t>
        </is>
      </c>
      <c r="E2833" t="inlineStr">
        <is>
          <t>ÖSTERSUND</t>
        </is>
      </c>
      <c r="F2833" t="inlineStr">
        <is>
          <t>SCA</t>
        </is>
      </c>
      <c r="G2833" t="n">
        <v>2.4</v>
      </c>
      <c r="H2833" t="n">
        <v>0</v>
      </c>
      <c r="I2833" t="n">
        <v>0</v>
      </c>
      <c r="J2833" t="n">
        <v>0</v>
      </c>
      <c r="K2833" t="n">
        <v>0</v>
      </c>
      <c r="L2833" t="n">
        <v>0</v>
      </c>
      <c r="M2833" t="n">
        <v>0</v>
      </c>
      <c r="N2833" t="n">
        <v>0</v>
      </c>
      <c r="O2833" t="n">
        <v>0</v>
      </c>
      <c r="P2833" t="n">
        <v>0</v>
      </c>
      <c r="Q2833" t="n">
        <v>0</v>
      </c>
      <c r="R2833" s="2" t="inlineStr"/>
      <c r="U2833">
        <f>HYPERLINK("https://klasma.github.io/Logging_2380/knärot/A 27575-2022 karta knärot.png", "A 27575-2022")</f>
        <v/>
      </c>
      <c r="V2833">
        <f>HYPERLINK("https://klasma.github.io/Logging_2380/klagomål/A 27575-2022 FSC-klagomål.docx", "A 27575-2022")</f>
        <v/>
      </c>
      <c r="W2833">
        <f>HYPERLINK("https://klasma.github.io/Logging_2380/klagomålsmail/A 27575-2022 FSC-klagomål mail.docx", "A 27575-2022")</f>
        <v/>
      </c>
      <c r="X2833">
        <f>HYPERLINK("https://klasma.github.io/Logging_2380/tillsyn/A 27575-2022 tillsynsbegäran.docx", "A 27575-2022")</f>
        <v/>
      </c>
      <c r="Y2833">
        <f>HYPERLINK("https://klasma.github.io/Logging_2380/tillsynsmail/A 27575-2022 tillsynsbegäran mail.docx", "A 27575-2022")</f>
        <v/>
      </c>
    </row>
    <row r="2834" ht="15" customHeight="1">
      <c r="A2834" t="inlineStr">
        <is>
          <t>A 39321-2021</t>
        </is>
      </c>
      <c r="B2834" s="1" t="n">
        <v>44413</v>
      </c>
      <c r="C2834" s="1" t="n">
        <v>46045</v>
      </c>
      <c r="D2834" t="inlineStr">
        <is>
          <t>JÄMTLANDS LÄN</t>
        </is>
      </c>
      <c r="E2834" t="inlineStr">
        <is>
          <t>HÄRJEDALEN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32990-2021</t>
        </is>
      </c>
      <c r="B2835" s="1" t="n">
        <v>44375</v>
      </c>
      <c r="C2835" s="1" t="n">
        <v>46045</v>
      </c>
      <c r="D2835" t="inlineStr">
        <is>
          <t>JÄMTLANDS LÄN</t>
        </is>
      </c>
      <c r="E2835" t="inlineStr">
        <is>
          <t>ÖSTERSUND</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43825-2022</t>
        </is>
      </c>
      <c r="B2836" s="1" t="n">
        <v>44838</v>
      </c>
      <c r="C2836" s="1" t="n">
        <v>46045</v>
      </c>
      <c r="D2836" t="inlineStr">
        <is>
          <t>JÄMTLANDS LÄN</t>
        </is>
      </c>
      <c r="E2836" t="inlineStr">
        <is>
          <t>HÄRJEDALEN</t>
        </is>
      </c>
      <c r="F2836" t="inlineStr">
        <is>
          <t>Bergvik skog väst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54516-2021</t>
        </is>
      </c>
      <c r="B2837" s="1" t="n">
        <v>44473.53013888889</v>
      </c>
      <c r="C2837" s="1" t="n">
        <v>46045</v>
      </c>
      <c r="D2837" t="inlineStr">
        <is>
          <t>JÄMTLANDS LÄN</t>
        </is>
      </c>
      <c r="E2837" t="inlineStr">
        <is>
          <t>KROKOM</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27298-2024</t>
        </is>
      </c>
      <c r="B2838" s="1" t="n">
        <v>45471.94336805555</v>
      </c>
      <c r="C2838" s="1" t="n">
        <v>46045</v>
      </c>
      <c r="D2838" t="inlineStr">
        <is>
          <t>JÄMTLANDS LÄN</t>
        </is>
      </c>
      <c r="E2838" t="inlineStr">
        <is>
          <t>STRÖMSUND</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19026-2023</t>
        </is>
      </c>
      <c r="B2839" s="1" t="n">
        <v>45047</v>
      </c>
      <c r="C2839" s="1" t="n">
        <v>46045</v>
      </c>
      <c r="D2839" t="inlineStr">
        <is>
          <t>JÄMTLANDS LÄN</t>
        </is>
      </c>
      <c r="E2839" t="inlineStr">
        <is>
          <t>STRÖMSUND</t>
        </is>
      </c>
      <c r="G2839" t="n">
        <v>15.1</v>
      </c>
      <c r="H2839" t="n">
        <v>0</v>
      </c>
      <c r="I2839" t="n">
        <v>0</v>
      </c>
      <c r="J2839" t="n">
        <v>0</v>
      </c>
      <c r="K2839" t="n">
        <v>0</v>
      </c>
      <c r="L2839" t="n">
        <v>0</v>
      </c>
      <c r="M2839" t="n">
        <v>0</v>
      </c>
      <c r="N2839" t="n">
        <v>0</v>
      </c>
      <c r="O2839" t="n">
        <v>0</v>
      </c>
      <c r="P2839" t="n">
        <v>0</v>
      </c>
      <c r="Q2839" t="n">
        <v>0</v>
      </c>
      <c r="R2839" s="2" t="inlineStr"/>
    </row>
    <row r="2840" ht="15" customHeight="1">
      <c r="A2840" t="inlineStr">
        <is>
          <t>A 50476-2021</t>
        </is>
      </c>
      <c r="B2840" s="1" t="n">
        <v>44459</v>
      </c>
      <c r="C2840" s="1" t="n">
        <v>46045</v>
      </c>
      <c r="D2840" t="inlineStr">
        <is>
          <t>JÄMTLANDS LÄN</t>
        </is>
      </c>
      <c r="E2840" t="inlineStr">
        <is>
          <t>KROKOM</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19029-2023</t>
        </is>
      </c>
      <c r="B2841" s="1" t="n">
        <v>45047</v>
      </c>
      <c r="C2841" s="1" t="n">
        <v>46045</v>
      </c>
      <c r="D2841" t="inlineStr">
        <is>
          <t>JÄMTLANDS LÄN</t>
        </is>
      </c>
      <c r="E2841" t="inlineStr">
        <is>
          <t>STRÖMSUND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7385-2025</t>
        </is>
      </c>
      <c r="B2842" s="1" t="n">
        <v>45705.32643518518</v>
      </c>
      <c r="C2842" s="1" t="n">
        <v>46045</v>
      </c>
      <c r="D2842" t="inlineStr">
        <is>
          <t>JÄMTLANDS LÄN</t>
        </is>
      </c>
      <c r="E2842" t="inlineStr">
        <is>
          <t>HÄRJEDALEN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50313-2022</t>
        </is>
      </c>
      <c r="B2843" s="1" t="n">
        <v>44865</v>
      </c>
      <c r="C2843" s="1" t="n">
        <v>46045</v>
      </c>
      <c r="D2843" t="inlineStr">
        <is>
          <t>JÄMTLANDS LÄN</t>
        </is>
      </c>
      <c r="E2843" t="inlineStr">
        <is>
          <t>STRÖMSUND</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50315-2022</t>
        </is>
      </c>
      <c r="B2844" s="1" t="n">
        <v>44865</v>
      </c>
      <c r="C2844" s="1" t="n">
        <v>46045</v>
      </c>
      <c r="D2844" t="inlineStr">
        <is>
          <t>JÄMTLANDS LÄN</t>
        </is>
      </c>
      <c r="E2844" t="inlineStr">
        <is>
          <t>STRÖMSUND</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58563-2023</t>
        </is>
      </c>
      <c r="B2845" s="1" t="n">
        <v>45246</v>
      </c>
      <c r="C2845" s="1" t="n">
        <v>46045</v>
      </c>
      <c r="D2845" t="inlineStr">
        <is>
          <t>JÄMTLANDS LÄN</t>
        </is>
      </c>
      <c r="E2845" t="inlineStr">
        <is>
          <t>KROKOM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31843-2022</t>
        </is>
      </c>
      <c r="B2846" s="1" t="n">
        <v>44776.94121527778</v>
      </c>
      <c r="C2846" s="1" t="n">
        <v>46045</v>
      </c>
      <c r="D2846" t="inlineStr">
        <is>
          <t>JÄMTLANDS LÄN</t>
        </is>
      </c>
      <c r="E2846" t="inlineStr">
        <is>
          <t>BRÄCKE</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31853-2022</t>
        </is>
      </c>
      <c r="B2847" s="1" t="n">
        <v>44776</v>
      </c>
      <c r="C2847" s="1" t="n">
        <v>46045</v>
      </c>
      <c r="D2847" t="inlineStr">
        <is>
          <t>JÄMTLANDS LÄN</t>
        </is>
      </c>
      <c r="E2847" t="inlineStr">
        <is>
          <t>BRÄCKE</t>
        </is>
      </c>
      <c r="F2847" t="inlineStr">
        <is>
          <t>SCA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66784-2021</t>
        </is>
      </c>
      <c r="B2848" s="1" t="n">
        <v>44519</v>
      </c>
      <c r="C2848" s="1" t="n">
        <v>46045</v>
      </c>
      <c r="D2848" t="inlineStr">
        <is>
          <t>JÄMTLANDS LÄN</t>
        </is>
      </c>
      <c r="E2848" t="inlineStr">
        <is>
          <t>STRÖMSUND</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16733-2021</t>
        </is>
      </c>
      <c r="B2849" s="1" t="n">
        <v>44293</v>
      </c>
      <c r="C2849" s="1" t="n">
        <v>46045</v>
      </c>
      <c r="D2849" t="inlineStr">
        <is>
          <t>JÄMTLANDS LÄN</t>
        </is>
      </c>
      <c r="E2849" t="inlineStr">
        <is>
          <t>BRÄCKE</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10429-2025</t>
        </is>
      </c>
      <c r="B2850" s="1" t="n">
        <v>45720.65675925926</v>
      </c>
      <c r="C2850" s="1" t="n">
        <v>46045</v>
      </c>
      <c r="D2850" t="inlineStr">
        <is>
          <t>JÄMTLANDS LÄN</t>
        </is>
      </c>
      <c r="E2850" t="inlineStr">
        <is>
          <t>STRÖMSUND</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13917-2023</t>
        </is>
      </c>
      <c r="B2851" s="1" t="n">
        <v>45007</v>
      </c>
      <c r="C2851" s="1" t="n">
        <v>46045</v>
      </c>
      <c r="D2851" t="inlineStr">
        <is>
          <t>JÄMTLANDS LÄN</t>
        </is>
      </c>
      <c r="E2851" t="inlineStr">
        <is>
          <t>RAGUNDA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45010-2023</t>
        </is>
      </c>
      <c r="B2852" s="1" t="n">
        <v>45190.96116898148</v>
      </c>
      <c r="C2852" s="1" t="n">
        <v>46045</v>
      </c>
      <c r="D2852" t="inlineStr">
        <is>
          <t>JÄMTLANDS LÄN</t>
        </is>
      </c>
      <c r="E2852" t="inlineStr">
        <is>
          <t>BRÄCKE</t>
        </is>
      </c>
      <c r="F2852" t="inlineStr">
        <is>
          <t>SCA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45013-2023</t>
        </is>
      </c>
      <c r="B2853" s="1" t="n">
        <v>45190.96158564815</v>
      </c>
      <c r="C2853" s="1" t="n">
        <v>46045</v>
      </c>
      <c r="D2853" t="inlineStr">
        <is>
          <t>JÄMTLANDS LÄN</t>
        </is>
      </c>
      <c r="E2853" t="inlineStr">
        <is>
          <t>BRÄCKE</t>
        </is>
      </c>
      <c r="F2853" t="inlineStr">
        <is>
          <t>SCA</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18820-2023</t>
        </is>
      </c>
      <c r="B2854" s="1" t="n">
        <v>45042</v>
      </c>
      <c r="C2854" s="1" t="n">
        <v>46045</v>
      </c>
      <c r="D2854" t="inlineStr">
        <is>
          <t>JÄMTLANDS LÄN</t>
        </is>
      </c>
      <c r="E2854" t="inlineStr">
        <is>
          <t>RAGUNDA</t>
        </is>
      </c>
      <c r="G2854" t="n">
        <v>18.8</v>
      </c>
      <c r="H2854" t="n">
        <v>0</v>
      </c>
      <c r="I2854" t="n">
        <v>0</v>
      </c>
      <c r="J2854" t="n">
        <v>0</v>
      </c>
      <c r="K2854" t="n">
        <v>0</v>
      </c>
      <c r="L2854" t="n">
        <v>0</v>
      </c>
      <c r="M2854" t="n">
        <v>0</v>
      </c>
      <c r="N2854" t="n">
        <v>0</v>
      </c>
      <c r="O2854" t="n">
        <v>0</v>
      </c>
      <c r="P2854" t="n">
        <v>0</v>
      </c>
      <c r="Q2854" t="n">
        <v>0</v>
      </c>
      <c r="R2854" s="2" t="inlineStr"/>
    </row>
    <row r="2855" ht="15" customHeight="1">
      <c r="A2855" t="inlineStr">
        <is>
          <t>A 4838-2021</t>
        </is>
      </c>
      <c r="B2855" s="1" t="n">
        <v>44225</v>
      </c>
      <c r="C2855" s="1" t="n">
        <v>46045</v>
      </c>
      <c r="D2855" t="inlineStr">
        <is>
          <t>JÄMTLANDS LÄN</t>
        </is>
      </c>
      <c r="E2855" t="inlineStr">
        <is>
          <t>ÅRE</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15425-2021</t>
        </is>
      </c>
      <c r="B2856" s="1" t="n">
        <v>44284</v>
      </c>
      <c r="C2856" s="1" t="n">
        <v>46045</v>
      </c>
      <c r="D2856" t="inlineStr">
        <is>
          <t>JÄMTLANDS LÄN</t>
        </is>
      </c>
      <c r="E2856" t="inlineStr">
        <is>
          <t>KROKOM</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364-2022</t>
        </is>
      </c>
      <c r="B2857" s="1" t="n">
        <v>44565</v>
      </c>
      <c r="C2857" s="1" t="n">
        <v>46045</v>
      </c>
      <c r="D2857" t="inlineStr">
        <is>
          <t>JÄMTLANDS LÄN</t>
        </is>
      </c>
      <c r="E2857" t="inlineStr">
        <is>
          <t>STRÖMSUND</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38733-2022</t>
        </is>
      </c>
      <c r="B2858" s="1" t="n">
        <v>44815</v>
      </c>
      <c r="C2858" s="1" t="n">
        <v>46045</v>
      </c>
      <c r="D2858" t="inlineStr">
        <is>
          <t>JÄMTLANDS LÄN</t>
        </is>
      </c>
      <c r="E2858" t="inlineStr">
        <is>
          <t>RAGUNDA</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45641-2021</t>
        </is>
      </c>
      <c r="B2859" s="1" t="n">
        <v>44440</v>
      </c>
      <c r="C2859" s="1" t="n">
        <v>46045</v>
      </c>
      <c r="D2859" t="inlineStr">
        <is>
          <t>JÄMTLANDS LÄN</t>
        </is>
      </c>
      <c r="E2859" t="inlineStr">
        <is>
          <t>STRÖMSUND</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54965-2024</t>
        </is>
      </c>
      <c r="B2860" s="1" t="n">
        <v>45620</v>
      </c>
      <c r="C2860" s="1" t="n">
        <v>46045</v>
      </c>
      <c r="D2860" t="inlineStr">
        <is>
          <t>JÄMTLANDS LÄN</t>
        </is>
      </c>
      <c r="E2860" t="inlineStr">
        <is>
          <t>STRÖMSUND</t>
        </is>
      </c>
      <c r="F2860" t="inlineStr">
        <is>
          <t>SCA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65991-2021</t>
        </is>
      </c>
      <c r="B2861" s="1" t="n">
        <v>44517.55134259259</v>
      </c>
      <c r="C2861" s="1" t="n">
        <v>46045</v>
      </c>
      <c r="D2861" t="inlineStr">
        <is>
          <t>JÄMTLANDS LÄN</t>
        </is>
      </c>
      <c r="E2861" t="inlineStr">
        <is>
          <t>ÖSTERSUND</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2336-2022</t>
        </is>
      </c>
      <c r="B2862" s="1" t="n">
        <v>44578.92284722222</v>
      </c>
      <c r="C2862" s="1" t="n">
        <v>46045</v>
      </c>
      <c r="D2862" t="inlineStr">
        <is>
          <t>JÄMTLANDS LÄN</t>
        </is>
      </c>
      <c r="E2862" t="inlineStr">
        <is>
          <t>RAGUNDA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21843-2021</t>
        </is>
      </c>
      <c r="B2863" s="1" t="n">
        <v>44316</v>
      </c>
      <c r="C2863" s="1" t="n">
        <v>46045</v>
      </c>
      <c r="D2863" t="inlineStr">
        <is>
          <t>JÄMTLANDS LÄN</t>
        </is>
      </c>
      <c r="E2863" t="inlineStr">
        <is>
          <t>HÄRJEDALEN</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6458-2022</t>
        </is>
      </c>
      <c r="B2864" s="1" t="n">
        <v>44601.36165509259</v>
      </c>
      <c r="C2864" s="1" t="n">
        <v>46045</v>
      </c>
      <c r="D2864" t="inlineStr">
        <is>
          <t>JÄMTLANDS LÄN</t>
        </is>
      </c>
      <c r="E2864" t="inlineStr">
        <is>
          <t>ÖSTERSUND</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6351-2024</t>
        </is>
      </c>
      <c r="B2865" s="1" t="n">
        <v>45338</v>
      </c>
      <c r="C2865" s="1" t="n">
        <v>46045</v>
      </c>
      <c r="D2865" t="inlineStr">
        <is>
          <t>JÄMTLANDS LÄN</t>
        </is>
      </c>
      <c r="E2865" t="inlineStr">
        <is>
          <t>ÖSTERSUND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21849-2021</t>
        </is>
      </c>
      <c r="B2866" s="1" t="n">
        <v>44322</v>
      </c>
      <c r="C2866" s="1" t="n">
        <v>46045</v>
      </c>
      <c r="D2866" t="inlineStr">
        <is>
          <t>JÄMTLANDS LÄN</t>
        </is>
      </c>
      <c r="E2866" t="inlineStr">
        <is>
          <t>ÖSTERSUND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24721-2021</t>
        </is>
      </c>
      <c r="B2867" s="1" t="n">
        <v>44340</v>
      </c>
      <c r="C2867" s="1" t="n">
        <v>46045</v>
      </c>
      <c r="D2867" t="inlineStr">
        <is>
          <t>JÄMTLANDS LÄN</t>
        </is>
      </c>
      <c r="E2867" t="inlineStr">
        <is>
          <t>ÖSTERSUND</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40769-2021</t>
        </is>
      </c>
      <c r="B2868" s="1" t="n">
        <v>44420</v>
      </c>
      <c r="C2868" s="1" t="n">
        <v>46045</v>
      </c>
      <c r="D2868" t="inlineStr">
        <is>
          <t>JÄMTLANDS LÄN</t>
        </is>
      </c>
      <c r="E2868" t="inlineStr">
        <is>
          <t>BRÄCKE</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17090-2024</t>
        </is>
      </c>
      <c r="B2869" s="1" t="n">
        <v>45412.51260416667</v>
      </c>
      <c r="C2869" s="1" t="n">
        <v>46045</v>
      </c>
      <c r="D2869" t="inlineStr">
        <is>
          <t>JÄMTLANDS LÄN</t>
        </is>
      </c>
      <c r="E2869" t="inlineStr">
        <is>
          <t>KROKOM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12428-2021</t>
        </is>
      </c>
      <c r="B2870" s="1" t="n">
        <v>44267</v>
      </c>
      <c r="C2870" s="1" t="n">
        <v>46045</v>
      </c>
      <c r="D2870" t="inlineStr">
        <is>
          <t>JÄMTLANDS LÄN</t>
        </is>
      </c>
      <c r="E2870" t="inlineStr">
        <is>
          <t>STRÖMSUND</t>
        </is>
      </c>
      <c r="G2870" t="n">
        <v>19.6</v>
      </c>
      <c r="H2870" t="n">
        <v>0</v>
      </c>
      <c r="I2870" t="n">
        <v>0</v>
      </c>
      <c r="J2870" t="n">
        <v>0</v>
      </c>
      <c r="K2870" t="n">
        <v>0</v>
      </c>
      <c r="L2870" t="n">
        <v>0</v>
      </c>
      <c r="M2870" t="n">
        <v>0</v>
      </c>
      <c r="N2870" t="n">
        <v>0</v>
      </c>
      <c r="O2870" t="n">
        <v>0</v>
      </c>
      <c r="P2870" t="n">
        <v>0</v>
      </c>
      <c r="Q2870" t="n">
        <v>0</v>
      </c>
      <c r="R2870" s="2" t="inlineStr"/>
    </row>
    <row r="2871" ht="15" customHeight="1">
      <c r="A2871" t="inlineStr">
        <is>
          <t>A 35044-2021</t>
        </is>
      </c>
      <c r="B2871" s="1" t="n">
        <v>44383.92197916667</v>
      </c>
      <c r="C2871" s="1" t="n">
        <v>46045</v>
      </c>
      <c r="D2871" t="inlineStr">
        <is>
          <t>JÄMTLANDS LÄN</t>
        </is>
      </c>
      <c r="E2871" t="inlineStr">
        <is>
          <t>STRÖMSUND</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9156-2025</t>
        </is>
      </c>
      <c r="B2872" s="1" t="n">
        <v>45714.34859953704</v>
      </c>
      <c r="C2872" s="1" t="n">
        <v>46045</v>
      </c>
      <c r="D2872" t="inlineStr">
        <is>
          <t>JÄMTLANDS LÄN</t>
        </is>
      </c>
      <c r="E2872" t="inlineStr">
        <is>
          <t>KROKOM</t>
        </is>
      </c>
      <c r="F2872" t="inlineStr">
        <is>
          <t>Övriga Aktiebolag</t>
        </is>
      </c>
      <c r="G2872" t="n">
        <v>26.7</v>
      </c>
      <c r="H2872" t="n">
        <v>0</v>
      </c>
      <c r="I2872" t="n">
        <v>0</v>
      </c>
      <c r="J2872" t="n">
        <v>0</v>
      </c>
      <c r="K2872" t="n">
        <v>0</v>
      </c>
      <c r="L2872" t="n">
        <v>0</v>
      </c>
      <c r="M2872" t="n">
        <v>0</v>
      </c>
      <c r="N2872" t="n">
        <v>0</v>
      </c>
      <c r="O2872" t="n">
        <v>0</v>
      </c>
      <c r="P2872" t="n">
        <v>0</v>
      </c>
      <c r="Q2872" t="n">
        <v>0</v>
      </c>
      <c r="R2872" s="2" t="inlineStr"/>
      <c r="U2872">
        <f>HYPERLINK("https://klasma.github.io/Logging_2309/knärot/A 9156-2025 karta knärot.png", "A 9156-2025")</f>
        <v/>
      </c>
      <c r="V2872">
        <f>HYPERLINK("https://klasma.github.io/Logging_2309/klagomål/A 9156-2025 FSC-klagomål.docx", "A 9156-2025")</f>
        <v/>
      </c>
      <c r="W2872">
        <f>HYPERLINK("https://klasma.github.io/Logging_2309/klagomålsmail/A 9156-2025 FSC-klagomål mail.docx", "A 9156-2025")</f>
        <v/>
      </c>
      <c r="X2872">
        <f>HYPERLINK("https://klasma.github.io/Logging_2309/tillsyn/A 9156-2025 tillsynsbegäran.docx", "A 9156-2025")</f>
        <v/>
      </c>
      <c r="Y2872">
        <f>HYPERLINK("https://klasma.github.io/Logging_2309/tillsynsmail/A 9156-2025 tillsynsbegäran mail.docx", "A 9156-2025")</f>
        <v/>
      </c>
    </row>
    <row r="2873" ht="15" customHeight="1">
      <c r="A2873" t="inlineStr">
        <is>
          <t>A 44374-2021</t>
        </is>
      </c>
      <c r="B2873" s="1" t="n">
        <v>44447</v>
      </c>
      <c r="C2873" s="1" t="n">
        <v>46045</v>
      </c>
      <c r="D2873" t="inlineStr">
        <is>
          <t>JÄMTLANDS LÄN</t>
        </is>
      </c>
      <c r="E2873" t="inlineStr">
        <is>
          <t>KROKOM</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14703-2022</t>
        </is>
      </c>
      <c r="B2874" s="1" t="n">
        <v>44655</v>
      </c>
      <c r="C2874" s="1" t="n">
        <v>46045</v>
      </c>
      <c r="D2874" t="inlineStr">
        <is>
          <t>JÄMTLANDS LÄN</t>
        </is>
      </c>
      <c r="E2874" t="inlineStr">
        <is>
          <t>STRÖMSUND</t>
        </is>
      </c>
      <c r="F2874" t="inlineStr">
        <is>
          <t>SCA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14347-2023</t>
        </is>
      </c>
      <c r="B2875" s="1" t="n">
        <v>45012</v>
      </c>
      <c r="C2875" s="1" t="n">
        <v>46045</v>
      </c>
      <c r="D2875" t="inlineStr">
        <is>
          <t>JÄMTLANDS LÄN</t>
        </is>
      </c>
      <c r="E2875" t="inlineStr">
        <is>
          <t>STRÖMSUND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57589-2024</t>
        </is>
      </c>
      <c r="B2876" s="1" t="n">
        <v>45630.49710648148</v>
      </c>
      <c r="C2876" s="1" t="n">
        <v>46045</v>
      </c>
      <c r="D2876" t="inlineStr">
        <is>
          <t>JÄMTLANDS LÄN</t>
        </is>
      </c>
      <c r="E2876" t="inlineStr">
        <is>
          <t>ÖSTERSUND</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57590-2024</t>
        </is>
      </c>
      <c r="B2877" s="1" t="n">
        <v>45630.49729166667</v>
      </c>
      <c r="C2877" s="1" t="n">
        <v>46045</v>
      </c>
      <c r="D2877" t="inlineStr">
        <is>
          <t>JÄMTLANDS LÄN</t>
        </is>
      </c>
      <c r="E2877" t="inlineStr">
        <is>
          <t>BRÄCKE</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33359-2022</t>
        </is>
      </c>
      <c r="B2878" s="1" t="n">
        <v>44788</v>
      </c>
      <c r="C2878" s="1" t="n">
        <v>46045</v>
      </c>
      <c r="D2878" t="inlineStr">
        <is>
          <t>JÄMTLANDS LÄN</t>
        </is>
      </c>
      <c r="E2878" t="inlineStr">
        <is>
          <t>KROKOM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14975-2023</t>
        </is>
      </c>
      <c r="B2879" s="1" t="n">
        <v>45013</v>
      </c>
      <c r="C2879" s="1" t="n">
        <v>46045</v>
      </c>
      <c r="D2879" t="inlineStr">
        <is>
          <t>JÄMTLANDS LÄN</t>
        </is>
      </c>
      <c r="E2879" t="inlineStr">
        <is>
          <t>STRÖMSUND</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9948-2025</t>
        </is>
      </c>
      <c r="B2880" s="1" t="n">
        <v>45719.32584490741</v>
      </c>
      <c r="C2880" s="1" t="n">
        <v>46045</v>
      </c>
      <c r="D2880" t="inlineStr">
        <is>
          <t>JÄMTLANDS LÄN</t>
        </is>
      </c>
      <c r="E2880" t="inlineStr">
        <is>
          <t>KROKOM</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33231-2022</t>
        </is>
      </c>
      <c r="B2881" s="1" t="n">
        <v>44785.9421875</v>
      </c>
      <c r="C2881" s="1" t="n">
        <v>46045</v>
      </c>
      <c r="D2881" t="inlineStr">
        <is>
          <t>JÄMTLANDS LÄN</t>
        </is>
      </c>
      <c r="E2881" t="inlineStr">
        <is>
          <t>STRÖMSUND</t>
        </is>
      </c>
      <c r="F2881" t="inlineStr">
        <is>
          <t>SCA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6090-2022</t>
        </is>
      </c>
      <c r="B2882" s="1" t="n">
        <v>44599</v>
      </c>
      <c r="C2882" s="1" t="n">
        <v>46045</v>
      </c>
      <c r="D2882" t="inlineStr">
        <is>
          <t>JÄMTLANDS LÄN</t>
        </is>
      </c>
      <c r="E2882" t="inlineStr">
        <is>
          <t>BERG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11147-2025</t>
        </is>
      </c>
      <c r="B2883" s="1" t="n">
        <v>45723.67777777778</v>
      </c>
      <c r="C2883" s="1" t="n">
        <v>46045</v>
      </c>
      <c r="D2883" t="inlineStr">
        <is>
          <t>JÄMTLANDS LÄN</t>
        </is>
      </c>
      <c r="E2883" t="inlineStr">
        <is>
          <t>RAGUNDA</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41817-2022</t>
        </is>
      </c>
      <c r="B2884" s="1" t="n">
        <v>44827</v>
      </c>
      <c r="C2884" s="1" t="n">
        <v>46045</v>
      </c>
      <c r="D2884" t="inlineStr">
        <is>
          <t>JÄMTLANDS LÄN</t>
        </is>
      </c>
      <c r="E2884" t="inlineStr">
        <is>
          <t>BRÄCKE</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24280-2021</t>
        </is>
      </c>
      <c r="B2885" s="1" t="n">
        <v>44336</v>
      </c>
      <c r="C2885" s="1" t="n">
        <v>46045</v>
      </c>
      <c r="D2885" t="inlineStr">
        <is>
          <t>JÄMTLANDS LÄN</t>
        </is>
      </c>
      <c r="E2885" t="inlineStr">
        <is>
          <t>RAGUNDA</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62352-2021</t>
        </is>
      </c>
      <c r="B2886" s="1" t="n">
        <v>44502</v>
      </c>
      <c r="C2886" s="1" t="n">
        <v>46045</v>
      </c>
      <c r="D2886" t="inlineStr">
        <is>
          <t>JÄMTLANDS LÄN</t>
        </is>
      </c>
      <c r="E2886" t="inlineStr">
        <is>
          <t>ÅRE</t>
        </is>
      </c>
      <c r="F2886" t="inlineStr">
        <is>
          <t>Övriga statliga verk och myndigheter</t>
        </is>
      </c>
      <c r="G2886" t="n">
        <v>64.90000000000001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11093-2024</t>
        </is>
      </c>
      <c r="B2887" s="1" t="n">
        <v>45370.94986111111</v>
      </c>
      <c r="C2887" s="1" t="n">
        <v>46045</v>
      </c>
      <c r="D2887" t="inlineStr">
        <is>
          <t>JÄMTLANDS LÄN</t>
        </is>
      </c>
      <c r="E2887" t="inlineStr">
        <is>
          <t>BRÄCKE</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32758-2022</t>
        </is>
      </c>
      <c r="B2888" s="1" t="n">
        <v>44783</v>
      </c>
      <c r="C2888" s="1" t="n">
        <v>46045</v>
      </c>
      <c r="D2888" t="inlineStr">
        <is>
          <t>JÄMTLANDS LÄN</t>
        </is>
      </c>
      <c r="E2888" t="inlineStr">
        <is>
          <t>ÅRE</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40104-2023</t>
        </is>
      </c>
      <c r="B2889" s="1" t="n">
        <v>45168.93770833333</v>
      </c>
      <c r="C2889" s="1" t="n">
        <v>46045</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58269-2021</t>
        </is>
      </c>
      <c r="B2890" s="1" t="n">
        <v>44487</v>
      </c>
      <c r="C2890" s="1" t="n">
        <v>46045</v>
      </c>
      <c r="D2890" t="inlineStr">
        <is>
          <t>JÄMTLANDS LÄN</t>
        </is>
      </c>
      <c r="E2890" t="inlineStr">
        <is>
          <t>BRÄCKE</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58272-2021</t>
        </is>
      </c>
      <c r="B2891" s="1" t="n">
        <v>44487</v>
      </c>
      <c r="C2891" s="1" t="n">
        <v>46045</v>
      </c>
      <c r="D2891" t="inlineStr">
        <is>
          <t>JÄMTLANDS LÄN</t>
        </is>
      </c>
      <c r="E2891" t="inlineStr">
        <is>
          <t>BRÄCKE</t>
        </is>
      </c>
      <c r="F2891" t="inlineStr">
        <is>
          <t>SCA</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49210-2021</t>
        </is>
      </c>
      <c r="B2892" s="1" t="n">
        <v>44454.3434375</v>
      </c>
      <c r="C2892" s="1" t="n">
        <v>46045</v>
      </c>
      <c r="D2892" t="inlineStr">
        <is>
          <t>JÄMTLANDS LÄN</t>
        </is>
      </c>
      <c r="E2892" t="inlineStr">
        <is>
          <t>STRÖMSUND</t>
        </is>
      </c>
      <c r="F2892" t="inlineStr">
        <is>
          <t>Sveaskog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23992-2022</t>
        </is>
      </c>
      <c r="B2893" s="1" t="n">
        <v>44722</v>
      </c>
      <c r="C2893" s="1" t="n">
        <v>46045</v>
      </c>
      <c r="D2893" t="inlineStr">
        <is>
          <t>JÄMTLANDS LÄN</t>
        </is>
      </c>
      <c r="E2893" t="inlineStr">
        <is>
          <t>ÖSTERSUND</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23993-2022</t>
        </is>
      </c>
      <c r="B2894" s="1" t="n">
        <v>44722.94023148148</v>
      </c>
      <c r="C2894" s="1" t="n">
        <v>46045</v>
      </c>
      <c r="D2894" t="inlineStr">
        <is>
          <t>JÄMTLANDS LÄN</t>
        </is>
      </c>
      <c r="E2894" t="inlineStr">
        <is>
          <t>ÖSTERSUND</t>
        </is>
      </c>
      <c r="F2894" t="inlineStr">
        <is>
          <t>SCA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5384-2021</t>
        </is>
      </c>
      <c r="B2895" s="1" t="n">
        <v>44228</v>
      </c>
      <c r="C2895" s="1" t="n">
        <v>46045</v>
      </c>
      <c r="D2895" t="inlineStr">
        <is>
          <t>JÄMTLANDS LÄN</t>
        </is>
      </c>
      <c r="E2895" t="inlineStr">
        <is>
          <t>STRÖMSUND</t>
        </is>
      </c>
      <c r="G2895" t="n">
        <v>18.3</v>
      </c>
      <c r="H2895" t="n">
        <v>0</v>
      </c>
      <c r="I2895" t="n">
        <v>0</v>
      </c>
      <c r="J2895" t="n">
        <v>0</v>
      </c>
      <c r="K2895" t="n">
        <v>0</v>
      </c>
      <c r="L2895" t="n">
        <v>0</v>
      </c>
      <c r="M2895" t="n">
        <v>0</v>
      </c>
      <c r="N2895" t="n">
        <v>0</v>
      </c>
      <c r="O2895" t="n">
        <v>0</v>
      </c>
      <c r="P2895" t="n">
        <v>0</v>
      </c>
      <c r="Q2895" t="n">
        <v>0</v>
      </c>
      <c r="R2895" s="2" t="inlineStr"/>
    </row>
    <row r="2896" ht="15" customHeight="1">
      <c r="A2896" t="inlineStr">
        <is>
          <t>A 64484-2023</t>
        </is>
      </c>
      <c r="B2896" s="1" t="n">
        <v>45280</v>
      </c>
      <c r="C2896" s="1" t="n">
        <v>46045</v>
      </c>
      <c r="D2896" t="inlineStr">
        <is>
          <t>JÄMTLANDS LÄN</t>
        </is>
      </c>
      <c r="E2896" t="inlineStr">
        <is>
          <t>HÄRJEDALEN</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64490-2023</t>
        </is>
      </c>
      <c r="B2897" s="1" t="n">
        <v>45280</v>
      </c>
      <c r="C2897" s="1" t="n">
        <v>46045</v>
      </c>
      <c r="D2897" t="inlineStr">
        <is>
          <t>JÄMTLANDS LÄN</t>
        </is>
      </c>
      <c r="E2897" t="inlineStr">
        <is>
          <t>BERG</t>
        </is>
      </c>
      <c r="F2897" t="inlineStr">
        <is>
          <t>Övriga Aktiebolag</t>
        </is>
      </c>
      <c r="G2897" t="n">
        <v>7.7</v>
      </c>
      <c r="H2897" t="n">
        <v>0</v>
      </c>
      <c r="I2897" t="n">
        <v>0</v>
      </c>
      <c r="J2897" t="n">
        <v>0</v>
      </c>
      <c r="K2897" t="n">
        <v>0</v>
      </c>
      <c r="L2897" t="n">
        <v>0</v>
      </c>
      <c r="M2897" t="n">
        <v>0</v>
      </c>
      <c r="N2897" t="n">
        <v>0</v>
      </c>
      <c r="O2897" t="n">
        <v>0</v>
      </c>
      <c r="P2897" t="n">
        <v>0</v>
      </c>
      <c r="Q2897" t="n">
        <v>0</v>
      </c>
      <c r="R2897" s="2" t="inlineStr"/>
    </row>
    <row r="2898" ht="15" customHeight="1">
      <c r="A2898" t="inlineStr">
        <is>
          <t>A 10698-2022</t>
        </is>
      </c>
      <c r="B2898" s="1" t="n">
        <v>44624</v>
      </c>
      <c r="C2898" s="1" t="n">
        <v>46045</v>
      </c>
      <c r="D2898" t="inlineStr">
        <is>
          <t>JÄMTLANDS LÄN</t>
        </is>
      </c>
      <c r="E2898" t="inlineStr">
        <is>
          <t>STRÖMSUND</t>
        </is>
      </c>
      <c r="F2898" t="inlineStr">
        <is>
          <t>SCA</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14821-2025</t>
        </is>
      </c>
      <c r="B2899" s="1" t="n">
        <v>45743.36</v>
      </c>
      <c r="C2899" s="1" t="n">
        <v>46045</v>
      </c>
      <c r="D2899" t="inlineStr">
        <is>
          <t>JÄMTLANDS LÄN</t>
        </is>
      </c>
      <c r="E2899" t="inlineStr">
        <is>
          <t>RAGUNDA</t>
        </is>
      </c>
      <c r="F2899" t="inlineStr">
        <is>
          <t>Kyrkan</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14867-2025</t>
        </is>
      </c>
      <c r="B2900" s="1" t="n">
        <v>45743.44207175926</v>
      </c>
      <c r="C2900" s="1" t="n">
        <v>46045</v>
      </c>
      <c r="D2900" t="inlineStr">
        <is>
          <t>JÄMTLANDS LÄN</t>
        </is>
      </c>
      <c r="E2900" t="inlineStr">
        <is>
          <t>ÖSTERSUND</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54567-2022</t>
        </is>
      </c>
      <c r="B2901" s="1" t="n">
        <v>44882.95473379629</v>
      </c>
      <c r="C2901" s="1" t="n">
        <v>46045</v>
      </c>
      <c r="D2901" t="inlineStr">
        <is>
          <t>JÄMTLANDS LÄN</t>
        </is>
      </c>
      <c r="E2901" t="inlineStr">
        <is>
          <t>BRÄCKE</t>
        </is>
      </c>
      <c r="F2901" t="inlineStr">
        <is>
          <t>SCA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14931-2025</t>
        </is>
      </c>
      <c r="B2902" s="1" t="n">
        <v>45743.55354166667</v>
      </c>
      <c r="C2902" s="1" t="n">
        <v>46045</v>
      </c>
      <c r="D2902" t="inlineStr">
        <is>
          <t>JÄMTLANDS LÄN</t>
        </is>
      </c>
      <c r="E2902" t="inlineStr">
        <is>
          <t>STRÖMSUND</t>
        </is>
      </c>
      <c r="F2902" t="inlineStr">
        <is>
          <t>SCA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14947-2025</t>
        </is>
      </c>
      <c r="B2903" s="1" t="n">
        <v>45743.57336805556</v>
      </c>
      <c r="C2903" s="1" t="n">
        <v>46045</v>
      </c>
      <c r="D2903" t="inlineStr">
        <is>
          <t>JÄMTLANDS LÄN</t>
        </is>
      </c>
      <c r="E2903" t="inlineStr">
        <is>
          <t>ÖSTERSUND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30685-2023</t>
        </is>
      </c>
      <c r="B2904" s="1" t="n">
        <v>45112.56471064815</v>
      </c>
      <c r="C2904" s="1" t="n">
        <v>46045</v>
      </c>
      <c r="D2904" t="inlineStr">
        <is>
          <t>JÄMTLANDS LÄN</t>
        </is>
      </c>
      <c r="E2904" t="inlineStr">
        <is>
          <t>BRÄCKE</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51311-2024</t>
        </is>
      </c>
      <c r="B2905" s="1" t="n">
        <v>45604.31657407407</v>
      </c>
      <c r="C2905" s="1" t="n">
        <v>46045</v>
      </c>
      <c r="D2905" t="inlineStr">
        <is>
          <t>JÄMTLANDS LÄN</t>
        </is>
      </c>
      <c r="E2905" t="inlineStr">
        <is>
          <t>HÄRJEDALEN</t>
        </is>
      </c>
      <c r="F2905" t="inlineStr">
        <is>
          <t>Holmen skog AB</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30719-2022</t>
        </is>
      </c>
      <c r="B2906" s="1" t="n">
        <v>44763.94347222222</v>
      </c>
      <c r="C2906" s="1" t="n">
        <v>46045</v>
      </c>
      <c r="D2906" t="inlineStr">
        <is>
          <t>JÄMTLANDS LÄN</t>
        </is>
      </c>
      <c r="E2906" t="inlineStr">
        <is>
          <t>BRÄCKE</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53662-2022</t>
        </is>
      </c>
      <c r="B2907" s="1" t="n">
        <v>44879.95628472222</v>
      </c>
      <c r="C2907" s="1" t="n">
        <v>46045</v>
      </c>
      <c r="D2907" t="inlineStr">
        <is>
          <t>JÄMTLANDS LÄN</t>
        </is>
      </c>
      <c r="E2907" t="inlineStr">
        <is>
          <t>BRÄCKE</t>
        </is>
      </c>
      <c r="F2907" t="inlineStr">
        <is>
          <t>SCA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46048-2022</t>
        </is>
      </c>
      <c r="B2908" s="1" t="n">
        <v>44846</v>
      </c>
      <c r="C2908" s="1" t="n">
        <v>46045</v>
      </c>
      <c r="D2908" t="inlineStr">
        <is>
          <t>JÄMTLANDS LÄN</t>
        </is>
      </c>
      <c r="E2908" t="inlineStr">
        <is>
          <t>RAGUNDA</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44429-2022</t>
        </is>
      </c>
      <c r="B2909" s="1" t="n">
        <v>44839</v>
      </c>
      <c r="C2909" s="1" t="n">
        <v>46045</v>
      </c>
      <c r="D2909" t="inlineStr">
        <is>
          <t>JÄMTLANDS LÄN</t>
        </is>
      </c>
      <c r="E2909" t="inlineStr">
        <is>
          <t>STRÖMSUND</t>
        </is>
      </c>
      <c r="F2909" t="inlineStr">
        <is>
          <t>SCA</t>
        </is>
      </c>
      <c r="G2909" t="n">
        <v>52.1</v>
      </c>
      <c r="H2909" t="n">
        <v>0</v>
      </c>
      <c r="I2909" t="n">
        <v>0</v>
      </c>
      <c r="J2909" t="n">
        <v>0</v>
      </c>
      <c r="K2909" t="n">
        <v>0</v>
      </c>
      <c r="L2909" t="n">
        <v>0</v>
      </c>
      <c r="M2909" t="n">
        <v>0</v>
      </c>
      <c r="N2909" t="n">
        <v>0</v>
      </c>
      <c r="O2909" t="n">
        <v>0</v>
      </c>
      <c r="P2909" t="n">
        <v>0</v>
      </c>
      <c r="Q2909" t="n">
        <v>0</v>
      </c>
      <c r="R2909" s="2" t="inlineStr"/>
    </row>
    <row r="2910" ht="15" customHeight="1">
      <c r="A2910" t="inlineStr">
        <is>
          <t>A 25847-2022</t>
        </is>
      </c>
      <c r="B2910" s="1" t="n">
        <v>44733.60694444444</v>
      </c>
      <c r="C2910" s="1" t="n">
        <v>46045</v>
      </c>
      <c r="D2910" t="inlineStr">
        <is>
          <t>JÄMTLANDS LÄN</t>
        </is>
      </c>
      <c r="E2910" t="inlineStr">
        <is>
          <t>STRÖMSUND</t>
        </is>
      </c>
      <c r="F2910" t="inlineStr">
        <is>
          <t>Kyrkan</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29325-2022</t>
        </is>
      </c>
      <c r="B2911" s="1" t="n">
        <v>44751.94157407407</v>
      </c>
      <c r="C2911" s="1" t="n">
        <v>46045</v>
      </c>
      <c r="D2911" t="inlineStr">
        <is>
          <t>JÄMTLANDS LÄN</t>
        </is>
      </c>
      <c r="E2911" t="inlineStr">
        <is>
          <t>BRÄCKE</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37806-2021</t>
        </is>
      </c>
      <c r="B2912" s="1" t="n">
        <v>44402.42243055555</v>
      </c>
      <c r="C2912" s="1" t="n">
        <v>46045</v>
      </c>
      <c r="D2912" t="inlineStr">
        <is>
          <t>JÄMTLANDS LÄN</t>
        </is>
      </c>
      <c r="E2912" t="inlineStr">
        <is>
          <t>RAGUNDA</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55997-2024</t>
        </is>
      </c>
      <c r="B2913" s="1" t="n">
        <v>45623.6984837963</v>
      </c>
      <c r="C2913" s="1" t="n">
        <v>46045</v>
      </c>
      <c r="D2913" t="inlineStr">
        <is>
          <t>JÄMTLANDS LÄN</t>
        </is>
      </c>
      <c r="E2913" t="inlineStr">
        <is>
          <t>BRÄCKE</t>
        </is>
      </c>
      <c r="F2913" t="inlineStr">
        <is>
          <t>SCA</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6512-2024</t>
        </is>
      </c>
      <c r="B2914" s="1" t="n">
        <v>45340</v>
      </c>
      <c r="C2914" s="1" t="n">
        <v>46045</v>
      </c>
      <c r="D2914" t="inlineStr">
        <is>
          <t>JÄMTLANDS LÄN</t>
        </is>
      </c>
      <c r="E2914" t="inlineStr">
        <is>
          <t>STRÖMSUND</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6516-2024</t>
        </is>
      </c>
      <c r="B2915" s="1" t="n">
        <v>45341</v>
      </c>
      <c r="C2915" s="1" t="n">
        <v>46045</v>
      </c>
      <c r="D2915" t="inlineStr">
        <is>
          <t>JÄMTLANDS LÄN</t>
        </is>
      </c>
      <c r="E2915" t="inlineStr">
        <is>
          <t>BRÄCKE</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6113-2024</t>
        </is>
      </c>
      <c r="B2916" s="1" t="n">
        <v>45337</v>
      </c>
      <c r="C2916" s="1" t="n">
        <v>46045</v>
      </c>
      <c r="D2916" t="inlineStr">
        <is>
          <t>JÄMTLANDS LÄN</t>
        </is>
      </c>
      <c r="E2916" t="inlineStr">
        <is>
          <t>ÅRE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47606-2023</t>
        </is>
      </c>
      <c r="B2917" s="1" t="n">
        <v>45203.46523148148</v>
      </c>
      <c r="C2917" s="1" t="n">
        <v>46045</v>
      </c>
      <c r="D2917" t="inlineStr">
        <is>
          <t>JÄMTLANDS LÄN</t>
        </is>
      </c>
      <c r="E2917" t="inlineStr">
        <is>
          <t>KROKOM</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20104-2025</t>
        </is>
      </c>
      <c r="B2918" s="1" t="n">
        <v>45772.46965277778</v>
      </c>
      <c r="C2918" s="1" t="n">
        <v>46045</v>
      </c>
      <c r="D2918" t="inlineStr">
        <is>
          <t>JÄMTLANDS LÄN</t>
        </is>
      </c>
      <c r="E2918" t="inlineStr">
        <is>
          <t>HÄRJEDALEN</t>
        </is>
      </c>
      <c r="F2918" t="inlineStr">
        <is>
          <t>SCA</t>
        </is>
      </c>
      <c r="G2918" t="n">
        <v>9.199999999999999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68468-2021</t>
        </is>
      </c>
      <c r="B2919" s="1" t="n">
        <v>44529</v>
      </c>
      <c r="C2919" s="1" t="n">
        <v>46045</v>
      </c>
      <c r="D2919" t="inlineStr">
        <is>
          <t>JÄMTLANDS LÄN</t>
        </is>
      </c>
      <c r="E2919" t="inlineStr">
        <is>
          <t>BERG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27351-2022</t>
        </is>
      </c>
      <c r="B2920" s="1" t="n">
        <v>44742.42644675926</v>
      </c>
      <c r="C2920" s="1" t="n">
        <v>46045</v>
      </c>
      <c r="D2920" t="inlineStr">
        <is>
          <t>JÄMTLANDS LÄN</t>
        </is>
      </c>
      <c r="E2920" t="inlineStr">
        <is>
          <t>BRÄCKE</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17738-2022</t>
        </is>
      </c>
      <c r="B2921" s="1" t="n">
        <v>44680.95217592592</v>
      </c>
      <c r="C2921" s="1" t="n">
        <v>46045</v>
      </c>
      <c r="D2921" t="inlineStr">
        <is>
          <t>JÄMTLANDS LÄN</t>
        </is>
      </c>
      <c r="E2921" t="inlineStr">
        <is>
          <t>BRÄCKE</t>
        </is>
      </c>
      <c r="F2921" t="inlineStr">
        <is>
          <t>SCA</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23551-2022</t>
        </is>
      </c>
      <c r="B2922" s="1" t="n">
        <v>44721</v>
      </c>
      <c r="C2922" s="1" t="n">
        <v>46045</v>
      </c>
      <c r="D2922" t="inlineStr">
        <is>
          <t>JÄMTLANDS LÄN</t>
        </is>
      </c>
      <c r="E2922" t="inlineStr">
        <is>
          <t>ÖSTERSUND</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28207-2022</t>
        </is>
      </c>
      <c r="B2923" s="1" t="n">
        <v>44746</v>
      </c>
      <c r="C2923" s="1" t="n">
        <v>46045</v>
      </c>
      <c r="D2923" t="inlineStr">
        <is>
          <t>JÄMTLANDS LÄN</t>
        </is>
      </c>
      <c r="E2923" t="inlineStr">
        <is>
          <t>STRÖMSUND</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72061-2021</t>
        </is>
      </c>
      <c r="B2924" s="1" t="n">
        <v>44540</v>
      </c>
      <c r="C2924" s="1" t="n">
        <v>46045</v>
      </c>
      <c r="D2924" t="inlineStr">
        <is>
          <t>JÄMTLANDS LÄN</t>
        </is>
      </c>
      <c r="E2924" t="inlineStr">
        <is>
          <t>ÖSTERSUND</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8758-2025</t>
        </is>
      </c>
      <c r="B2925" s="1" t="n">
        <v>45712.57364583333</v>
      </c>
      <c r="C2925" s="1" t="n">
        <v>46045</v>
      </c>
      <c r="D2925" t="inlineStr">
        <is>
          <t>JÄMTLANDS LÄN</t>
        </is>
      </c>
      <c r="E2925" t="inlineStr">
        <is>
          <t>STRÖMSUND</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8798-2025</t>
        </is>
      </c>
      <c r="B2926" s="1" t="n">
        <v>45712</v>
      </c>
      <c r="C2926" s="1" t="n">
        <v>46045</v>
      </c>
      <c r="D2926" t="inlineStr">
        <is>
          <t>JÄMTLANDS LÄN</t>
        </is>
      </c>
      <c r="E2926" t="inlineStr">
        <is>
          <t>ÅRE</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18915-2024</t>
        </is>
      </c>
      <c r="B2927" s="1" t="n">
        <v>45426</v>
      </c>
      <c r="C2927" s="1" t="n">
        <v>46045</v>
      </c>
      <c r="D2927" t="inlineStr">
        <is>
          <t>JÄMTLANDS LÄN</t>
        </is>
      </c>
      <c r="E2927" t="inlineStr">
        <is>
          <t>STRÖMSUND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12629-2021</t>
        </is>
      </c>
      <c r="B2928" s="1" t="n">
        <v>44270</v>
      </c>
      <c r="C2928" s="1" t="n">
        <v>46045</v>
      </c>
      <c r="D2928" t="inlineStr">
        <is>
          <t>JÄMTLANDS LÄN</t>
        </is>
      </c>
      <c r="E2928" t="inlineStr">
        <is>
          <t>HÄRJEDALEN</t>
        </is>
      </c>
      <c r="G2928" t="n">
        <v>20.7</v>
      </c>
      <c r="H2928" t="n">
        <v>0</v>
      </c>
      <c r="I2928" t="n">
        <v>0</v>
      </c>
      <c r="J2928" t="n">
        <v>0</v>
      </c>
      <c r="K2928" t="n">
        <v>0</v>
      </c>
      <c r="L2928" t="n">
        <v>0</v>
      </c>
      <c r="M2928" t="n">
        <v>0</v>
      </c>
      <c r="N2928" t="n">
        <v>0</v>
      </c>
      <c r="O2928" t="n">
        <v>0</v>
      </c>
      <c r="P2928" t="n">
        <v>0</v>
      </c>
      <c r="Q2928" t="n">
        <v>0</v>
      </c>
      <c r="R2928" s="2" t="inlineStr"/>
    </row>
    <row r="2929" ht="15" customHeight="1">
      <c r="A2929" t="inlineStr">
        <is>
          <t>A 45074-2022</t>
        </is>
      </c>
      <c r="B2929" s="1" t="n">
        <v>44841.939375</v>
      </c>
      <c r="C2929" s="1" t="n">
        <v>46045</v>
      </c>
      <c r="D2929" t="inlineStr">
        <is>
          <t>JÄMTLANDS LÄN</t>
        </is>
      </c>
      <c r="E2929" t="inlineStr">
        <is>
          <t>STRÖMSUND</t>
        </is>
      </c>
      <c r="F2929" t="inlineStr">
        <is>
          <t>SCA</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22337-2022</t>
        </is>
      </c>
      <c r="B2930" s="1" t="n">
        <v>44712.94172453704</v>
      </c>
      <c r="C2930" s="1" t="n">
        <v>46045</v>
      </c>
      <c r="D2930" t="inlineStr">
        <is>
          <t>JÄMTLANDS LÄN</t>
        </is>
      </c>
      <c r="E2930" t="inlineStr">
        <is>
          <t>STRÖMSUND</t>
        </is>
      </c>
      <c r="F2930" t="inlineStr">
        <is>
          <t>SCA</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18375-2022</t>
        </is>
      </c>
      <c r="B2931" s="1" t="n">
        <v>44685</v>
      </c>
      <c r="C2931" s="1" t="n">
        <v>46045</v>
      </c>
      <c r="D2931" t="inlineStr">
        <is>
          <t>JÄMTLANDS LÄN</t>
        </is>
      </c>
      <c r="E2931" t="inlineStr">
        <is>
          <t>RAGUNDA</t>
        </is>
      </c>
      <c r="F2931" t="inlineStr">
        <is>
          <t>SCA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30223-2022</t>
        </is>
      </c>
      <c r="B2932" s="1" t="n">
        <v>44757.94309027777</v>
      </c>
      <c r="C2932" s="1" t="n">
        <v>46045</v>
      </c>
      <c r="D2932" t="inlineStr">
        <is>
          <t>JÄMTLANDS LÄN</t>
        </is>
      </c>
      <c r="E2932" t="inlineStr">
        <is>
          <t>STRÖMSUND</t>
        </is>
      </c>
      <c r="F2932" t="inlineStr">
        <is>
          <t>SCA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30226-2022</t>
        </is>
      </c>
      <c r="B2933" s="1" t="n">
        <v>44757</v>
      </c>
      <c r="C2933" s="1" t="n">
        <v>46045</v>
      </c>
      <c r="D2933" t="inlineStr">
        <is>
          <t>JÄMTLANDS LÄN</t>
        </is>
      </c>
      <c r="E2933" t="inlineStr">
        <is>
          <t>STRÖMSUND</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8743-2024</t>
        </is>
      </c>
      <c r="B2934" s="1" t="n">
        <v>45356</v>
      </c>
      <c r="C2934" s="1" t="n">
        <v>46045</v>
      </c>
      <c r="D2934" t="inlineStr">
        <is>
          <t>JÄMTLANDS LÄN</t>
        </is>
      </c>
      <c r="E2934" t="inlineStr">
        <is>
          <t>STRÖMSUND</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45630-2021</t>
        </is>
      </c>
      <c r="B2935" s="1" t="n">
        <v>44440</v>
      </c>
      <c r="C2935" s="1" t="n">
        <v>46045</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47559-2021</t>
        </is>
      </c>
      <c r="B2936" s="1" t="n">
        <v>44447</v>
      </c>
      <c r="C2936" s="1" t="n">
        <v>46045</v>
      </c>
      <c r="D2936" t="inlineStr">
        <is>
          <t>JÄMTLANDS LÄN</t>
        </is>
      </c>
      <c r="E2936" t="inlineStr">
        <is>
          <t>BRÄCKE</t>
        </is>
      </c>
      <c r="F2936" t="inlineStr">
        <is>
          <t>SCA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13022-2025</t>
        </is>
      </c>
      <c r="B2937" s="1" t="n">
        <v>45734.55247685185</v>
      </c>
      <c r="C2937" s="1" t="n">
        <v>46045</v>
      </c>
      <c r="D2937" t="inlineStr">
        <is>
          <t>JÄMTLANDS LÄN</t>
        </is>
      </c>
      <c r="E2937" t="inlineStr">
        <is>
          <t>STRÖMSUND</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22338-2022</t>
        </is>
      </c>
      <c r="B2938" s="1" t="n">
        <v>44712</v>
      </c>
      <c r="C2938" s="1" t="n">
        <v>46045</v>
      </c>
      <c r="D2938" t="inlineStr">
        <is>
          <t>JÄMTLANDS LÄN</t>
        </is>
      </c>
      <c r="E2938" t="inlineStr">
        <is>
          <t>STRÖMSUND</t>
        </is>
      </c>
      <c r="F2938" t="inlineStr">
        <is>
          <t>SCA</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15865-2022</t>
        </is>
      </c>
      <c r="B2939" s="1" t="n">
        <v>44664</v>
      </c>
      <c r="C2939" s="1" t="n">
        <v>46045</v>
      </c>
      <c r="D2939" t="inlineStr">
        <is>
          <t>JÄMTLANDS LÄN</t>
        </is>
      </c>
      <c r="E2939" t="inlineStr">
        <is>
          <t>STRÖMSUND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30230-2022</t>
        </is>
      </c>
      <c r="B2940" s="1" t="n">
        <v>44757</v>
      </c>
      <c r="C2940" s="1" t="n">
        <v>46045</v>
      </c>
      <c r="D2940" t="inlineStr">
        <is>
          <t>JÄMTLANDS LÄN</t>
        </is>
      </c>
      <c r="E2940" t="inlineStr">
        <is>
          <t>STRÖMSUND</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32288-2022</t>
        </is>
      </c>
      <c r="B2941" s="1" t="n">
        <v>44781</v>
      </c>
      <c r="C2941" s="1" t="n">
        <v>46045</v>
      </c>
      <c r="D2941" t="inlineStr">
        <is>
          <t>JÄMTLANDS LÄN</t>
        </is>
      </c>
      <c r="E2941" t="inlineStr">
        <is>
          <t>RAGUNDA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13095-2025</t>
        </is>
      </c>
      <c r="B2942" s="1" t="n">
        <v>45734.65609953704</v>
      </c>
      <c r="C2942" s="1" t="n">
        <v>46045</v>
      </c>
      <c r="D2942" t="inlineStr">
        <is>
          <t>JÄMTLANDS LÄN</t>
        </is>
      </c>
      <c r="E2942" t="inlineStr">
        <is>
          <t>BRÄCKE</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55536-2024</t>
        </is>
      </c>
      <c r="B2943" s="1" t="n">
        <v>45622</v>
      </c>
      <c r="C2943" s="1" t="n">
        <v>46045</v>
      </c>
      <c r="D2943" t="inlineStr">
        <is>
          <t>JÄMTLANDS LÄN</t>
        </is>
      </c>
      <c r="E2943" t="inlineStr">
        <is>
          <t>RAGUNDA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33465-2022</t>
        </is>
      </c>
      <c r="B2944" s="1" t="n">
        <v>44788.67976851852</v>
      </c>
      <c r="C2944" s="1" t="n">
        <v>46045</v>
      </c>
      <c r="D2944" t="inlineStr">
        <is>
          <t>JÄMTLANDS LÄN</t>
        </is>
      </c>
      <c r="E2944" t="inlineStr">
        <is>
          <t>HÄRJEDALEN</t>
        </is>
      </c>
      <c r="F2944" t="inlineStr">
        <is>
          <t>Sveaskog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20069-2022</t>
        </is>
      </c>
      <c r="B2945" s="1" t="n">
        <v>44697.94190972222</v>
      </c>
      <c r="C2945" s="1" t="n">
        <v>46045</v>
      </c>
      <c r="D2945" t="inlineStr">
        <is>
          <t>JÄMTLANDS LÄN</t>
        </is>
      </c>
      <c r="E2945" t="inlineStr">
        <is>
          <t>BRÄCKE</t>
        </is>
      </c>
      <c r="F2945" t="inlineStr">
        <is>
          <t>SCA</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11740-2022</t>
        </is>
      </c>
      <c r="B2946" s="1" t="n">
        <v>44634.52982638889</v>
      </c>
      <c r="C2946" s="1" t="n">
        <v>46045</v>
      </c>
      <c r="D2946" t="inlineStr">
        <is>
          <t>JÄMTLANDS LÄN</t>
        </is>
      </c>
      <c r="E2946" t="inlineStr">
        <is>
          <t>ÖSTERSUND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31854-2022</t>
        </is>
      </c>
      <c r="B2947" s="1" t="n">
        <v>44776</v>
      </c>
      <c r="C2947" s="1" t="n">
        <v>46045</v>
      </c>
      <c r="D2947" t="inlineStr">
        <is>
          <t>JÄMTLANDS LÄN</t>
        </is>
      </c>
      <c r="E2947" t="inlineStr">
        <is>
          <t>RAGUNDA</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45654-2022</t>
        </is>
      </c>
      <c r="B2948" s="1" t="n">
        <v>44845.67710648148</v>
      </c>
      <c r="C2948" s="1" t="n">
        <v>46045</v>
      </c>
      <c r="D2948" t="inlineStr">
        <is>
          <t>JÄMTLANDS LÄN</t>
        </is>
      </c>
      <c r="E2948" t="inlineStr">
        <is>
          <t>ÖSTERSUND</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48531-2022</t>
        </is>
      </c>
      <c r="B2949" s="1" t="n">
        <v>44858</v>
      </c>
      <c r="C2949" s="1" t="n">
        <v>46045</v>
      </c>
      <c r="D2949" t="inlineStr">
        <is>
          <t>JÄMTLANDS LÄN</t>
        </is>
      </c>
      <c r="E2949" t="inlineStr">
        <is>
          <t>STRÖMSUND</t>
        </is>
      </c>
      <c r="F2949" t="inlineStr">
        <is>
          <t>SCA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45398-2022</t>
        </is>
      </c>
      <c r="B2950" s="1" t="n">
        <v>44841</v>
      </c>
      <c r="C2950" s="1" t="n">
        <v>46045</v>
      </c>
      <c r="D2950" t="inlineStr">
        <is>
          <t>JÄMTLANDS LÄN</t>
        </is>
      </c>
      <c r="E2950" t="inlineStr">
        <is>
          <t>STRÖMSUND</t>
        </is>
      </c>
      <c r="G2950" t="n">
        <v>11.6</v>
      </c>
      <c r="H2950" t="n">
        <v>0</v>
      </c>
      <c r="I2950" t="n">
        <v>0</v>
      </c>
      <c r="J2950" t="n">
        <v>0</v>
      </c>
      <c r="K2950" t="n">
        <v>0</v>
      </c>
      <c r="L2950" t="n">
        <v>0</v>
      </c>
      <c r="M2950" t="n">
        <v>0</v>
      </c>
      <c r="N2950" t="n">
        <v>0</v>
      </c>
      <c r="O2950" t="n">
        <v>0</v>
      </c>
      <c r="P2950" t="n">
        <v>0</v>
      </c>
      <c r="Q2950" t="n">
        <v>0</v>
      </c>
      <c r="R2950" s="2" t="inlineStr"/>
    </row>
    <row r="2951" ht="15" customHeight="1">
      <c r="A2951" t="inlineStr">
        <is>
          <t>A 18221-2022</t>
        </is>
      </c>
      <c r="B2951" s="1" t="n">
        <v>44685</v>
      </c>
      <c r="C2951" s="1" t="n">
        <v>46045</v>
      </c>
      <c r="D2951" t="inlineStr">
        <is>
          <t>JÄMTLANDS LÄN</t>
        </is>
      </c>
      <c r="E2951" t="inlineStr">
        <is>
          <t>BRÄCKE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47803-2022</t>
        </is>
      </c>
      <c r="B2952" s="1" t="n">
        <v>44854.95390046296</v>
      </c>
      <c r="C2952" s="1" t="n">
        <v>46045</v>
      </c>
      <c r="D2952" t="inlineStr">
        <is>
          <t>JÄMTLANDS LÄN</t>
        </is>
      </c>
      <c r="E2952" t="inlineStr">
        <is>
          <t>RAGUNDA</t>
        </is>
      </c>
      <c r="F2952" t="inlineStr">
        <is>
          <t>SCA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51786-2023</t>
        </is>
      </c>
      <c r="B2953" s="1" t="n">
        <v>45222.83377314815</v>
      </c>
      <c r="C2953" s="1" t="n">
        <v>46045</v>
      </c>
      <c r="D2953" t="inlineStr">
        <is>
          <t>JÄMTLANDS LÄN</t>
        </is>
      </c>
      <c r="E2953" t="inlineStr">
        <is>
          <t>STRÖMSUND</t>
        </is>
      </c>
      <c r="F2953" t="inlineStr">
        <is>
          <t>Holmen skog AB</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51795-2023</t>
        </is>
      </c>
      <c r="B2954" s="1" t="n">
        <v>45222</v>
      </c>
      <c r="C2954" s="1" t="n">
        <v>46045</v>
      </c>
      <c r="D2954" t="inlineStr">
        <is>
          <t>JÄMTLANDS LÄN</t>
        </is>
      </c>
      <c r="E2954" t="inlineStr">
        <is>
          <t>STRÖMSUND</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51821-2023</t>
        </is>
      </c>
      <c r="B2955" s="1" t="n">
        <v>45222</v>
      </c>
      <c r="C2955" s="1" t="n">
        <v>46045</v>
      </c>
      <c r="D2955" t="inlineStr">
        <is>
          <t>JÄMTLANDS LÄN</t>
        </is>
      </c>
      <c r="E2955" t="inlineStr">
        <is>
          <t>BRÄCKE</t>
        </is>
      </c>
      <c r="F2955" t="inlineStr">
        <is>
          <t>SCA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30030-2022</t>
        </is>
      </c>
      <c r="B2956" s="1" t="n">
        <v>44756.94512731482</v>
      </c>
      <c r="C2956" s="1" t="n">
        <v>46045</v>
      </c>
      <c r="D2956" t="inlineStr">
        <is>
          <t>JÄMTLANDS LÄN</t>
        </is>
      </c>
      <c r="E2956" t="inlineStr">
        <is>
          <t>STRÖMSUND</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42652-2022</t>
        </is>
      </c>
      <c r="B2957" s="1" t="n">
        <v>44831.94846064815</v>
      </c>
      <c r="C2957" s="1" t="n">
        <v>46045</v>
      </c>
      <c r="D2957" t="inlineStr">
        <is>
          <t>JÄMTLANDS LÄN</t>
        </is>
      </c>
      <c r="E2957" t="inlineStr">
        <is>
          <t>RAGUNDA</t>
        </is>
      </c>
      <c r="F2957" t="inlineStr">
        <is>
          <t>SCA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42653-2022</t>
        </is>
      </c>
      <c r="B2958" s="1" t="n">
        <v>44831.9485300926</v>
      </c>
      <c r="C2958" s="1" t="n">
        <v>46045</v>
      </c>
      <c r="D2958" t="inlineStr">
        <is>
          <t>JÄMTLANDS LÄN</t>
        </is>
      </c>
      <c r="E2958" t="inlineStr">
        <is>
          <t>RAGUNDA</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42656-2022</t>
        </is>
      </c>
      <c r="B2959" s="1" t="n">
        <v>44831</v>
      </c>
      <c r="C2959" s="1" t="n">
        <v>46045</v>
      </c>
      <c r="D2959" t="inlineStr">
        <is>
          <t>JÄMTLANDS LÄN</t>
        </is>
      </c>
      <c r="E2959" t="inlineStr">
        <is>
          <t>BRÄCKE</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71005-2021</t>
        </is>
      </c>
      <c r="B2960" s="1" t="n">
        <v>44538.62987268518</v>
      </c>
      <c r="C2960" s="1" t="n">
        <v>46045</v>
      </c>
      <c r="D2960" t="inlineStr">
        <is>
          <t>JÄMTLANDS LÄN</t>
        </is>
      </c>
      <c r="E2960" t="inlineStr">
        <is>
          <t>ÅRE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32986-2022</t>
        </is>
      </c>
      <c r="B2961" s="1" t="n">
        <v>44784.94157407407</v>
      </c>
      <c r="C2961" s="1" t="n">
        <v>46045</v>
      </c>
      <c r="D2961" t="inlineStr">
        <is>
          <t>JÄMTLANDS LÄN</t>
        </is>
      </c>
      <c r="E2961" t="inlineStr">
        <is>
          <t>RAGUNDA</t>
        </is>
      </c>
      <c r="F2961" t="inlineStr">
        <is>
          <t>SCA</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33023-2022</t>
        </is>
      </c>
      <c r="B2962" s="1" t="n">
        <v>44784</v>
      </c>
      <c r="C2962" s="1" t="n">
        <v>46045</v>
      </c>
      <c r="D2962" t="inlineStr">
        <is>
          <t>JÄMTLANDS LÄN</t>
        </is>
      </c>
      <c r="E2962" t="inlineStr">
        <is>
          <t>ÅRE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4522-2024</t>
        </is>
      </c>
      <c r="B2963" s="1" t="n">
        <v>45327</v>
      </c>
      <c r="C2963" s="1" t="n">
        <v>46045</v>
      </c>
      <c r="D2963" t="inlineStr">
        <is>
          <t>JÄMTLANDS LÄN</t>
        </is>
      </c>
      <c r="E2963" t="inlineStr">
        <is>
          <t>BERG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62358-2023</t>
        </is>
      </c>
      <c r="B2964" s="1" t="n">
        <v>45267</v>
      </c>
      <c r="C2964" s="1" t="n">
        <v>46045</v>
      </c>
      <c r="D2964" t="inlineStr">
        <is>
          <t>JÄMTLANDS LÄN</t>
        </is>
      </c>
      <c r="E2964" t="inlineStr">
        <is>
          <t>RAGUNDA</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21403-2022</t>
        </is>
      </c>
      <c r="B2965" s="1" t="n">
        <v>44705.9403125</v>
      </c>
      <c r="C2965" s="1" t="n">
        <v>46045</v>
      </c>
      <c r="D2965" t="inlineStr">
        <is>
          <t>JÄMTLANDS LÄN</t>
        </is>
      </c>
      <c r="E2965" t="inlineStr">
        <is>
          <t>BERG</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17705-2021</t>
        </is>
      </c>
      <c r="B2966" s="1" t="n">
        <v>44300</v>
      </c>
      <c r="C2966" s="1" t="n">
        <v>46045</v>
      </c>
      <c r="D2966" t="inlineStr">
        <is>
          <t>JÄMTLANDS LÄN</t>
        </is>
      </c>
      <c r="E2966" t="inlineStr">
        <is>
          <t>HÄRJEDALEN</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45206-2024</t>
        </is>
      </c>
      <c r="B2967" s="1" t="n">
        <v>45575.69966435185</v>
      </c>
      <c r="C2967" s="1" t="n">
        <v>46045</v>
      </c>
      <c r="D2967" t="inlineStr">
        <is>
          <t>JÄMTLANDS LÄN</t>
        </is>
      </c>
      <c r="E2967" t="inlineStr">
        <is>
          <t>BERG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3196-2023</t>
        </is>
      </c>
      <c r="B2968" s="1" t="n">
        <v>44946</v>
      </c>
      <c r="C2968" s="1" t="n">
        <v>46045</v>
      </c>
      <c r="D2968" t="inlineStr">
        <is>
          <t>JÄMTLANDS LÄN</t>
        </is>
      </c>
      <c r="E2968" t="inlineStr">
        <is>
          <t>ÅRE</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24302-2022</t>
        </is>
      </c>
      <c r="B2969" s="1" t="n">
        <v>44725.94356481481</v>
      </c>
      <c r="C2969" s="1" t="n">
        <v>46045</v>
      </c>
      <c r="D2969" t="inlineStr">
        <is>
          <t>JÄMTLANDS LÄN</t>
        </is>
      </c>
      <c r="E2969" t="inlineStr">
        <is>
          <t>STRÖMSUND</t>
        </is>
      </c>
      <c r="F2969" t="inlineStr">
        <is>
          <t>SCA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35308-2021</t>
        </is>
      </c>
      <c r="B2970" s="1" t="n">
        <v>44384</v>
      </c>
      <c r="C2970" s="1" t="n">
        <v>46045</v>
      </c>
      <c r="D2970" t="inlineStr">
        <is>
          <t>JÄMTLANDS LÄN</t>
        </is>
      </c>
      <c r="E2970" t="inlineStr">
        <is>
          <t>BERG</t>
        </is>
      </c>
      <c r="G2970" t="n">
        <v>2.9</v>
      </c>
      <c r="H2970" t="n">
        <v>0</v>
      </c>
      <c r="I2970" t="n">
        <v>0</v>
      </c>
      <c r="J2970" t="n">
        <v>0</v>
      </c>
      <c r="K2970" t="n">
        <v>0</v>
      </c>
      <c r="L2970" t="n">
        <v>0</v>
      </c>
      <c r="M2970" t="n">
        <v>0</v>
      </c>
      <c r="N2970" t="n">
        <v>0</v>
      </c>
      <c r="O2970" t="n">
        <v>0</v>
      </c>
      <c r="P2970" t="n">
        <v>0</v>
      </c>
      <c r="Q2970" t="n">
        <v>0</v>
      </c>
      <c r="R2970" s="2" t="inlineStr"/>
      <c r="U2970">
        <f>HYPERLINK("https://klasma.github.io/Logging_2326/knärot/A 35308-2021 karta knärot.png", "A 35308-2021")</f>
        <v/>
      </c>
      <c r="V2970">
        <f>HYPERLINK("https://klasma.github.io/Logging_2326/klagomål/A 35308-2021 FSC-klagomål.docx", "A 35308-2021")</f>
        <v/>
      </c>
      <c r="W2970">
        <f>HYPERLINK("https://klasma.github.io/Logging_2326/klagomålsmail/A 35308-2021 FSC-klagomål mail.docx", "A 35308-2021")</f>
        <v/>
      </c>
      <c r="X2970">
        <f>HYPERLINK("https://klasma.github.io/Logging_2326/tillsyn/A 35308-2021 tillsynsbegäran.docx", "A 35308-2021")</f>
        <v/>
      </c>
      <c r="Y2970">
        <f>HYPERLINK("https://klasma.github.io/Logging_2326/tillsynsmail/A 35308-2021 tillsynsbegäran mail.docx", "A 35308-2021")</f>
        <v/>
      </c>
    </row>
    <row r="2971" ht="15" customHeight="1">
      <c r="A2971" t="inlineStr">
        <is>
          <t>A 4170-2024</t>
        </is>
      </c>
      <c r="B2971" s="1" t="n">
        <v>45323.94685185186</v>
      </c>
      <c r="C2971" s="1" t="n">
        <v>46045</v>
      </c>
      <c r="D2971" t="inlineStr">
        <is>
          <t>JÄMTLANDS LÄN</t>
        </is>
      </c>
      <c r="E2971" t="inlineStr">
        <is>
          <t>BRÄCKE</t>
        </is>
      </c>
      <c r="F2971" t="inlineStr">
        <is>
          <t>SCA</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19264-2025</t>
        </is>
      </c>
      <c r="B2972" s="1" t="n">
        <v>45769.51087962963</v>
      </c>
      <c r="C2972" s="1" t="n">
        <v>46045</v>
      </c>
      <c r="D2972" t="inlineStr">
        <is>
          <t>JÄMTLANDS LÄN</t>
        </is>
      </c>
      <c r="E2972" t="inlineStr">
        <is>
          <t>RAGUNDA</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7157-2022</t>
        </is>
      </c>
      <c r="B2973" s="1" t="n">
        <v>44603.96527777778</v>
      </c>
      <c r="C2973" s="1" t="n">
        <v>46045</v>
      </c>
      <c r="D2973" t="inlineStr">
        <is>
          <t>JÄMTLANDS LÄN</t>
        </is>
      </c>
      <c r="E2973" t="inlineStr">
        <is>
          <t>STRÖMSUND</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53612-2021</t>
        </is>
      </c>
      <c r="B2974" s="1" t="n">
        <v>44469</v>
      </c>
      <c r="C2974" s="1" t="n">
        <v>46045</v>
      </c>
      <c r="D2974" t="inlineStr">
        <is>
          <t>JÄMTLANDS LÄN</t>
        </is>
      </c>
      <c r="E2974" t="inlineStr">
        <is>
          <t>BRÄCKE</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54152-2021</t>
        </is>
      </c>
      <c r="B2975" s="1" t="n">
        <v>44470</v>
      </c>
      <c r="C2975" s="1" t="n">
        <v>46045</v>
      </c>
      <c r="D2975" t="inlineStr">
        <is>
          <t>JÄMTLANDS LÄN</t>
        </is>
      </c>
      <c r="E2975" t="inlineStr">
        <is>
          <t>KROKOM</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6145-2025</t>
        </is>
      </c>
      <c r="B2976" s="1" t="n">
        <v>45698.39486111111</v>
      </c>
      <c r="C2976" s="1" t="n">
        <v>46045</v>
      </c>
      <c r="D2976" t="inlineStr">
        <is>
          <t>JÄMTLANDS LÄN</t>
        </is>
      </c>
      <c r="E2976" t="inlineStr">
        <is>
          <t>KROKOM</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44013-2021</t>
        </is>
      </c>
      <c r="B2977" s="1" t="n">
        <v>44434</v>
      </c>
      <c r="C2977" s="1" t="n">
        <v>46045</v>
      </c>
      <c r="D2977" t="inlineStr">
        <is>
          <t>JÄMTLANDS LÄN</t>
        </is>
      </c>
      <c r="E2977" t="inlineStr">
        <is>
          <t>ÖSTERSUND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24693-2022</t>
        </is>
      </c>
      <c r="B2978" s="1" t="n">
        <v>44727.71858796296</v>
      </c>
      <c r="C2978" s="1" t="n">
        <v>46045</v>
      </c>
      <c r="D2978" t="inlineStr">
        <is>
          <t>JÄMTLANDS LÄN</t>
        </is>
      </c>
      <c r="E2978" t="inlineStr">
        <is>
          <t>HÄRJEDALEN</t>
        </is>
      </c>
      <c r="F2978" t="inlineStr">
        <is>
          <t>Kyrkan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2411-2023</t>
        </is>
      </c>
      <c r="B2979" s="1" t="n">
        <v>44942</v>
      </c>
      <c r="C2979" s="1" t="n">
        <v>46045</v>
      </c>
      <c r="D2979" t="inlineStr">
        <is>
          <t>JÄMTLANDS LÄN</t>
        </is>
      </c>
      <c r="E2979" t="inlineStr">
        <is>
          <t>RAGUNDA</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65017-2021</t>
        </is>
      </c>
      <c r="B2980" s="1" t="n">
        <v>44512</v>
      </c>
      <c r="C2980" s="1" t="n">
        <v>46045</v>
      </c>
      <c r="D2980" t="inlineStr">
        <is>
          <t>JÄMTLANDS LÄN</t>
        </is>
      </c>
      <c r="E2980" t="inlineStr">
        <is>
          <t>RAGUNDA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45701-2022</t>
        </is>
      </c>
      <c r="B2981" s="1" t="n">
        <v>44845</v>
      </c>
      <c r="C2981" s="1" t="n">
        <v>46045</v>
      </c>
      <c r="D2981" t="inlineStr">
        <is>
          <t>JÄMTLANDS LÄN</t>
        </is>
      </c>
      <c r="E2981" t="inlineStr">
        <is>
          <t>BRÄCKE</t>
        </is>
      </c>
      <c r="F2981" t="inlineStr">
        <is>
          <t>SCA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54050-2021</t>
        </is>
      </c>
      <c r="B2982" s="1" t="n">
        <v>44470</v>
      </c>
      <c r="C2982" s="1" t="n">
        <v>46045</v>
      </c>
      <c r="D2982" t="inlineStr">
        <is>
          <t>JÄMTLANDS LÄN</t>
        </is>
      </c>
      <c r="E2982" t="inlineStr">
        <is>
          <t>STRÖMSUND</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11834-2023</t>
        </is>
      </c>
      <c r="B2983" s="1" t="n">
        <v>44994.94296296296</v>
      </c>
      <c r="C2983" s="1" t="n">
        <v>46045</v>
      </c>
      <c r="D2983" t="inlineStr">
        <is>
          <t>JÄMTLANDS LÄN</t>
        </is>
      </c>
      <c r="E2983" t="inlineStr">
        <is>
          <t>RAGUNDA</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16819-2021</t>
        </is>
      </c>
      <c r="B2984" s="1" t="n">
        <v>44293</v>
      </c>
      <c r="C2984" s="1" t="n">
        <v>46045</v>
      </c>
      <c r="D2984" t="inlineStr">
        <is>
          <t>JÄMTLANDS LÄN</t>
        </is>
      </c>
      <c r="E2984" t="inlineStr">
        <is>
          <t>BERG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23304-2023</t>
        </is>
      </c>
      <c r="B2985" s="1" t="n">
        <v>45075.945</v>
      </c>
      <c r="C2985" s="1" t="n">
        <v>46045</v>
      </c>
      <c r="D2985" t="inlineStr">
        <is>
          <t>JÄMTLANDS LÄN</t>
        </is>
      </c>
      <c r="E2985" t="inlineStr">
        <is>
          <t>RAGUNDA</t>
        </is>
      </c>
      <c r="F2985" t="inlineStr">
        <is>
          <t>SCA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51696-2024</t>
        </is>
      </c>
      <c r="B2986" s="1" t="n">
        <v>45607.34748842593</v>
      </c>
      <c r="C2986" s="1" t="n">
        <v>46045</v>
      </c>
      <c r="D2986" t="inlineStr">
        <is>
          <t>JÄMTLANDS LÄN</t>
        </is>
      </c>
      <c r="E2986" t="inlineStr">
        <is>
          <t>STRÖMSUND</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47241-2024</t>
        </is>
      </c>
      <c r="B2987" s="1" t="n">
        <v>45586.69837962963</v>
      </c>
      <c r="C2987" s="1" t="n">
        <v>46045</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39286-2024</t>
        </is>
      </c>
      <c r="B2988" s="1" t="n">
        <v>45551.36491898148</v>
      </c>
      <c r="C2988" s="1" t="n">
        <v>46045</v>
      </c>
      <c r="D2988" t="inlineStr">
        <is>
          <t>JÄMTLANDS LÄN</t>
        </is>
      </c>
      <c r="E2988" t="inlineStr">
        <is>
          <t>STRÖMSUND</t>
        </is>
      </c>
      <c r="F2988" t="inlineStr">
        <is>
          <t>SCA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53241-2024</t>
        </is>
      </c>
      <c r="B2989" s="1" t="n">
        <v>45613.87335648148</v>
      </c>
      <c r="C2989" s="1" t="n">
        <v>46045</v>
      </c>
      <c r="D2989" t="inlineStr">
        <is>
          <t>JÄMTLANDS LÄN</t>
        </is>
      </c>
      <c r="E2989" t="inlineStr">
        <is>
          <t>STRÖMSUND</t>
        </is>
      </c>
      <c r="G2989" t="n">
        <v>14.2</v>
      </c>
      <c r="H2989" t="n">
        <v>0</v>
      </c>
      <c r="I2989" t="n">
        <v>0</v>
      </c>
      <c r="J2989" t="n">
        <v>0</v>
      </c>
      <c r="K2989" t="n">
        <v>0</v>
      </c>
      <c r="L2989" t="n">
        <v>0</v>
      </c>
      <c r="M2989" t="n">
        <v>0</v>
      </c>
      <c r="N2989" t="n">
        <v>0</v>
      </c>
      <c r="O2989" t="n">
        <v>0</v>
      </c>
      <c r="P2989" t="n">
        <v>0</v>
      </c>
      <c r="Q2989" t="n">
        <v>0</v>
      </c>
      <c r="R2989" s="2" t="inlineStr"/>
    </row>
    <row r="2990" ht="15" customHeight="1">
      <c r="A2990" t="inlineStr">
        <is>
          <t>A 53264-2024</t>
        </is>
      </c>
      <c r="B2990" s="1" t="n">
        <v>45614.34545138889</v>
      </c>
      <c r="C2990" s="1" t="n">
        <v>46045</v>
      </c>
      <c r="D2990" t="inlineStr">
        <is>
          <t>JÄMTLANDS LÄN</t>
        </is>
      </c>
      <c r="E2990" t="inlineStr">
        <is>
          <t>RAGUNDA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11157-2025</t>
        </is>
      </c>
      <c r="B2991" s="1" t="n">
        <v>45723</v>
      </c>
      <c r="C2991" s="1" t="n">
        <v>46045</v>
      </c>
      <c r="D2991" t="inlineStr">
        <is>
          <t>JÄMTLANDS LÄN</t>
        </is>
      </c>
      <c r="E2991" t="inlineStr">
        <is>
          <t>STRÖMSUND</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42882-2022</t>
        </is>
      </c>
      <c r="B2992" s="1" t="n">
        <v>44832.95300925926</v>
      </c>
      <c r="C2992" s="1" t="n">
        <v>46045</v>
      </c>
      <c r="D2992" t="inlineStr">
        <is>
          <t>JÄMTLANDS LÄN</t>
        </is>
      </c>
      <c r="E2992" t="inlineStr">
        <is>
          <t>RAGUNDA</t>
        </is>
      </c>
      <c r="F2992" t="inlineStr">
        <is>
          <t>SCA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42267-2022</t>
        </is>
      </c>
      <c r="B2993" s="1" t="n">
        <v>44830</v>
      </c>
      <c r="C2993" s="1" t="n">
        <v>46045</v>
      </c>
      <c r="D2993" t="inlineStr">
        <is>
          <t>JÄMTLANDS LÄN</t>
        </is>
      </c>
      <c r="E2993" t="inlineStr">
        <is>
          <t>RAGUNDA</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29019-2021</t>
        </is>
      </c>
      <c r="B2994" s="1" t="n">
        <v>44358</v>
      </c>
      <c r="C2994" s="1" t="n">
        <v>46045</v>
      </c>
      <c r="D2994" t="inlineStr">
        <is>
          <t>JÄMTLANDS LÄN</t>
        </is>
      </c>
      <c r="E2994" t="inlineStr">
        <is>
          <t>BERG</t>
        </is>
      </c>
      <c r="F2994" t="inlineStr">
        <is>
          <t>Sveaskog</t>
        </is>
      </c>
      <c r="G2994" t="n">
        <v>27.1</v>
      </c>
      <c r="H2994" t="n">
        <v>0</v>
      </c>
      <c r="I2994" t="n">
        <v>0</v>
      </c>
      <c r="J2994" t="n">
        <v>0</v>
      </c>
      <c r="K2994" t="n">
        <v>0</v>
      </c>
      <c r="L2994" t="n">
        <v>0</v>
      </c>
      <c r="M2994" t="n">
        <v>0</v>
      </c>
      <c r="N2994" t="n">
        <v>0</v>
      </c>
      <c r="O2994" t="n">
        <v>0</v>
      </c>
      <c r="P2994" t="n">
        <v>0</v>
      </c>
      <c r="Q2994" t="n">
        <v>0</v>
      </c>
      <c r="R2994" s="2" t="inlineStr"/>
    </row>
    <row r="2995" ht="15" customHeight="1">
      <c r="A2995" t="inlineStr">
        <is>
          <t>A 11182-2025</t>
        </is>
      </c>
      <c r="B2995" s="1" t="n">
        <v>45725.44297453704</v>
      </c>
      <c r="C2995" s="1" t="n">
        <v>46045</v>
      </c>
      <c r="D2995" t="inlineStr">
        <is>
          <t>JÄMTLANDS LÄN</t>
        </is>
      </c>
      <c r="E2995" t="inlineStr">
        <is>
          <t>ÖSTERSUND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27978-2021</t>
        </is>
      </c>
      <c r="B2996" s="1" t="n">
        <v>44354</v>
      </c>
      <c r="C2996" s="1" t="n">
        <v>46045</v>
      </c>
      <c r="D2996" t="inlineStr">
        <is>
          <t>JÄMTLANDS LÄN</t>
        </is>
      </c>
      <c r="E2996" t="inlineStr">
        <is>
          <t>STRÖMSUND</t>
        </is>
      </c>
      <c r="F2996" t="inlineStr">
        <is>
          <t>SCA</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27980-2021</t>
        </is>
      </c>
      <c r="B2997" s="1" t="n">
        <v>44354</v>
      </c>
      <c r="C2997" s="1" t="n">
        <v>46045</v>
      </c>
      <c r="D2997" t="inlineStr">
        <is>
          <t>JÄMTLANDS LÄN</t>
        </is>
      </c>
      <c r="E2997" t="inlineStr">
        <is>
          <t>STRÖMSUND</t>
        </is>
      </c>
      <c r="F2997" t="inlineStr">
        <is>
          <t>SCA</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55542-2021</t>
        </is>
      </c>
      <c r="B2998" s="1" t="n">
        <v>44475</v>
      </c>
      <c r="C2998" s="1" t="n">
        <v>46045</v>
      </c>
      <c r="D2998" t="inlineStr">
        <is>
          <t>JÄMTLANDS LÄN</t>
        </is>
      </c>
      <c r="E2998" t="inlineStr">
        <is>
          <t>HÄRJEDALEN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55608-2021</t>
        </is>
      </c>
      <c r="B2999" s="1" t="n">
        <v>44475</v>
      </c>
      <c r="C2999" s="1" t="n">
        <v>46045</v>
      </c>
      <c r="D2999" t="inlineStr">
        <is>
          <t>JÄMTLANDS LÄN</t>
        </is>
      </c>
      <c r="E2999" t="inlineStr">
        <is>
          <t>STRÖMSUND</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32429-2024</t>
        </is>
      </c>
      <c r="B3000" s="1" t="n">
        <v>45512.92820601852</v>
      </c>
      <c r="C3000" s="1" t="n">
        <v>46045</v>
      </c>
      <c r="D3000" t="inlineStr">
        <is>
          <t>JÄMTLANDS LÄN</t>
        </is>
      </c>
      <c r="E3000" t="inlineStr">
        <is>
          <t>BRÄCKE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26948-2021</t>
        </is>
      </c>
      <c r="B3001" s="1" t="n">
        <v>44349.92013888889</v>
      </c>
      <c r="C3001" s="1" t="n">
        <v>46045</v>
      </c>
      <c r="D3001" t="inlineStr">
        <is>
          <t>JÄMTLANDS LÄN</t>
        </is>
      </c>
      <c r="E3001" t="inlineStr">
        <is>
          <t>RAGUNDA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32451-2024</t>
        </is>
      </c>
      <c r="B3002" s="1" t="n">
        <v>45512.95784722222</v>
      </c>
      <c r="C3002" s="1" t="n">
        <v>46045</v>
      </c>
      <c r="D3002" t="inlineStr">
        <is>
          <t>JÄMTLANDS LÄN</t>
        </is>
      </c>
      <c r="E3002" t="inlineStr">
        <is>
          <t>STRÖMSUND</t>
        </is>
      </c>
      <c r="F3002" t="inlineStr">
        <is>
          <t>SCA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22680-2022</t>
        </is>
      </c>
      <c r="B3003" s="1" t="n">
        <v>44714</v>
      </c>
      <c r="C3003" s="1" t="n">
        <v>46045</v>
      </c>
      <c r="D3003" t="inlineStr">
        <is>
          <t>JÄMTLANDS LÄN</t>
        </is>
      </c>
      <c r="E3003" t="inlineStr">
        <is>
          <t>BERG</t>
        </is>
      </c>
      <c r="G3003" t="n">
        <v>15.4</v>
      </c>
      <c r="H3003" t="n">
        <v>0</v>
      </c>
      <c r="I3003" t="n">
        <v>0</v>
      </c>
      <c r="J3003" t="n">
        <v>0</v>
      </c>
      <c r="K3003" t="n">
        <v>0</v>
      </c>
      <c r="L3003" t="n">
        <v>0</v>
      </c>
      <c r="M3003" t="n">
        <v>0</v>
      </c>
      <c r="N3003" t="n">
        <v>0</v>
      </c>
      <c r="O3003" t="n">
        <v>0</v>
      </c>
      <c r="P3003" t="n">
        <v>0</v>
      </c>
      <c r="Q3003" t="n">
        <v>0</v>
      </c>
      <c r="R3003" s="2" t="inlineStr"/>
    </row>
    <row r="3004" ht="15" customHeight="1">
      <c r="A3004" t="inlineStr">
        <is>
          <t>A 24918-2022</t>
        </is>
      </c>
      <c r="B3004" s="1" t="n">
        <v>44728</v>
      </c>
      <c r="C3004" s="1" t="n">
        <v>46045</v>
      </c>
      <c r="D3004" t="inlineStr">
        <is>
          <t>JÄMTLANDS LÄN</t>
        </is>
      </c>
      <c r="E3004" t="inlineStr">
        <is>
          <t>STRÖMSUND</t>
        </is>
      </c>
      <c r="F3004" t="inlineStr">
        <is>
          <t>Kyrkan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64492-2023</t>
        </is>
      </c>
      <c r="B3005" s="1" t="n">
        <v>45280.92645833334</v>
      </c>
      <c r="C3005" s="1" t="n">
        <v>46045</v>
      </c>
      <c r="D3005" t="inlineStr">
        <is>
          <t>JÄMTLANDS LÄN</t>
        </is>
      </c>
      <c r="E3005" t="inlineStr">
        <is>
          <t>RAGUNDA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20339-2022</t>
        </is>
      </c>
      <c r="B3006" s="1" t="n">
        <v>44699</v>
      </c>
      <c r="C3006" s="1" t="n">
        <v>46045</v>
      </c>
      <c r="D3006" t="inlineStr">
        <is>
          <t>JÄMTLANDS LÄN</t>
        </is>
      </c>
      <c r="E3006" t="inlineStr">
        <is>
          <t>STRÖMSUND</t>
        </is>
      </c>
      <c r="F3006" t="inlineStr">
        <is>
          <t>Holmen skog AB</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31089-2021</t>
        </is>
      </c>
      <c r="B3007" s="1" t="n">
        <v>44368</v>
      </c>
      <c r="C3007" s="1" t="n">
        <v>46045</v>
      </c>
      <c r="D3007" t="inlineStr">
        <is>
          <t>JÄMTLANDS LÄN</t>
        </is>
      </c>
      <c r="E3007" t="inlineStr">
        <is>
          <t>STRÖMSUND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49547-2024</t>
        </is>
      </c>
      <c r="B3008" s="1" t="n">
        <v>45596.44854166666</v>
      </c>
      <c r="C3008" s="1" t="n">
        <v>46045</v>
      </c>
      <c r="D3008" t="inlineStr">
        <is>
          <t>JÄMTLANDS LÄN</t>
        </is>
      </c>
      <c r="E3008" t="inlineStr">
        <is>
          <t>STRÖMSUND</t>
        </is>
      </c>
      <c r="F3008" t="inlineStr">
        <is>
          <t>SCA</t>
        </is>
      </c>
      <c r="G3008" t="n">
        <v>13.8</v>
      </c>
      <c r="H3008" t="n">
        <v>0</v>
      </c>
      <c r="I3008" t="n">
        <v>0</v>
      </c>
      <c r="J3008" t="n">
        <v>0</v>
      </c>
      <c r="K3008" t="n">
        <v>0</v>
      </c>
      <c r="L3008" t="n">
        <v>0</v>
      </c>
      <c r="M3008" t="n">
        <v>0</v>
      </c>
      <c r="N3008" t="n">
        <v>0</v>
      </c>
      <c r="O3008" t="n">
        <v>0</v>
      </c>
      <c r="P3008" t="n">
        <v>0</v>
      </c>
      <c r="Q3008" t="n">
        <v>0</v>
      </c>
      <c r="R3008" s="2" t="inlineStr"/>
    </row>
    <row r="3009" ht="15" customHeight="1">
      <c r="A3009" t="inlineStr">
        <is>
          <t>A 23103-2021</t>
        </is>
      </c>
      <c r="B3009" s="1" t="n">
        <v>44330</v>
      </c>
      <c r="C3009" s="1" t="n">
        <v>46045</v>
      </c>
      <c r="D3009" t="inlineStr">
        <is>
          <t>JÄMTLANDS LÄN</t>
        </is>
      </c>
      <c r="E3009" t="inlineStr">
        <is>
          <t>STRÖMSUND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52128-2023</t>
        </is>
      </c>
      <c r="B3010" s="1" t="n">
        <v>45223</v>
      </c>
      <c r="C3010" s="1" t="n">
        <v>46045</v>
      </c>
      <c r="D3010" t="inlineStr">
        <is>
          <t>JÄMTLANDS LÄN</t>
        </is>
      </c>
      <c r="E3010" t="inlineStr">
        <is>
          <t>ÖSTERSUND</t>
        </is>
      </c>
      <c r="F3010" t="inlineStr">
        <is>
          <t>SCA</t>
        </is>
      </c>
      <c r="G3010" t="n">
        <v>11.9</v>
      </c>
      <c r="H3010" t="n">
        <v>0</v>
      </c>
      <c r="I3010" t="n">
        <v>0</v>
      </c>
      <c r="J3010" t="n">
        <v>0</v>
      </c>
      <c r="K3010" t="n">
        <v>0</v>
      </c>
      <c r="L3010" t="n">
        <v>0</v>
      </c>
      <c r="M3010" t="n">
        <v>0</v>
      </c>
      <c r="N3010" t="n">
        <v>0</v>
      </c>
      <c r="O3010" t="n">
        <v>0</v>
      </c>
      <c r="P3010" t="n">
        <v>0</v>
      </c>
      <c r="Q3010" t="n">
        <v>0</v>
      </c>
      <c r="R3010" s="2" t="inlineStr"/>
    </row>
    <row r="3011" ht="15" customHeight="1">
      <c r="A3011" t="inlineStr">
        <is>
          <t>A 46602-2022</t>
        </is>
      </c>
      <c r="B3011" s="1" t="n">
        <v>44848</v>
      </c>
      <c r="C3011" s="1" t="n">
        <v>46045</v>
      </c>
      <c r="D3011" t="inlineStr">
        <is>
          <t>JÄMTLANDS LÄN</t>
        </is>
      </c>
      <c r="E3011" t="inlineStr">
        <is>
          <t>BRÄCKE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24585-2021</t>
        </is>
      </c>
      <c r="B3012" s="1" t="n">
        <v>44337</v>
      </c>
      <c r="C3012" s="1" t="n">
        <v>46045</v>
      </c>
      <c r="D3012" t="inlineStr">
        <is>
          <t>JÄMTLANDS LÄN</t>
        </is>
      </c>
      <c r="E3012" t="inlineStr">
        <is>
          <t>ÅRE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52134-2023</t>
        </is>
      </c>
      <c r="B3013" s="1" t="n">
        <v>45223</v>
      </c>
      <c r="C3013" s="1" t="n">
        <v>46045</v>
      </c>
      <c r="D3013" t="inlineStr">
        <is>
          <t>JÄMTLANDS LÄN</t>
        </is>
      </c>
      <c r="E3013" t="inlineStr">
        <is>
          <t>STRÖMSUND</t>
        </is>
      </c>
      <c r="F3013" t="inlineStr">
        <is>
          <t>SCA</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53053-2023</t>
        </is>
      </c>
      <c r="B3014" s="1" t="n">
        <v>45226</v>
      </c>
      <c r="C3014" s="1" t="n">
        <v>46045</v>
      </c>
      <c r="D3014" t="inlineStr">
        <is>
          <t>JÄMTLANDS LÄN</t>
        </is>
      </c>
      <c r="E3014" t="inlineStr">
        <is>
          <t>STRÖMSUND</t>
        </is>
      </c>
      <c r="F3014" t="inlineStr">
        <is>
          <t>SCA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46024-2022</t>
        </is>
      </c>
      <c r="B3015" s="1" t="n">
        <v>44846.92635416667</v>
      </c>
      <c r="C3015" s="1" t="n">
        <v>46045</v>
      </c>
      <c r="D3015" t="inlineStr">
        <is>
          <t>JÄMTLANDS LÄN</t>
        </is>
      </c>
      <c r="E3015" t="inlineStr">
        <is>
          <t>BRÄCKE</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19600-2021</t>
        </is>
      </c>
      <c r="B3016" s="1" t="n">
        <v>44308</v>
      </c>
      <c r="C3016" s="1" t="n">
        <v>46045</v>
      </c>
      <c r="D3016" t="inlineStr">
        <is>
          <t>JÄMTLANDS LÄN</t>
        </is>
      </c>
      <c r="E3016" t="inlineStr">
        <is>
          <t>RAGUNDA</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28290-2022</t>
        </is>
      </c>
      <c r="B3017" s="1" t="n">
        <v>44746.94305555556</v>
      </c>
      <c r="C3017" s="1" t="n">
        <v>46045</v>
      </c>
      <c r="D3017" t="inlineStr">
        <is>
          <t>JÄMTLANDS LÄN</t>
        </is>
      </c>
      <c r="E3017" t="inlineStr">
        <is>
          <t>STRÖMSUND</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32465-2021</t>
        </is>
      </c>
      <c r="B3018" s="1" t="n">
        <v>44371</v>
      </c>
      <c r="C3018" s="1" t="n">
        <v>46045</v>
      </c>
      <c r="D3018" t="inlineStr">
        <is>
          <t>JÄMTLANDS LÄN</t>
        </is>
      </c>
      <c r="E3018" t="inlineStr">
        <is>
          <t>STRÖMSUND</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7328-2024</t>
        </is>
      </c>
      <c r="B3019" s="1" t="n">
        <v>45345</v>
      </c>
      <c r="C3019" s="1" t="n">
        <v>46045</v>
      </c>
      <c r="D3019" t="inlineStr">
        <is>
          <t>JÄMTLANDS LÄN</t>
        </is>
      </c>
      <c r="E3019" t="inlineStr">
        <is>
          <t>HÄRJEDALEN</t>
        </is>
      </c>
      <c r="F3019" t="inlineStr">
        <is>
          <t>Sveaskog</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14153-2023</t>
        </is>
      </c>
      <c r="B3020" s="1" t="n">
        <v>45008</v>
      </c>
      <c r="C3020" s="1" t="n">
        <v>46045</v>
      </c>
      <c r="D3020" t="inlineStr">
        <is>
          <t>JÄMTLANDS LÄN</t>
        </is>
      </c>
      <c r="E3020" t="inlineStr">
        <is>
          <t>BERG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2374-2023</t>
        </is>
      </c>
      <c r="B3021" s="1" t="n">
        <v>44942.69005787037</v>
      </c>
      <c r="C3021" s="1" t="n">
        <v>46045</v>
      </c>
      <c r="D3021" t="inlineStr">
        <is>
          <t>JÄMTLANDS LÄN</t>
        </is>
      </c>
      <c r="E3021" t="inlineStr">
        <is>
          <t>ÅRE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41197-2022</t>
        </is>
      </c>
      <c r="B3022" s="1" t="n">
        <v>44825</v>
      </c>
      <c r="C3022" s="1" t="n">
        <v>46045</v>
      </c>
      <c r="D3022" t="inlineStr">
        <is>
          <t>JÄMTLANDS LÄN</t>
        </is>
      </c>
      <c r="E3022" t="inlineStr">
        <is>
          <t>KROKOM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47304-2023</t>
        </is>
      </c>
      <c r="B3023" s="1" t="n">
        <v>45202.48180555556</v>
      </c>
      <c r="C3023" s="1" t="n">
        <v>46045</v>
      </c>
      <c r="D3023" t="inlineStr">
        <is>
          <t>JÄMTLANDS LÄN</t>
        </is>
      </c>
      <c r="E3023" t="inlineStr">
        <is>
          <t>BERG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50431-2024</t>
        </is>
      </c>
      <c r="B3024" s="1" t="n">
        <v>45601.40686342592</v>
      </c>
      <c r="C3024" s="1" t="n">
        <v>46045</v>
      </c>
      <c r="D3024" t="inlineStr">
        <is>
          <t>JÄMTLANDS LÄN</t>
        </is>
      </c>
      <c r="E3024" t="inlineStr">
        <is>
          <t>RAGUNDA</t>
        </is>
      </c>
      <c r="F3024" t="inlineStr">
        <is>
          <t>SCA</t>
        </is>
      </c>
      <c r="G3024" t="n">
        <v>8.5</v>
      </c>
      <c r="H3024" t="n">
        <v>0</v>
      </c>
      <c r="I3024" t="n">
        <v>0</v>
      </c>
      <c r="J3024" t="n">
        <v>0</v>
      </c>
      <c r="K3024" t="n">
        <v>0</v>
      </c>
      <c r="L3024" t="n">
        <v>0</v>
      </c>
      <c r="M3024" t="n">
        <v>0</v>
      </c>
      <c r="N3024" t="n">
        <v>0</v>
      </c>
      <c r="O3024" t="n">
        <v>0</v>
      </c>
      <c r="P3024" t="n">
        <v>0</v>
      </c>
      <c r="Q3024" t="n">
        <v>0</v>
      </c>
      <c r="R3024" s="2" t="inlineStr"/>
    </row>
    <row r="3025" ht="15" customHeight="1">
      <c r="A3025" t="inlineStr">
        <is>
          <t>A 59405-2022</t>
        </is>
      </c>
      <c r="B3025" s="1" t="n">
        <v>44906</v>
      </c>
      <c r="C3025" s="1" t="n">
        <v>46045</v>
      </c>
      <c r="D3025" t="inlineStr">
        <is>
          <t>JÄMTLANDS LÄN</t>
        </is>
      </c>
      <c r="E3025" t="inlineStr">
        <is>
          <t>BRÄCKE</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49204-2021</t>
        </is>
      </c>
      <c r="B3026" s="1" t="n">
        <v>44454</v>
      </c>
      <c r="C3026" s="1" t="n">
        <v>46045</v>
      </c>
      <c r="D3026" t="inlineStr">
        <is>
          <t>JÄMTLANDS LÄN</t>
        </is>
      </c>
      <c r="E3026" t="inlineStr">
        <is>
          <t>STRÖMSUND</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49206-2021</t>
        </is>
      </c>
      <c r="B3027" s="1" t="n">
        <v>44454</v>
      </c>
      <c r="C3027" s="1" t="n">
        <v>46045</v>
      </c>
      <c r="D3027" t="inlineStr">
        <is>
          <t>JÄMTLANDS LÄN</t>
        </is>
      </c>
      <c r="E3027" t="inlineStr">
        <is>
          <t>STRÖMSUND</t>
        </is>
      </c>
      <c r="F3027" t="inlineStr">
        <is>
          <t>Sveaskog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68686-2021</t>
        </is>
      </c>
      <c r="B3028" s="1" t="n">
        <v>44526</v>
      </c>
      <c r="C3028" s="1" t="n">
        <v>46045</v>
      </c>
      <c r="D3028" t="inlineStr">
        <is>
          <t>JÄMTLANDS LÄN</t>
        </is>
      </c>
      <c r="E3028" t="inlineStr">
        <is>
          <t>KROKOM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56221-2021</t>
        </is>
      </c>
      <c r="B3029" s="1" t="n">
        <v>44477</v>
      </c>
      <c r="C3029" s="1" t="n">
        <v>46045</v>
      </c>
      <c r="D3029" t="inlineStr">
        <is>
          <t>JÄMTLANDS LÄN</t>
        </is>
      </c>
      <c r="E3029" t="inlineStr">
        <is>
          <t>BRÄCKE</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49330-2023</t>
        </is>
      </c>
      <c r="B3030" s="1" t="n">
        <v>45210.94927083333</v>
      </c>
      <c r="C3030" s="1" t="n">
        <v>46045</v>
      </c>
      <c r="D3030" t="inlineStr">
        <is>
          <t>JÄMTLANDS LÄN</t>
        </is>
      </c>
      <c r="E3030" t="inlineStr">
        <is>
          <t>BRÄCKE</t>
        </is>
      </c>
      <c r="F3030" t="inlineStr">
        <is>
          <t>SCA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16460-2022</t>
        </is>
      </c>
      <c r="B3031" s="1" t="n">
        <v>44671</v>
      </c>
      <c r="C3031" s="1" t="n">
        <v>46045</v>
      </c>
      <c r="D3031" t="inlineStr">
        <is>
          <t>JÄMTLANDS LÄN</t>
        </is>
      </c>
      <c r="E3031" t="inlineStr">
        <is>
          <t>RAGUNDA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28596-2021</t>
        </is>
      </c>
      <c r="B3032" s="1" t="n">
        <v>44356</v>
      </c>
      <c r="C3032" s="1" t="n">
        <v>46045</v>
      </c>
      <c r="D3032" t="inlineStr">
        <is>
          <t>JÄMTLANDS LÄN</t>
        </is>
      </c>
      <c r="E3032" t="inlineStr">
        <is>
          <t>RAGUNDA</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24056-2022</t>
        </is>
      </c>
      <c r="B3033" s="1" t="n">
        <v>44724.938125</v>
      </c>
      <c r="C3033" s="1" t="n">
        <v>46045</v>
      </c>
      <c r="D3033" t="inlineStr">
        <is>
          <t>JÄMTLANDS LÄN</t>
        </is>
      </c>
      <c r="E3033" t="inlineStr">
        <is>
          <t>BRÄCKE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35010-2022</t>
        </is>
      </c>
      <c r="B3034" s="1" t="n">
        <v>44796.94616898148</v>
      </c>
      <c r="C3034" s="1" t="n">
        <v>46045</v>
      </c>
      <c r="D3034" t="inlineStr">
        <is>
          <t>JÄMTLANDS LÄN</t>
        </is>
      </c>
      <c r="E3034" t="inlineStr">
        <is>
          <t>BRÄCKE</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22616-2022</t>
        </is>
      </c>
      <c r="B3035" s="1" t="n">
        <v>44714</v>
      </c>
      <c r="C3035" s="1" t="n">
        <v>46045</v>
      </c>
      <c r="D3035" t="inlineStr">
        <is>
          <t>JÄMTLANDS LÄN</t>
        </is>
      </c>
      <c r="E3035" t="inlineStr">
        <is>
          <t>STRÖMSUND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25843-2022</t>
        </is>
      </c>
      <c r="B3036" s="1" t="n">
        <v>44733</v>
      </c>
      <c r="C3036" s="1" t="n">
        <v>46045</v>
      </c>
      <c r="D3036" t="inlineStr">
        <is>
          <t>JÄMTLANDS LÄN</t>
        </is>
      </c>
      <c r="E3036" t="inlineStr">
        <is>
          <t>STRÖMSUND</t>
        </is>
      </c>
      <c r="F3036" t="inlineStr">
        <is>
          <t>Kyrkan</t>
        </is>
      </c>
      <c r="G3036" t="n">
        <v>12.2</v>
      </c>
      <c r="H3036" t="n">
        <v>0</v>
      </c>
      <c r="I3036" t="n">
        <v>0</v>
      </c>
      <c r="J3036" t="n">
        <v>0</v>
      </c>
      <c r="K3036" t="n">
        <v>0</v>
      </c>
      <c r="L3036" t="n">
        <v>0</v>
      </c>
      <c r="M3036" t="n">
        <v>0</v>
      </c>
      <c r="N3036" t="n">
        <v>0</v>
      </c>
      <c r="O3036" t="n">
        <v>0</v>
      </c>
      <c r="P3036" t="n">
        <v>0</v>
      </c>
      <c r="Q3036" t="n">
        <v>0</v>
      </c>
      <c r="R3036" s="2" t="inlineStr"/>
    </row>
    <row r="3037" ht="15" customHeight="1">
      <c r="A3037" t="inlineStr">
        <is>
          <t>A 61806-2021</t>
        </is>
      </c>
      <c r="B3037" s="1" t="n">
        <v>44498</v>
      </c>
      <c r="C3037" s="1" t="n">
        <v>46045</v>
      </c>
      <c r="D3037" t="inlineStr">
        <is>
          <t>JÄMTLANDS LÄN</t>
        </is>
      </c>
      <c r="E3037" t="inlineStr">
        <is>
          <t>ÅRE</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22728-2023</t>
        </is>
      </c>
      <c r="B3038" s="1" t="n">
        <v>45071.92488425926</v>
      </c>
      <c r="C3038" s="1" t="n">
        <v>46045</v>
      </c>
      <c r="D3038" t="inlineStr">
        <is>
          <t>JÄMTLANDS LÄN</t>
        </is>
      </c>
      <c r="E3038" t="inlineStr">
        <is>
          <t>HÄRJEDALEN</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29276-2022</t>
        </is>
      </c>
      <c r="B3039" s="1" t="n">
        <v>44750</v>
      </c>
      <c r="C3039" s="1" t="n">
        <v>46045</v>
      </c>
      <c r="D3039" t="inlineStr">
        <is>
          <t>JÄMTLANDS LÄN</t>
        </is>
      </c>
      <c r="E3039" t="inlineStr">
        <is>
          <t>STRÖMSUND</t>
        </is>
      </c>
      <c r="G3039" t="n">
        <v>18.8</v>
      </c>
      <c r="H3039" t="n">
        <v>0</v>
      </c>
      <c r="I3039" t="n">
        <v>0</v>
      </c>
      <c r="J3039" t="n">
        <v>0</v>
      </c>
      <c r="K3039" t="n">
        <v>0</v>
      </c>
      <c r="L3039" t="n">
        <v>0</v>
      </c>
      <c r="M3039" t="n">
        <v>0</v>
      </c>
      <c r="N3039" t="n">
        <v>0</v>
      </c>
      <c r="O3039" t="n">
        <v>0</v>
      </c>
      <c r="P3039" t="n">
        <v>0</v>
      </c>
      <c r="Q3039" t="n">
        <v>0</v>
      </c>
      <c r="R3039" s="2" t="inlineStr"/>
    </row>
    <row r="3040" ht="15" customHeight="1">
      <c r="A3040" t="inlineStr">
        <is>
          <t>A 49861-2022</t>
        </is>
      </c>
      <c r="B3040" s="1" t="n">
        <v>44862</v>
      </c>
      <c r="C3040" s="1" t="n">
        <v>46045</v>
      </c>
      <c r="D3040" t="inlineStr">
        <is>
          <t>JÄMTLANDS LÄN</t>
        </is>
      </c>
      <c r="E3040" t="inlineStr">
        <is>
          <t>BRÄCKE</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55381-2021</t>
        </is>
      </c>
      <c r="B3041" s="1" t="n">
        <v>44475</v>
      </c>
      <c r="C3041" s="1" t="n">
        <v>46045</v>
      </c>
      <c r="D3041" t="inlineStr">
        <is>
          <t>JÄMTLANDS LÄN</t>
        </is>
      </c>
      <c r="E3041" t="inlineStr">
        <is>
          <t>HÄRJEDALEN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55396-2021</t>
        </is>
      </c>
      <c r="B3042" s="1" t="n">
        <v>44475</v>
      </c>
      <c r="C3042" s="1" t="n">
        <v>46045</v>
      </c>
      <c r="D3042" t="inlineStr">
        <is>
          <t>JÄMTLANDS LÄN</t>
        </is>
      </c>
      <c r="E3042" t="inlineStr">
        <is>
          <t>HÄRJEDALEN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36567-2021</t>
        </is>
      </c>
      <c r="B3043" s="1" t="n">
        <v>44391</v>
      </c>
      <c r="C3043" s="1" t="n">
        <v>46045</v>
      </c>
      <c r="D3043" t="inlineStr">
        <is>
          <t>JÄMTLANDS LÄN</t>
        </is>
      </c>
      <c r="E3043" t="inlineStr">
        <is>
          <t>KROKOM</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38926-2024</t>
        </is>
      </c>
      <c r="B3044" s="1" t="n">
        <v>45547.90777777778</v>
      </c>
      <c r="C3044" s="1" t="n">
        <v>46045</v>
      </c>
      <c r="D3044" t="inlineStr">
        <is>
          <t>JÄMTLANDS LÄN</t>
        </is>
      </c>
      <c r="E3044" t="inlineStr">
        <is>
          <t>ÖSTERSUND</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6451-2022</t>
        </is>
      </c>
      <c r="B3045" s="1" t="n">
        <v>44601.35342592592</v>
      </c>
      <c r="C3045" s="1" t="n">
        <v>46045</v>
      </c>
      <c r="D3045" t="inlineStr">
        <is>
          <t>JÄMTLANDS LÄN</t>
        </is>
      </c>
      <c r="E3045" t="inlineStr">
        <is>
          <t>KROKOM</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58677-2023</t>
        </is>
      </c>
      <c r="B3046" s="1" t="n">
        <v>45251.65152777778</v>
      </c>
      <c r="C3046" s="1" t="n">
        <v>46045</v>
      </c>
      <c r="D3046" t="inlineStr">
        <is>
          <t>JÄMTLANDS LÄN</t>
        </is>
      </c>
      <c r="E3046" t="inlineStr">
        <is>
          <t>KROKOM</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62299-2023</t>
        </is>
      </c>
      <c r="B3047" s="1" t="n">
        <v>45266</v>
      </c>
      <c r="C3047" s="1" t="n">
        <v>46045</v>
      </c>
      <c r="D3047" t="inlineStr">
        <is>
          <t>JÄMTLANDS LÄN</t>
        </is>
      </c>
      <c r="E3047" t="inlineStr">
        <is>
          <t>BERG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54324-2023</t>
        </is>
      </c>
      <c r="B3048" s="1" t="n">
        <v>45225</v>
      </c>
      <c r="C3048" s="1" t="n">
        <v>46045</v>
      </c>
      <c r="D3048" t="inlineStr">
        <is>
          <t>JÄMTLANDS LÄN</t>
        </is>
      </c>
      <c r="E3048" t="inlineStr">
        <is>
          <t>ÅRE</t>
        </is>
      </c>
      <c r="G3048" t="n">
        <v>9.800000000000001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43932-2024</t>
        </is>
      </c>
      <c r="B3049" s="1" t="n">
        <v>45572.45601851852</v>
      </c>
      <c r="C3049" s="1" t="n">
        <v>46045</v>
      </c>
      <c r="D3049" t="inlineStr">
        <is>
          <t>JÄMTLANDS LÄN</t>
        </is>
      </c>
      <c r="E3049" t="inlineStr">
        <is>
          <t>KROKOM</t>
        </is>
      </c>
      <c r="F3049" t="inlineStr">
        <is>
          <t>Övriga Aktiebolag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4542-2022</t>
        </is>
      </c>
      <c r="B3050" s="1" t="n">
        <v>44590</v>
      </c>
      <c r="C3050" s="1" t="n">
        <v>46045</v>
      </c>
      <c r="D3050" t="inlineStr">
        <is>
          <t>JÄMTLANDS LÄN</t>
        </is>
      </c>
      <c r="E3050" t="inlineStr">
        <is>
          <t>BRÄCKE</t>
        </is>
      </c>
      <c r="G3050" t="n">
        <v>18.5</v>
      </c>
      <c r="H3050" t="n">
        <v>0</v>
      </c>
      <c r="I3050" t="n">
        <v>0</v>
      </c>
      <c r="J3050" t="n">
        <v>0</v>
      </c>
      <c r="K3050" t="n">
        <v>0</v>
      </c>
      <c r="L3050" t="n">
        <v>0</v>
      </c>
      <c r="M3050" t="n">
        <v>0</v>
      </c>
      <c r="N3050" t="n">
        <v>0</v>
      </c>
      <c r="O3050" t="n">
        <v>0</v>
      </c>
      <c r="P3050" t="n">
        <v>0</v>
      </c>
      <c r="Q3050" t="n">
        <v>0</v>
      </c>
      <c r="R3050" s="2" t="inlineStr"/>
    </row>
    <row r="3051" ht="15" customHeight="1">
      <c r="A3051" t="inlineStr">
        <is>
          <t>A 43326-2024</t>
        </is>
      </c>
      <c r="B3051" s="1" t="n">
        <v>45568.47420138889</v>
      </c>
      <c r="C3051" s="1" t="n">
        <v>46045</v>
      </c>
      <c r="D3051" t="inlineStr">
        <is>
          <t>JÄMTLANDS LÄN</t>
        </is>
      </c>
      <c r="E3051" t="inlineStr">
        <is>
          <t>STRÖMSUND</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10285-2021</t>
        </is>
      </c>
      <c r="B3052" s="1" t="n">
        <v>44257</v>
      </c>
      <c r="C3052" s="1" t="n">
        <v>46045</v>
      </c>
      <c r="D3052" t="inlineStr">
        <is>
          <t>JÄMTLANDS LÄN</t>
        </is>
      </c>
      <c r="E3052" t="inlineStr">
        <is>
          <t>ÅRE</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23731-2022</t>
        </is>
      </c>
      <c r="B3053" s="1" t="n">
        <v>44722</v>
      </c>
      <c r="C3053" s="1" t="n">
        <v>46045</v>
      </c>
      <c r="D3053" t="inlineStr">
        <is>
          <t>JÄMTLANDS LÄN</t>
        </is>
      </c>
      <c r="E3053" t="inlineStr">
        <is>
          <t>HÄRJEDALEN</t>
        </is>
      </c>
      <c r="G3053" t="n">
        <v>15.6</v>
      </c>
      <c r="H3053" t="n">
        <v>0</v>
      </c>
      <c r="I3053" t="n">
        <v>0</v>
      </c>
      <c r="J3053" t="n">
        <v>0</v>
      </c>
      <c r="K3053" t="n">
        <v>0</v>
      </c>
      <c r="L3053" t="n">
        <v>0</v>
      </c>
      <c r="M3053" t="n">
        <v>0</v>
      </c>
      <c r="N3053" t="n">
        <v>0</v>
      </c>
      <c r="O3053" t="n">
        <v>0</v>
      </c>
      <c r="P3053" t="n">
        <v>0</v>
      </c>
      <c r="Q3053" t="n">
        <v>0</v>
      </c>
      <c r="R3053" s="2" t="inlineStr"/>
    </row>
    <row r="3054" ht="15" customHeight="1">
      <c r="A3054" t="inlineStr">
        <is>
          <t>A 24197-2021</t>
        </is>
      </c>
      <c r="B3054" s="1" t="n">
        <v>44336</v>
      </c>
      <c r="C3054" s="1" t="n">
        <v>46045</v>
      </c>
      <c r="D3054" t="inlineStr">
        <is>
          <t>JÄMTLANDS LÄN</t>
        </is>
      </c>
      <c r="E3054" t="inlineStr">
        <is>
          <t>STRÖMSUND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30217-2022</t>
        </is>
      </c>
      <c r="B3055" s="1" t="n">
        <v>44757.92671296297</v>
      </c>
      <c r="C3055" s="1" t="n">
        <v>46045</v>
      </c>
      <c r="D3055" t="inlineStr">
        <is>
          <t>JÄMTLANDS LÄN</t>
        </is>
      </c>
      <c r="E3055" t="inlineStr">
        <is>
          <t>ÖSTERSUND</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33230-2022</t>
        </is>
      </c>
      <c r="B3056" s="1" t="n">
        <v>44785.9421412037</v>
      </c>
      <c r="C3056" s="1" t="n">
        <v>46045</v>
      </c>
      <c r="D3056" t="inlineStr">
        <is>
          <t>JÄMTLANDS LÄN</t>
        </is>
      </c>
      <c r="E3056" t="inlineStr">
        <is>
          <t>STRÖMSUND</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36106-2022</t>
        </is>
      </c>
      <c r="B3057" s="1" t="n">
        <v>44802.94811342593</v>
      </c>
      <c r="C3057" s="1" t="n">
        <v>46045</v>
      </c>
      <c r="D3057" t="inlineStr">
        <is>
          <t>JÄMTLANDS LÄN</t>
        </is>
      </c>
      <c r="E3057" t="inlineStr">
        <is>
          <t>RAGUNDA</t>
        </is>
      </c>
      <c r="F3057" t="inlineStr">
        <is>
          <t>SCA</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36122-2022</t>
        </is>
      </c>
      <c r="B3058" s="1" t="n">
        <v>44803</v>
      </c>
      <c r="C3058" s="1" t="n">
        <v>46045</v>
      </c>
      <c r="D3058" t="inlineStr">
        <is>
          <t>JÄMTLANDS LÄN</t>
        </is>
      </c>
      <c r="E3058" t="inlineStr">
        <is>
          <t>KROKOM</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13686-2023</t>
        </is>
      </c>
      <c r="B3059" s="1" t="n">
        <v>45006</v>
      </c>
      <c r="C3059" s="1" t="n">
        <v>46045</v>
      </c>
      <c r="D3059" t="inlineStr">
        <is>
          <t>JÄMTLANDS LÄN</t>
        </is>
      </c>
      <c r="E3059" t="inlineStr">
        <is>
          <t>STRÖMSUND</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13687-2023</t>
        </is>
      </c>
      <c r="B3060" s="1" t="n">
        <v>45006</v>
      </c>
      <c r="C3060" s="1" t="n">
        <v>46045</v>
      </c>
      <c r="D3060" t="inlineStr">
        <is>
          <t>JÄMTLANDS LÄN</t>
        </is>
      </c>
      <c r="E3060" t="inlineStr">
        <is>
          <t>STRÖMSUND</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14344-2023</t>
        </is>
      </c>
      <c r="B3061" s="1" t="n">
        <v>45012</v>
      </c>
      <c r="C3061" s="1" t="n">
        <v>46045</v>
      </c>
      <c r="D3061" t="inlineStr">
        <is>
          <t>JÄMTLANDS LÄN</t>
        </is>
      </c>
      <c r="E3061" t="inlineStr">
        <is>
          <t>STRÖMSUND</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5262-2024</t>
        </is>
      </c>
      <c r="B3062" s="1" t="n">
        <v>45330</v>
      </c>
      <c r="C3062" s="1" t="n">
        <v>46045</v>
      </c>
      <c r="D3062" t="inlineStr">
        <is>
          <t>JÄMTLANDS LÄN</t>
        </is>
      </c>
      <c r="E3062" t="inlineStr">
        <is>
          <t>STRÖMSUND</t>
        </is>
      </c>
      <c r="F3062" t="inlineStr">
        <is>
          <t>SCA</t>
        </is>
      </c>
      <c r="G3062" t="n">
        <v>19.7</v>
      </c>
      <c r="H3062" t="n">
        <v>0</v>
      </c>
      <c r="I3062" t="n">
        <v>0</v>
      </c>
      <c r="J3062" t="n">
        <v>0</v>
      </c>
      <c r="K3062" t="n">
        <v>0</v>
      </c>
      <c r="L3062" t="n">
        <v>0</v>
      </c>
      <c r="M3062" t="n">
        <v>0</v>
      </c>
      <c r="N3062" t="n">
        <v>0</v>
      </c>
      <c r="O3062" t="n">
        <v>0</v>
      </c>
      <c r="P3062" t="n">
        <v>0</v>
      </c>
      <c r="Q3062" t="n">
        <v>0</v>
      </c>
      <c r="R3062" s="2" t="inlineStr"/>
    </row>
    <row r="3063" ht="15" customHeight="1">
      <c r="A3063" t="inlineStr">
        <is>
          <t>A 51537-2022</t>
        </is>
      </c>
      <c r="B3063" s="1" t="n">
        <v>44869</v>
      </c>
      <c r="C3063" s="1" t="n">
        <v>46045</v>
      </c>
      <c r="D3063" t="inlineStr">
        <is>
          <t>JÄMTLANDS LÄN</t>
        </is>
      </c>
      <c r="E3063" t="inlineStr">
        <is>
          <t>RAGUNDA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20033-2025</t>
        </is>
      </c>
      <c r="B3064" s="1" t="n">
        <v>45772.36106481482</v>
      </c>
      <c r="C3064" s="1" t="n">
        <v>46045</v>
      </c>
      <c r="D3064" t="inlineStr">
        <is>
          <t>JÄMTLANDS LÄN</t>
        </is>
      </c>
      <c r="E3064" t="inlineStr">
        <is>
          <t>HÄRJEDALEN</t>
        </is>
      </c>
      <c r="F3064" t="inlineStr">
        <is>
          <t>Sveaskog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64645-2021</t>
        </is>
      </c>
      <c r="B3065" s="1" t="n">
        <v>44511.94629629629</v>
      </c>
      <c r="C3065" s="1" t="n">
        <v>46045</v>
      </c>
      <c r="D3065" t="inlineStr">
        <is>
          <t>JÄMTLANDS LÄN</t>
        </is>
      </c>
      <c r="E3065" t="inlineStr">
        <is>
          <t>ÖSTERSUND</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14657-2022</t>
        </is>
      </c>
      <c r="B3066" s="1" t="n">
        <v>44655</v>
      </c>
      <c r="C3066" s="1" t="n">
        <v>46045</v>
      </c>
      <c r="D3066" t="inlineStr">
        <is>
          <t>JÄMTLANDS LÄN</t>
        </is>
      </c>
      <c r="E3066" t="inlineStr">
        <is>
          <t>ÖSTERSUND</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55939-2021</t>
        </is>
      </c>
      <c r="B3067" s="1" t="n">
        <v>44476</v>
      </c>
      <c r="C3067" s="1" t="n">
        <v>46045</v>
      </c>
      <c r="D3067" t="inlineStr">
        <is>
          <t>JÄMTLANDS LÄN</t>
        </is>
      </c>
      <c r="E3067" t="inlineStr">
        <is>
          <t>STRÖMSUND</t>
        </is>
      </c>
      <c r="F3067" t="inlineStr">
        <is>
          <t>SCA</t>
        </is>
      </c>
      <c r="G3067" t="n">
        <v>19.3</v>
      </c>
      <c r="H3067" t="n">
        <v>0</v>
      </c>
      <c r="I3067" t="n">
        <v>0</v>
      </c>
      <c r="J3067" t="n">
        <v>0</v>
      </c>
      <c r="K3067" t="n">
        <v>0</v>
      </c>
      <c r="L3067" t="n">
        <v>0</v>
      </c>
      <c r="M3067" t="n">
        <v>0</v>
      </c>
      <c r="N3067" t="n">
        <v>0</v>
      </c>
      <c r="O3067" t="n">
        <v>0</v>
      </c>
      <c r="P3067" t="n">
        <v>0</v>
      </c>
      <c r="Q3067" t="n">
        <v>0</v>
      </c>
      <c r="R3067" s="2" t="inlineStr"/>
    </row>
    <row r="3068" ht="15" customHeight="1">
      <c r="A3068" t="inlineStr">
        <is>
          <t>A 10861-2024</t>
        </is>
      </c>
      <c r="B3068" s="1" t="n">
        <v>45370.01967592593</v>
      </c>
      <c r="C3068" s="1" t="n">
        <v>46045</v>
      </c>
      <c r="D3068" t="inlineStr">
        <is>
          <t>JÄMTLANDS LÄN</t>
        </is>
      </c>
      <c r="E3068" t="inlineStr">
        <is>
          <t>BERG</t>
        </is>
      </c>
      <c r="F3068" t="inlineStr">
        <is>
          <t>SCA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21195-2022</t>
        </is>
      </c>
      <c r="B3069" s="1" t="n">
        <v>44704.94229166667</v>
      </c>
      <c r="C3069" s="1" t="n">
        <v>46045</v>
      </c>
      <c r="D3069" t="inlineStr">
        <is>
          <t>JÄMTLANDS LÄN</t>
        </is>
      </c>
      <c r="E3069" t="inlineStr">
        <is>
          <t>RAGUNDA</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37726-2022</t>
        </is>
      </c>
      <c r="B3070" s="1" t="n">
        <v>44810.56636574074</v>
      </c>
      <c r="C3070" s="1" t="n">
        <v>46045</v>
      </c>
      <c r="D3070" t="inlineStr">
        <is>
          <t>JÄMTLANDS LÄN</t>
        </is>
      </c>
      <c r="E3070" t="inlineStr">
        <is>
          <t>BERG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49531-2022</t>
        </is>
      </c>
      <c r="B3071" s="1" t="n">
        <v>44861</v>
      </c>
      <c r="C3071" s="1" t="n">
        <v>46045</v>
      </c>
      <c r="D3071" t="inlineStr">
        <is>
          <t>JÄMTLANDS LÄN</t>
        </is>
      </c>
      <c r="E3071" t="inlineStr">
        <is>
          <t>RAGUNDA</t>
        </is>
      </c>
      <c r="F3071" t="inlineStr">
        <is>
          <t>SCA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56852-2021</t>
        </is>
      </c>
      <c r="B3072" s="1" t="n">
        <v>44481.67951388889</v>
      </c>
      <c r="C3072" s="1" t="n">
        <v>46045</v>
      </c>
      <c r="D3072" t="inlineStr">
        <is>
          <t>JÄMTLANDS LÄN</t>
        </is>
      </c>
      <c r="E3072" t="inlineStr">
        <is>
          <t>HÄRJEDALEN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50645-2022</t>
        </is>
      </c>
      <c r="B3073" s="1" t="n">
        <v>44866.94913194444</v>
      </c>
      <c r="C3073" s="1" t="n">
        <v>46045</v>
      </c>
      <c r="D3073" t="inlineStr">
        <is>
          <t>JÄMTLANDS LÄN</t>
        </is>
      </c>
      <c r="E3073" t="inlineStr">
        <is>
          <t>STRÖMSUND</t>
        </is>
      </c>
      <c r="F3073" t="inlineStr">
        <is>
          <t>SCA</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50657-2022</t>
        </is>
      </c>
      <c r="B3074" s="1" t="n">
        <v>44866.95130787037</v>
      </c>
      <c r="C3074" s="1" t="n">
        <v>46045</v>
      </c>
      <c r="D3074" t="inlineStr">
        <is>
          <t>JÄMTLANDS LÄN</t>
        </is>
      </c>
      <c r="E3074" t="inlineStr">
        <is>
          <t>STRÖMSUND</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50659-2022</t>
        </is>
      </c>
      <c r="B3075" s="1" t="n">
        <v>44866.95142361111</v>
      </c>
      <c r="C3075" s="1" t="n">
        <v>46045</v>
      </c>
      <c r="D3075" t="inlineStr">
        <is>
          <t>JÄMTLANDS LÄN</t>
        </is>
      </c>
      <c r="E3075" t="inlineStr">
        <is>
          <t>STRÖMSUND</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50316-2022</t>
        </is>
      </c>
      <c r="B3076" s="1" t="n">
        <v>44865.94902777778</v>
      </c>
      <c r="C3076" s="1" t="n">
        <v>46045</v>
      </c>
      <c r="D3076" t="inlineStr">
        <is>
          <t>JÄMTLANDS LÄN</t>
        </is>
      </c>
      <c r="E3076" t="inlineStr">
        <is>
          <t>STRÖMSUND</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585-2022</t>
        </is>
      </c>
      <c r="B3077" s="1" t="n">
        <v>44566.94045138889</v>
      </c>
      <c r="C3077" s="1" t="n">
        <v>46045</v>
      </c>
      <c r="D3077" t="inlineStr">
        <is>
          <t>JÄMTLANDS LÄN</t>
        </is>
      </c>
      <c r="E3077" t="inlineStr">
        <is>
          <t>STRÖMSUND</t>
        </is>
      </c>
      <c r="F3077" t="inlineStr">
        <is>
          <t>SCA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9027-2025</t>
        </is>
      </c>
      <c r="B3078" s="1" t="n">
        <v>45713.60719907407</v>
      </c>
      <c r="C3078" s="1" t="n">
        <v>46045</v>
      </c>
      <c r="D3078" t="inlineStr">
        <is>
          <t>JÄMTLANDS LÄN</t>
        </is>
      </c>
      <c r="E3078" t="inlineStr">
        <is>
          <t>KROKOM</t>
        </is>
      </c>
      <c r="F3078" t="inlineStr">
        <is>
          <t>Övriga Aktiebolag</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72543-2021</t>
        </is>
      </c>
      <c r="B3079" s="1" t="n">
        <v>44546</v>
      </c>
      <c r="C3079" s="1" t="n">
        <v>46045</v>
      </c>
      <c r="D3079" t="inlineStr">
        <is>
          <t>JÄMTLANDS LÄN</t>
        </is>
      </c>
      <c r="E3079" t="inlineStr">
        <is>
          <t>STRÖMSUND</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52728-2022</t>
        </is>
      </c>
      <c r="B3080" s="1" t="n">
        <v>44874.95616898148</v>
      </c>
      <c r="C3080" s="1" t="n">
        <v>46045</v>
      </c>
      <c r="D3080" t="inlineStr">
        <is>
          <t>JÄMTLANDS LÄN</t>
        </is>
      </c>
      <c r="E3080" t="inlineStr">
        <is>
          <t>STRÖMSUND</t>
        </is>
      </c>
      <c r="F3080" t="inlineStr">
        <is>
          <t>SCA</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59753-2023</t>
        </is>
      </c>
      <c r="B3081" s="1" t="n">
        <v>45254</v>
      </c>
      <c r="C3081" s="1" t="n">
        <v>46045</v>
      </c>
      <c r="D3081" t="inlineStr">
        <is>
          <t>JÄMTLANDS LÄN</t>
        </is>
      </c>
      <c r="E3081" t="inlineStr">
        <is>
          <t>ÅRE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29936-2023</t>
        </is>
      </c>
      <c r="B3082" s="1" t="n">
        <v>45107</v>
      </c>
      <c r="C3082" s="1" t="n">
        <v>46045</v>
      </c>
      <c r="D3082" t="inlineStr">
        <is>
          <t>JÄMTLANDS LÄN</t>
        </is>
      </c>
      <c r="E3082" t="inlineStr">
        <is>
          <t>KROKOM</t>
        </is>
      </c>
      <c r="G3082" t="n">
        <v>77.40000000000001</v>
      </c>
      <c r="H3082" t="n">
        <v>0</v>
      </c>
      <c r="I3082" t="n">
        <v>0</v>
      </c>
      <c r="J3082" t="n">
        <v>0</v>
      </c>
      <c r="K3082" t="n">
        <v>0</v>
      </c>
      <c r="L3082" t="n">
        <v>0</v>
      </c>
      <c r="M3082" t="n">
        <v>0</v>
      </c>
      <c r="N3082" t="n">
        <v>0</v>
      </c>
      <c r="O3082" t="n">
        <v>0</v>
      </c>
      <c r="P3082" t="n">
        <v>0</v>
      </c>
      <c r="Q3082" t="n">
        <v>0</v>
      </c>
      <c r="R3082" s="2" t="inlineStr"/>
    </row>
    <row r="3083" ht="15" customHeight="1">
      <c r="A3083" t="inlineStr">
        <is>
          <t>A 11527-2022</t>
        </is>
      </c>
      <c r="B3083" s="1" t="n">
        <v>44631.37421296296</v>
      </c>
      <c r="C3083" s="1" t="n">
        <v>46045</v>
      </c>
      <c r="D3083" t="inlineStr">
        <is>
          <t>JÄMTLANDS LÄN</t>
        </is>
      </c>
      <c r="E3083" t="inlineStr">
        <is>
          <t>HÄRJEDALEN</t>
        </is>
      </c>
      <c r="F3083" t="inlineStr">
        <is>
          <t>Holmen skog AB</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60801-2021</t>
        </is>
      </c>
      <c r="B3084" s="1" t="n">
        <v>44497.29736111111</v>
      </c>
      <c r="C3084" s="1" t="n">
        <v>46045</v>
      </c>
      <c r="D3084" t="inlineStr">
        <is>
          <t>JÄMTLANDS LÄN</t>
        </is>
      </c>
      <c r="E3084" t="inlineStr">
        <is>
          <t>STRÖMSUND</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49196-2024</t>
        </is>
      </c>
      <c r="B3085" s="1" t="n">
        <v>45595.35145833333</v>
      </c>
      <c r="C3085" s="1" t="n">
        <v>46045</v>
      </c>
      <c r="D3085" t="inlineStr">
        <is>
          <t>JÄMTLANDS LÄN</t>
        </is>
      </c>
      <c r="E3085" t="inlineStr">
        <is>
          <t>STRÖMSUND</t>
        </is>
      </c>
      <c r="G3085" t="n">
        <v>9.699999999999999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20588-2023</t>
        </is>
      </c>
      <c r="B3086" s="1" t="n">
        <v>45057</v>
      </c>
      <c r="C3086" s="1" t="n">
        <v>46045</v>
      </c>
      <c r="D3086" t="inlineStr">
        <is>
          <t>JÄMTLANDS LÄN</t>
        </is>
      </c>
      <c r="E3086" t="inlineStr">
        <is>
          <t>ÖSTERSUND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6900-2024</t>
        </is>
      </c>
      <c r="B3087" s="1" t="n">
        <v>45342</v>
      </c>
      <c r="C3087" s="1" t="n">
        <v>46045</v>
      </c>
      <c r="D3087" t="inlineStr">
        <is>
          <t>JÄMTLANDS LÄN</t>
        </is>
      </c>
      <c r="E3087" t="inlineStr">
        <is>
          <t>KROKOM</t>
        </is>
      </c>
      <c r="F3087" t="inlineStr">
        <is>
          <t>SCA</t>
        </is>
      </c>
      <c r="G3087" t="n">
        <v>64.59999999999999</v>
      </c>
      <c r="H3087" t="n">
        <v>0</v>
      </c>
      <c r="I3087" t="n">
        <v>0</v>
      </c>
      <c r="J3087" t="n">
        <v>0</v>
      </c>
      <c r="K3087" t="n">
        <v>0</v>
      </c>
      <c r="L3087" t="n">
        <v>0</v>
      </c>
      <c r="M3087" t="n">
        <v>0</v>
      </c>
      <c r="N3087" t="n">
        <v>0</v>
      </c>
      <c r="O3087" t="n">
        <v>0</v>
      </c>
      <c r="P3087" t="n">
        <v>0</v>
      </c>
      <c r="Q3087" t="n">
        <v>0</v>
      </c>
      <c r="R3087" s="2" t="inlineStr"/>
    </row>
    <row r="3088" ht="15" customHeight="1">
      <c r="A3088" t="inlineStr">
        <is>
          <t>A 16780-2023</t>
        </is>
      </c>
      <c r="B3088" s="1" t="n">
        <v>45032.74293981482</v>
      </c>
      <c r="C3088" s="1" t="n">
        <v>46045</v>
      </c>
      <c r="D3088" t="inlineStr">
        <is>
          <t>JÄMTLANDS LÄN</t>
        </is>
      </c>
      <c r="E3088" t="inlineStr">
        <is>
          <t>STRÖMSUND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51548-2023</t>
        </is>
      </c>
      <c r="B3089" s="1" t="n">
        <v>45215</v>
      </c>
      <c r="C3089" s="1" t="n">
        <v>46045</v>
      </c>
      <c r="D3089" t="inlineStr">
        <is>
          <t>JÄMTLANDS LÄN</t>
        </is>
      </c>
      <c r="E3089" t="inlineStr">
        <is>
          <t>BERG</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52113-2023</t>
        </is>
      </c>
      <c r="B3090" s="1" t="n">
        <v>45223.9275462963</v>
      </c>
      <c r="C3090" s="1" t="n">
        <v>46045</v>
      </c>
      <c r="D3090" t="inlineStr">
        <is>
          <t>JÄMTLANDS LÄN</t>
        </is>
      </c>
      <c r="E3090" t="inlineStr">
        <is>
          <t>STRÖMSUND</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42290-2022</t>
        </is>
      </c>
      <c r="B3091" s="1" t="n">
        <v>44830</v>
      </c>
      <c r="C3091" s="1" t="n">
        <v>46045</v>
      </c>
      <c r="D3091" t="inlineStr">
        <is>
          <t>JÄMTLANDS LÄN</t>
        </is>
      </c>
      <c r="E3091" t="inlineStr">
        <is>
          <t>BRÄCKE</t>
        </is>
      </c>
      <c r="F3091" t="inlineStr">
        <is>
          <t>SCA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20275-2024</t>
        </is>
      </c>
      <c r="B3092" s="1" t="n">
        <v>45434.94949074074</v>
      </c>
      <c r="C3092" s="1" t="n">
        <v>46045</v>
      </c>
      <c r="D3092" t="inlineStr">
        <is>
          <t>JÄMTLANDS LÄN</t>
        </is>
      </c>
      <c r="E3092" t="inlineStr">
        <is>
          <t>STRÖMSUND</t>
        </is>
      </c>
      <c r="F3092" t="inlineStr">
        <is>
          <t>SCA</t>
        </is>
      </c>
      <c r="G3092" t="n">
        <v>8.300000000000001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70511-2021</t>
        </is>
      </c>
      <c r="B3093" s="1" t="n">
        <v>44536</v>
      </c>
      <c r="C3093" s="1" t="n">
        <v>46045</v>
      </c>
      <c r="D3093" t="inlineStr">
        <is>
          <t>JÄMTLANDS LÄN</t>
        </is>
      </c>
      <c r="E3093" t="inlineStr">
        <is>
          <t>STRÖMSUND</t>
        </is>
      </c>
      <c r="F3093" t="inlineStr">
        <is>
          <t>SCA</t>
        </is>
      </c>
      <c r="G3093" t="n">
        <v>401.6</v>
      </c>
      <c r="H3093" t="n">
        <v>0</v>
      </c>
      <c r="I3093" t="n">
        <v>0</v>
      </c>
      <c r="J3093" t="n">
        <v>0</v>
      </c>
      <c r="K3093" t="n">
        <v>0</v>
      </c>
      <c r="L3093" t="n">
        <v>0</v>
      </c>
      <c r="M3093" t="n">
        <v>0</v>
      </c>
      <c r="N3093" t="n">
        <v>0</v>
      </c>
      <c r="O3093" t="n">
        <v>0</v>
      </c>
      <c r="P3093" t="n">
        <v>0</v>
      </c>
      <c r="Q3093" t="n">
        <v>0</v>
      </c>
      <c r="R3093" s="2" t="inlineStr"/>
    </row>
    <row r="3094" ht="15" customHeight="1">
      <c r="A3094" t="inlineStr">
        <is>
          <t>A 53500-2024</t>
        </is>
      </c>
      <c r="B3094" s="1" t="n">
        <v>45614</v>
      </c>
      <c r="C3094" s="1" t="n">
        <v>46045</v>
      </c>
      <c r="D3094" t="inlineStr">
        <is>
          <t>JÄMTLANDS LÄN</t>
        </is>
      </c>
      <c r="E3094" t="inlineStr">
        <is>
          <t>ÅRE</t>
        </is>
      </c>
      <c r="G3094" t="n">
        <v>9.199999999999999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7433-2024</t>
        </is>
      </c>
      <c r="B3095" s="1" t="n">
        <v>45345.66555555556</v>
      </c>
      <c r="C3095" s="1" t="n">
        <v>46045</v>
      </c>
      <c r="D3095" t="inlineStr">
        <is>
          <t>JÄMTLANDS LÄN</t>
        </is>
      </c>
      <c r="E3095" t="inlineStr">
        <is>
          <t>HÄRJEDALEN</t>
        </is>
      </c>
      <c r="F3095" t="inlineStr">
        <is>
          <t>Holmen skog AB</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54913-2024</t>
        </is>
      </c>
      <c r="B3096" s="1" t="n">
        <v>45618.6917824074</v>
      </c>
      <c r="C3096" s="1" t="n">
        <v>46045</v>
      </c>
      <c r="D3096" t="inlineStr">
        <is>
          <t>JÄMTLANDS LÄN</t>
        </is>
      </c>
      <c r="E3096" t="inlineStr">
        <is>
          <t>ÖSTERSUND</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54964-2024</t>
        </is>
      </c>
      <c r="B3097" s="1" t="n">
        <v>45620</v>
      </c>
      <c r="C3097" s="1" t="n">
        <v>46045</v>
      </c>
      <c r="D3097" t="inlineStr">
        <is>
          <t>JÄMTLANDS LÄN</t>
        </is>
      </c>
      <c r="E3097" t="inlineStr">
        <is>
          <t>STRÖMSUND</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6627-2025</t>
        </is>
      </c>
      <c r="B3098" s="1" t="n">
        <v>45700.37127314815</v>
      </c>
      <c r="C3098" s="1" t="n">
        <v>46045</v>
      </c>
      <c r="D3098" t="inlineStr">
        <is>
          <t>JÄMTLANDS LÄN</t>
        </is>
      </c>
      <c r="E3098" t="inlineStr">
        <is>
          <t>KROKOM</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6629-2025</t>
        </is>
      </c>
      <c r="B3099" s="1" t="n">
        <v>45700.37481481482</v>
      </c>
      <c r="C3099" s="1" t="n">
        <v>46045</v>
      </c>
      <c r="D3099" t="inlineStr">
        <is>
          <t>JÄMTLANDS LÄN</t>
        </is>
      </c>
      <c r="E3099" t="inlineStr">
        <is>
          <t>KROKOM</t>
        </is>
      </c>
      <c r="F3099" t="inlineStr">
        <is>
          <t>Övriga Aktiebolag</t>
        </is>
      </c>
      <c r="G3099" t="n">
        <v>24.8</v>
      </c>
      <c r="H3099" t="n">
        <v>0</v>
      </c>
      <c r="I3099" t="n">
        <v>0</v>
      </c>
      <c r="J3099" t="n">
        <v>0</v>
      </c>
      <c r="K3099" t="n">
        <v>0</v>
      </c>
      <c r="L3099" t="n">
        <v>0</v>
      </c>
      <c r="M3099" t="n">
        <v>0</v>
      </c>
      <c r="N3099" t="n">
        <v>0</v>
      </c>
      <c r="O3099" t="n">
        <v>0</v>
      </c>
      <c r="P3099" t="n">
        <v>0</v>
      </c>
      <c r="Q3099" t="n">
        <v>0</v>
      </c>
      <c r="R3099" s="2" t="inlineStr"/>
    </row>
    <row r="3100" ht="15" customHeight="1">
      <c r="A3100" t="inlineStr">
        <is>
          <t>A 16304-2025</t>
        </is>
      </c>
      <c r="B3100" s="1" t="n">
        <v>45751.34636574074</v>
      </c>
      <c r="C3100" s="1" t="n">
        <v>46045</v>
      </c>
      <c r="D3100" t="inlineStr">
        <is>
          <t>JÄMTLANDS LÄN</t>
        </is>
      </c>
      <c r="E3100" t="inlineStr">
        <is>
          <t>HÄRJEDALEN</t>
        </is>
      </c>
      <c r="F3100" t="inlineStr">
        <is>
          <t>SCA</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55043-2024</t>
        </is>
      </c>
      <c r="B3101" s="1" t="n">
        <v>45621</v>
      </c>
      <c r="C3101" s="1" t="n">
        <v>46045</v>
      </c>
      <c r="D3101" t="inlineStr">
        <is>
          <t>JÄMTLANDS LÄN</t>
        </is>
      </c>
      <c r="E3101" t="inlineStr">
        <is>
          <t>KROKOM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12995-2023</t>
        </is>
      </c>
      <c r="B3102" s="1" t="n">
        <v>45002.0328125</v>
      </c>
      <c r="C3102" s="1" t="n">
        <v>46045</v>
      </c>
      <c r="D3102" t="inlineStr">
        <is>
          <t>JÄMTLANDS LÄN</t>
        </is>
      </c>
      <c r="E3102" t="inlineStr">
        <is>
          <t>RAGUNDA</t>
        </is>
      </c>
      <c r="F3102" t="inlineStr">
        <is>
          <t>SCA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16334-2025</t>
        </is>
      </c>
      <c r="B3103" s="1" t="n">
        <v>45751.36490740741</v>
      </c>
      <c r="C3103" s="1" t="n">
        <v>46045</v>
      </c>
      <c r="D3103" t="inlineStr">
        <is>
          <t>JÄMTLANDS LÄN</t>
        </is>
      </c>
      <c r="E3103" t="inlineStr">
        <is>
          <t>RAGUNDA</t>
        </is>
      </c>
      <c r="F3103" t="inlineStr">
        <is>
          <t>SCA</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14204-2025</t>
        </is>
      </c>
      <c r="B3104" s="1" t="n">
        <v>45740.57487268518</v>
      </c>
      <c r="C3104" s="1" t="n">
        <v>46045</v>
      </c>
      <c r="D3104" t="inlineStr">
        <is>
          <t>JÄMTLANDS LÄN</t>
        </is>
      </c>
      <c r="E3104" t="inlineStr">
        <is>
          <t>HÄRJEDALEN</t>
        </is>
      </c>
      <c r="F3104" t="inlineStr">
        <is>
          <t>Övriga Aktiebolag</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12585-2024</t>
        </is>
      </c>
      <c r="B3105" s="1" t="n">
        <v>45379.93637731481</v>
      </c>
      <c r="C3105" s="1" t="n">
        <v>46045</v>
      </c>
      <c r="D3105" t="inlineStr">
        <is>
          <t>JÄMTLANDS LÄN</t>
        </is>
      </c>
      <c r="E3105" t="inlineStr">
        <is>
          <t>RAGUNDA</t>
        </is>
      </c>
      <c r="F3105" t="inlineStr">
        <is>
          <t>SCA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32910-2022</t>
        </is>
      </c>
      <c r="B3106" s="1" t="n">
        <v>44784.60677083334</v>
      </c>
      <c r="C3106" s="1" t="n">
        <v>46045</v>
      </c>
      <c r="D3106" t="inlineStr">
        <is>
          <t>JÄMTLANDS LÄN</t>
        </is>
      </c>
      <c r="E3106" t="inlineStr">
        <is>
          <t>HÄRJEDALEN</t>
        </is>
      </c>
      <c r="F3106" t="inlineStr">
        <is>
          <t>Bergvik skog väst AB</t>
        </is>
      </c>
      <c r="G3106" t="n">
        <v>14.4</v>
      </c>
      <c r="H3106" t="n">
        <v>0</v>
      </c>
      <c r="I3106" t="n">
        <v>0</v>
      </c>
      <c r="J3106" t="n">
        <v>0</v>
      </c>
      <c r="K3106" t="n">
        <v>0</v>
      </c>
      <c r="L3106" t="n">
        <v>0</v>
      </c>
      <c r="M3106" t="n">
        <v>0</v>
      </c>
      <c r="N3106" t="n">
        <v>0</v>
      </c>
      <c r="O3106" t="n">
        <v>0</v>
      </c>
      <c r="P3106" t="n">
        <v>0</v>
      </c>
      <c r="Q3106" t="n">
        <v>0</v>
      </c>
      <c r="R3106" s="2" t="inlineStr"/>
    </row>
    <row r="3107" ht="15" customHeight="1">
      <c r="A3107" t="inlineStr">
        <is>
          <t>A 26321-2022</t>
        </is>
      </c>
      <c r="B3107" s="1" t="n">
        <v>44735</v>
      </c>
      <c r="C3107" s="1" t="n">
        <v>46045</v>
      </c>
      <c r="D3107" t="inlineStr">
        <is>
          <t>JÄMTLANDS LÄN</t>
        </is>
      </c>
      <c r="E3107" t="inlineStr">
        <is>
          <t>ÖSTERSUND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58587-2023</t>
        </is>
      </c>
      <c r="B3108" s="1" t="n">
        <v>45251</v>
      </c>
      <c r="C3108" s="1" t="n">
        <v>46045</v>
      </c>
      <c r="D3108" t="inlineStr">
        <is>
          <t>JÄMTLANDS LÄN</t>
        </is>
      </c>
      <c r="E3108" t="inlineStr">
        <is>
          <t>STRÖMSUND</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50218-2024</t>
        </is>
      </c>
      <c r="B3109" s="1" t="n">
        <v>45600.53160879629</v>
      </c>
      <c r="C3109" s="1" t="n">
        <v>46045</v>
      </c>
      <c r="D3109" t="inlineStr">
        <is>
          <t>JÄMTLANDS LÄN</t>
        </is>
      </c>
      <c r="E3109" t="inlineStr">
        <is>
          <t>ÖSTERSUND</t>
        </is>
      </c>
      <c r="F3109" t="inlineStr">
        <is>
          <t>SCA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15581-2024</t>
        </is>
      </c>
      <c r="B3110" s="1" t="n">
        <v>45401</v>
      </c>
      <c r="C3110" s="1" t="n">
        <v>46045</v>
      </c>
      <c r="D3110" t="inlineStr">
        <is>
          <t>JÄMTLANDS LÄN</t>
        </is>
      </c>
      <c r="E3110" t="inlineStr">
        <is>
          <t>RAGUNDA</t>
        </is>
      </c>
      <c r="F3110" t="inlineStr">
        <is>
          <t>Kommuner</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50260-2024</t>
        </is>
      </c>
      <c r="B3111" s="1" t="n">
        <v>45600</v>
      </c>
      <c r="C3111" s="1" t="n">
        <v>46045</v>
      </c>
      <c r="D3111" t="inlineStr">
        <is>
          <t>JÄMTLANDS LÄN</t>
        </is>
      </c>
      <c r="E3111" t="inlineStr">
        <is>
          <t>BRÄCKE</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38541-2025</t>
        </is>
      </c>
      <c r="B3112" s="1" t="n">
        <v>45884.42788194444</v>
      </c>
      <c r="C3112" s="1" t="n">
        <v>46045</v>
      </c>
      <c r="D3112" t="inlineStr">
        <is>
          <t>JÄMTLANDS LÄN</t>
        </is>
      </c>
      <c r="E3112" t="inlineStr">
        <is>
          <t>STRÖMSUND</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8364-2021</t>
        </is>
      </c>
      <c r="B3113" s="1" t="n">
        <v>44244</v>
      </c>
      <c r="C3113" s="1" t="n">
        <v>46045</v>
      </c>
      <c r="D3113" t="inlineStr">
        <is>
          <t>JÄMTLANDS LÄN</t>
        </is>
      </c>
      <c r="E3113" t="inlineStr">
        <is>
          <t>STRÖMSUND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14542-2025</t>
        </is>
      </c>
      <c r="B3114" s="1" t="n">
        <v>45741.68631944444</v>
      </c>
      <c r="C3114" s="1" t="n">
        <v>46045</v>
      </c>
      <c r="D3114" t="inlineStr">
        <is>
          <t>JÄMTLANDS LÄN</t>
        </is>
      </c>
      <c r="E3114" t="inlineStr">
        <is>
          <t>ÖSTERSUND</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15611-2024</t>
        </is>
      </c>
      <c r="B3115" s="1" t="n">
        <v>45401</v>
      </c>
      <c r="C3115" s="1" t="n">
        <v>46045</v>
      </c>
      <c r="D3115" t="inlineStr">
        <is>
          <t>JÄMTLANDS LÄN</t>
        </is>
      </c>
      <c r="E3115" t="inlineStr">
        <is>
          <t>RAGUNDA</t>
        </is>
      </c>
      <c r="F3115" t="inlineStr">
        <is>
          <t>SCA</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13249-2024</t>
        </is>
      </c>
      <c r="B3116" s="1" t="n">
        <v>45386</v>
      </c>
      <c r="C3116" s="1" t="n">
        <v>46045</v>
      </c>
      <c r="D3116" t="inlineStr">
        <is>
          <t>JÄMTLANDS LÄN</t>
        </is>
      </c>
      <c r="E3116" t="inlineStr">
        <is>
          <t>KROKOM</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49752-2022</t>
        </is>
      </c>
      <c r="B3117" s="1" t="n">
        <v>44859</v>
      </c>
      <c r="C3117" s="1" t="n">
        <v>46045</v>
      </c>
      <c r="D3117" t="inlineStr">
        <is>
          <t>JÄMTLANDS LÄN</t>
        </is>
      </c>
      <c r="E3117" t="inlineStr">
        <is>
          <t>STRÖMSUND</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53218-2024</t>
        </is>
      </c>
      <c r="B3118" s="1" t="n">
        <v>45612.84146990741</v>
      </c>
      <c r="C3118" s="1" t="n">
        <v>46045</v>
      </c>
      <c r="D3118" t="inlineStr">
        <is>
          <t>JÄMTLANDS LÄN</t>
        </is>
      </c>
      <c r="E3118" t="inlineStr">
        <is>
          <t>STRÖMSUND</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41311-2024</t>
        </is>
      </c>
      <c r="B3119" s="1" t="n">
        <v>45559.63569444444</v>
      </c>
      <c r="C3119" s="1" t="n">
        <v>46045</v>
      </c>
      <c r="D3119" t="inlineStr">
        <is>
          <t>JÄMTLANDS LÄN</t>
        </is>
      </c>
      <c r="E3119" t="inlineStr">
        <is>
          <t>BRÄCKE</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41315-2024</t>
        </is>
      </c>
      <c r="B3120" s="1" t="n">
        <v>45559.63628472222</v>
      </c>
      <c r="C3120" s="1" t="n">
        <v>46045</v>
      </c>
      <c r="D3120" t="inlineStr">
        <is>
          <t>JÄMTLANDS LÄN</t>
        </is>
      </c>
      <c r="E3120" t="inlineStr">
        <is>
          <t>BRÄCKE</t>
        </is>
      </c>
      <c r="F3120" t="inlineStr">
        <is>
          <t>SCA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52906-2024</t>
        </is>
      </c>
      <c r="B3121" s="1" t="n">
        <v>45610.69825231482</v>
      </c>
      <c r="C3121" s="1" t="n">
        <v>46045</v>
      </c>
      <c r="D3121" t="inlineStr">
        <is>
          <t>JÄMTLANDS LÄN</t>
        </is>
      </c>
      <c r="E3121" t="inlineStr">
        <is>
          <t>STRÖMSUND</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9775-2024</t>
        </is>
      </c>
      <c r="B3122" s="1" t="n">
        <v>45362.64613425926</v>
      </c>
      <c r="C3122" s="1" t="n">
        <v>46045</v>
      </c>
      <c r="D3122" t="inlineStr">
        <is>
          <t>JÄMTLANDS LÄN</t>
        </is>
      </c>
      <c r="E3122" t="inlineStr">
        <is>
          <t>HÄRJEDALEN</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9778-2024</t>
        </is>
      </c>
      <c r="B3123" s="1" t="n">
        <v>45362.65407407407</v>
      </c>
      <c r="C3123" s="1" t="n">
        <v>46045</v>
      </c>
      <c r="D3123" t="inlineStr">
        <is>
          <t>JÄMTLANDS LÄN</t>
        </is>
      </c>
      <c r="E3123" t="inlineStr">
        <is>
          <t>HÄRJEDALEN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9788-2024</t>
        </is>
      </c>
      <c r="B3124" s="1" t="n">
        <v>45362.67789351852</v>
      </c>
      <c r="C3124" s="1" t="n">
        <v>46045</v>
      </c>
      <c r="D3124" t="inlineStr">
        <is>
          <t>JÄMTLANDS LÄN</t>
        </is>
      </c>
      <c r="E3124" t="inlineStr">
        <is>
          <t>HÄRJEDALEN</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51803-2024</t>
        </is>
      </c>
      <c r="B3125" s="1" t="n">
        <v>45607.47505787037</v>
      </c>
      <c r="C3125" s="1" t="n">
        <v>46045</v>
      </c>
      <c r="D3125" t="inlineStr">
        <is>
          <t>JÄMTLANDS LÄN</t>
        </is>
      </c>
      <c r="E3125" t="inlineStr">
        <is>
          <t>STRÖMSUND</t>
        </is>
      </c>
      <c r="F3125" t="inlineStr">
        <is>
          <t>Kommuner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17298-2024</t>
        </is>
      </c>
      <c r="B3126" s="1" t="n">
        <v>45414.486875</v>
      </c>
      <c r="C3126" s="1" t="n">
        <v>46045</v>
      </c>
      <c r="D3126" t="inlineStr">
        <is>
          <t>JÄMTLANDS LÄN</t>
        </is>
      </c>
      <c r="E3126" t="inlineStr">
        <is>
          <t>KROKOM</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48425-2023</t>
        </is>
      </c>
      <c r="B3127" s="1" t="n">
        <v>45205</v>
      </c>
      <c r="C3127" s="1" t="n">
        <v>46045</v>
      </c>
      <c r="D3127" t="inlineStr">
        <is>
          <t>JÄMTLANDS LÄN</t>
        </is>
      </c>
      <c r="E3127" t="inlineStr">
        <is>
          <t>BRÄCKE</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60173-2024</t>
        </is>
      </c>
      <c r="B3128" s="1" t="n">
        <v>45642.63666666667</v>
      </c>
      <c r="C3128" s="1" t="n">
        <v>46045</v>
      </c>
      <c r="D3128" t="inlineStr">
        <is>
          <t>JÄMTLANDS LÄN</t>
        </is>
      </c>
      <c r="E3128" t="inlineStr">
        <is>
          <t>KROKOM</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39696-2024</t>
        </is>
      </c>
      <c r="B3129" s="1" t="n">
        <v>45552.57210648148</v>
      </c>
      <c r="C3129" s="1" t="n">
        <v>46045</v>
      </c>
      <c r="D3129" t="inlineStr">
        <is>
          <t>JÄMTLANDS LÄN</t>
        </is>
      </c>
      <c r="E3129" t="inlineStr">
        <is>
          <t>KROKOM</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39698-2024</t>
        </is>
      </c>
      <c r="B3130" s="1" t="n">
        <v>45552.57326388889</v>
      </c>
      <c r="C3130" s="1" t="n">
        <v>46045</v>
      </c>
      <c r="D3130" t="inlineStr">
        <is>
          <t>JÄMTLANDS LÄN</t>
        </is>
      </c>
      <c r="E3130" t="inlineStr">
        <is>
          <t>STRÖMSUND</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14043-2022</t>
        </is>
      </c>
      <c r="B3131" s="1" t="n">
        <v>44650</v>
      </c>
      <c r="C3131" s="1" t="n">
        <v>46045</v>
      </c>
      <c r="D3131" t="inlineStr">
        <is>
          <t>JÄMTLANDS LÄN</t>
        </is>
      </c>
      <c r="E3131" t="inlineStr">
        <is>
          <t>STRÖMSUND</t>
        </is>
      </c>
      <c r="G3131" t="n">
        <v>11.6</v>
      </c>
      <c r="H3131" t="n">
        <v>0</v>
      </c>
      <c r="I3131" t="n">
        <v>0</v>
      </c>
      <c r="J3131" t="n">
        <v>0</v>
      </c>
      <c r="K3131" t="n">
        <v>0</v>
      </c>
      <c r="L3131" t="n">
        <v>0</v>
      </c>
      <c r="M3131" t="n">
        <v>0</v>
      </c>
      <c r="N3131" t="n">
        <v>0</v>
      </c>
      <c r="O3131" t="n">
        <v>0</v>
      </c>
      <c r="P3131" t="n">
        <v>0</v>
      </c>
      <c r="Q3131" t="n">
        <v>0</v>
      </c>
      <c r="R3131" s="2" t="inlineStr"/>
    </row>
    <row r="3132" ht="15" customHeight="1">
      <c r="A3132" t="inlineStr">
        <is>
          <t>A 40-2025</t>
        </is>
      </c>
      <c r="B3132" s="1" t="n">
        <v>45659.34428240741</v>
      </c>
      <c r="C3132" s="1" t="n">
        <v>46045</v>
      </c>
      <c r="D3132" t="inlineStr">
        <is>
          <t>JÄMTLANDS LÄN</t>
        </is>
      </c>
      <c r="E3132" t="inlineStr">
        <is>
          <t>STRÖMSUND</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49861-2023</t>
        </is>
      </c>
      <c r="B3133" s="1" t="n">
        <v>45212</v>
      </c>
      <c r="C3133" s="1" t="n">
        <v>46045</v>
      </c>
      <c r="D3133" t="inlineStr">
        <is>
          <t>JÄMTLANDS LÄN</t>
        </is>
      </c>
      <c r="E3133" t="inlineStr">
        <is>
          <t>STRÖMSUND</t>
        </is>
      </c>
      <c r="F3133" t="inlineStr">
        <is>
          <t>SCA</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37054-2023</t>
        </is>
      </c>
      <c r="B3134" s="1" t="n">
        <v>45154</v>
      </c>
      <c r="C3134" s="1" t="n">
        <v>46045</v>
      </c>
      <c r="D3134" t="inlineStr">
        <is>
          <t>JÄMTLANDS LÄN</t>
        </is>
      </c>
      <c r="E3134" t="inlineStr">
        <is>
          <t>HÄRJEDALEN</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45827-2023</t>
        </is>
      </c>
      <c r="B3135" s="1" t="n">
        <v>45195</v>
      </c>
      <c r="C3135" s="1" t="n">
        <v>46045</v>
      </c>
      <c r="D3135" t="inlineStr">
        <is>
          <t>JÄMTLANDS LÄN</t>
        </is>
      </c>
      <c r="E3135" t="inlineStr">
        <is>
          <t>KROKOM</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2035-2022</t>
        </is>
      </c>
      <c r="B3136" s="1" t="n">
        <v>44575.6277662037</v>
      </c>
      <c r="C3136" s="1" t="n">
        <v>46045</v>
      </c>
      <c r="D3136" t="inlineStr">
        <is>
          <t>JÄMTLANDS LÄN</t>
        </is>
      </c>
      <c r="E3136" t="inlineStr">
        <is>
          <t>BRÄCKE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20274-2024</t>
        </is>
      </c>
      <c r="B3137" s="1" t="n">
        <v>45434.949375</v>
      </c>
      <c r="C3137" s="1" t="n">
        <v>46045</v>
      </c>
      <c r="D3137" t="inlineStr">
        <is>
          <t>JÄMTLANDS LÄN</t>
        </is>
      </c>
      <c r="E3137" t="inlineStr">
        <is>
          <t>STRÖMSUND</t>
        </is>
      </c>
      <c r="F3137" t="inlineStr">
        <is>
          <t>SCA</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30743-2024</t>
        </is>
      </c>
      <c r="B3138" s="1" t="n">
        <v>45496.67178240741</v>
      </c>
      <c r="C3138" s="1" t="n">
        <v>46045</v>
      </c>
      <c r="D3138" t="inlineStr">
        <is>
          <t>JÄMTLANDS LÄN</t>
        </is>
      </c>
      <c r="E3138" t="inlineStr">
        <is>
          <t>HÄRJEDALEN</t>
        </is>
      </c>
      <c r="F3138" t="inlineStr">
        <is>
          <t>Bergvik skog väst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41955-2023</t>
        </is>
      </c>
      <c r="B3139" s="1" t="n">
        <v>45174</v>
      </c>
      <c r="C3139" s="1" t="n">
        <v>46045</v>
      </c>
      <c r="D3139" t="inlineStr">
        <is>
          <t>JÄMTLANDS LÄN</t>
        </is>
      </c>
      <c r="E3139" t="inlineStr">
        <is>
          <t>HÄRJEDALEN</t>
        </is>
      </c>
      <c r="G3139" t="n">
        <v>60.5</v>
      </c>
      <c r="H3139" t="n">
        <v>0</v>
      </c>
      <c r="I3139" t="n">
        <v>0</v>
      </c>
      <c r="J3139" t="n">
        <v>0</v>
      </c>
      <c r="K3139" t="n">
        <v>0</v>
      </c>
      <c r="L3139" t="n">
        <v>0</v>
      </c>
      <c r="M3139" t="n">
        <v>0</v>
      </c>
      <c r="N3139" t="n">
        <v>0</v>
      </c>
      <c r="O3139" t="n">
        <v>0</v>
      </c>
      <c r="P3139" t="n">
        <v>0</v>
      </c>
      <c r="Q3139" t="n">
        <v>0</v>
      </c>
      <c r="R3139" s="2" t="inlineStr"/>
    </row>
    <row r="3140" ht="15" customHeight="1">
      <c r="A3140" t="inlineStr">
        <is>
          <t>A 38221-2025</t>
        </is>
      </c>
      <c r="B3140" s="1" t="n">
        <v>45883.34436342592</v>
      </c>
      <c r="C3140" s="1" t="n">
        <v>46045</v>
      </c>
      <c r="D3140" t="inlineStr">
        <is>
          <t>JÄMTLANDS LÄN</t>
        </is>
      </c>
      <c r="E3140" t="inlineStr">
        <is>
          <t>STRÖMSUND</t>
        </is>
      </c>
      <c r="F3140" t="inlineStr">
        <is>
          <t>SCA</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38622-2025</t>
        </is>
      </c>
      <c r="B3141" s="1" t="n">
        <v>45884.55321759259</v>
      </c>
      <c r="C3141" s="1" t="n">
        <v>46045</v>
      </c>
      <c r="D3141" t="inlineStr">
        <is>
          <t>JÄMTLANDS LÄN</t>
        </is>
      </c>
      <c r="E3141" t="inlineStr">
        <is>
          <t>STRÖMSUND</t>
        </is>
      </c>
      <c r="F3141" t="inlineStr">
        <is>
          <t>SCA</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21117-2023</t>
        </is>
      </c>
      <c r="B3142" s="1" t="n">
        <v>45061</v>
      </c>
      <c r="C3142" s="1" t="n">
        <v>46045</v>
      </c>
      <c r="D3142" t="inlineStr">
        <is>
          <t>JÄMTLANDS LÄN</t>
        </is>
      </c>
      <c r="E3142" t="inlineStr">
        <is>
          <t>BRÄCKE</t>
        </is>
      </c>
      <c r="F3142" t="inlineStr">
        <is>
          <t>SCA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17066-2024</t>
        </is>
      </c>
      <c r="B3143" s="1" t="n">
        <v>45412.46636574074</v>
      </c>
      <c r="C3143" s="1" t="n">
        <v>46045</v>
      </c>
      <c r="D3143" t="inlineStr">
        <is>
          <t>JÄMTLANDS LÄN</t>
        </is>
      </c>
      <c r="E3143" t="inlineStr">
        <is>
          <t>ÖSTERSUND</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32231-2023</t>
        </is>
      </c>
      <c r="B3144" s="1" t="n">
        <v>45119.94349537037</v>
      </c>
      <c r="C3144" s="1" t="n">
        <v>46045</v>
      </c>
      <c r="D3144" t="inlineStr">
        <is>
          <t>JÄMTLANDS LÄN</t>
        </is>
      </c>
      <c r="E3144" t="inlineStr">
        <is>
          <t>STRÖMSUND</t>
        </is>
      </c>
      <c r="F3144" t="inlineStr">
        <is>
          <t>SCA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50612-2023</t>
        </is>
      </c>
      <c r="B3145" s="1" t="n">
        <v>45217.444375</v>
      </c>
      <c r="C3145" s="1" t="n">
        <v>46045</v>
      </c>
      <c r="D3145" t="inlineStr">
        <is>
          <t>JÄMTLANDS LÄN</t>
        </is>
      </c>
      <c r="E3145" t="inlineStr">
        <is>
          <t>BERG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17105-2024</t>
        </is>
      </c>
      <c r="B3146" s="1" t="n">
        <v>45412</v>
      </c>
      <c r="C3146" s="1" t="n">
        <v>46045</v>
      </c>
      <c r="D3146" t="inlineStr">
        <is>
          <t>JÄMTLANDS LÄN</t>
        </is>
      </c>
      <c r="E3146" t="inlineStr">
        <is>
          <t>STRÖMSUND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13684-2023</t>
        </is>
      </c>
      <c r="B3147" s="1" t="n">
        <v>45006</v>
      </c>
      <c r="C3147" s="1" t="n">
        <v>46045</v>
      </c>
      <c r="D3147" t="inlineStr">
        <is>
          <t>JÄMTLANDS LÄN</t>
        </is>
      </c>
      <c r="E3147" t="inlineStr">
        <is>
          <t>STRÖMSUND</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11780-2024</t>
        </is>
      </c>
      <c r="B3148" s="1" t="n">
        <v>45374</v>
      </c>
      <c r="C3148" s="1" t="n">
        <v>46045</v>
      </c>
      <c r="D3148" t="inlineStr">
        <is>
          <t>JÄMTLANDS LÄN</t>
        </is>
      </c>
      <c r="E3148" t="inlineStr">
        <is>
          <t>RAGUNDA</t>
        </is>
      </c>
      <c r="G3148" t="n">
        <v>14.6</v>
      </c>
      <c r="H3148" t="n">
        <v>0</v>
      </c>
      <c r="I3148" t="n">
        <v>0</v>
      </c>
      <c r="J3148" t="n">
        <v>0</v>
      </c>
      <c r="K3148" t="n">
        <v>0</v>
      </c>
      <c r="L3148" t="n">
        <v>0</v>
      </c>
      <c r="M3148" t="n">
        <v>0</v>
      </c>
      <c r="N3148" t="n">
        <v>0</v>
      </c>
      <c r="O3148" t="n">
        <v>0</v>
      </c>
      <c r="P3148" t="n">
        <v>0</v>
      </c>
      <c r="Q3148" t="n">
        <v>0</v>
      </c>
      <c r="R3148" s="2" t="inlineStr"/>
    </row>
    <row r="3149" ht="15" customHeight="1">
      <c r="A3149" t="inlineStr">
        <is>
          <t>A 6362-2024</t>
        </is>
      </c>
      <c r="B3149" s="1" t="n">
        <v>45338</v>
      </c>
      <c r="C3149" s="1" t="n">
        <v>46045</v>
      </c>
      <c r="D3149" t="inlineStr">
        <is>
          <t>JÄMTLANDS LÄN</t>
        </is>
      </c>
      <c r="E3149" t="inlineStr">
        <is>
          <t>BRÄCKE</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30602-2023</t>
        </is>
      </c>
      <c r="B3150" s="1" t="n">
        <v>45112</v>
      </c>
      <c r="C3150" s="1" t="n">
        <v>46045</v>
      </c>
      <c r="D3150" t="inlineStr">
        <is>
          <t>JÄMTLANDS LÄN</t>
        </is>
      </c>
      <c r="E3150" t="inlineStr">
        <is>
          <t>ÖSTERSUND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60935-2022</t>
        </is>
      </c>
      <c r="B3151" s="1" t="n">
        <v>44908</v>
      </c>
      <c r="C3151" s="1" t="n">
        <v>46045</v>
      </c>
      <c r="D3151" t="inlineStr">
        <is>
          <t>JÄMTLANDS LÄN</t>
        </is>
      </c>
      <c r="E3151" t="inlineStr">
        <is>
          <t>ÅRE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38456-2025</t>
        </is>
      </c>
      <c r="B3152" s="1" t="n">
        <v>45883.69831018519</v>
      </c>
      <c r="C3152" s="1" t="n">
        <v>46045</v>
      </c>
      <c r="D3152" t="inlineStr">
        <is>
          <t>JÄMTLANDS LÄN</t>
        </is>
      </c>
      <c r="E3152" t="inlineStr">
        <is>
          <t>BRÄCKE</t>
        </is>
      </c>
      <c r="F3152" t="inlineStr">
        <is>
          <t>SCA</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2472-2025</t>
        </is>
      </c>
      <c r="B3153" s="1" t="n">
        <v>45674.47341435185</v>
      </c>
      <c r="C3153" s="1" t="n">
        <v>46045</v>
      </c>
      <c r="D3153" t="inlineStr">
        <is>
          <t>JÄMTLANDS LÄN</t>
        </is>
      </c>
      <c r="E3153" t="inlineStr">
        <is>
          <t>BERG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2474-2025</t>
        </is>
      </c>
      <c r="B3154" s="1" t="n">
        <v>45674.47496527778</v>
      </c>
      <c r="C3154" s="1" t="n">
        <v>46045</v>
      </c>
      <c r="D3154" t="inlineStr">
        <is>
          <t>JÄMTLANDS LÄN</t>
        </is>
      </c>
      <c r="E3154" t="inlineStr">
        <is>
          <t>BERG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50305-2022</t>
        </is>
      </c>
      <c r="B3155" s="1" t="n">
        <v>44865.92909722222</v>
      </c>
      <c r="C3155" s="1" t="n">
        <v>46045</v>
      </c>
      <c r="D3155" t="inlineStr">
        <is>
          <t>JÄMTLANDS LÄN</t>
        </is>
      </c>
      <c r="E3155" t="inlineStr">
        <is>
          <t>STRÖMSUND</t>
        </is>
      </c>
      <c r="G3155" t="n">
        <v>13.4</v>
      </c>
      <c r="H3155" t="n">
        <v>0</v>
      </c>
      <c r="I3155" t="n">
        <v>0</v>
      </c>
      <c r="J3155" t="n">
        <v>0</v>
      </c>
      <c r="K3155" t="n">
        <v>0</v>
      </c>
      <c r="L3155" t="n">
        <v>0</v>
      </c>
      <c r="M3155" t="n">
        <v>0</v>
      </c>
      <c r="N3155" t="n">
        <v>0</v>
      </c>
      <c r="O3155" t="n">
        <v>0</v>
      </c>
      <c r="P3155" t="n">
        <v>0</v>
      </c>
      <c r="Q3155" t="n">
        <v>0</v>
      </c>
      <c r="R3155" s="2" t="inlineStr"/>
    </row>
    <row r="3156" ht="15" customHeight="1">
      <c r="A3156" t="inlineStr">
        <is>
          <t>A 64909-2023</t>
        </is>
      </c>
      <c r="B3156" s="1" t="n">
        <v>45282.64012731481</v>
      </c>
      <c r="C3156" s="1" t="n">
        <v>46045</v>
      </c>
      <c r="D3156" t="inlineStr">
        <is>
          <t>JÄMTLANDS LÄN</t>
        </is>
      </c>
      <c r="E3156" t="inlineStr">
        <is>
          <t>HÄRJEDALEN</t>
        </is>
      </c>
      <c r="F3156" t="inlineStr">
        <is>
          <t>Holmen skog AB</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2336-2025</t>
        </is>
      </c>
      <c r="B3157" s="1" t="n">
        <v>45673.65925925926</v>
      </c>
      <c r="C3157" s="1" t="n">
        <v>46045</v>
      </c>
      <c r="D3157" t="inlineStr">
        <is>
          <t>JÄMTLANDS LÄN</t>
        </is>
      </c>
      <c r="E3157" t="inlineStr">
        <is>
          <t>HÄRJEDALEN</t>
        </is>
      </c>
      <c r="F3157" t="inlineStr">
        <is>
          <t>Bergvik skog väst AB</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38333-2025</t>
        </is>
      </c>
      <c r="B3158" s="1" t="n">
        <v>45883.49164351852</v>
      </c>
      <c r="C3158" s="1" t="n">
        <v>46045</v>
      </c>
      <c r="D3158" t="inlineStr">
        <is>
          <t>JÄMTLANDS LÄN</t>
        </is>
      </c>
      <c r="E3158" t="inlineStr">
        <is>
          <t>BRÄCKE</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38349-2025</t>
        </is>
      </c>
      <c r="B3159" s="1" t="n">
        <v>45883.51854166666</v>
      </c>
      <c r="C3159" s="1" t="n">
        <v>46045</v>
      </c>
      <c r="D3159" t="inlineStr">
        <is>
          <t>JÄMTLANDS LÄN</t>
        </is>
      </c>
      <c r="E3159" t="inlineStr">
        <is>
          <t>HÄRJEDALEN</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18080-2024</t>
        </is>
      </c>
      <c r="B3160" s="1" t="n">
        <v>45420.44414351852</v>
      </c>
      <c r="C3160" s="1" t="n">
        <v>46045</v>
      </c>
      <c r="D3160" t="inlineStr">
        <is>
          <t>JÄMTLANDS LÄN</t>
        </is>
      </c>
      <c r="E3160" t="inlineStr">
        <is>
          <t>HÄRJEDALEN</t>
        </is>
      </c>
      <c r="F3160" t="inlineStr">
        <is>
          <t>Holmen skog AB</t>
        </is>
      </c>
      <c r="G3160" t="n">
        <v>12.6</v>
      </c>
      <c r="H3160" t="n">
        <v>0</v>
      </c>
      <c r="I3160" t="n">
        <v>0</v>
      </c>
      <c r="J3160" t="n">
        <v>0</v>
      </c>
      <c r="K3160" t="n">
        <v>0</v>
      </c>
      <c r="L3160" t="n">
        <v>0</v>
      </c>
      <c r="M3160" t="n">
        <v>0</v>
      </c>
      <c r="N3160" t="n">
        <v>0</v>
      </c>
      <c r="O3160" t="n">
        <v>0</v>
      </c>
      <c r="P3160" t="n">
        <v>0</v>
      </c>
      <c r="Q3160" t="n">
        <v>0</v>
      </c>
      <c r="R3160" s="2" t="inlineStr"/>
    </row>
    <row r="3161" ht="15" customHeight="1">
      <c r="A3161" t="inlineStr">
        <is>
          <t>A 38461-2025</t>
        </is>
      </c>
      <c r="B3161" s="1" t="n">
        <v>45883.71962962963</v>
      </c>
      <c r="C3161" s="1" t="n">
        <v>46045</v>
      </c>
      <c r="D3161" t="inlineStr">
        <is>
          <t>JÄMTLANDS LÄN</t>
        </is>
      </c>
      <c r="E3161" t="inlineStr">
        <is>
          <t>BRÄCKE</t>
        </is>
      </c>
      <c r="F3161" t="inlineStr">
        <is>
          <t>SCA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1893-2023</t>
        </is>
      </c>
      <c r="B3162" s="1" t="n">
        <v>44937</v>
      </c>
      <c r="C3162" s="1" t="n">
        <v>46045</v>
      </c>
      <c r="D3162" t="inlineStr">
        <is>
          <t>JÄMTLANDS LÄN</t>
        </is>
      </c>
      <c r="E3162" t="inlineStr">
        <is>
          <t>ÖSTERSUND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8576-2024</t>
        </is>
      </c>
      <c r="B3163" s="1" t="n">
        <v>45355</v>
      </c>
      <c r="C3163" s="1" t="n">
        <v>46045</v>
      </c>
      <c r="D3163" t="inlineStr">
        <is>
          <t>JÄMTLANDS LÄN</t>
        </is>
      </c>
      <c r="E3163" t="inlineStr">
        <is>
          <t>ÅRE</t>
        </is>
      </c>
      <c r="G3163" t="n">
        <v>21.7</v>
      </c>
      <c r="H3163" t="n">
        <v>0</v>
      </c>
      <c r="I3163" t="n">
        <v>0</v>
      </c>
      <c r="J3163" t="n">
        <v>0</v>
      </c>
      <c r="K3163" t="n">
        <v>0</v>
      </c>
      <c r="L3163" t="n">
        <v>0</v>
      </c>
      <c r="M3163" t="n">
        <v>0</v>
      </c>
      <c r="N3163" t="n">
        <v>0</v>
      </c>
      <c r="O3163" t="n">
        <v>0</v>
      </c>
      <c r="P3163" t="n">
        <v>0</v>
      </c>
      <c r="Q3163" t="n">
        <v>0</v>
      </c>
      <c r="R3163" s="2" t="inlineStr"/>
    </row>
    <row r="3164" ht="15" customHeight="1">
      <c r="A3164" t="inlineStr">
        <is>
          <t>A 47560-2021</t>
        </is>
      </c>
      <c r="B3164" s="1" t="n">
        <v>44447.94313657407</v>
      </c>
      <c r="C3164" s="1" t="n">
        <v>46045</v>
      </c>
      <c r="D3164" t="inlineStr">
        <is>
          <t>JÄMTLANDS LÄN</t>
        </is>
      </c>
      <c r="E3164" t="inlineStr">
        <is>
          <t>BRÄCKE</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54071-2023</t>
        </is>
      </c>
      <c r="B3165" s="1" t="n">
        <v>45231</v>
      </c>
      <c r="C3165" s="1" t="n">
        <v>46045</v>
      </c>
      <c r="D3165" t="inlineStr">
        <is>
          <t>JÄMTLANDS LÄN</t>
        </is>
      </c>
      <c r="E3165" t="inlineStr">
        <is>
          <t>BERG</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54077-2023</t>
        </is>
      </c>
      <c r="B3166" s="1" t="n">
        <v>45231</v>
      </c>
      <c r="C3166" s="1" t="n">
        <v>46045</v>
      </c>
      <c r="D3166" t="inlineStr">
        <is>
          <t>JÄMTLANDS LÄN</t>
        </is>
      </c>
      <c r="E3166" t="inlineStr">
        <is>
          <t>STRÖMSUND</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17574-2022</t>
        </is>
      </c>
      <c r="B3167" s="1" t="n">
        <v>44679.92574074074</v>
      </c>
      <c r="C3167" s="1" t="n">
        <v>46045</v>
      </c>
      <c r="D3167" t="inlineStr">
        <is>
          <t>JÄMTLANDS LÄN</t>
        </is>
      </c>
      <c r="E3167" t="inlineStr">
        <is>
          <t>ÖSTERSUND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14204-2021</t>
        </is>
      </c>
      <c r="B3168" s="1" t="n">
        <v>44278</v>
      </c>
      <c r="C3168" s="1" t="n">
        <v>46045</v>
      </c>
      <c r="D3168" t="inlineStr">
        <is>
          <t>JÄMTLANDS LÄN</t>
        </is>
      </c>
      <c r="E3168" t="inlineStr">
        <is>
          <t>ÅRE</t>
        </is>
      </c>
      <c r="G3168" t="n">
        <v>24.6</v>
      </c>
      <c r="H3168" t="n">
        <v>0</v>
      </c>
      <c r="I3168" t="n">
        <v>0</v>
      </c>
      <c r="J3168" t="n">
        <v>0</v>
      </c>
      <c r="K3168" t="n">
        <v>0</v>
      </c>
      <c r="L3168" t="n">
        <v>0</v>
      </c>
      <c r="M3168" t="n">
        <v>0</v>
      </c>
      <c r="N3168" t="n">
        <v>0</v>
      </c>
      <c r="O3168" t="n">
        <v>0</v>
      </c>
      <c r="P3168" t="n">
        <v>0</v>
      </c>
      <c r="Q3168" t="n">
        <v>0</v>
      </c>
      <c r="R3168" s="2" t="inlineStr"/>
    </row>
    <row r="3169" ht="15" customHeight="1">
      <c r="A3169" t="inlineStr">
        <is>
          <t>A 59646-2022</t>
        </is>
      </c>
      <c r="B3169" s="1" t="n">
        <v>44907.96568287037</v>
      </c>
      <c r="C3169" s="1" t="n">
        <v>46045</v>
      </c>
      <c r="D3169" t="inlineStr">
        <is>
          <t>JÄMTLANDS LÄN</t>
        </is>
      </c>
      <c r="E3169" t="inlineStr">
        <is>
          <t>STRÖMSUND</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42439-2023</t>
        </is>
      </c>
      <c r="B3170" s="1" t="n">
        <v>45180.6391087963</v>
      </c>
      <c r="C3170" s="1" t="n">
        <v>46045</v>
      </c>
      <c r="D3170" t="inlineStr">
        <is>
          <t>JÄMTLANDS LÄN</t>
        </is>
      </c>
      <c r="E3170" t="inlineStr">
        <is>
          <t>KROKOM</t>
        </is>
      </c>
      <c r="F3170" t="inlineStr">
        <is>
          <t>Övriga Aktiebolag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8800-2025</t>
        </is>
      </c>
      <c r="B3171" s="1" t="n">
        <v>45712.65671296296</v>
      </c>
      <c r="C3171" s="1" t="n">
        <v>46045</v>
      </c>
      <c r="D3171" t="inlineStr">
        <is>
          <t>JÄMTLANDS LÄN</t>
        </is>
      </c>
      <c r="E3171" t="inlineStr">
        <is>
          <t>RAGUNDA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41711-2022</t>
        </is>
      </c>
      <c r="B3172" s="1" t="n">
        <v>44827</v>
      </c>
      <c r="C3172" s="1" t="n">
        <v>46045</v>
      </c>
      <c r="D3172" t="inlineStr">
        <is>
          <t>JÄMTLANDS LÄN</t>
        </is>
      </c>
      <c r="E3172" t="inlineStr">
        <is>
          <t>HÄRJEDALEN</t>
        </is>
      </c>
      <c r="G3172" t="n">
        <v>18.3</v>
      </c>
      <c r="H3172" t="n">
        <v>0</v>
      </c>
      <c r="I3172" t="n">
        <v>0</v>
      </c>
      <c r="J3172" t="n">
        <v>0</v>
      </c>
      <c r="K3172" t="n">
        <v>0</v>
      </c>
      <c r="L3172" t="n">
        <v>0</v>
      </c>
      <c r="M3172" t="n">
        <v>0</v>
      </c>
      <c r="N3172" t="n">
        <v>0</v>
      </c>
      <c r="O3172" t="n">
        <v>0</v>
      </c>
      <c r="P3172" t="n">
        <v>0</v>
      </c>
      <c r="Q3172" t="n">
        <v>0</v>
      </c>
      <c r="R3172" s="2" t="inlineStr"/>
    </row>
    <row r="3173" ht="15" customHeight="1">
      <c r="A3173" t="inlineStr">
        <is>
          <t>A 57158-2021</t>
        </is>
      </c>
      <c r="B3173" s="1" t="n">
        <v>44482</v>
      </c>
      <c r="C3173" s="1" t="n">
        <v>46045</v>
      </c>
      <c r="D3173" t="inlineStr">
        <is>
          <t>JÄMTLANDS LÄN</t>
        </is>
      </c>
      <c r="E3173" t="inlineStr">
        <is>
          <t>ÅRE</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54863-2024</t>
        </is>
      </c>
      <c r="B3174" s="1" t="n">
        <v>45618.59431712963</v>
      </c>
      <c r="C3174" s="1" t="n">
        <v>46045</v>
      </c>
      <c r="D3174" t="inlineStr">
        <is>
          <t>JÄMTLANDS LÄN</t>
        </is>
      </c>
      <c r="E3174" t="inlineStr">
        <is>
          <t>BRÄCKE</t>
        </is>
      </c>
      <c r="F3174" t="inlineStr">
        <is>
          <t>SCA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54865-2024</t>
        </is>
      </c>
      <c r="B3175" s="1" t="n">
        <v>45618.59471064815</v>
      </c>
      <c r="C3175" s="1" t="n">
        <v>46045</v>
      </c>
      <c r="D3175" t="inlineStr">
        <is>
          <t>JÄMTLANDS LÄN</t>
        </is>
      </c>
      <c r="E3175" t="inlineStr">
        <is>
          <t>BRÄCKE</t>
        </is>
      </c>
      <c r="F3175" t="inlineStr">
        <is>
          <t>SCA</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54615-2022</t>
        </is>
      </c>
      <c r="B3176" s="1" t="n">
        <v>44883.36125</v>
      </c>
      <c r="C3176" s="1" t="n">
        <v>46045</v>
      </c>
      <c r="D3176" t="inlineStr">
        <is>
          <t>JÄMTLANDS LÄN</t>
        </is>
      </c>
      <c r="E3176" t="inlineStr">
        <is>
          <t>ÅRE</t>
        </is>
      </c>
      <c r="F3176" t="inlineStr">
        <is>
          <t>Övriga Aktiebolag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7284-2024</t>
        </is>
      </c>
      <c r="B3177" s="1" t="n">
        <v>45344.92865740741</v>
      </c>
      <c r="C3177" s="1" t="n">
        <v>46045</v>
      </c>
      <c r="D3177" t="inlineStr">
        <is>
          <t>JÄMTLANDS LÄN</t>
        </is>
      </c>
      <c r="E3177" t="inlineStr">
        <is>
          <t>RAGUNDA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7285-2024</t>
        </is>
      </c>
      <c r="B3178" s="1" t="n">
        <v>45344.92873842592</v>
      </c>
      <c r="C3178" s="1" t="n">
        <v>46045</v>
      </c>
      <c r="D3178" t="inlineStr">
        <is>
          <t>JÄMTLANDS LÄN</t>
        </is>
      </c>
      <c r="E3178" t="inlineStr">
        <is>
          <t>RAGUNDA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8419-2024</t>
        </is>
      </c>
      <c r="B3179" s="1" t="n">
        <v>45352</v>
      </c>
      <c r="C3179" s="1" t="n">
        <v>46045</v>
      </c>
      <c r="D3179" t="inlineStr">
        <is>
          <t>JÄMTLANDS LÄN</t>
        </is>
      </c>
      <c r="E3179" t="inlineStr">
        <is>
          <t>STRÖMSUND</t>
        </is>
      </c>
      <c r="F3179" t="inlineStr">
        <is>
          <t>SCA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35559-2024</t>
        </is>
      </c>
      <c r="B3180" s="1" t="n">
        <v>45531.62141203704</v>
      </c>
      <c r="C3180" s="1" t="n">
        <v>46045</v>
      </c>
      <c r="D3180" t="inlineStr">
        <is>
          <t>JÄMTLANDS LÄN</t>
        </is>
      </c>
      <c r="E3180" t="inlineStr">
        <is>
          <t>KROKOM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13554-2024</t>
        </is>
      </c>
      <c r="B3181" s="1" t="n">
        <v>45387</v>
      </c>
      <c r="C3181" s="1" t="n">
        <v>46045</v>
      </c>
      <c r="D3181" t="inlineStr">
        <is>
          <t>JÄMTLANDS LÄN</t>
        </is>
      </c>
      <c r="E3181" t="inlineStr">
        <is>
          <t>BRÄCKE</t>
        </is>
      </c>
      <c r="F3181" t="inlineStr">
        <is>
          <t>SCA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22131-2021</t>
        </is>
      </c>
      <c r="B3182" s="1" t="n">
        <v>44323</v>
      </c>
      <c r="C3182" s="1" t="n">
        <v>46045</v>
      </c>
      <c r="D3182" t="inlineStr">
        <is>
          <t>JÄMTLANDS LÄN</t>
        </is>
      </c>
      <c r="E3182" t="inlineStr">
        <is>
          <t>RAGUNDA</t>
        </is>
      </c>
      <c r="F3182" t="inlineStr">
        <is>
          <t>SCA</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59557-2023</t>
        </is>
      </c>
      <c r="B3183" s="1" t="n">
        <v>45253</v>
      </c>
      <c r="C3183" s="1" t="n">
        <v>46045</v>
      </c>
      <c r="D3183" t="inlineStr">
        <is>
          <t>JÄMTLANDS LÄN</t>
        </is>
      </c>
      <c r="E3183" t="inlineStr">
        <is>
          <t>RAGUNDA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16053-2024</t>
        </is>
      </c>
      <c r="B3184" s="1" t="n">
        <v>45406</v>
      </c>
      <c r="C3184" s="1" t="n">
        <v>46045</v>
      </c>
      <c r="D3184" t="inlineStr">
        <is>
          <t>JÄMTLANDS LÄN</t>
        </is>
      </c>
      <c r="E3184" t="inlineStr">
        <is>
          <t>STRÖMSUND</t>
        </is>
      </c>
      <c r="F3184" t="inlineStr">
        <is>
          <t>SCA</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16158-2024</t>
        </is>
      </c>
      <c r="B3185" s="1" t="n">
        <v>45406.5909837963</v>
      </c>
      <c r="C3185" s="1" t="n">
        <v>46045</v>
      </c>
      <c r="D3185" t="inlineStr">
        <is>
          <t>JÄMTLANDS LÄN</t>
        </is>
      </c>
      <c r="E3185" t="inlineStr">
        <is>
          <t>BRÄCKE</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51757-2024</t>
        </is>
      </c>
      <c r="B3186" s="1" t="n">
        <v>45607.43525462963</v>
      </c>
      <c r="C3186" s="1" t="n">
        <v>46045</v>
      </c>
      <c r="D3186" t="inlineStr">
        <is>
          <t>JÄMTLANDS LÄN</t>
        </is>
      </c>
      <c r="E3186" t="inlineStr">
        <is>
          <t>STRÖMSUND</t>
        </is>
      </c>
      <c r="F3186" t="inlineStr">
        <is>
          <t>Kommuner</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51939-2024</t>
        </is>
      </c>
      <c r="B3187" s="1" t="n">
        <v>45607.63211805555</v>
      </c>
      <c r="C3187" s="1" t="n">
        <v>46045</v>
      </c>
      <c r="D3187" t="inlineStr">
        <is>
          <t>JÄMTLANDS LÄN</t>
        </is>
      </c>
      <c r="E3187" t="inlineStr">
        <is>
          <t>KROKOM</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51943-2024</t>
        </is>
      </c>
      <c r="B3188" s="1" t="n">
        <v>45607.63606481482</v>
      </c>
      <c r="C3188" s="1" t="n">
        <v>46045</v>
      </c>
      <c r="D3188" t="inlineStr">
        <is>
          <t>JÄMTLANDS LÄN</t>
        </is>
      </c>
      <c r="E3188" t="inlineStr">
        <is>
          <t>STRÖMSUND</t>
        </is>
      </c>
      <c r="F3188" t="inlineStr">
        <is>
          <t>SCA</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48079-2023</t>
        </is>
      </c>
      <c r="B3189" s="1" t="n">
        <v>45204</v>
      </c>
      <c r="C3189" s="1" t="n">
        <v>46045</v>
      </c>
      <c r="D3189" t="inlineStr">
        <is>
          <t>JÄMTLANDS LÄN</t>
        </is>
      </c>
      <c r="E3189" t="inlineStr">
        <is>
          <t>BRÄCKE</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51910-2023</t>
        </is>
      </c>
      <c r="B3190" s="1" t="n">
        <v>45216</v>
      </c>
      <c r="C3190" s="1" t="n">
        <v>46045</v>
      </c>
      <c r="D3190" t="inlineStr">
        <is>
          <t>JÄMTLANDS LÄN</t>
        </is>
      </c>
      <c r="E3190" t="inlineStr">
        <is>
          <t>KROKOM</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2242-2024</t>
        </is>
      </c>
      <c r="B3191" s="1" t="n">
        <v>45309</v>
      </c>
      <c r="C3191" s="1" t="n">
        <v>46045</v>
      </c>
      <c r="D3191" t="inlineStr">
        <is>
          <t>JÄMTLANDS LÄN</t>
        </is>
      </c>
      <c r="E3191" t="inlineStr">
        <is>
          <t>RAGUNDA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2248-2024</t>
        </is>
      </c>
      <c r="B3192" s="1" t="n">
        <v>45309</v>
      </c>
      <c r="C3192" s="1" t="n">
        <v>46045</v>
      </c>
      <c r="D3192" t="inlineStr">
        <is>
          <t>JÄMTLANDS LÄN</t>
        </is>
      </c>
      <c r="E3192" t="inlineStr">
        <is>
          <t>RAGUNDA</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54334-2023</t>
        </is>
      </c>
      <c r="B3193" s="1" t="n">
        <v>45232.95790509259</v>
      </c>
      <c r="C3193" s="1" t="n">
        <v>46045</v>
      </c>
      <c r="D3193" t="inlineStr">
        <is>
          <t>JÄMTLANDS LÄN</t>
        </is>
      </c>
      <c r="E3193" t="inlineStr">
        <is>
          <t>BRÄCKE</t>
        </is>
      </c>
      <c r="F3193" t="inlineStr">
        <is>
          <t>SCA</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46259-2023</t>
        </is>
      </c>
      <c r="B3194" s="1" t="n">
        <v>45196.93831018519</v>
      </c>
      <c r="C3194" s="1" t="n">
        <v>46045</v>
      </c>
      <c r="D3194" t="inlineStr">
        <is>
          <t>JÄMTLANDS LÄN</t>
        </is>
      </c>
      <c r="E3194" t="inlineStr">
        <is>
          <t>STRÖMSUND</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5958-2021</t>
        </is>
      </c>
      <c r="B3195" s="1" t="n">
        <v>44231</v>
      </c>
      <c r="C3195" s="1" t="n">
        <v>46045</v>
      </c>
      <c r="D3195" t="inlineStr">
        <is>
          <t>JÄMTLANDS LÄN</t>
        </is>
      </c>
      <c r="E3195" t="inlineStr">
        <is>
          <t>RAGUNDA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3257-2024</t>
        </is>
      </c>
      <c r="B3196" s="1" t="n">
        <v>45316</v>
      </c>
      <c r="C3196" s="1" t="n">
        <v>46045</v>
      </c>
      <c r="D3196" t="inlineStr">
        <is>
          <t>JÄMTLANDS LÄN</t>
        </is>
      </c>
      <c r="E3196" t="inlineStr">
        <is>
          <t>KROKOM</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16151-2024</t>
        </is>
      </c>
      <c r="B3197" s="1" t="n">
        <v>45406</v>
      </c>
      <c r="C3197" s="1" t="n">
        <v>46045</v>
      </c>
      <c r="D3197" t="inlineStr">
        <is>
          <t>JÄMTLANDS LÄN</t>
        </is>
      </c>
      <c r="E3197" t="inlineStr">
        <is>
          <t>HÄRJEDALEN</t>
        </is>
      </c>
      <c r="F3197" t="inlineStr">
        <is>
          <t>Holmen skog AB</t>
        </is>
      </c>
      <c r="G3197" t="n">
        <v>21.6</v>
      </c>
      <c r="H3197" t="n">
        <v>0</v>
      </c>
      <c r="I3197" t="n">
        <v>0</v>
      </c>
      <c r="J3197" t="n">
        <v>0</v>
      </c>
      <c r="K3197" t="n">
        <v>0</v>
      </c>
      <c r="L3197" t="n">
        <v>0</v>
      </c>
      <c r="M3197" t="n">
        <v>0</v>
      </c>
      <c r="N3197" t="n">
        <v>0</v>
      </c>
      <c r="O3197" t="n">
        <v>0</v>
      </c>
      <c r="P3197" t="n">
        <v>0</v>
      </c>
      <c r="Q3197" t="n">
        <v>0</v>
      </c>
      <c r="R3197" s="2" t="inlineStr"/>
    </row>
    <row r="3198" ht="15" customHeight="1">
      <c r="A3198" t="inlineStr">
        <is>
          <t>A 49085-2023</t>
        </is>
      </c>
      <c r="B3198" s="1" t="n">
        <v>45204</v>
      </c>
      <c r="C3198" s="1" t="n">
        <v>46045</v>
      </c>
      <c r="D3198" t="inlineStr">
        <is>
          <t>JÄMTLANDS LÄN</t>
        </is>
      </c>
      <c r="E3198" t="inlineStr">
        <is>
          <t>BRÄCKE</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16185-2024</t>
        </is>
      </c>
      <c r="B3199" s="1" t="n">
        <v>45406</v>
      </c>
      <c r="C3199" s="1" t="n">
        <v>46045</v>
      </c>
      <c r="D3199" t="inlineStr">
        <is>
          <t>JÄMTLANDS LÄN</t>
        </is>
      </c>
      <c r="E3199" t="inlineStr">
        <is>
          <t>HÄRJEDALEN</t>
        </is>
      </c>
      <c r="F3199" t="inlineStr">
        <is>
          <t>Holmen skog AB</t>
        </is>
      </c>
      <c r="G3199" t="n">
        <v>21.6</v>
      </c>
      <c r="H3199" t="n">
        <v>0</v>
      </c>
      <c r="I3199" t="n">
        <v>0</v>
      </c>
      <c r="J3199" t="n">
        <v>0</v>
      </c>
      <c r="K3199" t="n">
        <v>0</v>
      </c>
      <c r="L3199" t="n">
        <v>0</v>
      </c>
      <c r="M3199" t="n">
        <v>0</v>
      </c>
      <c r="N3199" t="n">
        <v>0</v>
      </c>
      <c r="O3199" t="n">
        <v>0</v>
      </c>
      <c r="P3199" t="n">
        <v>0</v>
      </c>
      <c r="Q3199" t="n">
        <v>0</v>
      </c>
      <c r="R3199" s="2" t="inlineStr"/>
    </row>
    <row r="3200" ht="15" customHeight="1">
      <c r="A3200" t="inlineStr">
        <is>
          <t>A 40596-2022</t>
        </is>
      </c>
      <c r="B3200" s="1" t="n">
        <v>44823.84673611111</v>
      </c>
      <c r="C3200" s="1" t="n">
        <v>46045</v>
      </c>
      <c r="D3200" t="inlineStr">
        <is>
          <t>JÄMTLANDS LÄN</t>
        </is>
      </c>
      <c r="E3200" t="inlineStr">
        <is>
          <t>HÄRJEDALEN</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16236-2024</t>
        </is>
      </c>
      <c r="B3201" s="1" t="n">
        <v>45407.05668981482</v>
      </c>
      <c r="C3201" s="1" t="n">
        <v>46045</v>
      </c>
      <c r="D3201" t="inlineStr">
        <is>
          <t>JÄMTLANDS LÄN</t>
        </is>
      </c>
      <c r="E3201" t="inlineStr">
        <is>
          <t>STRÖMSUND</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54175-2023</t>
        </is>
      </c>
      <c r="B3202" s="1" t="n">
        <v>45232</v>
      </c>
      <c r="C3202" s="1" t="n">
        <v>46045</v>
      </c>
      <c r="D3202" t="inlineStr">
        <is>
          <t>JÄMTLANDS LÄN</t>
        </is>
      </c>
      <c r="E3202" t="inlineStr">
        <is>
          <t>ÅRE</t>
        </is>
      </c>
      <c r="G3202" t="n">
        <v>0.1</v>
      </c>
      <c r="H3202" t="n">
        <v>0</v>
      </c>
      <c r="I3202" t="n">
        <v>0</v>
      </c>
      <c r="J3202" t="n">
        <v>0</v>
      </c>
      <c r="K3202" t="n">
        <v>0</v>
      </c>
      <c r="L3202" t="n">
        <v>0</v>
      </c>
      <c r="M3202" t="n">
        <v>0</v>
      </c>
      <c r="N3202" t="n">
        <v>0</v>
      </c>
      <c r="O3202" t="n">
        <v>0</v>
      </c>
      <c r="P3202" t="n">
        <v>0</v>
      </c>
      <c r="Q3202" t="n">
        <v>0</v>
      </c>
      <c r="R3202" s="2" t="inlineStr"/>
    </row>
    <row r="3203" ht="15" customHeight="1">
      <c r="A3203" t="inlineStr">
        <is>
          <t>A 20144-2025</t>
        </is>
      </c>
      <c r="B3203" s="1" t="n">
        <v>45772.53158564815</v>
      </c>
      <c r="C3203" s="1" t="n">
        <v>46045</v>
      </c>
      <c r="D3203" t="inlineStr">
        <is>
          <t>JÄMTLANDS LÄN</t>
        </is>
      </c>
      <c r="E3203" t="inlineStr">
        <is>
          <t>STRÖMSUND</t>
        </is>
      </c>
      <c r="F3203" t="inlineStr">
        <is>
          <t>SCA</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2718-2025</t>
        </is>
      </c>
      <c r="B3204" s="1" t="n">
        <v>45677.43028935185</v>
      </c>
      <c r="C3204" s="1" t="n">
        <v>46045</v>
      </c>
      <c r="D3204" t="inlineStr">
        <is>
          <t>JÄMTLANDS LÄN</t>
        </is>
      </c>
      <c r="E3204" t="inlineStr">
        <is>
          <t>HÄRJEDALEN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38661-2022</t>
        </is>
      </c>
      <c r="B3205" s="1" t="n">
        <v>44813</v>
      </c>
      <c r="C3205" s="1" t="n">
        <v>46045</v>
      </c>
      <c r="D3205" t="inlineStr">
        <is>
          <t>JÄMTLANDS LÄN</t>
        </is>
      </c>
      <c r="E3205" t="inlineStr">
        <is>
          <t>STRÖMSUND</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38664-2022</t>
        </is>
      </c>
      <c r="B3206" s="1" t="n">
        <v>44813</v>
      </c>
      <c r="C3206" s="1" t="n">
        <v>46045</v>
      </c>
      <c r="D3206" t="inlineStr">
        <is>
          <t>JÄMTLANDS LÄN</t>
        </is>
      </c>
      <c r="E3206" t="inlineStr">
        <is>
          <t>RAGUNDA</t>
        </is>
      </c>
      <c r="F3206" t="inlineStr">
        <is>
          <t>SCA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20157-2025</t>
        </is>
      </c>
      <c r="B3207" s="1" t="n">
        <v>45772.56060185185</v>
      </c>
      <c r="C3207" s="1" t="n">
        <v>46045</v>
      </c>
      <c r="D3207" t="inlineStr">
        <is>
          <t>JÄMTLANDS LÄN</t>
        </is>
      </c>
      <c r="E3207" t="inlineStr">
        <is>
          <t>BRÄCKE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20174-2025</t>
        </is>
      </c>
      <c r="B3208" s="1" t="n">
        <v>45772.58283564815</v>
      </c>
      <c r="C3208" s="1" t="n">
        <v>46045</v>
      </c>
      <c r="D3208" t="inlineStr">
        <is>
          <t>JÄMTLANDS LÄN</t>
        </is>
      </c>
      <c r="E3208" t="inlineStr">
        <is>
          <t>KROKOM</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16874-2024</t>
        </is>
      </c>
      <c r="B3209" s="1" t="n">
        <v>45411</v>
      </c>
      <c r="C3209" s="1" t="n">
        <v>46045</v>
      </c>
      <c r="D3209" t="inlineStr">
        <is>
          <t>JÄMTLANDS LÄN</t>
        </is>
      </c>
      <c r="E3209" t="inlineStr">
        <is>
          <t>KROKOM</t>
        </is>
      </c>
      <c r="F3209" t="inlineStr">
        <is>
          <t>Övriga Aktiebolag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20181-2025</t>
        </is>
      </c>
      <c r="B3210" s="1" t="n">
        <v>45772.59200231481</v>
      </c>
      <c r="C3210" s="1" t="n">
        <v>46045</v>
      </c>
      <c r="D3210" t="inlineStr">
        <is>
          <t>JÄMTLANDS LÄN</t>
        </is>
      </c>
      <c r="E3210" t="inlineStr">
        <is>
          <t>KROKOM</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29581-2021</t>
        </is>
      </c>
      <c r="B3211" s="1" t="n">
        <v>44361</v>
      </c>
      <c r="C3211" s="1" t="n">
        <v>46045</v>
      </c>
      <c r="D3211" t="inlineStr">
        <is>
          <t>JÄMTLANDS LÄN</t>
        </is>
      </c>
      <c r="E3211" t="inlineStr">
        <is>
          <t>HÄRJEDALEN</t>
        </is>
      </c>
      <c r="G3211" t="n">
        <v>50.9</v>
      </c>
      <c r="H3211" t="n">
        <v>0</v>
      </c>
      <c r="I3211" t="n">
        <v>0</v>
      </c>
      <c r="J3211" t="n">
        <v>0</v>
      </c>
      <c r="K3211" t="n">
        <v>0</v>
      </c>
      <c r="L3211" t="n">
        <v>0</v>
      </c>
      <c r="M3211" t="n">
        <v>0</v>
      </c>
      <c r="N3211" t="n">
        <v>0</v>
      </c>
      <c r="O3211" t="n">
        <v>0</v>
      </c>
      <c r="P3211" t="n">
        <v>0</v>
      </c>
      <c r="Q3211" t="n">
        <v>0</v>
      </c>
      <c r="R3211" s="2" t="inlineStr"/>
    </row>
    <row r="3212" ht="15" customHeight="1">
      <c r="A3212" t="inlineStr">
        <is>
          <t>A 29624-2021</t>
        </is>
      </c>
      <c r="B3212" s="1" t="n">
        <v>44361.93820601852</v>
      </c>
      <c r="C3212" s="1" t="n">
        <v>46045</v>
      </c>
      <c r="D3212" t="inlineStr">
        <is>
          <t>JÄMTLANDS LÄN</t>
        </is>
      </c>
      <c r="E3212" t="inlineStr">
        <is>
          <t>STRÖMSUND</t>
        </is>
      </c>
      <c r="F3212" t="inlineStr">
        <is>
          <t>SCA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6756-2024</t>
        </is>
      </c>
      <c r="B3213" s="1" t="n">
        <v>45342</v>
      </c>
      <c r="C3213" s="1" t="n">
        <v>46045</v>
      </c>
      <c r="D3213" t="inlineStr">
        <is>
          <t>JÄMTLANDS LÄN</t>
        </is>
      </c>
      <c r="E3213" t="inlineStr">
        <is>
          <t>HÄRJEDALEN</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25421-2022</t>
        </is>
      </c>
      <c r="B3214" s="1" t="n">
        <v>44732</v>
      </c>
      <c r="C3214" s="1" t="n">
        <v>46045</v>
      </c>
      <c r="D3214" t="inlineStr">
        <is>
          <t>JÄMTLANDS LÄN</t>
        </is>
      </c>
      <c r="E3214" t="inlineStr">
        <is>
          <t>KROKOM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62668-2021</t>
        </is>
      </c>
      <c r="B3215" s="1" t="n">
        <v>44503.94444444445</v>
      </c>
      <c r="C3215" s="1" t="n">
        <v>46045</v>
      </c>
      <c r="D3215" t="inlineStr">
        <is>
          <t>JÄMTLANDS LÄN</t>
        </is>
      </c>
      <c r="E3215" t="inlineStr">
        <is>
          <t>STRÖMSUND</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15432-2025</t>
        </is>
      </c>
      <c r="B3216" s="1" t="n">
        <v>45747.47025462963</v>
      </c>
      <c r="C3216" s="1" t="n">
        <v>46045</v>
      </c>
      <c r="D3216" t="inlineStr">
        <is>
          <t>JÄMTLANDS LÄN</t>
        </is>
      </c>
      <c r="E3216" t="inlineStr">
        <is>
          <t>KROKOM</t>
        </is>
      </c>
      <c r="F3216" t="inlineStr">
        <is>
          <t>SCA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4882-2025</t>
        </is>
      </c>
      <c r="B3217" s="1" t="n">
        <v>45688.67729166667</v>
      </c>
      <c r="C3217" s="1" t="n">
        <v>46045</v>
      </c>
      <c r="D3217" t="inlineStr">
        <is>
          <t>JÄMTLANDS LÄN</t>
        </is>
      </c>
      <c r="E3217" t="inlineStr">
        <is>
          <t>BRÄCKE</t>
        </is>
      </c>
      <c r="F3217" t="inlineStr">
        <is>
          <t>SCA</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4899-2025</t>
        </is>
      </c>
      <c r="B3218" s="1" t="n">
        <v>45688.67935185185</v>
      </c>
      <c r="C3218" s="1" t="n">
        <v>46045</v>
      </c>
      <c r="D3218" t="inlineStr">
        <is>
          <t>JÄMTLANDS LÄN</t>
        </is>
      </c>
      <c r="E3218" t="inlineStr">
        <is>
          <t>HÄRJEDALEN</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10305-2023</t>
        </is>
      </c>
      <c r="B3219" s="1" t="n">
        <v>44986</v>
      </c>
      <c r="C3219" s="1" t="n">
        <v>46045</v>
      </c>
      <c r="D3219" t="inlineStr">
        <is>
          <t>JÄMTLANDS LÄN</t>
        </is>
      </c>
      <c r="E3219" t="inlineStr">
        <is>
          <t>ÖSTERSUND</t>
        </is>
      </c>
      <c r="F3219" t="inlineStr">
        <is>
          <t>SCA</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50775-2021</t>
        </is>
      </c>
      <c r="B3220" s="1" t="n">
        <v>44460.44315972222</v>
      </c>
      <c r="C3220" s="1" t="n">
        <v>46045</v>
      </c>
      <c r="D3220" t="inlineStr">
        <is>
          <t>JÄMTLANDS LÄN</t>
        </is>
      </c>
      <c r="E3220" t="inlineStr">
        <is>
          <t>HÄRJEDALEN</t>
        </is>
      </c>
      <c r="F3220" t="inlineStr">
        <is>
          <t>Bergvik skog väst AB</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42893-2022</t>
        </is>
      </c>
      <c r="B3221" s="1" t="n">
        <v>44832</v>
      </c>
      <c r="C3221" s="1" t="n">
        <v>46045</v>
      </c>
      <c r="D3221" t="inlineStr">
        <is>
          <t>JÄMTLANDS LÄN</t>
        </is>
      </c>
      <c r="E3221" t="inlineStr">
        <is>
          <t>RAGUNDA</t>
        </is>
      </c>
      <c r="F3221" t="inlineStr">
        <is>
          <t>SCA</t>
        </is>
      </c>
      <c r="G3221" t="n">
        <v>28.4</v>
      </c>
      <c r="H3221" t="n">
        <v>0</v>
      </c>
      <c r="I3221" t="n">
        <v>0</v>
      </c>
      <c r="J3221" t="n">
        <v>0</v>
      </c>
      <c r="K3221" t="n">
        <v>0</v>
      </c>
      <c r="L3221" t="n">
        <v>0</v>
      </c>
      <c r="M3221" t="n">
        <v>0</v>
      </c>
      <c r="N3221" t="n">
        <v>0</v>
      </c>
      <c r="O3221" t="n">
        <v>0</v>
      </c>
      <c r="P3221" t="n">
        <v>0</v>
      </c>
      <c r="Q3221" t="n">
        <v>0</v>
      </c>
      <c r="R3221" s="2" t="inlineStr"/>
    </row>
    <row r="3222" ht="15" customHeight="1">
      <c r="A3222" t="inlineStr">
        <is>
          <t>A 42210-2022</t>
        </is>
      </c>
      <c r="B3222" s="1" t="n">
        <v>44830</v>
      </c>
      <c r="C3222" s="1" t="n">
        <v>46045</v>
      </c>
      <c r="D3222" t="inlineStr">
        <is>
          <t>JÄMTLANDS LÄN</t>
        </is>
      </c>
      <c r="E3222" t="inlineStr">
        <is>
          <t>KROKOM</t>
        </is>
      </c>
      <c r="F3222" t="inlineStr">
        <is>
          <t>Övriga Aktiebolag</t>
        </is>
      </c>
      <c r="G3222" t="n">
        <v>11.6</v>
      </c>
      <c r="H3222" t="n">
        <v>0</v>
      </c>
      <c r="I3222" t="n">
        <v>0</v>
      </c>
      <c r="J3222" t="n">
        <v>0</v>
      </c>
      <c r="K3222" t="n">
        <v>0</v>
      </c>
      <c r="L3222" t="n">
        <v>0</v>
      </c>
      <c r="M3222" t="n">
        <v>0</v>
      </c>
      <c r="N3222" t="n">
        <v>0</v>
      </c>
      <c r="O3222" t="n">
        <v>0</v>
      </c>
      <c r="P3222" t="n">
        <v>0</v>
      </c>
      <c r="Q3222" t="n">
        <v>0</v>
      </c>
      <c r="R3222" s="2" t="inlineStr"/>
    </row>
    <row r="3223" ht="15" customHeight="1">
      <c r="A3223" t="inlineStr">
        <is>
          <t>A 50780-2021</t>
        </is>
      </c>
      <c r="B3223" s="1" t="n">
        <v>44459</v>
      </c>
      <c r="C3223" s="1" t="n">
        <v>46045</v>
      </c>
      <c r="D3223" t="inlineStr">
        <is>
          <t>JÄMTLANDS LÄN</t>
        </is>
      </c>
      <c r="E3223" t="inlineStr">
        <is>
          <t>BERG</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56284-2023</t>
        </is>
      </c>
      <c r="B3224" s="1" t="n">
        <v>45241.95724537037</v>
      </c>
      <c r="C3224" s="1" t="n">
        <v>46045</v>
      </c>
      <c r="D3224" t="inlineStr">
        <is>
          <t>JÄMTLANDS LÄN</t>
        </is>
      </c>
      <c r="E3224" t="inlineStr">
        <is>
          <t>RAGUNDA</t>
        </is>
      </c>
      <c r="F3224" t="inlineStr">
        <is>
          <t>SCA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52269-2023</t>
        </is>
      </c>
      <c r="B3225" s="1" t="n">
        <v>45217</v>
      </c>
      <c r="C3225" s="1" t="n">
        <v>46045</v>
      </c>
      <c r="D3225" t="inlineStr">
        <is>
          <t>JÄMTLANDS LÄN</t>
        </is>
      </c>
      <c r="E3225" t="inlineStr">
        <is>
          <t>BRÄCKE</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49818-2022</t>
        </is>
      </c>
      <c r="B3226" s="1" t="n">
        <v>44859</v>
      </c>
      <c r="C3226" s="1" t="n">
        <v>46045</v>
      </c>
      <c r="D3226" t="inlineStr">
        <is>
          <t>JÄMTLANDS LÄN</t>
        </is>
      </c>
      <c r="E3226" t="inlineStr">
        <is>
          <t>ÅRE</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4350-2024</t>
        </is>
      </c>
      <c r="B3227" s="1" t="n">
        <v>45324.93804398148</v>
      </c>
      <c r="C3227" s="1" t="n">
        <v>46045</v>
      </c>
      <c r="D3227" t="inlineStr">
        <is>
          <t>JÄMTLANDS LÄN</t>
        </is>
      </c>
      <c r="E3227" t="inlineStr">
        <is>
          <t>ÖSTERSUND</t>
        </is>
      </c>
      <c r="F3227" t="inlineStr">
        <is>
          <t>SCA</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4837-2025</t>
        </is>
      </c>
      <c r="B3228" s="1" t="n">
        <v>45688.67145833333</v>
      </c>
      <c r="C3228" s="1" t="n">
        <v>46045</v>
      </c>
      <c r="D3228" t="inlineStr">
        <is>
          <t>JÄMTLANDS LÄN</t>
        </is>
      </c>
      <c r="E3228" t="inlineStr">
        <is>
          <t>HÄRJEDALEN</t>
        </is>
      </c>
      <c r="F3228" t="inlineStr">
        <is>
          <t>SCA</t>
        </is>
      </c>
      <c r="G3228" t="n">
        <v>21.9</v>
      </c>
      <c r="H3228" t="n">
        <v>0</v>
      </c>
      <c r="I3228" t="n">
        <v>0</v>
      </c>
      <c r="J3228" t="n">
        <v>0</v>
      </c>
      <c r="K3228" t="n">
        <v>0</v>
      </c>
      <c r="L3228" t="n">
        <v>0</v>
      </c>
      <c r="M3228" t="n">
        <v>0</v>
      </c>
      <c r="N3228" t="n">
        <v>0</v>
      </c>
      <c r="O3228" t="n">
        <v>0</v>
      </c>
      <c r="P3228" t="n">
        <v>0</v>
      </c>
      <c r="Q3228" t="n">
        <v>0</v>
      </c>
      <c r="R3228" s="2" t="inlineStr"/>
    </row>
    <row r="3229" ht="15" customHeight="1">
      <c r="A3229" t="inlineStr">
        <is>
          <t>A 29511-2021</t>
        </is>
      </c>
      <c r="B3229" s="1" t="n">
        <v>44361</v>
      </c>
      <c r="C3229" s="1" t="n">
        <v>46045</v>
      </c>
      <c r="D3229" t="inlineStr">
        <is>
          <t>JÄMTLANDS LÄN</t>
        </is>
      </c>
      <c r="E3229" t="inlineStr">
        <is>
          <t>BERG</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38425-2022</t>
        </is>
      </c>
      <c r="B3230" s="1" t="n">
        <v>44812.94709490741</v>
      </c>
      <c r="C3230" s="1" t="n">
        <v>46045</v>
      </c>
      <c r="D3230" t="inlineStr">
        <is>
          <t>JÄMTLANDS LÄN</t>
        </is>
      </c>
      <c r="E3230" t="inlineStr">
        <is>
          <t>RAGUNDA</t>
        </is>
      </c>
      <c r="F3230" t="inlineStr">
        <is>
          <t>SCA</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19726-2021</t>
        </is>
      </c>
      <c r="B3231" s="1" t="n">
        <v>44312</v>
      </c>
      <c r="C3231" s="1" t="n">
        <v>46045</v>
      </c>
      <c r="D3231" t="inlineStr">
        <is>
          <t>JÄMTLANDS LÄN</t>
        </is>
      </c>
      <c r="E3231" t="inlineStr">
        <is>
          <t>STRÖMSUND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18298-2024</t>
        </is>
      </c>
      <c r="B3232" s="1" t="n">
        <v>45421</v>
      </c>
      <c r="C3232" s="1" t="n">
        <v>46045</v>
      </c>
      <c r="D3232" t="inlineStr">
        <is>
          <t>JÄMTLANDS LÄN</t>
        </is>
      </c>
      <c r="E3232" t="inlineStr">
        <is>
          <t>STRÖMSUND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18640-2024</t>
        </is>
      </c>
      <c r="B3233" s="1" t="n">
        <v>45425.96644675926</v>
      </c>
      <c r="C3233" s="1" t="n">
        <v>46045</v>
      </c>
      <c r="D3233" t="inlineStr">
        <is>
          <t>JÄMTLANDS LÄN</t>
        </is>
      </c>
      <c r="E3233" t="inlineStr">
        <is>
          <t>BRÄCKE</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31567-2024</t>
        </is>
      </c>
      <c r="B3234" s="1" t="n">
        <v>45505.96689814814</v>
      </c>
      <c r="C3234" s="1" t="n">
        <v>46045</v>
      </c>
      <c r="D3234" t="inlineStr">
        <is>
          <t>JÄMTLANDS LÄN</t>
        </is>
      </c>
      <c r="E3234" t="inlineStr">
        <is>
          <t>BRÄCKE</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40824-2023</t>
        </is>
      </c>
      <c r="B3235" s="1" t="n">
        <v>45171</v>
      </c>
      <c r="C3235" s="1" t="n">
        <v>46045</v>
      </c>
      <c r="D3235" t="inlineStr">
        <is>
          <t>JÄMTLANDS LÄN</t>
        </is>
      </c>
      <c r="E3235" t="inlineStr">
        <is>
          <t>BERG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18626-2024</t>
        </is>
      </c>
      <c r="B3236" s="1" t="n">
        <v>45425.96429398148</v>
      </c>
      <c r="C3236" s="1" t="n">
        <v>46045</v>
      </c>
      <c r="D3236" t="inlineStr">
        <is>
          <t>JÄMTLANDS LÄN</t>
        </is>
      </c>
      <c r="E3236" t="inlineStr">
        <is>
          <t>BRÄCKE</t>
        </is>
      </c>
      <c r="F3236" t="inlineStr">
        <is>
          <t>SCA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18610-2024</t>
        </is>
      </c>
      <c r="B3237" s="1" t="n">
        <v>45425.96230324074</v>
      </c>
      <c r="C3237" s="1" t="n">
        <v>46045</v>
      </c>
      <c r="D3237" t="inlineStr">
        <is>
          <t>JÄMTLANDS LÄN</t>
        </is>
      </c>
      <c r="E3237" t="inlineStr">
        <is>
          <t>RAGUNDA</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55736-2023</t>
        </is>
      </c>
      <c r="B3238" s="1" t="n">
        <v>45239.43173611111</v>
      </c>
      <c r="C3238" s="1" t="n">
        <v>46045</v>
      </c>
      <c r="D3238" t="inlineStr">
        <is>
          <t>JÄMTLANDS LÄN</t>
        </is>
      </c>
      <c r="E3238" t="inlineStr">
        <is>
          <t>HÄRJEDALEN</t>
        </is>
      </c>
      <c r="F3238" t="inlineStr">
        <is>
          <t>Holmen skog AB</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38381-2025</t>
        </is>
      </c>
      <c r="B3239" s="1" t="n">
        <v>45883.57380787037</v>
      </c>
      <c r="C3239" s="1" t="n">
        <v>46045</v>
      </c>
      <c r="D3239" t="inlineStr">
        <is>
          <t>JÄMTLANDS LÄN</t>
        </is>
      </c>
      <c r="E3239" t="inlineStr">
        <is>
          <t>BRÄCKE</t>
        </is>
      </c>
      <c r="G3239" t="n">
        <v>11.1</v>
      </c>
      <c r="H3239" t="n">
        <v>0</v>
      </c>
      <c r="I3239" t="n">
        <v>0</v>
      </c>
      <c r="J3239" t="n">
        <v>0</v>
      </c>
      <c r="K3239" t="n">
        <v>0</v>
      </c>
      <c r="L3239" t="n">
        <v>0</v>
      </c>
      <c r="M3239" t="n">
        <v>0</v>
      </c>
      <c r="N3239" t="n">
        <v>0</v>
      </c>
      <c r="O3239" t="n">
        <v>0</v>
      </c>
      <c r="P3239" t="n">
        <v>0</v>
      </c>
      <c r="Q3239" t="n">
        <v>0</v>
      </c>
      <c r="R3239" s="2" t="inlineStr"/>
    </row>
    <row r="3240" ht="15" customHeight="1">
      <c r="A3240" t="inlineStr">
        <is>
          <t>A 38278-2025</t>
        </is>
      </c>
      <c r="B3240" s="1" t="n">
        <v>45883.41405092592</v>
      </c>
      <c r="C3240" s="1" t="n">
        <v>46045</v>
      </c>
      <c r="D3240" t="inlineStr">
        <is>
          <t>JÄMTLANDS LÄN</t>
        </is>
      </c>
      <c r="E3240" t="inlineStr">
        <is>
          <t>BRÄCKE</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13668-2024</t>
        </is>
      </c>
      <c r="B3241" s="1" t="n">
        <v>45387</v>
      </c>
      <c r="C3241" s="1" t="n">
        <v>46045</v>
      </c>
      <c r="D3241" t="inlineStr">
        <is>
          <t>JÄMTLANDS LÄN</t>
        </is>
      </c>
      <c r="E3241" t="inlineStr">
        <is>
          <t>BRÄCKE</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4893-2025</t>
        </is>
      </c>
      <c r="B3242" s="1" t="n">
        <v>45688.67871527778</v>
      </c>
      <c r="C3242" s="1" t="n">
        <v>46045</v>
      </c>
      <c r="D3242" t="inlineStr">
        <is>
          <t>JÄMTLANDS LÄN</t>
        </is>
      </c>
      <c r="E3242" t="inlineStr">
        <is>
          <t>BRÄCKE</t>
        </is>
      </c>
      <c r="F3242" t="inlineStr">
        <is>
          <t>SCA</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24197-2024</t>
        </is>
      </c>
      <c r="B3243" s="1" t="n">
        <v>45456.96601851852</v>
      </c>
      <c r="C3243" s="1" t="n">
        <v>46045</v>
      </c>
      <c r="D3243" t="inlineStr">
        <is>
          <t>JÄMTLANDS LÄN</t>
        </is>
      </c>
      <c r="E3243" t="inlineStr">
        <is>
          <t>RAGUNDA</t>
        </is>
      </c>
      <c r="F3243" t="inlineStr">
        <is>
          <t>SCA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36922-2022</t>
        </is>
      </c>
      <c r="B3244" s="1" t="n">
        <v>44805.94592592592</v>
      </c>
      <c r="C3244" s="1" t="n">
        <v>46045</v>
      </c>
      <c r="D3244" t="inlineStr">
        <is>
          <t>JÄMTLANDS LÄN</t>
        </is>
      </c>
      <c r="E3244" t="inlineStr">
        <is>
          <t>RAGUNDA</t>
        </is>
      </c>
      <c r="F3244" t="inlineStr">
        <is>
          <t>SCA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31521-2022</t>
        </is>
      </c>
      <c r="B3245" s="1" t="n">
        <v>44774.949375</v>
      </c>
      <c r="C3245" s="1" t="n">
        <v>46045</v>
      </c>
      <c r="D3245" t="inlineStr">
        <is>
          <t>JÄMTLANDS LÄN</t>
        </is>
      </c>
      <c r="E3245" t="inlineStr">
        <is>
          <t>BRÄCKE</t>
        </is>
      </c>
      <c r="F3245" t="inlineStr">
        <is>
          <t>SCA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4916-2025</t>
        </is>
      </c>
      <c r="B3246" s="1" t="n">
        <v>45688.68196759259</v>
      </c>
      <c r="C3246" s="1" t="n">
        <v>46045</v>
      </c>
      <c r="D3246" t="inlineStr">
        <is>
          <t>JÄMTLANDS LÄN</t>
        </is>
      </c>
      <c r="E3246" t="inlineStr">
        <is>
          <t>RAGUNDA</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46058-2024</t>
        </is>
      </c>
      <c r="B3247" s="1" t="n">
        <v>45580.92037037037</v>
      </c>
      <c r="C3247" s="1" t="n">
        <v>46045</v>
      </c>
      <c r="D3247" t="inlineStr">
        <is>
          <t>JÄMTLANDS LÄN</t>
        </is>
      </c>
      <c r="E3247" t="inlineStr">
        <is>
          <t>HÄRJEDALEN</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21000-2021</t>
        </is>
      </c>
      <c r="B3248" s="1" t="n">
        <v>44316</v>
      </c>
      <c r="C3248" s="1" t="n">
        <v>46045</v>
      </c>
      <c r="D3248" t="inlineStr">
        <is>
          <t>JÄMTLANDS LÄN</t>
        </is>
      </c>
      <c r="E3248" t="inlineStr">
        <is>
          <t>KROKOM</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4936-2025</t>
        </is>
      </c>
      <c r="B3249" s="1" t="n">
        <v>45688.69356481481</v>
      </c>
      <c r="C3249" s="1" t="n">
        <v>46045</v>
      </c>
      <c r="D3249" t="inlineStr">
        <is>
          <t>JÄMTLANDS LÄN</t>
        </is>
      </c>
      <c r="E3249" t="inlineStr">
        <is>
          <t>ÖSTERSUND</t>
        </is>
      </c>
      <c r="G3249" t="n">
        <v>8.1</v>
      </c>
      <c r="H3249" t="n">
        <v>0</v>
      </c>
      <c r="I3249" t="n">
        <v>0</v>
      </c>
      <c r="J3249" t="n">
        <v>0</v>
      </c>
      <c r="K3249" t="n">
        <v>0</v>
      </c>
      <c r="L3249" t="n">
        <v>0</v>
      </c>
      <c r="M3249" t="n">
        <v>0</v>
      </c>
      <c r="N3249" t="n">
        <v>0</v>
      </c>
      <c r="O3249" t="n">
        <v>0</v>
      </c>
      <c r="P3249" t="n">
        <v>0</v>
      </c>
      <c r="Q3249" t="n">
        <v>0</v>
      </c>
      <c r="R3249" s="2" t="inlineStr"/>
    </row>
    <row r="3250" ht="15" customHeight="1">
      <c r="A3250" t="inlineStr">
        <is>
          <t>A 34231-2023</t>
        </is>
      </c>
      <c r="B3250" s="1" t="n">
        <v>45127</v>
      </c>
      <c r="C3250" s="1" t="n">
        <v>46045</v>
      </c>
      <c r="D3250" t="inlineStr">
        <is>
          <t>JÄMTLANDS LÄN</t>
        </is>
      </c>
      <c r="E3250" t="inlineStr">
        <is>
          <t>ÅRE</t>
        </is>
      </c>
      <c r="G3250" t="n">
        <v>18.3</v>
      </c>
      <c r="H3250" t="n">
        <v>0</v>
      </c>
      <c r="I3250" t="n">
        <v>0</v>
      </c>
      <c r="J3250" t="n">
        <v>0</v>
      </c>
      <c r="K3250" t="n">
        <v>0</v>
      </c>
      <c r="L3250" t="n">
        <v>0</v>
      </c>
      <c r="M3250" t="n">
        <v>0</v>
      </c>
      <c r="N3250" t="n">
        <v>0</v>
      </c>
      <c r="O3250" t="n">
        <v>0</v>
      </c>
      <c r="P3250" t="n">
        <v>0</v>
      </c>
      <c r="Q3250" t="n">
        <v>0</v>
      </c>
      <c r="R3250" s="2" t="inlineStr"/>
    </row>
    <row r="3251" ht="15" customHeight="1">
      <c r="A3251" t="inlineStr">
        <is>
          <t>A 14401-2025</t>
        </is>
      </c>
      <c r="B3251" s="1" t="n">
        <v>45741.45597222223</v>
      </c>
      <c r="C3251" s="1" t="n">
        <v>46045</v>
      </c>
      <c r="D3251" t="inlineStr">
        <is>
          <t>JÄMTLANDS LÄN</t>
        </is>
      </c>
      <c r="E3251" t="inlineStr">
        <is>
          <t>HÄRJEDALEN</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24488-2022</t>
        </is>
      </c>
      <c r="B3252" s="1" t="n">
        <v>44726</v>
      </c>
      <c r="C3252" s="1" t="n">
        <v>46045</v>
      </c>
      <c r="D3252" t="inlineStr">
        <is>
          <t>JÄMTLANDS LÄN</t>
        </is>
      </c>
      <c r="E3252" t="inlineStr">
        <is>
          <t>STRÖMSUND</t>
        </is>
      </c>
      <c r="G3252" t="n">
        <v>19.1</v>
      </c>
      <c r="H3252" t="n">
        <v>0</v>
      </c>
      <c r="I3252" t="n">
        <v>0</v>
      </c>
      <c r="J3252" t="n">
        <v>0</v>
      </c>
      <c r="K3252" t="n">
        <v>0</v>
      </c>
      <c r="L3252" t="n">
        <v>0</v>
      </c>
      <c r="M3252" t="n">
        <v>0</v>
      </c>
      <c r="N3252" t="n">
        <v>0</v>
      </c>
      <c r="O3252" t="n">
        <v>0</v>
      </c>
      <c r="P3252" t="n">
        <v>0</v>
      </c>
      <c r="Q3252" t="n">
        <v>0</v>
      </c>
      <c r="R3252" s="2" t="inlineStr"/>
    </row>
    <row r="3253" ht="15" customHeight="1">
      <c r="A3253" t="inlineStr">
        <is>
          <t>A 36491-2021</t>
        </is>
      </c>
      <c r="B3253" s="1" t="n">
        <v>44390</v>
      </c>
      <c r="C3253" s="1" t="n">
        <v>46045</v>
      </c>
      <c r="D3253" t="inlineStr">
        <is>
          <t>JÄMTLANDS LÄN</t>
        </is>
      </c>
      <c r="E3253" t="inlineStr">
        <is>
          <t>KROKOM</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47119-2024</t>
        </is>
      </c>
      <c r="B3254" s="1" t="n">
        <v>45586.56431712963</v>
      </c>
      <c r="C3254" s="1" t="n">
        <v>46045</v>
      </c>
      <c r="D3254" t="inlineStr">
        <is>
          <t>JÄMTLANDS LÄN</t>
        </is>
      </c>
      <c r="E3254" t="inlineStr">
        <is>
          <t>BERG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6386-2021</t>
        </is>
      </c>
      <c r="B3255" s="1" t="n">
        <v>44232</v>
      </c>
      <c r="C3255" s="1" t="n">
        <v>46045</v>
      </c>
      <c r="D3255" t="inlineStr">
        <is>
          <t>JÄMTLANDS LÄN</t>
        </is>
      </c>
      <c r="E3255" t="inlineStr">
        <is>
          <t>STRÖMSUND</t>
        </is>
      </c>
      <c r="F3255" t="inlineStr">
        <is>
          <t>Kommuner</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29040-2023</t>
        </is>
      </c>
      <c r="B3256" s="1" t="n">
        <v>45104.77545138889</v>
      </c>
      <c r="C3256" s="1" t="n">
        <v>46045</v>
      </c>
      <c r="D3256" t="inlineStr">
        <is>
          <t>JÄMTLANDS LÄN</t>
        </is>
      </c>
      <c r="E3256" t="inlineStr">
        <is>
          <t>STRÖMSUND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50881-2024</t>
        </is>
      </c>
      <c r="B3257" s="1" t="n">
        <v>45602.65599537037</v>
      </c>
      <c r="C3257" s="1" t="n">
        <v>46045</v>
      </c>
      <c r="D3257" t="inlineStr">
        <is>
          <t>JÄMTLANDS LÄN</t>
        </is>
      </c>
      <c r="E3257" t="inlineStr">
        <is>
          <t>KROKOM</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56054-2024</t>
        </is>
      </c>
      <c r="B3258" s="1" t="n">
        <v>45624.36090277778</v>
      </c>
      <c r="C3258" s="1" t="n">
        <v>46045</v>
      </c>
      <c r="D3258" t="inlineStr">
        <is>
          <t>JÄMTLANDS LÄN</t>
        </is>
      </c>
      <c r="E3258" t="inlineStr">
        <is>
          <t>HÄRJEDALEN</t>
        </is>
      </c>
      <c r="G3258" t="n">
        <v>16.7</v>
      </c>
      <c r="H3258" t="n">
        <v>0</v>
      </c>
      <c r="I3258" t="n">
        <v>0</v>
      </c>
      <c r="J3258" t="n">
        <v>0</v>
      </c>
      <c r="K3258" t="n">
        <v>0</v>
      </c>
      <c r="L3258" t="n">
        <v>0</v>
      </c>
      <c r="M3258" t="n">
        <v>0</v>
      </c>
      <c r="N3258" t="n">
        <v>0</v>
      </c>
      <c r="O3258" t="n">
        <v>0</v>
      </c>
      <c r="P3258" t="n">
        <v>0</v>
      </c>
      <c r="Q3258" t="n">
        <v>0</v>
      </c>
      <c r="R3258" s="2" t="inlineStr"/>
    </row>
    <row r="3259" ht="15" customHeight="1">
      <c r="A3259" t="inlineStr">
        <is>
          <t>A 31960-2023</t>
        </is>
      </c>
      <c r="B3259" s="1" t="n">
        <v>45119.39105324074</v>
      </c>
      <c r="C3259" s="1" t="n">
        <v>46045</v>
      </c>
      <c r="D3259" t="inlineStr">
        <is>
          <t>JÄMTLANDS LÄN</t>
        </is>
      </c>
      <c r="E3259" t="inlineStr">
        <is>
          <t>HÄRJEDALEN</t>
        </is>
      </c>
      <c r="F3259" t="inlineStr">
        <is>
          <t>Bergvik skog väst AB</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17929-2024</t>
        </is>
      </c>
      <c r="B3260" s="1" t="n">
        <v>45419.60266203704</v>
      </c>
      <c r="C3260" s="1" t="n">
        <v>46045</v>
      </c>
      <c r="D3260" t="inlineStr">
        <is>
          <t>JÄMTLANDS LÄN</t>
        </is>
      </c>
      <c r="E3260" t="inlineStr">
        <is>
          <t>BERG</t>
        </is>
      </c>
      <c r="F3260" t="inlineStr">
        <is>
          <t>Holmen skog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46139-2021</t>
        </is>
      </c>
      <c r="B3261" s="1" t="n">
        <v>44441</v>
      </c>
      <c r="C3261" s="1" t="n">
        <v>46045</v>
      </c>
      <c r="D3261" t="inlineStr">
        <is>
          <t>JÄMTLANDS LÄN</t>
        </is>
      </c>
      <c r="E3261" t="inlineStr">
        <is>
          <t>ÖSTERSUND</t>
        </is>
      </c>
      <c r="G3261" t="n">
        <v>12.8</v>
      </c>
      <c r="H3261" t="n">
        <v>0</v>
      </c>
      <c r="I3261" t="n">
        <v>0</v>
      </c>
      <c r="J3261" t="n">
        <v>0</v>
      </c>
      <c r="K3261" t="n">
        <v>0</v>
      </c>
      <c r="L3261" t="n">
        <v>0</v>
      </c>
      <c r="M3261" t="n">
        <v>0</v>
      </c>
      <c r="N3261" t="n">
        <v>0</v>
      </c>
      <c r="O3261" t="n">
        <v>0</v>
      </c>
      <c r="P3261" t="n">
        <v>0</v>
      </c>
      <c r="Q3261" t="n">
        <v>0</v>
      </c>
      <c r="R3261" s="2" t="inlineStr"/>
    </row>
    <row r="3262" ht="15" customHeight="1">
      <c r="A3262" t="inlineStr">
        <is>
          <t>A 46061-2023</t>
        </is>
      </c>
      <c r="B3262" s="1" t="n">
        <v>45190</v>
      </c>
      <c r="C3262" s="1" t="n">
        <v>46045</v>
      </c>
      <c r="D3262" t="inlineStr">
        <is>
          <t>JÄMTLANDS LÄN</t>
        </is>
      </c>
      <c r="E3262" t="inlineStr">
        <is>
          <t>KROKOM</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65239-2021</t>
        </is>
      </c>
      <c r="B3263" s="1" t="n">
        <v>44515</v>
      </c>
      <c r="C3263" s="1" t="n">
        <v>46045</v>
      </c>
      <c r="D3263" t="inlineStr">
        <is>
          <t>JÄMTLANDS LÄN</t>
        </is>
      </c>
      <c r="E3263" t="inlineStr">
        <is>
          <t>ÅRE</t>
        </is>
      </c>
      <c r="G3263" t="n">
        <v>0</v>
      </c>
      <c r="H3263" t="n">
        <v>0</v>
      </c>
      <c r="I3263" t="n">
        <v>0</v>
      </c>
      <c r="J3263" t="n">
        <v>0</v>
      </c>
      <c r="K3263" t="n">
        <v>0</v>
      </c>
      <c r="L3263" t="n">
        <v>0</v>
      </c>
      <c r="M3263" t="n">
        <v>0</v>
      </c>
      <c r="N3263" t="n">
        <v>0</v>
      </c>
      <c r="O3263" t="n">
        <v>0</v>
      </c>
      <c r="P3263" t="n">
        <v>0</v>
      </c>
      <c r="Q3263" t="n">
        <v>0</v>
      </c>
      <c r="R3263" s="2" t="inlineStr"/>
    </row>
    <row r="3264" ht="15" customHeight="1">
      <c r="A3264" t="inlineStr">
        <is>
          <t>A 1982-2022</t>
        </is>
      </c>
      <c r="B3264" s="1" t="n">
        <v>44575</v>
      </c>
      <c r="C3264" s="1" t="n">
        <v>46045</v>
      </c>
      <c r="D3264" t="inlineStr">
        <is>
          <t>JÄMTLANDS LÄN</t>
        </is>
      </c>
      <c r="E3264" t="inlineStr">
        <is>
          <t>BERG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1989-2022</t>
        </is>
      </c>
      <c r="B3265" s="1" t="n">
        <v>44575.55935185185</v>
      </c>
      <c r="C3265" s="1" t="n">
        <v>46045</v>
      </c>
      <c r="D3265" t="inlineStr">
        <is>
          <t>JÄMTLANDS LÄN</t>
        </is>
      </c>
      <c r="E3265" t="inlineStr">
        <is>
          <t>BERG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59293-2023</t>
        </is>
      </c>
      <c r="B3266" s="1" t="n">
        <v>45253</v>
      </c>
      <c r="C3266" s="1" t="n">
        <v>46045</v>
      </c>
      <c r="D3266" t="inlineStr">
        <is>
          <t>JÄMTLANDS LÄN</t>
        </is>
      </c>
      <c r="E3266" t="inlineStr">
        <is>
          <t>KROKOM</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14510-2025</t>
        </is>
      </c>
      <c r="B3267" s="1" t="n">
        <v>45741.63628472222</v>
      </c>
      <c r="C3267" s="1" t="n">
        <v>46045</v>
      </c>
      <c r="D3267" t="inlineStr">
        <is>
          <t>JÄMTLANDS LÄN</t>
        </is>
      </c>
      <c r="E3267" t="inlineStr">
        <is>
          <t>BRÄCKE</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14511-2025</t>
        </is>
      </c>
      <c r="B3268" s="1" t="n">
        <v>45741.63643518519</v>
      </c>
      <c r="C3268" s="1" t="n">
        <v>46045</v>
      </c>
      <c r="D3268" t="inlineStr">
        <is>
          <t>JÄMTLANDS LÄN</t>
        </is>
      </c>
      <c r="E3268" t="inlineStr">
        <is>
          <t>BRÄCKE</t>
        </is>
      </c>
      <c r="F3268" t="inlineStr">
        <is>
          <t>SCA</t>
        </is>
      </c>
      <c r="G3268" t="n">
        <v>19.5</v>
      </c>
      <c r="H3268" t="n">
        <v>0</v>
      </c>
      <c r="I3268" t="n">
        <v>0</v>
      </c>
      <c r="J3268" t="n">
        <v>0</v>
      </c>
      <c r="K3268" t="n">
        <v>0</v>
      </c>
      <c r="L3268" t="n">
        <v>0</v>
      </c>
      <c r="M3268" t="n">
        <v>0</v>
      </c>
      <c r="N3268" t="n">
        <v>0</v>
      </c>
      <c r="O3268" t="n">
        <v>0</v>
      </c>
      <c r="P3268" t="n">
        <v>0</v>
      </c>
      <c r="Q3268" t="n">
        <v>0</v>
      </c>
      <c r="R3268" s="2" t="inlineStr"/>
    </row>
    <row r="3269" ht="15" customHeight="1">
      <c r="A3269" t="inlineStr">
        <is>
          <t>A 14513-2025</t>
        </is>
      </c>
      <c r="B3269" s="1" t="n">
        <v>45741.63675925926</v>
      </c>
      <c r="C3269" s="1" t="n">
        <v>46045</v>
      </c>
      <c r="D3269" t="inlineStr">
        <is>
          <t>JÄMTLANDS LÄN</t>
        </is>
      </c>
      <c r="E3269" t="inlineStr">
        <is>
          <t>RAGUNDA</t>
        </is>
      </c>
      <c r="F3269" t="inlineStr">
        <is>
          <t>SCA</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9387-2025</t>
        </is>
      </c>
      <c r="B3270" s="1" t="n">
        <v>45715.34461805555</v>
      </c>
      <c r="C3270" s="1" t="n">
        <v>46045</v>
      </c>
      <c r="D3270" t="inlineStr">
        <is>
          <t>JÄMTLANDS LÄN</t>
        </is>
      </c>
      <c r="E3270" t="inlineStr">
        <is>
          <t>BRÄCKE</t>
        </is>
      </c>
      <c r="F3270" t="inlineStr">
        <is>
          <t>SCA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9390-2025</t>
        </is>
      </c>
      <c r="B3271" s="1" t="n">
        <v>45714</v>
      </c>
      <c r="C3271" s="1" t="n">
        <v>46045</v>
      </c>
      <c r="D3271" t="inlineStr">
        <is>
          <t>JÄMTLANDS LÄN</t>
        </is>
      </c>
      <c r="E3271" t="inlineStr">
        <is>
          <t>STRÖMSUND</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19478-2023</t>
        </is>
      </c>
      <c r="B3272" s="1" t="n">
        <v>45050</v>
      </c>
      <c r="C3272" s="1" t="n">
        <v>46045</v>
      </c>
      <c r="D3272" t="inlineStr">
        <is>
          <t>JÄMTLANDS LÄN</t>
        </is>
      </c>
      <c r="E3272" t="inlineStr">
        <is>
          <t>KROKOM</t>
        </is>
      </c>
      <c r="F3272" t="inlineStr">
        <is>
          <t>Övriga Aktiebolag</t>
        </is>
      </c>
      <c r="G3272" t="n">
        <v>22.2</v>
      </c>
      <c r="H3272" t="n">
        <v>0</v>
      </c>
      <c r="I3272" t="n">
        <v>0</v>
      </c>
      <c r="J3272" t="n">
        <v>0</v>
      </c>
      <c r="K3272" t="n">
        <v>0</v>
      </c>
      <c r="L3272" t="n">
        <v>0</v>
      </c>
      <c r="M3272" t="n">
        <v>0</v>
      </c>
      <c r="N3272" t="n">
        <v>0</v>
      </c>
      <c r="O3272" t="n">
        <v>0</v>
      </c>
      <c r="P3272" t="n">
        <v>0</v>
      </c>
      <c r="Q3272" t="n">
        <v>0</v>
      </c>
      <c r="R3272" s="2" t="inlineStr"/>
    </row>
    <row r="3273" ht="15" customHeight="1">
      <c r="A3273" t="inlineStr">
        <is>
          <t>A 57005-2022</t>
        </is>
      </c>
      <c r="B3273" s="1" t="n">
        <v>44894.95766203704</v>
      </c>
      <c r="C3273" s="1" t="n">
        <v>46045</v>
      </c>
      <c r="D3273" t="inlineStr">
        <is>
          <t>JÄMTLANDS LÄN</t>
        </is>
      </c>
      <c r="E3273" t="inlineStr">
        <is>
          <t>STRÖMSUND</t>
        </is>
      </c>
      <c r="F3273" t="inlineStr">
        <is>
          <t>SCA</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23539-2024</t>
        </is>
      </c>
      <c r="B3274" s="1" t="n">
        <v>45453.95237268518</v>
      </c>
      <c r="C3274" s="1" t="n">
        <v>46045</v>
      </c>
      <c r="D3274" t="inlineStr">
        <is>
          <t>JÄMTLANDS LÄN</t>
        </is>
      </c>
      <c r="E3274" t="inlineStr">
        <is>
          <t>KROKOM</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30563-2023</t>
        </is>
      </c>
      <c r="B3275" s="1" t="n">
        <v>45111.92793981481</v>
      </c>
      <c r="C3275" s="1" t="n">
        <v>46045</v>
      </c>
      <c r="D3275" t="inlineStr">
        <is>
          <t>JÄMTLANDS LÄN</t>
        </is>
      </c>
      <c r="E3275" t="inlineStr">
        <is>
          <t>RAGUNDA</t>
        </is>
      </c>
      <c r="F3275" t="inlineStr">
        <is>
          <t>Övriga Aktiebolag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38123-2025</t>
        </is>
      </c>
      <c r="B3276" s="1" t="n">
        <v>45882.55259259259</v>
      </c>
      <c r="C3276" s="1" t="n">
        <v>46045</v>
      </c>
      <c r="D3276" t="inlineStr">
        <is>
          <t>JÄMTLANDS LÄN</t>
        </is>
      </c>
      <c r="E3276" t="inlineStr">
        <is>
          <t>BRÄCKE</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24964-2023</t>
        </is>
      </c>
      <c r="B3277" s="1" t="n">
        <v>45085</v>
      </c>
      <c r="C3277" s="1" t="n">
        <v>46045</v>
      </c>
      <c r="D3277" t="inlineStr">
        <is>
          <t>JÄMTLANDS LÄN</t>
        </is>
      </c>
      <c r="E3277" t="inlineStr">
        <is>
          <t>HÄRJEDALEN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6-2024</t>
        </is>
      </c>
      <c r="B3278" s="1" t="n">
        <v>45293.33496527778</v>
      </c>
      <c r="C3278" s="1" t="n">
        <v>46045</v>
      </c>
      <c r="D3278" t="inlineStr">
        <is>
          <t>JÄMTLANDS LÄN</t>
        </is>
      </c>
      <c r="E3278" t="inlineStr">
        <is>
          <t>STRÖMSUND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24206-2024</t>
        </is>
      </c>
      <c r="B3279" s="1" t="n">
        <v>45456</v>
      </c>
      <c r="C3279" s="1" t="n">
        <v>46045</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15747-2023</t>
        </is>
      </c>
      <c r="B3280" s="1" t="n">
        <v>45020</v>
      </c>
      <c r="C3280" s="1" t="n">
        <v>46045</v>
      </c>
      <c r="D3280" t="inlineStr">
        <is>
          <t>JÄMTLANDS LÄN</t>
        </is>
      </c>
      <c r="E3280" t="inlineStr">
        <is>
          <t>HÄRJEDALEN</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23747-2021</t>
        </is>
      </c>
      <c r="B3281" s="1" t="n">
        <v>44334</v>
      </c>
      <c r="C3281" s="1" t="n">
        <v>46045</v>
      </c>
      <c r="D3281" t="inlineStr">
        <is>
          <t>JÄMTLANDS LÄN</t>
        </is>
      </c>
      <c r="E3281" t="inlineStr">
        <is>
          <t>BRÄCKE</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53149-2022</t>
        </is>
      </c>
      <c r="B3282" s="1" t="n">
        <v>44876</v>
      </c>
      <c r="C3282" s="1" t="n">
        <v>46045</v>
      </c>
      <c r="D3282" t="inlineStr">
        <is>
          <t>JÄMTLANDS LÄN</t>
        </is>
      </c>
      <c r="E3282" t="inlineStr">
        <is>
          <t>STRÖMSUND</t>
        </is>
      </c>
      <c r="F3282" t="inlineStr">
        <is>
          <t>SCA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59417-2023</t>
        </is>
      </c>
      <c r="B3283" s="1" t="n">
        <v>45253</v>
      </c>
      <c r="C3283" s="1" t="n">
        <v>46045</v>
      </c>
      <c r="D3283" t="inlineStr">
        <is>
          <t>JÄMTLANDS LÄN</t>
        </is>
      </c>
      <c r="E3283" t="inlineStr">
        <is>
          <t>BRÄCKE</t>
        </is>
      </c>
      <c r="F3283" t="inlineStr">
        <is>
          <t>SCA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19962-2021</t>
        </is>
      </c>
      <c r="B3284" s="1" t="n">
        <v>44312</v>
      </c>
      <c r="C3284" s="1" t="n">
        <v>46045</v>
      </c>
      <c r="D3284" t="inlineStr">
        <is>
          <t>JÄMTLANDS LÄN</t>
        </is>
      </c>
      <c r="E3284" t="inlineStr">
        <is>
          <t>HÄRJEDALEN</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37100-2022</t>
        </is>
      </c>
      <c r="B3285" s="1" t="n">
        <v>44806</v>
      </c>
      <c r="C3285" s="1" t="n">
        <v>46045</v>
      </c>
      <c r="D3285" t="inlineStr">
        <is>
          <t>JÄMTLANDS LÄN</t>
        </is>
      </c>
      <c r="E3285" t="inlineStr">
        <is>
          <t>STRÖMSUND</t>
        </is>
      </c>
      <c r="F3285" t="inlineStr">
        <is>
          <t>Kommuner</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36993-2023</t>
        </is>
      </c>
      <c r="B3286" s="1" t="n">
        <v>45154.95571759259</v>
      </c>
      <c r="C3286" s="1" t="n">
        <v>46045</v>
      </c>
      <c r="D3286" t="inlineStr">
        <is>
          <t>JÄMTLANDS LÄN</t>
        </is>
      </c>
      <c r="E3286" t="inlineStr">
        <is>
          <t>STRÖMSUND</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31537-2023</t>
        </is>
      </c>
      <c r="B3287" s="1" t="n">
        <v>45117</v>
      </c>
      <c r="C3287" s="1" t="n">
        <v>46045</v>
      </c>
      <c r="D3287" t="inlineStr">
        <is>
          <t>JÄMTLANDS LÄN</t>
        </is>
      </c>
      <c r="E3287" t="inlineStr">
        <is>
          <t>KROKOM</t>
        </is>
      </c>
      <c r="F3287" t="inlineStr">
        <is>
          <t>Övriga Aktiebolag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32765-2023</t>
        </is>
      </c>
      <c r="B3288" s="1" t="n">
        <v>45123.61459490741</v>
      </c>
      <c r="C3288" s="1" t="n">
        <v>46045</v>
      </c>
      <c r="D3288" t="inlineStr">
        <is>
          <t>JÄMTLANDS LÄN</t>
        </is>
      </c>
      <c r="E3288" t="inlineStr">
        <is>
          <t>KROKOM</t>
        </is>
      </c>
      <c r="F3288" t="inlineStr">
        <is>
          <t>Övriga Aktiebolag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11371-2025</t>
        </is>
      </c>
      <c r="B3289" s="1" t="n">
        <v>45726.55258101852</v>
      </c>
      <c r="C3289" s="1" t="n">
        <v>46045</v>
      </c>
      <c r="D3289" t="inlineStr">
        <is>
          <t>JÄMTLANDS LÄN</t>
        </is>
      </c>
      <c r="E3289" t="inlineStr">
        <is>
          <t>BRÄCKE</t>
        </is>
      </c>
      <c r="F3289" t="inlineStr">
        <is>
          <t>SCA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4537-2023</t>
        </is>
      </c>
      <c r="B3290" s="1" t="n">
        <v>44952</v>
      </c>
      <c r="C3290" s="1" t="n">
        <v>46045</v>
      </c>
      <c r="D3290" t="inlineStr">
        <is>
          <t>JÄMTLANDS LÄN</t>
        </is>
      </c>
      <c r="E3290" t="inlineStr">
        <is>
          <t>STRÖMSUND</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52867-2022</t>
        </is>
      </c>
      <c r="B3291" s="1" t="n">
        <v>44872</v>
      </c>
      <c r="C3291" s="1" t="n">
        <v>46045</v>
      </c>
      <c r="D3291" t="inlineStr">
        <is>
          <t>JÄMTLANDS LÄN</t>
        </is>
      </c>
      <c r="E3291" t="inlineStr">
        <is>
          <t>HÄRJEDALEN</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149-2024</t>
        </is>
      </c>
      <c r="B3292" s="1" t="n">
        <v>45294</v>
      </c>
      <c r="C3292" s="1" t="n">
        <v>46045</v>
      </c>
      <c r="D3292" t="inlineStr">
        <is>
          <t>JÄMTLANDS LÄN</t>
        </is>
      </c>
      <c r="E3292" t="inlineStr">
        <is>
          <t>BERG</t>
        </is>
      </c>
      <c r="F3292" t="inlineStr">
        <is>
          <t>Kyrkan</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21209-2024</t>
        </is>
      </c>
      <c r="B3293" s="1" t="n">
        <v>45440</v>
      </c>
      <c r="C3293" s="1" t="n">
        <v>46045</v>
      </c>
      <c r="D3293" t="inlineStr">
        <is>
          <t>JÄMTLANDS LÄN</t>
        </is>
      </c>
      <c r="E3293" t="inlineStr">
        <is>
          <t>STRÖMSUND</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46601-2022</t>
        </is>
      </c>
      <c r="B3294" s="1" t="n">
        <v>44848</v>
      </c>
      <c r="C3294" s="1" t="n">
        <v>46045</v>
      </c>
      <c r="D3294" t="inlineStr">
        <is>
          <t>JÄMTLANDS LÄN</t>
        </is>
      </c>
      <c r="E3294" t="inlineStr">
        <is>
          <t>BRÄCKE</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52774-2023</t>
        </is>
      </c>
      <c r="B3295" s="1" t="n">
        <v>45219</v>
      </c>
      <c r="C3295" s="1" t="n">
        <v>46045</v>
      </c>
      <c r="D3295" t="inlineStr">
        <is>
          <t>JÄMTLANDS LÄN</t>
        </is>
      </c>
      <c r="E3295" t="inlineStr">
        <is>
          <t>BERG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7573-2022</t>
        </is>
      </c>
      <c r="B3296" s="1" t="n">
        <v>44607</v>
      </c>
      <c r="C3296" s="1" t="n">
        <v>46045</v>
      </c>
      <c r="D3296" t="inlineStr">
        <is>
          <t>JÄMTLANDS LÄN</t>
        </is>
      </c>
      <c r="E3296" t="inlineStr">
        <is>
          <t>ÖSTERSUND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14798-2021</t>
        </is>
      </c>
      <c r="B3297" s="1" t="n">
        <v>44280</v>
      </c>
      <c r="C3297" s="1" t="n">
        <v>46045</v>
      </c>
      <c r="D3297" t="inlineStr">
        <is>
          <t>JÄMTLANDS LÄN</t>
        </is>
      </c>
      <c r="E3297" t="inlineStr">
        <is>
          <t>HÄRJEDALEN</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14868-2021</t>
        </is>
      </c>
      <c r="B3298" s="1" t="n">
        <v>44280</v>
      </c>
      <c r="C3298" s="1" t="n">
        <v>46045</v>
      </c>
      <c r="D3298" t="inlineStr">
        <is>
          <t>JÄMTLANDS LÄN</t>
        </is>
      </c>
      <c r="E3298" t="inlineStr">
        <is>
          <t>BRÄCKE</t>
        </is>
      </c>
      <c r="F3298" t="inlineStr">
        <is>
          <t>SCA</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27343-2022</t>
        </is>
      </c>
      <c r="B3299" s="1" t="n">
        <v>44742</v>
      </c>
      <c r="C3299" s="1" t="n">
        <v>46045</v>
      </c>
      <c r="D3299" t="inlineStr">
        <is>
          <t>JÄMTLANDS LÄN</t>
        </is>
      </c>
      <c r="E3299" t="inlineStr">
        <is>
          <t>ÖSTERSUND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38304-2025</t>
        </is>
      </c>
      <c r="B3300" s="1" t="n">
        <v>45883.46912037037</v>
      </c>
      <c r="C3300" s="1" t="n">
        <v>46045</v>
      </c>
      <c r="D3300" t="inlineStr">
        <is>
          <t>JÄMTLANDS LÄN</t>
        </is>
      </c>
      <c r="E3300" t="inlineStr">
        <is>
          <t>BRÄCKE</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51344-2022</t>
        </is>
      </c>
      <c r="B3301" s="1" t="n">
        <v>44866</v>
      </c>
      <c r="C3301" s="1" t="n">
        <v>46045</v>
      </c>
      <c r="D3301" t="inlineStr">
        <is>
          <t>JÄMTLANDS LÄN</t>
        </is>
      </c>
      <c r="E3301" t="inlineStr">
        <is>
          <t>STRÖMSUND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38149-2025</t>
        </is>
      </c>
      <c r="B3302" s="1" t="n">
        <v>45882.59427083333</v>
      </c>
      <c r="C3302" s="1" t="n">
        <v>46045</v>
      </c>
      <c r="D3302" t="inlineStr">
        <is>
          <t>JÄMTLANDS LÄN</t>
        </is>
      </c>
      <c r="E3302" t="inlineStr">
        <is>
          <t>STRÖMSUND</t>
        </is>
      </c>
      <c r="F3302" t="inlineStr">
        <is>
          <t>SCA</t>
        </is>
      </c>
      <c r="G3302" t="n">
        <v>9.9</v>
      </c>
      <c r="H3302" t="n">
        <v>0</v>
      </c>
      <c r="I3302" t="n">
        <v>0</v>
      </c>
      <c r="J3302" t="n">
        <v>0</v>
      </c>
      <c r="K3302" t="n">
        <v>0</v>
      </c>
      <c r="L3302" t="n">
        <v>0</v>
      </c>
      <c r="M3302" t="n">
        <v>0</v>
      </c>
      <c r="N3302" t="n">
        <v>0</v>
      </c>
      <c r="O3302" t="n">
        <v>0</v>
      </c>
      <c r="P3302" t="n">
        <v>0</v>
      </c>
      <c r="Q3302" t="n">
        <v>0</v>
      </c>
      <c r="R3302" s="2" t="inlineStr"/>
    </row>
    <row r="3303" ht="15" customHeight="1">
      <c r="A3303" t="inlineStr">
        <is>
          <t>A 23186-2023</t>
        </is>
      </c>
      <c r="B3303" s="1" t="n">
        <v>45075.59358796296</v>
      </c>
      <c r="C3303" s="1" t="n">
        <v>46045</v>
      </c>
      <c r="D3303" t="inlineStr">
        <is>
          <t>JÄMTLANDS LÄN</t>
        </is>
      </c>
      <c r="E3303" t="inlineStr">
        <is>
          <t>HÄRJEDALEN</t>
        </is>
      </c>
      <c r="F3303" t="inlineStr">
        <is>
          <t>Bergvik skog väst AB</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43557-2024</t>
        </is>
      </c>
      <c r="B3304" s="1" t="n">
        <v>45569.39229166666</v>
      </c>
      <c r="C3304" s="1" t="n">
        <v>46045</v>
      </c>
      <c r="D3304" t="inlineStr">
        <is>
          <t>JÄMTLANDS LÄN</t>
        </is>
      </c>
      <c r="E3304" t="inlineStr">
        <is>
          <t>ÖSTERSUND</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32101-2021</t>
        </is>
      </c>
      <c r="B3305" s="1" t="n">
        <v>44370.94097222222</v>
      </c>
      <c r="C3305" s="1" t="n">
        <v>46045</v>
      </c>
      <c r="D3305" t="inlineStr">
        <is>
          <t>JÄMTLANDS LÄN</t>
        </is>
      </c>
      <c r="E3305" t="inlineStr">
        <is>
          <t>BRÄCKE</t>
        </is>
      </c>
      <c r="F3305" t="inlineStr">
        <is>
          <t>SCA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29039-2023</t>
        </is>
      </c>
      <c r="B3306" s="1" t="n">
        <v>45104.77043981481</v>
      </c>
      <c r="C3306" s="1" t="n">
        <v>46045</v>
      </c>
      <c r="D3306" t="inlineStr">
        <is>
          <t>JÄMTLANDS LÄN</t>
        </is>
      </c>
      <c r="E3306" t="inlineStr">
        <is>
          <t>STRÖMSUND</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9326-2024</t>
        </is>
      </c>
      <c r="B3307" s="1" t="n">
        <v>45358.95818287037</v>
      </c>
      <c r="C3307" s="1" t="n">
        <v>46045</v>
      </c>
      <c r="D3307" t="inlineStr">
        <is>
          <t>JÄMTLANDS LÄN</t>
        </is>
      </c>
      <c r="E3307" t="inlineStr">
        <is>
          <t>RAGUNDA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53765-2022</t>
        </is>
      </c>
      <c r="B3308" s="1" t="n">
        <v>44875</v>
      </c>
      <c r="C3308" s="1" t="n">
        <v>46045</v>
      </c>
      <c r="D3308" t="inlineStr">
        <is>
          <t>JÄMTLANDS LÄN</t>
        </is>
      </c>
      <c r="E3308" t="inlineStr">
        <is>
          <t>KROKOM</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20267-2024</t>
        </is>
      </c>
      <c r="B3309" s="1" t="n">
        <v>45434.9487962963</v>
      </c>
      <c r="C3309" s="1" t="n">
        <v>46045</v>
      </c>
      <c r="D3309" t="inlineStr">
        <is>
          <t>JÄMTLANDS LÄN</t>
        </is>
      </c>
      <c r="E3309" t="inlineStr">
        <is>
          <t>BRÄCKE</t>
        </is>
      </c>
      <c r="F3309" t="inlineStr">
        <is>
          <t>SCA</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13525-2022</t>
        </is>
      </c>
      <c r="B3310" s="1" t="n">
        <v>44648</v>
      </c>
      <c r="C3310" s="1" t="n">
        <v>46045</v>
      </c>
      <c r="D3310" t="inlineStr">
        <is>
          <t>JÄMTLANDS LÄN</t>
        </is>
      </c>
      <c r="E3310" t="inlineStr">
        <is>
          <t>BRÄCKE</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20268-2024</t>
        </is>
      </c>
      <c r="B3311" s="1" t="n">
        <v>45434.94887731481</v>
      </c>
      <c r="C3311" s="1" t="n">
        <v>46045</v>
      </c>
      <c r="D3311" t="inlineStr">
        <is>
          <t>JÄMTLANDS LÄN</t>
        </is>
      </c>
      <c r="E3311" t="inlineStr">
        <is>
          <t>BERG</t>
        </is>
      </c>
      <c r="F3311" t="inlineStr">
        <is>
          <t>SCA</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4221-2025</t>
        </is>
      </c>
      <c r="B3312" s="1" t="n">
        <v>45685.52405092592</v>
      </c>
      <c r="C3312" s="1" t="n">
        <v>46045</v>
      </c>
      <c r="D3312" t="inlineStr">
        <is>
          <t>JÄMTLANDS LÄN</t>
        </is>
      </c>
      <c r="E3312" t="inlineStr">
        <is>
          <t>HÄRJEDALEN</t>
        </is>
      </c>
      <c r="F3312" t="inlineStr">
        <is>
          <t>Bergvik skog väst AB</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21551-2024</t>
        </is>
      </c>
      <c r="B3313" s="1" t="n">
        <v>45441.63265046296</v>
      </c>
      <c r="C3313" s="1" t="n">
        <v>46045</v>
      </c>
      <c r="D3313" t="inlineStr">
        <is>
          <t>JÄMTLANDS LÄN</t>
        </is>
      </c>
      <c r="E3313" t="inlineStr">
        <is>
          <t>STRÖMSUND</t>
        </is>
      </c>
      <c r="F3313" t="inlineStr">
        <is>
          <t>Holmen skog AB</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4225-2025</t>
        </is>
      </c>
      <c r="B3314" s="1" t="n">
        <v>45685.5349074074</v>
      </c>
      <c r="C3314" s="1" t="n">
        <v>46045</v>
      </c>
      <c r="D3314" t="inlineStr">
        <is>
          <t>JÄMTLANDS LÄN</t>
        </is>
      </c>
      <c r="E3314" t="inlineStr">
        <is>
          <t>HÄRJEDALEN</t>
        </is>
      </c>
      <c r="F3314" t="inlineStr">
        <is>
          <t>Bergvik skog väst AB</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38331-2025</t>
        </is>
      </c>
      <c r="B3315" s="1" t="n">
        <v>45883.49135416667</v>
      </c>
      <c r="C3315" s="1" t="n">
        <v>46045</v>
      </c>
      <c r="D3315" t="inlineStr">
        <is>
          <t>JÄMTLANDS LÄN</t>
        </is>
      </c>
      <c r="E3315" t="inlineStr">
        <is>
          <t>STRÖMSUND</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40862-2022</t>
        </is>
      </c>
      <c r="B3316" s="1" t="n">
        <v>44820</v>
      </c>
      <c r="C3316" s="1" t="n">
        <v>46045</v>
      </c>
      <c r="D3316" t="inlineStr">
        <is>
          <t>JÄMTLANDS LÄN</t>
        </is>
      </c>
      <c r="E3316" t="inlineStr">
        <is>
          <t>STRÖMSUND</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38276-2025</t>
        </is>
      </c>
      <c r="B3317" s="1" t="n">
        <v>45883.4108912037</v>
      </c>
      <c r="C3317" s="1" t="n">
        <v>46045</v>
      </c>
      <c r="D3317" t="inlineStr">
        <is>
          <t>JÄMTLANDS LÄN</t>
        </is>
      </c>
      <c r="E3317" t="inlineStr">
        <is>
          <t>HÄRJEDALEN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46167-2022</t>
        </is>
      </c>
      <c r="B3318" s="1" t="n">
        <v>44845</v>
      </c>
      <c r="C3318" s="1" t="n">
        <v>46045</v>
      </c>
      <c r="D3318" t="inlineStr">
        <is>
          <t>JÄMTLANDS LÄN</t>
        </is>
      </c>
      <c r="E3318" t="inlineStr">
        <is>
          <t>BERG</t>
        </is>
      </c>
      <c r="G3318" t="n">
        <v>35.2</v>
      </c>
      <c r="H3318" t="n">
        <v>0</v>
      </c>
      <c r="I3318" t="n">
        <v>0</v>
      </c>
      <c r="J3318" t="n">
        <v>0</v>
      </c>
      <c r="K3318" t="n">
        <v>0</v>
      </c>
      <c r="L3318" t="n">
        <v>0</v>
      </c>
      <c r="M3318" t="n">
        <v>0</v>
      </c>
      <c r="N3318" t="n">
        <v>0</v>
      </c>
      <c r="O3318" t="n">
        <v>0</v>
      </c>
      <c r="P3318" t="n">
        <v>0</v>
      </c>
      <c r="Q3318" t="n">
        <v>0</v>
      </c>
      <c r="R3318" s="2" t="inlineStr"/>
    </row>
    <row r="3319" ht="15" customHeight="1">
      <c r="A3319" t="inlineStr">
        <is>
          <t>A 20804-2024</t>
        </is>
      </c>
      <c r="B3319" s="1" t="n">
        <v>45439.30988425926</v>
      </c>
      <c r="C3319" s="1" t="n">
        <v>46045</v>
      </c>
      <c r="D3319" t="inlineStr">
        <is>
          <t>JÄMTLANDS LÄN</t>
        </is>
      </c>
      <c r="E3319" t="inlineStr">
        <is>
          <t>ÅRE</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43426-2022</t>
        </is>
      </c>
      <c r="B3320" s="1" t="n">
        <v>44834.95019675926</v>
      </c>
      <c r="C3320" s="1" t="n">
        <v>46045</v>
      </c>
      <c r="D3320" t="inlineStr">
        <is>
          <t>JÄMTLANDS LÄN</t>
        </is>
      </c>
      <c r="E3320" t="inlineStr">
        <is>
          <t>KROKOM</t>
        </is>
      </c>
      <c r="F3320" t="inlineStr">
        <is>
          <t>SCA</t>
        </is>
      </c>
      <c r="G3320" t="n">
        <v>34.4</v>
      </c>
      <c r="H3320" t="n">
        <v>0</v>
      </c>
      <c r="I3320" t="n">
        <v>0</v>
      </c>
      <c r="J3320" t="n">
        <v>0</v>
      </c>
      <c r="K3320" t="n">
        <v>0</v>
      </c>
      <c r="L3320" t="n">
        <v>0</v>
      </c>
      <c r="M3320" t="n">
        <v>0</v>
      </c>
      <c r="N3320" t="n">
        <v>0</v>
      </c>
      <c r="O3320" t="n">
        <v>0</v>
      </c>
      <c r="P3320" t="n">
        <v>0</v>
      </c>
      <c r="Q3320" t="n">
        <v>0</v>
      </c>
      <c r="R3320" s="2" t="inlineStr"/>
    </row>
    <row r="3321" ht="15" customHeight="1">
      <c r="A3321" t="inlineStr">
        <is>
          <t>A 25888-2021</t>
        </is>
      </c>
      <c r="B3321" s="1" t="n">
        <v>44344.3822337963</v>
      </c>
      <c r="C3321" s="1" t="n">
        <v>46045</v>
      </c>
      <c r="D3321" t="inlineStr">
        <is>
          <t>JÄMTLANDS LÄN</t>
        </is>
      </c>
      <c r="E3321" t="inlineStr">
        <is>
          <t>STRÖMSUND</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24010-2024</t>
        </is>
      </c>
      <c r="B3322" s="1" t="n">
        <v>45456.40370370371</v>
      </c>
      <c r="C3322" s="1" t="n">
        <v>46045</v>
      </c>
      <c r="D3322" t="inlineStr">
        <is>
          <t>JÄMTLANDS LÄN</t>
        </is>
      </c>
      <c r="E3322" t="inlineStr">
        <is>
          <t>BRÄCKE</t>
        </is>
      </c>
      <c r="F3322" t="inlineStr">
        <is>
          <t>Övriga Aktiebolag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60899-2022</t>
        </is>
      </c>
      <c r="B3323" s="1" t="n">
        <v>44908</v>
      </c>
      <c r="C3323" s="1" t="n">
        <v>46045</v>
      </c>
      <c r="D3323" t="inlineStr">
        <is>
          <t>JÄMTLANDS LÄN</t>
        </is>
      </c>
      <c r="E3323" t="inlineStr">
        <is>
          <t>ÅRE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6232-2021</t>
        </is>
      </c>
      <c r="B3324" s="1" t="n">
        <v>44231</v>
      </c>
      <c r="C3324" s="1" t="n">
        <v>46045</v>
      </c>
      <c r="D3324" t="inlineStr">
        <is>
          <t>JÄMTLANDS LÄN</t>
        </is>
      </c>
      <c r="E3324" t="inlineStr">
        <is>
          <t>ÅRE</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50206-2024</t>
        </is>
      </c>
      <c r="B3325" s="1" t="n">
        <v>45600.49616898148</v>
      </c>
      <c r="C3325" s="1" t="n">
        <v>46045</v>
      </c>
      <c r="D3325" t="inlineStr">
        <is>
          <t>JÄMTLANDS LÄN</t>
        </is>
      </c>
      <c r="E3325" t="inlineStr">
        <is>
          <t>KROKOM</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23319-2024</t>
        </is>
      </c>
      <c r="B3326" s="1" t="n">
        <v>45453.45515046296</v>
      </c>
      <c r="C3326" s="1" t="n">
        <v>46045</v>
      </c>
      <c r="D3326" t="inlineStr">
        <is>
          <t>JÄMTLANDS LÄN</t>
        </is>
      </c>
      <c r="E3326" t="inlineStr">
        <is>
          <t>KROKOM</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23305-2023</t>
        </is>
      </c>
      <c r="B3327" s="1" t="n">
        <v>45075.94506944445</v>
      </c>
      <c r="C3327" s="1" t="n">
        <v>46045</v>
      </c>
      <c r="D3327" t="inlineStr">
        <is>
          <t>JÄMTLANDS LÄN</t>
        </is>
      </c>
      <c r="E3327" t="inlineStr">
        <is>
          <t>RAGUNDA</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20982-2023</t>
        </is>
      </c>
      <c r="B3328" s="1" t="n">
        <v>45056</v>
      </c>
      <c r="C3328" s="1" t="n">
        <v>46045</v>
      </c>
      <c r="D3328" t="inlineStr">
        <is>
          <t>JÄMTLANDS LÄN</t>
        </is>
      </c>
      <c r="E3328" t="inlineStr">
        <is>
          <t>KROKOM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59774-2024</t>
        </is>
      </c>
      <c r="B3329" s="1" t="n">
        <v>45639.56954861111</v>
      </c>
      <c r="C3329" s="1" t="n">
        <v>46045</v>
      </c>
      <c r="D3329" t="inlineStr">
        <is>
          <t>JÄMTLANDS LÄN</t>
        </is>
      </c>
      <c r="E3329" t="inlineStr">
        <is>
          <t>BRÄCKE</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7233-2025</t>
        </is>
      </c>
      <c r="B3330" s="1" t="n">
        <v>45702.51765046296</v>
      </c>
      <c r="C3330" s="1" t="n">
        <v>46045</v>
      </c>
      <c r="D3330" t="inlineStr">
        <is>
          <t>JÄMTLANDS LÄN</t>
        </is>
      </c>
      <c r="E3330" t="inlineStr">
        <is>
          <t>ÖSTERSUND</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7281-2025</t>
        </is>
      </c>
      <c r="B3331" s="1" t="n">
        <v>45702.63572916666</v>
      </c>
      <c r="C3331" s="1" t="n">
        <v>46045</v>
      </c>
      <c r="D3331" t="inlineStr">
        <is>
          <t>JÄMTLANDS LÄN</t>
        </is>
      </c>
      <c r="E3331" t="inlineStr">
        <is>
          <t>RAGUNDA</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40492-2024</t>
        </is>
      </c>
      <c r="B3332" s="1" t="n">
        <v>45555</v>
      </c>
      <c r="C3332" s="1" t="n">
        <v>46045</v>
      </c>
      <c r="D3332" t="inlineStr">
        <is>
          <t>JÄMTLANDS LÄN</t>
        </is>
      </c>
      <c r="E3332" t="inlineStr">
        <is>
          <t>STRÖMSUND</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59784-2024</t>
        </is>
      </c>
      <c r="B3333" s="1" t="n">
        <v>45639.57988425926</v>
      </c>
      <c r="C3333" s="1" t="n">
        <v>46045</v>
      </c>
      <c r="D3333" t="inlineStr">
        <is>
          <t>JÄMTLANDS LÄN</t>
        </is>
      </c>
      <c r="E3333" t="inlineStr">
        <is>
          <t>ÅRE</t>
        </is>
      </c>
      <c r="F3333" t="inlineStr">
        <is>
          <t>Övriga Aktiebolag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24387-2023</t>
        </is>
      </c>
      <c r="B3334" s="1" t="n">
        <v>45082</v>
      </c>
      <c r="C3334" s="1" t="n">
        <v>46045</v>
      </c>
      <c r="D3334" t="inlineStr">
        <is>
          <t>JÄMTLANDS LÄN</t>
        </is>
      </c>
      <c r="E3334" t="inlineStr">
        <is>
          <t>KROKOM</t>
        </is>
      </c>
      <c r="F3334" t="inlineStr">
        <is>
          <t>Kyrkan</t>
        </is>
      </c>
      <c r="G3334" t="n">
        <v>21.2</v>
      </c>
      <c r="H3334" t="n">
        <v>0</v>
      </c>
      <c r="I3334" t="n">
        <v>0</v>
      </c>
      <c r="J3334" t="n">
        <v>0</v>
      </c>
      <c r="K3334" t="n">
        <v>0</v>
      </c>
      <c r="L3334" t="n">
        <v>0</v>
      </c>
      <c r="M3334" t="n">
        <v>0</v>
      </c>
      <c r="N3334" t="n">
        <v>0</v>
      </c>
      <c r="O3334" t="n">
        <v>0</v>
      </c>
      <c r="P3334" t="n">
        <v>0</v>
      </c>
      <c r="Q3334" t="n">
        <v>0</v>
      </c>
      <c r="R3334" s="2" t="inlineStr"/>
    </row>
    <row r="3335" ht="15" customHeight="1">
      <c r="A3335" t="inlineStr">
        <is>
          <t>A 24397-2023</t>
        </is>
      </c>
      <c r="B3335" s="1" t="n">
        <v>45082</v>
      </c>
      <c r="C3335" s="1" t="n">
        <v>46045</v>
      </c>
      <c r="D3335" t="inlineStr">
        <is>
          <t>JÄMTLANDS LÄN</t>
        </is>
      </c>
      <c r="E3335" t="inlineStr">
        <is>
          <t>STRÖMSUND</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51889-2022</t>
        </is>
      </c>
      <c r="B3336" s="1" t="n">
        <v>44867</v>
      </c>
      <c r="C3336" s="1" t="n">
        <v>46045</v>
      </c>
      <c r="D3336" t="inlineStr">
        <is>
          <t>JÄMTLANDS LÄN</t>
        </is>
      </c>
      <c r="E3336" t="inlineStr">
        <is>
          <t>STRÖMSUND</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36406-2023</t>
        </is>
      </c>
      <c r="B3337" s="1" t="n">
        <v>45149</v>
      </c>
      <c r="C3337" s="1" t="n">
        <v>46045</v>
      </c>
      <c r="D3337" t="inlineStr">
        <is>
          <t>JÄMTLANDS LÄN</t>
        </is>
      </c>
      <c r="E3337" t="inlineStr">
        <is>
          <t>ÖSTERSUND</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15156-2024</t>
        </is>
      </c>
      <c r="B3338" s="1" t="n">
        <v>45399.94496527778</v>
      </c>
      <c r="C3338" s="1" t="n">
        <v>46045</v>
      </c>
      <c r="D3338" t="inlineStr">
        <is>
          <t>JÄMTLANDS LÄN</t>
        </is>
      </c>
      <c r="E3338" t="inlineStr">
        <is>
          <t>BERG</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8886-2024</t>
        </is>
      </c>
      <c r="B3339" s="1" t="n">
        <v>45357.05300925926</v>
      </c>
      <c r="C3339" s="1" t="n">
        <v>46045</v>
      </c>
      <c r="D3339" t="inlineStr">
        <is>
          <t>JÄMTLANDS LÄN</t>
        </is>
      </c>
      <c r="E3339" t="inlineStr">
        <is>
          <t>RAGUNDA</t>
        </is>
      </c>
      <c r="F3339" t="inlineStr">
        <is>
          <t>SCA</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18406-2025</t>
        </is>
      </c>
      <c r="B3340" s="1" t="n">
        <v>45762.60907407408</v>
      </c>
      <c r="C3340" s="1" t="n">
        <v>46045</v>
      </c>
      <c r="D3340" t="inlineStr">
        <is>
          <t>JÄMTLANDS LÄN</t>
        </is>
      </c>
      <c r="E3340" t="inlineStr">
        <is>
          <t>KROKOM</t>
        </is>
      </c>
      <c r="F3340" t="inlineStr">
        <is>
          <t>Övriga Aktiebolag</t>
        </is>
      </c>
      <c r="G3340" t="n">
        <v>34.3</v>
      </c>
      <c r="H3340" t="n">
        <v>0</v>
      </c>
      <c r="I3340" t="n">
        <v>0</v>
      </c>
      <c r="J3340" t="n">
        <v>0</v>
      </c>
      <c r="K3340" t="n">
        <v>0</v>
      </c>
      <c r="L3340" t="n">
        <v>0</v>
      </c>
      <c r="M3340" t="n">
        <v>0</v>
      </c>
      <c r="N3340" t="n">
        <v>0</v>
      </c>
      <c r="O3340" t="n">
        <v>0</v>
      </c>
      <c r="P3340" t="n">
        <v>0</v>
      </c>
      <c r="Q3340" t="n">
        <v>0</v>
      </c>
      <c r="R3340" s="2" t="inlineStr"/>
    </row>
    <row r="3341" ht="15" customHeight="1">
      <c r="A3341" t="inlineStr">
        <is>
          <t>A 17606-2025</t>
        </is>
      </c>
      <c r="B3341" s="1" t="n">
        <v>45757.73796296296</v>
      </c>
      <c r="C3341" s="1" t="n">
        <v>46045</v>
      </c>
      <c r="D3341" t="inlineStr">
        <is>
          <t>JÄMTLANDS LÄN</t>
        </is>
      </c>
      <c r="E3341" t="inlineStr">
        <is>
          <t>BRÄCKE</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38142-2021</t>
        </is>
      </c>
      <c r="B3342" s="1" t="n">
        <v>44405</v>
      </c>
      <c r="C3342" s="1" t="n">
        <v>46045</v>
      </c>
      <c r="D3342" t="inlineStr">
        <is>
          <t>JÄMTLANDS LÄN</t>
        </is>
      </c>
      <c r="E3342" t="inlineStr">
        <is>
          <t>ÖSTERSUND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31538-2023</t>
        </is>
      </c>
      <c r="B3343" s="1" t="n">
        <v>45117</v>
      </c>
      <c r="C3343" s="1" t="n">
        <v>46045</v>
      </c>
      <c r="D3343" t="inlineStr">
        <is>
          <t>JÄMTLANDS LÄN</t>
        </is>
      </c>
      <c r="E3343" t="inlineStr">
        <is>
          <t>KROKOM</t>
        </is>
      </c>
      <c r="F3343" t="inlineStr">
        <is>
          <t>Övriga Aktiebolag</t>
        </is>
      </c>
      <c r="G3343" t="n">
        <v>9.9</v>
      </c>
      <c r="H3343" t="n">
        <v>0</v>
      </c>
      <c r="I3343" t="n">
        <v>0</v>
      </c>
      <c r="J3343" t="n">
        <v>0</v>
      </c>
      <c r="K3343" t="n">
        <v>0</v>
      </c>
      <c r="L3343" t="n">
        <v>0</v>
      </c>
      <c r="M3343" t="n">
        <v>0</v>
      </c>
      <c r="N3343" t="n">
        <v>0</v>
      </c>
      <c r="O3343" t="n">
        <v>0</v>
      </c>
      <c r="P3343" t="n">
        <v>0</v>
      </c>
      <c r="Q3343" t="n">
        <v>0</v>
      </c>
      <c r="R3343" s="2" t="inlineStr"/>
    </row>
    <row r="3344" ht="15" customHeight="1">
      <c r="A3344" t="inlineStr">
        <is>
          <t>A 18615-2024</t>
        </is>
      </c>
      <c r="B3344" s="1" t="n">
        <v>45425.96275462963</v>
      </c>
      <c r="C3344" s="1" t="n">
        <v>46045</v>
      </c>
      <c r="D3344" t="inlineStr">
        <is>
          <t>JÄMTLANDS LÄN</t>
        </is>
      </c>
      <c r="E3344" t="inlineStr">
        <is>
          <t>RAGUNDA</t>
        </is>
      </c>
      <c r="F3344" t="inlineStr">
        <is>
          <t>SCA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59691-2024</t>
        </is>
      </c>
      <c r="B3345" s="1" t="n">
        <v>45639.40684027778</v>
      </c>
      <c r="C3345" s="1" t="n">
        <v>46045</v>
      </c>
      <c r="D3345" t="inlineStr">
        <is>
          <t>JÄMTLANDS LÄN</t>
        </is>
      </c>
      <c r="E3345" t="inlineStr">
        <is>
          <t>ÖSTERSUND</t>
        </is>
      </c>
      <c r="F3345" t="inlineStr">
        <is>
          <t>SCA</t>
        </is>
      </c>
      <c r="G3345" t="n">
        <v>15.9</v>
      </c>
      <c r="H3345" t="n">
        <v>0</v>
      </c>
      <c r="I3345" t="n">
        <v>0</v>
      </c>
      <c r="J3345" t="n">
        <v>0</v>
      </c>
      <c r="K3345" t="n">
        <v>0</v>
      </c>
      <c r="L3345" t="n">
        <v>0</v>
      </c>
      <c r="M3345" t="n">
        <v>0</v>
      </c>
      <c r="N3345" t="n">
        <v>0</v>
      </c>
      <c r="O3345" t="n">
        <v>0</v>
      </c>
      <c r="P3345" t="n">
        <v>0</v>
      </c>
      <c r="Q3345" t="n">
        <v>0</v>
      </c>
      <c r="R3345" s="2" t="inlineStr"/>
    </row>
    <row r="3346" ht="15" customHeight="1">
      <c r="A3346" t="inlineStr">
        <is>
          <t>A 473-2025</t>
        </is>
      </c>
      <c r="B3346" s="1" t="n">
        <v>45664</v>
      </c>
      <c r="C3346" s="1" t="n">
        <v>46045</v>
      </c>
      <c r="D3346" t="inlineStr">
        <is>
          <t>JÄMTLANDS LÄN</t>
        </is>
      </c>
      <c r="E3346" t="inlineStr">
        <is>
          <t>STRÖMSUND</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53611-2024</t>
        </is>
      </c>
      <c r="B3347" s="1" t="n">
        <v>45614.70510416666</v>
      </c>
      <c r="C3347" s="1" t="n">
        <v>46045</v>
      </c>
      <c r="D3347" t="inlineStr">
        <is>
          <t>JÄMTLANDS LÄN</t>
        </is>
      </c>
      <c r="E3347" t="inlineStr">
        <is>
          <t>ÅRE</t>
        </is>
      </c>
      <c r="F3347" t="inlineStr">
        <is>
          <t>Övriga Aktiebolag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55661-2024</t>
        </is>
      </c>
      <c r="B3348" s="1" t="n">
        <v>45622.64012731481</v>
      </c>
      <c r="C3348" s="1" t="n">
        <v>46045</v>
      </c>
      <c r="D3348" t="inlineStr">
        <is>
          <t>JÄMTLANDS LÄN</t>
        </is>
      </c>
      <c r="E3348" t="inlineStr">
        <is>
          <t>HÄRJEDALEN</t>
        </is>
      </c>
      <c r="F3348" t="inlineStr">
        <is>
          <t>Bergvik skog väst AB</t>
        </is>
      </c>
      <c r="G3348" t="n">
        <v>8.699999999999999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2106-2025</t>
        </is>
      </c>
      <c r="B3349" s="1" t="n">
        <v>45672.61748842592</v>
      </c>
      <c r="C3349" s="1" t="n">
        <v>46045</v>
      </c>
      <c r="D3349" t="inlineStr">
        <is>
          <t>JÄMTLANDS LÄN</t>
        </is>
      </c>
      <c r="E3349" t="inlineStr">
        <is>
          <t>HÄRJEDALEN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14293-2025</t>
        </is>
      </c>
      <c r="B3350" s="1" t="n">
        <v>45740</v>
      </c>
      <c r="C3350" s="1" t="n">
        <v>46045</v>
      </c>
      <c r="D3350" t="inlineStr">
        <is>
          <t>JÄMTLANDS LÄN</t>
        </is>
      </c>
      <c r="E3350" t="inlineStr">
        <is>
          <t>KROKOM</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56576-2022</t>
        </is>
      </c>
      <c r="B3351" s="1" t="n">
        <v>44893</v>
      </c>
      <c r="C3351" s="1" t="n">
        <v>46045</v>
      </c>
      <c r="D3351" t="inlineStr">
        <is>
          <t>JÄMTLANDS LÄN</t>
        </is>
      </c>
      <c r="E3351" t="inlineStr">
        <is>
          <t>ÅRE</t>
        </is>
      </c>
      <c r="F3351" t="inlineStr">
        <is>
          <t>Övriga Aktiebolag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14198-2023</t>
        </is>
      </c>
      <c r="B3352" s="1" t="n">
        <v>45009.57518518518</v>
      </c>
      <c r="C3352" s="1" t="n">
        <v>46045</v>
      </c>
      <c r="D3352" t="inlineStr">
        <is>
          <t>JÄMTLANDS LÄN</t>
        </is>
      </c>
      <c r="E3352" t="inlineStr">
        <is>
          <t>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13935-2024</t>
        </is>
      </c>
      <c r="B3353" s="1" t="n">
        <v>45391.95329861111</v>
      </c>
      <c r="C3353" s="1" t="n">
        <v>46045</v>
      </c>
      <c r="D3353" t="inlineStr">
        <is>
          <t>JÄMTLANDS LÄN</t>
        </is>
      </c>
      <c r="E3353" t="inlineStr">
        <is>
          <t>RAGUNDA</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13723-2024</t>
        </is>
      </c>
      <c r="B3354" s="1" t="n">
        <v>45390</v>
      </c>
      <c r="C3354" s="1" t="n">
        <v>46045</v>
      </c>
      <c r="D3354" t="inlineStr">
        <is>
          <t>JÄMTLANDS LÄN</t>
        </is>
      </c>
      <c r="E3354" t="inlineStr">
        <is>
          <t>HÄRJEDALEN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28602-2024</t>
        </is>
      </c>
      <c r="B3355" s="1" t="n">
        <v>45478.42809027778</v>
      </c>
      <c r="C3355" s="1" t="n">
        <v>46045</v>
      </c>
      <c r="D3355" t="inlineStr">
        <is>
          <t>JÄMTLANDS LÄN</t>
        </is>
      </c>
      <c r="E3355" t="inlineStr">
        <is>
          <t>STRÖMSUND</t>
        </is>
      </c>
      <c r="G3355" t="n">
        <v>18.6</v>
      </c>
      <c r="H3355" t="n">
        <v>0</v>
      </c>
      <c r="I3355" t="n">
        <v>0</v>
      </c>
      <c r="J3355" t="n">
        <v>0</v>
      </c>
      <c r="K3355" t="n">
        <v>0</v>
      </c>
      <c r="L3355" t="n">
        <v>0</v>
      </c>
      <c r="M3355" t="n">
        <v>0</v>
      </c>
      <c r="N3355" t="n">
        <v>0</v>
      </c>
      <c r="O3355" t="n">
        <v>0</v>
      </c>
      <c r="P3355" t="n">
        <v>0</v>
      </c>
      <c r="Q3355" t="n">
        <v>0</v>
      </c>
      <c r="R3355" s="2" t="inlineStr"/>
    </row>
    <row r="3356" ht="15" customHeight="1">
      <c r="A3356" t="inlineStr">
        <is>
          <t>A 13841-2024</t>
        </is>
      </c>
      <c r="B3356" s="1" t="n">
        <v>45391</v>
      </c>
      <c r="C3356" s="1" t="n">
        <v>46045</v>
      </c>
      <c r="D3356" t="inlineStr">
        <is>
          <t>JÄMTLANDS LÄN</t>
        </is>
      </c>
      <c r="E3356" t="inlineStr">
        <is>
          <t>ÅRE</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58817-2024</t>
        </is>
      </c>
      <c r="B3357" s="1" t="n">
        <v>45636.35909722222</v>
      </c>
      <c r="C3357" s="1" t="n">
        <v>46045</v>
      </c>
      <c r="D3357" t="inlineStr">
        <is>
          <t>JÄMTLANDS LÄN</t>
        </is>
      </c>
      <c r="E3357" t="inlineStr">
        <is>
          <t>BERG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38326-2025</t>
        </is>
      </c>
      <c r="B3358" s="1" t="n">
        <v>45883.49070601852</v>
      </c>
      <c r="C3358" s="1" t="n">
        <v>46045</v>
      </c>
      <c r="D3358" t="inlineStr">
        <is>
          <t>JÄMTLANDS LÄN</t>
        </is>
      </c>
      <c r="E3358" t="inlineStr">
        <is>
          <t>BRÄCKE</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38328-2025</t>
        </is>
      </c>
      <c r="B3359" s="1" t="n">
        <v>45883.4909837963</v>
      </c>
      <c r="C3359" s="1" t="n">
        <v>46045</v>
      </c>
      <c r="D3359" t="inlineStr">
        <is>
          <t>JÄMTLANDS LÄN</t>
        </is>
      </c>
      <c r="E3359" t="inlineStr">
        <is>
          <t>BRÄCKE</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17883-2021</t>
        </is>
      </c>
      <c r="B3360" s="1" t="n">
        <v>44301</v>
      </c>
      <c r="C3360" s="1" t="n">
        <v>46045</v>
      </c>
      <c r="D3360" t="inlineStr">
        <is>
          <t>JÄMTLANDS LÄN</t>
        </is>
      </c>
      <c r="E3360" t="inlineStr">
        <is>
          <t>ÅRE</t>
        </is>
      </c>
      <c r="F3360" t="inlineStr">
        <is>
          <t>Övriga Aktiebolag</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38358-2025</t>
        </is>
      </c>
      <c r="B3361" s="1" t="n">
        <v>45883.5327662037</v>
      </c>
      <c r="C3361" s="1" t="n">
        <v>46045</v>
      </c>
      <c r="D3361" t="inlineStr">
        <is>
          <t>JÄMTLANDS LÄN</t>
        </is>
      </c>
      <c r="E3361" t="inlineStr">
        <is>
          <t>BRÄCKE</t>
        </is>
      </c>
      <c r="F3361" t="inlineStr">
        <is>
          <t>SCA</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38361-2025</t>
        </is>
      </c>
      <c r="B3362" s="1" t="n">
        <v>45883.53303240741</v>
      </c>
      <c r="C3362" s="1" t="n">
        <v>46045</v>
      </c>
      <c r="D3362" t="inlineStr">
        <is>
          <t>JÄMTLANDS LÄN</t>
        </is>
      </c>
      <c r="E3362" t="inlineStr">
        <is>
          <t>BRÄCKE</t>
        </is>
      </c>
      <c r="F3362" t="inlineStr">
        <is>
          <t>SCA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38391-2025</t>
        </is>
      </c>
      <c r="B3363" s="1" t="n">
        <v>45883.57501157407</v>
      </c>
      <c r="C3363" s="1" t="n">
        <v>46045</v>
      </c>
      <c r="D3363" t="inlineStr">
        <is>
          <t>JÄMTLANDS LÄN</t>
        </is>
      </c>
      <c r="E3363" t="inlineStr">
        <is>
          <t>BRÄCKE</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38428-2025</t>
        </is>
      </c>
      <c r="B3364" s="1" t="n">
        <v>45883.63628472222</v>
      </c>
      <c r="C3364" s="1" t="n">
        <v>46045</v>
      </c>
      <c r="D3364" t="inlineStr">
        <is>
          <t>JÄMTLANDS LÄN</t>
        </is>
      </c>
      <c r="E3364" t="inlineStr">
        <is>
          <t>BERG</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38453-2025</t>
        </is>
      </c>
      <c r="B3365" s="1" t="n">
        <v>45883.67828703704</v>
      </c>
      <c r="C3365" s="1" t="n">
        <v>46045</v>
      </c>
      <c r="D3365" t="inlineStr">
        <is>
          <t>JÄMTLANDS LÄN</t>
        </is>
      </c>
      <c r="E3365" t="inlineStr">
        <is>
          <t>STRÖMSUND</t>
        </is>
      </c>
      <c r="F3365" t="inlineStr">
        <is>
          <t>SCA</t>
        </is>
      </c>
      <c r="G3365" t="n">
        <v>15.1</v>
      </c>
      <c r="H3365" t="n">
        <v>0</v>
      </c>
      <c r="I3365" t="n">
        <v>0</v>
      </c>
      <c r="J3365" t="n">
        <v>0</v>
      </c>
      <c r="K3365" t="n">
        <v>0</v>
      </c>
      <c r="L3365" t="n">
        <v>0</v>
      </c>
      <c r="M3365" t="n">
        <v>0</v>
      </c>
      <c r="N3365" t="n">
        <v>0</v>
      </c>
      <c r="O3365" t="n">
        <v>0</v>
      </c>
      <c r="P3365" t="n">
        <v>0</v>
      </c>
      <c r="Q3365" t="n">
        <v>0</v>
      </c>
      <c r="R3365" s="2" t="inlineStr"/>
    </row>
    <row r="3366" ht="15" customHeight="1">
      <c r="A3366" t="inlineStr">
        <is>
          <t>A 19088-2021</t>
        </is>
      </c>
      <c r="B3366" s="1" t="n">
        <v>44308</v>
      </c>
      <c r="C3366" s="1" t="n">
        <v>46045</v>
      </c>
      <c r="D3366" t="inlineStr">
        <is>
          <t>JÄMTLANDS LÄN</t>
        </is>
      </c>
      <c r="E3366" t="inlineStr">
        <is>
          <t>BRÄCKE</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28627-2024</t>
        </is>
      </c>
      <c r="B3367" s="1" t="n">
        <v>45478.44497685185</v>
      </c>
      <c r="C3367" s="1" t="n">
        <v>46045</v>
      </c>
      <c r="D3367" t="inlineStr">
        <is>
          <t>JÄMTLANDS LÄN</t>
        </is>
      </c>
      <c r="E3367" t="inlineStr">
        <is>
          <t>HÄRJEDALEN</t>
        </is>
      </c>
      <c r="F3367" t="inlineStr">
        <is>
          <t>Bergvik skog väst AB</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45974-2024</t>
        </is>
      </c>
      <c r="B3368" s="1" t="n">
        <v>45580.59408564815</v>
      </c>
      <c r="C3368" s="1" t="n">
        <v>46045</v>
      </c>
      <c r="D3368" t="inlineStr">
        <is>
          <t>JÄMTLANDS LÄN</t>
        </is>
      </c>
      <c r="E3368" t="inlineStr">
        <is>
          <t>BRÄCKE</t>
        </is>
      </c>
      <c r="F3368" t="inlineStr">
        <is>
          <t>Naturvårdsverket</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35506-2023</t>
        </is>
      </c>
      <c r="B3369" s="1" t="n">
        <v>45146</v>
      </c>
      <c r="C3369" s="1" t="n">
        <v>46045</v>
      </c>
      <c r="D3369" t="inlineStr">
        <is>
          <t>JÄMTLANDS LÄN</t>
        </is>
      </c>
      <c r="E3369" t="inlineStr">
        <is>
          <t>BRÄCKE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12944-2024</t>
        </is>
      </c>
      <c r="B3370" s="1" t="n">
        <v>45385</v>
      </c>
      <c r="C3370" s="1" t="n">
        <v>46045</v>
      </c>
      <c r="D3370" t="inlineStr">
        <is>
          <t>JÄMTLANDS LÄN</t>
        </is>
      </c>
      <c r="E3370" t="inlineStr">
        <is>
          <t>ÅRE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6961-2024</t>
        </is>
      </c>
      <c r="B3371" s="1" t="n">
        <v>45343</v>
      </c>
      <c r="C3371" s="1" t="n">
        <v>46045</v>
      </c>
      <c r="D3371" t="inlineStr">
        <is>
          <t>JÄMTLANDS LÄN</t>
        </is>
      </c>
      <c r="E3371" t="inlineStr">
        <is>
          <t>STRÖMSUND</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53402-2022</t>
        </is>
      </c>
      <c r="B3372" s="1" t="n">
        <v>44874</v>
      </c>
      <c r="C3372" s="1" t="n">
        <v>46045</v>
      </c>
      <c r="D3372" t="inlineStr">
        <is>
          <t>JÄMTLANDS LÄN</t>
        </is>
      </c>
      <c r="E3372" t="inlineStr">
        <is>
          <t>KROKOM</t>
        </is>
      </c>
      <c r="G3372" t="n">
        <v>36.7</v>
      </c>
      <c r="H3372" t="n">
        <v>0</v>
      </c>
      <c r="I3372" t="n">
        <v>0</v>
      </c>
      <c r="J3372" t="n">
        <v>0</v>
      </c>
      <c r="K3372" t="n">
        <v>0</v>
      </c>
      <c r="L3372" t="n">
        <v>0</v>
      </c>
      <c r="M3372" t="n">
        <v>0</v>
      </c>
      <c r="N3372" t="n">
        <v>0</v>
      </c>
      <c r="O3372" t="n">
        <v>0</v>
      </c>
      <c r="P3372" t="n">
        <v>0</v>
      </c>
      <c r="Q3372" t="n">
        <v>0</v>
      </c>
      <c r="R3372" s="2" t="inlineStr"/>
    </row>
    <row r="3373" ht="15" customHeight="1">
      <c r="A3373" t="inlineStr">
        <is>
          <t>A 40711-2022</t>
        </is>
      </c>
      <c r="B3373" s="1" t="n">
        <v>44820</v>
      </c>
      <c r="C3373" s="1" t="n">
        <v>46045</v>
      </c>
      <c r="D3373" t="inlineStr">
        <is>
          <t>JÄMTLANDS LÄN</t>
        </is>
      </c>
      <c r="E3373" t="inlineStr">
        <is>
          <t>BRÄCKE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40840-2022</t>
        </is>
      </c>
      <c r="B3374" s="1" t="n">
        <v>44824</v>
      </c>
      <c r="C3374" s="1" t="n">
        <v>46045</v>
      </c>
      <c r="D3374" t="inlineStr">
        <is>
          <t>JÄMTLANDS LÄN</t>
        </is>
      </c>
      <c r="E3374" t="inlineStr">
        <is>
          <t>STRÖMSUND</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14978-2024</t>
        </is>
      </c>
      <c r="B3375" s="1" t="n">
        <v>45398.9412962963</v>
      </c>
      <c r="C3375" s="1" t="n">
        <v>46045</v>
      </c>
      <c r="D3375" t="inlineStr">
        <is>
          <t>JÄMTLANDS LÄN</t>
        </is>
      </c>
      <c r="E3375" t="inlineStr">
        <is>
          <t>STRÖMSUND</t>
        </is>
      </c>
      <c r="F3375" t="inlineStr">
        <is>
          <t>SCA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11052-2024</t>
        </is>
      </c>
      <c r="B3376" s="1" t="n">
        <v>45370</v>
      </c>
      <c r="C3376" s="1" t="n">
        <v>46045</v>
      </c>
      <c r="D3376" t="inlineStr">
        <is>
          <t>JÄMTLANDS LÄN</t>
        </is>
      </c>
      <c r="E3376" t="inlineStr">
        <is>
          <t>ÖSTERSUND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4615-2023</t>
        </is>
      </c>
      <c r="B3377" s="1" t="n">
        <v>44956.93924768519</v>
      </c>
      <c r="C3377" s="1" t="n">
        <v>46045</v>
      </c>
      <c r="D3377" t="inlineStr">
        <is>
          <t>JÄMTLANDS LÄN</t>
        </is>
      </c>
      <c r="E3377" t="inlineStr">
        <is>
          <t>RAGUNDA</t>
        </is>
      </c>
      <c r="F3377" t="inlineStr">
        <is>
          <t>SCA</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2673-2024</t>
        </is>
      </c>
      <c r="B3378" s="1" t="n">
        <v>45314</v>
      </c>
      <c r="C3378" s="1" t="n">
        <v>46045</v>
      </c>
      <c r="D3378" t="inlineStr">
        <is>
          <t>JÄMTLANDS LÄN</t>
        </is>
      </c>
      <c r="E3378" t="inlineStr">
        <is>
          <t>RAGUNDA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4621-2023</t>
        </is>
      </c>
      <c r="B3379" s="1" t="n">
        <v>44956.9399537037</v>
      </c>
      <c r="C3379" s="1" t="n">
        <v>46045</v>
      </c>
      <c r="D3379" t="inlineStr">
        <is>
          <t>JÄMTLANDS LÄN</t>
        </is>
      </c>
      <c r="E3379" t="inlineStr">
        <is>
          <t>STRÖMSUND</t>
        </is>
      </c>
      <c r="F3379" t="inlineStr">
        <is>
          <t>SCA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53014-2023</t>
        </is>
      </c>
      <c r="B3380" s="1" t="n">
        <v>45226</v>
      </c>
      <c r="C3380" s="1" t="n">
        <v>46045</v>
      </c>
      <c r="D3380" t="inlineStr">
        <is>
          <t>JÄMTLANDS LÄN</t>
        </is>
      </c>
      <c r="E3380" t="inlineStr">
        <is>
          <t>ÅRE</t>
        </is>
      </c>
      <c r="F3380" t="inlineStr">
        <is>
          <t>Övriga Aktiebolag</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57415-2023</t>
        </is>
      </c>
      <c r="B3381" s="1" t="n">
        <v>45245.96947916667</v>
      </c>
      <c r="C3381" s="1" t="n">
        <v>46045</v>
      </c>
      <c r="D3381" t="inlineStr">
        <is>
          <t>JÄMTLANDS LÄN</t>
        </is>
      </c>
      <c r="E3381" t="inlineStr">
        <is>
          <t>STRÖMSUND</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49689-2022</t>
        </is>
      </c>
      <c r="B3382" s="1" t="n">
        <v>44862</v>
      </c>
      <c r="C3382" s="1" t="n">
        <v>46045</v>
      </c>
      <c r="D3382" t="inlineStr">
        <is>
          <t>JÄMTLANDS LÄN</t>
        </is>
      </c>
      <c r="E3382" t="inlineStr">
        <is>
          <t>HÄRJEDALEN</t>
        </is>
      </c>
      <c r="F3382" t="inlineStr">
        <is>
          <t>Sveaskog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56484-2023</t>
        </is>
      </c>
      <c r="B3383" s="1" t="n">
        <v>45237</v>
      </c>
      <c r="C3383" s="1" t="n">
        <v>46045</v>
      </c>
      <c r="D3383" t="inlineStr">
        <is>
          <t>JÄMTLANDS LÄN</t>
        </is>
      </c>
      <c r="E3383" t="inlineStr">
        <is>
          <t>STRÖMSUND</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56587-2023</t>
        </is>
      </c>
      <c r="B3384" s="1" t="n">
        <v>45243.63798611111</v>
      </c>
      <c r="C3384" s="1" t="n">
        <v>46045</v>
      </c>
      <c r="D3384" t="inlineStr">
        <is>
          <t>JÄMTLANDS LÄN</t>
        </is>
      </c>
      <c r="E3384" t="inlineStr">
        <is>
          <t>HÄRJEDALEN</t>
        </is>
      </c>
      <c r="G3384" t="n">
        <v>13.4</v>
      </c>
      <c r="H3384" t="n">
        <v>0</v>
      </c>
      <c r="I3384" t="n">
        <v>0</v>
      </c>
      <c r="J3384" t="n">
        <v>0</v>
      </c>
      <c r="K3384" t="n">
        <v>0</v>
      </c>
      <c r="L3384" t="n">
        <v>0</v>
      </c>
      <c r="M3384" t="n">
        <v>0</v>
      </c>
      <c r="N3384" t="n">
        <v>0</v>
      </c>
      <c r="O3384" t="n">
        <v>0</v>
      </c>
      <c r="P3384" t="n">
        <v>0</v>
      </c>
      <c r="Q3384" t="n">
        <v>0</v>
      </c>
      <c r="R3384" s="2" t="inlineStr"/>
    </row>
    <row r="3385" ht="15" customHeight="1">
      <c r="A3385" t="inlineStr">
        <is>
          <t>A 44642-2024</t>
        </is>
      </c>
      <c r="B3385" s="1" t="n">
        <v>45574.515625</v>
      </c>
      <c r="C3385" s="1" t="n">
        <v>46045</v>
      </c>
      <c r="D3385" t="inlineStr">
        <is>
          <t>JÄMTLANDS LÄN</t>
        </is>
      </c>
      <c r="E3385" t="inlineStr">
        <is>
          <t>STRÖMSUND</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31692-2024</t>
        </is>
      </c>
      <c r="B3386" s="1" t="n">
        <v>45507.95684027778</v>
      </c>
      <c r="C3386" s="1" t="n">
        <v>46045</v>
      </c>
      <c r="D3386" t="inlineStr">
        <is>
          <t>JÄMTLANDS LÄN</t>
        </is>
      </c>
      <c r="E3386" t="inlineStr">
        <is>
          <t>BRÄCKE</t>
        </is>
      </c>
      <c r="F3386" t="inlineStr">
        <is>
          <t>SCA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31713-2024</t>
        </is>
      </c>
      <c r="B3387" s="1" t="n">
        <v>45508.95126157408</v>
      </c>
      <c r="C3387" s="1" t="n">
        <v>46045</v>
      </c>
      <c r="D3387" t="inlineStr">
        <is>
          <t>JÄMTLANDS LÄN</t>
        </is>
      </c>
      <c r="E3387" t="inlineStr">
        <is>
          <t>BRÄCKE</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15482-2024</t>
        </is>
      </c>
      <c r="B3388" s="1" t="n">
        <v>45401.49361111111</v>
      </c>
      <c r="C3388" s="1" t="n">
        <v>46045</v>
      </c>
      <c r="D3388" t="inlineStr">
        <is>
          <t>JÄMTLANDS LÄN</t>
        </is>
      </c>
      <c r="E3388" t="inlineStr">
        <is>
          <t>ÅRE</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18777-2024</t>
        </is>
      </c>
      <c r="B3389" s="1" t="n">
        <v>45426</v>
      </c>
      <c r="C3389" s="1" t="n">
        <v>46045</v>
      </c>
      <c r="D3389" t="inlineStr">
        <is>
          <t>JÄMTLANDS LÄN</t>
        </is>
      </c>
      <c r="E3389" t="inlineStr">
        <is>
          <t>RAGUNDA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57066-2024</t>
        </is>
      </c>
      <c r="B3390" s="1" t="n">
        <v>45629.35359953704</v>
      </c>
      <c r="C3390" s="1" t="n">
        <v>46045</v>
      </c>
      <c r="D3390" t="inlineStr">
        <is>
          <t>JÄMTLANDS LÄN</t>
        </is>
      </c>
      <c r="E3390" t="inlineStr">
        <is>
          <t>BRÄCKE</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57069-2024</t>
        </is>
      </c>
      <c r="B3391" s="1" t="n">
        <v>45629.35391203704</v>
      </c>
      <c r="C3391" s="1" t="n">
        <v>46045</v>
      </c>
      <c r="D3391" t="inlineStr">
        <is>
          <t>JÄMTLANDS LÄN</t>
        </is>
      </c>
      <c r="E3391" t="inlineStr">
        <is>
          <t>BRÄCKE</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57075-2024</t>
        </is>
      </c>
      <c r="B3392" s="1" t="n">
        <v>45629.35474537037</v>
      </c>
      <c r="C3392" s="1" t="n">
        <v>46045</v>
      </c>
      <c r="D3392" t="inlineStr">
        <is>
          <t>JÄMTLANDS LÄN</t>
        </is>
      </c>
      <c r="E3392" t="inlineStr">
        <is>
          <t>STRÖMSUND</t>
        </is>
      </c>
      <c r="F3392" t="inlineStr">
        <is>
          <t>SCA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23165-2024</t>
        </is>
      </c>
      <c r="B3393" s="1" t="n">
        <v>45450</v>
      </c>
      <c r="C3393" s="1" t="n">
        <v>46045</v>
      </c>
      <c r="D3393" t="inlineStr">
        <is>
          <t>JÄMTLANDS LÄN</t>
        </is>
      </c>
      <c r="E3393" t="inlineStr">
        <is>
          <t>BERG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18833-2024</t>
        </is>
      </c>
      <c r="B3394" s="1" t="n">
        <v>45426.65157407407</v>
      </c>
      <c r="C3394" s="1" t="n">
        <v>46045</v>
      </c>
      <c r="D3394" t="inlineStr">
        <is>
          <t>JÄMTLANDS LÄN</t>
        </is>
      </c>
      <c r="E3394" t="inlineStr">
        <is>
          <t>BERG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59526-2024</t>
        </is>
      </c>
      <c r="B3395" s="1" t="n">
        <v>45638.58019675926</v>
      </c>
      <c r="C3395" s="1" t="n">
        <v>46045</v>
      </c>
      <c r="D3395" t="inlineStr">
        <is>
          <t>JÄMTLANDS LÄN</t>
        </is>
      </c>
      <c r="E3395" t="inlineStr">
        <is>
          <t>BERG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57112-2024</t>
        </is>
      </c>
      <c r="B3396" s="1" t="n">
        <v>45629.36486111111</v>
      </c>
      <c r="C3396" s="1" t="n">
        <v>46045</v>
      </c>
      <c r="D3396" t="inlineStr">
        <is>
          <t>JÄMTLANDS LÄN</t>
        </is>
      </c>
      <c r="E3396" t="inlineStr">
        <is>
          <t>RAGUNDA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36375-2022</t>
        </is>
      </c>
      <c r="B3397" s="1" t="n">
        <v>44803.94351851852</v>
      </c>
      <c r="C3397" s="1" t="n">
        <v>46045</v>
      </c>
      <c r="D3397" t="inlineStr">
        <is>
          <t>JÄMTLANDS LÄN</t>
        </is>
      </c>
      <c r="E3397" t="inlineStr">
        <is>
          <t>RAGUNDA</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23303-2024</t>
        </is>
      </c>
      <c r="B3398" s="1" t="n">
        <v>45453.4444212963</v>
      </c>
      <c r="C3398" s="1" t="n">
        <v>46045</v>
      </c>
      <c r="D3398" t="inlineStr">
        <is>
          <t>JÄMTLANDS LÄN</t>
        </is>
      </c>
      <c r="E3398" t="inlineStr">
        <is>
          <t>RAGUNDA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34009-2023</t>
        </is>
      </c>
      <c r="B3399" s="1" t="n">
        <v>45134.95157407408</v>
      </c>
      <c r="C3399" s="1" t="n">
        <v>46045</v>
      </c>
      <c r="D3399" t="inlineStr">
        <is>
          <t>JÄMTLANDS LÄN</t>
        </is>
      </c>
      <c r="E3399" t="inlineStr">
        <is>
          <t>STRÖMSUND</t>
        </is>
      </c>
      <c r="F3399" t="inlineStr">
        <is>
          <t>SCA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34010-2023</t>
        </is>
      </c>
      <c r="B3400" s="1" t="n">
        <v>45134</v>
      </c>
      <c r="C3400" s="1" t="n">
        <v>46045</v>
      </c>
      <c r="D3400" t="inlineStr">
        <is>
          <t>JÄMTLANDS LÄN</t>
        </is>
      </c>
      <c r="E3400" t="inlineStr">
        <is>
          <t>STRÖMSUND</t>
        </is>
      </c>
      <c r="F3400" t="inlineStr">
        <is>
          <t>SCA</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38285-2025</t>
        </is>
      </c>
      <c r="B3401" s="1" t="n">
        <v>45883.43145833333</v>
      </c>
      <c r="C3401" s="1" t="n">
        <v>46045</v>
      </c>
      <c r="D3401" t="inlineStr">
        <is>
          <t>JÄMTLANDS LÄN</t>
        </is>
      </c>
      <c r="E3401" t="inlineStr">
        <is>
          <t>ÅRE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58347-2022</t>
        </is>
      </c>
      <c r="B3402" s="1" t="n">
        <v>44901.59349537037</v>
      </c>
      <c r="C3402" s="1" t="n">
        <v>46045</v>
      </c>
      <c r="D3402" t="inlineStr">
        <is>
          <t>JÄMTLANDS LÄN</t>
        </is>
      </c>
      <c r="E3402" t="inlineStr">
        <is>
          <t>KROKOM</t>
        </is>
      </c>
      <c r="F3402" t="inlineStr">
        <is>
          <t>Övriga Aktiebolag</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19488-2024</t>
        </is>
      </c>
      <c r="B3403" s="1" t="n">
        <v>45429</v>
      </c>
      <c r="C3403" s="1" t="n">
        <v>46045</v>
      </c>
      <c r="D3403" t="inlineStr">
        <is>
          <t>JÄMTLANDS LÄN</t>
        </is>
      </c>
      <c r="E3403" t="inlineStr">
        <is>
          <t>HÄRJEDALEN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40271-2024</t>
        </is>
      </c>
      <c r="B3404" s="1" t="n">
        <v>45554</v>
      </c>
      <c r="C3404" s="1" t="n">
        <v>46045</v>
      </c>
      <c r="D3404" t="inlineStr">
        <is>
          <t>JÄMTLANDS LÄN</t>
        </is>
      </c>
      <c r="E3404" t="inlineStr">
        <is>
          <t>KROKOM</t>
        </is>
      </c>
      <c r="F3404" t="inlineStr">
        <is>
          <t>Övriga Aktiebolag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40351-2024</t>
        </is>
      </c>
      <c r="B3405" s="1" t="n">
        <v>45555.36487268518</v>
      </c>
      <c r="C3405" s="1" t="n">
        <v>46045</v>
      </c>
      <c r="D3405" t="inlineStr">
        <is>
          <t>JÄMTLANDS LÄN</t>
        </is>
      </c>
      <c r="E3405" t="inlineStr">
        <is>
          <t>STRÖMSUND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51317-2023</t>
        </is>
      </c>
      <c r="B3406" s="1" t="n">
        <v>45219.57061342592</v>
      </c>
      <c r="C3406" s="1" t="n">
        <v>46045</v>
      </c>
      <c r="D3406" t="inlineStr">
        <is>
          <t>JÄMTLANDS LÄN</t>
        </is>
      </c>
      <c r="E3406" t="inlineStr">
        <is>
          <t>ÅRE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465-2023</t>
        </is>
      </c>
      <c r="B3407" s="1" t="n">
        <v>44929</v>
      </c>
      <c r="C3407" s="1" t="n">
        <v>46045</v>
      </c>
      <c r="D3407" t="inlineStr">
        <is>
          <t>JÄMTLANDS LÄN</t>
        </is>
      </c>
      <c r="E3407" t="inlineStr">
        <is>
          <t>RAGUNDA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13298-2025</t>
        </is>
      </c>
      <c r="B3408" s="1" t="n">
        <v>45735.57391203703</v>
      </c>
      <c r="C3408" s="1" t="n">
        <v>46045</v>
      </c>
      <c r="D3408" t="inlineStr">
        <is>
          <t>JÄMTLANDS LÄN</t>
        </is>
      </c>
      <c r="E3408" t="inlineStr">
        <is>
          <t>STRÖMSUND</t>
        </is>
      </c>
      <c r="F3408" t="inlineStr">
        <is>
          <t>SCA</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13328-2025</t>
        </is>
      </c>
      <c r="B3409" s="1" t="n">
        <v>45735.60342592592</v>
      </c>
      <c r="C3409" s="1" t="n">
        <v>46045</v>
      </c>
      <c r="D3409" t="inlineStr">
        <is>
          <t>JÄMTLANDS LÄN</t>
        </is>
      </c>
      <c r="E3409" t="inlineStr">
        <is>
          <t>HÄRJEDALEN</t>
        </is>
      </c>
      <c r="G3409" t="n">
        <v>30.8</v>
      </c>
      <c r="H3409" t="n">
        <v>0</v>
      </c>
      <c r="I3409" t="n">
        <v>0</v>
      </c>
      <c r="J3409" t="n">
        <v>0</v>
      </c>
      <c r="K3409" t="n">
        <v>0</v>
      </c>
      <c r="L3409" t="n">
        <v>0</v>
      </c>
      <c r="M3409" t="n">
        <v>0</v>
      </c>
      <c r="N3409" t="n">
        <v>0</v>
      </c>
      <c r="O3409" t="n">
        <v>0</v>
      </c>
      <c r="P3409" t="n">
        <v>0</v>
      </c>
      <c r="Q3409" t="n">
        <v>0</v>
      </c>
      <c r="R3409" s="2" t="inlineStr"/>
    </row>
    <row r="3410" ht="15" customHeight="1">
      <c r="A3410" t="inlineStr">
        <is>
          <t>A 1798-2024</t>
        </is>
      </c>
      <c r="B3410" s="1" t="n">
        <v>45307</v>
      </c>
      <c r="C3410" s="1" t="n">
        <v>46045</v>
      </c>
      <c r="D3410" t="inlineStr">
        <is>
          <t>JÄMTLANDS LÄN</t>
        </is>
      </c>
      <c r="E3410" t="inlineStr">
        <is>
          <t>STRÖMSUND</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20170-2025</t>
        </is>
      </c>
      <c r="B3411" s="1" t="n">
        <v>45772.57789351852</v>
      </c>
      <c r="C3411" s="1" t="n">
        <v>46045</v>
      </c>
      <c r="D3411" t="inlineStr">
        <is>
          <t>JÄMTLANDS LÄN</t>
        </is>
      </c>
      <c r="E3411" t="inlineStr">
        <is>
          <t>ÅRE</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46789-2024</t>
        </is>
      </c>
      <c r="B3412" s="1" t="n">
        <v>45583.53219907408</v>
      </c>
      <c r="C3412" s="1" t="n">
        <v>46045</v>
      </c>
      <c r="D3412" t="inlineStr">
        <is>
          <t>JÄMTLANDS LÄN</t>
        </is>
      </c>
      <c r="E3412" t="inlineStr">
        <is>
          <t>ÅRE</t>
        </is>
      </c>
      <c r="F3412" t="inlineStr">
        <is>
          <t>Övriga Aktiebolag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46816-2024</t>
        </is>
      </c>
      <c r="B3413" s="1" t="n">
        <v>45583.5734837963</v>
      </c>
      <c r="C3413" s="1" t="n">
        <v>46045</v>
      </c>
      <c r="D3413" t="inlineStr">
        <is>
          <t>JÄMTLANDS LÄN</t>
        </is>
      </c>
      <c r="E3413" t="inlineStr">
        <is>
          <t>STRÖMSUND</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56609-2023</t>
        </is>
      </c>
      <c r="B3414" s="1" t="n">
        <v>45243.66828703704</v>
      </c>
      <c r="C3414" s="1" t="n">
        <v>46045</v>
      </c>
      <c r="D3414" t="inlineStr">
        <is>
          <t>JÄMTLANDS LÄN</t>
        </is>
      </c>
      <c r="E3414" t="inlineStr">
        <is>
          <t>ÅRE</t>
        </is>
      </c>
      <c r="G3414" t="n">
        <v>17.9</v>
      </c>
      <c r="H3414" t="n">
        <v>0</v>
      </c>
      <c r="I3414" t="n">
        <v>0</v>
      </c>
      <c r="J3414" t="n">
        <v>0</v>
      </c>
      <c r="K3414" t="n">
        <v>0</v>
      </c>
      <c r="L3414" t="n">
        <v>0</v>
      </c>
      <c r="M3414" t="n">
        <v>0</v>
      </c>
      <c r="N3414" t="n">
        <v>0</v>
      </c>
      <c r="O3414" t="n">
        <v>0</v>
      </c>
      <c r="P3414" t="n">
        <v>0</v>
      </c>
      <c r="Q3414" t="n">
        <v>0</v>
      </c>
      <c r="R3414" s="2" t="inlineStr"/>
    </row>
    <row r="3415" ht="15" customHeight="1">
      <c r="A3415" t="inlineStr">
        <is>
          <t>A 1877-2023</t>
        </is>
      </c>
      <c r="B3415" s="1" t="n">
        <v>44938.93989583333</v>
      </c>
      <c r="C3415" s="1" t="n">
        <v>46045</v>
      </c>
      <c r="D3415" t="inlineStr">
        <is>
          <t>JÄMTLANDS LÄN</t>
        </is>
      </c>
      <c r="E3415" t="inlineStr">
        <is>
          <t>KROKOM</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28817-2021</t>
        </is>
      </c>
      <c r="B3416" s="1" t="n">
        <v>44357</v>
      </c>
      <c r="C3416" s="1" t="n">
        <v>46045</v>
      </c>
      <c r="D3416" t="inlineStr">
        <is>
          <t>JÄMTLANDS LÄN</t>
        </is>
      </c>
      <c r="E3416" t="inlineStr">
        <is>
          <t>ÅRE</t>
        </is>
      </c>
      <c r="G3416" t="n">
        <v>21.4</v>
      </c>
      <c r="H3416" t="n">
        <v>0</v>
      </c>
      <c r="I3416" t="n">
        <v>0</v>
      </c>
      <c r="J3416" t="n">
        <v>0</v>
      </c>
      <c r="K3416" t="n">
        <v>0</v>
      </c>
      <c r="L3416" t="n">
        <v>0</v>
      </c>
      <c r="M3416" t="n">
        <v>0</v>
      </c>
      <c r="N3416" t="n">
        <v>0</v>
      </c>
      <c r="O3416" t="n">
        <v>0</v>
      </c>
      <c r="P3416" t="n">
        <v>0</v>
      </c>
      <c r="Q3416" t="n">
        <v>0</v>
      </c>
      <c r="R3416" s="2" t="inlineStr"/>
    </row>
    <row r="3417" ht="15" customHeight="1">
      <c r="A3417" t="inlineStr">
        <is>
          <t>A 24608-2024</t>
        </is>
      </c>
      <c r="B3417" s="1" t="n">
        <v>45460.47969907407</v>
      </c>
      <c r="C3417" s="1" t="n">
        <v>46045</v>
      </c>
      <c r="D3417" t="inlineStr">
        <is>
          <t>JÄMTLANDS LÄN</t>
        </is>
      </c>
      <c r="E3417" t="inlineStr">
        <is>
          <t>HÄRJEDALEN</t>
        </is>
      </c>
      <c r="G3417" t="n">
        <v>15.7</v>
      </c>
      <c r="H3417" t="n">
        <v>0</v>
      </c>
      <c r="I3417" t="n">
        <v>0</v>
      </c>
      <c r="J3417" t="n">
        <v>0</v>
      </c>
      <c r="K3417" t="n">
        <v>0</v>
      </c>
      <c r="L3417" t="n">
        <v>0</v>
      </c>
      <c r="M3417" t="n">
        <v>0</v>
      </c>
      <c r="N3417" t="n">
        <v>0</v>
      </c>
      <c r="O3417" t="n">
        <v>0</v>
      </c>
      <c r="P3417" t="n">
        <v>0</v>
      </c>
      <c r="Q3417" t="n">
        <v>0</v>
      </c>
      <c r="R3417" s="2" t="inlineStr"/>
    </row>
    <row r="3418" ht="15" customHeight="1">
      <c r="A3418" t="inlineStr">
        <is>
          <t>A 59670-2023</t>
        </is>
      </c>
      <c r="B3418" s="1" t="n">
        <v>45254.96516203704</v>
      </c>
      <c r="C3418" s="1" t="n">
        <v>46045</v>
      </c>
      <c r="D3418" t="inlineStr">
        <is>
          <t>JÄMTLANDS LÄN</t>
        </is>
      </c>
      <c r="E3418" t="inlineStr">
        <is>
          <t>RAGUNDA</t>
        </is>
      </c>
      <c r="F3418" t="inlineStr">
        <is>
          <t>SCA</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27224-2024</t>
        </is>
      </c>
      <c r="B3419" s="1" t="n">
        <v>45471.63390046296</v>
      </c>
      <c r="C3419" s="1" t="n">
        <v>46045</v>
      </c>
      <c r="D3419" t="inlineStr">
        <is>
          <t>JÄMTLANDS LÄN</t>
        </is>
      </c>
      <c r="E3419" t="inlineStr">
        <is>
          <t>KROKOM</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51558-2022</t>
        </is>
      </c>
      <c r="B3420" s="1" t="n">
        <v>44869.9497337963</v>
      </c>
      <c r="C3420" s="1" t="n">
        <v>46045</v>
      </c>
      <c r="D3420" t="inlineStr">
        <is>
          <t>JÄMTLANDS LÄN</t>
        </is>
      </c>
      <c r="E3420" t="inlineStr">
        <is>
          <t>BRÄCKE</t>
        </is>
      </c>
      <c r="F3420" t="inlineStr">
        <is>
          <t>SCA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32832-2021</t>
        </is>
      </c>
      <c r="B3421" s="1" t="n">
        <v>44375</v>
      </c>
      <c r="C3421" s="1" t="n">
        <v>46045</v>
      </c>
      <c r="D3421" t="inlineStr">
        <is>
          <t>JÄMTLANDS LÄN</t>
        </is>
      </c>
      <c r="E3421" t="inlineStr">
        <is>
          <t>RAGUNDA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16283-2024</t>
        </is>
      </c>
      <c r="B3422" s="1" t="n">
        <v>45407.36894675926</v>
      </c>
      <c r="C3422" s="1" t="n">
        <v>46045</v>
      </c>
      <c r="D3422" t="inlineStr">
        <is>
          <t>JÄMTLANDS LÄN</t>
        </is>
      </c>
      <c r="E3422" t="inlineStr">
        <is>
          <t>HÄRJEDALEN</t>
        </is>
      </c>
      <c r="F3422" t="inlineStr">
        <is>
          <t>Holmen skog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64752-2023</t>
        </is>
      </c>
      <c r="B3423" s="1" t="n">
        <v>45281.92891203704</v>
      </c>
      <c r="C3423" s="1" t="n">
        <v>46045</v>
      </c>
      <c r="D3423" t="inlineStr">
        <is>
          <t>JÄMTLANDS LÄN</t>
        </is>
      </c>
      <c r="E3423" t="inlineStr">
        <is>
          <t>BERG</t>
        </is>
      </c>
      <c r="F3423" t="inlineStr">
        <is>
          <t>Övriga Aktiebolag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38324-2025</t>
        </is>
      </c>
      <c r="B3424" s="1" t="n">
        <v>45883.49037037037</v>
      </c>
      <c r="C3424" s="1" t="n">
        <v>46045</v>
      </c>
      <c r="D3424" t="inlineStr">
        <is>
          <t>JÄMTLANDS LÄN</t>
        </is>
      </c>
      <c r="E3424" t="inlineStr">
        <is>
          <t>BRÄCKE</t>
        </is>
      </c>
      <c r="F3424" t="inlineStr">
        <is>
          <t>SCA</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38329-2025</t>
        </is>
      </c>
      <c r="B3425" s="1" t="n">
        <v>45883.49111111111</v>
      </c>
      <c r="C3425" s="1" t="n">
        <v>46045</v>
      </c>
      <c r="D3425" t="inlineStr">
        <is>
          <t>JÄMTLANDS LÄN</t>
        </is>
      </c>
      <c r="E3425" t="inlineStr">
        <is>
          <t>BRÄCKE</t>
        </is>
      </c>
      <c r="F3425" t="inlineStr">
        <is>
          <t>SCA</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40451-2024</t>
        </is>
      </c>
      <c r="B3426" s="1" t="n">
        <v>45555</v>
      </c>
      <c r="C3426" s="1" t="n">
        <v>46045</v>
      </c>
      <c r="D3426" t="inlineStr">
        <is>
          <t>JÄMTLANDS LÄN</t>
        </is>
      </c>
      <c r="E3426" t="inlineStr">
        <is>
          <t>STRÖMSUND</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3938-2024</t>
        </is>
      </c>
      <c r="B3427" s="1" t="n">
        <v>45322</v>
      </c>
      <c r="C3427" s="1" t="n">
        <v>46045</v>
      </c>
      <c r="D3427" t="inlineStr">
        <is>
          <t>JÄMTLANDS LÄN</t>
        </is>
      </c>
      <c r="E3427" t="inlineStr">
        <is>
          <t>RAGUNDA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19556-2021</t>
        </is>
      </c>
      <c r="B3428" s="1" t="n">
        <v>44312</v>
      </c>
      <c r="C3428" s="1" t="n">
        <v>46045</v>
      </c>
      <c r="D3428" t="inlineStr">
        <is>
          <t>JÄMTLANDS LÄN</t>
        </is>
      </c>
      <c r="E3428" t="inlineStr">
        <is>
          <t>STRÖMSUND</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4507-2024</t>
        </is>
      </c>
      <c r="B3429" s="1" t="n">
        <v>45327</v>
      </c>
      <c r="C3429" s="1" t="n">
        <v>46045</v>
      </c>
      <c r="D3429" t="inlineStr">
        <is>
          <t>JÄMTLANDS LÄN</t>
        </is>
      </c>
      <c r="E3429" t="inlineStr">
        <is>
          <t>STRÖMSUND</t>
        </is>
      </c>
      <c r="F3429" t="inlineStr">
        <is>
          <t>Kyrkan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62081-2022</t>
        </is>
      </c>
      <c r="B3430" s="1" t="n">
        <v>44918</v>
      </c>
      <c r="C3430" s="1" t="n">
        <v>46045</v>
      </c>
      <c r="D3430" t="inlineStr">
        <is>
          <t>JÄMTLANDS LÄN</t>
        </is>
      </c>
      <c r="E3430" t="inlineStr">
        <is>
          <t>RAGUNDA</t>
        </is>
      </c>
      <c r="F3430" t="inlineStr">
        <is>
          <t>SCA</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52559-2024</t>
        </is>
      </c>
      <c r="B3431" s="1" t="n">
        <v>45609.65274305556</v>
      </c>
      <c r="C3431" s="1" t="n">
        <v>46045</v>
      </c>
      <c r="D3431" t="inlineStr">
        <is>
          <t>JÄMTLANDS LÄN</t>
        </is>
      </c>
      <c r="E3431" t="inlineStr">
        <is>
          <t>STRÖMSUND</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17667-2025</t>
        </is>
      </c>
      <c r="B3432" s="1" t="n">
        <v>45758.36487268518</v>
      </c>
      <c r="C3432" s="1" t="n">
        <v>46045</v>
      </c>
      <c r="D3432" t="inlineStr">
        <is>
          <t>JÄMTLANDS LÄN</t>
        </is>
      </c>
      <c r="E3432" t="inlineStr">
        <is>
          <t>RAGUNDA</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57021-2022</t>
        </is>
      </c>
      <c r="B3433" s="1" t="n">
        <v>44894.95893518518</v>
      </c>
      <c r="C3433" s="1" t="n">
        <v>46045</v>
      </c>
      <c r="D3433" t="inlineStr">
        <is>
          <t>JÄMTLANDS LÄN</t>
        </is>
      </c>
      <c r="E3433" t="inlineStr">
        <is>
          <t>STRÖMSUND</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55914-2023</t>
        </is>
      </c>
      <c r="B3434" s="1" t="n">
        <v>45239.9681712963</v>
      </c>
      <c r="C3434" s="1" t="n">
        <v>46045</v>
      </c>
      <c r="D3434" t="inlineStr">
        <is>
          <t>JÄMTLANDS LÄN</t>
        </is>
      </c>
      <c r="E3434" t="inlineStr">
        <is>
          <t>KROKOM</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34409-2021</t>
        </is>
      </c>
      <c r="B3435" s="1" t="n">
        <v>44379</v>
      </c>
      <c r="C3435" s="1" t="n">
        <v>46045</v>
      </c>
      <c r="D3435" t="inlineStr">
        <is>
          <t>JÄMTLANDS LÄN</t>
        </is>
      </c>
      <c r="E3435" t="inlineStr">
        <is>
          <t>BRÄCKE</t>
        </is>
      </c>
      <c r="F3435" t="inlineStr">
        <is>
          <t>SCA</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51172-2024</t>
        </is>
      </c>
      <c r="B3436" s="1" t="n">
        <v>45603.59056712963</v>
      </c>
      <c r="C3436" s="1" t="n">
        <v>46045</v>
      </c>
      <c r="D3436" t="inlineStr">
        <is>
          <t>JÄMTLANDS LÄN</t>
        </is>
      </c>
      <c r="E3436" t="inlineStr">
        <is>
          <t>BERG</t>
        </is>
      </c>
      <c r="G3436" t="n">
        <v>12.2</v>
      </c>
      <c r="H3436" t="n">
        <v>0</v>
      </c>
      <c r="I3436" t="n">
        <v>0</v>
      </c>
      <c r="J3436" t="n">
        <v>0</v>
      </c>
      <c r="K3436" t="n">
        <v>0</v>
      </c>
      <c r="L3436" t="n">
        <v>0</v>
      </c>
      <c r="M3436" t="n">
        <v>0</v>
      </c>
      <c r="N3436" t="n">
        <v>0</v>
      </c>
      <c r="O3436" t="n">
        <v>0</v>
      </c>
      <c r="P3436" t="n">
        <v>0</v>
      </c>
      <c r="Q3436" t="n">
        <v>0</v>
      </c>
      <c r="R3436" s="2" t="inlineStr"/>
    </row>
    <row r="3437" ht="15" customHeight="1">
      <c r="A3437" t="inlineStr">
        <is>
          <t>A 5148-2023</t>
        </is>
      </c>
      <c r="B3437" s="1" t="n">
        <v>44958</v>
      </c>
      <c r="C3437" s="1" t="n">
        <v>46045</v>
      </c>
      <c r="D3437" t="inlineStr">
        <is>
          <t>JÄMTLANDS LÄN</t>
        </is>
      </c>
      <c r="E3437" t="inlineStr">
        <is>
          <t>RAGUNDA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38310-2025</t>
        </is>
      </c>
      <c r="B3438" s="1" t="n">
        <v>45883</v>
      </c>
      <c r="C3438" s="1" t="n">
        <v>46045</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38323-2025</t>
        </is>
      </c>
      <c r="B3439" s="1" t="n">
        <v>45883.49018518518</v>
      </c>
      <c r="C3439" s="1" t="n">
        <v>46045</v>
      </c>
      <c r="D3439" t="inlineStr">
        <is>
          <t>JÄMTLANDS LÄN</t>
        </is>
      </c>
      <c r="E3439" t="inlineStr">
        <is>
          <t>STRÖMSUND</t>
        </is>
      </c>
      <c r="F3439" t="inlineStr">
        <is>
          <t>SCA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9077-2023</t>
        </is>
      </c>
      <c r="B3440" s="1" t="n">
        <v>44979</v>
      </c>
      <c r="C3440" s="1" t="n">
        <v>46045</v>
      </c>
      <c r="D3440" t="inlineStr">
        <is>
          <t>JÄMTLANDS LÄN</t>
        </is>
      </c>
      <c r="E3440" t="inlineStr">
        <is>
          <t>BERG</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38416-2025</t>
        </is>
      </c>
      <c r="B3441" s="1" t="n">
        <v>45883.61028935185</v>
      </c>
      <c r="C3441" s="1" t="n">
        <v>46045</v>
      </c>
      <c r="D3441" t="inlineStr">
        <is>
          <t>JÄMTLANDS LÄN</t>
        </is>
      </c>
      <c r="E3441" t="inlineStr">
        <is>
          <t>KROKOM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34920-2022</t>
        </is>
      </c>
      <c r="B3442" s="1" t="n">
        <v>44796</v>
      </c>
      <c r="C3442" s="1" t="n">
        <v>46045</v>
      </c>
      <c r="D3442" t="inlineStr">
        <is>
          <t>JÄMTLANDS LÄN</t>
        </is>
      </c>
      <c r="E3442" t="inlineStr">
        <is>
          <t>STRÖMSUND</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51049-2024</t>
        </is>
      </c>
      <c r="B3443" s="1" t="n">
        <v>45603.44644675926</v>
      </c>
      <c r="C3443" s="1" t="n">
        <v>46045</v>
      </c>
      <c r="D3443" t="inlineStr">
        <is>
          <t>JÄMTLANDS LÄN</t>
        </is>
      </c>
      <c r="E3443" t="inlineStr">
        <is>
          <t>RAGUNDA</t>
        </is>
      </c>
      <c r="F3443" t="inlineStr">
        <is>
          <t>SCA</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57894-2023</t>
        </is>
      </c>
      <c r="B3444" s="1" t="n">
        <v>45247.48508101852</v>
      </c>
      <c r="C3444" s="1" t="n">
        <v>46045</v>
      </c>
      <c r="D3444" t="inlineStr">
        <is>
          <t>JÄMTLANDS LÄN</t>
        </is>
      </c>
      <c r="E3444" t="inlineStr">
        <is>
          <t>STRÖMSUND</t>
        </is>
      </c>
      <c r="F3444" t="inlineStr">
        <is>
          <t>Kyrkan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38352-2025</t>
        </is>
      </c>
      <c r="B3445" s="1" t="n">
        <v>45883.53186342592</v>
      </c>
      <c r="C3445" s="1" t="n">
        <v>46045</v>
      </c>
      <c r="D3445" t="inlineStr">
        <is>
          <t>JÄMTLANDS LÄN</t>
        </is>
      </c>
      <c r="E3445" t="inlineStr">
        <is>
          <t>BRÄCKE</t>
        </is>
      </c>
      <c r="F3445" t="inlineStr">
        <is>
          <t>SCA</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38353-2025</t>
        </is>
      </c>
      <c r="B3446" s="1" t="n">
        <v>45883.53201388889</v>
      </c>
      <c r="C3446" s="1" t="n">
        <v>46045</v>
      </c>
      <c r="D3446" t="inlineStr">
        <is>
          <t>JÄMTLANDS LÄN</t>
        </is>
      </c>
      <c r="E3446" t="inlineStr">
        <is>
          <t>BRÄCKE</t>
        </is>
      </c>
      <c r="F3446" t="inlineStr">
        <is>
          <t>SCA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38378-2025</t>
        </is>
      </c>
      <c r="B3447" s="1" t="n">
        <v>45883.57368055556</v>
      </c>
      <c r="C3447" s="1" t="n">
        <v>46045</v>
      </c>
      <c r="D3447" t="inlineStr">
        <is>
          <t>JÄMTLANDS LÄN</t>
        </is>
      </c>
      <c r="E3447" t="inlineStr">
        <is>
          <t>BRÄCKE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38379-2025</t>
        </is>
      </c>
      <c r="B3448" s="1" t="n">
        <v>45883.57377314815</v>
      </c>
      <c r="C3448" s="1" t="n">
        <v>46045</v>
      </c>
      <c r="D3448" t="inlineStr">
        <is>
          <t>JÄMTLANDS LÄN</t>
        </is>
      </c>
      <c r="E3448" t="inlineStr">
        <is>
          <t>BRÄCKE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38402-2025</t>
        </is>
      </c>
      <c r="B3449" s="1" t="n">
        <v>45883.58944444444</v>
      </c>
      <c r="C3449" s="1" t="n">
        <v>46045</v>
      </c>
      <c r="D3449" t="inlineStr">
        <is>
          <t>JÄMTLANDS LÄN</t>
        </is>
      </c>
      <c r="E3449" t="inlineStr">
        <is>
          <t>HÄRJEDALEN</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38459-2025</t>
        </is>
      </c>
      <c r="B3450" s="1" t="n">
        <v>45883.71927083333</v>
      </c>
      <c r="C3450" s="1" t="n">
        <v>46045</v>
      </c>
      <c r="D3450" t="inlineStr">
        <is>
          <t>JÄMTLANDS LÄN</t>
        </is>
      </c>
      <c r="E3450" t="inlineStr">
        <is>
          <t>BRÄCKE</t>
        </is>
      </c>
      <c r="F3450" t="inlineStr">
        <is>
          <t>SCA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27160-2021</t>
        </is>
      </c>
      <c r="B3451" s="1" t="n">
        <v>44350</v>
      </c>
      <c r="C3451" s="1" t="n">
        <v>46045</v>
      </c>
      <c r="D3451" t="inlineStr">
        <is>
          <t>JÄMTLANDS LÄN</t>
        </is>
      </c>
      <c r="E3451" t="inlineStr">
        <is>
          <t>STRÖMSUND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58193-2022</t>
        </is>
      </c>
      <c r="B3452" s="1" t="n">
        <v>44900.95700231481</v>
      </c>
      <c r="C3452" s="1" t="n">
        <v>46045</v>
      </c>
      <c r="D3452" t="inlineStr">
        <is>
          <t>JÄMTLANDS LÄN</t>
        </is>
      </c>
      <c r="E3452" t="inlineStr">
        <is>
          <t>RAGUNDA</t>
        </is>
      </c>
      <c r="F3452" t="inlineStr">
        <is>
          <t>SCA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27597-2024</t>
        </is>
      </c>
      <c r="B3453" s="1" t="n">
        <v>45474.69155092593</v>
      </c>
      <c r="C3453" s="1" t="n">
        <v>46045</v>
      </c>
      <c r="D3453" t="inlineStr">
        <is>
          <t>JÄMTLANDS LÄN</t>
        </is>
      </c>
      <c r="E3453" t="inlineStr">
        <is>
          <t>KROKOM</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36079-2021</t>
        </is>
      </c>
      <c r="B3454" s="1" t="n">
        <v>44389</v>
      </c>
      <c r="C3454" s="1" t="n">
        <v>46045</v>
      </c>
      <c r="D3454" t="inlineStr">
        <is>
          <t>JÄMTLANDS LÄN</t>
        </is>
      </c>
      <c r="E3454" t="inlineStr">
        <is>
          <t>KROKOM</t>
        </is>
      </c>
      <c r="F3454" t="inlineStr">
        <is>
          <t>Övriga Aktiebolag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50822-2024</t>
        </is>
      </c>
      <c r="B3455" s="1" t="n">
        <v>45602.57827546296</v>
      </c>
      <c r="C3455" s="1" t="n">
        <v>46045</v>
      </c>
      <c r="D3455" t="inlineStr">
        <is>
          <t>JÄMTLANDS LÄN</t>
        </is>
      </c>
      <c r="E3455" t="inlineStr">
        <is>
          <t>KROKOM</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24053-2022</t>
        </is>
      </c>
      <c r="B3456" s="1" t="n">
        <v>44724.93731481482</v>
      </c>
      <c r="C3456" s="1" t="n">
        <v>46045</v>
      </c>
      <c r="D3456" t="inlineStr">
        <is>
          <t>JÄMTLANDS LÄN</t>
        </is>
      </c>
      <c r="E3456" t="inlineStr">
        <is>
          <t>BRÄCKE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65207-2023</t>
        </is>
      </c>
      <c r="B3457" s="1" t="n">
        <v>45289</v>
      </c>
      <c r="C3457" s="1" t="n">
        <v>46045</v>
      </c>
      <c r="D3457" t="inlineStr">
        <is>
          <t>JÄMTLANDS LÄN</t>
        </is>
      </c>
      <c r="E3457" t="inlineStr">
        <is>
          <t>BERG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60028-2022</t>
        </is>
      </c>
      <c r="B3458" s="1" t="n">
        <v>44902</v>
      </c>
      <c r="C3458" s="1" t="n">
        <v>46045</v>
      </c>
      <c r="D3458" t="inlineStr">
        <is>
          <t>JÄMTLANDS LÄN</t>
        </is>
      </c>
      <c r="E3458" t="inlineStr">
        <is>
          <t>BERG</t>
        </is>
      </c>
      <c r="G3458" t="n">
        <v>20</v>
      </c>
      <c r="H3458" t="n">
        <v>0</v>
      </c>
      <c r="I3458" t="n">
        <v>0</v>
      </c>
      <c r="J3458" t="n">
        <v>0</v>
      </c>
      <c r="K3458" t="n">
        <v>0</v>
      </c>
      <c r="L3458" t="n">
        <v>0</v>
      </c>
      <c r="M3458" t="n">
        <v>0</v>
      </c>
      <c r="N3458" t="n">
        <v>0</v>
      </c>
      <c r="O3458" t="n">
        <v>0</v>
      </c>
      <c r="P3458" t="n">
        <v>0</v>
      </c>
      <c r="Q3458" t="n">
        <v>0</v>
      </c>
      <c r="R3458" s="2" t="inlineStr"/>
    </row>
    <row r="3459" ht="15" customHeight="1">
      <c r="A3459" t="inlineStr">
        <is>
          <t>A 58547-2022</t>
        </is>
      </c>
      <c r="B3459" s="1" t="n">
        <v>44894</v>
      </c>
      <c r="C3459" s="1" t="n">
        <v>46045</v>
      </c>
      <c r="D3459" t="inlineStr">
        <is>
          <t>JÄMTLANDS LÄN</t>
        </is>
      </c>
      <c r="E3459" t="inlineStr">
        <is>
          <t>BRÄCKE</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10004-2025</t>
        </is>
      </c>
      <c r="B3460" s="1" t="n">
        <v>45719.45277777778</v>
      </c>
      <c r="C3460" s="1" t="n">
        <v>46045</v>
      </c>
      <c r="D3460" t="inlineStr">
        <is>
          <t>JÄMTLANDS LÄN</t>
        </is>
      </c>
      <c r="E3460" t="inlineStr">
        <is>
          <t>HÄRJEDALEN</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18194-2025</t>
        </is>
      </c>
      <c r="B3461" s="1" t="n">
        <v>45761.67744212963</v>
      </c>
      <c r="C3461" s="1" t="n">
        <v>46045</v>
      </c>
      <c r="D3461" t="inlineStr">
        <is>
          <t>JÄMTLANDS LÄN</t>
        </is>
      </c>
      <c r="E3461" t="inlineStr">
        <is>
          <t>RAGUNDA</t>
        </is>
      </c>
      <c r="F3461" t="inlineStr">
        <is>
          <t>SCA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2808-2025</t>
        </is>
      </c>
      <c r="B3462" s="1" t="n">
        <v>45677.59420138889</v>
      </c>
      <c r="C3462" s="1" t="n">
        <v>46045</v>
      </c>
      <c r="D3462" t="inlineStr">
        <is>
          <t>JÄMTLANDS LÄN</t>
        </is>
      </c>
      <c r="E3462" t="inlineStr">
        <is>
          <t>STRÖMSUND</t>
        </is>
      </c>
      <c r="F3462" t="inlineStr">
        <is>
          <t>SCA</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56361-2023</t>
        </is>
      </c>
      <c r="B3463" s="1" t="n">
        <v>45243.37567129629</v>
      </c>
      <c r="C3463" s="1" t="n">
        <v>46045</v>
      </c>
      <c r="D3463" t="inlineStr">
        <is>
          <t>JÄMTLANDS LÄN</t>
        </is>
      </c>
      <c r="E3463" t="inlineStr">
        <is>
          <t>KROKOM</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26991-2023</t>
        </is>
      </c>
      <c r="B3464" s="1" t="n">
        <v>45093.92207175926</v>
      </c>
      <c r="C3464" s="1" t="n">
        <v>46045</v>
      </c>
      <c r="D3464" t="inlineStr">
        <is>
          <t>JÄMTLANDS LÄN</t>
        </is>
      </c>
      <c r="E3464" t="inlineStr">
        <is>
          <t>RAGUNDA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13166-2024</t>
        </is>
      </c>
      <c r="B3465" s="1" t="n">
        <v>45386.40141203703</v>
      </c>
      <c r="C3465" s="1" t="n">
        <v>46045</v>
      </c>
      <c r="D3465" t="inlineStr">
        <is>
          <t>JÄMTLANDS LÄN</t>
        </is>
      </c>
      <c r="E3465" t="inlineStr">
        <is>
          <t>BRÄCKE</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22629-2022</t>
        </is>
      </c>
      <c r="B3466" s="1" t="n">
        <v>44714.438125</v>
      </c>
      <c r="C3466" s="1" t="n">
        <v>46045</v>
      </c>
      <c r="D3466" t="inlineStr">
        <is>
          <t>JÄMTLANDS LÄN</t>
        </is>
      </c>
      <c r="E3466" t="inlineStr">
        <is>
          <t>KROKOM</t>
        </is>
      </c>
      <c r="G3466" t="n">
        <v>17.1</v>
      </c>
      <c r="H3466" t="n">
        <v>0</v>
      </c>
      <c r="I3466" t="n">
        <v>0</v>
      </c>
      <c r="J3466" t="n">
        <v>0</v>
      </c>
      <c r="K3466" t="n">
        <v>0</v>
      </c>
      <c r="L3466" t="n">
        <v>0</v>
      </c>
      <c r="M3466" t="n">
        <v>0</v>
      </c>
      <c r="N3466" t="n">
        <v>0</v>
      </c>
      <c r="O3466" t="n">
        <v>0</v>
      </c>
      <c r="P3466" t="n">
        <v>0</v>
      </c>
      <c r="Q3466" t="n">
        <v>0</v>
      </c>
      <c r="R3466" s="2" t="inlineStr"/>
    </row>
    <row r="3467" ht="15" customHeight="1">
      <c r="A3467" t="inlineStr">
        <is>
          <t>A 55489-2024</t>
        </is>
      </c>
      <c r="B3467" s="1" t="n">
        <v>45622.44774305556</v>
      </c>
      <c r="C3467" s="1" t="n">
        <v>46045</v>
      </c>
      <c r="D3467" t="inlineStr">
        <is>
          <t>JÄMTLANDS LÄN</t>
        </is>
      </c>
      <c r="E3467" t="inlineStr">
        <is>
          <t>RAGUNDA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14827-2024</t>
        </is>
      </c>
      <c r="B3468" s="1" t="n">
        <v>45398</v>
      </c>
      <c r="C3468" s="1" t="n">
        <v>46045</v>
      </c>
      <c r="D3468" t="inlineStr">
        <is>
          <t>JÄMTLANDS LÄN</t>
        </is>
      </c>
      <c r="E3468" t="inlineStr">
        <is>
          <t>KROKOM</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24301-2023</t>
        </is>
      </c>
      <c r="B3469" s="1" t="n">
        <v>45079.94189814815</v>
      </c>
      <c r="C3469" s="1" t="n">
        <v>46045</v>
      </c>
      <c r="D3469" t="inlineStr">
        <is>
          <t>JÄMTLANDS LÄN</t>
        </is>
      </c>
      <c r="E3469" t="inlineStr">
        <is>
          <t>STRÖMSUND</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24874-2024</t>
        </is>
      </c>
      <c r="B3470" s="1" t="n">
        <v>45461.52280092592</v>
      </c>
      <c r="C3470" s="1" t="n">
        <v>46045</v>
      </c>
      <c r="D3470" t="inlineStr">
        <is>
          <t>JÄMTLANDS LÄN</t>
        </is>
      </c>
      <c r="E3470" t="inlineStr">
        <is>
          <t>BRÄCKE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13082-2025</t>
        </is>
      </c>
      <c r="B3471" s="1" t="n">
        <v>45734.62666666666</v>
      </c>
      <c r="C3471" s="1" t="n">
        <v>46045</v>
      </c>
      <c r="D3471" t="inlineStr">
        <is>
          <t>JÄMTLANDS LÄN</t>
        </is>
      </c>
      <c r="E3471" t="inlineStr">
        <is>
          <t>ÅRE</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24878-2024</t>
        </is>
      </c>
      <c r="B3472" s="1" t="n">
        <v>45461.55193287037</v>
      </c>
      <c r="C3472" s="1" t="n">
        <v>46045</v>
      </c>
      <c r="D3472" t="inlineStr">
        <is>
          <t>JÄMTLANDS LÄN</t>
        </is>
      </c>
      <c r="E3472" t="inlineStr">
        <is>
          <t>BRÄCKE</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17576-2024</t>
        </is>
      </c>
      <c r="B3473" s="1" t="n">
        <v>45415</v>
      </c>
      <c r="C3473" s="1" t="n">
        <v>46045</v>
      </c>
      <c r="D3473" t="inlineStr">
        <is>
          <t>JÄMTLANDS LÄN</t>
        </is>
      </c>
      <c r="E3473" t="inlineStr">
        <is>
          <t>ÅRE</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22020-2024</t>
        </is>
      </c>
      <c r="B3474" s="1" t="n">
        <v>45443.5894675926</v>
      </c>
      <c r="C3474" s="1" t="n">
        <v>46045</v>
      </c>
      <c r="D3474" t="inlineStr">
        <is>
          <t>JÄMTLANDS LÄN</t>
        </is>
      </c>
      <c r="E3474" t="inlineStr">
        <is>
          <t>BERG</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59462-2024</t>
        </is>
      </c>
      <c r="B3475" s="1" t="n">
        <v>45638</v>
      </c>
      <c r="C3475" s="1" t="n">
        <v>46045</v>
      </c>
      <c r="D3475" t="inlineStr">
        <is>
          <t>JÄMTLANDS LÄN</t>
        </is>
      </c>
      <c r="E3475" t="inlineStr">
        <is>
          <t>HÄRJEDALEN</t>
        </is>
      </c>
      <c r="F3475" t="inlineStr">
        <is>
          <t>Holmen skog AB</t>
        </is>
      </c>
      <c r="G3475" t="n">
        <v>9.6</v>
      </c>
      <c r="H3475" t="n">
        <v>0</v>
      </c>
      <c r="I3475" t="n">
        <v>0</v>
      </c>
      <c r="J3475" t="n">
        <v>0</v>
      </c>
      <c r="K3475" t="n">
        <v>0</v>
      </c>
      <c r="L3475" t="n">
        <v>0</v>
      </c>
      <c r="M3475" t="n">
        <v>0</v>
      </c>
      <c r="N3475" t="n">
        <v>0</v>
      </c>
      <c r="O3475" t="n">
        <v>0</v>
      </c>
      <c r="P3475" t="n">
        <v>0</v>
      </c>
      <c r="Q3475" t="n">
        <v>0</v>
      </c>
      <c r="R3475" s="2" t="inlineStr"/>
    </row>
    <row r="3476" ht="15" customHeight="1">
      <c r="A3476" t="inlineStr">
        <is>
          <t>A 13299-2024</t>
        </is>
      </c>
      <c r="B3476" s="1" t="n">
        <v>45386.68003472222</v>
      </c>
      <c r="C3476" s="1" t="n">
        <v>46045</v>
      </c>
      <c r="D3476" t="inlineStr">
        <is>
          <t>JÄMTLANDS LÄN</t>
        </is>
      </c>
      <c r="E3476" t="inlineStr">
        <is>
          <t>RAGUNDA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34357-2021</t>
        </is>
      </c>
      <c r="B3477" s="1" t="n">
        <v>44379</v>
      </c>
      <c r="C3477" s="1" t="n">
        <v>46045</v>
      </c>
      <c r="D3477" t="inlineStr">
        <is>
          <t>JÄMTLANDS LÄN</t>
        </is>
      </c>
      <c r="E3477" t="inlineStr">
        <is>
          <t>ÅRE</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39453-2021</t>
        </is>
      </c>
      <c r="B3478" s="1" t="n">
        <v>44414.58354166667</v>
      </c>
      <c r="C3478" s="1" t="n">
        <v>46045</v>
      </c>
      <c r="D3478" t="inlineStr">
        <is>
          <t>JÄMTLANDS LÄN</t>
        </is>
      </c>
      <c r="E3478" t="inlineStr">
        <is>
          <t>HÄRJEDALEN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13180-2024</t>
        </is>
      </c>
      <c r="B3479" s="1" t="n">
        <v>45386.43207175926</v>
      </c>
      <c r="C3479" s="1" t="n">
        <v>46045</v>
      </c>
      <c r="D3479" t="inlineStr">
        <is>
          <t>JÄMTLANDS LÄN</t>
        </is>
      </c>
      <c r="E3479" t="inlineStr">
        <is>
          <t>BRÄCKE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44519-2024</t>
        </is>
      </c>
      <c r="B3480" s="1" t="n">
        <v>45574.43403935185</v>
      </c>
      <c r="C3480" s="1" t="n">
        <v>46045</v>
      </c>
      <c r="D3480" t="inlineStr">
        <is>
          <t>JÄMTLANDS LÄN</t>
        </is>
      </c>
      <c r="E3480" t="inlineStr">
        <is>
          <t>KROKOM</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4315-2025</t>
        </is>
      </c>
      <c r="B3481" s="1" t="n">
        <v>45685.70465277778</v>
      </c>
      <c r="C3481" s="1" t="n">
        <v>46045</v>
      </c>
      <c r="D3481" t="inlineStr">
        <is>
          <t>JÄMTLANDS LÄN</t>
        </is>
      </c>
      <c r="E3481" t="inlineStr">
        <is>
          <t>STRÖMSUND</t>
        </is>
      </c>
      <c r="G3481" t="n">
        <v>9.4</v>
      </c>
      <c r="H3481" t="n">
        <v>0</v>
      </c>
      <c r="I3481" t="n">
        <v>0</v>
      </c>
      <c r="J3481" t="n">
        <v>0</v>
      </c>
      <c r="K3481" t="n">
        <v>0</v>
      </c>
      <c r="L3481" t="n">
        <v>0</v>
      </c>
      <c r="M3481" t="n">
        <v>0</v>
      </c>
      <c r="N3481" t="n">
        <v>0</v>
      </c>
      <c r="O3481" t="n">
        <v>0</v>
      </c>
      <c r="P3481" t="n">
        <v>0</v>
      </c>
      <c r="Q3481" t="n">
        <v>0</v>
      </c>
      <c r="R3481" s="2" t="inlineStr"/>
    </row>
    <row r="3482" ht="15" customHeight="1">
      <c r="A3482" t="inlineStr">
        <is>
          <t>A 58537-2022</t>
        </is>
      </c>
      <c r="B3482" s="1" t="n">
        <v>44894</v>
      </c>
      <c r="C3482" s="1" t="n">
        <v>46045</v>
      </c>
      <c r="D3482" t="inlineStr">
        <is>
          <t>JÄMTLANDS LÄN</t>
        </is>
      </c>
      <c r="E3482" t="inlineStr">
        <is>
          <t>RAGUNDA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14074-2023</t>
        </is>
      </c>
      <c r="B3483" s="1" t="n">
        <v>45009.089375</v>
      </c>
      <c r="C3483" s="1" t="n">
        <v>46045</v>
      </c>
      <c r="D3483" t="inlineStr">
        <is>
          <t>JÄMTLANDS LÄN</t>
        </is>
      </c>
      <c r="E3483" t="inlineStr">
        <is>
          <t>RAGUNDA</t>
        </is>
      </c>
      <c r="F3483" t="inlineStr">
        <is>
          <t>SCA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59367-2022</t>
        </is>
      </c>
      <c r="B3484" s="1" t="n">
        <v>44904</v>
      </c>
      <c r="C3484" s="1" t="n">
        <v>46045</v>
      </c>
      <c r="D3484" t="inlineStr">
        <is>
          <t>JÄMTLANDS LÄN</t>
        </is>
      </c>
      <c r="E3484" t="inlineStr">
        <is>
          <t>STRÖMSUND</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24333-2024</t>
        </is>
      </c>
      <c r="B3485" s="1" t="n">
        <v>45457.55922453704</v>
      </c>
      <c r="C3485" s="1" t="n">
        <v>46045</v>
      </c>
      <c r="D3485" t="inlineStr">
        <is>
          <t>JÄMTLANDS LÄN</t>
        </is>
      </c>
      <c r="E3485" t="inlineStr">
        <is>
          <t>KROKOM</t>
        </is>
      </c>
      <c r="F3485" t="inlineStr">
        <is>
          <t>Övriga Aktiebolag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53347-2023</t>
        </is>
      </c>
      <c r="B3486" s="1" t="n">
        <v>45223</v>
      </c>
      <c r="C3486" s="1" t="n">
        <v>46045</v>
      </c>
      <c r="D3486" t="inlineStr">
        <is>
          <t>JÄMTLANDS LÄN</t>
        </is>
      </c>
      <c r="E3486" t="inlineStr">
        <is>
          <t>RAGUNDA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56270-2024</t>
        </is>
      </c>
      <c r="B3487" s="1" t="n">
        <v>45624.65971064815</v>
      </c>
      <c r="C3487" s="1" t="n">
        <v>46045</v>
      </c>
      <c r="D3487" t="inlineStr">
        <is>
          <t>JÄMTLANDS LÄN</t>
        </is>
      </c>
      <c r="E3487" t="inlineStr">
        <is>
          <t>STRÖMSUND</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32961-2022</t>
        </is>
      </c>
      <c r="B3488" s="1" t="n">
        <v>44784.92487268519</v>
      </c>
      <c r="C3488" s="1" t="n">
        <v>46045</v>
      </c>
      <c r="D3488" t="inlineStr">
        <is>
          <t>JÄMTLANDS LÄN</t>
        </is>
      </c>
      <c r="E3488" t="inlineStr">
        <is>
          <t>BRÄCKE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19486-2023</t>
        </is>
      </c>
      <c r="B3489" s="1" t="n">
        <v>45049</v>
      </c>
      <c r="C3489" s="1" t="n">
        <v>46045</v>
      </c>
      <c r="D3489" t="inlineStr">
        <is>
          <t>JÄMTLANDS LÄN</t>
        </is>
      </c>
      <c r="E3489" t="inlineStr">
        <is>
          <t>BRÄCKE</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61615-2023</t>
        </is>
      </c>
      <c r="B3490" s="1" t="n">
        <v>45265.52887731481</v>
      </c>
      <c r="C3490" s="1" t="n">
        <v>46045</v>
      </c>
      <c r="D3490" t="inlineStr">
        <is>
          <t>JÄMTLANDS LÄN</t>
        </is>
      </c>
      <c r="E3490" t="inlineStr">
        <is>
          <t>KROKOM</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52392-2023</t>
        </is>
      </c>
      <c r="B3491" s="1" t="n">
        <v>45224</v>
      </c>
      <c r="C3491" s="1" t="n">
        <v>46045</v>
      </c>
      <c r="D3491" t="inlineStr">
        <is>
          <t>JÄMTLANDS LÄN</t>
        </is>
      </c>
      <c r="E3491" t="inlineStr">
        <is>
          <t>STRÖMSUND</t>
        </is>
      </c>
      <c r="G3491" t="n">
        <v>7.3</v>
      </c>
      <c r="H3491" t="n">
        <v>0</v>
      </c>
      <c r="I3491" t="n">
        <v>0</v>
      </c>
      <c r="J3491" t="n">
        <v>0</v>
      </c>
      <c r="K3491" t="n">
        <v>0</v>
      </c>
      <c r="L3491" t="n">
        <v>0</v>
      </c>
      <c r="M3491" t="n">
        <v>0</v>
      </c>
      <c r="N3491" t="n">
        <v>0</v>
      </c>
      <c r="O3491" t="n">
        <v>0</v>
      </c>
      <c r="P3491" t="n">
        <v>0</v>
      </c>
      <c r="Q3491" t="n">
        <v>0</v>
      </c>
      <c r="R3491" s="2" t="inlineStr"/>
    </row>
    <row r="3492" ht="15" customHeight="1">
      <c r="A3492" t="inlineStr">
        <is>
          <t>A 38618-2025</t>
        </is>
      </c>
      <c r="B3492" s="1" t="n">
        <v>45884.55263888889</v>
      </c>
      <c r="C3492" s="1" t="n">
        <v>46045</v>
      </c>
      <c r="D3492" t="inlineStr">
        <is>
          <t>JÄMTLANDS LÄN</t>
        </is>
      </c>
      <c r="E3492" t="inlineStr">
        <is>
          <t>HÄRJEDALEN</t>
        </is>
      </c>
      <c r="F3492" t="inlineStr">
        <is>
          <t>SCA</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15638-2025</t>
        </is>
      </c>
      <c r="B3493" s="1" t="n">
        <v>45748.3822337963</v>
      </c>
      <c r="C3493" s="1" t="n">
        <v>46045</v>
      </c>
      <c r="D3493" t="inlineStr">
        <is>
          <t>JÄMTLANDS LÄN</t>
        </is>
      </c>
      <c r="E3493" t="inlineStr">
        <is>
          <t>KROKOM</t>
        </is>
      </c>
      <c r="F3493" t="inlineStr">
        <is>
          <t>Kyrkan</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15669-2025</t>
        </is>
      </c>
      <c r="B3494" s="1" t="n">
        <v>45748.4396412037</v>
      </c>
      <c r="C3494" s="1" t="n">
        <v>46045</v>
      </c>
      <c r="D3494" t="inlineStr">
        <is>
          <t>JÄMTLANDS LÄN</t>
        </is>
      </c>
      <c r="E3494" t="inlineStr">
        <is>
          <t>ÖSTERSUND</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69170-2021</t>
        </is>
      </c>
      <c r="B3495" s="1" t="n">
        <v>44529</v>
      </c>
      <c r="C3495" s="1" t="n">
        <v>46045</v>
      </c>
      <c r="D3495" t="inlineStr">
        <is>
          <t>JÄMTLANDS LÄN</t>
        </is>
      </c>
      <c r="E3495" t="inlineStr">
        <is>
          <t>ÅRE</t>
        </is>
      </c>
      <c r="G3495" t="n">
        <v>114.4</v>
      </c>
      <c r="H3495" t="n">
        <v>0</v>
      </c>
      <c r="I3495" t="n">
        <v>0</v>
      </c>
      <c r="J3495" t="n">
        <v>0</v>
      </c>
      <c r="K3495" t="n">
        <v>0</v>
      </c>
      <c r="L3495" t="n">
        <v>0</v>
      </c>
      <c r="M3495" t="n">
        <v>0</v>
      </c>
      <c r="N3495" t="n">
        <v>0</v>
      </c>
      <c r="O3495" t="n">
        <v>0</v>
      </c>
      <c r="P3495" t="n">
        <v>0</v>
      </c>
      <c r="Q3495" t="n">
        <v>0</v>
      </c>
      <c r="R3495" s="2" t="inlineStr"/>
    </row>
    <row r="3496" ht="15" customHeight="1">
      <c r="A3496" t="inlineStr">
        <is>
          <t>A 38456-2021</t>
        </is>
      </c>
      <c r="B3496" s="1" t="n">
        <v>44406</v>
      </c>
      <c r="C3496" s="1" t="n">
        <v>46045</v>
      </c>
      <c r="D3496" t="inlineStr">
        <is>
          <t>JÄMTLANDS LÄN</t>
        </is>
      </c>
      <c r="E3496" t="inlineStr">
        <is>
          <t>ÅRE</t>
        </is>
      </c>
      <c r="G3496" t="n">
        <v>19.8</v>
      </c>
      <c r="H3496" t="n">
        <v>0</v>
      </c>
      <c r="I3496" t="n">
        <v>0</v>
      </c>
      <c r="J3496" t="n">
        <v>0</v>
      </c>
      <c r="K3496" t="n">
        <v>0</v>
      </c>
      <c r="L3496" t="n">
        <v>0</v>
      </c>
      <c r="M3496" t="n">
        <v>0</v>
      </c>
      <c r="N3496" t="n">
        <v>0</v>
      </c>
      <c r="O3496" t="n">
        <v>0</v>
      </c>
      <c r="P3496" t="n">
        <v>0</v>
      </c>
      <c r="Q3496" t="n">
        <v>0</v>
      </c>
      <c r="R3496" s="2" t="inlineStr"/>
    </row>
    <row r="3497" ht="15" customHeight="1">
      <c r="A3497" t="inlineStr">
        <is>
          <t>A 32636-2024</t>
        </is>
      </c>
      <c r="B3497" s="1" t="n">
        <v>45513.96137731482</v>
      </c>
      <c r="C3497" s="1" t="n">
        <v>46045</v>
      </c>
      <c r="D3497" t="inlineStr">
        <is>
          <t>JÄMTLANDS LÄN</t>
        </is>
      </c>
      <c r="E3497" t="inlineStr">
        <is>
          <t>BRÄCKE</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18982-2022</t>
        </is>
      </c>
      <c r="B3498" s="1" t="n">
        <v>44690.92626157407</v>
      </c>
      <c r="C3498" s="1" t="n">
        <v>46045</v>
      </c>
      <c r="D3498" t="inlineStr">
        <is>
          <t>JÄMTLANDS LÄN</t>
        </is>
      </c>
      <c r="E3498" t="inlineStr">
        <is>
          <t>BRÄCKE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23665-2024</t>
        </is>
      </c>
      <c r="B3499" s="1" t="n">
        <v>45454.57899305555</v>
      </c>
      <c r="C3499" s="1" t="n">
        <v>46045</v>
      </c>
      <c r="D3499" t="inlineStr">
        <is>
          <t>JÄMTLANDS LÄN</t>
        </is>
      </c>
      <c r="E3499" t="inlineStr">
        <is>
          <t>KROKOM</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18153-2024</t>
        </is>
      </c>
      <c r="B3500" s="1" t="n">
        <v>45420</v>
      </c>
      <c r="C3500" s="1" t="n">
        <v>46045</v>
      </c>
      <c r="D3500" t="inlineStr">
        <is>
          <t>JÄMTLANDS LÄN</t>
        </is>
      </c>
      <c r="E3500" t="inlineStr">
        <is>
          <t>BERG</t>
        </is>
      </c>
      <c r="F3500" t="inlineStr">
        <is>
          <t>Holmen skog AB</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36500-2024</t>
        </is>
      </c>
      <c r="B3501" s="1" t="n">
        <v>45537.40877314815</v>
      </c>
      <c r="C3501" s="1" t="n">
        <v>46045</v>
      </c>
      <c r="D3501" t="inlineStr">
        <is>
          <t>JÄMTLANDS LÄN</t>
        </is>
      </c>
      <c r="E3501" t="inlineStr">
        <is>
          <t>STRÖMSUND</t>
        </is>
      </c>
      <c r="F3501" t="inlineStr">
        <is>
          <t>SCA</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51191-2024</t>
        </is>
      </c>
      <c r="B3502" s="1" t="n">
        <v>45603</v>
      </c>
      <c r="C3502" s="1" t="n">
        <v>46045</v>
      </c>
      <c r="D3502" t="inlineStr">
        <is>
          <t>JÄMTLANDS LÄN</t>
        </is>
      </c>
      <c r="E3502" t="inlineStr">
        <is>
          <t>HÄRJEDALEN</t>
        </is>
      </c>
      <c r="F3502" t="inlineStr">
        <is>
          <t>Holmen skog AB</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18542-2025</t>
        </is>
      </c>
      <c r="B3503" s="1" t="n">
        <v>45763.4178587963</v>
      </c>
      <c r="C3503" s="1" t="n">
        <v>46045</v>
      </c>
      <c r="D3503" t="inlineStr">
        <is>
          <t>JÄMTLANDS LÄN</t>
        </is>
      </c>
      <c r="E3503" t="inlineStr">
        <is>
          <t>HÄRJEDALEN</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12998-2025</t>
        </is>
      </c>
      <c r="B3504" s="1" t="n">
        <v>45734.48991898148</v>
      </c>
      <c r="C3504" s="1" t="n">
        <v>46045</v>
      </c>
      <c r="D3504" t="inlineStr">
        <is>
          <t>JÄMTLANDS LÄN</t>
        </is>
      </c>
      <c r="E3504" t="inlineStr">
        <is>
          <t>ÖSTERSUND</t>
        </is>
      </c>
      <c r="F3504" t="inlineStr">
        <is>
          <t>SCA</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22948-2024</t>
        </is>
      </c>
      <c r="B3505" s="1" t="n">
        <v>45448.94600694445</v>
      </c>
      <c r="C3505" s="1" t="n">
        <v>46045</v>
      </c>
      <c r="D3505" t="inlineStr">
        <is>
          <t>JÄMTLANDS LÄN</t>
        </is>
      </c>
      <c r="E3505" t="inlineStr">
        <is>
          <t>RAGUNDA</t>
        </is>
      </c>
      <c r="F3505" t="inlineStr">
        <is>
          <t>SCA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8069-2024</t>
        </is>
      </c>
      <c r="B3506" s="1" t="n">
        <v>45351.41600694445</v>
      </c>
      <c r="C3506" s="1" t="n">
        <v>46045</v>
      </c>
      <c r="D3506" t="inlineStr">
        <is>
          <t>JÄMTLANDS LÄN</t>
        </is>
      </c>
      <c r="E3506" t="inlineStr">
        <is>
          <t>BERG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8136-2024</t>
        </is>
      </c>
      <c r="B3507" s="1" t="n">
        <v>45351</v>
      </c>
      <c r="C3507" s="1" t="n">
        <v>46045</v>
      </c>
      <c r="D3507" t="inlineStr">
        <is>
          <t>JÄMTLANDS LÄN</t>
        </is>
      </c>
      <c r="E3507" t="inlineStr">
        <is>
          <t>HÄRJEDALEN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22978-2024</t>
        </is>
      </c>
      <c r="B3508" s="1" t="n">
        <v>45449</v>
      </c>
      <c r="C3508" s="1" t="n">
        <v>46045</v>
      </c>
      <c r="D3508" t="inlineStr">
        <is>
          <t>JÄMTLANDS LÄN</t>
        </is>
      </c>
      <c r="E3508" t="inlineStr">
        <is>
          <t>BRÄCKE</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58355-2023</t>
        </is>
      </c>
      <c r="B3509" s="1" t="n">
        <v>45250</v>
      </c>
      <c r="C3509" s="1" t="n">
        <v>46045</v>
      </c>
      <c r="D3509" t="inlineStr">
        <is>
          <t>JÄMTLANDS LÄN</t>
        </is>
      </c>
      <c r="E3509" t="inlineStr">
        <is>
          <t>KROKOM</t>
        </is>
      </c>
      <c r="F3509" t="inlineStr">
        <is>
          <t>Övriga Aktiebolag</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8443-2023</t>
        </is>
      </c>
      <c r="B3510" s="1" t="n">
        <v>44977</v>
      </c>
      <c r="C3510" s="1" t="n">
        <v>46045</v>
      </c>
      <c r="D3510" t="inlineStr">
        <is>
          <t>JÄMTLANDS LÄN</t>
        </is>
      </c>
      <c r="E3510" t="inlineStr">
        <is>
          <t>ÅRE</t>
        </is>
      </c>
      <c r="F3510" t="inlineStr">
        <is>
          <t>Övriga Aktiebolag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16707-2024</t>
        </is>
      </c>
      <c r="B3511" s="1" t="n">
        <v>45409.07706018518</v>
      </c>
      <c r="C3511" s="1" t="n">
        <v>46045</v>
      </c>
      <c r="D3511" t="inlineStr">
        <is>
          <t>JÄMTLANDS LÄN</t>
        </is>
      </c>
      <c r="E3511" t="inlineStr">
        <is>
          <t>BRÄCKE</t>
        </is>
      </c>
      <c r="F3511" t="inlineStr">
        <is>
          <t>SCA</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44967-2024</t>
        </is>
      </c>
      <c r="B3512" s="1" t="n">
        <v>45575</v>
      </c>
      <c r="C3512" s="1" t="n">
        <v>46045</v>
      </c>
      <c r="D3512" t="inlineStr">
        <is>
          <t>JÄMTLANDS LÄN</t>
        </is>
      </c>
      <c r="E3512" t="inlineStr">
        <is>
          <t>HÄRJEDALEN</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15207-2023</t>
        </is>
      </c>
      <c r="B3513" s="1" t="n">
        <v>45018</v>
      </c>
      <c r="C3513" s="1" t="n">
        <v>46045</v>
      </c>
      <c r="D3513" t="inlineStr">
        <is>
          <t>JÄMTLANDS LÄN</t>
        </is>
      </c>
      <c r="E3513" t="inlineStr">
        <is>
          <t>STRÖMSUND</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55508-2024</t>
        </is>
      </c>
      <c r="B3514" s="1" t="n">
        <v>45622.46200231482</v>
      </c>
      <c r="C3514" s="1" t="n">
        <v>46045</v>
      </c>
      <c r="D3514" t="inlineStr">
        <is>
          <t>JÄMTLANDS LÄN</t>
        </is>
      </c>
      <c r="E3514" t="inlineStr">
        <is>
          <t>RAGUNDA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2984-2024</t>
        </is>
      </c>
      <c r="B3515" s="1" t="n">
        <v>45315</v>
      </c>
      <c r="C3515" s="1" t="n">
        <v>46045</v>
      </c>
      <c r="D3515" t="inlineStr">
        <is>
          <t>JÄMTLANDS LÄN</t>
        </is>
      </c>
      <c r="E3515" t="inlineStr">
        <is>
          <t>ÖSTERSUND</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52158-2024</t>
        </is>
      </c>
      <c r="B3516" s="1" t="n">
        <v>45608.5270949074</v>
      </c>
      <c r="C3516" s="1" t="n">
        <v>46045</v>
      </c>
      <c r="D3516" t="inlineStr">
        <is>
          <t>JÄMTLANDS LÄN</t>
        </is>
      </c>
      <c r="E3516" t="inlineStr">
        <is>
          <t>STRÖMSUND</t>
        </is>
      </c>
      <c r="F3516" t="inlineStr">
        <is>
          <t>SCA</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52227-2024</t>
        </is>
      </c>
      <c r="B3517" s="1" t="n">
        <v>45608.60768518518</v>
      </c>
      <c r="C3517" s="1" t="n">
        <v>46045</v>
      </c>
      <c r="D3517" t="inlineStr">
        <is>
          <t>JÄMTLANDS LÄN</t>
        </is>
      </c>
      <c r="E3517" t="inlineStr">
        <is>
          <t>BRÄCKE</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24214-2024</t>
        </is>
      </c>
      <c r="B3518" s="1" t="n">
        <v>45457</v>
      </c>
      <c r="C3518" s="1" t="n">
        <v>46045</v>
      </c>
      <c r="D3518" t="inlineStr">
        <is>
          <t>JÄMTLANDS LÄN</t>
        </is>
      </c>
      <c r="E3518" t="inlineStr">
        <is>
          <t>STRÖMSUND</t>
        </is>
      </c>
      <c r="F3518" t="inlineStr">
        <is>
          <t>Holmen skog AB</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58767-2023</t>
        </is>
      </c>
      <c r="B3519" s="1" t="n">
        <v>45251.96665509259</v>
      </c>
      <c r="C3519" s="1" t="n">
        <v>46045</v>
      </c>
      <c r="D3519" t="inlineStr">
        <is>
          <t>JÄMTLANDS LÄN</t>
        </is>
      </c>
      <c r="E3519" t="inlineStr">
        <is>
          <t>BRÄCKE</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29751-2023</t>
        </is>
      </c>
      <c r="B3520" s="1" t="n">
        <v>45107</v>
      </c>
      <c r="C3520" s="1" t="n">
        <v>46045</v>
      </c>
      <c r="D3520" t="inlineStr">
        <is>
          <t>JÄMTLANDS LÄN</t>
        </is>
      </c>
      <c r="E3520" t="inlineStr">
        <is>
          <t>BRÄCKE</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24234-2024</t>
        </is>
      </c>
      <c r="B3521" s="1" t="n">
        <v>45457.35388888889</v>
      </c>
      <c r="C3521" s="1" t="n">
        <v>46045</v>
      </c>
      <c r="D3521" t="inlineStr">
        <is>
          <t>JÄMTLANDS LÄN</t>
        </is>
      </c>
      <c r="E3521" t="inlineStr">
        <is>
          <t>KROKOM</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52911-2023</t>
        </is>
      </c>
      <c r="B3522" s="1" t="n">
        <v>45226</v>
      </c>
      <c r="C3522" s="1" t="n">
        <v>46045</v>
      </c>
      <c r="D3522" t="inlineStr">
        <is>
          <t>JÄMTLANDS LÄN</t>
        </is>
      </c>
      <c r="E3522" t="inlineStr">
        <is>
          <t>KROKOM</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53010-2024</t>
        </is>
      </c>
      <c r="B3523" s="1" t="n">
        <v>45611.4021875</v>
      </c>
      <c r="C3523" s="1" t="n">
        <v>46045</v>
      </c>
      <c r="D3523" t="inlineStr">
        <is>
          <t>JÄMTLANDS LÄN</t>
        </is>
      </c>
      <c r="E3523" t="inlineStr">
        <is>
          <t>HÄRJEDALEN</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10588-2025</t>
        </is>
      </c>
      <c r="B3524" s="1" t="n">
        <v>45721.55653935186</v>
      </c>
      <c r="C3524" s="1" t="n">
        <v>46045</v>
      </c>
      <c r="D3524" t="inlineStr">
        <is>
          <t>JÄMTLANDS LÄN</t>
        </is>
      </c>
      <c r="E3524" t="inlineStr">
        <is>
          <t>KROKOM</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16817-2024</t>
        </is>
      </c>
      <c r="B3525" s="1" t="n">
        <v>45411.4666087963</v>
      </c>
      <c r="C3525" s="1" t="n">
        <v>46045</v>
      </c>
      <c r="D3525" t="inlineStr">
        <is>
          <t>JÄMTLANDS LÄN</t>
        </is>
      </c>
      <c r="E3525" t="inlineStr">
        <is>
          <t>KROKOM</t>
        </is>
      </c>
      <c r="F3525" t="inlineStr">
        <is>
          <t>Övriga Aktiebolag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44453-2023</t>
        </is>
      </c>
      <c r="B3526" s="1" t="n">
        <v>45189</v>
      </c>
      <c r="C3526" s="1" t="n">
        <v>46045</v>
      </c>
      <c r="D3526" t="inlineStr">
        <is>
          <t>JÄMTLANDS LÄN</t>
        </is>
      </c>
      <c r="E3526" t="inlineStr">
        <is>
          <t>KROKOM</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52645-2024</t>
        </is>
      </c>
      <c r="B3527" s="1" t="n">
        <v>45610.34516203704</v>
      </c>
      <c r="C3527" s="1" t="n">
        <v>46045</v>
      </c>
      <c r="D3527" t="inlineStr">
        <is>
          <t>JÄMTLANDS LÄN</t>
        </is>
      </c>
      <c r="E3527" t="inlineStr">
        <is>
          <t>STRÖMSUND</t>
        </is>
      </c>
      <c r="F3527" t="inlineStr">
        <is>
          <t>SCA</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32225-2024</t>
        </is>
      </c>
      <c r="B3528" s="1" t="n">
        <v>45511.92825231481</v>
      </c>
      <c r="C3528" s="1" t="n">
        <v>46045</v>
      </c>
      <c r="D3528" t="inlineStr">
        <is>
          <t>JÄMTLANDS LÄN</t>
        </is>
      </c>
      <c r="E3528" t="inlineStr">
        <is>
          <t>ÖSTERSUND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55867-2024</t>
        </is>
      </c>
      <c r="B3529" s="1" t="n">
        <v>45622</v>
      </c>
      <c r="C3529" s="1" t="n">
        <v>46045</v>
      </c>
      <c r="D3529" t="inlineStr">
        <is>
          <t>JÄMTLANDS LÄN</t>
        </is>
      </c>
      <c r="E3529" t="inlineStr">
        <is>
          <t>HÄRJEDALEN</t>
        </is>
      </c>
      <c r="F3529" t="inlineStr">
        <is>
          <t>Bergvik skog väst AB</t>
        </is>
      </c>
      <c r="G3529" t="n">
        <v>14.4</v>
      </c>
      <c r="H3529" t="n">
        <v>0</v>
      </c>
      <c r="I3529" t="n">
        <v>0</v>
      </c>
      <c r="J3529" t="n">
        <v>0</v>
      </c>
      <c r="K3529" t="n">
        <v>0</v>
      </c>
      <c r="L3529" t="n">
        <v>0</v>
      </c>
      <c r="M3529" t="n">
        <v>0</v>
      </c>
      <c r="N3529" t="n">
        <v>0</v>
      </c>
      <c r="O3529" t="n">
        <v>0</v>
      </c>
      <c r="P3529" t="n">
        <v>0</v>
      </c>
      <c r="Q3529" t="n">
        <v>0</v>
      </c>
      <c r="R3529" s="2" t="inlineStr"/>
    </row>
    <row r="3530" ht="15" customHeight="1">
      <c r="A3530" t="inlineStr">
        <is>
          <t>A 54682-2024</t>
        </is>
      </c>
      <c r="B3530" s="1" t="n">
        <v>45618</v>
      </c>
      <c r="C3530" s="1" t="n">
        <v>46045</v>
      </c>
      <c r="D3530" t="inlineStr">
        <is>
          <t>JÄMTLANDS LÄN</t>
        </is>
      </c>
      <c r="E3530" t="inlineStr">
        <is>
          <t>HÄRJEDALEN</t>
        </is>
      </c>
      <c r="G3530" t="n">
        <v>14.2</v>
      </c>
      <c r="H3530" t="n">
        <v>0</v>
      </c>
      <c r="I3530" t="n">
        <v>0</v>
      </c>
      <c r="J3530" t="n">
        <v>0</v>
      </c>
      <c r="K3530" t="n">
        <v>0</v>
      </c>
      <c r="L3530" t="n">
        <v>0</v>
      </c>
      <c r="M3530" t="n">
        <v>0</v>
      </c>
      <c r="N3530" t="n">
        <v>0</v>
      </c>
      <c r="O3530" t="n">
        <v>0</v>
      </c>
      <c r="P3530" t="n">
        <v>0</v>
      </c>
      <c r="Q3530" t="n">
        <v>0</v>
      </c>
      <c r="R3530" s="2" t="inlineStr"/>
    </row>
    <row r="3531" ht="15" customHeight="1">
      <c r="A3531" t="inlineStr">
        <is>
          <t>A 54764-2024</t>
        </is>
      </c>
      <c r="B3531" s="1" t="n">
        <v>45618.46921296296</v>
      </c>
      <c r="C3531" s="1" t="n">
        <v>46045</v>
      </c>
      <c r="D3531" t="inlineStr">
        <is>
          <t>JÄMTLANDS LÄN</t>
        </is>
      </c>
      <c r="E3531" t="inlineStr">
        <is>
          <t>RAGUNDA</t>
        </is>
      </c>
      <c r="F3531" t="inlineStr">
        <is>
          <t>SCA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12866-2024</t>
        </is>
      </c>
      <c r="B3532" s="1" t="n">
        <v>45384.94175925926</v>
      </c>
      <c r="C3532" s="1" t="n">
        <v>46045</v>
      </c>
      <c r="D3532" t="inlineStr">
        <is>
          <t>JÄMTLANDS LÄN</t>
        </is>
      </c>
      <c r="E3532" t="inlineStr">
        <is>
          <t>STRÖMSUND</t>
        </is>
      </c>
      <c r="F3532" t="inlineStr">
        <is>
          <t>SCA</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56822-2022</t>
        </is>
      </c>
      <c r="B3533" s="1" t="n">
        <v>44894.44673611111</v>
      </c>
      <c r="C3533" s="1" t="n">
        <v>46045</v>
      </c>
      <c r="D3533" t="inlineStr">
        <is>
          <t>JÄMTLANDS LÄN</t>
        </is>
      </c>
      <c r="E3533" t="inlineStr">
        <is>
          <t>BRÄCKE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30379-2024</t>
        </is>
      </c>
      <c r="B3534" s="1" t="n">
        <v>45491.43815972222</v>
      </c>
      <c r="C3534" s="1" t="n">
        <v>46045</v>
      </c>
      <c r="D3534" t="inlineStr">
        <is>
          <t>JÄMTLANDS LÄN</t>
        </is>
      </c>
      <c r="E3534" t="inlineStr">
        <is>
          <t>ÅRE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42480-2024</t>
        </is>
      </c>
      <c r="B3535" s="1" t="n">
        <v>45565.49185185185</v>
      </c>
      <c r="C3535" s="1" t="n">
        <v>46045</v>
      </c>
      <c r="D3535" t="inlineStr">
        <is>
          <t>JÄMTLANDS LÄN</t>
        </is>
      </c>
      <c r="E3535" t="inlineStr">
        <is>
          <t>BRÄCKE</t>
        </is>
      </c>
      <c r="F3535" t="inlineStr">
        <is>
          <t>Kyrkan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54828-2024</t>
        </is>
      </c>
      <c r="B3536" s="1" t="n">
        <v>45618.54398148148</v>
      </c>
      <c r="C3536" s="1" t="n">
        <v>46045</v>
      </c>
      <c r="D3536" t="inlineStr">
        <is>
          <t>JÄMTLANDS LÄN</t>
        </is>
      </c>
      <c r="E3536" t="inlineStr">
        <is>
          <t>KROKOM</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13373-2024</t>
        </is>
      </c>
      <c r="B3537" s="1" t="n">
        <v>45387.37010416666</v>
      </c>
      <c r="C3537" s="1" t="n">
        <v>46045</v>
      </c>
      <c r="D3537" t="inlineStr">
        <is>
          <t>JÄMTLANDS LÄN</t>
        </is>
      </c>
      <c r="E3537" t="inlineStr">
        <is>
          <t>BERG</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38388-2025</t>
        </is>
      </c>
      <c r="B3538" s="1" t="n">
        <v>45883.57467592593</v>
      </c>
      <c r="C3538" s="1" t="n">
        <v>46045</v>
      </c>
      <c r="D3538" t="inlineStr">
        <is>
          <t>JÄMTLANDS LÄN</t>
        </is>
      </c>
      <c r="E3538" t="inlineStr">
        <is>
          <t>BERG</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13584-2024</t>
        </is>
      </c>
      <c r="B3539" s="1" t="n">
        <v>45389</v>
      </c>
      <c r="C3539" s="1" t="n">
        <v>46045</v>
      </c>
      <c r="D3539" t="inlineStr">
        <is>
          <t>JÄMTLANDS LÄN</t>
        </is>
      </c>
      <c r="E3539" t="inlineStr">
        <is>
          <t>STRÖMSUND</t>
        </is>
      </c>
      <c r="G3539" t="n">
        <v>47.8</v>
      </c>
      <c r="H3539" t="n">
        <v>0</v>
      </c>
      <c r="I3539" t="n">
        <v>0</v>
      </c>
      <c r="J3539" t="n">
        <v>0</v>
      </c>
      <c r="K3539" t="n">
        <v>0</v>
      </c>
      <c r="L3539" t="n">
        <v>0</v>
      </c>
      <c r="M3539" t="n">
        <v>0</v>
      </c>
      <c r="N3539" t="n">
        <v>0</v>
      </c>
      <c r="O3539" t="n">
        <v>0</v>
      </c>
      <c r="P3539" t="n">
        <v>0</v>
      </c>
      <c r="Q3539" t="n">
        <v>0</v>
      </c>
      <c r="R3539" s="2" t="inlineStr"/>
    </row>
    <row r="3540" ht="15" customHeight="1">
      <c r="A3540" t="inlineStr">
        <is>
          <t>A 37231-2022</t>
        </is>
      </c>
      <c r="B3540" s="1" t="n">
        <v>44806</v>
      </c>
      <c r="C3540" s="1" t="n">
        <v>46045</v>
      </c>
      <c r="D3540" t="inlineStr">
        <is>
          <t>JÄMTLANDS LÄN</t>
        </is>
      </c>
      <c r="E3540" t="inlineStr">
        <is>
          <t>STRÖMSUND</t>
        </is>
      </c>
      <c r="F3540" t="inlineStr">
        <is>
          <t>SCA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53678-2022</t>
        </is>
      </c>
      <c r="B3541" s="1" t="n">
        <v>44879.95768518518</v>
      </c>
      <c r="C3541" s="1" t="n">
        <v>46045</v>
      </c>
      <c r="D3541" t="inlineStr">
        <is>
          <t>JÄMTLANDS LÄN</t>
        </is>
      </c>
      <c r="E3541" t="inlineStr">
        <is>
          <t>RAGUNDA</t>
        </is>
      </c>
      <c r="F3541" t="inlineStr">
        <is>
          <t>Sveaskog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14369-2024</t>
        </is>
      </c>
      <c r="B3542" s="1" t="n">
        <v>45393.94459490741</v>
      </c>
      <c r="C3542" s="1" t="n">
        <v>46045</v>
      </c>
      <c r="D3542" t="inlineStr">
        <is>
          <t>JÄMTLANDS LÄN</t>
        </is>
      </c>
      <c r="E3542" t="inlineStr">
        <is>
          <t>RAGUNDA</t>
        </is>
      </c>
      <c r="F3542" t="inlineStr">
        <is>
          <t>Naturvårdsverket</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53260-2024</t>
        </is>
      </c>
      <c r="B3543" s="1" t="n">
        <v>45614</v>
      </c>
      <c r="C3543" s="1" t="n">
        <v>46045</v>
      </c>
      <c r="D3543" t="inlineStr">
        <is>
          <t>JÄMTLANDS LÄN</t>
        </is>
      </c>
      <c r="E3543" t="inlineStr">
        <is>
          <t>BRÄCKE</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23942-2024</t>
        </is>
      </c>
      <c r="B3544" s="1" t="n">
        <v>45455.96350694444</v>
      </c>
      <c r="C3544" s="1" t="n">
        <v>46045</v>
      </c>
      <c r="D3544" t="inlineStr">
        <is>
          <t>JÄMTLANDS LÄN</t>
        </is>
      </c>
      <c r="E3544" t="inlineStr">
        <is>
          <t>STRÖMSUND</t>
        </is>
      </c>
      <c r="F3544" t="inlineStr">
        <is>
          <t>SCA</t>
        </is>
      </c>
      <c r="G3544" t="n">
        <v>10.1</v>
      </c>
      <c r="H3544" t="n">
        <v>0</v>
      </c>
      <c r="I3544" t="n">
        <v>0</v>
      </c>
      <c r="J3544" t="n">
        <v>0</v>
      </c>
      <c r="K3544" t="n">
        <v>0</v>
      </c>
      <c r="L3544" t="n">
        <v>0</v>
      </c>
      <c r="M3544" t="n">
        <v>0</v>
      </c>
      <c r="N3544" t="n">
        <v>0</v>
      </c>
      <c r="O3544" t="n">
        <v>0</v>
      </c>
      <c r="P3544" t="n">
        <v>0</v>
      </c>
      <c r="Q3544" t="n">
        <v>0</v>
      </c>
      <c r="R3544" s="2" t="inlineStr"/>
    </row>
    <row r="3545" ht="15" customHeight="1">
      <c r="A3545" t="inlineStr">
        <is>
          <t>A 10639-2024</t>
        </is>
      </c>
      <c r="B3545" s="1" t="n">
        <v>45367.67256944445</v>
      </c>
      <c r="C3545" s="1" t="n">
        <v>46045</v>
      </c>
      <c r="D3545" t="inlineStr">
        <is>
          <t>JÄMTLANDS LÄN</t>
        </is>
      </c>
      <c r="E3545" t="inlineStr">
        <is>
          <t>RAGUNDA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31342-2021</t>
        </is>
      </c>
      <c r="B3546" s="1" t="n">
        <v>44368.93855324074</v>
      </c>
      <c r="C3546" s="1" t="n">
        <v>46045</v>
      </c>
      <c r="D3546" t="inlineStr">
        <is>
          <t>JÄMTLANDS LÄN</t>
        </is>
      </c>
      <c r="E3546" t="inlineStr">
        <is>
          <t>BRÄCKE</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53328-2024</t>
        </is>
      </c>
      <c r="B3547" s="1" t="n">
        <v>45614.41456018519</v>
      </c>
      <c r="C3547" s="1" t="n">
        <v>46045</v>
      </c>
      <c r="D3547" t="inlineStr">
        <is>
          <t>JÄMTLANDS LÄN</t>
        </is>
      </c>
      <c r="E3547" t="inlineStr">
        <is>
          <t>STRÖMSUND</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56429-2024</t>
        </is>
      </c>
      <c r="B3548" s="1" t="n">
        <v>45625.40149305556</v>
      </c>
      <c r="C3548" s="1" t="n">
        <v>46045</v>
      </c>
      <c r="D3548" t="inlineStr">
        <is>
          <t>JÄMTLANDS LÄN</t>
        </is>
      </c>
      <c r="E3548" t="inlineStr">
        <is>
          <t>BRÄCKE</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56432-2024</t>
        </is>
      </c>
      <c r="B3549" s="1" t="n">
        <v>45625.40679398148</v>
      </c>
      <c r="C3549" s="1" t="n">
        <v>46045</v>
      </c>
      <c r="D3549" t="inlineStr">
        <is>
          <t>JÄMTLANDS LÄN</t>
        </is>
      </c>
      <c r="E3549" t="inlineStr">
        <is>
          <t>BRÄCKE</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20003-2024</t>
        </is>
      </c>
      <c r="B3550" s="1" t="n">
        <v>45433.94275462963</v>
      </c>
      <c r="C3550" s="1" t="n">
        <v>46045</v>
      </c>
      <c r="D3550" t="inlineStr">
        <is>
          <t>JÄMTLANDS LÄN</t>
        </is>
      </c>
      <c r="E3550" t="inlineStr">
        <is>
          <t>BRÄCKE</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20009-2024</t>
        </is>
      </c>
      <c r="B3551" s="1" t="n">
        <v>45433.94325231481</v>
      </c>
      <c r="C3551" s="1" t="n">
        <v>46045</v>
      </c>
      <c r="D3551" t="inlineStr">
        <is>
          <t>JÄMTLANDS LÄN</t>
        </is>
      </c>
      <c r="E3551" t="inlineStr">
        <is>
          <t>BRÄCKE</t>
        </is>
      </c>
      <c r="F3551" t="inlineStr">
        <is>
          <t>SCA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13936-2024</t>
        </is>
      </c>
      <c r="B3552" s="1" t="n">
        <v>45391.9533912037</v>
      </c>
      <c r="C3552" s="1" t="n">
        <v>46045</v>
      </c>
      <c r="D3552" t="inlineStr">
        <is>
          <t>JÄMTLANDS LÄN</t>
        </is>
      </c>
      <c r="E3552" t="inlineStr">
        <is>
          <t>BERG</t>
        </is>
      </c>
      <c r="F3552" t="inlineStr">
        <is>
          <t>SCA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14032-2024</t>
        </is>
      </c>
      <c r="B3553" s="1" t="n">
        <v>45392</v>
      </c>
      <c r="C3553" s="1" t="n">
        <v>46045</v>
      </c>
      <c r="D3553" t="inlineStr">
        <is>
          <t>JÄMTLANDS LÄN</t>
        </is>
      </c>
      <c r="E3553" t="inlineStr">
        <is>
          <t>KROKOM</t>
        </is>
      </c>
      <c r="F3553" t="inlineStr">
        <is>
          <t>Kyrkan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21616-2024</t>
        </is>
      </c>
      <c r="B3554" s="1" t="n">
        <v>45441.95365740741</v>
      </c>
      <c r="C3554" s="1" t="n">
        <v>46045</v>
      </c>
      <c r="D3554" t="inlineStr">
        <is>
          <t>JÄMTLANDS LÄN</t>
        </is>
      </c>
      <c r="E3554" t="inlineStr">
        <is>
          <t>STRÖMSUND</t>
        </is>
      </c>
      <c r="F3554" t="inlineStr">
        <is>
          <t>SCA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17417-2024</t>
        </is>
      </c>
      <c r="B3555" s="1" t="n">
        <v>45414.96341435185</v>
      </c>
      <c r="C3555" s="1" t="n">
        <v>46045</v>
      </c>
      <c r="D3555" t="inlineStr">
        <is>
          <t>JÄMTLANDS LÄN</t>
        </is>
      </c>
      <c r="E3555" t="inlineStr">
        <is>
          <t>KROKOM</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23064-2024</t>
        </is>
      </c>
      <c r="B3556" s="1" t="n">
        <v>45450.44827546296</v>
      </c>
      <c r="C3556" s="1" t="n">
        <v>46045</v>
      </c>
      <c r="D3556" t="inlineStr">
        <is>
          <t>JÄMTLANDS LÄN</t>
        </is>
      </c>
      <c r="E3556" t="inlineStr">
        <is>
          <t>BRÄCKE</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52737-2023</t>
        </is>
      </c>
      <c r="B3557" s="1" t="n">
        <v>45225.96638888889</v>
      </c>
      <c r="C3557" s="1" t="n">
        <v>46045</v>
      </c>
      <c r="D3557" t="inlineStr">
        <is>
          <t>JÄMTLANDS LÄN</t>
        </is>
      </c>
      <c r="E3557" t="inlineStr">
        <is>
          <t>STRÖMSUND</t>
        </is>
      </c>
      <c r="F3557" t="inlineStr">
        <is>
          <t>SCA</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51763-2024</t>
        </is>
      </c>
      <c r="B3558" s="1" t="n">
        <v>45607.44210648148</v>
      </c>
      <c r="C3558" s="1" t="n">
        <v>46045</v>
      </c>
      <c r="D3558" t="inlineStr">
        <is>
          <t>JÄMTLANDS LÄN</t>
        </is>
      </c>
      <c r="E3558" t="inlineStr">
        <is>
          <t>STRÖMSUND</t>
        </is>
      </c>
      <c r="F3558" t="inlineStr">
        <is>
          <t>Kommuner</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5261-2024</t>
        </is>
      </c>
      <c r="B3559" s="1" t="n">
        <v>45330.96133101852</v>
      </c>
      <c r="C3559" s="1" t="n">
        <v>46045</v>
      </c>
      <c r="D3559" t="inlineStr">
        <is>
          <t>JÄMTLANDS LÄN</t>
        </is>
      </c>
      <c r="E3559" t="inlineStr">
        <is>
          <t>STRÖMSUND</t>
        </is>
      </c>
      <c r="F3559" t="inlineStr">
        <is>
          <t>SCA</t>
        </is>
      </c>
      <c r="G3559" t="n">
        <v>29.7</v>
      </c>
      <c r="H3559" t="n">
        <v>0</v>
      </c>
      <c r="I3559" t="n">
        <v>0</v>
      </c>
      <c r="J3559" t="n">
        <v>0</v>
      </c>
      <c r="K3559" t="n">
        <v>0</v>
      </c>
      <c r="L3559" t="n">
        <v>0</v>
      </c>
      <c r="M3559" t="n">
        <v>0</v>
      </c>
      <c r="N3559" t="n">
        <v>0</v>
      </c>
      <c r="O3559" t="n">
        <v>0</v>
      </c>
      <c r="P3559" t="n">
        <v>0</v>
      </c>
      <c r="Q3559" t="n">
        <v>0</v>
      </c>
      <c r="R3559" s="2" t="inlineStr"/>
    </row>
    <row r="3560" ht="15" customHeight="1">
      <c r="A3560" t="inlineStr">
        <is>
          <t>A 18600-2024</t>
        </is>
      </c>
      <c r="B3560" s="1" t="n">
        <v>45425.92462962963</v>
      </c>
      <c r="C3560" s="1" t="n">
        <v>46045</v>
      </c>
      <c r="D3560" t="inlineStr">
        <is>
          <t>JÄMTLANDS LÄN</t>
        </is>
      </c>
      <c r="E3560" t="inlineStr">
        <is>
          <t>BRÄCKE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58232-2021</t>
        </is>
      </c>
      <c r="B3561" s="1" t="n">
        <v>44487</v>
      </c>
      <c r="C3561" s="1" t="n">
        <v>46045</v>
      </c>
      <c r="D3561" t="inlineStr">
        <is>
          <t>JÄMTLANDS LÄN</t>
        </is>
      </c>
      <c r="E3561" t="inlineStr">
        <is>
          <t>ÅRE</t>
        </is>
      </c>
      <c r="G3561" t="n">
        <v>43.7</v>
      </c>
      <c r="H3561" t="n">
        <v>0</v>
      </c>
      <c r="I3561" t="n">
        <v>0</v>
      </c>
      <c r="J3561" t="n">
        <v>0</v>
      </c>
      <c r="K3561" t="n">
        <v>0</v>
      </c>
      <c r="L3561" t="n">
        <v>0</v>
      </c>
      <c r="M3561" t="n">
        <v>0</v>
      </c>
      <c r="N3561" t="n">
        <v>0</v>
      </c>
      <c r="O3561" t="n">
        <v>0</v>
      </c>
      <c r="P3561" t="n">
        <v>0</v>
      </c>
      <c r="Q3561" t="n">
        <v>0</v>
      </c>
      <c r="R3561" s="2" t="inlineStr"/>
    </row>
    <row r="3562" ht="15" customHeight="1">
      <c r="A3562" t="inlineStr">
        <is>
          <t>A 12342-2023</t>
        </is>
      </c>
      <c r="B3562" s="1" t="n">
        <v>44998</v>
      </c>
      <c r="C3562" s="1" t="n">
        <v>46045</v>
      </c>
      <c r="D3562" t="inlineStr">
        <is>
          <t>JÄMTLANDS LÄN</t>
        </is>
      </c>
      <c r="E3562" t="inlineStr">
        <is>
          <t>BERG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38408-2025</t>
        </is>
      </c>
      <c r="B3563" s="1" t="n">
        <v>45883.59412037037</v>
      </c>
      <c r="C3563" s="1" t="n">
        <v>46045</v>
      </c>
      <c r="D3563" t="inlineStr">
        <is>
          <t>JÄMTLANDS LÄN</t>
        </is>
      </c>
      <c r="E3563" t="inlineStr">
        <is>
          <t>BERG</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29941-2023</t>
        </is>
      </c>
      <c r="B3564" s="1" t="n">
        <v>45107</v>
      </c>
      <c r="C3564" s="1" t="n">
        <v>46045</v>
      </c>
      <c r="D3564" t="inlineStr">
        <is>
          <t>JÄMTLANDS LÄN</t>
        </is>
      </c>
      <c r="E3564" t="inlineStr">
        <is>
          <t>BRÄCKE</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48816-2022</t>
        </is>
      </c>
      <c r="B3565" s="1" t="n">
        <v>44859</v>
      </c>
      <c r="C3565" s="1" t="n">
        <v>46045</v>
      </c>
      <c r="D3565" t="inlineStr">
        <is>
          <t>JÄMTLANDS LÄN</t>
        </is>
      </c>
      <c r="E3565" t="inlineStr">
        <is>
          <t>BRÄCKE</t>
        </is>
      </c>
      <c r="G3565" t="n">
        <v>13.3</v>
      </c>
      <c r="H3565" t="n">
        <v>0</v>
      </c>
      <c r="I3565" t="n">
        <v>0</v>
      </c>
      <c r="J3565" t="n">
        <v>0</v>
      </c>
      <c r="K3565" t="n">
        <v>0</v>
      </c>
      <c r="L3565" t="n">
        <v>0</v>
      </c>
      <c r="M3565" t="n">
        <v>0</v>
      </c>
      <c r="N3565" t="n">
        <v>0</v>
      </c>
      <c r="O3565" t="n">
        <v>0</v>
      </c>
      <c r="P3565" t="n">
        <v>0</v>
      </c>
      <c r="Q3565" t="n">
        <v>0</v>
      </c>
      <c r="R3565" s="2" t="inlineStr"/>
    </row>
    <row r="3566" ht="15" customHeight="1">
      <c r="A3566" t="inlineStr">
        <is>
          <t>A 54079-2024</t>
        </is>
      </c>
      <c r="B3566" s="1" t="n">
        <v>45616.49530092593</v>
      </c>
      <c r="C3566" s="1" t="n">
        <v>46045</v>
      </c>
      <c r="D3566" t="inlineStr">
        <is>
          <t>JÄMTLANDS LÄN</t>
        </is>
      </c>
      <c r="E3566" t="inlineStr">
        <is>
          <t>HÄRJEDALEN</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18541-2025</t>
        </is>
      </c>
      <c r="B3567" s="1" t="n">
        <v>45763.41402777778</v>
      </c>
      <c r="C3567" s="1" t="n">
        <v>46045</v>
      </c>
      <c r="D3567" t="inlineStr">
        <is>
          <t>JÄMTLANDS LÄN</t>
        </is>
      </c>
      <c r="E3567" t="inlineStr">
        <is>
          <t>HÄRJEDALEN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4050-2023</t>
        </is>
      </c>
      <c r="B3568" s="1" t="n">
        <v>44952.60730324074</v>
      </c>
      <c r="C3568" s="1" t="n">
        <v>46045</v>
      </c>
      <c r="D3568" t="inlineStr">
        <is>
          <t>JÄMTLANDS LÄN</t>
        </is>
      </c>
      <c r="E3568" t="inlineStr">
        <is>
          <t>STRÖMSUND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55944-2022</t>
        </is>
      </c>
      <c r="B3569" s="1" t="n">
        <v>44889</v>
      </c>
      <c r="C3569" s="1" t="n">
        <v>46045</v>
      </c>
      <c r="D3569" t="inlineStr">
        <is>
          <t>JÄMTLANDS LÄN</t>
        </is>
      </c>
      <c r="E3569" t="inlineStr">
        <is>
          <t>ÅRE</t>
        </is>
      </c>
      <c r="G3569" t="n">
        <v>11.1</v>
      </c>
      <c r="H3569" t="n">
        <v>0</v>
      </c>
      <c r="I3569" t="n">
        <v>0</v>
      </c>
      <c r="J3569" t="n">
        <v>0</v>
      </c>
      <c r="K3569" t="n">
        <v>0</v>
      </c>
      <c r="L3569" t="n">
        <v>0</v>
      </c>
      <c r="M3569" t="n">
        <v>0</v>
      </c>
      <c r="N3569" t="n">
        <v>0</v>
      </c>
      <c r="O3569" t="n">
        <v>0</v>
      </c>
      <c r="P3569" t="n">
        <v>0</v>
      </c>
      <c r="Q3569" t="n">
        <v>0</v>
      </c>
      <c r="R3569" s="2" t="inlineStr"/>
    </row>
    <row r="3570" ht="15" customHeight="1">
      <c r="A3570" t="inlineStr">
        <is>
          <t>A 44889-2023</t>
        </is>
      </c>
      <c r="B3570" s="1" t="n">
        <v>45190</v>
      </c>
      <c r="C3570" s="1" t="n">
        <v>46045</v>
      </c>
      <c r="D3570" t="inlineStr">
        <is>
          <t>JÄMTLANDS LÄN</t>
        </is>
      </c>
      <c r="E3570" t="inlineStr">
        <is>
          <t>ÅRE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36926-2023</t>
        </is>
      </c>
      <c r="B3571" s="1" t="n">
        <v>45154</v>
      </c>
      <c r="C3571" s="1" t="n">
        <v>46045</v>
      </c>
      <c r="D3571" t="inlineStr">
        <is>
          <t>JÄMTLANDS LÄN</t>
        </is>
      </c>
      <c r="E3571" t="inlineStr">
        <is>
          <t>HÄRJEDALEN</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34137-2023</t>
        </is>
      </c>
      <c r="B3572" s="1" t="n">
        <v>45135</v>
      </c>
      <c r="C3572" s="1" t="n">
        <v>46045</v>
      </c>
      <c r="D3572" t="inlineStr">
        <is>
          <t>JÄMTLANDS LÄN</t>
        </is>
      </c>
      <c r="E3572" t="inlineStr">
        <is>
          <t>BRÄCKE</t>
        </is>
      </c>
      <c r="F3572" t="inlineStr">
        <is>
          <t>SCA</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23215-2024</t>
        </is>
      </c>
      <c r="B3573" s="1" t="n">
        <v>45452.56446759259</v>
      </c>
      <c r="C3573" s="1" t="n">
        <v>46045</v>
      </c>
      <c r="D3573" t="inlineStr">
        <is>
          <t>JÄMTLANDS LÄN</t>
        </is>
      </c>
      <c r="E3573" t="inlineStr">
        <is>
          <t>KROKOM</t>
        </is>
      </c>
      <c r="F3573" t="inlineStr">
        <is>
          <t>Övriga Aktiebolag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45381-2024</t>
        </is>
      </c>
      <c r="B3574" s="1" t="n">
        <v>45576.53155092592</v>
      </c>
      <c r="C3574" s="1" t="n">
        <v>46045</v>
      </c>
      <c r="D3574" t="inlineStr">
        <is>
          <t>JÄMTLANDS LÄN</t>
        </is>
      </c>
      <c r="E3574" t="inlineStr">
        <is>
          <t>BRÄCKE</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45411-2024</t>
        </is>
      </c>
      <c r="B3575" s="1" t="n">
        <v>45576.59405092592</v>
      </c>
      <c r="C3575" s="1" t="n">
        <v>46045</v>
      </c>
      <c r="D3575" t="inlineStr">
        <is>
          <t>JÄMTLANDS LÄN</t>
        </is>
      </c>
      <c r="E3575" t="inlineStr">
        <is>
          <t>STRÖMSUND</t>
        </is>
      </c>
      <c r="F3575" t="inlineStr">
        <is>
          <t>SCA</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18872-2023</t>
        </is>
      </c>
      <c r="B3576" s="1" t="n">
        <v>45042</v>
      </c>
      <c r="C3576" s="1" t="n">
        <v>46045</v>
      </c>
      <c r="D3576" t="inlineStr">
        <is>
          <t>JÄMTLANDS LÄN</t>
        </is>
      </c>
      <c r="E3576" t="inlineStr">
        <is>
          <t>BERG</t>
        </is>
      </c>
      <c r="G3576" t="n">
        <v>13.2</v>
      </c>
      <c r="H3576" t="n">
        <v>0</v>
      </c>
      <c r="I3576" t="n">
        <v>0</v>
      </c>
      <c r="J3576" t="n">
        <v>0</v>
      </c>
      <c r="K3576" t="n">
        <v>0</v>
      </c>
      <c r="L3576" t="n">
        <v>0</v>
      </c>
      <c r="M3576" t="n">
        <v>0</v>
      </c>
      <c r="N3576" t="n">
        <v>0</v>
      </c>
      <c r="O3576" t="n">
        <v>0</v>
      </c>
      <c r="P3576" t="n">
        <v>0</v>
      </c>
      <c r="Q3576" t="n">
        <v>0</v>
      </c>
      <c r="R3576" s="2" t="inlineStr"/>
    </row>
    <row r="3577" ht="15" customHeight="1">
      <c r="A3577" t="inlineStr">
        <is>
          <t>A 11500-2022</t>
        </is>
      </c>
      <c r="B3577" s="1" t="n">
        <v>44631</v>
      </c>
      <c r="C3577" s="1" t="n">
        <v>46045</v>
      </c>
      <c r="D3577" t="inlineStr">
        <is>
          <t>JÄMTLANDS LÄN</t>
        </is>
      </c>
      <c r="E3577" t="inlineStr">
        <is>
          <t>ÅRE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7447-2022</t>
        </is>
      </c>
      <c r="B3578" s="1" t="n">
        <v>44606</v>
      </c>
      <c r="C3578" s="1" t="n">
        <v>46045</v>
      </c>
      <c r="D3578" t="inlineStr">
        <is>
          <t>JÄMTLANDS LÄN</t>
        </is>
      </c>
      <c r="E3578" t="inlineStr">
        <is>
          <t>BERG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19656-2023</t>
        </is>
      </c>
      <c r="B3579" s="1" t="n">
        <v>45050</v>
      </c>
      <c r="C3579" s="1" t="n">
        <v>46045</v>
      </c>
      <c r="D3579" t="inlineStr">
        <is>
          <t>JÄMTLANDS LÄN</t>
        </is>
      </c>
      <c r="E3579" t="inlineStr">
        <is>
          <t>STRÖMSUND</t>
        </is>
      </c>
      <c r="F3579" t="inlineStr">
        <is>
          <t>Kommuner</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19658-2023</t>
        </is>
      </c>
      <c r="B3580" s="1" t="n">
        <v>45050</v>
      </c>
      <c r="C3580" s="1" t="n">
        <v>46045</v>
      </c>
      <c r="D3580" t="inlineStr">
        <is>
          <t>JÄMTLANDS LÄN</t>
        </is>
      </c>
      <c r="E3580" t="inlineStr">
        <is>
          <t>STRÖMSUND</t>
        </is>
      </c>
      <c r="F3580" t="inlineStr">
        <is>
          <t>Kommuner</t>
        </is>
      </c>
      <c r="G3580" t="n">
        <v>23.7</v>
      </c>
      <c r="H3580" t="n">
        <v>0</v>
      </c>
      <c r="I3580" t="n">
        <v>0</v>
      </c>
      <c r="J3580" t="n">
        <v>0</v>
      </c>
      <c r="K3580" t="n">
        <v>0</v>
      </c>
      <c r="L3580" t="n">
        <v>0</v>
      </c>
      <c r="M3580" t="n">
        <v>0</v>
      </c>
      <c r="N3580" t="n">
        <v>0</v>
      </c>
      <c r="O3580" t="n">
        <v>0</v>
      </c>
      <c r="P3580" t="n">
        <v>0</v>
      </c>
      <c r="Q3580" t="n">
        <v>0</v>
      </c>
      <c r="R3580" s="2" t="inlineStr"/>
    </row>
    <row r="3581" ht="15" customHeight="1">
      <c r="A3581" t="inlineStr">
        <is>
          <t>A 23117-2022</t>
        </is>
      </c>
      <c r="B3581" s="1" t="n">
        <v>44719.56572916666</v>
      </c>
      <c r="C3581" s="1" t="n">
        <v>46045</v>
      </c>
      <c r="D3581" t="inlineStr">
        <is>
          <t>JÄMTLANDS LÄN</t>
        </is>
      </c>
      <c r="E3581" t="inlineStr">
        <is>
          <t>ÅRE</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28137-2023</t>
        </is>
      </c>
      <c r="B3582" s="1" t="n">
        <v>45096</v>
      </c>
      <c r="C3582" s="1" t="n">
        <v>46045</v>
      </c>
      <c r="D3582" t="inlineStr">
        <is>
          <t>JÄMTLANDS LÄN</t>
        </is>
      </c>
      <c r="E3582" t="inlineStr">
        <is>
          <t>KROKOM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13221-2022</t>
        </is>
      </c>
      <c r="B3583" s="1" t="n">
        <v>44644</v>
      </c>
      <c r="C3583" s="1" t="n">
        <v>46045</v>
      </c>
      <c r="D3583" t="inlineStr">
        <is>
          <t>JÄMTLANDS LÄN</t>
        </is>
      </c>
      <c r="E3583" t="inlineStr">
        <is>
          <t>ÅRE</t>
        </is>
      </c>
      <c r="F3583" t="inlineStr">
        <is>
          <t>Övriga Aktiebolag</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46298-2024</t>
        </is>
      </c>
      <c r="B3584" s="1" t="n">
        <v>45581.67739583334</v>
      </c>
      <c r="C3584" s="1" t="n">
        <v>46045</v>
      </c>
      <c r="D3584" t="inlineStr">
        <is>
          <t>JÄMTLANDS LÄN</t>
        </is>
      </c>
      <c r="E3584" t="inlineStr">
        <is>
          <t>BERG</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12521-2023</t>
        </is>
      </c>
      <c r="B3585" s="1" t="n">
        <v>45000</v>
      </c>
      <c r="C3585" s="1" t="n">
        <v>46045</v>
      </c>
      <c r="D3585" t="inlineStr">
        <is>
          <t>JÄMTLANDS LÄN</t>
        </is>
      </c>
      <c r="E3585" t="inlineStr">
        <is>
          <t>RAGUNDA</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38529-2025</t>
        </is>
      </c>
      <c r="B3586" s="1" t="n">
        <v>45884.40726851852</v>
      </c>
      <c r="C3586" s="1" t="n">
        <v>46045</v>
      </c>
      <c r="D3586" t="inlineStr">
        <is>
          <t>JÄMTLANDS LÄN</t>
        </is>
      </c>
      <c r="E3586" t="inlineStr">
        <is>
          <t>STRÖMSUND</t>
        </is>
      </c>
      <c r="F3586" t="inlineStr">
        <is>
          <t>SCA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45869-2024</t>
        </is>
      </c>
      <c r="B3587" s="1" t="n">
        <v>45580.36991898148</v>
      </c>
      <c r="C3587" s="1" t="n">
        <v>46045</v>
      </c>
      <c r="D3587" t="inlineStr">
        <is>
          <t>JÄMTLANDS LÄN</t>
        </is>
      </c>
      <c r="E3587" t="inlineStr">
        <is>
          <t>KROKOM</t>
        </is>
      </c>
      <c r="F3587" t="inlineStr">
        <is>
          <t>Övriga Aktiebolag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4045-2023</t>
        </is>
      </c>
      <c r="B3588" s="1" t="n">
        <v>44952.60439814815</v>
      </c>
      <c r="C3588" s="1" t="n">
        <v>46045</v>
      </c>
      <c r="D3588" t="inlineStr">
        <is>
          <t>JÄMTLANDS LÄN</t>
        </is>
      </c>
      <c r="E3588" t="inlineStr">
        <is>
          <t>STRÖMSUND</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3720-2025</t>
        </is>
      </c>
      <c r="B3589" s="1" t="n">
        <v>45681.5315625</v>
      </c>
      <c r="C3589" s="1" t="n">
        <v>46045</v>
      </c>
      <c r="D3589" t="inlineStr">
        <is>
          <t>JÄMTLANDS LÄN</t>
        </is>
      </c>
      <c r="E3589" t="inlineStr">
        <is>
          <t>RAGUNDA</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104-2025</t>
        </is>
      </c>
      <c r="B3590" s="1" t="n">
        <v>45659</v>
      </c>
      <c r="C3590" s="1" t="n">
        <v>46045</v>
      </c>
      <c r="D3590" t="inlineStr">
        <is>
          <t>JÄMTLANDS LÄN</t>
        </is>
      </c>
      <c r="E3590" t="inlineStr">
        <is>
          <t>BRÄCKE</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4752-2025</t>
        </is>
      </c>
      <c r="B3591" s="1" t="n">
        <v>45688.46570601852</v>
      </c>
      <c r="C3591" s="1" t="n">
        <v>46045</v>
      </c>
      <c r="D3591" t="inlineStr">
        <is>
          <t>JÄMTLANDS LÄN</t>
        </is>
      </c>
      <c r="E3591" t="inlineStr">
        <is>
          <t>HÄRJEDALEN</t>
        </is>
      </c>
      <c r="F3591" t="inlineStr">
        <is>
          <t>Bergvik skog väst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27596-2024</t>
        </is>
      </c>
      <c r="B3592" s="1" t="n">
        <v>45474.69074074074</v>
      </c>
      <c r="C3592" s="1" t="n">
        <v>46045</v>
      </c>
      <c r="D3592" t="inlineStr">
        <is>
          <t>JÄMTLANDS LÄN</t>
        </is>
      </c>
      <c r="E3592" t="inlineStr">
        <is>
          <t>KROKOM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7279-2024</t>
        </is>
      </c>
      <c r="B3593" s="1" t="n">
        <v>45344.92822916667</v>
      </c>
      <c r="C3593" s="1" t="n">
        <v>46045</v>
      </c>
      <c r="D3593" t="inlineStr">
        <is>
          <t>JÄMTLANDS LÄN</t>
        </is>
      </c>
      <c r="E3593" t="inlineStr">
        <is>
          <t>RAGUNDA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58584-2023</t>
        </is>
      </c>
      <c r="B3594" s="1" t="n">
        <v>45246</v>
      </c>
      <c r="C3594" s="1" t="n">
        <v>46045</v>
      </c>
      <c r="D3594" t="inlineStr">
        <is>
          <t>JÄMTLANDS LÄN</t>
        </is>
      </c>
      <c r="E3594" t="inlineStr">
        <is>
          <t>STRÖMSUND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12182-2023</t>
        </is>
      </c>
      <c r="B3595" s="1" t="n">
        <v>44998</v>
      </c>
      <c r="C3595" s="1" t="n">
        <v>46045</v>
      </c>
      <c r="D3595" t="inlineStr">
        <is>
          <t>JÄMTLANDS LÄN</t>
        </is>
      </c>
      <c r="E3595" t="inlineStr">
        <is>
          <t>ÅRE</t>
        </is>
      </c>
      <c r="G3595" t="n">
        <v>11.7</v>
      </c>
      <c r="H3595" t="n">
        <v>0</v>
      </c>
      <c r="I3595" t="n">
        <v>0</v>
      </c>
      <c r="J3595" t="n">
        <v>0</v>
      </c>
      <c r="K3595" t="n">
        <v>0</v>
      </c>
      <c r="L3595" t="n">
        <v>0</v>
      </c>
      <c r="M3595" t="n">
        <v>0</v>
      </c>
      <c r="N3595" t="n">
        <v>0</v>
      </c>
      <c r="O3595" t="n">
        <v>0</v>
      </c>
      <c r="P3595" t="n">
        <v>0</v>
      </c>
      <c r="Q3595" t="n">
        <v>0</v>
      </c>
      <c r="R3595" s="2" t="inlineStr"/>
    </row>
    <row r="3596" ht="15" customHeight="1">
      <c r="A3596" t="inlineStr">
        <is>
          <t>A 43252-2023</t>
        </is>
      </c>
      <c r="B3596" s="1" t="n">
        <v>45183</v>
      </c>
      <c r="C3596" s="1" t="n">
        <v>46045</v>
      </c>
      <c r="D3596" t="inlineStr">
        <is>
          <t>JÄMTLANDS LÄN</t>
        </is>
      </c>
      <c r="E3596" t="inlineStr">
        <is>
          <t>ÖSTERSUND</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31988-2024</t>
        </is>
      </c>
      <c r="B3597" s="1" t="n">
        <v>45510.58033564815</v>
      </c>
      <c r="C3597" s="1" t="n">
        <v>46045</v>
      </c>
      <c r="D3597" t="inlineStr">
        <is>
          <t>JÄMTLANDS LÄN</t>
        </is>
      </c>
      <c r="E3597" t="inlineStr">
        <is>
          <t>KROKOM</t>
        </is>
      </c>
      <c r="F3597" t="inlineStr">
        <is>
          <t>Övriga Aktiebolag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25385-2024</t>
        </is>
      </c>
      <c r="B3598" s="1" t="n">
        <v>45462.96347222223</v>
      </c>
      <c r="C3598" s="1" t="n">
        <v>46045</v>
      </c>
      <c r="D3598" t="inlineStr">
        <is>
          <t>JÄMTLANDS LÄN</t>
        </is>
      </c>
      <c r="E3598" t="inlineStr">
        <is>
          <t>ÖSTERSUND</t>
        </is>
      </c>
      <c r="F3598" t="inlineStr">
        <is>
          <t>SCA</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59968-2023</t>
        </is>
      </c>
      <c r="B3599" s="1" t="n">
        <v>45254</v>
      </c>
      <c r="C3599" s="1" t="n">
        <v>46045</v>
      </c>
      <c r="D3599" t="inlineStr">
        <is>
          <t>JÄMTLANDS LÄN</t>
        </is>
      </c>
      <c r="E3599" t="inlineStr">
        <is>
          <t>ÅRE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3249-2025</t>
        </is>
      </c>
      <c r="B3600" s="1" t="n">
        <v>45679.53177083333</v>
      </c>
      <c r="C3600" s="1" t="n">
        <v>46045</v>
      </c>
      <c r="D3600" t="inlineStr">
        <is>
          <t>JÄMTLANDS LÄN</t>
        </is>
      </c>
      <c r="E3600" t="inlineStr">
        <is>
          <t>BRÄCKE</t>
        </is>
      </c>
      <c r="F3600" t="inlineStr">
        <is>
          <t>SCA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4381-2023</t>
        </is>
      </c>
      <c r="B3601" s="1" t="n">
        <v>44955</v>
      </c>
      <c r="C3601" s="1" t="n">
        <v>46045</v>
      </c>
      <c r="D3601" t="inlineStr">
        <is>
          <t>JÄMTLANDS LÄN</t>
        </is>
      </c>
      <c r="E3601" t="inlineStr">
        <is>
          <t>BRÄCKE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60335-2023</t>
        </is>
      </c>
      <c r="B3602" s="1" t="n">
        <v>45258.95190972222</v>
      </c>
      <c r="C3602" s="1" t="n">
        <v>46045</v>
      </c>
      <c r="D3602" t="inlineStr">
        <is>
          <t>JÄMTLANDS LÄN</t>
        </is>
      </c>
      <c r="E3602" t="inlineStr">
        <is>
          <t>STRÖMSUND</t>
        </is>
      </c>
      <c r="F3602" t="inlineStr">
        <is>
          <t>SCA</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57387-2023</t>
        </is>
      </c>
      <c r="B3603" s="1" t="n">
        <v>45245.92959490741</v>
      </c>
      <c r="C3603" s="1" t="n">
        <v>46045</v>
      </c>
      <c r="D3603" t="inlineStr">
        <is>
          <t>JÄMTLANDS LÄN</t>
        </is>
      </c>
      <c r="E3603" t="inlineStr">
        <is>
          <t>STRÖMSUND</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3329-2025</t>
        </is>
      </c>
      <c r="B3604" s="1" t="n">
        <v>45679.70027777777</v>
      </c>
      <c r="C3604" s="1" t="n">
        <v>46045</v>
      </c>
      <c r="D3604" t="inlineStr">
        <is>
          <t>JÄMTLANDS LÄN</t>
        </is>
      </c>
      <c r="E3604" t="inlineStr">
        <is>
          <t>KROKOM</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6583-2023</t>
        </is>
      </c>
      <c r="B3605" s="1" t="n">
        <v>44963</v>
      </c>
      <c r="C3605" s="1" t="n">
        <v>46045</v>
      </c>
      <c r="D3605" t="inlineStr">
        <is>
          <t>JÄMTLANDS LÄN</t>
        </is>
      </c>
      <c r="E3605" t="inlineStr">
        <is>
          <t>STRÖMSUND</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2339-2025</t>
        </is>
      </c>
      <c r="B3606" s="1" t="n">
        <v>45673.66358796296</v>
      </c>
      <c r="C3606" s="1" t="n">
        <v>46045</v>
      </c>
      <c r="D3606" t="inlineStr">
        <is>
          <t>JÄMTLANDS LÄN</t>
        </is>
      </c>
      <c r="E3606" t="inlineStr">
        <is>
          <t>RAGUNDA</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49339-2024</t>
        </is>
      </c>
      <c r="B3607" s="1" t="n">
        <v>45595.59420138889</v>
      </c>
      <c r="C3607" s="1" t="n">
        <v>46045</v>
      </c>
      <c r="D3607" t="inlineStr">
        <is>
          <t>JÄMTLANDS LÄN</t>
        </is>
      </c>
      <c r="E3607" t="inlineStr">
        <is>
          <t>BRÄCKE</t>
        </is>
      </c>
      <c r="F3607" t="inlineStr">
        <is>
          <t>SCA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50649-2022</t>
        </is>
      </c>
      <c r="B3608" s="1" t="n">
        <v>44866</v>
      </c>
      <c r="C3608" s="1" t="n">
        <v>46045</v>
      </c>
      <c r="D3608" t="inlineStr">
        <is>
          <t>JÄMTLANDS LÄN</t>
        </is>
      </c>
      <c r="E3608" t="inlineStr">
        <is>
          <t>RAGUNDA</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43623-2024</t>
        </is>
      </c>
      <c r="B3609" s="1" t="n">
        <v>45569.48626157407</v>
      </c>
      <c r="C3609" s="1" t="n">
        <v>46045</v>
      </c>
      <c r="D3609" t="inlineStr">
        <is>
          <t>JÄMTLANDS LÄN</t>
        </is>
      </c>
      <c r="E3609" t="inlineStr">
        <is>
          <t>HÄRJEDALEN</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25926-2023</t>
        </is>
      </c>
      <c r="B3610" s="1" t="n">
        <v>45085</v>
      </c>
      <c r="C3610" s="1" t="n">
        <v>46045</v>
      </c>
      <c r="D3610" t="inlineStr">
        <is>
          <t>JÄMTLANDS LÄN</t>
        </is>
      </c>
      <c r="E3610" t="inlineStr">
        <is>
          <t>ÅRE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35903-2024</t>
        </is>
      </c>
      <c r="B3611" s="1" t="n">
        <v>45533.40648148148</v>
      </c>
      <c r="C3611" s="1" t="n">
        <v>46045</v>
      </c>
      <c r="D3611" t="inlineStr">
        <is>
          <t>JÄMTLANDS LÄN</t>
        </is>
      </c>
      <c r="E3611" t="inlineStr">
        <is>
          <t>BRÄCKE</t>
        </is>
      </c>
      <c r="F3611" t="inlineStr">
        <is>
          <t>SCA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35911-2024</t>
        </is>
      </c>
      <c r="B3612" s="1" t="n">
        <v>45533.41498842592</v>
      </c>
      <c r="C3612" s="1" t="n">
        <v>46045</v>
      </c>
      <c r="D3612" t="inlineStr">
        <is>
          <t>JÄMTLANDS LÄN</t>
        </is>
      </c>
      <c r="E3612" t="inlineStr">
        <is>
          <t>BERG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24059-2024</t>
        </is>
      </c>
      <c r="B3613" s="1" t="n">
        <v>45456.53324074074</v>
      </c>
      <c r="C3613" s="1" t="n">
        <v>46045</v>
      </c>
      <c r="D3613" t="inlineStr">
        <is>
          <t>JÄMTLANDS LÄN</t>
        </is>
      </c>
      <c r="E3613" t="inlineStr">
        <is>
          <t>STRÖMSUND</t>
        </is>
      </c>
      <c r="F3613" t="inlineStr">
        <is>
          <t>Holmen skog AB</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50255-2024</t>
        </is>
      </c>
      <c r="B3614" s="1" t="n">
        <v>45600.58076388889</v>
      </c>
      <c r="C3614" s="1" t="n">
        <v>46045</v>
      </c>
      <c r="D3614" t="inlineStr">
        <is>
          <t>JÄMTLANDS LÄN</t>
        </is>
      </c>
      <c r="E3614" t="inlineStr">
        <is>
          <t>KROKOM</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26522-2024</t>
        </is>
      </c>
      <c r="B3615" s="1" t="n">
        <v>45469</v>
      </c>
      <c r="C3615" s="1" t="n">
        <v>46045</v>
      </c>
      <c r="D3615" t="inlineStr">
        <is>
          <t>JÄMTLANDS LÄN</t>
        </is>
      </c>
      <c r="E3615" t="inlineStr">
        <is>
          <t>BRÄCKE</t>
        </is>
      </c>
      <c r="G3615" t="n">
        <v>14.1</v>
      </c>
      <c r="H3615" t="n">
        <v>0</v>
      </c>
      <c r="I3615" t="n">
        <v>0</v>
      </c>
      <c r="J3615" t="n">
        <v>0</v>
      </c>
      <c r="K3615" t="n">
        <v>0</v>
      </c>
      <c r="L3615" t="n">
        <v>0</v>
      </c>
      <c r="M3615" t="n">
        <v>0</v>
      </c>
      <c r="N3615" t="n">
        <v>0</v>
      </c>
      <c r="O3615" t="n">
        <v>0</v>
      </c>
      <c r="P3615" t="n">
        <v>0</v>
      </c>
      <c r="Q3615" t="n">
        <v>0</v>
      </c>
      <c r="R3615" s="2" t="inlineStr"/>
    </row>
    <row r="3616" ht="15" customHeight="1">
      <c r="A3616" t="inlineStr">
        <is>
          <t>A 17742-2022</t>
        </is>
      </c>
      <c r="B3616" s="1" t="n">
        <v>44680.95246527778</v>
      </c>
      <c r="C3616" s="1" t="n">
        <v>46045</v>
      </c>
      <c r="D3616" t="inlineStr">
        <is>
          <t>JÄMTLANDS LÄN</t>
        </is>
      </c>
      <c r="E3616" t="inlineStr">
        <is>
          <t>RAGUNDA</t>
        </is>
      </c>
      <c r="F3616" t="inlineStr">
        <is>
          <t>SCA</t>
        </is>
      </c>
      <c r="G3616" t="n">
        <v>7.2</v>
      </c>
      <c r="H3616" t="n">
        <v>0</v>
      </c>
      <c r="I3616" t="n">
        <v>0</v>
      </c>
      <c r="J3616" t="n">
        <v>0</v>
      </c>
      <c r="K3616" t="n">
        <v>0</v>
      </c>
      <c r="L3616" t="n">
        <v>0</v>
      </c>
      <c r="M3616" t="n">
        <v>0</v>
      </c>
      <c r="N3616" t="n">
        <v>0</v>
      </c>
      <c r="O3616" t="n">
        <v>0</v>
      </c>
      <c r="P3616" t="n">
        <v>0</v>
      </c>
      <c r="Q3616" t="n">
        <v>0</v>
      </c>
      <c r="R3616" s="2" t="inlineStr"/>
    </row>
    <row r="3617" ht="15" customHeight="1">
      <c r="A3617" t="inlineStr">
        <is>
          <t>A 12774-2023</t>
        </is>
      </c>
      <c r="B3617" s="1" t="n">
        <v>45001</v>
      </c>
      <c r="C3617" s="1" t="n">
        <v>46045</v>
      </c>
      <c r="D3617" t="inlineStr">
        <is>
          <t>JÄMTLANDS LÄN</t>
        </is>
      </c>
      <c r="E3617" t="inlineStr">
        <is>
          <t>BERG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12821-2023</t>
        </is>
      </c>
      <c r="B3618" s="1" t="n">
        <v>45000</v>
      </c>
      <c r="C3618" s="1" t="n">
        <v>46045</v>
      </c>
      <c r="D3618" t="inlineStr">
        <is>
          <t>JÄMTLANDS LÄN</t>
        </is>
      </c>
      <c r="E3618" t="inlineStr">
        <is>
          <t>ÖSTERSUND</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7803-2024</t>
        </is>
      </c>
      <c r="B3619" s="1" t="n">
        <v>45348</v>
      </c>
      <c r="C3619" s="1" t="n">
        <v>46045</v>
      </c>
      <c r="D3619" t="inlineStr">
        <is>
          <t>JÄMTLANDS LÄN</t>
        </is>
      </c>
      <c r="E3619" t="inlineStr">
        <is>
          <t>STRÖMSUND</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60050-2024</t>
        </is>
      </c>
      <c r="B3620" s="1" t="n">
        <v>45642</v>
      </c>
      <c r="C3620" s="1" t="n">
        <v>46045</v>
      </c>
      <c r="D3620" t="inlineStr">
        <is>
          <t>JÄMTLANDS LÄN</t>
        </is>
      </c>
      <c r="E3620" t="inlineStr">
        <is>
          <t>HÄRJEDALEN</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20597-2023</t>
        </is>
      </c>
      <c r="B3621" s="1" t="n">
        <v>45057</v>
      </c>
      <c r="C3621" s="1" t="n">
        <v>46045</v>
      </c>
      <c r="D3621" t="inlineStr">
        <is>
          <t>JÄMTLANDS LÄN</t>
        </is>
      </c>
      <c r="E3621" t="inlineStr">
        <is>
          <t>STRÖMSUND</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66088-2021</t>
        </is>
      </c>
      <c r="B3622" s="1" t="n">
        <v>44517.67090277778</v>
      </c>
      <c r="C3622" s="1" t="n">
        <v>46045</v>
      </c>
      <c r="D3622" t="inlineStr">
        <is>
          <t>JÄMTLANDS LÄN</t>
        </is>
      </c>
      <c r="E3622" t="inlineStr">
        <is>
          <t>STRÖMSUND</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60088-2024</t>
        </is>
      </c>
      <c r="B3623" s="1" t="n">
        <v>45642.54847222222</v>
      </c>
      <c r="C3623" s="1" t="n">
        <v>46045</v>
      </c>
      <c r="D3623" t="inlineStr">
        <is>
          <t>JÄMTLANDS LÄN</t>
        </is>
      </c>
      <c r="E3623" t="inlineStr">
        <is>
          <t>ÖSTERSUND</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4123-2025</t>
        </is>
      </c>
      <c r="B3624" s="1" t="n">
        <v>45685.27107638889</v>
      </c>
      <c r="C3624" s="1" t="n">
        <v>46045</v>
      </c>
      <c r="D3624" t="inlineStr">
        <is>
          <t>JÄMTLANDS LÄN</t>
        </is>
      </c>
      <c r="E3624" t="inlineStr">
        <is>
          <t>BRÄCKE</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2624-2024</t>
        </is>
      </c>
      <c r="B3625" s="1" t="n">
        <v>45313</v>
      </c>
      <c r="C3625" s="1" t="n">
        <v>46045</v>
      </c>
      <c r="D3625" t="inlineStr">
        <is>
          <t>JÄMTLANDS LÄN</t>
        </is>
      </c>
      <c r="E3625" t="inlineStr">
        <is>
          <t>STRÖMSUND</t>
        </is>
      </c>
      <c r="F3625" t="inlineStr">
        <is>
          <t>SCA</t>
        </is>
      </c>
      <c r="G3625" t="n">
        <v>41.4</v>
      </c>
      <c r="H3625" t="n">
        <v>0</v>
      </c>
      <c r="I3625" t="n">
        <v>0</v>
      </c>
      <c r="J3625" t="n">
        <v>0</v>
      </c>
      <c r="K3625" t="n">
        <v>0</v>
      </c>
      <c r="L3625" t="n">
        <v>0</v>
      </c>
      <c r="M3625" t="n">
        <v>0</v>
      </c>
      <c r="N3625" t="n">
        <v>0</v>
      </c>
      <c r="O3625" t="n">
        <v>0</v>
      </c>
      <c r="P3625" t="n">
        <v>0</v>
      </c>
      <c r="Q3625" t="n">
        <v>0</v>
      </c>
      <c r="R3625" s="2" t="inlineStr"/>
    </row>
    <row r="3626" ht="15" customHeight="1">
      <c r="A3626" t="inlineStr">
        <is>
          <t>A 37824-2025</t>
        </is>
      </c>
      <c r="B3626" s="1" t="n">
        <v>45881.40686342592</v>
      </c>
      <c r="C3626" s="1" t="n">
        <v>46045</v>
      </c>
      <c r="D3626" t="inlineStr">
        <is>
          <t>JÄMTLANDS LÄN</t>
        </is>
      </c>
      <c r="E3626" t="inlineStr">
        <is>
          <t>BRÄCKE</t>
        </is>
      </c>
      <c r="F3626" t="inlineStr">
        <is>
          <t>SCA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48564-2022</t>
        </is>
      </c>
      <c r="B3627" s="1" t="n">
        <v>44854</v>
      </c>
      <c r="C3627" s="1" t="n">
        <v>46045</v>
      </c>
      <c r="D3627" t="inlineStr">
        <is>
          <t>JÄMTLANDS LÄN</t>
        </is>
      </c>
      <c r="E3627" t="inlineStr">
        <is>
          <t>STRÖMSUND</t>
        </is>
      </c>
      <c r="G3627" t="n">
        <v>10.2</v>
      </c>
      <c r="H3627" t="n">
        <v>0</v>
      </c>
      <c r="I3627" t="n">
        <v>0</v>
      </c>
      <c r="J3627" t="n">
        <v>0</v>
      </c>
      <c r="K3627" t="n">
        <v>0</v>
      </c>
      <c r="L3627" t="n">
        <v>0</v>
      </c>
      <c r="M3627" t="n">
        <v>0</v>
      </c>
      <c r="N3627" t="n">
        <v>0</v>
      </c>
      <c r="O3627" t="n">
        <v>0</v>
      </c>
      <c r="P3627" t="n">
        <v>0</v>
      </c>
      <c r="Q3627" t="n">
        <v>0</v>
      </c>
      <c r="R3627" s="2" t="inlineStr"/>
    </row>
    <row r="3628" ht="15" customHeight="1">
      <c r="A3628" t="inlineStr">
        <is>
          <t>A 30102-2021</t>
        </is>
      </c>
      <c r="B3628" s="1" t="n">
        <v>44363</v>
      </c>
      <c r="C3628" s="1" t="n">
        <v>46045</v>
      </c>
      <c r="D3628" t="inlineStr">
        <is>
          <t>JÄMTLANDS LÄN</t>
        </is>
      </c>
      <c r="E3628" t="inlineStr">
        <is>
          <t>BRÄCKE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33002-2021</t>
        </is>
      </c>
      <c r="B3629" s="1" t="n">
        <v>44375</v>
      </c>
      <c r="C3629" s="1" t="n">
        <v>46045</v>
      </c>
      <c r="D3629" t="inlineStr">
        <is>
          <t>JÄMTLANDS LÄN</t>
        </is>
      </c>
      <c r="E3629" t="inlineStr">
        <is>
          <t>ÖSTERSUND</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38241-2025</t>
        </is>
      </c>
      <c r="B3630" s="1" t="n">
        <v>45883.36541666667</v>
      </c>
      <c r="C3630" s="1" t="n">
        <v>46045</v>
      </c>
      <c r="D3630" t="inlineStr">
        <is>
          <t>JÄMTLANDS LÄN</t>
        </is>
      </c>
      <c r="E3630" t="inlineStr">
        <is>
          <t>BRÄCKE</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38245-2025</t>
        </is>
      </c>
      <c r="B3631" s="1" t="n">
        <v>45883.36563657408</v>
      </c>
      <c r="C3631" s="1" t="n">
        <v>46045</v>
      </c>
      <c r="D3631" t="inlineStr">
        <is>
          <t>JÄMTLANDS LÄN</t>
        </is>
      </c>
      <c r="E3631" t="inlineStr">
        <is>
          <t>BRÄCKE</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45939-2024</t>
        </is>
      </c>
      <c r="B3632" s="1" t="n">
        <v>45580.53155092592</v>
      </c>
      <c r="C3632" s="1" t="n">
        <v>46045</v>
      </c>
      <c r="D3632" t="inlineStr">
        <is>
          <t>JÄMTLANDS LÄN</t>
        </is>
      </c>
      <c r="E3632" t="inlineStr">
        <is>
          <t>BRÄCKE</t>
        </is>
      </c>
      <c r="F3632" t="inlineStr">
        <is>
          <t>Naturvårdsverket</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29107-2024</t>
        </is>
      </c>
      <c r="B3633" s="1" t="n">
        <v>45481.95253472222</v>
      </c>
      <c r="C3633" s="1" t="n">
        <v>46045</v>
      </c>
      <c r="D3633" t="inlineStr">
        <is>
          <t>JÄMTLANDS LÄN</t>
        </is>
      </c>
      <c r="E3633" t="inlineStr">
        <is>
          <t>STRÖMSUND</t>
        </is>
      </c>
      <c r="F3633" t="inlineStr">
        <is>
          <t>SCA</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19428-2025</t>
        </is>
      </c>
      <c r="B3634" s="1" t="n">
        <v>45769.79763888889</v>
      </c>
      <c r="C3634" s="1" t="n">
        <v>46045</v>
      </c>
      <c r="D3634" t="inlineStr">
        <is>
          <t>JÄMTLANDS LÄN</t>
        </is>
      </c>
      <c r="E3634" t="inlineStr">
        <is>
          <t>BERG</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50555-2024</t>
        </is>
      </c>
      <c r="B3635" s="1" t="n">
        <v>45601.59518518519</v>
      </c>
      <c r="C3635" s="1" t="n">
        <v>46045</v>
      </c>
      <c r="D3635" t="inlineStr">
        <is>
          <t>JÄMTLANDS LÄN</t>
        </is>
      </c>
      <c r="E3635" t="inlineStr">
        <is>
          <t>RAGUNDA</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44438-2025</t>
        </is>
      </c>
      <c r="B3636" s="1" t="n">
        <v>45916</v>
      </c>
      <c r="C3636" s="1" t="n">
        <v>46045</v>
      </c>
      <c r="D3636" t="inlineStr">
        <is>
          <t>JÄMTLANDS LÄN</t>
        </is>
      </c>
      <c r="E3636" t="inlineStr">
        <is>
          <t>HÄRJEDALEN</t>
        </is>
      </c>
      <c r="F3636" t="inlineStr">
        <is>
          <t>Bergvik skog väst AB</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61788-2023</t>
        </is>
      </c>
      <c r="B3637" s="1" t="n">
        <v>45265.9577199074</v>
      </c>
      <c r="C3637" s="1" t="n">
        <v>46045</v>
      </c>
      <c r="D3637" t="inlineStr">
        <is>
          <t>JÄMTLANDS LÄN</t>
        </is>
      </c>
      <c r="E3637" t="inlineStr">
        <is>
          <t>BERG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38871-2025</t>
        </is>
      </c>
      <c r="B3638" s="1" t="n">
        <v>45887.57407407407</v>
      </c>
      <c r="C3638" s="1" t="n">
        <v>46045</v>
      </c>
      <c r="D3638" t="inlineStr">
        <is>
          <t>JÄMTLANDS LÄN</t>
        </is>
      </c>
      <c r="E3638" t="inlineStr">
        <is>
          <t>ÖSTERSUND</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39192-2025</t>
        </is>
      </c>
      <c r="B3639" s="1" t="n">
        <v>45888.6775</v>
      </c>
      <c r="C3639" s="1" t="n">
        <v>46045</v>
      </c>
      <c r="D3639" t="inlineStr">
        <is>
          <t>JÄMTLANDS LÄN</t>
        </is>
      </c>
      <c r="E3639" t="inlineStr">
        <is>
          <t>RAGUNDA</t>
        </is>
      </c>
      <c r="F3639" t="inlineStr">
        <is>
          <t>Naturvårdsverket</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23531-2024</t>
        </is>
      </c>
      <c r="B3640" s="1" t="n">
        <v>45453.95122685185</v>
      </c>
      <c r="C3640" s="1" t="n">
        <v>46045</v>
      </c>
      <c r="D3640" t="inlineStr">
        <is>
          <t>JÄMTLANDS LÄN</t>
        </is>
      </c>
      <c r="E3640" t="inlineStr">
        <is>
          <t>STRÖMSUND</t>
        </is>
      </c>
      <c r="F3640" t="inlineStr">
        <is>
          <t>SCA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60195-2023</t>
        </is>
      </c>
      <c r="B3641" s="1" t="n">
        <v>45257</v>
      </c>
      <c r="C3641" s="1" t="n">
        <v>46045</v>
      </c>
      <c r="D3641" t="inlineStr">
        <is>
          <t>JÄMTLANDS LÄN</t>
        </is>
      </c>
      <c r="E3641" t="inlineStr">
        <is>
          <t>RAGUNDA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44313-2023</t>
        </is>
      </c>
      <c r="B3642" s="1" t="n">
        <v>45188.6505787037</v>
      </c>
      <c r="C3642" s="1" t="n">
        <v>46045</v>
      </c>
      <c r="D3642" t="inlineStr">
        <is>
          <t>JÄMTLANDS LÄN</t>
        </is>
      </c>
      <c r="E3642" t="inlineStr">
        <is>
          <t>BERG</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60611-2023</t>
        </is>
      </c>
      <c r="B3643" s="1" t="n">
        <v>45260.35777777778</v>
      </c>
      <c r="C3643" s="1" t="n">
        <v>46045</v>
      </c>
      <c r="D3643" t="inlineStr">
        <is>
          <t>JÄMTLANDS LÄN</t>
        </is>
      </c>
      <c r="E3643" t="inlineStr">
        <is>
          <t>HÄRJEDALEN</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60661-2023</t>
        </is>
      </c>
      <c r="B3644" s="1" t="n">
        <v>45259</v>
      </c>
      <c r="C3644" s="1" t="n">
        <v>46045</v>
      </c>
      <c r="D3644" t="inlineStr">
        <is>
          <t>JÄMTLANDS LÄN</t>
        </is>
      </c>
      <c r="E3644" t="inlineStr">
        <is>
          <t>STRÖMSUND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29594-2024</t>
        </is>
      </c>
      <c r="B3645" s="1" t="n">
        <v>45484.58422453704</v>
      </c>
      <c r="C3645" s="1" t="n">
        <v>46045</v>
      </c>
      <c r="D3645" t="inlineStr">
        <is>
          <t>JÄMTLANDS LÄN</t>
        </is>
      </c>
      <c r="E3645" t="inlineStr">
        <is>
          <t>HÄRJEDALEN</t>
        </is>
      </c>
      <c r="F3645" t="inlineStr">
        <is>
          <t>Holmen skog AB</t>
        </is>
      </c>
      <c r="G3645" t="n">
        <v>9.199999999999999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38-2024</t>
        </is>
      </c>
      <c r="B3646" s="1" t="n">
        <v>45293</v>
      </c>
      <c r="C3646" s="1" t="n">
        <v>46045</v>
      </c>
      <c r="D3646" t="inlineStr">
        <is>
          <t>JÄMTLANDS LÄN</t>
        </is>
      </c>
      <c r="E3646" t="inlineStr">
        <is>
          <t>BERG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11255-2024</t>
        </is>
      </c>
      <c r="B3647" s="1" t="n">
        <v>45371.66217592593</v>
      </c>
      <c r="C3647" s="1" t="n">
        <v>46045</v>
      </c>
      <c r="D3647" t="inlineStr">
        <is>
          <t>JÄMTLANDS LÄN</t>
        </is>
      </c>
      <c r="E3647" t="inlineStr">
        <is>
          <t>HÄRJEDALEN</t>
        </is>
      </c>
      <c r="F3647" t="inlineStr">
        <is>
          <t>Holmen skog AB</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1914-2025</t>
        </is>
      </c>
      <c r="B3648" s="1" t="n">
        <v>45671.65984953703</v>
      </c>
      <c r="C3648" s="1" t="n">
        <v>46045</v>
      </c>
      <c r="D3648" t="inlineStr">
        <is>
          <t>JÄMTLANDS LÄN</t>
        </is>
      </c>
      <c r="E3648" t="inlineStr">
        <is>
          <t>BRÄCKE</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50088-2024</t>
        </is>
      </c>
      <c r="B3649" s="1" t="n">
        <v>45600.38585648148</v>
      </c>
      <c r="C3649" s="1" t="n">
        <v>46045</v>
      </c>
      <c r="D3649" t="inlineStr">
        <is>
          <t>JÄMTLANDS LÄN</t>
        </is>
      </c>
      <c r="E3649" t="inlineStr">
        <is>
          <t>ÖSTERSUND</t>
        </is>
      </c>
      <c r="F3649" t="inlineStr">
        <is>
          <t>SCA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52850-2023</t>
        </is>
      </c>
      <c r="B3650" s="1" t="n">
        <v>45226.43943287037</v>
      </c>
      <c r="C3650" s="1" t="n">
        <v>46045</v>
      </c>
      <c r="D3650" t="inlineStr">
        <is>
          <t>JÄMTLANDS LÄN</t>
        </is>
      </c>
      <c r="E3650" t="inlineStr">
        <is>
          <t>STRÖMSUND</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39030-2025</t>
        </is>
      </c>
      <c r="B3651" s="1" t="n">
        <v>45888.40700231482</v>
      </c>
      <c r="C3651" s="1" t="n">
        <v>46045</v>
      </c>
      <c r="D3651" t="inlineStr">
        <is>
          <t>JÄMTLANDS LÄN</t>
        </is>
      </c>
      <c r="E3651" t="inlineStr">
        <is>
          <t>ÖSTERSUND</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39087-2025</t>
        </is>
      </c>
      <c r="B3652" s="1" t="n">
        <v>45888.49076388889</v>
      </c>
      <c r="C3652" s="1" t="n">
        <v>46045</v>
      </c>
      <c r="D3652" t="inlineStr">
        <is>
          <t>JÄMTLANDS LÄN</t>
        </is>
      </c>
      <c r="E3652" t="inlineStr">
        <is>
          <t>BRÄCKE</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39100-2025</t>
        </is>
      </c>
      <c r="B3653" s="1" t="n">
        <v>45888.5108912037</v>
      </c>
      <c r="C3653" s="1" t="n">
        <v>46045</v>
      </c>
      <c r="D3653" t="inlineStr">
        <is>
          <t>JÄMTLANDS LÄN</t>
        </is>
      </c>
      <c r="E3653" t="inlineStr">
        <is>
          <t>BRÄCKE</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47982-2022</t>
        </is>
      </c>
      <c r="B3654" s="1" t="n">
        <v>44853</v>
      </c>
      <c r="C3654" s="1" t="n">
        <v>46045</v>
      </c>
      <c r="D3654" t="inlineStr">
        <is>
          <t>JÄMTLANDS LÄN</t>
        </is>
      </c>
      <c r="E3654" t="inlineStr">
        <is>
          <t>BERG</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41700-2024</t>
        </is>
      </c>
      <c r="B3655" s="1" t="n">
        <v>45560.69164351852</v>
      </c>
      <c r="C3655" s="1" t="n">
        <v>46045</v>
      </c>
      <c r="D3655" t="inlineStr">
        <is>
          <t>JÄMTLANDS LÄN</t>
        </is>
      </c>
      <c r="E3655" t="inlineStr">
        <is>
          <t>KROKOM</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38847-2025</t>
        </is>
      </c>
      <c r="B3656" s="1" t="n">
        <v>45887.54438657407</v>
      </c>
      <c r="C3656" s="1" t="n">
        <v>46045</v>
      </c>
      <c r="D3656" t="inlineStr">
        <is>
          <t>JÄMTLANDS LÄN</t>
        </is>
      </c>
      <c r="E3656" t="inlineStr">
        <is>
          <t>BRÄCKE</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27390-2021</t>
        </is>
      </c>
      <c r="B3657" s="1" t="n">
        <v>44351</v>
      </c>
      <c r="C3657" s="1" t="n">
        <v>46045</v>
      </c>
      <c r="D3657" t="inlineStr">
        <is>
          <t>JÄMTLANDS LÄN</t>
        </is>
      </c>
      <c r="E3657" t="inlineStr">
        <is>
          <t>ÅRE</t>
        </is>
      </c>
      <c r="G3657" t="n">
        <v>14.9</v>
      </c>
      <c r="H3657" t="n">
        <v>0</v>
      </c>
      <c r="I3657" t="n">
        <v>0</v>
      </c>
      <c r="J3657" t="n">
        <v>0</v>
      </c>
      <c r="K3657" t="n">
        <v>0</v>
      </c>
      <c r="L3657" t="n">
        <v>0</v>
      </c>
      <c r="M3657" t="n">
        <v>0</v>
      </c>
      <c r="N3657" t="n">
        <v>0</v>
      </c>
      <c r="O3657" t="n">
        <v>0</v>
      </c>
      <c r="P3657" t="n">
        <v>0</v>
      </c>
      <c r="Q3657" t="n">
        <v>0</v>
      </c>
      <c r="R3657" s="2" t="inlineStr"/>
    </row>
    <row r="3658" ht="15" customHeight="1">
      <c r="A3658" t="inlineStr">
        <is>
          <t>A 38908-2025</t>
        </is>
      </c>
      <c r="B3658" s="1" t="n">
        <v>45887.61349537037</v>
      </c>
      <c r="C3658" s="1" t="n">
        <v>46045</v>
      </c>
      <c r="D3658" t="inlineStr">
        <is>
          <t>JÄMTLANDS LÄN</t>
        </is>
      </c>
      <c r="E3658" t="inlineStr">
        <is>
          <t>STRÖMSUND</t>
        </is>
      </c>
      <c r="G3658" t="n">
        <v>26.4</v>
      </c>
      <c r="H3658" t="n">
        <v>0</v>
      </c>
      <c r="I3658" t="n">
        <v>0</v>
      </c>
      <c r="J3658" t="n">
        <v>0</v>
      </c>
      <c r="K3658" t="n">
        <v>0</v>
      </c>
      <c r="L3658" t="n">
        <v>0</v>
      </c>
      <c r="M3658" t="n">
        <v>0</v>
      </c>
      <c r="N3658" t="n">
        <v>0</v>
      </c>
      <c r="O3658" t="n">
        <v>0</v>
      </c>
      <c r="P3658" t="n">
        <v>0</v>
      </c>
      <c r="Q3658" t="n">
        <v>0</v>
      </c>
      <c r="R3658" s="2" t="inlineStr"/>
    </row>
    <row r="3659" ht="15" customHeight="1">
      <c r="A3659" t="inlineStr">
        <is>
          <t>A 2819-2023</t>
        </is>
      </c>
      <c r="B3659" s="1" t="n">
        <v>44944</v>
      </c>
      <c r="C3659" s="1" t="n">
        <v>46045</v>
      </c>
      <c r="D3659" t="inlineStr">
        <is>
          <t>JÄMTLANDS LÄN</t>
        </is>
      </c>
      <c r="E3659" t="inlineStr">
        <is>
          <t>RAGUNDA</t>
        </is>
      </c>
      <c r="G3659" t="n">
        <v>8.800000000000001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58157-2021</t>
        </is>
      </c>
      <c r="B3660" s="1" t="n">
        <v>44487.60703703704</v>
      </c>
      <c r="C3660" s="1" t="n">
        <v>46045</v>
      </c>
      <c r="D3660" t="inlineStr">
        <is>
          <t>JÄMTLANDS LÄN</t>
        </is>
      </c>
      <c r="E3660" t="inlineStr">
        <is>
          <t>BERG</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39206-2025</t>
        </is>
      </c>
      <c r="B3661" s="1" t="n">
        <v>45888.72766203704</v>
      </c>
      <c r="C3661" s="1" t="n">
        <v>46045</v>
      </c>
      <c r="D3661" t="inlineStr">
        <is>
          <t>JÄMTLANDS LÄN</t>
        </is>
      </c>
      <c r="E3661" t="inlineStr">
        <is>
          <t>KROKOM</t>
        </is>
      </c>
      <c r="F3661" t="inlineStr">
        <is>
          <t>Kyrkan</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53676-2022</t>
        </is>
      </c>
      <c r="B3662" s="1" t="n">
        <v>44879</v>
      </c>
      <c r="C3662" s="1" t="n">
        <v>46045</v>
      </c>
      <c r="D3662" t="inlineStr">
        <is>
          <t>JÄMTLANDS LÄN</t>
        </is>
      </c>
      <c r="E3662" t="inlineStr">
        <is>
          <t>RAGUNDA</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23780-2023</t>
        </is>
      </c>
      <c r="B3663" s="1" t="n">
        <v>45077.94703703704</v>
      </c>
      <c r="C3663" s="1" t="n">
        <v>46045</v>
      </c>
      <c r="D3663" t="inlineStr">
        <is>
          <t>JÄMTLANDS LÄN</t>
        </is>
      </c>
      <c r="E3663" t="inlineStr">
        <is>
          <t>STRÖMSUND</t>
        </is>
      </c>
      <c r="F3663" t="inlineStr">
        <is>
          <t>SCA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20624-2023</t>
        </is>
      </c>
      <c r="B3664" s="1" t="n">
        <v>45057.94346064814</v>
      </c>
      <c r="C3664" s="1" t="n">
        <v>46045</v>
      </c>
      <c r="D3664" t="inlineStr">
        <is>
          <t>JÄMTLANDS LÄN</t>
        </is>
      </c>
      <c r="E3664" t="inlineStr">
        <is>
          <t>BRÄCKE</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37288-2025</t>
        </is>
      </c>
      <c r="B3665" s="1" t="n">
        <v>45876</v>
      </c>
      <c r="C3665" s="1" t="n">
        <v>46045</v>
      </c>
      <c r="D3665" t="inlineStr">
        <is>
          <t>JÄMTLANDS LÄN</t>
        </is>
      </c>
      <c r="E3665" t="inlineStr">
        <is>
          <t>HÄRJEDALEN</t>
        </is>
      </c>
      <c r="F3665" t="inlineStr">
        <is>
          <t>Bergvik skog väst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24214-2023</t>
        </is>
      </c>
      <c r="B3666" s="1" t="n">
        <v>45079.5752199074</v>
      </c>
      <c r="C3666" s="1" t="n">
        <v>46045</v>
      </c>
      <c r="D3666" t="inlineStr">
        <is>
          <t>JÄMTLANDS LÄN</t>
        </is>
      </c>
      <c r="E3666" t="inlineStr">
        <is>
          <t>BRÄCKE</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25365-2024</t>
        </is>
      </c>
      <c r="B3667" s="1" t="n">
        <v>45462.95862268518</v>
      </c>
      <c r="C3667" s="1" t="n">
        <v>46045</v>
      </c>
      <c r="D3667" t="inlineStr">
        <is>
          <t>JÄMTLANDS LÄN</t>
        </is>
      </c>
      <c r="E3667" t="inlineStr">
        <is>
          <t>STRÖMSUND</t>
        </is>
      </c>
      <c r="F3667" t="inlineStr">
        <is>
          <t>SCA</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38786-2025</t>
        </is>
      </c>
      <c r="B3668" s="1" t="n">
        <v>45887.44864583333</v>
      </c>
      <c r="C3668" s="1" t="n">
        <v>46045</v>
      </c>
      <c r="D3668" t="inlineStr">
        <is>
          <t>JÄMTLANDS LÄN</t>
        </is>
      </c>
      <c r="E3668" t="inlineStr">
        <is>
          <t>STRÖMSUND</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64237-2021</t>
        </is>
      </c>
      <c r="B3669" s="1" t="n">
        <v>44510</v>
      </c>
      <c r="C3669" s="1" t="n">
        <v>46045</v>
      </c>
      <c r="D3669" t="inlineStr">
        <is>
          <t>JÄMTLANDS LÄN</t>
        </is>
      </c>
      <c r="E3669" t="inlineStr">
        <is>
          <t>ÅRE</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4135-2023</t>
        </is>
      </c>
      <c r="B3670" s="1" t="n">
        <v>44952</v>
      </c>
      <c r="C3670" s="1" t="n">
        <v>46045</v>
      </c>
      <c r="D3670" t="inlineStr">
        <is>
          <t>JÄMTLANDS LÄN</t>
        </is>
      </c>
      <c r="E3670" t="inlineStr">
        <is>
          <t>ÖSTERSUND</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182-2023</t>
        </is>
      </c>
      <c r="B3671" s="1" t="n">
        <v>44922</v>
      </c>
      <c r="C3671" s="1" t="n">
        <v>46045</v>
      </c>
      <c r="D3671" t="inlineStr">
        <is>
          <t>JÄMTLANDS LÄN</t>
        </is>
      </c>
      <c r="E3671" t="inlineStr">
        <is>
          <t>RAGUNDA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29189-2024</t>
        </is>
      </c>
      <c r="B3672" s="1" t="n">
        <v>45482.55164351852</v>
      </c>
      <c r="C3672" s="1" t="n">
        <v>46045</v>
      </c>
      <c r="D3672" t="inlineStr">
        <is>
          <t>JÄMTLANDS LÄN</t>
        </is>
      </c>
      <c r="E3672" t="inlineStr">
        <is>
          <t>BRÄCKE</t>
        </is>
      </c>
      <c r="F3672" t="inlineStr">
        <is>
          <t>Övriga Aktiebolag</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38939-2025</t>
        </is>
      </c>
      <c r="B3673" s="1" t="n">
        <v>45885</v>
      </c>
      <c r="C3673" s="1" t="n">
        <v>46045</v>
      </c>
      <c r="D3673" t="inlineStr">
        <is>
          <t>JÄMTLANDS LÄN</t>
        </is>
      </c>
      <c r="E3673" t="inlineStr">
        <is>
          <t>STRÖMSUND</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30818-2023</t>
        </is>
      </c>
      <c r="B3674" s="1" t="n">
        <v>45112</v>
      </c>
      <c r="C3674" s="1" t="n">
        <v>46045</v>
      </c>
      <c r="D3674" t="inlineStr">
        <is>
          <t>JÄMTLANDS LÄN</t>
        </is>
      </c>
      <c r="E3674" t="inlineStr">
        <is>
          <t>STRÖMSUND</t>
        </is>
      </c>
      <c r="G3674" t="n">
        <v>10.4</v>
      </c>
      <c r="H3674" t="n">
        <v>0</v>
      </c>
      <c r="I3674" t="n">
        <v>0</v>
      </c>
      <c r="J3674" t="n">
        <v>0</v>
      </c>
      <c r="K3674" t="n">
        <v>0</v>
      </c>
      <c r="L3674" t="n">
        <v>0</v>
      </c>
      <c r="M3674" t="n">
        <v>0</v>
      </c>
      <c r="N3674" t="n">
        <v>0</v>
      </c>
      <c r="O3674" t="n">
        <v>0</v>
      </c>
      <c r="P3674" t="n">
        <v>0</v>
      </c>
      <c r="Q3674" t="n">
        <v>0</v>
      </c>
      <c r="R3674" s="2" t="inlineStr"/>
    </row>
    <row r="3675" ht="15" customHeight="1">
      <c r="A3675" t="inlineStr">
        <is>
          <t>A 32731-2023</t>
        </is>
      </c>
      <c r="B3675" s="1" t="n">
        <v>45121.93989583333</v>
      </c>
      <c r="C3675" s="1" t="n">
        <v>46045</v>
      </c>
      <c r="D3675" t="inlineStr">
        <is>
          <t>JÄMTLANDS LÄN</t>
        </is>
      </c>
      <c r="E3675" t="inlineStr">
        <is>
          <t>STRÖMSUND</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56842-2022</t>
        </is>
      </c>
      <c r="B3676" s="1" t="n">
        <v>44894.47856481482</v>
      </c>
      <c r="C3676" s="1" t="n">
        <v>46045</v>
      </c>
      <c r="D3676" t="inlineStr">
        <is>
          <t>JÄMTLANDS LÄN</t>
        </is>
      </c>
      <c r="E3676" t="inlineStr">
        <is>
          <t>ÅRE</t>
        </is>
      </c>
      <c r="F3676" t="inlineStr">
        <is>
          <t>Övriga Aktiebolag</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13522-2025</t>
        </is>
      </c>
      <c r="B3677" s="1" t="n">
        <v>45736.48995370371</v>
      </c>
      <c r="C3677" s="1" t="n">
        <v>46045</v>
      </c>
      <c r="D3677" t="inlineStr">
        <is>
          <t>JÄMTLANDS LÄN</t>
        </is>
      </c>
      <c r="E3677" t="inlineStr">
        <is>
          <t>STRÖMSUND</t>
        </is>
      </c>
      <c r="F3677" t="inlineStr">
        <is>
          <t>SCA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66011-2021</t>
        </is>
      </c>
      <c r="B3678" s="1" t="n">
        <v>44517.58137731482</v>
      </c>
      <c r="C3678" s="1" t="n">
        <v>46045</v>
      </c>
      <c r="D3678" t="inlineStr">
        <is>
          <t>JÄMTLANDS LÄN</t>
        </is>
      </c>
      <c r="E3678" t="inlineStr">
        <is>
          <t>RAGUNDA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24026-2024</t>
        </is>
      </c>
      <c r="B3679" s="1" t="n">
        <v>45456.45159722222</v>
      </c>
      <c r="C3679" s="1" t="n">
        <v>46045</v>
      </c>
      <c r="D3679" t="inlineStr">
        <is>
          <t>JÄMTLANDS LÄN</t>
        </is>
      </c>
      <c r="E3679" t="inlineStr">
        <is>
          <t>BRÄCKE</t>
        </is>
      </c>
      <c r="F3679" t="inlineStr">
        <is>
          <t>Övriga Aktiebolag</t>
        </is>
      </c>
      <c r="G3679" t="n">
        <v>23.7</v>
      </c>
      <c r="H3679" t="n">
        <v>0</v>
      </c>
      <c r="I3679" t="n">
        <v>0</v>
      </c>
      <c r="J3679" t="n">
        <v>0</v>
      </c>
      <c r="K3679" t="n">
        <v>0</v>
      </c>
      <c r="L3679" t="n">
        <v>0</v>
      </c>
      <c r="M3679" t="n">
        <v>0</v>
      </c>
      <c r="N3679" t="n">
        <v>0</v>
      </c>
      <c r="O3679" t="n">
        <v>0</v>
      </c>
      <c r="P3679" t="n">
        <v>0</v>
      </c>
      <c r="Q3679" t="n">
        <v>0</v>
      </c>
      <c r="R3679" s="2" t="inlineStr"/>
    </row>
    <row r="3680" ht="15" customHeight="1">
      <c r="A3680" t="inlineStr">
        <is>
          <t>A 59668-2022</t>
        </is>
      </c>
      <c r="B3680" s="1" t="n">
        <v>44908</v>
      </c>
      <c r="C3680" s="1" t="n">
        <v>46045</v>
      </c>
      <c r="D3680" t="inlineStr">
        <is>
          <t>JÄMTLANDS LÄN</t>
        </is>
      </c>
      <c r="E3680" t="inlineStr">
        <is>
          <t>KROKOM</t>
        </is>
      </c>
      <c r="F3680" t="inlineStr">
        <is>
          <t>Övriga Aktiebolag</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10340-2023</t>
        </is>
      </c>
      <c r="B3681" s="1" t="n">
        <v>44987.34981481481</v>
      </c>
      <c r="C3681" s="1" t="n">
        <v>46045</v>
      </c>
      <c r="D3681" t="inlineStr">
        <is>
          <t>JÄMTLANDS LÄN</t>
        </is>
      </c>
      <c r="E3681" t="inlineStr">
        <is>
          <t>HÄRJEDALEN</t>
        </is>
      </c>
      <c r="F3681" t="inlineStr">
        <is>
          <t>Holmen skog AB</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63960-2023</t>
        </is>
      </c>
      <c r="B3682" s="1" t="n">
        <v>45278.65582175926</v>
      </c>
      <c r="C3682" s="1" t="n">
        <v>46045</v>
      </c>
      <c r="D3682" t="inlineStr">
        <is>
          <t>JÄMTLANDS LÄN</t>
        </is>
      </c>
      <c r="E3682" t="inlineStr">
        <is>
          <t>KROKOM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24252-2024</t>
        </is>
      </c>
      <c r="B3683" s="1" t="n">
        <v>45457.38799768518</v>
      </c>
      <c r="C3683" s="1" t="n">
        <v>46045</v>
      </c>
      <c r="D3683" t="inlineStr">
        <is>
          <t>JÄMTLANDS LÄN</t>
        </is>
      </c>
      <c r="E3683" t="inlineStr">
        <is>
          <t>KROKOM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32904-2024</t>
        </is>
      </c>
      <c r="B3684" s="1" t="n">
        <v>45516.94732638889</v>
      </c>
      <c r="C3684" s="1" t="n">
        <v>46045</v>
      </c>
      <c r="D3684" t="inlineStr">
        <is>
          <t>JÄMTLANDS LÄN</t>
        </is>
      </c>
      <c r="E3684" t="inlineStr">
        <is>
          <t>RAGUNDA</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38785-2025</t>
        </is>
      </c>
      <c r="B3685" s="1" t="n">
        <v>45887.44844907407</v>
      </c>
      <c r="C3685" s="1" t="n">
        <v>46045</v>
      </c>
      <c r="D3685" t="inlineStr">
        <is>
          <t>JÄMTLANDS LÄN</t>
        </is>
      </c>
      <c r="E3685" t="inlineStr">
        <is>
          <t>STRÖMSUND</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39140-2025</t>
        </is>
      </c>
      <c r="B3686" s="1" t="n">
        <v>45888.59509259259</v>
      </c>
      <c r="C3686" s="1" t="n">
        <v>46045</v>
      </c>
      <c r="D3686" t="inlineStr">
        <is>
          <t>JÄMTLANDS LÄN</t>
        </is>
      </c>
      <c r="E3686" t="inlineStr">
        <is>
          <t>HÄRJEDALEN</t>
        </is>
      </c>
      <c r="G3686" t="n">
        <v>14.8</v>
      </c>
      <c r="H3686" t="n">
        <v>0</v>
      </c>
      <c r="I3686" t="n">
        <v>0</v>
      </c>
      <c r="J3686" t="n">
        <v>0</v>
      </c>
      <c r="K3686" t="n">
        <v>0</v>
      </c>
      <c r="L3686" t="n">
        <v>0</v>
      </c>
      <c r="M3686" t="n">
        <v>0</v>
      </c>
      <c r="N3686" t="n">
        <v>0</v>
      </c>
      <c r="O3686" t="n">
        <v>0</v>
      </c>
      <c r="P3686" t="n">
        <v>0</v>
      </c>
      <c r="Q3686" t="n">
        <v>0</v>
      </c>
      <c r="R3686" s="2" t="inlineStr"/>
    </row>
    <row r="3687" ht="15" customHeight="1">
      <c r="A3687" t="inlineStr">
        <is>
          <t>A 47289-2023</t>
        </is>
      </c>
      <c r="B3687" s="1" t="n">
        <v>45202.46581018518</v>
      </c>
      <c r="C3687" s="1" t="n">
        <v>46045</v>
      </c>
      <c r="D3687" t="inlineStr">
        <is>
          <t>JÄMTLANDS LÄN</t>
        </is>
      </c>
      <c r="E3687" t="inlineStr">
        <is>
          <t>BERG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62721-2022</t>
        </is>
      </c>
      <c r="B3688" s="1" t="n">
        <v>44925.64049768518</v>
      </c>
      <c r="C3688" s="1" t="n">
        <v>46045</v>
      </c>
      <c r="D3688" t="inlineStr">
        <is>
          <t>JÄMTLANDS LÄN</t>
        </is>
      </c>
      <c r="E3688" t="inlineStr">
        <is>
          <t>HÄRJEDALEN</t>
        </is>
      </c>
      <c r="F3688" t="inlineStr">
        <is>
          <t>Holmen skog AB</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7549-2025</t>
        </is>
      </c>
      <c r="B3689" s="1" t="n">
        <v>45705.57454861111</v>
      </c>
      <c r="C3689" s="1" t="n">
        <v>46045</v>
      </c>
      <c r="D3689" t="inlineStr">
        <is>
          <t>JÄMTLANDS LÄN</t>
        </is>
      </c>
      <c r="E3689" t="inlineStr">
        <is>
          <t>ÖSTERSUND</t>
        </is>
      </c>
      <c r="F3689" t="inlineStr">
        <is>
          <t>SCA</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38850-2025</t>
        </is>
      </c>
      <c r="B3690" s="1" t="n">
        <v>45887.55252314815</v>
      </c>
      <c r="C3690" s="1" t="n">
        <v>46045</v>
      </c>
      <c r="D3690" t="inlineStr">
        <is>
          <t>JÄMTLANDS LÄN</t>
        </is>
      </c>
      <c r="E3690" t="inlineStr">
        <is>
          <t>KROKOM</t>
        </is>
      </c>
      <c r="F3690" t="inlineStr">
        <is>
          <t>SCA</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17252-2025</t>
        </is>
      </c>
      <c r="B3691" s="1" t="n">
        <v>45756.5109837963</v>
      </c>
      <c r="C3691" s="1" t="n">
        <v>46045</v>
      </c>
      <c r="D3691" t="inlineStr">
        <is>
          <t>JÄMTLANDS LÄN</t>
        </is>
      </c>
      <c r="E3691" t="inlineStr">
        <is>
          <t>BRÄCKE</t>
        </is>
      </c>
      <c r="F3691" t="inlineStr">
        <is>
          <t>SCA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26228-2024</t>
        </is>
      </c>
      <c r="B3692" s="1" t="n">
        <v>45467</v>
      </c>
      <c r="C3692" s="1" t="n">
        <v>46045</v>
      </c>
      <c r="D3692" t="inlineStr">
        <is>
          <t>JÄMTLANDS LÄN</t>
        </is>
      </c>
      <c r="E3692" t="inlineStr">
        <is>
          <t>KROKOM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38853-2025</t>
        </is>
      </c>
      <c r="B3693" s="1" t="n">
        <v>45887.55666666666</v>
      </c>
      <c r="C3693" s="1" t="n">
        <v>46045</v>
      </c>
      <c r="D3693" t="inlineStr">
        <is>
          <t>JÄMTLANDS LÄN</t>
        </is>
      </c>
      <c r="E3693" t="inlineStr">
        <is>
          <t>ÖSTERSUND</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38894-2025</t>
        </is>
      </c>
      <c r="B3694" s="1" t="n">
        <v>45887.59064814815</v>
      </c>
      <c r="C3694" s="1" t="n">
        <v>46045</v>
      </c>
      <c r="D3694" t="inlineStr">
        <is>
          <t>JÄMTLANDS LÄN</t>
        </is>
      </c>
      <c r="E3694" t="inlineStr">
        <is>
          <t>KROKOM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14212-2023</t>
        </is>
      </c>
      <c r="B3695" s="1" t="n">
        <v>45009</v>
      </c>
      <c r="C3695" s="1" t="n">
        <v>46045</v>
      </c>
      <c r="D3695" t="inlineStr">
        <is>
          <t>JÄMTLANDS LÄN</t>
        </is>
      </c>
      <c r="E3695" t="inlineStr">
        <is>
          <t>RAGUNDA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25999-2024</t>
        </is>
      </c>
      <c r="B3696" s="1" t="n">
        <v>45467.92711805556</v>
      </c>
      <c r="C3696" s="1" t="n">
        <v>46045</v>
      </c>
      <c r="D3696" t="inlineStr">
        <is>
          <t>JÄMTLANDS LÄN</t>
        </is>
      </c>
      <c r="E3696" t="inlineStr">
        <is>
          <t>STRÖMSUND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16335-2025</t>
        </is>
      </c>
      <c r="B3697" s="1" t="n">
        <v>45751.36518518518</v>
      </c>
      <c r="C3697" s="1" t="n">
        <v>46045</v>
      </c>
      <c r="D3697" t="inlineStr">
        <is>
          <t>JÄMTLANDS LÄN</t>
        </is>
      </c>
      <c r="E3697" t="inlineStr">
        <is>
          <t>ÖSTERSUND</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56646-2024</t>
        </is>
      </c>
      <c r="B3698" s="1" t="n">
        <v>45625</v>
      </c>
      <c r="C3698" s="1" t="n">
        <v>46045</v>
      </c>
      <c r="D3698" t="inlineStr">
        <is>
          <t>JÄMTLANDS LÄN</t>
        </is>
      </c>
      <c r="E3698" t="inlineStr">
        <is>
          <t>ÖSTERSUND</t>
        </is>
      </c>
      <c r="G3698" t="n">
        <v>18.9</v>
      </c>
      <c r="H3698" t="n">
        <v>0</v>
      </c>
      <c r="I3698" t="n">
        <v>0</v>
      </c>
      <c r="J3698" t="n">
        <v>0</v>
      </c>
      <c r="K3698" t="n">
        <v>0</v>
      </c>
      <c r="L3698" t="n">
        <v>0</v>
      </c>
      <c r="M3698" t="n">
        <v>0</v>
      </c>
      <c r="N3698" t="n">
        <v>0</v>
      </c>
      <c r="O3698" t="n">
        <v>0</v>
      </c>
      <c r="P3698" t="n">
        <v>0</v>
      </c>
      <c r="Q3698" t="n">
        <v>0</v>
      </c>
      <c r="R3698" s="2" t="inlineStr"/>
    </row>
    <row r="3699" ht="15" customHeight="1">
      <c r="A3699" t="inlineStr">
        <is>
          <t>A 21338-2023</t>
        </is>
      </c>
      <c r="B3699" s="1" t="n">
        <v>45062</v>
      </c>
      <c r="C3699" s="1" t="n">
        <v>46045</v>
      </c>
      <c r="D3699" t="inlineStr">
        <is>
          <t>JÄMTLANDS LÄN</t>
        </is>
      </c>
      <c r="E3699" t="inlineStr">
        <is>
          <t>STRÖMSUND</t>
        </is>
      </c>
      <c r="F3699" t="inlineStr">
        <is>
          <t>SCA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28216-2025</t>
        </is>
      </c>
      <c r="B3700" s="1" t="n">
        <v>45818.46898148148</v>
      </c>
      <c r="C3700" s="1" t="n">
        <v>46045</v>
      </c>
      <c r="D3700" t="inlineStr">
        <is>
          <t>JÄMTLANDS LÄN</t>
        </is>
      </c>
      <c r="E3700" t="inlineStr">
        <is>
          <t>RAGUNDA</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64758-2023</t>
        </is>
      </c>
      <c r="B3701" s="1" t="n">
        <v>45281</v>
      </c>
      <c r="C3701" s="1" t="n">
        <v>46045</v>
      </c>
      <c r="D3701" t="inlineStr">
        <is>
          <t>JÄMTLANDS LÄN</t>
        </is>
      </c>
      <c r="E3701" t="inlineStr">
        <is>
          <t>ÅRE</t>
        </is>
      </c>
      <c r="F3701" t="inlineStr">
        <is>
          <t>Övriga Aktiebolag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39058-2025</t>
        </is>
      </c>
      <c r="B3702" s="1" t="n">
        <v>45887</v>
      </c>
      <c r="C3702" s="1" t="n">
        <v>46045</v>
      </c>
      <c r="D3702" t="inlineStr">
        <is>
          <t>JÄMTLANDS LÄN</t>
        </is>
      </c>
      <c r="E3702" t="inlineStr">
        <is>
          <t>STRÖMSUND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31550-2023</t>
        </is>
      </c>
      <c r="B3703" s="1" t="n">
        <v>45117</v>
      </c>
      <c r="C3703" s="1" t="n">
        <v>46045</v>
      </c>
      <c r="D3703" t="inlineStr">
        <is>
          <t>JÄMTLANDS LÄN</t>
        </is>
      </c>
      <c r="E3703" t="inlineStr">
        <is>
          <t>KROKOM</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21086-2024</t>
        </is>
      </c>
      <c r="B3704" s="1" t="n">
        <v>45439.92791666667</v>
      </c>
      <c r="C3704" s="1" t="n">
        <v>46045</v>
      </c>
      <c r="D3704" t="inlineStr">
        <is>
          <t>JÄMTLANDS LÄN</t>
        </is>
      </c>
      <c r="E3704" t="inlineStr">
        <is>
          <t>BRÄCKE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38787-2025</t>
        </is>
      </c>
      <c r="B3705" s="1" t="n">
        <v>45887.44873842593</v>
      </c>
      <c r="C3705" s="1" t="n">
        <v>46045</v>
      </c>
      <c r="D3705" t="inlineStr">
        <is>
          <t>JÄMTLANDS LÄN</t>
        </is>
      </c>
      <c r="E3705" t="inlineStr">
        <is>
          <t>STRÖMSUND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38789-2025</t>
        </is>
      </c>
      <c r="B3706" s="1" t="n">
        <v>45887.44883101852</v>
      </c>
      <c r="C3706" s="1" t="n">
        <v>46045</v>
      </c>
      <c r="D3706" t="inlineStr">
        <is>
          <t>JÄMTLANDS LÄN</t>
        </is>
      </c>
      <c r="E3706" t="inlineStr">
        <is>
          <t>KROKOM</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38811-2025</t>
        </is>
      </c>
      <c r="B3707" s="1" t="n">
        <v>45887.48994212963</v>
      </c>
      <c r="C3707" s="1" t="n">
        <v>46045</v>
      </c>
      <c r="D3707" t="inlineStr">
        <is>
          <t>JÄMTLANDS LÄN</t>
        </is>
      </c>
      <c r="E3707" t="inlineStr">
        <is>
          <t>BRÄCKE</t>
        </is>
      </c>
      <c r="F3707" t="inlineStr">
        <is>
          <t>SCA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38812-2025</t>
        </is>
      </c>
      <c r="B3708" s="1" t="n">
        <v>45887.49016203704</v>
      </c>
      <c r="C3708" s="1" t="n">
        <v>46045</v>
      </c>
      <c r="D3708" t="inlineStr">
        <is>
          <t>JÄMTLANDS LÄN</t>
        </is>
      </c>
      <c r="E3708" t="inlineStr">
        <is>
          <t>BRÄCKE</t>
        </is>
      </c>
      <c r="F3708" t="inlineStr">
        <is>
          <t>SCA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38820-2025</t>
        </is>
      </c>
      <c r="B3709" s="1" t="n">
        <v>45887</v>
      </c>
      <c r="C3709" s="1" t="n">
        <v>46045</v>
      </c>
      <c r="D3709" t="inlineStr">
        <is>
          <t>JÄMTLANDS LÄN</t>
        </is>
      </c>
      <c r="E3709" t="inlineStr">
        <is>
          <t>HÄRJEDALEN</t>
        </is>
      </c>
      <c r="F3709" t="inlineStr">
        <is>
          <t>Bergvik skog väst AB</t>
        </is>
      </c>
      <c r="G3709" t="n">
        <v>8.300000000000001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38835-2025</t>
        </is>
      </c>
      <c r="B3710" s="1" t="n">
        <v>45887.53195601852</v>
      </c>
      <c r="C3710" s="1" t="n">
        <v>46045</v>
      </c>
      <c r="D3710" t="inlineStr">
        <is>
          <t>JÄMTLANDS LÄN</t>
        </is>
      </c>
      <c r="E3710" t="inlineStr">
        <is>
          <t>BRÄCKE</t>
        </is>
      </c>
      <c r="F3710" t="inlineStr">
        <is>
          <t>SCA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47098-2024</t>
        </is>
      </c>
      <c r="B3711" s="1" t="n">
        <v>45586.53618055556</v>
      </c>
      <c r="C3711" s="1" t="n">
        <v>46045</v>
      </c>
      <c r="D3711" t="inlineStr">
        <is>
          <t>JÄMTLANDS LÄN</t>
        </is>
      </c>
      <c r="E3711" t="inlineStr">
        <is>
          <t>KROKOM</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38898-2025</t>
        </is>
      </c>
      <c r="B3712" s="1" t="n">
        <v>45887.59913194444</v>
      </c>
      <c r="C3712" s="1" t="n">
        <v>46045</v>
      </c>
      <c r="D3712" t="inlineStr">
        <is>
          <t>JÄMTLANDS LÄN</t>
        </is>
      </c>
      <c r="E3712" t="inlineStr">
        <is>
          <t>HÄRJEDALEN</t>
        </is>
      </c>
      <c r="F3712" t="inlineStr">
        <is>
          <t>Bergvik skog väst AB</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15686-2025</t>
        </is>
      </c>
      <c r="B3713" s="1" t="n">
        <v>45748.46021990741</v>
      </c>
      <c r="C3713" s="1" t="n">
        <v>46045</v>
      </c>
      <c r="D3713" t="inlineStr">
        <is>
          <t>JÄMTLANDS LÄN</t>
        </is>
      </c>
      <c r="E3713" t="inlineStr">
        <is>
          <t>ÖSTERSUND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20772-2024</t>
        </is>
      </c>
      <c r="B3714" s="1" t="n">
        <v>45436.94628472222</v>
      </c>
      <c r="C3714" s="1" t="n">
        <v>46045</v>
      </c>
      <c r="D3714" t="inlineStr">
        <is>
          <t>JÄMTLANDS LÄN</t>
        </is>
      </c>
      <c r="E3714" t="inlineStr">
        <is>
          <t>RAGUNDA</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18614-2024</t>
        </is>
      </c>
      <c r="B3715" s="1" t="n">
        <v>45425.96263888889</v>
      </c>
      <c r="C3715" s="1" t="n">
        <v>46045</v>
      </c>
      <c r="D3715" t="inlineStr">
        <is>
          <t>JÄMTLANDS LÄN</t>
        </is>
      </c>
      <c r="E3715" t="inlineStr">
        <is>
          <t>RAGUNDA</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39005-2025</t>
        </is>
      </c>
      <c r="B3716" s="1" t="n">
        <v>45888.34487268519</v>
      </c>
      <c r="C3716" s="1" t="n">
        <v>46045</v>
      </c>
      <c r="D3716" t="inlineStr">
        <is>
          <t>JÄMTLANDS LÄN</t>
        </is>
      </c>
      <c r="E3716" t="inlineStr">
        <is>
          <t>STRÖMSUND</t>
        </is>
      </c>
      <c r="F3716" t="inlineStr">
        <is>
          <t>SCA</t>
        </is>
      </c>
      <c r="G3716" t="n">
        <v>30.9</v>
      </c>
      <c r="H3716" t="n">
        <v>0</v>
      </c>
      <c r="I3716" t="n">
        <v>0</v>
      </c>
      <c r="J3716" t="n">
        <v>0</v>
      </c>
      <c r="K3716" t="n">
        <v>0</v>
      </c>
      <c r="L3716" t="n">
        <v>0</v>
      </c>
      <c r="M3716" t="n">
        <v>0</v>
      </c>
      <c r="N3716" t="n">
        <v>0</v>
      </c>
      <c r="O3716" t="n">
        <v>0</v>
      </c>
      <c r="P3716" t="n">
        <v>0</v>
      </c>
      <c r="Q3716" t="n">
        <v>0</v>
      </c>
      <c r="R3716" s="2" t="inlineStr"/>
    </row>
    <row r="3717" ht="15" customHeight="1">
      <c r="A3717" t="inlineStr">
        <is>
          <t>A 56412-2022</t>
        </is>
      </c>
      <c r="B3717" s="1" t="n">
        <v>44890</v>
      </c>
      <c r="C3717" s="1" t="n">
        <v>46045</v>
      </c>
      <c r="D3717" t="inlineStr">
        <is>
          <t>JÄMTLANDS LÄN</t>
        </is>
      </c>
      <c r="E3717" t="inlineStr">
        <is>
          <t>STRÖMSUND</t>
        </is>
      </c>
      <c r="F3717" t="inlineStr">
        <is>
          <t>SCA</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55931-2022</t>
        </is>
      </c>
      <c r="B3718" s="1" t="n">
        <v>44886</v>
      </c>
      <c r="C3718" s="1" t="n">
        <v>46045</v>
      </c>
      <c r="D3718" t="inlineStr">
        <is>
          <t>JÄMTLANDS LÄN</t>
        </is>
      </c>
      <c r="E3718" t="inlineStr">
        <is>
          <t>HÄRJEDALEN</t>
        </is>
      </c>
      <c r="F3718" t="inlineStr">
        <is>
          <t>Övriga statliga verk och myndigheter</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31129-2024</t>
        </is>
      </c>
      <c r="B3719" s="1" t="n">
        <v>45502</v>
      </c>
      <c r="C3719" s="1" t="n">
        <v>46045</v>
      </c>
      <c r="D3719" t="inlineStr">
        <is>
          <t>JÄMTLANDS LÄN</t>
        </is>
      </c>
      <c r="E3719" t="inlineStr">
        <is>
          <t>BERG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27000-2021</t>
        </is>
      </c>
      <c r="B3720" s="1" t="n">
        <v>44349</v>
      </c>
      <c r="C3720" s="1" t="n">
        <v>46045</v>
      </c>
      <c r="D3720" t="inlineStr">
        <is>
          <t>JÄMTLANDS LÄN</t>
        </is>
      </c>
      <c r="E3720" t="inlineStr">
        <is>
          <t>KROKOM</t>
        </is>
      </c>
      <c r="F3720" t="inlineStr">
        <is>
          <t>Allmännings- och besparingsskogar</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39052-2025</t>
        </is>
      </c>
      <c r="B3721" s="1" t="n">
        <v>45888.44829861111</v>
      </c>
      <c r="C3721" s="1" t="n">
        <v>46045</v>
      </c>
      <c r="D3721" t="inlineStr">
        <is>
          <t>JÄMTLANDS LÄN</t>
        </is>
      </c>
      <c r="E3721" t="inlineStr">
        <is>
          <t>BRÄCKE</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35397-2024</t>
        </is>
      </c>
      <c r="B3722" s="1" t="n">
        <v>45531.40402777777</v>
      </c>
      <c r="C3722" s="1" t="n">
        <v>46045</v>
      </c>
      <c r="D3722" t="inlineStr">
        <is>
          <t>JÄMTLANDS LÄN</t>
        </is>
      </c>
      <c r="E3722" t="inlineStr">
        <is>
          <t>STRÖMSUND</t>
        </is>
      </c>
      <c r="F3722" t="inlineStr">
        <is>
          <t>SCA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35410-2024</t>
        </is>
      </c>
      <c r="B3723" s="1" t="n">
        <v>45531.40701388889</v>
      </c>
      <c r="C3723" s="1" t="n">
        <v>46045</v>
      </c>
      <c r="D3723" t="inlineStr">
        <is>
          <t>JÄMTLANDS LÄN</t>
        </is>
      </c>
      <c r="E3723" t="inlineStr">
        <is>
          <t>STRÖMSUND</t>
        </is>
      </c>
      <c r="F3723" t="inlineStr">
        <is>
          <t>SCA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35687-2024</t>
        </is>
      </c>
      <c r="B3724" s="1" t="n">
        <v>45532.42047453704</v>
      </c>
      <c r="C3724" s="1" t="n">
        <v>46045</v>
      </c>
      <c r="D3724" t="inlineStr">
        <is>
          <t>JÄMTLANDS LÄN</t>
        </is>
      </c>
      <c r="E3724" t="inlineStr">
        <is>
          <t>STRÖMSUND</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35585-2024</t>
        </is>
      </c>
      <c r="B3725" s="1" t="n">
        <v>45531.64827546296</v>
      </c>
      <c r="C3725" s="1" t="n">
        <v>46045</v>
      </c>
      <c r="D3725" t="inlineStr">
        <is>
          <t>JÄMTLANDS LÄN</t>
        </is>
      </c>
      <c r="E3725" t="inlineStr">
        <is>
          <t>STRÖMSUND</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32654-2025</t>
        </is>
      </c>
      <c r="B3726" s="1" t="n">
        <v>45838.6778587963</v>
      </c>
      <c r="C3726" s="1" t="n">
        <v>46045</v>
      </c>
      <c r="D3726" t="inlineStr">
        <is>
          <t>JÄMTLANDS LÄN</t>
        </is>
      </c>
      <c r="E3726" t="inlineStr">
        <is>
          <t>BERG</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19635-2024</t>
        </is>
      </c>
      <c r="B3727" s="1" t="n">
        <v>45432.36971064815</v>
      </c>
      <c r="C3727" s="1" t="n">
        <v>46045</v>
      </c>
      <c r="D3727" t="inlineStr">
        <is>
          <t>JÄMTLANDS LÄN</t>
        </is>
      </c>
      <c r="E3727" t="inlineStr">
        <is>
          <t>KROKOM</t>
        </is>
      </c>
      <c r="G3727" t="n">
        <v>14.5</v>
      </c>
      <c r="H3727" t="n">
        <v>0</v>
      </c>
      <c r="I3727" t="n">
        <v>0</v>
      </c>
      <c r="J3727" t="n">
        <v>0</v>
      </c>
      <c r="K3727" t="n">
        <v>0</v>
      </c>
      <c r="L3727" t="n">
        <v>0</v>
      </c>
      <c r="M3727" t="n">
        <v>0</v>
      </c>
      <c r="N3727" t="n">
        <v>0</v>
      </c>
      <c r="O3727" t="n">
        <v>0</v>
      </c>
      <c r="P3727" t="n">
        <v>0</v>
      </c>
      <c r="Q3727" t="n">
        <v>0</v>
      </c>
      <c r="R3727" s="2" t="inlineStr"/>
    </row>
    <row r="3728" ht="15" customHeight="1">
      <c r="A3728" t="inlineStr">
        <is>
          <t>A 25361-2024</t>
        </is>
      </c>
      <c r="B3728" s="1" t="n">
        <v>45462.95800925926</v>
      </c>
      <c r="C3728" s="1" t="n">
        <v>46045</v>
      </c>
      <c r="D3728" t="inlineStr">
        <is>
          <t>JÄMTLANDS LÄN</t>
        </is>
      </c>
      <c r="E3728" t="inlineStr">
        <is>
          <t>STRÖMSUND</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13039-2024</t>
        </is>
      </c>
      <c r="B3729" s="1" t="n">
        <v>45385</v>
      </c>
      <c r="C3729" s="1" t="n">
        <v>46045</v>
      </c>
      <c r="D3729" t="inlineStr">
        <is>
          <t>JÄMTLANDS LÄN</t>
        </is>
      </c>
      <c r="E3729" t="inlineStr">
        <is>
          <t>ÅRE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23491-2025</t>
        </is>
      </c>
      <c r="B3730" s="1" t="n">
        <v>45792.46924768519</v>
      </c>
      <c r="C3730" s="1" t="n">
        <v>46045</v>
      </c>
      <c r="D3730" t="inlineStr">
        <is>
          <t>JÄMTLANDS LÄN</t>
        </is>
      </c>
      <c r="E3730" t="inlineStr">
        <is>
          <t>BRÄCKE</t>
        </is>
      </c>
      <c r="F3730" t="inlineStr">
        <is>
          <t>SCA</t>
        </is>
      </c>
      <c r="G3730" t="n">
        <v>11.8</v>
      </c>
      <c r="H3730" t="n">
        <v>0</v>
      </c>
      <c r="I3730" t="n">
        <v>0</v>
      </c>
      <c r="J3730" t="n">
        <v>0</v>
      </c>
      <c r="K3730" t="n">
        <v>0</v>
      </c>
      <c r="L3730" t="n">
        <v>0</v>
      </c>
      <c r="M3730" t="n">
        <v>0</v>
      </c>
      <c r="N3730" t="n">
        <v>0</v>
      </c>
      <c r="O3730" t="n">
        <v>0</v>
      </c>
      <c r="P3730" t="n">
        <v>0</v>
      </c>
      <c r="Q3730" t="n">
        <v>0</v>
      </c>
      <c r="R3730" s="2" t="inlineStr"/>
    </row>
    <row r="3731" ht="15" customHeight="1">
      <c r="A3731" t="inlineStr">
        <is>
          <t>A 22411-2024</t>
        </is>
      </c>
      <c r="B3731" s="1" t="n">
        <v>45446.68733796296</v>
      </c>
      <c r="C3731" s="1" t="n">
        <v>46045</v>
      </c>
      <c r="D3731" t="inlineStr">
        <is>
          <t>JÄMTLANDS LÄN</t>
        </is>
      </c>
      <c r="E3731" t="inlineStr">
        <is>
          <t>KROKOM</t>
        </is>
      </c>
      <c r="F3731" t="inlineStr">
        <is>
          <t>Övriga Aktiebolag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47550-2024</t>
        </is>
      </c>
      <c r="B3732" s="1" t="n">
        <v>45587.66041666667</v>
      </c>
      <c r="C3732" s="1" t="n">
        <v>46045</v>
      </c>
      <c r="D3732" t="inlineStr">
        <is>
          <t>JÄMTLANDS LÄN</t>
        </is>
      </c>
      <c r="E3732" t="inlineStr">
        <is>
          <t>BRÄCKE</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43324-2022</t>
        </is>
      </c>
      <c r="B3733" s="1" t="n">
        <v>44834</v>
      </c>
      <c r="C3733" s="1" t="n">
        <v>46045</v>
      </c>
      <c r="D3733" t="inlineStr">
        <is>
          <t>JÄMTLANDS LÄN</t>
        </is>
      </c>
      <c r="E3733" t="inlineStr">
        <is>
          <t>ÅRE</t>
        </is>
      </c>
      <c r="F3733" t="inlineStr">
        <is>
          <t>Bergvik skog öst AB</t>
        </is>
      </c>
      <c r="G3733" t="n">
        <v>8.699999999999999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24484-2024</t>
        </is>
      </c>
      <c r="B3734" s="1" t="n">
        <v>45459.55150462963</v>
      </c>
      <c r="C3734" s="1" t="n">
        <v>46045</v>
      </c>
      <c r="D3734" t="inlineStr">
        <is>
          <t>JÄMTLANDS LÄN</t>
        </is>
      </c>
      <c r="E3734" t="inlineStr">
        <is>
          <t>KROKOM</t>
        </is>
      </c>
      <c r="F3734" t="inlineStr">
        <is>
          <t>Övriga Aktiebolag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19411-2025</t>
        </is>
      </c>
      <c r="B3735" s="1" t="n">
        <v>45769.69825231482</v>
      </c>
      <c r="C3735" s="1" t="n">
        <v>46045</v>
      </c>
      <c r="D3735" t="inlineStr">
        <is>
          <t>JÄMTLANDS LÄN</t>
        </is>
      </c>
      <c r="E3735" t="inlineStr">
        <is>
          <t>STRÖMSUND</t>
        </is>
      </c>
      <c r="F3735" t="inlineStr">
        <is>
          <t>SCA</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56997-2024</t>
        </is>
      </c>
      <c r="B3736" s="1" t="n">
        <v>45628.71888888889</v>
      </c>
      <c r="C3736" s="1" t="n">
        <v>46045</v>
      </c>
      <c r="D3736" t="inlineStr">
        <is>
          <t>JÄMTLANDS LÄN</t>
        </is>
      </c>
      <c r="E3736" t="inlineStr">
        <is>
          <t>STRÖMSUND</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19412-2025</t>
        </is>
      </c>
      <c r="B3737" s="1" t="n">
        <v>45769.69847222222</v>
      </c>
      <c r="C3737" s="1" t="n">
        <v>46045</v>
      </c>
      <c r="D3737" t="inlineStr">
        <is>
          <t>JÄMTLANDS LÄN</t>
        </is>
      </c>
      <c r="E3737" t="inlineStr">
        <is>
          <t>STRÖMSUND</t>
        </is>
      </c>
      <c r="F3737" t="inlineStr">
        <is>
          <t>SCA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44154-2024</t>
        </is>
      </c>
      <c r="B3738" s="1" t="n">
        <v>45572</v>
      </c>
      <c r="C3738" s="1" t="n">
        <v>46045</v>
      </c>
      <c r="D3738" t="inlineStr">
        <is>
          <t>JÄMTLANDS LÄN</t>
        </is>
      </c>
      <c r="E3738" t="inlineStr">
        <is>
          <t>KROKOM</t>
        </is>
      </c>
      <c r="F3738" t="inlineStr">
        <is>
          <t>SCA</t>
        </is>
      </c>
      <c r="G3738" t="n">
        <v>28.9</v>
      </c>
      <c r="H3738" t="n">
        <v>0</v>
      </c>
      <c r="I3738" t="n">
        <v>0</v>
      </c>
      <c r="J3738" t="n">
        <v>0</v>
      </c>
      <c r="K3738" t="n">
        <v>0</v>
      </c>
      <c r="L3738" t="n">
        <v>0</v>
      </c>
      <c r="M3738" t="n">
        <v>0</v>
      </c>
      <c r="N3738" t="n">
        <v>0</v>
      </c>
      <c r="O3738" t="n">
        <v>0</v>
      </c>
      <c r="P3738" t="n">
        <v>0</v>
      </c>
      <c r="Q3738" t="n">
        <v>0</v>
      </c>
      <c r="R3738" s="2" t="inlineStr"/>
    </row>
    <row r="3739" ht="15" customHeight="1">
      <c r="A3739" t="inlineStr">
        <is>
          <t>A 39086-2025</t>
        </is>
      </c>
      <c r="B3739" s="1" t="n">
        <v>45888.49046296296</v>
      </c>
      <c r="C3739" s="1" t="n">
        <v>46045</v>
      </c>
      <c r="D3739" t="inlineStr">
        <is>
          <t>JÄMTLANDS LÄN</t>
        </is>
      </c>
      <c r="E3739" t="inlineStr">
        <is>
          <t>BRÄCKE</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53757-2024</t>
        </is>
      </c>
      <c r="B3740" s="1" t="n">
        <v>45615.50034722222</v>
      </c>
      <c r="C3740" s="1" t="n">
        <v>46045</v>
      </c>
      <c r="D3740" t="inlineStr">
        <is>
          <t>JÄMTLANDS LÄN</t>
        </is>
      </c>
      <c r="E3740" t="inlineStr">
        <is>
          <t>RAGUNDA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7970-2023</t>
        </is>
      </c>
      <c r="B3741" s="1" t="n">
        <v>44970</v>
      </c>
      <c r="C3741" s="1" t="n">
        <v>46045</v>
      </c>
      <c r="D3741" t="inlineStr">
        <is>
          <t>JÄMTLANDS LÄN</t>
        </is>
      </c>
      <c r="E3741" t="inlineStr">
        <is>
          <t>ÅRE</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58758-2022</t>
        </is>
      </c>
      <c r="B3742" s="1" t="n">
        <v>44903</v>
      </c>
      <c r="C3742" s="1" t="n">
        <v>46045</v>
      </c>
      <c r="D3742" t="inlineStr">
        <is>
          <t>JÄMTLANDS LÄN</t>
        </is>
      </c>
      <c r="E3742" t="inlineStr">
        <is>
          <t>ÅRE</t>
        </is>
      </c>
      <c r="F3742" t="inlineStr">
        <is>
          <t>Övriga Aktiebolag</t>
        </is>
      </c>
      <c r="G3742" t="n">
        <v>42.9</v>
      </c>
      <c r="H3742" t="n">
        <v>0</v>
      </c>
      <c r="I3742" t="n">
        <v>0</v>
      </c>
      <c r="J3742" t="n">
        <v>0</v>
      </c>
      <c r="K3742" t="n">
        <v>0</v>
      </c>
      <c r="L3742" t="n">
        <v>0</v>
      </c>
      <c r="M3742" t="n">
        <v>0</v>
      </c>
      <c r="N3742" t="n">
        <v>0</v>
      </c>
      <c r="O3742" t="n">
        <v>0</v>
      </c>
      <c r="P3742" t="n">
        <v>0</v>
      </c>
      <c r="Q3742" t="n">
        <v>0</v>
      </c>
      <c r="R3742" s="2" t="inlineStr"/>
    </row>
    <row r="3743" ht="15" customHeight="1">
      <c r="A3743" t="inlineStr">
        <is>
          <t>A 47765-2024</t>
        </is>
      </c>
      <c r="B3743" s="1" t="n">
        <v>45588.56039351852</v>
      </c>
      <c r="C3743" s="1" t="n">
        <v>46045</v>
      </c>
      <c r="D3743" t="inlineStr">
        <is>
          <t>JÄMTLANDS LÄN</t>
        </is>
      </c>
      <c r="E3743" t="inlineStr">
        <is>
          <t>HÄRJEDALEN</t>
        </is>
      </c>
      <c r="G3743" t="n">
        <v>53.6</v>
      </c>
      <c r="H3743" t="n">
        <v>0</v>
      </c>
      <c r="I3743" t="n">
        <v>0</v>
      </c>
      <c r="J3743" t="n">
        <v>0</v>
      </c>
      <c r="K3743" t="n">
        <v>0</v>
      </c>
      <c r="L3743" t="n">
        <v>0</v>
      </c>
      <c r="M3743" t="n">
        <v>0</v>
      </c>
      <c r="N3743" t="n">
        <v>0</v>
      </c>
      <c r="O3743" t="n">
        <v>0</v>
      </c>
      <c r="P3743" t="n">
        <v>0</v>
      </c>
      <c r="Q3743" t="n">
        <v>0</v>
      </c>
      <c r="R3743" s="2" t="inlineStr"/>
    </row>
    <row r="3744" ht="15" customHeight="1">
      <c r="A3744" t="inlineStr">
        <is>
          <t>A 22116-2024</t>
        </is>
      </c>
      <c r="B3744" s="1" t="n">
        <v>45443.95230324074</v>
      </c>
      <c r="C3744" s="1" t="n">
        <v>46045</v>
      </c>
      <c r="D3744" t="inlineStr">
        <is>
          <t>JÄMTLANDS LÄN</t>
        </is>
      </c>
      <c r="E3744" t="inlineStr">
        <is>
          <t>BRÄCKE</t>
        </is>
      </c>
      <c r="F3744" t="inlineStr">
        <is>
          <t>SCA</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38775-2025</t>
        </is>
      </c>
      <c r="B3745" s="1" t="n">
        <v>45887.42667824074</v>
      </c>
      <c r="C3745" s="1" t="n">
        <v>46045</v>
      </c>
      <c r="D3745" t="inlineStr">
        <is>
          <t>JÄMTLANDS LÄN</t>
        </is>
      </c>
      <c r="E3745" t="inlineStr">
        <is>
          <t>BRÄCKE</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52213-2024</t>
        </is>
      </c>
      <c r="B3746" s="1" t="n">
        <v>45607</v>
      </c>
      <c r="C3746" s="1" t="n">
        <v>46045</v>
      </c>
      <c r="D3746" t="inlineStr">
        <is>
          <t>JÄMTLANDS LÄN</t>
        </is>
      </c>
      <c r="E3746" t="inlineStr">
        <is>
          <t>KROKOM</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19246-2023</t>
        </is>
      </c>
      <c r="B3747" s="1" t="n">
        <v>45048.94340277778</v>
      </c>
      <c r="C3747" s="1" t="n">
        <v>46045</v>
      </c>
      <c r="D3747" t="inlineStr">
        <is>
          <t>JÄMTLANDS LÄN</t>
        </is>
      </c>
      <c r="E3747" t="inlineStr">
        <is>
          <t>RAGUNDA</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38834-2025</t>
        </is>
      </c>
      <c r="B3748" s="1" t="n">
        <v>45887.53174768519</v>
      </c>
      <c r="C3748" s="1" t="n">
        <v>46045</v>
      </c>
      <c r="D3748" t="inlineStr">
        <is>
          <t>JÄMTLANDS LÄN</t>
        </is>
      </c>
      <c r="E3748" t="inlineStr">
        <is>
          <t>BRÄCKE</t>
        </is>
      </c>
      <c r="F3748" t="inlineStr">
        <is>
          <t>SCA</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38842-2025</t>
        </is>
      </c>
      <c r="B3749" s="1" t="n">
        <v>45887.54003472222</v>
      </c>
      <c r="C3749" s="1" t="n">
        <v>46045</v>
      </c>
      <c r="D3749" t="inlineStr">
        <is>
          <t>JÄMTLANDS LÄN</t>
        </is>
      </c>
      <c r="E3749" t="inlineStr">
        <is>
          <t>BRÄCKE</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464-2023</t>
        </is>
      </c>
      <c r="B3750" s="1" t="n">
        <v>44929.92489583333</v>
      </c>
      <c r="C3750" s="1" t="n">
        <v>46045</v>
      </c>
      <c r="D3750" t="inlineStr">
        <is>
          <t>JÄMTLANDS LÄN</t>
        </is>
      </c>
      <c r="E3750" t="inlineStr">
        <is>
          <t>RAGUNDA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38885-2025</t>
        </is>
      </c>
      <c r="B3751" s="1" t="n">
        <v>45887.58372685185</v>
      </c>
      <c r="C3751" s="1" t="n">
        <v>46045</v>
      </c>
      <c r="D3751" t="inlineStr">
        <is>
          <t>JÄMTLANDS LÄN</t>
        </is>
      </c>
      <c r="E3751" t="inlineStr">
        <is>
          <t>KROKOM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1414-2023</t>
        </is>
      </c>
      <c r="B3752" s="1" t="n">
        <v>44936</v>
      </c>
      <c r="C3752" s="1" t="n">
        <v>46045</v>
      </c>
      <c r="D3752" t="inlineStr">
        <is>
          <t>JÄMTLANDS LÄN</t>
        </is>
      </c>
      <c r="E3752" t="inlineStr">
        <is>
          <t>ÅRE</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39088-2025</t>
        </is>
      </c>
      <c r="B3753" s="1" t="n">
        <v>45888.49105324074</v>
      </c>
      <c r="C3753" s="1" t="n">
        <v>46045</v>
      </c>
      <c r="D3753" t="inlineStr">
        <is>
          <t>JÄMTLANDS LÄN</t>
        </is>
      </c>
      <c r="E3753" t="inlineStr">
        <is>
          <t>BRÄCKE</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49649-2024</t>
        </is>
      </c>
      <c r="B3754" s="1" t="n">
        <v>45596.61553240741</v>
      </c>
      <c r="C3754" s="1" t="n">
        <v>46045</v>
      </c>
      <c r="D3754" t="inlineStr">
        <is>
          <t>JÄMTLANDS LÄN</t>
        </is>
      </c>
      <c r="E3754" t="inlineStr">
        <is>
          <t>RAGUNDA</t>
        </is>
      </c>
      <c r="F3754" t="inlineStr">
        <is>
          <t>SCA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20426-2024</t>
        </is>
      </c>
      <c r="B3755" s="1" t="n">
        <v>45435</v>
      </c>
      <c r="C3755" s="1" t="n">
        <v>46045</v>
      </c>
      <c r="D3755" t="inlineStr">
        <is>
          <t>JÄMTLANDS LÄN</t>
        </is>
      </c>
      <c r="E3755" t="inlineStr">
        <is>
          <t>RAGUNDA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44911-2021</t>
        </is>
      </c>
      <c r="B3756" s="1" t="n">
        <v>44435</v>
      </c>
      <c r="C3756" s="1" t="n">
        <v>46045</v>
      </c>
      <c r="D3756" t="inlineStr">
        <is>
          <t>JÄMTLANDS LÄN</t>
        </is>
      </c>
      <c r="E3756" t="inlineStr">
        <is>
          <t>BERG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38007-2024</t>
        </is>
      </c>
      <c r="B3757" s="1" t="n">
        <v>45544.62063657407</v>
      </c>
      <c r="C3757" s="1" t="n">
        <v>46045</v>
      </c>
      <c r="D3757" t="inlineStr">
        <is>
          <t>JÄMTLANDS LÄN</t>
        </is>
      </c>
      <c r="E3757" t="inlineStr">
        <is>
          <t>BRÄCKE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39103-2025</t>
        </is>
      </c>
      <c r="B3758" s="1" t="n">
        <v>45888.52440972222</v>
      </c>
      <c r="C3758" s="1" t="n">
        <v>46045</v>
      </c>
      <c r="D3758" t="inlineStr">
        <is>
          <t>JÄMTLANDS LÄN</t>
        </is>
      </c>
      <c r="E3758" t="inlineStr">
        <is>
          <t>ÖSTERSUND</t>
        </is>
      </c>
      <c r="G3758" t="n">
        <v>23.9</v>
      </c>
      <c r="H3758" t="n">
        <v>0</v>
      </c>
      <c r="I3758" t="n">
        <v>0</v>
      </c>
      <c r="J3758" t="n">
        <v>0</v>
      </c>
      <c r="K3758" t="n">
        <v>0</v>
      </c>
      <c r="L3758" t="n">
        <v>0</v>
      </c>
      <c r="M3758" t="n">
        <v>0</v>
      </c>
      <c r="N3758" t="n">
        <v>0</v>
      </c>
      <c r="O3758" t="n">
        <v>0</v>
      </c>
      <c r="P3758" t="n">
        <v>0</v>
      </c>
      <c r="Q3758" t="n">
        <v>0</v>
      </c>
      <c r="R3758" s="2" t="inlineStr"/>
    </row>
    <row r="3759" ht="15" customHeight="1">
      <c r="A3759" t="inlineStr">
        <is>
          <t>A 39117-2025</t>
        </is>
      </c>
      <c r="B3759" s="1" t="n">
        <v>45888.55275462963</v>
      </c>
      <c r="C3759" s="1" t="n">
        <v>46045</v>
      </c>
      <c r="D3759" t="inlineStr">
        <is>
          <t>JÄMTLANDS LÄN</t>
        </is>
      </c>
      <c r="E3759" t="inlineStr">
        <is>
          <t>BRÄCKE</t>
        </is>
      </c>
      <c r="F3759" t="inlineStr">
        <is>
          <t>SCA</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25718-2024</t>
        </is>
      </c>
      <c r="B3760" s="1" t="n">
        <v>45463.94467592592</v>
      </c>
      <c r="C3760" s="1" t="n">
        <v>46045</v>
      </c>
      <c r="D3760" t="inlineStr">
        <is>
          <t>JÄMTLANDS LÄN</t>
        </is>
      </c>
      <c r="E3760" t="inlineStr">
        <is>
          <t>BRÄCKE</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61675-2022</t>
        </is>
      </c>
      <c r="B3761" s="1" t="n">
        <v>44911</v>
      </c>
      <c r="C3761" s="1" t="n">
        <v>46045</v>
      </c>
      <c r="D3761" t="inlineStr">
        <is>
          <t>JÄMTLANDS LÄN</t>
        </is>
      </c>
      <c r="E3761" t="inlineStr">
        <is>
          <t>KROKOM</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55056-2024</t>
        </is>
      </c>
      <c r="B3762" s="1" t="n">
        <v>45621.40034722222</v>
      </c>
      <c r="C3762" s="1" t="n">
        <v>46045</v>
      </c>
      <c r="D3762" t="inlineStr">
        <is>
          <t>JÄMTLANDS LÄN</t>
        </is>
      </c>
      <c r="E3762" t="inlineStr">
        <is>
          <t>ÅRE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27638-2024</t>
        </is>
      </c>
      <c r="B3763" s="1" t="n">
        <v>45474.94664351852</v>
      </c>
      <c r="C3763" s="1" t="n">
        <v>46045</v>
      </c>
      <c r="D3763" t="inlineStr">
        <is>
          <t>JÄMTLANDS LÄN</t>
        </is>
      </c>
      <c r="E3763" t="inlineStr">
        <is>
          <t>STRÖMSUND</t>
        </is>
      </c>
      <c r="F3763" t="inlineStr">
        <is>
          <t>SCA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27649-2024</t>
        </is>
      </c>
      <c r="B3764" s="1" t="n">
        <v>45474.94787037037</v>
      </c>
      <c r="C3764" s="1" t="n">
        <v>46045</v>
      </c>
      <c r="D3764" t="inlineStr">
        <is>
          <t>JÄMTLANDS LÄN</t>
        </is>
      </c>
      <c r="E3764" t="inlineStr">
        <is>
          <t>STRÖMSUND</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54035-2021</t>
        </is>
      </c>
      <c r="B3765" s="1" t="n">
        <v>44470</v>
      </c>
      <c r="C3765" s="1" t="n">
        <v>46045</v>
      </c>
      <c r="D3765" t="inlineStr">
        <is>
          <t>JÄMTLANDS LÄN</t>
        </is>
      </c>
      <c r="E3765" t="inlineStr">
        <is>
          <t>BRÄCKE</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39004-2025</t>
        </is>
      </c>
      <c r="B3766" s="1" t="n">
        <v>45888.34472222222</v>
      </c>
      <c r="C3766" s="1" t="n">
        <v>46045</v>
      </c>
      <c r="D3766" t="inlineStr">
        <is>
          <t>JÄMTLANDS LÄN</t>
        </is>
      </c>
      <c r="E3766" t="inlineStr">
        <is>
          <t>BERG</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54274-2022</t>
        </is>
      </c>
      <c r="B3767" s="1" t="n">
        <v>44879</v>
      </c>
      <c r="C3767" s="1" t="n">
        <v>46045</v>
      </c>
      <c r="D3767" t="inlineStr">
        <is>
          <t>JÄMTLANDS LÄN</t>
        </is>
      </c>
      <c r="E3767" t="inlineStr">
        <is>
          <t>BRÄCKE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26656-2021</t>
        </is>
      </c>
      <c r="B3768" s="1" t="n">
        <v>44348</v>
      </c>
      <c r="C3768" s="1" t="n">
        <v>46045</v>
      </c>
      <c r="D3768" t="inlineStr">
        <is>
          <t>JÄMTLANDS LÄN</t>
        </is>
      </c>
      <c r="E3768" t="inlineStr">
        <is>
          <t>HÄRJEDALEN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39040-2025</t>
        </is>
      </c>
      <c r="B3769" s="1" t="n">
        <v>45888.42753472222</v>
      </c>
      <c r="C3769" s="1" t="n">
        <v>46045</v>
      </c>
      <c r="D3769" t="inlineStr">
        <is>
          <t>JÄMTLANDS LÄN</t>
        </is>
      </c>
      <c r="E3769" t="inlineStr">
        <is>
          <t>STRÖMSUND</t>
        </is>
      </c>
      <c r="F3769" t="inlineStr">
        <is>
          <t>SCA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32672-2024</t>
        </is>
      </c>
      <c r="B3770" s="1" t="n">
        <v>45514.60695601852</v>
      </c>
      <c r="C3770" s="1" t="n">
        <v>46045</v>
      </c>
      <c r="D3770" t="inlineStr">
        <is>
          <t>JÄMTLANDS LÄN</t>
        </is>
      </c>
      <c r="E3770" t="inlineStr">
        <is>
          <t>STRÖMSUND</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32674-2024</t>
        </is>
      </c>
      <c r="B3771" s="1" t="n">
        <v>45514.61648148148</v>
      </c>
      <c r="C3771" s="1" t="n">
        <v>46045</v>
      </c>
      <c r="D3771" t="inlineStr">
        <is>
          <t>JÄMTLANDS LÄN</t>
        </is>
      </c>
      <c r="E3771" t="inlineStr">
        <is>
          <t>STRÖMSUND</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10706-2023</t>
        </is>
      </c>
      <c r="B3772" s="1" t="n">
        <v>44984</v>
      </c>
      <c r="C3772" s="1" t="n">
        <v>46045</v>
      </c>
      <c r="D3772" t="inlineStr">
        <is>
          <t>JÄMTLANDS LÄN</t>
        </is>
      </c>
      <c r="E3772" t="inlineStr">
        <is>
          <t>RAGUNDA</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13395-2021</t>
        </is>
      </c>
      <c r="B3773" s="1" t="n">
        <v>44273</v>
      </c>
      <c r="C3773" s="1" t="n">
        <v>46045</v>
      </c>
      <c r="D3773" t="inlineStr">
        <is>
          <t>JÄMTLANDS LÄN</t>
        </is>
      </c>
      <c r="E3773" t="inlineStr">
        <is>
          <t>KROKOM</t>
        </is>
      </c>
      <c r="G3773" t="n">
        <v>13.7</v>
      </c>
      <c r="H3773" t="n">
        <v>0</v>
      </c>
      <c r="I3773" t="n">
        <v>0</v>
      </c>
      <c r="J3773" t="n">
        <v>0</v>
      </c>
      <c r="K3773" t="n">
        <v>0</v>
      </c>
      <c r="L3773" t="n">
        <v>0</v>
      </c>
      <c r="M3773" t="n">
        <v>0</v>
      </c>
      <c r="N3773" t="n">
        <v>0</v>
      </c>
      <c r="O3773" t="n">
        <v>0</v>
      </c>
      <c r="P3773" t="n">
        <v>0</v>
      </c>
      <c r="Q3773" t="n">
        <v>0</v>
      </c>
      <c r="R3773" s="2" t="inlineStr"/>
    </row>
    <row r="3774" ht="15" customHeight="1">
      <c r="A3774" t="inlineStr">
        <is>
          <t>A 30016-2024</t>
        </is>
      </c>
      <c r="B3774" s="1" t="n">
        <v>45485</v>
      </c>
      <c r="C3774" s="1" t="n">
        <v>46045</v>
      </c>
      <c r="D3774" t="inlineStr">
        <is>
          <t>JÄMTLANDS LÄN</t>
        </is>
      </c>
      <c r="E3774" t="inlineStr">
        <is>
          <t>KROKOM</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41344-2024</t>
        </is>
      </c>
      <c r="B3775" s="1" t="n">
        <v>45559.67759259259</v>
      </c>
      <c r="C3775" s="1" t="n">
        <v>46045</v>
      </c>
      <c r="D3775" t="inlineStr">
        <is>
          <t>JÄMTLANDS LÄN</t>
        </is>
      </c>
      <c r="E3775" t="inlineStr">
        <is>
          <t>RAGUNDA</t>
        </is>
      </c>
      <c r="F3775" t="inlineStr">
        <is>
          <t>SCA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39205-2025</t>
        </is>
      </c>
      <c r="B3776" s="1" t="n">
        <v>45888.72445601852</v>
      </c>
      <c r="C3776" s="1" t="n">
        <v>46045</v>
      </c>
      <c r="D3776" t="inlineStr">
        <is>
          <t>JÄMTLANDS LÄN</t>
        </is>
      </c>
      <c r="E3776" t="inlineStr">
        <is>
          <t>KROKOM</t>
        </is>
      </c>
      <c r="F3776" t="inlineStr">
        <is>
          <t>Kyrkan</t>
        </is>
      </c>
      <c r="G3776" t="n">
        <v>20.6</v>
      </c>
      <c r="H3776" t="n">
        <v>0</v>
      </c>
      <c r="I3776" t="n">
        <v>0</v>
      </c>
      <c r="J3776" t="n">
        <v>0</v>
      </c>
      <c r="K3776" t="n">
        <v>0</v>
      </c>
      <c r="L3776" t="n">
        <v>0</v>
      </c>
      <c r="M3776" t="n">
        <v>0</v>
      </c>
      <c r="N3776" t="n">
        <v>0</v>
      </c>
      <c r="O3776" t="n">
        <v>0</v>
      </c>
      <c r="P3776" t="n">
        <v>0</v>
      </c>
      <c r="Q3776" t="n">
        <v>0</v>
      </c>
      <c r="R3776" s="2" t="inlineStr"/>
    </row>
    <row r="3777" ht="15" customHeight="1">
      <c r="A3777" t="inlineStr">
        <is>
          <t>A 38806-2025</t>
        </is>
      </c>
      <c r="B3777" s="1" t="n">
        <v>45887.46930555555</v>
      </c>
      <c r="C3777" s="1" t="n">
        <v>46045</v>
      </c>
      <c r="D3777" t="inlineStr">
        <is>
          <t>JÄMTLANDS LÄN</t>
        </is>
      </c>
      <c r="E3777" t="inlineStr">
        <is>
          <t>STRÖMSUND</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59738-2023</t>
        </is>
      </c>
      <c r="B3778" s="1" t="n">
        <v>45257</v>
      </c>
      <c r="C3778" s="1" t="n">
        <v>46045</v>
      </c>
      <c r="D3778" t="inlineStr">
        <is>
          <t>JÄMTLANDS LÄN</t>
        </is>
      </c>
      <c r="E3778" t="inlineStr">
        <is>
          <t>HÄRJEDALEN</t>
        </is>
      </c>
      <c r="F3778" t="inlineStr">
        <is>
          <t>Bergvik skog väst AB</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59742-2023</t>
        </is>
      </c>
      <c r="B3779" s="1" t="n">
        <v>45257.3837037037</v>
      </c>
      <c r="C3779" s="1" t="n">
        <v>46045</v>
      </c>
      <c r="D3779" t="inlineStr">
        <is>
          <t>JÄMTLANDS LÄN</t>
        </is>
      </c>
      <c r="E3779" t="inlineStr">
        <is>
          <t>STRÖMSUND</t>
        </is>
      </c>
      <c r="F3779" t="inlineStr">
        <is>
          <t>Sveaskog</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34227-2024</t>
        </is>
      </c>
      <c r="B3780" s="1" t="n">
        <v>45524.55819444444</v>
      </c>
      <c r="C3780" s="1" t="n">
        <v>46045</v>
      </c>
      <c r="D3780" t="inlineStr">
        <is>
          <t>JÄMTLANDS LÄN</t>
        </is>
      </c>
      <c r="E3780" t="inlineStr">
        <is>
          <t>STRÖMSUND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58947-2024</t>
        </is>
      </c>
      <c r="B3781" s="1" t="n">
        <v>45636.55244212963</v>
      </c>
      <c r="C3781" s="1" t="n">
        <v>46045</v>
      </c>
      <c r="D3781" t="inlineStr">
        <is>
          <t>JÄMTLANDS LÄN</t>
        </is>
      </c>
      <c r="E3781" t="inlineStr">
        <is>
          <t>STRÖMSUND</t>
        </is>
      </c>
      <c r="F3781" t="inlineStr">
        <is>
          <t>SCA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58955-2024</t>
        </is>
      </c>
      <c r="B3782" s="1" t="n">
        <v>45636.57329861111</v>
      </c>
      <c r="C3782" s="1" t="n">
        <v>46045</v>
      </c>
      <c r="D3782" t="inlineStr">
        <is>
          <t>JÄMTLANDS LÄN</t>
        </is>
      </c>
      <c r="E3782" t="inlineStr">
        <is>
          <t>RAGUNDA</t>
        </is>
      </c>
      <c r="F3782" t="inlineStr">
        <is>
          <t>SCA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39069-2024</t>
        </is>
      </c>
      <c r="B3783" s="1" t="n">
        <v>45548.53166666667</v>
      </c>
      <c r="C3783" s="1" t="n">
        <v>46045</v>
      </c>
      <c r="D3783" t="inlineStr">
        <is>
          <t>JÄMTLANDS LÄN</t>
        </is>
      </c>
      <c r="E3783" t="inlineStr">
        <is>
          <t>ÅRE</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23528-2024</t>
        </is>
      </c>
      <c r="B3784" s="1" t="n">
        <v>45453.95016203704</v>
      </c>
      <c r="C3784" s="1" t="n">
        <v>46045</v>
      </c>
      <c r="D3784" t="inlineStr">
        <is>
          <t>JÄMTLANDS LÄN</t>
        </is>
      </c>
      <c r="E3784" t="inlineStr">
        <is>
          <t>RAGUNDA</t>
        </is>
      </c>
      <c r="F3784" t="inlineStr">
        <is>
          <t>SCA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23534-2024</t>
        </is>
      </c>
      <c r="B3785" s="1" t="n">
        <v>45453.95170138889</v>
      </c>
      <c r="C3785" s="1" t="n">
        <v>46045</v>
      </c>
      <c r="D3785" t="inlineStr">
        <is>
          <t>JÄMTLANDS LÄN</t>
        </is>
      </c>
      <c r="E3785" t="inlineStr">
        <is>
          <t>BRÄCKE</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53883-2023</t>
        </is>
      </c>
      <c r="B3786" s="1" t="n">
        <v>45231.5221875</v>
      </c>
      <c r="C3786" s="1" t="n">
        <v>46045</v>
      </c>
      <c r="D3786" t="inlineStr">
        <is>
          <t>JÄMTLANDS LÄN</t>
        </is>
      </c>
      <c r="E3786" t="inlineStr">
        <is>
          <t>BERG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53278-2022</t>
        </is>
      </c>
      <c r="B3787" s="1" t="n">
        <v>44876.94785879629</v>
      </c>
      <c r="C3787" s="1" t="n">
        <v>46045</v>
      </c>
      <c r="D3787" t="inlineStr">
        <is>
          <t>JÄMTLANDS LÄN</t>
        </is>
      </c>
      <c r="E3787" t="inlineStr">
        <is>
          <t>BRÄCKE</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26025-2024</t>
        </is>
      </c>
      <c r="B3788" s="1" t="n">
        <v>45467.96188657408</v>
      </c>
      <c r="C3788" s="1" t="n">
        <v>46045</v>
      </c>
      <c r="D3788" t="inlineStr">
        <is>
          <t>JÄMTLANDS LÄN</t>
        </is>
      </c>
      <c r="E3788" t="inlineStr">
        <is>
          <t>BRÄCKE</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28067-2023</t>
        </is>
      </c>
      <c r="B3789" s="1" t="n">
        <v>45099.37211805556</v>
      </c>
      <c r="C3789" s="1" t="n">
        <v>46045</v>
      </c>
      <c r="D3789" t="inlineStr">
        <is>
          <t>JÄMTLANDS LÄN</t>
        </is>
      </c>
      <c r="E3789" t="inlineStr">
        <is>
          <t>KROKOM</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27587-2024</t>
        </is>
      </c>
      <c r="B3790" s="1" t="n">
        <v>45474.66636574074</v>
      </c>
      <c r="C3790" s="1" t="n">
        <v>46045</v>
      </c>
      <c r="D3790" t="inlineStr">
        <is>
          <t>JÄMTLANDS LÄN</t>
        </is>
      </c>
      <c r="E3790" t="inlineStr">
        <is>
          <t>STRÖMSUND</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21552-2025</t>
        </is>
      </c>
      <c r="B3791" s="1" t="n">
        <v>45782.67795138889</v>
      </c>
      <c r="C3791" s="1" t="n">
        <v>46045</v>
      </c>
      <c r="D3791" t="inlineStr">
        <is>
          <t>JÄMTLANDS LÄN</t>
        </is>
      </c>
      <c r="E3791" t="inlineStr">
        <is>
          <t>STRÖMSUND</t>
        </is>
      </c>
      <c r="F3791" t="inlineStr">
        <is>
          <t>SCA</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26960-2024</t>
        </is>
      </c>
      <c r="B3792" s="1" t="n">
        <v>45470.97107638889</v>
      </c>
      <c r="C3792" s="1" t="n">
        <v>46045</v>
      </c>
      <c r="D3792" t="inlineStr">
        <is>
          <t>JÄMTLANDS LÄN</t>
        </is>
      </c>
      <c r="E3792" t="inlineStr">
        <is>
          <t>STRÖMSUND</t>
        </is>
      </c>
      <c r="F3792" t="inlineStr">
        <is>
          <t>SCA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1421-2025</t>
        </is>
      </c>
      <c r="B3793" s="1" t="n">
        <v>45668.59413194445</v>
      </c>
      <c r="C3793" s="1" t="n">
        <v>46045</v>
      </c>
      <c r="D3793" t="inlineStr">
        <is>
          <t>JÄMTLANDS LÄN</t>
        </is>
      </c>
      <c r="E3793" t="inlineStr">
        <is>
          <t>STRÖMSUND</t>
        </is>
      </c>
      <c r="F3793" t="inlineStr">
        <is>
          <t>SCA</t>
        </is>
      </c>
      <c r="G3793" t="n">
        <v>7.2</v>
      </c>
      <c r="H3793" t="n">
        <v>0</v>
      </c>
      <c r="I3793" t="n">
        <v>0</v>
      </c>
      <c r="J3793" t="n">
        <v>0</v>
      </c>
      <c r="K3793" t="n">
        <v>0</v>
      </c>
      <c r="L3793" t="n">
        <v>0</v>
      </c>
      <c r="M3793" t="n">
        <v>0</v>
      </c>
      <c r="N3793" t="n">
        <v>0</v>
      </c>
      <c r="O3793" t="n">
        <v>0</v>
      </c>
      <c r="P3793" t="n">
        <v>0</v>
      </c>
      <c r="Q3793" t="n">
        <v>0</v>
      </c>
      <c r="R3793" s="2" t="inlineStr"/>
    </row>
    <row r="3794" ht="15" customHeight="1">
      <c r="A3794" t="inlineStr">
        <is>
          <t>A 56182-2024</t>
        </is>
      </c>
      <c r="B3794" s="1" t="n">
        <v>45624.57098379629</v>
      </c>
      <c r="C3794" s="1" t="n">
        <v>46045</v>
      </c>
      <c r="D3794" t="inlineStr">
        <is>
          <t>JÄMTLANDS LÄN</t>
        </is>
      </c>
      <c r="E3794" t="inlineStr">
        <is>
          <t>HÄRJEDALEN</t>
        </is>
      </c>
      <c r="G3794" t="n">
        <v>9</v>
      </c>
      <c r="H3794" t="n">
        <v>0</v>
      </c>
      <c r="I3794" t="n">
        <v>0</v>
      </c>
      <c r="J3794" t="n">
        <v>0</v>
      </c>
      <c r="K3794" t="n">
        <v>0</v>
      </c>
      <c r="L3794" t="n">
        <v>0</v>
      </c>
      <c r="M3794" t="n">
        <v>0</v>
      </c>
      <c r="N3794" t="n">
        <v>0</v>
      </c>
      <c r="O3794" t="n">
        <v>0</v>
      </c>
      <c r="P3794" t="n">
        <v>0</v>
      </c>
      <c r="Q3794" t="n">
        <v>0</v>
      </c>
      <c r="R3794" s="2" t="inlineStr"/>
    </row>
    <row r="3795" ht="15" customHeight="1">
      <c r="A3795" t="inlineStr">
        <is>
          <t>A 46991-2024</t>
        </is>
      </c>
      <c r="B3795" s="1" t="n">
        <v>45586.365625</v>
      </c>
      <c r="C3795" s="1" t="n">
        <v>46045</v>
      </c>
      <c r="D3795" t="inlineStr">
        <is>
          <t>JÄMTLANDS LÄN</t>
        </is>
      </c>
      <c r="E3795" t="inlineStr">
        <is>
          <t>BERG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4878-2022</t>
        </is>
      </c>
      <c r="B3796" s="1" t="n">
        <v>44593</v>
      </c>
      <c r="C3796" s="1" t="n">
        <v>46045</v>
      </c>
      <c r="D3796" t="inlineStr">
        <is>
          <t>JÄMTLANDS LÄN</t>
        </is>
      </c>
      <c r="E3796" t="inlineStr">
        <is>
          <t>RAGUNDA</t>
        </is>
      </c>
      <c r="G3796" t="n">
        <v>21.7</v>
      </c>
      <c r="H3796" t="n">
        <v>0</v>
      </c>
      <c r="I3796" t="n">
        <v>0</v>
      </c>
      <c r="J3796" t="n">
        <v>0</v>
      </c>
      <c r="K3796" t="n">
        <v>0</v>
      </c>
      <c r="L3796" t="n">
        <v>0</v>
      </c>
      <c r="M3796" t="n">
        <v>0</v>
      </c>
      <c r="N3796" t="n">
        <v>0</v>
      </c>
      <c r="O3796" t="n">
        <v>0</v>
      </c>
      <c r="P3796" t="n">
        <v>0</v>
      </c>
      <c r="Q3796" t="n">
        <v>0</v>
      </c>
      <c r="R3796" s="2" t="inlineStr"/>
    </row>
    <row r="3797" ht="15" customHeight="1">
      <c r="A3797" t="inlineStr">
        <is>
          <t>A 6067-2025</t>
        </is>
      </c>
      <c r="B3797" s="1" t="n">
        <v>45696.34405092592</v>
      </c>
      <c r="C3797" s="1" t="n">
        <v>46045</v>
      </c>
      <c r="D3797" t="inlineStr">
        <is>
          <t>JÄMTLANDS LÄN</t>
        </is>
      </c>
      <c r="E3797" t="inlineStr">
        <is>
          <t>ÖSTERSUND</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39508-2025</t>
        </is>
      </c>
      <c r="B3798" s="1" t="n">
        <v>45890.40730324074</v>
      </c>
      <c r="C3798" s="1" t="n">
        <v>46045</v>
      </c>
      <c r="D3798" t="inlineStr">
        <is>
          <t>JÄMTLANDS LÄN</t>
        </is>
      </c>
      <c r="E3798" t="inlineStr">
        <is>
          <t>STRÖMSUND</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39544-2025</t>
        </is>
      </c>
      <c r="B3799" s="1" t="n">
        <v>45890.45547453704</v>
      </c>
      <c r="C3799" s="1" t="n">
        <v>46045</v>
      </c>
      <c r="D3799" t="inlineStr">
        <is>
          <t>JÄMTLANDS LÄN</t>
        </is>
      </c>
      <c r="E3799" t="inlineStr">
        <is>
          <t>BERG</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39601-2025</t>
        </is>
      </c>
      <c r="B3800" s="1" t="n">
        <v>45890.55284722222</v>
      </c>
      <c r="C3800" s="1" t="n">
        <v>46045</v>
      </c>
      <c r="D3800" t="inlineStr">
        <is>
          <t>JÄMTLANDS LÄN</t>
        </is>
      </c>
      <c r="E3800" t="inlineStr">
        <is>
          <t>BERG</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60366-2024</t>
        </is>
      </c>
      <c r="B3801" s="1" t="n">
        <v>45643.45707175926</v>
      </c>
      <c r="C3801" s="1" t="n">
        <v>46045</v>
      </c>
      <c r="D3801" t="inlineStr">
        <is>
          <t>JÄMTLANDS LÄN</t>
        </is>
      </c>
      <c r="E3801" t="inlineStr">
        <is>
          <t>STRÖMSUND</t>
        </is>
      </c>
      <c r="F3801" t="inlineStr">
        <is>
          <t>Sveaskog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54663-2022</t>
        </is>
      </c>
      <c r="B3802" s="1" t="n">
        <v>44883.44737268519</v>
      </c>
      <c r="C3802" s="1" t="n">
        <v>46045</v>
      </c>
      <c r="D3802" t="inlineStr">
        <is>
          <t>JÄMTLANDS LÄN</t>
        </is>
      </c>
      <c r="E3802" t="inlineStr">
        <is>
          <t>ÖSTERSUND</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21667-2024</t>
        </is>
      </c>
      <c r="B3803" s="1" t="n">
        <v>45442.38511574074</v>
      </c>
      <c r="C3803" s="1" t="n">
        <v>46045</v>
      </c>
      <c r="D3803" t="inlineStr">
        <is>
          <t>JÄMTLANDS LÄN</t>
        </is>
      </c>
      <c r="E3803" t="inlineStr">
        <is>
          <t>ÖSTERSUND</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39344-2025</t>
        </is>
      </c>
      <c r="B3804" s="1" t="n">
        <v>45889.53175925926</v>
      </c>
      <c r="C3804" s="1" t="n">
        <v>46045</v>
      </c>
      <c r="D3804" t="inlineStr">
        <is>
          <t>JÄMTLANDS LÄN</t>
        </is>
      </c>
      <c r="E3804" t="inlineStr">
        <is>
          <t>BRÄCKE</t>
        </is>
      </c>
      <c r="F3804" t="inlineStr">
        <is>
          <t>SCA</t>
        </is>
      </c>
      <c r="G3804" t="n">
        <v>9.6</v>
      </c>
      <c r="H3804" t="n">
        <v>0</v>
      </c>
      <c r="I3804" t="n">
        <v>0</v>
      </c>
      <c r="J3804" t="n">
        <v>0</v>
      </c>
      <c r="K3804" t="n">
        <v>0</v>
      </c>
      <c r="L3804" t="n">
        <v>0</v>
      </c>
      <c r="M3804" t="n">
        <v>0</v>
      </c>
      <c r="N3804" t="n">
        <v>0</v>
      </c>
      <c r="O3804" t="n">
        <v>0</v>
      </c>
      <c r="P3804" t="n">
        <v>0</v>
      </c>
      <c r="Q3804" t="n">
        <v>0</v>
      </c>
      <c r="R3804" s="2" t="inlineStr"/>
    </row>
    <row r="3805" ht="15" customHeight="1">
      <c r="A3805" t="inlineStr">
        <is>
          <t>A 25221-2025</t>
        </is>
      </c>
      <c r="B3805" s="1" t="n">
        <v>45800.47802083333</v>
      </c>
      <c r="C3805" s="1" t="n">
        <v>46045</v>
      </c>
      <c r="D3805" t="inlineStr">
        <is>
          <t>JÄMTLANDS LÄN</t>
        </is>
      </c>
      <c r="E3805" t="inlineStr">
        <is>
          <t>ÖSTERSUND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826-2025</t>
        </is>
      </c>
      <c r="B3806" s="1" t="n">
        <v>45665.57373842593</v>
      </c>
      <c r="C3806" s="1" t="n">
        <v>46045</v>
      </c>
      <c r="D3806" t="inlineStr">
        <is>
          <t>JÄMTLANDS LÄN</t>
        </is>
      </c>
      <c r="E3806" t="inlineStr">
        <is>
          <t>KROKOM</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32358-2024</t>
        </is>
      </c>
      <c r="B3807" s="1" t="n">
        <v>45512.56609953703</v>
      </c>
      <c r="C3807" s="1" t="n">
        <v>46045</v>
      </c>
      <c r="D3807" t="inlineStr">
        <is>
          <t>JÄMTLANDS LÄN</t>
        </is>
      </c>
      <c r="E3807" t="inlineStr">
        <is>
          <t>STRÖMSUND</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1863-2022</t>
        </is>
      </c>
      <c r="B3808" s="1" t="n">
        <v>44574</v>
      </c>
      <c r="C3808" s="1" t="n">
        <v>46045</v>
      </c>
      <c r="D3808" t="inlineStr">
        <is>
          <t>JÄMTLANDS LÄN</t>
        </is>
      </c>
      <c r="E3808" t="inlineStr">
        <is>
          <t>BRÄCKE</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1865-2022</t>
        </is>
      </c>
      <c r="B3809" s="1" t="n">
        <v>44574</v>
      </c>
      <c r="C3809" s="1" t="n">
        <v>46045</v>
      </c>
      <c r="D3809" t="inlineStr">
        <is>
          <t>JÄMTLANDS LÄN</t>
        </is>
      </c>
      <c r="E3809" t="inlineStr">
        <is>
          <t>BRÄCKE</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891-2022</t>
        </is>
      </c>
      <c r="B3810" s="1" t="n">
        <v>44571</v>
      </c>
      <c r="C3810" s="1" t="n">
        <v>46045</v>
      </c>
      <c r="D3810" t="inlineStr">
        <is>
          <t>JÄMTLANDS LÄN</t>
        </is>
      </c>
      <c r="E3810" t="inlineStr">
        <is>
          <t>RAGUNDA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1361-2024</t>
        </is>
      </c>
      <c r="B3811" s="1" t="n">
        <v>45303.5047337963</v>
      </c>
      <c r="C3811" s="1" t="n">
        <v>46045</v>
      </c>
      <c r="D3811" t="inlineStr">
        <is>
          <t>JÄMTLANDS LÄN</t>
        </is>
      </c>
      <c r="E3811" t="inlineStr">
        <is>
          <t>HÄRJEDALEN</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39211-2025</t>
        </is>
      </c>
      <c r="B3812" s="1" t="n">
        <v>45888.78539351852</v>
      </c>
      <c r="C3812" s="1" t="n">
        <v>46045</v>
      </c>
      <c r="D3812" t="inlineStr">
        <is>
          <t>JÄMTLANDS LÄN</t>
        </is>
      </c>
      <c r="E3812" t="inlineStr">
        <is>
          <t>HÄRJEDALEN</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3693-2023</t>
        </is>
      </c>
      <c r="B3813" s="1" t="n">
        <v>44950</v>
      </c>
      <c r="C3813" s="1" t="n">
        <v>46045</v>
      </c>
      <c r="D3813" t="inlineStr">
        <is>
          <t>JÄMTLANDS LÄN</t>
        </is>
      </c>
      <c r="E3813" t="inlineStr">
        <is>
          <t>STRÖMSUND</t>
        </is>
      </c>
      <c r="F3813" t="inlineStr">
        <is>
          <t>SCA</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39532-2025</t>
        </is>
      </c>
      <c r="B3814" s="1" t="n">
        <v>45890.44847222222</v>
      </c>
      <c r="C3814" s="1" t="n">
        <v>46045</v>
      </c>
      <c r="D3814" t="inlineStr">
        <is>
          <t>JÄMTLANDS LÄN</t>
        </is>
      </c>
      <c r="E3814" t="inlineStr">
        <is>
          <t>BRÄCKE</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22412-2024</t>
        </is>
      </c>
      <c r="B3815" s="1" t="n">
        <v>45446.68947916666</v>
      </c>
      <c r="C3815" s="1" t="n">
        <v>46045</v>
      </c>
      <c r="D3815" t="inlineStr">
        <is>
          <t>JÄMTLANDS LÄN</t>
        </is>
      </c>
      <c r="E3815" t="inlineStr">
        <is>
          <t>RAGUNDA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24196-2024</t>
        </is>
      </c>
      <c r="B3816" s="1" t="n">
        <v>45456.96569444444</v>
      </c>
      <c r="C3816" s="1" t="n">
        <v>46045</v>
      </c>
      <c r="D3816" t="inlineStr">
        <is>
          <t>JÄMTLANDS LÄN</t>
        </is>
      </c>
      <c r="E3816" t="inlineStr">
        <is>
          <t>RAGUNDA</t>
        </is>
      </c>
      <c r="F3816" t="inlineStr">
        <is>
          <t>SCA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19634-2025</t>
        </is>
      </c>
      <c r="B3817" s="1" t="n">
        <v>45770.64677083334</v>
      </c>
      <c r="C3817" s="1" t="n">
        <v>46045</v>
      </c>
      <c r="D3817" t="inlineStr">
        <is>
          <t>JÄMTLANDS LÄN</t>
        </is>
      </c>
      <c r="E3817" t="inlineStr">
        <is>
          <t>KROKOM</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60417-2022</t>
        </is>
      </c>
      <c r="B3818" s="1" t="n">
        <v>44910.97158564815</v>
      </c>
      <c r="C3818" s="1" t="n">
        <v>46045</v>
      </c>
      <c r="D3818" t="inlineStr">
        <is>
          <t>JÄMTLANDS LÄN</t>
        </is>
      </c>
      <c r="E3818" t="inlineStr">
        <is>
          <t>BRÄCKE</t>
        </is>
      </c>
      <c r="F3818" t="inlineStr">
        <is>
          <t>SCA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64144-2023</t>
        </is>
      </c>
      <c r="B3819" s="1" t="n">
        <v>45279.57732638889</v>
      </c>
      <c r="C3819" s="1" t="n">
        <v>46045</v>
      </c>
      <c r="D3819" t="inlineStr">
        <is>
          <t>JÄMTLANDS LÄN</t>
        </is>
      </c>
      <c r="E3819" t="inlineStr">
        <is>
          <t>HÄRJEDALEN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1609-2024</t>
        </is>
      </c>
      <c r="B3820" s="1" t="n">
        <v>45306</v>
      </c>
      <c r="C3820" s="1" t="n">
        <v>46045</v>
      </c>
      <c r="D3820" t="inlineStr">
        <is>
          <t>JÄMTLANDS LÄN</t>
        </is>
      </c>
      <c r="E3820" t="inlineStr">
        <is>
          <t>STRÖMSUND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9312-2025</t>
        </is>
      </c>
      <c r="B3821" s="1" t="n">
        <v>45714.68869212963</v>
      </c>
      <c r="C3821" s="1" t="n">
        <v>46045</v>
      </c>
      <c r="D3821" t="inlineStr">
        <is>
          <t>JÄMTLANDS LÄN</t>
        </is>
      </c>
      <c r="E3821" t="inlineStr">
        <is>
          <t>ÅRE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9318-2025</t>
        </is>
      </c>
      <c r="B3822" s="1" t="n">
        <v>45714.71163194445</v>
      </c>
      <c r="C3822" s="1" t="n">
        <v>46045</v>
      </c>
      <c r="D3822" t="inlineStr">
        <is>
          <t>JÄMTLANDS LÄN</t>
        </is>
      </c>
      <c r="E3822" t="inlineStr">
        <is>
          <t>STRÖMSUND</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3528-2024</t>
        </is>
      </c>
      <c r="B3823" s="1" t="n">
        <v>45320</v>
      </c>
      <c r="C3823" s="1" t="n">
        <v>46045</v>
      </c>
      <c r="D3823" t="inlineStr">
        <is>
          <t>JÄMTLANDS LÄN</t>
        </is>
      </c>
      <c r="E3823" t="inlineStr">
        <is>
          <t>BRÄCKE</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39376-2025</t>
        </is>
      </c>
      <c r="B3824" s="1" t="n">
        <v>45889.59425925926</v>
      </c>
      <c r="C3824" s="1" t="n">
        <v>46045</v>
      </c>
      <c r="D3824" t="inlineStr">
        <is>
          <t>JÄMTLANDS LÄN</t>
        </is>
      </c>
      <c r="E3824" t="inlineStr">
        <is>
          <t>BRÄCKE</t>
        </is>
      </c>
      <c r="F3824" t="inlineStr">
        <is>
          <t>SCA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39384-2025</t>
        </is>
      </c>
      <c r="B3825" s="1" t="n">
        <v>45889.61517361111</v>
      </c>
      <c r="C3825" s="1" t="n">
        <v>46045</v>
      </c>
      <c r="D3825" t="inlineStr">
        <is>
          <t>JÄMTLANDS LÄN</t>
        </is>
      </c>
      <c r="E3825" t="inlineStr">
        <is>
          <t>RAGUNDA</t>
        </is>
      </c>
      <c r="F3825" t="inlineStr">
        <is>
          <t>SCA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29299-2025</t>
        </is>
      </c>
      <c r="B3826" s="1" t="n">
        <v>45824.4528125</v>
      </c>
      <c r="C3826" s="1" t="n">
        <v>46045</v>
      </c>
      <c r="D3826" t="inlineStr">
        <is>
          <t>JÄMTLANDS LÄN</t>
        </is>
      </c>
      <c r="E3826" t="inlineStr">
        <is>
          <t>STRÖMSUND</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39560-2025</t>
        </is>
      </c>
      <c r="B3827" s="1" t="n">
        <v>45890.47173611111</v>
      </c>
      <c r="C3827" s="1" t="n">
        <v>46045</v>
      </c>
      <c r="D3827" t="inlineStr">
        <is>
          <t>JÄMTLANDS LÄN</t>
        </is>
      </c>
      <c r="E3827" t="inlineStr">
        <is>
          <t>STRÖMSUND</t>
        </is>
      </c>
      <c r="F3827" t="inlineStr">
        <is>
          <t>Holmen skog AB</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58106-2024</t>
        </is>
      </c>
      <c r="B3828" s="1" t="n">
        <v>45632</v>
      </c>
      <c r="C3828" s="1" t="n">
        <v>46045</v>
      </c>
      <c r="D3828" t="inlineStr">
        <is>
          <t>JÄMTLANDS LÄN</t>
        </is>
      </c>
      <c r="E3828" t="inlineStr">
        <is>
          <t>HÄRJEDALEN</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13297-2025</t>
        </is>
      </c>
      <c r="B3829" s="1" t="n">
        <v>45735.57390046296</v>
      </c>
      <c r="C3829" s="1" t="n">
        <v>46045</v>
      </c>
      <c r="D3829" t="inlineStr">
        <is>
          <t>JÄMTLANDS LÄN</t>
        </is>
      </c>
      <c r="E3829" t="inlineStr">
        <is>
          <t>HÄRJEDALEN</t>
        </is>
      </c>
      <c r="G3829" t="n">
        <v>24.7</v>
      </c>
      <c r="H3829" t="n">
        <v>0</v>
      </c>
      <c r="I3829" t="n">
        <v>0</v>
      </c>
      <c r="J3829" t="n">
        <v>0</v>
      </c>
      <c r="K3829" t="n">
        <v>0</v>
      </c>
      <c r="L3829" t="n">
        <v>0</v>
      </c>
      <c r="M3829" t="n">
        <v>0</v>
      </c>
      <c r="N3829" t="n">
        <v>0</v>
      </c>
      <c r="O3829" t="n">
        <v>0</v>
      </c>
      <c r="P3829" t="n">
        <v>0</v>
      </c>
      <c r="Q3829" t="n">
        <v>0</v>
      </c>
      <c r="R3829" s="2" t="inlineStr"/>
    </row>
    <row r="3830" ht="15" customHeight="1">
      <c r="A3830" t="inlineStr">
        <is>
          <t>A 18007-2024</t>
        </is>
      </c>
      <c r="B3830" s="1" t="n">
        <v>45419.94912037037</v>
      </c>
      <c r="C3830" s="1" t="n">
        <v>46045</v>
      </c>
      <c r="D3830" t="inlineStr">
        <is>
          <t>JÄMTLANDS LÄN</t>
        </is>
      </c>
      <c r="E3830" t="inlineStr">
        <is>
          <t>BERG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18192-2025</t>
        </is>
      </c>
      <c r="B3831" s="1" t="n">
        <v>45761</v>
      </c>
      <c r="C3831" s="1" t="n">
        <v>46045</v>
      </c>
      <c r="D3831" t="inlineStr">
        <is>
          <t>JÄMTLANDS LÄN</t>
        </is>
      </c>
      <c r="E3831" t="inlineStr">
        <is>
          <t>STRÖMSUND</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18578-2025</t>
        </is>
      </c>
      <c r="B3832" s="1" t="n">
        <v>45763</v>
      </c>
      <c r="C3832" s="1" t="n">
        <v>46045</v>
      </c>
      <c r="D3832" t="inlineStr">
        <is>
          <t>JÄMTLANDS LÄN</t>
        </is>
      </c>
      <c r="E3832" t="inlineStr">
        <is>
          <t>ÖSTERSUND</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57022-2022</t>
        </is>
      </c>
      <c r="B3833" s="1" t="n">
        <v>44894.95902777778</v>
      </c>
      <c r="C3833" s="1" t="n">
        <v>46045</v>
      </c>
      <c r="D3833" t="inlineStr">
        <is>
          <t>JÄMTLANDS LÄN</t>
        </is>
      </c>
      <c r="E3833" t="inlineStr">
        <is>
          <t>STRÖMSUND</t>
        </is>
      </c>
      <c r="F3833" t="inlineStr">
        <is>
          <t>SCA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44445-2022</t>
        </is>
      </c>
      <c r="B3834" s="1" t="n">
        <v>44839.95482638889</v>
      </c>
      <c r="C3834" s="1" t="n">
        <v>46045</v>
      </c>
      <c r="D3834" t="inlineStr">
        <is>
          <t>JÄMTLANDS LÄN</t>
        </is>
      </c>
      <c r="E3834" t="inlineStr">
        <is>
          <t>BRÄCKE</t>
        </is>
      </c>
      <c r="F3834" t="inlineStr">
        <is>
          <t>SCA</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39487-2025</t>
        </is>
      </c>
      <c r="B3835" s="1" t="n">
        <v>45890.3650462963</v>
      </c>
      <c r="C3835" s="1" t="n">
        <v>46045</v>
      </c>
      <c r="D3835" t="inlineStr">
        <is>
          <t>JÄMTLANDS LÄN</t>
        </is>
      </c>
      <c r="E3835" t="inlineStr">
        <is>
          <t>BRÄCKE</t>
        </is>
      </c>
      <c r="F3835" t="inlineStr">
        <is>
          <t>SCA</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35501-2022</t>
        </is>
      </c>
      <c r="B3836" s="1" t="n">
        <v>44798.94827546296</v>
      </c>
      <c r="C3836" s="1" t="n">
        <v>46045</v>
      </c>
      <c r="D3836" t="inlineStr">
        <is>
          <t>JÄMTLANDS LÄN</t>
        </is>
      </c>
      <c r="E3836" t="inlineStr">
        <is>
          <t>BRÄCKE</t>
        </is>
      </c>
      <c r="F3836" t="inlineStr">
        <is>
          <t>SCA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54762-2022</t>
        </is>
      </c>
      <c r="B3837" s="1" t="n">
        <v>44883</v>
      </c>
      <c r="C3837" s="1" t="n">
        <v>46045</v>
      </c>
      <c r="D3837" t="inlineStr">
        <is>
          <t>JÄMTLANDS LÄN</t>
        </is>
      </c>
      <c r="E3837" t="inlineStr">
        <is>
          <t>HÄRJEDALEN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54037-2021</t>
        </is>
      </c>
      <c r="B3838" s="1" t="n">
        <v>44470</v>
      </c>
      <c r="C3838" s="1" t="n">
        <v>46045</v>
      </c>
      <c r="D3838" t="inlineStr">
        <is>
          <t>JÄMTLANDS LÄN</t>
        </is>
      </c>
      <c r="E3838" t="inlineStr">
        <is>
          <t>KROKOM</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31759-2024</t>
        </is>
      </c>
      <c r="B3839" s="1" t="n">
        <v>45509</v>
      </c>
      <c r="C3839" s="1" t="n">
        <v>46045</v>
      </c>
      <c r="D3839" t="inlineStr">
        <is>
          <t>JÄMTLANDS LÄN</t>
        </is>
      </c>
      <c r="E3839" t="inlineStr">
        <is>
          <t>HÄRJEDALEN</t>
        </is>
      </c>
      <c r="F3839" t="inlineStr">
        <is>
          <t>Övriga statliga verk och myndigheter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39506-2025</t>
        </is>
      </c>
      <c r="B3840" s="1" t="n">
        <v>45890.40703703704</v>
      </c>
      <c r="C3840" s="1" t="n">
        <v>46045</v>
      </c>
      <c r="D3840" t="inlineStr">
        <is>
          <t>JÄMTLANDS LÄN</t>
        </is>
      </c>
      <c r="E3840" t="inlineStr">
        <is>
          <t>BRÄCKE</t>
        </is>
      </c>
      <c r="F3840" t="inlineStr">
        <is>
          <t>SCA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53825-2024</t>
        </is>
      </c>
      <c r="B3841" s="1" t="n">
        <v>45615.61121527778</v>
      </c>
      <c r="C3841" s="1" t="n">
        <v>46045</v>
      </c>
      <c r="D3841" t="inlineStr">
        <is>
          <t>JÄMTLANDS LÄN</t>
        </is>
      </c>
      <c r="E3841" t="inlineStr">
        <is>
          <t>KROKOM</t>
        </is>
      </c>
      <c r="F3841" t="inlineStr">
        <is>
          <t>Övriga Aktiebolag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15261-2025</t>
        </is>
      </c>
      <c r="B3842" s="1" t="n">
        <v>45744</v>
      </c>
      <c r="C3842" s="1" t="n">
        <v>46045</v>
      </c>
      <c r="D3842" t="inlineStr">
        <is>
          <t>JÄMTLANDS LÄN</t>
        </is>
      </c>
      <c r="E3842" t="inlineStr">
        <is>
          <t>BRÄCKE</t>
        </is>
      </c>
      <c r="F3842" t="inlineStr">
        <is>
          <t>SCA</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52237-2024</t>
        </is>
      </c>
      <c r="B3843" s="1" t="n">
        <v>45608.61606481481</v>
      </c>
      <c r="C3843" s="1" t="n">
        <v>46045</v>
      </c>
      <c r="D3843" t="inlineStr">
        <is>
          <t>JÄMTLANDS LÄN</t>
        </is>
      </c>
      <c r="E3843" t="inlineStr">
        <is>
          <t>KROKOM</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53152-2024</t>
        </is>
      </c>
      <c r="B3844" s="1" t="n">
        <v>45611.62123842593</v>
      </c>
      <c r="C3844" s="1" t="n">
        <v>46045</v>
      </c>
      <c r="D3844" t="inlineStr">
        <is>
          <t>JÄMTLANDS LÄN</t>
        </is>
      </c>
      <c r="E3844" t="inlineStr">
        <is>
          <t>BRÄCKE</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53884-2024</t>
        </is>
      </c>
      <c r="B3845" s="1" t="n">
        <v>45615.67789351852</v>
      </c>
      <c r="C3845" s="1" t="n">
        <v>46045</v>
      </c>
      <c r="D3845" t="inlineStr">
        <is>
          <t>JÄMTLANDS LÄN</t>
        </is>
      </c>
      <c r="E3845" t="inlineStr">
        <is>
          <t>STRÖMSUND</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12193-2023</t>
        </is>
      </c>
      <c r="B3846" s="1" t="n">
        <v>44998</v>
      </c>
      <c r="C3846" s="1" t="n">
        <v>46045</v>
      </c>
      <c r="D3846" t="inlineStr">
        <is>
          <t>JÄMTLANDS LÄN</t>
        </is>
      </c>
      <c r="E3846" t="inlineStr">
        <is>
          <t>ÅRE</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11545-2025</t>
        </is>
      </c>
      <c r="B3847" s="1" t="n">
        <v>45727</v>
      </c>
      <c r="C3847" s="1" t="n">
        <v>46045</v>
      </c>
      <c r="D3847" t="inlineStr">
        <is>
          <t>JÄMTLANDS LÄN</t>
        </is>
      </c>
      <c r="E3847" t="inlineStr">
        <is>
          <t>BRÄCKE</t>
        </is>
      </c>
      <c r="F3847" t="inlineStr">
        <is>
          <t>SCA</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8711-2024</t>
        </is>
      </c>
      <c r="B3848" s="1" t="n">
        <v>45356</v>
      </c>
      <c r="C3848" s="1" t="n">
        <v>46045</v>
      </c>
      <c r="D3848" t="inlineStr">
        <is>
          <t>JÄMTLANDS LÄN</t>
        </is>
      </c>
      <c r="E3848" t="inlineStr">
        <is>
          <t>BERG</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39272-2025</t>
        </is>
      </c>
      <c r="B3849" s="1" t="n">
        <v>45889.38640046296</v>
      </c>
      <c r="C3849" s="1" t="n">
        <v>46045</v>
      </c>
      <c r="D3849" t="inlineStr">
        <is>
          <t>JÄMTLANDS LÄN</t>
        </is>
      </c>
      <c r="E3849" t="inlineStr">
        <is>
          <t>BRÄCKE</t>
        </is>
      </c>
      <c r="F3849" t="inlineStr">
        <is>
          <t>SCA</t>
        </is>
      </c>
      <c r="G3849" t="n">
        <v>13.1</v>
      </c>
      <c r="H3849" t="n">
        <v>0</v>
      </c>
      <c r="I3849" t="n">
        <v>0</v>
      </c>
      <c r="J3849" t="n">
        <v>0</v>
      </c>
      <c r="K3849" t="n">
        <v>0</v>
      </c>
      <c r="L3849" t="n">
        <v>0</v>
      </c>
      <c r="M3849" t="n">
        <v>0</v>
      </c>
      <c r="N3849" t="n">
        <v>0</v>
      </c>
      <c r="O3849" t="n">
        <v>0</v>
      </c>
      <c r="P3849" t="n">
        <v>0</v>
      </c>
      <c r="Q3849" t="n">
        <v>0</v>
      </c>
      <c r="R3849" s="2" t="inlineStr"/>
    </row>
    <row r="3850" ht="15" customHeight="1">
      <c r="A3850" t="inlineStr">
        <is>
          <t>A 39285-2025</t>
        </is>
      </c>
      <c r="B3850" s="1" t="n">
        <v>45889.40671296296</v>
      </c>
      <c r="C3850" s="1" t="n">
        <v>46045</v>
      </c>
      <c r="D3850" t="inlineStr">
        <is>
          <t>JÄMTLANDS LÄN</t>
        </is>
      </c>
      <c r="E3850" t="inlineStr">
        <is>
          <t>STRÖMSUND</t>
        </is>
      </c>
      <c r="F3850" t="inlineStr">
        <is>
          <t>SCA</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39290-2025</t>
        </is>
      </c>
      <c r="B3851" s="1" t="n">
        <v>45889.40916666666</v>
      </c>
      <c r="C3851" s="1" t="n">
        <v>46045</v>
      </c>
      <c r="D3851" t="inlineStr">
        <is>
          <t>JÄMTLANDS LÄN</t>
        </is>
      </c>
      <c r="E3851" t="inlineStr">
        <is>
          <t>HÄRJEDALEN</t>
        </is>
      </c>
      <c r="G3851" t="n">
        <v>10.9</v>
      </c>
      <c r="H3851" t="n">
        <v>0</v>
      </c>
      <c r="I3851" t="n">
        <v>0</v>
      </c>
      <c r="J3851" t="n">
        <v>0</v>
      </c>
      <c r="K3851" t="n">
        <v>0</v>
      </c>
      <c r="L3851" t="n">
        <v>0</v>
      </c>
      <c r="M3851" t="n">
        <v>0</v>
      </c>
      <c r="N3851" t="n">
        <v>0</v>
      </c>
      <c r="O3851" t="n">
        <v>0</v>
      </c>
      <c r="P3851" t="n">
        <v>0</v>
      </c>
      <c r="Q3851" t="n">
        <v>0</v>
      </c>
      <c r="R3851" s="2" t="inlineStr"/>
    </row>
    <row r="3852" ht="15" customHeight="1">
      <c r="A3852" t="inlineStr">
        <is>
          <t>A 39291-2025</t>
        </is>
      </c>
      <c r="B3852" s="1" t="n">
        <v>45889.41715277778</v>
      </c>
      <c r="C3852" s="1" t="n">
        <v>46045</v>
      </c>
      <c r="D3852" t="inlineStr">
        <is>
          <t>JÄMTLANDS LÄN</t>
        </is>
      </c>
      <c r="E3852" t="inlineStr">
        <is>
          <t>HÄRJEDALEN</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21146-2023</t>
        </is>
      </c>
      <c r="B3853" s="1" t="n">
        <v>45057</v>
      </c>
      <c r="C3853" s="1" t="n">
        <v>46045</v>
      </c>
      <c r="D3853" t="inlineStr">
        <is>
          <t>JÄMTLANDS LÄN</t>
        </is>
      </c>
      <c r="E3853" t="inlineStr">
        <is>
          <t>STRÖMSUND</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39628-2025</t>
        </is>
      </c>
      <c r="B3854" s="1" t="n">
        <v>45890.5827199074</v>
      </c>
      <c r="C3854" s="1" t="n">
        <v>46045</v>
      </c>
      <c r="D3854" t="inlineStr">
        <is>
          <t>JÄMTLANDS LÄN</t>
        </is>
      </c>
      <c r="E3854" t="inlineStr">
        <is>
          <t>STRÖMSUND</t>
        </is>
      </c>
      <c r="F3854" t="inlineStr">
        <is>
          <t>Holmen skog AB</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31956-2023</t>
        </is>
      </c>
      <c r="B3855" s="1" t="n">
        <v>45119.38151620371</v>
      </c>
      <c r="C3855" s="1" t="n">
        <v>46045</v>
      </c>
      <c r="D3855" t="inlineStr">
        <is>
          <t>JÄMTLANDS LÄN</t>
        </is>
      </c>
      <c r="E3855" t="inlineStr">
        <is>
          <t>HÄRJEDALEN</t>
        </is>
      </c>
      <c r="F3855" t="inlineStr">
        <is>
          <t>Bergvik skog väst AB</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57383-2023</t>
        </is>
      </c>
      <c r="B3856" s="1" t="n">
        <v>45245.92938657408</v>
      </c>
      <c r="C3856" s="1" t="n">
        <v>46045</v>
      </c>
      <c r="D3856" t="inlineStr">
        <is>
          <t>JÄMTLANDS LÄN</t>
        </is>
      </c>
      <c r="E3856" t="inlineStr">
        <is>
          <t>STRÖMSUND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24786-2024</t>
        </is>
      </c>
      <c r="B3857" s="1" t="n">
        <v>45460.81277777778</v>
      </c>
      <c r="C3857" s="1" t="n">
        <v>46045</v>
      </c>
      <c r="D3857" t="inlineStr">
        <is>
          <t>JÄMTLANDS LÄN</t>
        </is>
      </c>
      <c r="E3857" t="inlineStr">
        <is>
          <t>ÖSTERSUND</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39357-2025</t>
        </is>
      </c>
      <c r="B3858" s="1" t="n">
        <v>45889.55276620371</v>
      </c>
      <c r="C3858" s="1" t="n">
        <v>46045</v>
      </c>
      <c r="D3858" t="inlineStr">
        <is>
          <t>JÄMTLANDS LÄN</t>
        </is>
      </c>
      <c r="E3858" t="inlineStr">
        <is>
          <t>STRÖMSUND</t>
        </is>
      </c>
      <c r="G3858" t="n">
        <v>24.6</v>
      </c>
      <c r="H3858" t="n">
        <v>0</v>
      </c>
      <c r="I3858" t="n">
        <v>0</v>
      </c>
      <c r="J3858" t="n">
        <v>0</v>
      </c>
      <c r="K3858" t="n">
        <v>0</v>
      </c>
      <c r="L3858" t="n">
        <v>0</v>
      </c>
      <c r="M3858" t="n">
        <v>0</v>
      </c>
      <c r="N3858" t="n">
        <v>0</v>
      </c>
      <c r="O3858" t="n">
        <v>0</v>
      </c>
      <c r="P3858" t="n">
        <v>0</v>
      </c>
      <c r="Q3858" t="n">
        <v>0</v>
      </c>
      <c r="R3858" s="2" t="inlineStr"/>
    </row>
    <row r="3859" ht="15" customHeight="1">
      <c r="A3859" t="inlineStr">
        <is>
          <t>A 18775-2023</t>
        </is>
      </c>
      <c r="B3859" s="1" t="n">
        <v>45043.94303240741</v>
      </c>
      <c r="C3859" s="1" t="n">
        <v>46045</v>
      </c>
      <c r="D3859" t="inlineStr">
        <is>
          <t>JÄMTLANDS LÄN</t>
        </is>
      </c>
      <c r="E3859" t="inlineStr">
        <is>
          <t>STRÖMSUND</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15624-2023</t>
        </is>
      </c>
      <c r="B3860" s="1" t="n">
        <v>45020.94496527778</v>
      </c>
      <c r="C3860" s="1" t="n">
        <v>46045</v>
      </c>
      <c r="D3860" t="inlineStr">
        <is>
          <t>JÄMTLANDS LÄN</t>
        </is>
      </c>
      <c r="E3860" t="inlineStr">
        <is>
          <t>BERG</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39265-2025</t>
        </is>
      </c>
      <c r="B3861" s="1" t="n">
        <v>45889.37520833333</v>
      </c>
      <c r="C3861" s="1" t="n">
        <v>46045</v>
      </c>
      <c r="D3861" t="inlineStr">
        <is>
          <t>JÄMTLANDS LÄN</t>
        </is>
      </c>
      <c r="E3861" t="inlineStr">
        <is>
          <t>KROKOM</t>
        </is>
      </c>
      <c r="F3861" t="inlineStr">
        <is>
          <t>Övriga Aktiebolag</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35636-2023</t>
        </is>
      </c>
      <c r="B3862" s="1" t="n">
        <v>45147</v>
      </c>
      <c r="C3862" s="1" t="n">
        <v>46045</v>
      </c>
      <c r="D3862" t="inlineStr">
        <is>
          <t>JÄMTLANDS LÄN</t>
        </is>
      </c>
      <c r="E3862" t="inlineStr">
        <is>
          <t>BERG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60319-2021</t>
        </is>
      </c>
      <c r="B3863" s="1" t="n">
        <v>44495</v>
      </c>
      <c r="C3863" s="1" t="n">
        <v>46045</v>
      </c>
      <c r="D3863" t="inlineStr">
        <is>
          <t>JÄMTLANDS LÄN</t>
        </is>
      </c>
      <c r="E3863" t="inlineStr">
        <is>
          <t>STRÖMSUND</t>
        </is>
      </c>
      <c r="F3863" t="inlineStr">
        <is>
          <t>SCA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9824-2025</t>
        </is>
      </c>
      <c r="B3864" s="1" t="n">
        <v>45716</v>
      </c>
      <c r="C3864" s="1" t="n">
        <v>46045</v>
      </c>
      <c r="D3864" t="inlineStr">
        <is>
          <t>JÄMTLANDS LÄN</t>
        </is>
      </c>
      <c r="E3864" t="inlineStr">
        <is>
          <t>BRÄCKE</t>
        </is>
      </c>
      <c r="F3864" t="inlineStr">
        <is>
          <t>SCA</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11181-2025</t>
        </is>
      </c>
      <c r="B3865" s="1" t="n">
        <v>45725.44039351852</v>
      </c>
      <c r="C3865" s="1" t="n">
        <v>46045</v>
      </c>
      <c r="D3865" t="inlineStr">
        <is>
          <t>JÄMTLANDS LÄN</t>
        </is>
      </c>
      <c r="E3865" t="inlineStr">
        <is>
          <t>ÖSTERSUND</t>
        </is>
      </c>
      <c r="G3865" t="n">
        <v>15.4</v>
      </c>
      <c r="H3865" t="n">
        <v>0</v>
      </c>
      <c r="I3865" t="n">
        <v>0</v>
      </c>
      <c r="J3865" t="n">
        <v>0</v>
      </c>
      <c r="K3865" t="n">
        <v>0</v>
      </c>
      <c r="L3865" t="n">
        <v>0</v>
      </c>
      <c r="M3865" t="n">
        <v>0</v>
      </c>
      <c r="N3865" t="n">
        <v>0</v>
      </c>
      <c r="O3865" t="n">
        <v>0</v>
      </c>
      <c r="P3865" t="n">
        <v>0</v>
      </c>
      <c r="Q3865" t="n">
        <v>0</v>
      </c>
      <c r="R3865" s="2" t="inlineStr"/>
    </row>
    <row r="3866" ht="15" customHeight="1">
      <c r="A3866" t="inlineStr">
        <is>
          <t>A 12201-2025</t>
        </is>
      </c>
      <c r="B3866" s="1" t="n">
        <v>45729</v>
      </c>
      <c r="C3866" s="1" t="n">
        <v>46045</v>
      </c>
      <c r="D3866" t="inlineStr">
        <is>
          <t>JÄMTLANDS LÄN</t>
        </is>
      </c>
      <c r="E3866" t="inlineStr">
        <is>
          <t>STRÖMSUND</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20505-2024</t>
        </is>
      </c>
      <c r="B3867" s="1" t="n">
        <v>45435.94232638889</v>
      </c>
      <c r="C3867" s="1" t="n">
        <v>46045</v>
      </c>
      <c r="D3867" t="inlineStr">
        <is>
          <t>JÄMTLANDS LÄN</t>
        </is>
      </c>
      <c r="E3867" t="inlineStr">
        <is>
          <t>STRÖMSUND</t>
        </is>
      </c>
      <c r="F3867" t="inlineStr">
        <is>
          <t>SCA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39535-2025</t>
        </is>
      </c>
      <c r="B3868" s="1" t="n">
        <v>45890.44881944444</v>
      </c>
      <c r="C3868" s="1" t="n">
        <v>46045</v>
      </c>
      <c r="D3868" t="inlineStr">
        <is>
          <t>JÄMTLANDS LÄN</t>
        </is>
      </c>
      <c r="E3868" t="inlineStr">
        <is>
          <t>BRÄCKE</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37238-2021</t>
        </is>
      </c>
      <c r="B3869" s="1" t="n">
        <v>44396.93490740741</v>
      </c>
      <c r="C3869" s="1" t="n">
        <v>46045</v>
      </c>
      <c r="D3869" t="inlineStr">
        <is>
          <t>JÄMTLANDS LÄN</t>
        </is>
      </c>
      <c r="E3869" t="inlineStr">
        <is>
          <t>BRÄCKE</t>
        </is>
      </c>
      <c r="F3869" t="inlineStr">
        <is>
          <t>SCA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48560-2024</t>
        </is>
      </c>
      <c r="B3870" s="1" t="n">
        <v>45593.38568287037</v>
      </c>
      <c r="C3870" s="1" t="n">
        <v>46045</v>
      </c>
      <c r="D3870" t="inlineStr">
        <is>
          <t>JÄMTLANDS LÄN</t>
        </is>
      </c>
      <c r="E3870" t="inlineStr">
        <is>
          <t>KROKOM</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39680-2025</t>
        </is>
      </c>
      <c r="B3871" s="1" t="n">
        <v>45890.65677083333</v>
      </c>
      <c r="C3871" s="1" t="n">
        <v>46045</v>
      </c>
      <c r="D3871" t="inlineStr">
        <is>
          <t>JÄMTLANDS LÄN</t>
        </is>
      </c>
      <c r="E3871" t="inlineStr">
        <is>
          <t>BRÄCKE</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11309-2025</t>
        </is>
      </c>
      <c r="B3872" s="1" t="n">
        <v>45726</v>
      </c>
      <c r="C3872" s="1" t="n">
        <v>46045</v>
      </c>
      <c r="D3872" t="inlineStr">
        <is>
          <t>JÄMTLANDS LÄN</t>
        </is>
      </c>
      <c r="E3872" t="inlineStr">
        <is>
          <t>BRÄCKE</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2051-2025</t>
        </is>
      </c>
      <c r="B3873" s="1" t="n">
        <v>45672.53806712963</v>
      </c>
      <c r="C3873" s="1" t="n">
        <v>46045</v>
      </c>
      <c r="D3873" t="inlineStr">
        <is>
          <t>JÄMTLANDS LÄN</t>
        </is>
      </c>
      <c r="E3873" t="inlineStr">
        <is>
          <t>KROKOM</t>
        </is>
      </c>
      <c r="F3873" t="inlineStr">
        <is>
          <t>Kyrkan</t>
        </is>
      </c>
      <c r="G3873" t="n">
        <v>87.90000000000001</v>
      </c>
      <c r="H3873" t="n">
        <v>0</v>
      </c>
      <c r="I3873" t="n">
        <v>0</v>
      </c>
      <c r="J3873" t="n">
        <v>0</v>
      </c>
      <c r="K3873" t="n">
        <v>0</v>
      </c>
      <c r="L3873" t="n">
        <v>0</v>
      </c>
      <c r="M3873" t="n">
        <v>0</v>
      </c>
      <c r="N3873" t="n">
        <v>0</v>
      </c>
      <c r="O3873" t="n">
        <v>0</v>
      </c>
      <c r="P3873" t="n">
        <v>0</v>
      </c>
      <c r="Q3873" t="n">
        <v>0</v>
      </c>
      <c r="R3873" s="2" t="inlineStr"/>
    </row>
    <row r="3874" ht="15" customHeight="1">
      <c r="A3874" t="inlineStr">
        <is>
          <t>A 37375-2021</t>
        </is>
      </c>
      <c r="B3874" s="1" t="n">
        <v>44397</v>
      </c>
      <c r="C3874" s="1" t="n">
        <v>46045</v>
      </c>
      <c r="D3874" t="inlineStr">
        <is>
          <t>JÄMTLANDS LÄN</t>
        </is>
      </c>
      <c r="E3874" t="inlineStr">
        <is>
          <t>BRÄCKE</t>
        </is>
      </c>
      <c r="F3874" t="inlineStr">
        <is>
          <t>SCA</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39377-2025</t>
        </is>
      </c>
      <c r="B3875" s="1" t="n">
        <v>45889.59434027778</v>
      </c>
      <c r="C3875" s="1" t="n">
        <v>46045</v>
      </c>
      <c r="D3875" t="inlineStr">
        <is>
          <t>JÄMTLANDS LÄN</t>
        </is>
      </c>
      <c r="E3875" t="inlineStr">
        <is>
          <t>BRÄCKE</t>
        </is>
      </c>
      <c r="F3875" t="inlineStr">
        <is>
          <t>SCA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3247-2025</t>
        </is>
      </c>
      <c r="B3876" s="1" t="n">
        <v>45679.5315625</v>
      </c>
      <c r="C3876" s="1" t="n">
        <v>46045</v>
      </c>
      <c r="D3876" t="inlineStr">
        <is>
          <t>JÄMTLANDS LÄN</t>
        </is>
      </c>
      <c r="E3876" t="inlineStr">
        <is>
          <t>BRÄCKE</t>
        </is>
      </c>
      <c r="F3876" t="inlineStr">
        <is>
          <t>SCA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39489-2023</t>
        </is>
      </c>
      <c r="B3877" s="1" t="n">
        <v>45166</v>
      </c>
      <c r="C3877" s="1" t="n">
        <v>46045</v>
      </c>
      <c r="D3877" t="inlineStr">
        <is>
          <t>JÄMTLANDS LÄN</t>
        </is>
      </c>
      <c r="E3877" t="inlineStr">
        <is>
          <t>RAGUNDA</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47351-2022</t>
        </is>
      </c>
      <c r="B3878" s="1" t="n">
        <v>44853.41693287037</v>
      </c>
      <c r="C3878" s="1" t="n">
        <v>46045</v>
      </c>
      <c r="D3878" t="inlineStr">
        <is>
          <t>JÄMTLANDS LÄN</t>
        </is>
      </c>
      <c r="E3878" t="inlineStr">
        <is>
          <t>HÄRJEDALEN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8416-2023</t>
        </is>
      </c>
      <c r="B3879" s="1" t="n">
        <v>44977.44373842593</v>
      </c>
      <c r="C3879" s="1" t="n">
        <v>46045</v>
      </c>
      <c r="D3879" t="inlineStr">
        <is>
          <t>JÄMTLANDS LÄN</t>
        </is>
      </c>
      <c r="E3879" t="inlineStr">
        <is>
          <t>RAGUNDA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848-2025</t>
        </is>
      </c>
      <c r="B3880" s="1" t="n">
        <v>45665.59925925926</v>
      </c>
      <c r="C3880" s="1" t="n">
        <v>46045</v>
      </c>
      <c r="D3880" t="inlineStr">
        <is>
          <t>JÄMTLANDS LÄN</t>
        </is>
      </c>
      <c r="E3880" t="inlineStr">
        <is>
          <t>HÄRJEDALEN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39418-2025</t>
        </is>
      </c>
      <c r="B3881" s="1" t="n">
        <v>45889</v>
      </c>
      <c r="C3881" s="1" t="n">
        <v>46045</v>
      </c>
      <c r="D3881" t="inlineStr">
        <is>
          <t>JÄMTLANDS LÄN</t>
        </is>
      </c>
      <c r="E3881" t="inlineStr">
        <is>
          <t>BERG</t>
        </is>
      </c>
      <c r="G3881" t="n">
        <v>19.8</v>
      </c>
      <c r="H3881" t="n">
        <v>0</v>
      </c>
      <c r="I3881" t="n">
        <v>0</v>
      </c>
      <c r="J3881" t="n">
        <v>0</v>
      </c>
      <c r="K3881" t="n">
        <v>0</v>
      </c>
      <c r="L3881" t="n">
        <v>0</v>
      </c>
      <c r="M3881" t="n">
        <v>0</v>
      </c>
      <c r="N3881" t="n">
        <v>0</v>
      </c>
      <c r="O3881" t="n">
        <v>0</v>
      </c>
      <c r="P3881" t="n">
        <v>0</v>
      </c>
      <c r="Q3881" t="n">
        <v>0</v>
      </c>
      <c r="R3881" s="2" t="inlineStr"/>
    </row>
    <row r="3882" ht="15" customHeight="1">
      <c r="A3882" t="inlineStr">
        <is>
          <t>A 44594-2023</t>
        </is>
      </c>
      <c r="B3882" s="1" t="n">
        <v>45189.60987268519</v>
      </c>
      <c r="C3882" s="1" t="n">
        <v>46045</v>
      </c>
      <c r="D3882" t="inlineStr">
        <is>
          <t>JÄMTLANDS LÄN</t>
        </is>
      </c>
      <c r="E3882" t="inlineStr">
        <is>
          <t>KROKOM</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43511-2022</t>
        </is>
      </c>
      <c r="B3883" s="1" t="n">
        <v>44837.36724537037</v>
      </c>
      <c r="C3883" s="1" t="n">
        <v>46045</v>
      </c>
      <c r="D3883" t="inlineStr">
        <is>
          <t>JÄMTLANDS LÄN</t>
        </is>
      </c>
      <c r="E3883" t="inlineStr">
        <is>
          <t>ÖSTERSUND</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39271-2025</t>
        </is>
      </c>
      <c r="B3884" s="1" t="n">
        <v>45889.38626157407</v>
      </c>
      <c r="C3884" s="1" t="n">
        <v>46045</v>
      </c>
      <c r="D3884" t="inlineStr">
        <is>
          <t>JÄMTLANDS LÄN</t>
        </is>
      </c>
      <c r="E3884" t="inlineStr">
        <is>
          <t>KROKOM</t>
        </is>
      </c>
      <c r="F3884" t="inlineStr">
        <is>
          <t>SCA</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39273-2025</t>
        </is>
      </c>
      <c r="B3885" s="1" t="n">
        <v>45889.38655092593</v>
      </c>
      <c r="C3885" s="1" t="n">
        <v>46045</v>
      </c>
      <c r="D3885" t="inlineStr">
        <is>
          <t>JÄMTLANDS LÄN</t>
        </is>
      </c>
      <c r="E3885" t="inlineStr">
        <is>
          <t>BRÄCKE</t>
        </is>
      </c>
      <c r="F3885" t="inlineStr">
        <is>
          <t>SCA</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39314-2025</t>
        </is>
      </c>
      <c r="B3886" s="1" t="n">
        <v>45889</v>
      </c>
      <c r="C3886" s="1" t="n">
        <v>46045</v>
      </c>
      <c r="D3886" t="inlineStr">
        <is>
          <t>JÄMTLANDS LÄN</t>
        </is>
      </c>
      <c r="E3886" t="inlineStr">
        <is>
          <t>STRÖMSUND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40336-2021</t>
        </is>
      </c>
      <c r="B3887" s="1" t="n">
        <v>44419</v>
      </c>
      <c r="C3887" s="1" t="n">
        <v>46045</v>
      </c>
      <c r="D3887" t="inlineStr">
        <is>
          <t>JÄMTLANDS LÄN</t>
        </is>
      </c>
      <c r="E3887" t="inlineStr">
        <is>
          <t>ÅRE</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40354-2021</t>
        </is>
      </c>
      <c r="B3888" s="1" t="n">
        <v>44419</v>
      </c>
      <c r="C3888" s="1" t="n">
        <v>46045</v>
      </c>
      <c r="D3888" t="inlineStr">
        <is>
          <t>JÄMTLANDS LÄN</t>
        </is>
      </c>
      <c r="E3888" t="inlineStr">
        <is>
          <t>STRÖMSUND</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55701-2021</t>
        </is>
      </c>
      <c r="B3889" s="1" t="n">
        <v>44475</v>
      </c>
      <c r="C3889" s="1" t="n">
        <v>46045</v>
      </c>
      <c r="D3889" t="inlineStr">
        <is>
          <t>JÄMTLANDS LÄN</t>
        </is>
      </c>
      <c r="E3889" t="inlineStr">
        <is>
          <t>RAGUNDA</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39385-2025</t>
        </is>
      </c>
      <c r="B3890" s="1" t="n">
        <v>45889.61550925926</v>
      </c>
      <c r="C3890" s="1" t="n">
        <v>46045</v>
      </c>
      <c r="D3890" t="inlineStr">
        <is>
          <t>JÄMTLANDS LÄN</t>
        </is>
      </c>
      <c r="E3890" t="inlineStr">
        <is>
          <t>BRÄCKE</t>
        </is>
      </c>
      <c r="F3890" t="inlineStr">
        <is>
          <t>SCA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39507-2025</t>
        </is>
      </c>
      <c r="B3891" s="1" t="n">
        <v>45890.40724537037</v>
      </c>
      <c r="C3891" s="1" t="n">
        <v>46045</v>
      </c>
      <c r="D3891" t="inlineStr">
        <is>
          <t>JÄMTLANDS LÄN</t>
        </is>
      </c>
      <c r="E3891" t="inlineStr">
        <is>
          <t>STRÖMSUND</t>
        </is>
      </c>
      <c r="F3891" t="inlineStr">
        <is>
          <t>SCA</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64251-2023</t>
        </is>
      </c>
      <c r="B3892" s="1" t="n">
        <v>45279.92756944444</v>
      </c>
      <c r="C3892" s="1" t="n">
        <v>46045</v>
      </c>
      <c r="D3892" t="inlineStr">
        <is>
          <t>JÄMTLANDS LÄN</t>
        </is>
      </c>
      <c r="E3892" t="inlineStr">
        <is>
          <t>BERG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39355-2025</t>
        </is>
      </c>
      <c r="B3893" s="1" t="n">
        <v>45889.55252314815</v>
      </c>
      <c r="C3893" s="1" t="n">
        <v>46045</v>
      </c>
      <c r="D3893" t="inlineStr">
        <is>
          <t>JÄMTLANDS LÄN</t>
        </is>
      </c>
      <c r="E3893" t="inlineStr">
        <is>
          <t>BRÄCKE</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19027-2023</t>
        </is>
      </c>
      <c r="B3894" s="1" t="n">
        <v>45047</v>
      </c>
      <c r="C3894" s="1" t="n">
        <v>46045</v>
      </c>
      <c r="D3894" t="inlineStr">
        <is>
          <t>JÄMTLANDS LÄN</t>
        </is>
      </c>
      <c r="E3894" t="inlineStr">
        <is>
          <t>STRÖMSUND</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39698-2025</t>
        </is>
      </c>
      <c r="B3895" s="1" t="n">
        <v>45890.69837962963</v>
      </c>
      <c r="C3895" s="1" t="n">
        <v>46045</v>
      </c>
      <c r="D3895" t="inlineStr">
        <is>
          <t>JÄMTLANDS LÄN</t>
        </is>
      </c>
      <c r="E3895" t="inlineStr">
        <is>
          <t>BERG</t>
        </is>
      </c>
      <c r="F3895" t="inlineStr">
        <is>
          <t>SCA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40801-2023</t>
        </is>
      </c>
      <c r="B3896" s="1" t="n">
        <v>45170</v>
      </c>
      <c r="C3896" s="1" t="n">
        <v>46045</v>
      </c>
      <c r="D3896" t="inlineStr">
        <is>
          <t>JÄMTLANDS LÄN</t>
        </is>
      </c>
      <c r="E3896" t="inlineStr">
        <is>
          <t>RAGUNDA</t>
        </is>
      </c>
      <c r="F3896" t="inlineStr">
        <is>
          <t>SCA</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49267-2024</t>
        </is>
      </c>
      <c r="B3897" s="1" t="n">
        <v>45595</v>
      </c>
      <c r="C3897" s="1" t="n">
        <v>46045</v>
      </c>
      <c r="D3897" t="inlineStr">
        <is>
          <t>JÄMTLANDS LÄN</t>
        </is>
      </c>
      <c r="E3897" t="inlineStr">
        <is>
          <t>ÅRE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61622-2023</t>
        </is>
      </c>
      <c r="B3898" s="1" t="n">
        <v>45261</v>
      </c>
      <c r="C3898" s="1" t="n">
        <v>46045</v>
      </c>
      <c r="D3898" t="inlineStr">
        <is>
          <t>JÄMTLANDS LÄN</t>
        </is>
      </c>
      <c r="E3898" t="inlineStr">
        <is>
          <t>ÅRE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67740-2021</t>
        </is>
      </c>
      <c r="B3899" s="1" t="n">
        <v>44524</v>
      </c>
      <c r="C3899" s="1" t="n">
        <v>46045</v>
      </c>
      <c r="D3899" t="inlineStr">
        <is>
          <t>JÄMTLANDS LÄN</t>
        </is>
      </c>
      <c r="E3899" t="inlineStr">
        <is>
          <t>KROKOM</t>
        </is>
      </c>
      <c r="G3899" t="n">
        <v>12.3</v>
      </c>
      <c r="H3899" t="n">
        <v>0</v>
      </c>
      <c r="I3899" t="n">
        <v>0</v>
      </c>
      <c r="J3899" t="n">
        <v>0</v>
      </c>
      <c r="K3899" t="n">
        <v>0</v>
      </c>
      <c r="L3899" t="n">
        <v>0</v>
      </c>
      <c r="M3899" t="n">
        <v>0</v>
      </c>
      <c r="N3899" t="n">
        <v>0</v>
      </c>
      <c r="O3899" t="n">
        <v>0</v>
      </c>
      <c r="P3899" t="n">
        <v>0</v>
      </c>
      <c r="Q3899" t="n">
        <v>0</v>
      </c>
      <c r="R3899" s="2" t="inlineStr"/>
    </row>
    <row r="3900" ht="15" customHeight="1">
      <c r="A3900" t="inlineStr">
        <is>
          <t>A 39212-2025</t>
        </is>
      </c>
      <c r="B3900" s="1" t="n">
        <v>45888.78833333333</v>
      </c>
      <c r="C3900" s="1" t="n">
        <v>46045</v>
      </c>
      <c r="D3900" t="inlineStr">
        <is>
          <t>JÄMTLANDS LÄN</t>
        </is>
      </c>
      <c r="E3900" t="inlineStr">
        <is>
          <t>HÄRJEDALEN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39213-2025</t>
        </is>
      </c>
      <c r="B3901" s="1" t="n">
        <v>45888.78960648148</v>
      </c>
      <c r="C3901" s="1" t="n">
        <v>46045</v>
      </c>
      <c r="D3901" t="inlineStr">
        <is>
          <t>JÄMTLANDS LÄN</t>
        </is>
      </c>
      <c r="E3901" t="inlineStr">
        <is>
          <t>HÄRJEDALEN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47271-2022</t>
        </is>
      </c>
      <c r="B3902" s="1" t="n">
        <v>44852</v>
      </c>
      <c r="C3902" s="1" t="n">
        <v>46045</v>
      </c>
      <c r="D3902" t="inlineStr">
        <is>
          <t>JÄMTLANDS LÄN</t>
        </is>
      </c>
      <c r="E3902" t="inlineStr">
        <is>
          <t>STRÖMSUND</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37048-2021</t>
        </is>
      </c>
      <c r="B3903" s="1" t="n">
        <v>44393.93534722222</v>
      </c>
      <c r="C3903" s="1" t="n">
        <v>46045</v>
      </c>
      <c r="D3903" t="inlineStr">
        <is>
          <t>JÄMTLANDS LÄN</t>
        </is>
      </c>
      <c r="E3903" t="inlineStr">
        <is>
          <t>BRÄCKE</t>
        </is>
      </c>
      <c r="F3903" t="inlineStr">
        <is>
          <t>SCA</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32871-2023</t>
        </is>
      </c>
      <c r="B3904" s="1" t="n">
        <v>45112</v>
      </c>
      <c r="C3904" s="1" t="n">
        <v>46045</v>
      </c>
      <c r="D3904" t="inlineStr">
        <is>
          <t>JÄMTLANDS LÄN</t>
        </is>
      </c>
      <c r="E3904" t="inlineStr">
        <is>
          <t>STRÖMSUND</t>
        </is>
      </c>
      <c r="F3904" t="inlineStr">
        <is>
          <t>Kommuner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23444-2022</t>
        </is>
      </c>
      <c r="B3905" s="1" t="n">
        <v>44720.94118055556</v>
      </c>
      <c r="C3905" s="1" t="n">
        <v>46045</v>
      </c>
      <c r="D3905" t="inlineStr">
        <is>
          <t>JÄMTLANDS LÄN</t>
        </is>
      </c>
      <c r="E3905" t="inlineStr">
        <is>
          <t>BRÄCKE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57088-2024</t>
        </is>
      </c>
      <c r="B3906" s="1" t="n">
        <v>45629.35652777777</v>
      </c>
      <c r="C3906" s="1" t="n">
        <v>46045</v>
      </c>
      <c r="D3906" t="inlineStr">
        <is>
          <t>JÄMTLANDS LÄN</t>
        </is>
      </c>
      <c r="E3906" t="inlineStr">
        <is>
          <t>BRÄCKE</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26029-2024</t>
        </is>
      </c>
      <c r="B3907" s="1" t="n">
        <v>45467.96262731482</v>
      </c>
      <c r="C3907" s="1" t="n">
        <v>46045</v>
      </c>
      <c r="D3907" t="inlineStr">
        <is>
          <t>JÄMTLANDS LÄN</t>
        </is>
      </c>
      <c r="E3907" t="inlineStr">
        <is>
          <t>BRÄCKE</t>
        </is>
      </c>
      <c r="F3907" t="inlineStr">
        <is>
          <t>SCA</t>
        </is>
      </c>
      <c r="G3907" t="n">
        <v>40.9</v>
      </c>
      <c r="H3907" t="n">
        <v>0</v>
      </c>
      <c r="I3907" t="n">
        <v>0</v>
      </c>
      <c r="J3907" t="n">
        <v>0</v>
      </c>
      <c r="K3907" t="n">
        <v>0</v>
      </c>
      <c r="L3907" t="n">
        <v>0</v>
      </c>
      <c r="M3907" t="n">
        <v>0</v>
      </c>
      <c r="N3907" t="n">
        <v>0</v>
      </c>
      <c r="O3907" t="n">
        <v>0</v>
      </c>
      <c r="P3907" t="n">
        <v>0</v>
      </c>
      <c r="Q3907" t="n">
        <v>0</v>
      </c>
      <c r="R3907" s="2" t="inlineStr"/>
      <c r="U3907">
        <f>HYPERLINK("https://klasma.github.io/Logging_2305/knärot/A 26029-2024 karta knärot.png", "A 26029-2024")</f>
        <v/>
      </c>
      <c r="V3907">
        <f>HYPERLINK("https://klasma.github.io/Logging_2305/klagomål/A 26029-2024 FSC-klagomål.docx", "A 26029-2024")</f>
        <v/>
      </c>
      <c r="W3907">
        <f>HYPERLINK("https://klasma.github.io/Logging_2305/klagomålsmail/A 26029-2024 FSC-klagomål mail.docx", "A 26029-2024")</f>
        <v/>
      </c>
      <c r="X3907">
        <f>HYPERLINK("https://klasma.github.io/Logging_2305/tillsyn/A 26029-2024 tillsynsbegäran.docx", "A 26029-2024")</f>
        <v/>
      </c>
      <c r="Y3907">
        <f>HYPERLINK("https://klasma.github.io/Logging_2305/tillsynsmail/A 26029-2024 tillsynsbegäran mail.docx", "A 26029-2024")</f>
        <v/>
      </c>
    </row>
    <row r="3908" ht="15" customHeight="1">
      <c r="A3908" t="inlineStr">
        <is>
          <t>A 26035-2024</t>
        </is>
      </c>
      <c r="B3908" s="1" t="n">
        <v>45467.96373842593</v>
      </c>
      <c r="C3908" s="1" t="n">
        <v>46045</v>
      </c>
      <c r="D3908" t="inlineStr">
        <is>
          <t>JÄMTLANDS LÄN</t>
        </is>
      </c>
      <c r="E3908" t="inlineStr">
        <is>
          <t>STRÖMSUND</t>
        </is>
      </c>
      <c r="F3908" t="inlineStr">
        <is>
          <t>SCA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12018-2022</t>
        </is>
      </c>
      <c r="B3909" s="1" t="n">
        <v>44635</v>
      </c>
      <c r="C3909" s="1" t="n">
        <v>46045</v>
      </c>
      <c r="D3909" t="inlineStr">
        <is>
          <t>JÄMTLANDS LÄN</t>
        </is>
      </c>
      <c r="E3909" t="inlineStr">
        <is>
          <t>STRÖMSUND</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17566-2023</t>
        </is>
      </c>
      <c r="B3910" s="1" t="n">
        <v>45034</v>
      </c>
      <c r="C3910" s="1" t="n">
        <v>46045</v>
      </c>
      <c r="D3910" t="inlineStr">
        <is>
          <t>JÄMTLANDS LÄN</t>
        </is>
      </c>
      <c r="E3910" t="inlineStr">
        <is>
          <t>ÅRE</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17568-2023</t>
        </is>
      </c>
      <c r="B3911" s="1" t="n">
        <v>45036</v>
      </c>
      <c r="C3911" s="1" t="n">
        <v>46045</v>
      </c>
      <c r="D3911" t="inlineStr">
        <is>
          <t>JÄMTLANDS LÄN</t>
        </is>
      </c>
      <c r="E3911" t="inlineStr">
        <is>
          <t>BRÄCKE</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2686-2025</t>
        </is>
      </c>
      <c r="B3912" s="1" t="n">
        <v>45677.36503472222</v>
      </c>
      <c r="C3912" s="1" t="n">
        <v>46045</v>
      </c>
      <c r="D3912" t="inlineStr">
        <is>
          <t>JÄMTLANDS LÄN</t>
        </is>
      </c>
      <c r="E3912" t="inlineStr">
        <is>
          <t>STRÖMSUND</t>
        </is>
      </c>
      <c r="F3912" t="inlineStr">
        <is>
          <t>SCA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4711-2023</t>
        </is>
      </c>
      <c r="B3913" s="1" t="n">
        <v>44957</v>
      </c>
      <c r="C3913" s="1" t="n">
        <v>46045</v>
      </c>
      <c r="D3913" t="inlineStr">
        <is>
          <t>JÄMTLANDS LÄN</t>
        </is>
      </c>
      <c r="E3913" t="inlineStr">
        <is>
          <t>HÄRJEDALEN</t>
        </is>
      </c>
      <c r="F3913" t="inlineStr">
        <is>
          <t>Holmen skog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24171-2021</t>
        </is>
      </c>
      <c r="B3914" s="1" t="n">
        <v>44336</v>
      </c>
      <c r="C3914" s="1" t="n">
        <v>46045</v>
      </c>
      <c r="D3914" t="inlineStr">
        <is>
          <t>JÄMTLANDS LÄN</t>
        </is>
      </c>
      <c r="E3914" t="inlineStr">
        <is>
          <t>RAGUNDA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39505-2025</t>
        </is>
      </c>
      <c r="B3915" s="1" t="n">
        <v>45890.40689814815</v>
      </c>
      <c r="C3915" s="1" t="n">
        <v>46045</v>
      </c>
      <c r="D3915" t="inlineStr">
        <is>
          <t>JÄMTLANDS LÄN</t>
        </is>
      </c>
      <c r="E3915" t="inlineStr">
        <is>
          <t>BRÄCKE</t>
        </is>
      </c>
      <c r="F3915" t="inlineStr">
        <is>
          <t>SCA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39539-2025</t>
        </is>
      </c>
      <c r="B3916" s="1" t="n">
        <v>45890.4525</v>
      </c>
      <c r="C3916" s="1" t="n">
        <v>46045</v>
      </c>
      <c r="D3916" t="inlineStr">
        <is>
          <t>JÄMTLANDS LÄN</t>
        </is>
      </c>
      <c r="E3916" t="inlineStr">
        <is>
          <t>BERG</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39559-2025</t>
        </is>
      </c>
      <c r="B3917" s="1" t="n">
        <v>45890.46996527778</v>
      </c>
      <c r="C3917" s="1" t="n">
        <v>46045</v>
      </c>
      <c r="D3917" t="inlineStr">
        <is>
          <t>JÄMTLANDS LÄN</t>
        </is>
      </c>
      <c r="E3917" t="inlineStr">
        <is>
          <t>STRÖMSUND</t>
        </is>
      </c>
      <c r="F3917" t="inlineStr">
        <is>
          <t>SCA</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2730-2025</t>
        </is>
      </c>
      <c r="B3918" s="1" t="n">
        <v>45677.44393518518</v>
      </c>
      <c r="C3918" s="1" t="n">
        <v>46045</v>
      </c>
      <c r="D3918" t="inlineStr">
        <is>
          <t>JÄMTLANDS LÄN</t>
        </is>
      </c>
      <c r="E3918" t="inlineStr">
        <is>
          <t>ÖSTERSUND</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2534-2025</t>
        </is>
      </c>
      <c r="B3919" s="1" t="n">
        <v>45674.61513888889</v>
      </c>
      <c r="C3919" s="1" t="n">
        <v>46045</v>
      </c>
      <c r="D3919" t="inlineStr">
        <is>
          <t>JÄMTLANDS LÄN</t>
        </is>
      </c>
      <c r="E3919" t="inlineStr">
        <is>
          <t>STRÖMSUND</t>
        </is>
      </c>
      <c r="F3919" t="inlineStr">
        <is>
          <t>SCA</t>
        </is>
      </c>
      <c r="G3919" t="n">
        <v>15.6</v>
      </c>
      <c r="H3919" t="n">
        <v>0</v>
      </c>
      <c r="I3919" t="n">
        <v>0</v>
      </c>
      <c r="J3919" t="n">
        <v>0</v>
      </c>
      <c r="K3919" t="n">
        <v>0</v>
      </c>
      <c r="L3919" t="n">
        <v>0</v>
      </c>
      <c r="M3919" t="n">
        <v>0</v>
      </c>
      <c r="N3919" t="n">
        <v>0</v>
      </c>
      <c r="O3919" t="n">
        <v>0</v>
      </c>
      <c r="P3919" t="n">
        <v>0</v>
      </c>
      <c r="Q3919" t="n">
        <v>0</v>
      </c>
      <c r="R3919" s="2" t="inlineStr"/>
    </row>
    <row r="3920" ht="15" customHeight="1">
      <c r="A3920" t="inlineStr">
        <is>
          <t>A 24974-2024</t>
        </is>
      </c>
      <c r="B3920" s="1" t="n">
        <v>45461</v>
      </c>
      <c r="C3920" s="1" t="n">
        <v>46045</v>
      </c>
      <c r="D3920" t="inlineStr">
        <is>
          <t>JÄMTLANDS LÄN</t>
        </is>
      </c>
      <c r="E3920" t="inlineStr">
        <is>
          <t>BRÄCKE</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57226-2022</t>
        </is>
      </c>
      <c r="B3921" s="1" t="n">
        <v>44895.66629629629</v>
      </c>
      <c r="C3921" s="1" t="n">
        <v>46045</v>
      </c>
      <c r="D3921" t="inlineStr">
        <is>
          <t>JÄMTLANDS LÄN</t>
        </is>
      </c>
      <c r="E3921" t="inlineStr">
        <is>
          <t>BERG</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35011-2023</t>
        </is>
      </c>
      <c r="B3922" s="1" t="n">
        <v>45142.95155092593</v>
      </c>
      <c r="C3922" s="1" t="n">
        <v>46045</v>
      </c>
      <c r="D3922" t="inlineStr">
        <is>
          <t>JÄMTLANDS LÄN</t>
        </is>
      </c>
      <c r="E3922" t="inlineStr">
        <is>
          <t>STRÖMSUND</t>
        </is>
      </c>
      <c r="F3922" t="inlineStr">
        <is>
          <t>SCA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48822-2024</t>
        </is>
      </c>
      <c r="B3923" s="1" t="n">
        <v>45593.6821412037</v>
      </c>
      <c r="C3923" s="1" t="n">
        <v>46045</v>
      </c>
      <c r="D3923" t="inlineStr">
        <is>
          <t>JÄMTLANDS LÄN</t>
        </is>
      </c>
      <c r="E3923" t="inlineStr">
        <is>
          <t>HÄRJEDALEN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48823-2024</t>
        </is>
      </c>
      <c r="B3924" s="1" t="n">
        <v>45593.68434027778</v>
      </c>
      <c r="C3924" s="1" t="n">
        <v>46045</v>
      </c>
      <c r="D3924" t="inlineStr">
        <is>
          <t>JÄMTLANDS LÄN</t>
        </is>
      </c>
      <c r="E3924" t="inlineStr">
        <is>
          <t>HÄRJEDALEN</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34517-2024</t>
        </is>
      </c>
      <c r="B3925" s="1" t="n">
        <v>45525</v>
      </c>
      <c r="C3925" s="1" t="n">
        <v>46045</v>
      </c>
      <c r="D3925" t="inlineStr">
        <is>
          <t>JÄMTLANDS LÄN</t>
        </is>
      </c>
      <c r="E3925" t="inlineStr">
        <is>
          <t>KROKOM</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29294-2023</t>
        </is>
      </c>
      <c r="B3926" s="1" t="n">
        <v>45098</v>
      </c>
      <c r="C3926" s="1" t="n">
        <v>46045</v>
      </c>
      <c r="D3926" t="inlineStr">
        <is>
          <t>JÄMTLANDS LÄN</t>
        </is>
      </c>
      <c r="E3926" t="inlineStr">
        <is>
          <t>ÅRE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9514-2024</t>
        </is>
      </c>
      <c r="B3927" s="1" t="n">
        <v>45359</v>
      </c>
      <c r="C3927" s="1" t="n">
        <v>46045</v>
      </c>
      <c r="D3927" t="inlineStr">
        <is>
          <t>JÄMTLANDS LÄN</t>
        </is>
      </c>
      <c r="E3927" t="inlineStr">
        <is>
          <t>STRÖMSUND</t>
        </is>
      </c>
      <c r="G3927" t="n">
        <v>15.9</v>
      </c>
      <c r="H3927" t="n">
        <v>0</v>
      </c>
      <c r="I3927" t="n">
        <v>0</v>
      </c>
      <c r="J3927" t="n">
        <v>0</v>
      </c>
      <c r="K3927" t="n">
        <v>0</v>
      </c>
      <c r="L3927" t="n">
        <v>0</v>
      </c>
      <c r="M3927" t="n">
        <v>0</v>
      </c>
      <c r="N3927" t="n">
        <v>0</v>
      </c>
      <c r="O3927" t="n">
        <v>0</v>
      </c>
      <c r="P3927" t="n">
        <v>0</v>
      </c>
      <c r="Q3927" t="n">
        <v>0</v>
      </c>
      <c r="R3927" s="2" t="inlineStr"/>
    </row>
    <row r="3928" ht="15" customHeight="1">
      <c r="A3928" t="inlineStr">
        <is>
          <t>A 40224-2025</t>
        </is>
      </c>
      <c r="B3928" s="1" t="n">
        <v>45894.69850694444</v>
      </c>
      <c r="C3928" s="1" t="n">
        <v>46045</v>
      </c>
      <c r="D3928" t="inlineStr">
        <is>
          <t>JÄMTLANDS LÄN</t>
        </is>
      </c>
      <c r="E3928" t="inlineStr">
        <is>
          <t>STRÖMSUND</t>
        </is>
      </c>
      <c r="F3928" t="inlineStr">
        <is>
          <t>SCA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40126-2025</t>
        </is>
      </c>
      <c r="B3929" s="1" t="n">
        <v>45894.53192129629</v>
      </c>
      <c r="C3929" s="1" t="n">
        <v>46045</v>
      </c>
      <c r="D3929" t="inlineStr">
        <is>
          <t>JÄMTLANDS LÄN</t>
        </is>
      </c>
      <c r="E3929" t="inlineStr">
        <is>
          <t>STRÖMSUND</t>
        </is>
      </c>
      <c r="F3929" t="inlineStr">
        <is>
          <t>SCA</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39933-2025</t>
        </is>
      </c>
      <c r="B3930" s="1" t="n">
        <v>45891.71150462963</v>
      </c>
      <c r="C3930" s="1" t="n">
        <v>46045</v>
      </c>
      <c r="D3930" t="inlineStr">
        <is>
          <t>JÄMTLANDS LÄN</t>
        </is>
      </c>
      <c r="E3930" t="inlineStr">
        <is>
          <t>BRÄCKE</t>
        </is>
      </c>
      <c r="G3930" t="n">
        <v>15.1</v>
      </c>
      <c r="H3930" t="n">
        <v>0</v>
      </c>
      <c r="I3930" t="n">
        <v>0</v>
      </c>
      <c r="J3930" t="n">
        <v>0</v>
      </c>
      <c r="K3930" t="n">
        <v>0</v>
      </c>
      <c r="L3930" t="n">
        <v>0</v>
      </c>
      <c r="M3930" t="n">
        <v>0</v>
      </c>
      <c r="N3930" t="n">
        <v>0</v>
      </c>
      <c r="O3930" t="n">
        <v>0</v>
      </c>
      <c r="P3930" t="n">
        <v>0</v>
      </c>
      <c r="Q3930" t="n">
        <v>0</v>
      </c>
      <c r="R3930" s="2" t="inlineStr"/>
    </row>
    <row r="3931" ht="15" customHeight="1">
      <c r="A3931" t="inlineStr">
        <is>
          <t>A 23560-2024</t>
        </is>
      </c>
      <c r="B3931" s="1" t="n">
        <v>45453.95467592592</v>
      </c>
      <c r="C3931" s="1" t="n">
        <v>46045</v>
      </c>
      <c r="D3931" t="inlineStr">
        <is>
          <t>JÄMTLANDS LÄN</t>
        </is>
      </c>
      <c r="E3931" t="inlineStr">
        <is>
          <t>BERG</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35866-2024</t>
        </is>
      </c>
      <c r="B3932" s="1" t="n">
        <v>45533.3422337963</v>
      </c>
      <c r="C3932" s="1" t="n">
        <v>46045</v>
      </c>
      <c r="D3932" t="inlineStr">
        <is>
          <t>JÄMTLANDS LÄN</t>
        </is>
      </c>
      <c r="E3932" t="inlineStr">
        <is>
          <t>BERG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39949-2025</t>
        </is>
      </c>
      <c r="B3933" s="1" t="n">
        <v>45892.38619212963</v>
      </c>
      <c r="C3933" s="1" t="n">
        <v>46045</v>
      </c>
      <c r="D3933" t="inlineStr">
        <is>
          <t>JÄMTLANDS LÄN</t>
        </is>
      </c>
      <c r="E3933" t="inlineStr">
        <is>
          <t>RAGUNDA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39963-2025</t>
        </is>
      </c>
      <c r="B3934" s="1" t="n">
        <v>45892.53184027778</v>
      </c>
      <c r="C3934" s="1" t="n">
        <v>46045</v>
      </c>
      <c r="D3934" t="inlineStr">
        <is>
          <t>JÄMTLANDS LÄN</t>
        </is>
      </c>
      <c r="E3934" t="inlineStr">
        <is>
          <t>HÄRJEDALEN</t>
        </is>
      </c>
      <c r="G3934" t="n">
        <v>33.9</v>
      </c>
      <c r="H3934" t="n">
        <v>0</v>
      </c>
      <c r="I3934" t="n">
        <v>0</v>
      </c>
      <c r="J3934" t="n">
        <v>0</v>
      </c>
      <c r="K3934" t="n">
        <v>0</v>
      </c>
      <c r="L3934" t="n">
        <v>0</v>
      </c>
      <c r="M3934" t="n">
        <v>0</v>
      </c>
      <c r="N3934" t="n">
        <v>0</v>
      </c>
      <c r="O3934" t="n">
        <v>0</v>
      </c>
      <c r="P3934" t="n">
        <v>0</v>
      </c>
      <c r="Q3934" t="n">
        <v>0</v>
      </c>
      <c r="R3934" s="2" t="inlineStr"/>
    </row>
    <row r="3935" ht="15" customHeight="1">
      <c r="A3935" t="inlineStr">
        <is>
          <t>A 23723-2025</t>
        </is>
      </c>
      <c r="B3935" s="1" t="n">
        <v>45793</v>
      </c>
      <c r="C3935" s="1" t="n">
        <v>46045</v>
      </c>
      <c r="D3935" t="inlineStr">
        <is>
          <t>JÄMTLANDS LÄN</t>
        </is>
      </c>
      <c r="E3935" t="inlineStr">
        <is>
          <t>BRÄCKE</t>
        </is>
      </c>
      <c r="F3935" t="inlineStr">
        <is>
          <t>SCA</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57011-2022</t>
        </is>
      </c>
      <c r="B3936" s="1" t="n">
        <v>44894</v>
      </c>
      <c r="C3936" s="1" t="n">
        <v>46045</v>
      </c>
      <c r="D3936" t="inlineStr">
        <is>
          <t>JÄMTLANDS LÄN</t>
        </is>
      </c>
      <c r="E3936" t="inlineStr">
        <is>
          <t>BRÄCKE</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40176-2025</t>
        </is>
      </c>
      <c r="B3937" s="1" t="n">
        <v>45894.63623842593</v>
      </c>
      <c r="C3937" s="1" t="n">
        <v>46045</v>
      </c>
      <c r="D3937" t="inlineStr">
        <is>
          <t>JÄMTLANDS LÄN</t>
        </is>
      </c>
      <c r="E3937" t="inlineStr">
        <is>
          <t>STRÖMSUND</t>
        </is>
      </c>
      <c r="F3937" t="inlineStr">
        <is>
          <t>SCA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40180-2025</t>
        </is>
      </c>
      <c r="B3938" s="1" t="n">
        <v>45894.63693287037</v>
      </c>
      <c r="C3938" s="1" t="n">
        <v>46045</v>
      </c>
      <c r="D3938" t="inlineStr">
        <is>
          <t>JÄMTLANDS LÄN</t>
        </is>
      </c>
      <c r="E3938" t="inlineStr">
        <is>
          <t>KROKOM</t>
        </is>
      </c>
      <c r="F3938" t="inlineStr">
        <is>
          <t>SCA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40185-2025</t>
        </is>
      </c>
      <c r="B3939" s="1" t="n">
        <v>45894.64358796296</v>
      </c>
      <c r="C3939" s="1" t="n">
        <v>46045</v>
      </c>
      <c r="D3939" t="inlineStr">
        <is>
          <t>JÄMTLANDS LÄN</t>
        </is>
      </c>
      <c r="E3939" t="inlineStr">
        <is>
          <t>HÄRJEDALEN</t>
        </is>
      </c>
      <c r="F3939" t="inlineStr">
        <is>
          <t>Bergvik skog väst AB</t>
        </is>
      </c>
      <c r="G3939" t="n">
        <v>30.7</v>
      </c>
      <c r="H3939" t="n">
        <v>0</v>
      </c>
      <c r="I3939" t="n">
        <v>0</v>
      </c>
      <c r="J3939" t="n">
        <v>0</v>
      </c>
      <c r="K3939" t="n">
        <v>0</v>
      </c>
      <c r="L3939" t="n">
        <v>0</v>
      </c>
      <c r="M3939" t="n">
        <v>0</v>
      </c>
      <c r="N3939" t="n">
        <v>0</v>
      </c>
      <c r="O3939" t="n">
        <v>0</v>
      </c>
      <c r="P3939" t="n">
        <v>0</v>
      </c>
      <c r="Q3939" t="n">
        <v>0</v>
      </c>
      <c r="R3939" s="2" t="inlineStr"/>
    </row>
    <row r="3940" ht="15" customHeight="1">
      <c r="A3940" t="inlineStr">
        <is>
          <t>A 44112-2024</t>
        </is>
      </c>
      <c r="B3940" s="1" t="n">
        <v>45572.63590277778</v>
      </c>
      <c r="C3940" s="1" t="n">
        <v>46045</v>
      </c>
      <c r="D3940" t="inlineStr">
        <is>
          <t>JÄMTLANDS LÄN</t>
        </is>
      </c>
      <c r="E3940" t="inlineStr">
        <is>
          <t>STRÖMSUND</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39767-2025</t>
        </is>
      </c>
      <c r="B3941" s="1" t="n">
        <v>45891.44828703703</v>
      </c>
      <c r="C3941" s="1" t="n">
        <v>46045</v>
      </c>
      <c r="D3941" t="inlineStr">
        <is>
          <t>JÄMTLANDS LÄN</t>
        </is>
      </c>
      <c r="E3941" t="inlineStr">
        <is>
          <t>BRÄCKE</t>
        </is>
      </c>
      <c r="F3941" t="inlineStr">
        <is>
          <t>SCA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17098-2024</t>
        </is>
      </c>
      <c r="B3942" s="1" t="n">
        <v>45412</v>
      </c>
      <c r="C3942" s="1" t="n">
        <v>46045</v>
      </c>
      <c r="D3942" t="inlineStr">
        <is>
          <t>JÄMTLANDS LÄN</t>
        </is>
      </c>
      <c r="E3942" t="inlineStr">
        <is>
          <t>STRÖMSUND</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40015-2025</t>
        </is>
      </c>
      <c r="B3943" s="1" t="n">
        <v>45894.34521990741</v>
      </c>
      <c r="C3943" s="1" t="n">
        <v>46045</v>
      </c>
      <c r="D3943" t="inlineStr">
        <is>
          <t>JÄMTLANDS LÄN</t>
        </is>
      </c>
      <c r="E3943" t="inlineStr">
        <is>
          <t>STRÖMSUND</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17922-2024</t>
        </is>
      </c>
      <c r="B3944" s="1" t="n">
        <v>45419.5853587963</v>
      </c>
      <c r="C3944" s="1" t="n">
        <v>46045</v>
      </c>
      <c r="D3944" t="inlineStr">
        <is>
          <t>JÄMTLANDS LÄN</t>
        </is>
      </c>
      <c r="E3944" t="inlineStr">
        <is>
          <t>BERG</t>
        </is>
      </c>
      <c r="F3944" t="inlineStr">
        <is>
          <t>Holmen skog AB</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53894-2023</t>
        </is>
      </c>
      <c r="B3945" s="1" t="n">
        <v>45231.53321759259</v>
      </c>
      <c r="C3945" s="1" t="n">
        <v>46045</v>
      </c>
      <c r="D3945" t="inlineStr">
        <is>
          <t>JÄMTLANDS LÄN</t>
        </is>
      </c>
      <c r="E3945" t="inlineStr">
        <is>
          <t>BERG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40177-2025</t>
        </is>
      </c>
      <c r="B3946" s="1" t="n">
        <v>45894.63638888889</v>
      </c>
      <c r="C3946" s="1" t="n">
        <v>46045</v>
      </c>
      <c r="D3946" t="inlineStr">
        <is>
          <t>JÄMTLANDS LÄN</t>
        </is>
      </c>
      <c r="E3946" t="inlineStr">
        <is>
          <t>STRÖMSUND</t>
        </is>
      </c>
      <c r="F3946" t="inlineStr">
        <is>
          <t>SCA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55388-2021</t>
        </is>
      </c>
      <c r="B3947" s="1" t="n">
        <v>44475</v>
      </c>
      <c r="C3947" s="1" t="n">
        <v>46045</v>
      </c>
      <c r="D3947" t="inlineStr">
        <is>
          <t>JÄMTLANDS LÄN</t>
        </is>
      </c>
      <c r="E3947" t="inlineStr">
        <is>
          <t>HÄRJEDALEN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39948-2025</t>
        </is>
      </c>
      <c r="B3948" s="1" t="n">
        <v>45892.38591435185</v>
      </c>
      <c r="C3948" s="1" t="n">
        <v>46045</v>
      </c>
      <c r="D3948" t="inlineStr">
        <is>
          <t>JÄMTLANDS LÄN</t>
        </is>
      </c>
      <c r="E3948" t="inlineStr">
        <is>
          <t>RAGUNDA</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57258-2024</t>
        </is>
      </c>
      <c r="B3949" s="1" t="n">
        <v>45628</v>
      </c>
      <c r="C3949" s="1" t="n">
        <v>46045</v>
      </c>
      <c r="D3949" t="inlineStr">
        <is>
          <t>JÄMTLANDS LÄN</t>
        </is>
      </c>
      <c r="E3949" t="inlineStr">
        <is>
          <t>STRÖMSUND</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63534-2023</t>
        </is>
      </c>
      <c r="B3950" s="1" t="n">
        <v>45274.94905092593</v>
      </c>
      <c r="C3950" s="1" t="n">
        <v>46045</v>
      </c>
      <c r="D3950" t="inlineStr">
        <is>
          <t>JÄMTLANDS LÄN</t>
        </is>
      </c>
      <c r="E3950" t="inlineStr">
        <is>
          <t>BRÄCKE</t>
        </is>
      </c>
      <c r="F3950" t="inlineStr">
        <is>
          <t>SCA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3239-2022</t>
        </is>
      </c>
      <c r="B3951" s="1" t="n">
        <v>44582.93296296296</v>
      </c>
      <c r="C3951" s="1" t="n">
        <v>46045</v>
      </c>
      <c r="D3951" t="inlineStr">
        <is>
          <t>JÄMTLANDS LÄN</t>
        </is>
      </c>
      <c r="E3951" t="inlineStr">
        <is>
          <t>BRÄCKE</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39860-2025</t>
        </is>
      </c>
      <c r="B3952" s="1" t="n">
        <v>45891.59409722222</v>
      </c>
      <c r="C3952" s="1" t="n">
        <v>46045</v>
      </c>
      <c r="D3952" t="inlineStr">
        <is>
          <t>JÄMTLANDS LÄN</t>
        </is>
      </c>
      <c r="E3952" t="inlineStr">
        <is>
          <t>STRÖMSUND</t>
        </is>
      </c>
      <c r="F3952" t="inlineStr">
        <is>
          <t>SCA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39966-2025</t>
        </is>
      </c>
      <c r="B3953" s="1" t="n">
        <v>45892.61496527777</v>
      </c>
      <c r="C3953" s="1" t="n">
        <v>46045</v>
      </c>
      <c r="D3953" t="inlineStr">
        <is>
          <t>JÄMTLANDS LÄN</t>
        </is>
      </c>
      <c r="E3953" t="inlineStr">
        <is>
          <t>STRÖMSUND</t>
        </is>
      </c>
      <c r="F3953" t="inlineStr">
        <is>
          <t>SCA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27261-2023</t>
        </is>
      </c>
      <c r="B3954" s="1" t="n">
        <v>45096.62344907408</v>
      </c>
      <c r="C3954" s="1" t="n">
        <v>46045</v>
      </c>
      <c r="D3954" t="inlineStr">
        <is>
          <t>JÄMTLANDS LÄN</t>
        </is>
      </c>
      <c r="E3954" t="inlineStr">
        <is>
          <t>HÄRJEDALEN</t>
        </is>
      </c>
      <c r="F3954" t="inlineStr">
        <is>
          <t>Bergvik skog väst AB</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11058-2025</t>
        </is>
      </c>
      <c r="B3955" s="1" t="n">
        <v>45723.51079861111</v>
      </c>
      <c r="C3955" s="1" t="n">
        <v>46045</v>
      </c>
      <c r="D3955" t="inlineStr">
        <is>
          <t>JÄMTLANDS LÄN</t>
        </is>
      </c>
      <c r="E3955" t="inlineStr">
        <is>
          <t>RAGUNDA</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56547-2024</t>
        </is>
      </c>
      <c r="B3956" s="1" t="n">
        <v>45625.56934027778</v>
      </c>
      <c r="C3956" s="1" t="n">
        <v>46045</v>
      </c>
      <c r="D3956" t="inlineStr">
        <is>
          <t>JÄMTLANDS LÄN</t>
        </is>
      </c>
      <c r="E3956" t="inlineStr">
        <is>
          <t>HÄRJEDALEN</t>
        </is>
      </c>
      <c r="F3956" t="inlineStr">
        <is>
          <t>Holmen skog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2304-2025</t>
        </is>
      </c>
      <c r="B3957" s="1" t="n">
        <v>45673.5986574074</v>
      </c>
      <c r="C3957" s="1" t="n">
        <v>46045</v>
      </c>
      <c r="D3957" t="inlineStr">
        <is>
          <t>JÄMTLANDS LÄN</t>
        </is>
      </c>
      <c r="E3957" t="inlineStr">
        <is>
          <t>STRÖMSUND</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61776-2024</t>
        </is>
      </c>
      <c r="B3958" s="1" t="n">
        <v>45649.4634375</v>
      </c>
      <c r="C3958" s="1" t="n">
        <v>46045</v>
      </c>
      <c r="D3958" t="inlineStr">
        <is>
          <t>JÄMTLANDS LÄN</t>
        </is>
      </c>
      <c r="E3958" t="inlineStr">
        <is>
          <t>KROKOM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6645-2025</t>
        </is>
      </c>
      <c r="B3959" s="1" t="n">
        <v>45700.39645833334</v>
      </c>
      <c r="C3959" s="1" t="n">
        <v>46045</v>
      </c>
      <c r="D3959" t="inlineStr">
        <is>
          <t>JÄMTLANDS LÄN</t>
        </is>
      </c>
      <c r="E3959" t="inlineStr">
        <is>
          <t>BERG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36959-2023</t>
        </is>
      </c>
      <c r="B3960" s="1" t="n">
        <v>45154.92638888889</v>
      </c>
      <c r="C3960" s="1" t="n">
        <v>46045</v>
      </c>
      <c r="D3960" t="inlineStr">
        <is>
          <t>JÄMTLANDS LÄN</t>
        </is>
      </c>
      <c r="E3960" t="inlineStr">
        <is>
          <t>STRÖMSUND</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49384-2024</t>
        </is>
      </c>
      <c r="B3961" s="1" t="n">
        <v>45595.65655092592</v>
      </c>
      <c r="C3961" s="1" t="n">
        <v>46045</v>
      </c>
      <c r="D3961" t="inlineStr">
        <is>
          <t>JÄMTLANDS LÄN</t>
        </is>
      </c>
      <c r="E3961" t="inlineStr">
        <is>
          <t>STRÖMSUND</t>
        </is>
      </c>
      <c r="F3961" t="inlineStr">
        <is>
          <t>SCA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27899-2025</t>
        </is>
      </c>
      <c r="B3962" s="1" t="n">
        <v>45817</v>
      </c>
      <c r="C3962" s="1" t="n">
        <v>46045</v>
      </c>
      <c r="D3962" t="inlineStr">
        <is>
          <t>JÄMTLANDS LÄN</t>
        </is>
      </c>
      <c r="E3962" t="inlineStr">
        <is>
          <t>KROKOM</t>
        </is>
      </c>
      <c r="G3962" t="n">
        <v>16.4</v>
      </c>
      <c r="H3962" t="n">
        <v>0</v>
      </c>
      <c r="I3962" t="n">
        <v>0</v>
      </c>
      <c r="J3962" t="n">
        <v>0</v>
      </c>
      <c r="K3962" t="n">
        <v>0</v>
      </c>
      <c r="L3962" t="n">
        <v>0</v>
      </c>
      <c r="M3962" t="n">
        <v>0</v>
      </c>
      <c r="N3962" t="n">
        <v>0</v>
      </c>
      <c r="O3962" t="n">
        <v>0</v>
      </c>
      <c r="P3962" t="n">
        <v>0</v>
      </c>
      <c r="Q3962" t="n">
        <v>0</v>
      </c>
      <c r="R3962" s="2" t="inlineStr"/>
    </row>
    <row r="3963" ht="15" customHeight="1">
      <c r="A3963" t="inlineStr">
        <is>
          <t>A 17097-2025</t>
        </is>
      </c>
      <c r="B3963" s="1" t="n">
        <v>45755</v>
      </c>
      <c r="C3963" s="1" t="n">
        <v>46045</v>
      </c>
      <c r="D3963" t="inlineStr">
        <is>
          <t>JÄMTLANDS LÄN</t>
        </is>
      </c>
      <c r="E3963" t="inlineStr">
        <is>
          <t>BRÄCKE</t>
        </is>
      </c>
      <c r="F3963" t="inlineStr">
        <is>
          <t>SCA</t>
        </is>
      </c>
      <c r="G3963" t="n">
        <v>29.9</v>
      </c>
      <c r="H3963" t="n">
        <v>0</v>
      </c>
      <c r="I3963" t="n">
        <v>0</v>
      </c>
      <c r="J3963" t="n">
        <v>0</v>
      </c>
      <c r="K3963" t="n">
        <v>0</v>
      </c>
      <c r="L3963" t="n">
        <v>0</v>
      </c>
      <c r="M3963" t="n">
        <v>0</v>
      </c>
      <c r="N3963" t="n">
        <v>0</v>
      </c>
      <c r="O3963" t="n">
        <v>0</v>
      </c>
      <c r="P3963" t="n">
        <v>0</v>
      </c>
      <c r="Q3963" t="n">
        <v>0</v>
      </c>
      <c r="R3963" s="2" t="inlineStr"/>
    </row>
    <row r="3964" ht="15" customHeight="1">
      <c r="A3964" t="inlineStr">
        <is>
          <t>A 33015-2022</t>
        </is>
      </c>
      <c r="B3964" s="1" t="n">
        <v>44784</v>
      </c>
      <c r="C3964" s="1" t="n">
        <v>46045</v>
      </c>
      <c r="D3964" t="inlineStr">
        <is>
          <t>JÄMTLANDS LÄN</t>
        </is>
      </c>
      <c r="E3964" t="inlineStr">
        <is>
          <t>ÅRE</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63323-2023</t>
        </is>
      </c>
      <c r="B3965" s="1" t="n">
        <v>45274</v>
      </c>
      <c r="C3965" s="1" t="n">
        <v>46045</v>
      </c>
      <c r="D3965" t="inlineStr">
        <is>
          <t>JÄMTLANDS LÄN</t>
        </is>
      </c>
      <c r="E3965" t="inlineStr">
        <is>
          <t>HÄRJEDALEN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33386-2025</t>
        </is>
      </c>
      <c r="B3966" s="1" t="n">
        <v>45841.40587962963</v>
      </c>
      <c r="C3966" s="1" t="n">
        <v>46045</v>
      </c>
      <c r="D3966" t="inlineStr">
        <is>
          <t>JÄMTLANDS LÄN</t>
        </is>
      </c>
      <c r="E3966" t="inlineStr">
        <is>
          <t>BERG</t>
        </is>
      </c>
      <c r="G3966" t="n">
        <v>37.7</v>
      </c>
      <c r="H3966" t="n">
        <v>0</v>
      </c>
      <c r="I3966" t="n">
        <v>0</v>
      </c>
      <c r="J3966" t="n">
        <v>0</v>
      </c>
      <c r="K3966" t="n">
        <v>0</v>
      </c>
      <c r="L3966" t="n">
        <v>0</v>
      </c>
      <c r="M3966" t="n">
        <v>0</v>
      </c>
      <c r="N3966" t="n">
        <v>0</v>
      </c>
      <c r="O3966" t="n">
        <v>0</v>
      </c>
      <c r="P3966" t="n">
        <v>0</v>
      </c>
      <c r="Q3966" t="n">
        <v>0</v>
      </c>
      <c r="R3966" s="2" t="inlineStr"/>
    </row>
    <row r="3967" ht="15" customHeight="1">
      <c r="A3967" t="inlineStr">
        <is>
          <t>A 33998-2023</t>
        </is>
      </c>
      <c r="B3967" s="1" t="n">
        <v>45134</v>
      </c>
      <c r="C3967" s="1" t="n">
        <v>46045</v>
      </c>
      <c r="D3967" t="inlineStr">
        <is>
          <t>JÄMTLANDS LÄN</t>
        </is>
      </c>
      <c r="E3967" t="inlineStr">
        <is>
          <t>BRÄCKE</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34002-2023</t>
        </is>
      </c>
      <c r="B3968" s="1" t="n">
        <v>45134.95104166667</v>
      </c>
      <c r="C3968" s="1" t="n">
        <v>46045</v>
      </c>
      <c r="D3968" t="inlineStr">
        <is>
          <t>JÄMTLANDS LÄN</t>
        </is>
      </c>
      <c r="E3968" t="inlineStr">
        <is>
          <t>STRÖMSUND</t>
        </is>
      </c>
      <c r="F3968" t="inlineStr">
        <is>
          <t>SCA</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40060-2025</t>
        </is>
      </c>
      <c r="B3969" s="1" t="n">
        <v>45894.42746527777</v>
      </c>
      <c r="C3969" s="1" t="n">
        <v>46045</v>
      </c>
      <c r="D3969" t="inlineStr">
        <is>
          <t>JÄMTLANDS LÄN</t>
        </is>
      </c>
      <c r="E3969" t="inlineStr">
        <is>
          <t>BERG</t>
        </is>
      </c>
      <c r="F3969" t="inlineStr">
        <is>
          <t>SCA</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6768-2023</t>
        </is>
      </c>
      <c r="B3970" s="1" t="n">
        <v>44966.93079861111</v>
      </c>
      <c r="C3970" s="1" t="n">
        <v>46045</v>
      </c>
      <c r="D3970" t="inlineStr">
        <is>
          <t>JÄMTLANDS LÄN</t>
        </is>
      </c>
      <c r="E3970" t="inlineStr">
        <is>
          <t>BRÄCKE</t>
        </is>
      </c>
      <c r="G3970" t="n">
        <v>3.4</v>
      </c>
      <c r="H3970" t="n">
        <v>0</v>
      </c>
      <c r="I3970" t="n">
        <v>0</v>
      </c>
      <c r="J3970" t="n">
        <v>0</v>
      </c>
      <c r="K3970" t="n">
        <v>0</v>
      </c>
      <c r="L3970" t="n">
        <v>0</v>
      </c>
      <c r="M3970" t="n">
        <v>0</v>
      </c>
      <c r="N3970" t="n">
        <v>0</v>
      </c>
      <c r="O3970" t="n">
        <v>0</v>
      </c>
      <c r="P3970" t="n">
        <v>0</v>
      </c>
      <c r="Q3970" t="n">
        <v>0</v>
      </c>
      <c r="R3970" s="2" t="inlineStr"/>
      <c r="U3970">
        <f>HYPERLINK("https://klasma.github.io/Logging_2305/knärot/A 6768-2023 karta knärot.png", "A 6768-2023")</f>
        <v/>
      </c>
      <c r="V3970">
        <f>HYPERLINK("https://klasma.github.io/Logging_2305/klagomål/A 6768-2023 FSC-klagomål.docx", "A 6768-2023")</f>
        <v/>
      </c>
      <c r="W3970">
        <f>HYPERLINK("https://klasma.github.io/Logging_2305/klagomålsmail/A 6768-2023 FSC-klagomål mail.docx", "A 6768-2023")</f>
        <v/>
      </c>
      <c r="X3970">
        <f>HYPERLINK("https://klasma.github.io/Logging_2305/tillsyn/A 6768-2023 tillsynsbegäran.docx", "A 6768-2023")</f>
        <v/>
      </c>
      <c r="Y3970">
        <f>HYPERLINK("https://klasma.github.io/Logging_2305/tillsynsmail/A 6768-2023 tillsynsbegäran mail.docx", "A 6768-2023")</f>
        <v/>
      </c>
    </row>
    <row r="3971" ht="15" customHeight="1">
      <c r="A3971" t="inlineStr">
        <is>
          <t>A 6773-2023</t>
        </is>
      </c>
      <c r="B3971" s="1" t="n">
        <v>44966.93340277778</v>
      </c>
      <c r="C3971" s="1" t="n">
        <v>46045</v>
      </c>
      <c r="D3971" t="inlineStr">
        <is>
          <t>JÄMTLANDS LÄN</t>
        </is>
      </c>
      <c r="E3971" t="inlineStr">
        <is>
          <t>STRÖMSUND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39947-2025</t>
        </is>
      </c>
      <c r="B3972" s="1" t="n">
        <v>45892.34438657408</v>
      </c>
      <c r="C3972" s="1" t="n">
        <v>46045</v>
      </c>
      <c r="D3972" t="inlineStr">
        <is>
          <t>JÄMTLANDS LÄN</t>
        </is>
      </c>
      <c r="E3972" t="inlineStr">
        <is>
          <t>RAGUNDA</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39951-2025</t>
        </is>
      </c>
      <c r="B3973" s="1" t="n">
        <v>45892.38657407407</v>
      </c>
      <c r="C3973" s="1" t="n">
        <v>46045</v>
      </c>
      <c r="D3973" t="inlineStr">
        <is>
          <t>JÄMTLANDS LÄN</t>
        </is>
      </c>
      <c r="E3973" t="inlineStr">
        <is>
          <t>RAGUNDA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12288-2023</t>
        </is>
      </c>
      <c r="B3974" s="1" t="n">
        <v>44998.73143518518</v>
      </c>
      <c r="C3974" s="1" t="n">
        <v>46045</v>
      </c>
      <c r="D3974" t="inlineStr">
        <is>
          <t>JÄMTLANDS LÄN</t>
        </is>
      </c>
      <c r="E3974" t="inlineStr">
        <is>
          <t>ÅRE</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24042-2024</t>
        </is>
      </c>
      <c r="B3975" s="1" t="n">
        <v>45456.48665509259</v>
      </c>
      <c r="C3975" s="1" t="n">
        <v>46045</v>
      </c>
      <c r="D3975" t="inlineStr">
        <is>
          <t>JÄMTLANDS LÄN</t>
        </is>
      </c>
      <c r="E3975" t="inlineStr">
        <is>
          <t>STRÖMSUND</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39726-2025</t>
        </is>
      </c>
      <c r="B3976" s="1" t="n">
        <v>45891.34461805555</v>
      </c>
      <c r="C3976" s="1" t="n">
        <v>46045</v>
      </c>
      <c r="D3976" t="inlineStr">
        <is>
          <t>JÄMTLANDS LÄN</t>
        </is>
      </c>
      <c r="E3976" t="inlineStr">
        <is>
          <t>STRÖMSUND</t>
        </is>
      </c>
      <c r="F3976" t="inlineStr">
        <is>
          <t>SCA</t>
        </is>
      </c>
      <c r="G3976" t="n">
        <v>8.800000000000001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38105-2024</t>
        </is>
      </c>
      <c r="B3977" s="1" t="n">
        <v>45545.36538194444</v>
      </c>
      <c r="C3977" s="1" t="n">
        <v>46045</v>
      </c>
      <c r="D3977" t="inlineStr">
        <is>
          <t>JÄMTLANDS LÄN</t>
        </is>
      </c>
      <c r="E3977" t="inlineStr">
        <is>
          <t>BRÄCKE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54799-2021</t>
        </is>
      </c>
      <c r="B3978" s="1" t="n">
        <v>44473</v>
      </c>
      <c r="C3978" s="1" t="n">
        <v>46045</v>
      </c>
      <c r="D3978" t="inlineStr">
        <is>
          <t>JÄMTLANDS LÄN</t>
        </is>
      </c>
      <c r="E3978" t="inlineStr">
        <is>
          <t>BERG</t>
        </is>
      </c>
      <c r="F3978" t="inlineStr">
        <is>
          <t>SCA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23640-2024</t>
        </is>
      </c>
      <c r="B3979" s="1" t="n">
        <v>45454.49516203703</v>
      </c>
      <c r="C3979" s="1" t="n">
        <v>46045</v>
      </c>
      <c r="D3979" t="inlineStr">
        <is>
          <t>JÄMTLANDS LÄN</t>
        </is>
      </c>
      <c r="E3979" t="inlineStr">
        <is>
          <t>BRÄCKE</t>
        </is>
      </c>
      <c r="G3979" t="n">
        <v>19.4</v>
      </c>
      <c r="H3979" t="n">
        <v>0</v>
      </c>
      <c r="I3979" t="n">
        <v>0</v>
      </c>
      <c r="J3979" t="n">
        <v>0</v>
      </c>
      <c r="K3979" t="n">
        <v>0</v>
      </c>
      <c r="L3979" t="n">
        <v>0</v>
      </c>
      <c r="M3979" t="n">
        <v>0</v>
      </c>
      <c r="N3979" t="n">
        <v>0</v>
      </c>
      <c r="O3979" t="n">
        <v>0</v>
      </c>
      <c r="P3979" t="n">
        <v>0</v>
      </c>
      <c r="Q3979" t="n">
        <v>0</v>
      </c>
      <c r="R3979" s="2" t="inlineStr"/>
    </row>
    <row r="3980" ht="15" customHeight="1">
      <c r="A3980" t="inlineStr">
        <is>
          <t>A 2224-2024</t>
        </is>
      </c>
      <c r="B3980" s="1" t="n">
        <v>45309.92524305556</v>
      </c>
      <c r="C3980" s="1" t="n">
        <v>46045</v>
      </c>
      <c r="D3980" t="inlineStr">
        <is>
          <t>JÄMTLANDS LÄN</t>
        </is>
      </c>
      <c r="E3980" t="inlineStr">
        <is>
          <t>RAGUNDA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2228-2024</t>
        </is>
      </c>
      <c r="B3981" s="1" t="n">
        <v>45309</v>
      </c>
      <c r="C3981" s="1" t="n">
        <v>46045</v>
      </c>
      <c r="D3981" t="inlineStr">
        <is>
          <t>JÄMTLANDS LÄN</t>
        </is>
      </c>
      <c r="E3981" t="inlineStr">
        <is>
          <t>ÖSTERSUND</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48775-2023</t>
        </is>
      </c>
      <c r="B3982" s="1" t="n">
        <v>45208.949375</v>
      </c>
      <c r="C3982" s="1" t="n">
        <v>46045</v>
      </c>
      <c r="D3982" t="inlineStr">
        <is>
          <t>JÄMTLANDS LÄN</t>
        </is>
      </c>
      <c r="E3982" t="inlineStr">
        <is>
          <t>STRÖMSUND</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2236-2024</t>
        </is>
      </c>
      <c r="B3983" s="1" t="n">
        <v>45309.94650462963</v>
      </c>
      <c r="C3983" s="1" t="n">
        <v>46045</v>
      </c>
      <c r="D3983" t="inlineStr">
        <is>
          <t>JÄMTLANDS LÄN</t>
        </is>
      </c>
      <c r="E3983" t="inlineStr">
        <is>
          <t>KROKOM</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42151-2023</t>
        </is>
      </c>
      <c r="B3984" s="1" t="n">
        <v>45177.93612268518</v>
      </c>
      <c r="C3984" s="1" t="n">
        <v>46045</v>
      </c>
      <c r="D3984" t="inlineStr">
        <is>
          <t>JÄMTLANDS LÄN</t>
        </is>
      </c>
      <c r="E3984" t="inlineStr">
        <is>
          <t>ÖSTERSUND</t>
        </is>
      </c>
      <c r="F3984" t="inlineStr">
        <is>
          <t>SCA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27499-2024</t>
        </is>
      </c>
      <c r="B3985" s="1" t="n">
        <v>45474.50608796296</v>
      </c>
      <c r="C3985" s="1" t="n">
        <v>46045</v>
      </c>
      <c r="D3985" t="inlineStr">
        <is>
          <t>JÄMTLANDS LÄN</t>
        </is>
      </c>
      <c r="E3985" t="inlineStr">
        <is>
          <t>RAGUNDA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17030-2025</t>
        </is>
      </c>
      <c r="B3986" s="1" t="n">
        <v>45755.57325231482</v>
      </c>
      <c r="C3986" s="1" t="n">
        <v>46045</v>
      </c>
      <c r="D3986" t="inlineStr">
        <is>
          <t>JÄMTLANDS LÄN</t>
        </is>
      </c>
      <c r="E3986" t="inlineStr">
        <is>
          <t>STRÖMSUND</t>
        </is>
      </c>
      <c r="F3986" t="inlineStr">
        <is>
          <t>SCA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43016-2024</t>
        </is>
      </c>
      <c r="B3987" s="1" t="n">
        <v>45567.39192129629</v>
      </c>
      <c r="C3987" s="1" t="n">
        <v>46045</v>
      </c>
      <c r="D3987" t="inlineStr">
        <is>
          <t>JÄMTLANDS LÄN</t>
        </is>
      </c>
      <c r="E3987" t="inlineStr">
        <is>
          <t>ÖSTERSUND</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58968-2024</t>
        </is>
      </c>
      <c r="B3988" s="1" t="n">
        <v>45636.59418981482</v>
      </c>
      <c r="C3988" s="1" t="n">
        <v>46045</v>
      </c>
      <c r="D3988" t="inlineStr">
        <is>
          <t>JÄMTLANDS LÄN</t>
        </is>
      </c>
      <c r="E3988" t="inlineStr">
        <is>
          <t>STRÖMSUND</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60491-2024</t>
        </is>
      </c>
      <c r="B3989" s="1" t="n">
        <v>45643.65354166667</v>
      </c>
      <c r="C3989" s="1" t="n">
        <v>46045</v>
      </c>
      <c r="D3989" t="inlineStr">
        <is>
          <t>JÄMTLANDS LÄN</t>
        </is>
      </c>
      <c r="E3989" t="inlineStr">
        <is>
          <t>KROKOM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52794-2024</t>
        </is>
      </c>
      <c r="B3990" s="1" t="n">
        <v>45610.55846064815</v>
      </c>
      <c r="C3990" s="1" t="n">
        <v>46045</v>
      </c>
      <c r="D3990" t="inlineStr">
        <is>
          <t>JÄMTLANDS LÄN</t>
        </is>
      </c>
      <c r="E3990" t="inlineStr">
        <is>
          <t>HÄRJEDALEN</t>
        </is>
      </c>
      <c r="F3990" t="inlineStr">
        <is>
          <t>Holmen skog AB</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64037-2023</t>
        </is>
      </c>
      <c r="B3991" s="1" t="n">
        <v>45278.94344907408</v>
      </c>
      <c r="C3991" s="1" t="n">
        <v>46045</v>
      </c>
      <c r="D3991" t="inlineStr">
        <is>
          <t>JÄMTLANDS LÄN</t>
        </is>
      </c>
      <c r="E3991" t="inlineStr">
        <is>
          <t>BRÄCKE</t>
        </is>
      </c>
      <c r="F3991" t="inlineStr">
        <is>
          <t>SCA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54568-2022</t>
        </is>
      </c>
      <c r="B3992" s="1" t="n">
        <v>44882.95480324074</v>
      </c>
      <c r="C3992" s="1" t="n">
        <v>46045</v>
      </c>
      <c r="D3992" t="inlineStr">
        <is>
          <t>JÄMTLANDS LÄN</t>
        </is>
      </c>
      <c r="E3992" t="inlineStr">
        <is>
          <t>BRÄCKE</t>
        </is>
      </c>
      <c r="F3992" t="inlineStr">
        <is>
          <t>SCA</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61481-2024</t>
        </is>
      </c>
      <c r="B3993" s="1" t="n">
        <v>45645</v>
      </c>
      <c r="C3993" s="1" t="n">
        <v>46045</v>
      </c>
      <c r="D3993" t="inlineStr">
        <is>
          <t>JÄMTLANDS LÄN</t>
        </is>
      </c>
      <c r="E3993" t="inlineStr">
        <is>
          <t>STRÖMSUND</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39745-2025</t>
        </is>
      </c>
      <c r="B3994" s="1" t="n">
        <v>45891.38579861111</v>
      </c>
      <c r="C3994" s="1" t="n">
        <v>46045</v>
      </c>
      <c r="D3994" t="inlineStr">
        <is>
          <t>JÄMTLANDS LÄN</t>
        </is>
      </c>
      <c r="E3994" t="inlineStr">
        <is>
          <t>BRÄCKE</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13024-2022</t>
        </is>
      </c>
      <c r="B3995" s="1" t="n">
        <v>44643</v>
      </c>
      <c r="C3995" s="1" t="n">
        <v>46045</v>
      </c>
      <c r="D3995" t="inlineStr">
        <is>
          <t>JÄMTLANDS LÄN</t>
        </is>
      </c>
      <c r="E3995" t="inlineStr">
        <is>
          <t>ÖSTERSUND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39901-2025</t>
        </is>
      </c>
      <c r="B3996" s="1" t="n">
        <v>45891.63577546296</v>
      </c>
      <c r="C3996" s="1" t="n">
        <v>46045</v>
      </c>
      <c r="D3996" t="inlineStr">
        <is>
          <t>JÄMTLANDS LÄN</t>
        </is>
      </c>
      <c r="E3996" t="inlineStr">
        <is>
          <t>BRÄCKE</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52148-2024</t>
        </is>
      </c>
      <c r="B3997" s="1" t="n">
        <v>45608.52354166667</v>
      </c>
      <c r="C3997" s="1" t="n">
        <v>46045</v>
      </c>
      <c r="D3997" t="inlineStr">
        <is>
          <t>JÄMTLANDS LÄN</t>
        </is>
      </c>
      <c r="E3997" t="inlineStr">
        <is>
          <t>RAGUNDA</t>
        </is>
      </c>
      <c r="F3997" t="inlineStr">
        <is>
          <t>SCA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16801-2024</t>
        </is>
      </c>
      <c r="B3998" s="1" t="n">
        <v>45411.44549768518</v>
      </c>
      <c r="C3998" s="1" t="n">
        <v>46045</v>
      </c>
      <c r="D3998" t="inlineStr">
        <is>
          <t>JÄMTLANDS LÄN</t>
        </is>
      </c>
      <c r="E3998" t="inlineStr">
        <is>
          <t>HÄRJEDALEN</t>
        </is>
      </c>
      <c r="F3998" t="inlineStr">
        <is>
          <t>Bergvik skog väst AB</t>
        </is>
      </c>
      <c r="G3998" t="n">
        <v>15.2</v>
      </c>
      <c r="H3998" t="n">
        <v>0</v>
      </c>
      <c r="I3998" t="n">
        <v>0</v>
      </c>
      <c r="J3998" t="n">
        <v>0</v>
      </c>
      <c r="K3998" t="n">
        <v>0</v>
      </c>
      <c r="L3998" t="n">
        <v>0</v>
      </c>
      <c r="M3998" t="n">
        <v>0</v>
      </c>
      <c r="N3998" t="n">
        <v>0</v>
      </c>
      <c r="O3998" t="n">
        <v>0</v>
      </c>
      <c r="P3998" t="n">
        <v>0</v>
      </c>
      <c r="Q3998" t="n">
        <v>0</v>
      </c>
      <c r="R3998" s="2" t="inlineStr"/>
    </row>
    <row r="3999" ht="15" customHeight="1">
      <c r="A3999" t="inlineStr">
        <is>
          <t>A 39946-2025</t>
        </is>
      </c>
      <c r="B3999" s="1" t="n">
        <v>45892.34423611111</v>
      </c>
      <c r="C3999" s="1" t="n">
        <v>46045</v>
      </c>
      <c r="D3999" t="inlineStr">
        <is>
          <t>JÄMTLANDS LÄN</t>
        </is>
      </c>
      <c r="E3999" t="inlineStr">
        <is>
          <t>RAGUNDA</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39950-2025</t>
        </is>
      </c>
      <c r="B4000" s="1" t="n">
        <v>45892.38641203703</v>
      </c>
      <c r="C4000" s="1" t="n">
        <v>46045</v>
      </c>
      <c r="D4000" t="inlineStr">
        <is>
          <t>JÄMTLANDS LÄN</t>
        </is>
      </c>
      <c r="E4000" t="inlineStr">
        <is>
          <t>RAGUNDA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39955-2025</t>
        </is>
      </c>
      <c r="B4001" s="1" t="n">
        <v>45892.44824074074</v>
      </c>
      <c r="C4001" s="1" t="n">
        <v>46045</v>
      </c>
      <c r="D4001" t="inlineStr">
        <is>
          <t>JÄMTLANDS LÄN</t>
        </is>
      </c>
      <c r="E4001" t="inlineStr">
        <is>
          <t>RAGUNDA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39956-2025</t>
        </is>
      </c>
      <c r="B4002" s="1" t="n">
        <v>45892.44840277778</v>
      </c>
      <c r="C4002" s="1" t="n">
        <v>46045</v>
      </c>
      <c r="D4002" t="inlineStr">
        <is>
          <t>JÄMTLANDS LÄN</t>
        </is>
      </c>
      <c r="E4002" t="inlineStr">
        <is>
          <t>RAGUNDA</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39967-2025</t>
        </is>
      </c>
      <c r="B4003" s="1" t="n">
        <v>45892.61511574074</v>
      </c>
      <c r="C4003" s="1" t="n">
        <v>46045</v>
      </c>
      <c r="D4003" t="inlineStr">
        <is>
          <t>JÄMTLANDS LÄN</t>
        </is>
      </c>
      <c r="E4003" t="inlineStr">
        <is>
          <t>STRÖMSUND</t>
        </is>
      </c>
      <c r="F4003" t="inlineStr">
        <is>
          <t>SCA</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39727-2025</t>
        </is>
      </c>
      <c r="B4004" s="1" t="n">
        <v>45891.34480324074</v>
      </c>
      <c r="C4004" s="1" t="n">
        <v>46045</v>
      </c>
      <c r="D4004" t="inlineStr">
        <is>
          <t>JÄMTLANDS LÄN</t>
        </is>
      </c>
      <c r="E4004" t="inlineStr">
        <is>
          <t>STRÖMSUND</t>
        </is>
      </c>
      <c r="F4004" t="inlineStr">
        <is>
          <t>SCA</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57083-2023</t>
        </is>
      </c>
      <c r="B4005" s="1" t="n">
        <v>45244</v>
      </c>
      <c r="C4005" s="1" t="n">
        <v>46045</v>
      </c>
      <c r="D4005" t="inlineStr">
        <is>
          <t>JÄMTLANDS LÄN</t>
        </is>
      </c>
      <c r="E4005" t="inlineStr">
        <is>
          <t>STRÖMSUND</t>
        </is>
      </c>
      <c r="F4005" t="inlineStr">
        <is>
          <t>SCA</t>
        </is>
      </c>
      <c r="G4005" t="n">
        <v>31.1</v>
      </c>
      <c r="H4005" t="n">
        <v>0</v>
      </c>
      <c r="I4005" t="n">
        <v>0</v>
      </c>
      <c r="J4005" t="n">
        <v>0</v>
      </c>
      <c r="K4005" t="n">
        <v>0</v>
      </c>
      <c r="L4005" t="n">
        <v>0</v>
      </c>
      <c r="M4005" t="n">
        <v>0</v>
      </c>
      <c r="N4005" t="n">
        <v>0</v>
      </c>
      <c r="O4005" t="n">
        <v>0</v>
      </c>
      <c r="P4005" t="n">
        <v>0</v>
      </c>
      <c r="Q4005" t="n">
        <v>0</v>
      </c>
      <c r="R4005" s="2" t="inlineStr"/>
    </row>
    <row r="4006" ht="15" customHeight="1">
      <c r="A4006" t="inlineStr">
        <is>
          <t>A 40194-2025</t>
        </is>
      </c>
      <c r="B4006" s="1" t="n">
        <v>45894.65869212963</v>
      </c>
      <c r="C4006" s="1" t="n">
        <v>46045</v>
      </c>
      <c r="D4006" t="inlineStr">
        <is>
          <t>JÄMTLANDS LÄN</t>
        </is>
      </c>
      <c r="E4006" t="inlineStr">
        <is>
          <t>HÄRJEDALEN</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27256-2021</t>
        </is>
      </c>
      <c r="B4007" s="1" t="n">
        <v>44350</v>
      </c>
      <c r="C4007" s="1" t="n">
        <v>46045</v>
      </c>
      <c r="D4007" t="inlineStr">
        <is>
          <t>JÄMTLANDS LÄN</t>
        </is>
      </c>
      <c r="E4007" t="inlineStr">
        <is>
          <t>BRÄCKE</t>
        </is>
      </c>
      <c r="F4007" t="inlineStr">
        <is>
          <t>SCA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1364-2024</t>
        </is>
      </c>
      <c r="B4008" s="1" t="n">
        <v>45303.5187037037</v>
      </c>
      <c r="C4008" s="1" t="n">
        <v>46045</v>
      </c>
      <c r="D4008" t="inlineStr">
        <is>
          <t>JÄMTLANDS LÄN</t>
        </is>
      </c>
      <c r="E4008" t="inlineStr">
        <is>
          <t>HÄRJEDALEN</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31675-2024</t>
        </is>
      </c>
      <c r="B4009" s="1" t="n">
        <v>45506.94854166666</v>
      </c>
      <c r="C4009" s="1" t="n">
        <v>46045</v>
      </c>
      <c r="D4009" t="inlineStr">
        <is>
          <t>JÄMTLANDS LÄN</t>
        </is>
      </c>
      <c r="E4009" t="inlineStr">
        <is>
          <t>STRÖMSUND</t>
        </is>
      </c>
      <c r="F4009" t="inlineStr">
        <is>
          <t>SCA</t>
        </is>
      </c>
      <c r="G4009" t="n">
        <v>12.4</v>
      </c>
      <c r="H4009" t="n">
        <v>0</v>
      </c>
      <c r="I4009" t="n">
        <v>0</v>
      </c>
      <c r="J4009" t="n">
        <v>0</v>
      </c>
      <c r="K4009" t="n">
        <v>0</v>
      </c>
      <c r="L4009" t="n">
        <v>0</v>
      </c>
      <c r="M4009" t="n">
        <v>0</v>
      </c>
      <c r="N4009" t="n">
        <v>0</v>
      </c>
      <c r="O4009" t="n">
        <v>0</v>
      </c>
      <c r="P4009" t="n">
        <v>0</v>
      </c>
      <c r="Q4009" t="n">
        <v>0</v>
      </c>
      <c r="R4009" s="2" t="inlineStr"/>
    </row>
    <row r="4010" ht="15" customHeight="1">
      <c r="A4010" t="inlineStr">
        <is>
          <t>A 52217-2024</t>
        </is>
      </c>
      <c r="B4010" s="1" t="n">
        <v>45607</v>
      </c>
      <c r="C4010" s="1" t="n">
        <v>46045</v>
      </c>
      <c r="D4010" t="inlineStr">
        <is>
          <t>JÄMTLANDS LÄN</t>
        </is>
      </c>
      <c r="E4010" t="inlineStr">
        <is>
          <t>KROKOM</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21717-2023</t>
        </is>
      </c>
      <c r="B4011" s="1" t="n">
        <v>45063</v>
      </c>
      <c r="C4011" s="1" t="n">
        <v>46045</v>
      </c>
      <c r="D4011" t="inlineStr">
        <is>
          <t>JÄMTLANDS LÄN</t>
        </is>
      </c>
      <c r="E4011" t="inlineStr">
        <is>
          <t>BERG</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40153-2025</t>
        </is>
      </c>
      <c r="B4012" s="1" t="n">
        <v>45894.59427083333</v>
      </c>
      <c r="C4012" s="1" t="n">
        <v>46045</v>
      </c>
      <c r="D4012" t="inlineStr">
        <is>
          <t>JÄMTLANDS LÄN</t>
        </is>
      </c>
      <c r="E4012" t="inlineStr">
        <is>
          <t>STRÖMSUND</t>
        </is>
      </c>
      <c r="F4012" t="inlineStr">
        <is>
          <t>SCA</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20400-2024</t>
        </is>
      </c>
      <c r="B4013" s="1" t="n">
        <v>45435.55372685185</v>
      </c>
      <c r="C4013" s="1" t="n">
        <v>46045</v>
      </c>
      <c r="D4013" t="inlineStr">
        <is>
          <t>JÄMTLANDS LÄN</t>
        </is>
      </c>
      <c r="E4013" t="inlineStr">
        <is>
          <t>ÖSTERSUND</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40011-2025</t>
        </is>
      </c>
      <c r="B4014" s="1" t="n">
        <v>45894.34478009259</v>
      </c>
      <c r="C4014" s="1" t="n">
        <v>46045</v>
      </c>
      <c r="D4014" t="inlineStr">
        <is>
          <t>JÄMTLANDS LÄN</t>
        </is>
      </c>
      <c r="E4014" t="inlineStr">
        <is>
          <t>STRÖMSUND</t>
        </is>
      </c>
      <c r="F4014" t="inlineStr">
        <is>
          <t>SCA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40012-2025</t>
        </is>
      </c>
      <c r="B4015" s="1" t="n">
        <v>45894.34487268519</v>
      </c>
      <c r="C4015" s="1" t="n">
        <v>46045</v>
      </c>
      <c r="D4015" t="inlineStr">
        <is>
          <t>JÄMTLANDS LÄN</t>
        </is>
      </c>
      <c r="E4015" t="inlineStr">
        <is>
          <t>STRÖMSUND</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57575-2024</t>
        </is>
      </c>
      <c r="B4016" s="1" t="n">
        <v>45630.47099537037</v>
      </c>
      <c r="C4016" s="1" t="n">
        <v>46045</v>
      </c>
      <c r="D4016" t="inlineStr">
        <is>
          <t>JÄMTLANDS LÄN</t>
        </is>
      </c>
      <c r="E4016" t="inlineStr">
        <is>
          <t>KROKOM</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37638-2023</t>
        </is>
      </c>
      <c r="B4017" s="1" t="n">
        <v>45159.46996527778</v>
      </c>
      <c r="C4017" s="1" t="n">
        <v>46045</v>
      </c>
      <c r="D4017" t="inlineStr">
        <is>
          <t>JÄMTLANDS LÄN</t>
        </is>
      </c>
      <c r="E4017" t="inlineStr">
        <is>
          <t>HÄRJEDALEN</t>
        </is>
      </c>
      <c r="F4017" t="inlineStr">
        <is>
          <t>Bergvik skog väst AB</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4523-2023</t>
        </is>
      </c>
      <c r="B4018" s="1" t="n">
        <v>44952</v>
      </c>
      <c r="C4018" s="1" t="n">
        <v>46045</v>
      </c>
      <c r="D4018" t="inlineStr">
        <is>
          <t>JÄMTLANDS LÄN</t>
        </is>
      </c>
      <c r="E4018" t="inlineStr">
        <is>
          <t>STRÖMSUND</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57586-2024</t>
        </is>
      </c>
      <c r="B4019" s="1" t="n">
        <v>45630.49229166667</v>
      </c>
      <c r="C4019" s="1" t="n">
        <v>46045</v>
      </c>
      <c r="D4019" t="inlineStr">
        <is>
          <t>JÄMTLANDS LÄN</t>
        </is>
      </c>
      <c r="E4019" t="inlineStr">
        <is>
          <t>BRÄCKE</t>
        </is>
      </c>
      <c r="G4019" t="n">
        <v>0.1</v>
      </c>
      <c r="H4019" t="n">
        <v>0</v>
      </c>
      <c r="I4019" t="n">
        <v>0</v>
      </c>
      <c r="J4019" t="n">
        <v>0</v>
      </c>
      <c r="K4019" t="n">
        <v>0</v>
      </c>
      <c r="L4019" t="n">
        <v>0</v>
      </c>
      <c r="M4019" t="n">
        <v>0</v>
      </c>
      <c r="N4019" t="n">
        <v>0</v>
      </c>
      <c r="O4019" t="n">
        <v>0</v>
      </c>
      <c r="P4019" t="n">
        <v>0</v>
      </c>
      <c r="Q4019" t="n">
        <v>0</v>
      </c>
      <c r="R4019" s="2" t="inlineStr"/>
    </row>
    <row r="4020" ht="15" customHeight="1">
      <c r="A4020" t="inlineStr">
        <is>
          <t>A 13906-2025</t>
        </is>
      </c>
      <c r="B4020" s="1" t="n">
        <v>45737.6359375</v>
      </c>
      <c r="C4020" s="1" t="n">
        <v>46045</v>
      </c>
      <c r="D4020" t="inlineStr">
        <is>
          <t>JÄMTLANDS LÄN</t>
        </is>
      </c>
      <c r="E4020" t="inlineStr">
        <is>
          <t>BRÄCKE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55468-2024</t>
        </is>
      </c>
      <c r="B4021" s="1" t="n">
        <v>45622.43024305555</v>
      </c>
      <c r="C4021" s="1" t="n">
        <v>46045</v>
      </c>
      <c r="D4021" t="inlineStr">
        <is>
          <t>JÄMTLANDS LÄN</t>
        </is>
      </c>
      <c r="E4021" t="inlineStr">
        <is>
          <t>BRÄCKE</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5327-2024</t>
        </is>
      </c>
      <c r="B4022" s="1" t="n">
        <v>45331.41613425926</v>
      </c>
      <c r="C4022" s="1" t="n">
        <v>46045</v>
      </c>
      <c r="D4022" t="inlineStr">
        <is>
          <t>JÄMTLANDS LÄN</t>
        </is>
      </c>
      <c r="E4022" t="inlineStr">
        <is>
          <t>STRÖMSUND</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40418-2025</t>
        </is>
      </c>
      <c r="B4023" s="1" t="n">
        <v>45895.57792824074</v>
      </c>
      <c r="C4023" s="1" t="n">
        <v>46045</v>
      </c>
      <c r="D4023" t="inlineStr">
        <is>
          <t>JÄMTLANDS LÄN</t>
        </is>
      </c>
      <c r="E4023" t="inlineStr">
        <is>
          <t>STRÖMSUND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62708-2022</t>
        </is>
      </c>
      <c r="B4024" s="1" t="n">
        <v>44925.60457175926</v>
      </c>
      <c r="C4024" s="1" t="n">
        <v>46045</v>
      </c>
      <c r="D4024" t="inlineStr">
        <is>
          <t>JÄMTLANDS LÄN</t>
        </is>
      </c>
      <c r="E4024" t="inlineStr">
        <is>
          <t>HÄRJEDALEN</t>
        </is>
      </c>
      <c r="F4024" t="inlineStr">
        <is>
          <t>Holmen skog AB</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32907-2024</t>
        </is>
      </c>
      <c r="B4025" s="1" t="n">
        <v>45516.9477662037</v>
      </c>
      <c r="C4025" s="1" t="n">
        <v>46045</v>
      </c>
      <c r="D4025" t="inlineStr">
        <is>
          <t>JÄMTLANDS LÄN</t>
        </is>
      </c>
      <c r="E4025" t="inlineStr">
        <is>
          <t>STRÖMSUND</t>
        </is>
      </c>
      <c r="F4025" t="inlineStr">
        <is>
          <t>SCA</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14290-2025</t>
        </is>
      </c>
      <c r="B4026" s="1" t="n">
        <v>45740.67755787037</v>
      </c>
      <c r="C4026" s="1" t="n">
        <v>46045</v>
      </c>
      <c r="D4026" t="inlineStr">
        <is>
          <t>JÄMTLANDS LÄN</t>
        </is>
      </c>
      <c r="E4026" t="inlineStr">
        <is>
          <t>BRÄCKE</t>
        </is>
      </c>
      <c r="F4026" t="inlineStr">
        <is>
          <t>SCA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46858-2023</t>
        </is>
      </c>
      <c r="B4027" s="1" t="n">
        <v>45199.97042824074</v>
      </c>
      <c r="C4027" s="1" t="n">
        <v>46045</v>
      </c>
      <c r="D4027" t="inlineStr">
        <is>
          <t>JÄMTLANDS LÄN</t>
        </is>
      </c>
      <c r="E4027" t="inlineStr">
        <is>
          <t>BERG</t>
        </is>
      </c>
      <c r="F4027" t="inlineStr">
        <is>
          <t>SCA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40586-2025</t>
        </is>
      </c>
      <c r="B4028" s="1" t="n">
        <v>45896.52478009259</v>
      </c>
      <c r="C4028" s="1" t="n">
        <v>46045</v>
      </c>
      <c r="D4028" t="inlineStr">
        <is>
          <t>JÄMTLANDS LÄN</t>
        </is>
      </c>
      <c r="E4028" t="inlineStr">
        <is>
          <t>RAGUNDA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43846-2021</t>
        </is>
      </c>
      <c r="B4029" s="1" t="n">
        <v>44433.94219907407</v>
      </c>
      <c r="C4029" s="1" t="n">
        <v>46045</v>
      </c>
      <c r="D4029" t="inlineStr">
        <is>
          <t>JÄMTLANDS LÄN</t>
        </is>
      </c>
      <c r="E4029" t="inlineStr">
        <is>
          <t>STRÖMSUND</t>
        </is>
      </c>
      <c r="F4029" t="inlineStr">
        <is>
          <t>SCA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62724-2022</t>
        </is>
      </c>
      <c r="B4030" s="1" t="n">
        <v>44925.64309027778</v>
      </c>
      <c r="C4030" s="1" t="n">
        <v>46045</v>
      </c>
      <c r="D4030" t="inlineStr">
        <is>
          <t>JÄMTLANDS LÄN</t>
        </is>
      </c>
      <c r="E4030" t="inlineStr">
        <is>
          <t>HÄRJEDALEN</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48284-2021</t>
        </is>
      </c>
      <c r="B4031" s="1" t="n">
        <v>44449.75931712963</v>
      </c>
      <c r="C4031" s="1" t="n">
        <v>46045</v>
      </c>
      <c r="D4031" t="inlineStr">
        <is>
          <t>JÄMTLANDS LÄN</t>
        </is>
      </c>
      <c r="E4031" t="inlineStr">
        <is>
          <t>BRÄCKE</t>
        </is>
      </c>
      <c r="G4031" t="n">
        <v>12.9</v>
      </c>
      <c r="H4031" t="n">
        <v>0</v>
      </c>
      <c r="I4031" t="n">
        <v>0</v>
      </c>
      <c r="J4031" t="n">
        <v>0</v>
      </c>
      <c r="K4031" t="n">
        <v>0</v>
      </c>
      <c r="L4031" t="n">
        <v>0</v>
      </c>
      <c r="M4031" t="n">
        <v>0</v>
      </c>
      <c r="N4031" t="n">
        <v>0</v>
      </c>
      <c r="O4031" t="n">
        <v>0</v>
      </c>
      <c r="P4031" t="n">
        <v>0</v>
      </c>
      <c r="Q4031" t="n">
        <v>0</v>
      </c>
      <c r="R4031" s="2" t="inlineStr"/>
    </row>
    <row r="4032" ht="15" customHeight="1">
      <c r="A4032" t="inlineStr">
        <is>
          <t>A 25893-2024</t>
        </is>
      </c>
      <c r="B4032" s="1" t="n">
        <v>45467</v>
      </c>
      <c r="C4032" s="1" t="n">
        <v>46045</v>
      </c>
      <c r="D4032" t="inlineStr">
        <is>
          <t>JÄMTLANDS LÄN</t>
        </is>
      </c>
      <c r="E4032" t="inlineStr">
        <is>
          <t>HÄRJEDALEN</t>
        </is>
      </c>
      <c r="G4032" t="n">
        <v>12.8</v>
      </c>
      <c r="H4032" t="n">
        <v>0</v>
      </c>
      <c r="I4032" t="n">
        <v>0</v>
      </c>
      <c r="J4032" t="n">
        <v>0</v>
      </c>
      <c r="K4032" t="n">
        <v>0</v>
      </c>
      <c r="L4032" t="n">
        <v>0</v>
      </c>
      <c r="M4032" t="n">
        <v>0</v>
      </c>
      <c r="N4032" t="n">
        <v>0</v>
      </c>
      <c r="O4032" t="n">
        <v>0</v>
      </c>
      <c r="P4032" t="n">
        <v>0</v>
      </c>
      <c r="Q4032" t="n">
        <v>0</v>
      </c>
      <c r="R4032" s="2" t="inlineStr"/>
    </row>
    <row r="4033" ht="15" customHeight="1">
      <c r="A4033" t="inlineStr">
        <is>
          <t>A 13244-2023</t>
        </is>
      </c>
      <c r="B4033" s="1" t="n">
        <v>45002</v>
      </c>
      <c r="C4033" s="1" t="n">
        <v>46045</v>
      </c>
      <c r="D4033" t="inlineStr">
        <is>
          <t>JÄMTLANDS LÄN</t>
        </is>
      </c>
      <c r="E4033" t="inlineStr">
        <is>
          <t>BRÄCKE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1127-2025</t>
        </is>
      </c>
      <c r="B4034" s="1" t="n">
        <v>45666.67756944444</v>
      </c>
      <c r="C4034" s="1" t="n">
        <v>46045</v>
      </c>
      <c r="D4034" t="inlineStr">
        <is>
          <t>JÄMTLANDS LÄN</t>
        </is>
      </c>
      <c r="E4034" t="inlineStr">
        <is>
          <t>BRÄCKE</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461-2023</t>
        </is>
      </c>
      <c r="B4035" s="1" t="n">
        <v>44929</v>
      </c>
      <c r="C4035" s="1" t="n">
        <v>46045</v>
      </c>
      <c r="D4035" t="inlineStr">
        <is>
          <t>JÄMTLANDS LÄN</t>
        </is>
      </c>
      <c r="E4035" t="inlineStr">
        <is>
          <t>BERG</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462-2023</t>
        </is>
      </c>
      <c r="B4036" s="1" t="n">
        <v>44929</v>
      </c>
      <c r="C4036" s="1" t="n">
        <v>46045</v>
      </c>
      <c r="D4036" t="inlineStr">
        <is>
          <t>JÄMTLANDS LÄN</t>
        </is>
      </c>
      <c r="E4036" t="inlineStr">
        <is>
          <t>RAGUNDA</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52258-2022</t>
        </is>
      </c>
      <c r="B4037" s="1" t="n">
        <v>44873</v>
      </c>
      <c r="C4037" s="1" t="n">
        <v>46045</v>
      </c>
      <c r="D4037" t="inlineStr">
        <is>
          <t>JÄMTLANDS LÄN</t>
        </is>
      </c>
      <c r="E4037" t="inlineStr">
        <is>
          <t>KROKOM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59360-2023</t>
        </is>
      </c>
      <c r="B4038" s="1" t="n">
        <v>45253.685625</v>
      </c>
      <c r="C4038" s="1" t="n">
        <v>46045</v>
      </c>
      <c r="D4038" t="inlineStr">
        <is>
          <t>JÄMTLANDS LÄN</t>
        </is>
      </c>
      <c r="E4038" t="inlineStr">
        <is>
          <t>STRÖMSUND</t>
        </is>
      </c>
      <c r="F4038" t="inlineStr">
        <is>
          <t>Holmen skog AB</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40360-2025</t>
        </is>
      </c>
      <c r="B4039" s="1" t="n">
        <v>45895.49024305555</v>
      </c>
      <c r="C4039" s="1" t="n">
        <v>46045</v>
      </c>
      <c r="D4039" t="inlineStr">
        <is>
          <t>JÄMTLANDS LÄN</t>
        </is>
      </c>
      <c r="E4039" t="inlineStr">
        <is>
          <t>ÖSTERSUND</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51865-2024</t>
        </is>
      </c>
      <c r="B4040" s="1" t="n">
        <v>45607.55260416667</v>
      </c>
      <c r="C4040" s="1" t="n">
        <v>46045</v>
      </c>
      <c r="D4040" t="inlineStr">
        <is>
          <t>JÄMTLANDS LÄN</t>
        </is>
      </c>
      <c r="E4040" t="inlineStr">
        <is>
          <t>ÖSTERSUND</t>
        </is>
      </c>
      <c r="F4040" t="inlineStr">
        <is>
          <t>SCA</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56691-2023</t>
        </is>
      </c>
      <c r="B4041" s="1" t="n">
        <v>45243.96672453704</v>
      </c>
      <c r="C4041" s="1" t="n">
        <v>46045</v>
      </c>
      <c r="D4041" t="inlineStr">
        <is>
          <t>JÄMTLANDS LÄN</t>
        </is>
      </c>
      <c r="E4041" t="inlineStr">
        <is>
          <t>STRÖMSUND</t>
        </is>
      </c>
      <c r="F4041" t="inlineStr">
        <is>
          <t>SCA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56702-2023</t>
        </is>
      </c>
      <c r="B4042" s="1" t="n">
        <v>45243</v>
      </c>
      <c r="C4042" s="1" t="n">
        <v>46045</v>
      </c>
      <c r="D4042" t="inlineStr">
        <is>
          <t>JÄMTLANDS LÄN</t>
        </is>
      </c>
      <c r="E4042" t="inlineStr">
        <is>
          <t>RAGUNDA</t>
        </is>
      </c>
      <c r="F4042" t="inlineStr">
        <is>
          <t>SCA</t>
        </is>
      </c>
      <c r="G4042" t="n">
        <v>10.3</v>
      </c>
      <c r="H4042" t="n">
        <v>0</v>
      </c>
      <c r="I4042" t="n">
        <v>0</v>
      </c>
      <c r="J4042" t="n">
        <v>0</v>
      </c>
      <c r="K4042" t="n">
        <v>0</v>
      </c>
      <c r="L4042" t="n">
        <v>0</v>
      </c>
      <c r="M4042" t="n">
        <v>0</v>
      </c>
      <c r="N4042" t="n">
        <v>0</v>
      </c>
      <c r="O4042" t="n">
        <v>0</v>
      </c>
      <c r="P4042" t="n">
        <v>0</v>
      </c>
      <c r="Q4042" t="n">
        <v>0</v>
      </c>
      <c r="R4042" s="2" t="inlineStr"/>
    </row>
    <row r="4043" ht="15" customHeight="1">
      <c r="A4043" t="inlineStr">
        <is>
          <t>A 56736-2023</t>
        </is>
      </c>
      <c r="B4043" s="1" t="n">
        <v>45244</v>
      </c>
      <c r="C4043" s="1" t="n">
        <v>46045</v>
      </c>
      <c r="D4043" t="inlineStr">
        <is>
          <t>JÄMTLANDS LÄN</t>
        </is>
      </c>
      <c r="E4043" t="inlineStr">
        <is>
          <t>ÅRE</t>
        </is>
      </c>
      <c r="F4043" t="inlineStr">
        <is>
          <t>Övriga Aktiebolag</t>
        </is>
      </c>
      <c r="G4043" t="n">
        <v>10.7</v>
      </c>
      <c r="H4043" t="n">
        <v>0</v>
      </c>
      <c r="I4043" t="n">
        <v>0</v>
      </c>
      <c r="J4043" t="n">
        <v>0</v>
      </c>
      <c r="K4043" t="n">
        <v>0</v>
      </c>
      <c r="L4043" t="n">
        <v>0</v>
      </c>
      <c r="M4043" t="n">
        <v>0</v>
      </c>
      <c r="N4043" t="n">
        <v>0</v>
      </c>
      <c r="O4043" t="n">
        <v>0</v>
      </c>
      <c r="P4043" t="n">
        <v>0</v>
      </c>
      <c r="Q4043" t="n">
        <v>0</v>
      </c>
      <c r="R4043" s="2" t="inlineStr"/>
    </row>
    <row r="4044" ht="15" customHeight="1">
      <c r="A4044" t="inlineStr">
        <is>
          <t>A 40630-2025</t>
        </is>
      </c>
      <c r="B4044" s="1" t="n">
        <v>45896</v>
      </c>
      <c r="C4044" s="1" t="n">
        <v>46045</v>
      </c>
      <c r="D4044" t="inlineStr">
        <is>
          <t>JÄMTLANDS LÄN</t>
        </is>
      </c>
      <c r="E4044" t="inlineStr">
        <is>
          <t>BERG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33216-2021</t>
        </is>
      </c>
      <c r="B4045" s="1" t="n">
        <v>44376</v>
      </c>
      <c r="C4045" s="1" t="n">
        <v>46045</v>
      </c>
      <c r="D4045" t="inlineStr">
        <is>
          <t>JÄMTLANDS LÄN</t>
        </is>
      </c>
      <c r="E4045" t="inlineStr">
        <is>
          <t>STRÖMSUND</t>
        </is>
      </c>
      <c r="F4045" t="inlineStr">
        <is>
          <t>SCA</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63708-2023</t>
        </is>
      </c>
      <c r="B4046" s="1" t="n">
        <v>45275.95060185185</v>
      </c>
      <c r="C4046" s="1" t="n">
        <v>46045</v>
      </c>
      <c r="D4046" t="inlineStr">
        <is>
          <t>JÄMTLANDS LÄN</t>
        </is>
      </c>
      <c r="E4046" t="inlineStr">
        <is>
          <t>RAGUNDA</t>
        </is>
      </c>
      <c r="F4046" t="inlineStr">
        <is>
          <t>SCA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58364-2024</t>
        </is>
      </c>
      <c r="B4047" s="1" t="n">
        <v>45632.68814814815</v>
      </c>
      <c r="C4047" s="1" t="n">
        <v>46045</v>
      </c>
      <c r="D4047" t="inlineStr">
        <is>
          <t>JÄMTLANDS LÄN</t>
        </is>
      </c>
      <c r="E4047" t="inlineStr">
        <is>
          <t>ÖSTERSUND</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63716-2023</t>
        </is>
      </c>
      <c r="B4048" s="1" t="n">
        <v>45275</v>
      </c>
      <c r="C4048" s="1" t="n">
        <v>46045</v>
      </c>
      <c r="D4048" t="inlineStr">
        <is>
          <t>JÄMTLANDS LÄN</t>
        </is>
      </c>
      <c r="E4048" t="inlineStr">
        <is>
          <t>BRÄCKE</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15554-2025</t>
        </is>
      </c>
      <c r="B4049" s="1" t="n">
        <v>45747.67739583334</v>
      </c>
      <c r="C4049" s="1" t="n">
        <v>46045</v>
      </c>
      <c r="D4049" t="inlineStr">
        <is>
          <t>JÄMTLANDS LÄN</t>
        </is>
      </c>
      <c r="E4049" t="inlineStr">
        <is>
          <t>RAGUNDA</t>
        </is>
      </c>
      <c r="F4049" t="inlineStr">
        <is>
          <t>SCA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40453-2025</t>
        </is>
      </c>
      <c r="B4050" s="1" t="n">
        <v>45895.63631944444</v>
      </c>
      <c r="C4050" s="1" t="n">
        <v>46045</v>
      </c>
      <c r="D4050" t="inlineStr">
        <is>
          <t>JÄMTLANDS LÄN</t>
        </is>
      </c>
      <c r="E4050" t="inlineStr">
        <is>
          <t>STRÖMSUND</t>
        </is>
      </c>
      <c r="F4050" t="inlineStr">
        <is>
          <t>SCA</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58393-2024</t>
        </is>
      </c>
      <c r="B4051" s="1" t="n">
        <v>45633.78479166667</v>
      </c>
      <c r="C4051" s="1" t="n">
        <v>46045</v>
      </c>
      <c r="D4051" t="inlineStr">
        <is>
          <t>JÄMTLANDS LÄN</t>
        </is>
      </c>
      <c r="E4051" t="inlineStr">
        <is>
          <t>STRÖMSUND</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63756-2023</t>
        </is>
      </c>
      <c r="B4052" s="1" t="n">
        <v>45278.30370370371</v>
      </c>
      <c r="C4052" s="1" t="n">
        <v>46045</v>
      </c>
      <c r="D4052" t="inlineStr">
        <is>
          <t>JÄMTLANDS LÄN</t>
        </is>
      </c>
      <c r="E4052" t="inlineStr">
        <is>
          <t>STRÖMSUND</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2257-2024</t>
        </is>
      </c>
      <c r="B4053" s="1" t="n">
        <v>45310</v>
      </c>
      <c r="C4053" s="1" t="n">
        <v>46045</v>
      </c>
      <c r="D4053" t="inlineStr">
        <is>
          <t>JÄMTLANDS LÄN</t>
        </is>
      </c>
      <c r="E4053" t="inlineStr">
        <is>
          <t>KROKOM</t>
        </is>
      </c>
      <c r="G4053" t="n">
        <v>14.5</v>
      </c>
      <c r="H4053" t="n">
        <v>0</v>
      </c>
      <c r="I4053" t="n">
        <v>0</v>
      </c>
      <c r="J4053" t="n">
        <v>0</v>
      </c>
      <c r="K4053" t="n">
        <v>0</v>
      </c>
      <c r="L4053" t="n">
        <v>0</v>
      </c>
      <c r="M4053" t="n">
        <v>0</v>
      </c>
      <c r="N4053" t="n">
        <v>0</v>
      </c>
      <c r="O4053" t="n">
        <v>0</v>
      </c>
      <c r="P4053" t="n">
        <v>0</v>
      </c>
      <c r="Q4053" t="n">
        <v>0</v>
      </c>
      <c r="R4053" s="2" t="inlineStr"/>
    </row>
    <row r="4054" ht="15" customHeight="1">
      <c r="A4054" t="inlineStr">
        <is>
          <t>A 35252-2021</t>
        </is>
      </c>
      <c r="B4054" s="1" t="n">
        <v>44384.59356481482</v>
      </c>
      <c r="C4054" s="1" t="n">
        <v>46045</v>
      </c>
      <c r="D4054" t="inlineStr">
        <is>
          <t>JÄMTLANDS LÄN</t>
        </is>
      </c>
      <c r="E4054" t="inlineStr">
        <is>
          <t>BRÄCKE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61978-2023</t>
        </is>
      </c>
      <c r="B4055" s="1" t="n">
        <v>45266.59711805556</v>
      </c>
      <c r="C4055" s="1" t="n">
        <v>46045</v>
      </c>
      <c r="D4055" t="inlineStr">
        <is>
          <t>JÄMTLANDS LÄN</t>
        </is>
      </c>
      <c r="E4055" t="inlineStr">
        <is>
          <t>ÅRE</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26651-2024</t>
        </is>
      </c>
      <c r="B4056" s="1" t="n">
        <v>45469.94876157407</v>
      </c>
      <c r="C4056" s="1" t="n">
        <v>46045</v>
      </c>
      <c r="D4056" t="inlineStr">
        <is>
          <t>JÄMTLANDS LÄN</t>
        </is>
      </c>
      <c r="E4056" t="inlineStr">
        <is>
          <t>RAGUNDA</t>
        </is>
      </c>
      <c r="F4056" t="inlineStr">
        <is>
          <t>SCA</t>
        </is>
      </c>
      <c r="G4056" t="n">
        <v>10.4</v>
      </c>
      <c r="H4056" t="n">
        <v>0</v>
      </c>
      <c r="I4056" t="n">
        <v>0</v>
      </c>
      <c r="J4056" t="n">
        <v>0</v>
      </c>
      <c r="K4056" t="n">
        <v>0</v>
      </c>
      <c r="L4056" t="n">
        <v>0</v>
      </c>
      <c r="M4056" t="n">
        <v>0</v>
      </c>
      <c r="N4056" t="n">
        <v>0</v>
      </c>
      <c r="O4056" t="n">
        <v>0</v>
      </c>
      <c r="P4056" t="n">
        <v>0</v>
      </c>
      <c r="Q4056" t="n">
        <v>0</v>
      </c>
      <c r="R4056" s="2" t="inlineStr"/>
    </row>
    <row r="4057" ht="15" customHeight="1">
      <c r="A4057" t="inlineStr">
        <is>
          <t>A 33117-2023</t>
        </is>
      </c>
      <c r="B4057" s="1" t="n">
        <v>45126</v>
      </c>
      <c r="C4057" s="1" t="n">
        <v>46045</v>
      </c>
      <c r="D4057" t="inlineStr">
        <is>
          <t>JÄMTLANDS LÄN</t>
        </is>
      </c>
      <c r="E4057" t="inlineStr">
        <is>
          <t>ÅRE</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40325-2025</t>
        </is>
      </c>
      <c r="B4058" s="1" t="n">
        <v>45895.4484837963</v>
      </c>
      <c r="C4058" s="1" t="n">
        <v>46045</v>
      </c>
      <c r="D4058" t="inlineStr">
        <is>
          <t>JÄMTLANDS LÄN</t>
        </is>
      </c>
      <c r="E4058" t="inlineStr">
        <is>
          <t>ÖSTERSUND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53541-2024</t>
        </is>
      </c>
      <c r="B4059" s="1" t="n">
        <v>45614.63606481482</v>
      </c>
      <c r="C4059" s="1" t="n">
        <v>46045</v>
      </c>
      <c r="D4059" t="inlineStr">
        <is>
          <t>JÄMTLANDS LÄN</t>
        </is>
      </c>
      <c r="E4059" t="inlineStr">
        <is>
          <t>KROKOM</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53544-2024</t>
        </is>
      </c>
      <c r="B4060" s="1" t="n">
        <v>45614.63701388889</v>
      </c>
      <c r="C4060" s="1" t="n">
        <v>46045</v>
      </c>
      <c r="D4060" t="inlineStr">
        <is>
          <t>JÄMTLANDS LÄN</t>
        </is>
      </c>
      <c r="E4060" t="inlineStr">
        <is>
          <t>KROKOM</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29524-2024</t>
        </is>
      </c>
      <c r="B4061" s="1" t="n">
        <v>45484</v>
      </c>
      <c r="C4061" s="1" t="n">
        <v>46045</v>
      </c>
      <c r="D4061" t="inlineStr">
        <is>
          <t>JÄMTLANDS LÄN</t>
        </is>
      </c>
      <c r="E4061" t="inlineStr">
        <is>
          <t>KROKOM</t>
        </is>
      </c>
      <c r="F4061" t="inlineStr">
        <is>
          <t>Övriga Aktiebolag</t>
        </is>
      </c>
      <c r="G4061" t="n">
        <v>10.6</v>
      </c>
      <c r="H4061" t="n">
        <v>0</v>
      </c>
      <c r="I4061" t="n">
        <v>0</v>
      </c>
      <c r="J4061" t="n">
        <v>0</v>
      </c>
      <c r="K4061" t="n">
        <v>0</v>
      </c>
      <c r="L4061" t="n">
        <v>0</v>
      </c>
      <c r="M4061" t="n">
        <v>0</v>
      </c>
      <c r="N4061" t="n">
        <v>0</v>
      </c>
      <c r="O4061" t="n">
        <v>0</v>
      </c>
      <c r="P4061" t="n">
        <v>0</v>
      </c>
      <c r="Q4061" t="n">
        <v>0</v>
      </c>
      <c r="R4061" s="2" t="inlineStr"/>
    </row>
    <row r="4062" ht="15" customHeight="1">
      <c r="A4062" t="inlineStr">
        <is>
          <t>A 34315-2022</t>
        </is>
      </c>
      <c r="B4062" s="1" t="n">
        <v>44792</v>
      </c>
      <c r="C4062" s="1" t="n">
        <v>46045</v>
      </c>
      <c r="D4062" t="inlineStr">
        <is>
          <t>JÄMTLANDS LÄN</t>
        </is>
      </c>
      <c r="E4062" t="inlineStr">
        <is>
          <t>BRÄCKE</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40389-2025</t>
        </is>
      </c>
      <c r="B4063" s="1" t="n">
        <v>45895.55298611111</v>
      </c>
      <c r="C4063" s="1" t="n">
        <v>46045</v>
      </c>
      <c r="D4063" t="inlineStr">
        <is>
          <t>JÄMTLANDS LÄN</t>
        </is>
      </c>
      <c r="E4063" t="inlineStr">
        <is>
          <t>STRÖMSUND</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40410-2025</t>
        </is>
      </c>
      <c r="B4064" s="1" t="n">
        <v>45895.57349537037</v>
      </c>
      <c r="C4064" s="1" t="n">
        <v>46045</v>
      </c>
      <c r="D4064" t="inlineStr">
        <is>
          <t>JÄMTLANDS LÄN</t>
        </is>
      </c>
      <c r="E4064" t="inlineStr">
        <is>
          <t>BERG</t>
        </is>
      </c>
      <c r="F4064" t="inlineStr">
        <is>
          <t>SCA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40411-2025</t>
        </is>
      </c>
      <c r="B4065" s="1" t="n">
        <v>45895.57373842593</v>
      </c>
      <c r="C4065" s="1" t="n">
        <v>46045</v>
      </c>
      <c r="D4065" t="inlineStr">
        <is>
          <t>JÄMTLANDS LÄN</t>
        </is>
      </c>
      <c r="E4065" t="inlineStr">
        <is>
          <t>BRÄCKE</t>
        </is>
      </c>
      <c r="G4065" t="n">
        <v>8.199999999999999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40427-2025</t>
        </is>
      </c>
      <c r="B4066" s="1" t="n">
        <v>45895.59434027778</v>
      </c>
      <c r="C4066" s="1" t="n">
        <v>46045</v>
      </c>
      <c r="D4066" t="inlineStr">
        <is>
          <t>JÄMTLANDS LÄN</t>
        </is>
      </c>
      <c r="E4066" t="inlineStr">
        <is>
          <t>STRÖMSUND</t>
        </is>
      </c>
      <c r="F4066" t="inlineStr">
        <is>
          <t>SCA</t>
        </is>
      </c>
      <c r="G4066" t="n">
        <v>17.1</v>
      </c>
      <c r="H4066" t="n">
        <v>0</v>
      </c>
      <c r="I4066" t="n">
        <v>0</v>
      </c>
      <c r="J4066" t="n">
        <v>0</v>
      </c>
      <c r="K4066" t="n">
        <v>0</v>
      </c>
      <c r="L4066" t="n">
        <v>0</v>
      </c>
      <c r="M4066" t="n">
        <v>0</v>
      </c>
      <c r="N4066" t="n">
        <v>0</v>
      </c>
      <c r="O4066" t="n">
        <v>0</v>
      </c>
      <c r="P4066" t="n">
        <v>0</v>
      </c>
      <c r="Q4066" t="n">
        <v>0</v>
      </c>
      <c r="R4066" s="2" t="inlineStr"/>
    </row>
    <row r="4067" ht="15" customHeight="1">
      <c r="A4067" t="inlineStr">
        <is>
          <t>A 29540-2024</t>
        </is>
      </c>
      <c r="B4067" s="1" t="n">
        <v>45484</v>
      </c>
      <c r="C4067" s="1" t="n">
        <v>46045</v>
      </c>
      <c r="D4067" t="inlineStr">
        <is>
          <t>JÄMTLANDS LÄN</t>
        </is>
      </c>
      <c r="E4067" t="inlineStr">
        <is>
          <t>BERG</t>
        </is>
      </c>
      <c r="F4067" t="inlineStr">
        <is>
          <t>Sveaskog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40607-2025</t>
        </is>
      </c>
      <c r="B4068" s="1" t="n">
        <v>45896</v>
      </c>
      <c r="C4068" s="1" t="n">
        <v>46045</v>
      </c>
      <c r="D4068" t="inlineStr">
        <is>
          <t>JÄMTLANDS LÄN</t>
        </is>
      </c>
      <c r="E4068" t="inlineStr">
        <is>
          <t>BRÄCKE</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61014-2024</t>
        </is>
      </c>
      <c r="B4069" s="1" t="n">
        <v>45645.449375</v>
      </c>
      <c r="C4069" s="1" t="n">
        <v>46045</v>
      </c>
      <c r="D4069" t="inlineStr">
        <is>
          <t>JÄMTLANDS LÄN</t>
        </is>
      </c>
      <c r="E4069" t="inlineStr">
        <is>
          <t>ÅRE</t>
        </is>
      </c>
      <c r="F4069" t="inlineStr">
        <is>
          <t>Övriga Aktiebolag</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40334-2025</t>
        </is>
      </c>
      <c r="B4070" s="1" t="n">
        <v>45895</v>
      </c>
      <c r="C4070" s="1" t="n">
        <v>46045</v>
      </c>
      <c r="D4070" t="inlineStr">
        <is>
          <t>JÄMTLANDS LÄN</t>
        </is>
      </c>
      <c r="E4070" t="inlineStr">
        <is>
          <t>BRÄCKE</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29602-2024</t>
        </is>
      </c>
      <c r="B4071" s="1" t="n">
        <v>45484</v>
      </c>
      <c r="C4071" s="1" t="n">
        <v>46045</v>
      </c>
      <c r="D4071" t="inlineStr">
        <is>
          <t>JÄMTLANDS LÄN</t>
        </is>
      </c>
      <c r="E4071" t="inlineStr">
        <is>
          <t>HÄRJEDALEN</t>
        </is>
      </c>
      <c r="F4071" t="inlineStr">
        <is>
          <t>Holmen skog AB</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57942-2023</t>
        </is>
      </c>
      <c r="B4072" s="1" t="n">
        <v>45244</v>
      </c>
      <c r="C4072" s="1" t="n">
        <v>46045</v>
      </c>
      <c r="D4072" t="inlineStr">
        <is>
          <t>JÄMTLANDS LÄN</t>
        </is>
      </c>
      <c r="E4072" t="inlineStr">
        <is>
          <t>BRÄCKE</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57170-2024</t>
        </is>
      </c>
      <c r="B4073" s="1" t="n">
        <v>45629.42759259259</v>
      </c>
      <c r="C4073" s="1" t="n">
        <v>46045</v>
      </c>
      <c r="D4073" t="inlineStr">
        <is>
          <t>JÄMTLANDS LÄN</t>
        </is>
      </c>
      <c r="E4073" t="inlineStr">
        <is>
          <t>RAGUNDA</t>
        </is>
      </c>
      <c r="F4073" t="inlineStr">
        <is>
          <t>SCA</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20485-2024</t>
        </is>
      </c>
      <c r="B4074" s="1" t="n">
        <v>45435.7403125</v>
      </c>
      <c r="C4074" s="1" t="n">
        <v>46045</v>
      </c>
      <c r="D4074" t="inlineStr">
        <is>
          <t>JÄMTLANDS LÄN</t>
        </is>
      </c>
      <c r="E4074" t="inlineStr">
        <is>
          <t>ÅRE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1801-2024</t>
        </is>
      </c>
      <c r="B4075" s="1" t="n">
        <v>45307</v>
      </c>
      <c r="C4075" s="1" t="n">
        <v>46045</v>
      </c>
      <c r="D4075" t="inlineStr">
        <is>
          <t>JÄMTLANDS LÄN</t>
        </is>
      </c>
      <c r="E4075" t="inlineStr">
        <is>
          <t>STRÖMSUND</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28098-2024</t>
        </is>
      </c>
      <c r="B4076" s="1" t="n">
        <v>45476.61347222222</v>
      </c>
      <c r="C4076" s="1" t="n">
        <v>46045</v>
      </c>
      <c r="D4076" t="inlineStr">
        <is>
          <t>JÄMTLANDS LÄN</t>
        </is>
      </c>
      <c r="E4076" t="inlineStr">
        <is>
          <t>BERG</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40266-2025</t>
        </is>
      </c>
      <c r="B4077" s="1" t="n">
        <v>45895.34478009259</v>
      </c>
      <c r="C4077" s="1" t="n">
        <v>46045</v>
      </c>
      <c r="D4077" t="inlineStr">
        <is>
          <t>JÄMTLANDS LÄN</t>
        </is>
      </c>
      <c r="E4077" t="inlineStr">
        <is>
          <t>BERG</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28179-2024</t>
        </is>
      </c>
      <c r="B4078" s="1" t="n">
        <v>45477.26746527778</v>
      </c>
      <c r="C4078" s="1" t="n">
        <v>46045</v>
      </c>
      <c r="D4078" t="inlineStr">
        <is>
          <t>JÄMTLANDS LÄN</t>
        </is>
      </c>
      <c r="E4078" t="inlineStr">
        <is>
          <t>ÖSTERSUND</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50335-2022</t>
        </is>
      </c>
      <c r="B4079" s="1" t="n">
        <v>44865.9521875</v>
      </c>
      <c r="C4079" s="1" t="n">
        <v>46045</v>
      </c>
      <c r="D4079" t="inlineStr">
        <is>
          <t>JÄMTLANDS LÄN</t>
        </is>
      </c>
      <c r="E4079" t="inlineStr">
        <is>
          <t>STRÖMSUND</t>
        </is>
      </c>
      <c r="F4079" t="inlineStr">
        <is>
          <t>SCA</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28210-2024</t>
        </is>
      </c>
      <c r="B4080" s="1" t="n">
        <v>45477.35225694445</v>
      </c>
      <c r="C4080" s="1" t="n">
        <v>46045</v>
      </c>
      <c r="D4080" t="inlineStr">
        <is>
          <t>JÄMTLANDS LÄN</t>
        </is>
      </c>
      <c r="E4080" t="inlineStr">
        <is>
          <t>KROKOM</t>
        </is>
      </c>
      <c r="F4080" t="inlineStr">
        <is>
          <t>Övriga Aktiebolag</t>
        </is>
      </c>
      <c r="G4080" t="n">
        <v>0.1</v>
      </c>
      <c r="H4080" t="n">
        <v>0</v>
      </c>
      <c r="I4080" t="n">
        <v>0</v>
      </c>
      <c r="J4080" t="n">
        <v>0</v>
      </c>
      <c r="K4080" t="n">
        <v>0</v>
      </c>
      <c r="L4080" t="n">
        <v>0</v>
      </c>
      <c r="M4080" t="n">
        <v>0</v>
      </c>
      <c r="N4080" t="n">
        <v>0</v>
      </c>
      <c r="O4080" t="n">
        <v>0</v>
      </c>
      <c r="P4080" t="n">
        <v>0</v>
      </c>
      <c r="Q4080" t="n">
        <v>0</v>
      </c>
      <c r="R4080" s="2" t="inlineStr"/>
    </row>
    <row r="4081" ht="15" customHeight="1">
      <c r="A4081" t="inlineStr">
        <is>
          <t>A 22459-2024</t>
        </is>
      </c>
      <c r="B4081" s="1" t="n">
        <v>45446.94972222222</v>
      </c>
      <c r="C4081" s="1" t="n">
        <v>46045</v>
      </c>
      <c r="D4081" t="inlineStr">
        <is>
          <t>JÄMTLANDS LÄN</t>
        </is>
      </c>
      <c r="E4081" t="inlineStr">
        <is>
          <t>BRÄCKE</t>
        </is>
      </c>
      <c r="F4081" t="inlineStr">
        <is>
          <t>SCA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58493-2024</t>
        </is>
      </c>
      <c r="B4082" s="1" t="n">
        <v>45635.40935185185</v>
      </c>
      <c r="C4082" s="1" t="n">
        <v>46045</v>
      </c>
      <c r="D4082" t="inlineStr">
        <is>
          <t>JÄMTLANDS LÄN</t>
        </is>
      </c>
      <c r="E4082" t="inlineStr">
        <is>
          <t>STRÖMSUND</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58507-2024</t>
        </is>
      </c>
      <c r="B4083" s="1" t="n">
        <v>45635.42027777778</v>
      </c>
      <c r="C4083" s="1" t="n">
        <v>46045</v>
      </c>
      <c r="D4083" t="inlineStr">
        <is>
          <t>JÄMTLANDS LÄN</t>
        </is>
      </c>
      <c r="E4083" t="inlineStr">
        <is>
          <t>HÄRJEDALEN</t>
        </is>
      </c>
      <c r="F4083" t="inlineStr">
        <is>
          <t>Holmen skog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40426-2025</t>
        </is>
      </c>
      <c r="B4084" s="1" t="n">
        <v>45895</v>
      </c>
      <c r="C4084" s="1" t="n">
        <v>46045</v>
      </c>
      <c r="D4084" t="inlineStr">
        <is>
          <t>JÄMTLANDS LÄN</t>
        </is>
      </c>
      <c r="E4084" t="inlineStr">
        <is>
          <t>STRÖMSUND</t>
        </is>
      </c>
      <c r="G4084" t="n">
        <v>28.4</v>
      </c>
      <c r="H4084" t="n">
        <v>0</v>
      </c>
      <c r="I4084" t="n">
        <v>0</v>
      </c>
      <c r="J4084" t="n">
        <v>0</v>
      </c>
      <c r="K4084" t="n">
        <v>0</v>
      </c>
      <c r="L4084" t="n">
        <v>0</v>
      </c>
      <c r="M4084" t="n">
        <v>0</v>
      </c>
      <c r="N4084" t="n">
        <v>0</v>
      </c>
      <c r="O4084" t="n">
        <v>0</v>
      </c>
      <c r="P4084" t="n">
        <v>0</v>
      </c>
      <c r="Q4084" t="n">
        <v>0</v>
      </c>
      <c r="R4084" s="2" t="inlineStr"/>
    </row>
    <row r="4085" ht="15" customHeight="1">
      <c r="A4085" t="inlineStr">
        <is>
          <t>A 36914-2024</t>
        </is>
      </c>
      <c r="B4085" s="1" t="n">
        <v>45538.63628472222</v>
      </c>
      <c r="C4085" s="1" t="n">
        <v>46045</v>
      </c>
      <c r="D4085" t="inlineStr">
        <is>
          <t>JÄMTLANDS LÄN</t>
        </is>
      </c>
      <c r="E4085" t="inlineStr">
        <is>
          <t>STRÖMSUND</t>
        </is>
      </c>
      <c r="F4085" t="inlineStr">
        <is>
          <t>SCA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44324-2023</t>
        </is>
      </c>
      <c r="B4086" s="1" t="n">
        <v>45188</v>
      </c>
      <c r="C4086" s="1" t="n">
        <v>46045</v>
      </c>
      <c r="D4086" t="inlineStr">
        <is>
          <t>JÄMTLANDS LÄN</t>
        </is>
      </c>
      <c r="E4086" t="inlineStr">
        <is>
          <t>BRÄCKE</t>
        </is>
      </c>
      <c r="F4086" t="inlineStr">
        <is>
          <t>Sveaskog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22481-2024</t>
        </is>
      </c>
      <c r="B4087" s="1" t="n">
        <v>45446.95224537037</v>
      </c>
      <c r="C4087" s="1" t="n">
        <v>46045</v>
      </c>
      <c r="D4087" t="inlineStr">
        <is>
          <t>JÄMTLANDS LÄN</t>
        </is>
      </c>
      <c r="E4087" t="inlineStr">
        <is>
          <t>STRÖMSUND</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40452-2025</t>
        </is>
      </c>
      <c r="B4088" s="1" t="n">
        <v>45895.63626157407</v>
      </c>
      <c r="C4088" s="1" t="n">
        <v>46045</v>
      </c>
      <c r="D4088" t="inlineStr">
        <is>
          <t>JÄMTLANDS LÄN</t>
        </is>
      </c>
      <c r="E4088" t="inlineStr">
        <is>
          <t>STRÖMSUND</t>
        </is>
      </c>
      <c r="F4088" t="inlineStr">
        <is>
          <t>SCA</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15451-2021</t>
        </is>
      </c>
      <c r="B4089" s="1" t="n">
        <v>44285</v>
      </c>
      <c r="C4089" s="1" t="n">
        <v>46045</v>
      </c>
      <c r="D4089" t="inlineStr">
        <is>
          <t>JÄMTLANDS LÄN</t>
        </is>
      </c>
      <c r="E4089" t="inlineStr">
        <is>
          <t>KROKOM</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59568-2024</t>
        </is>
      </c>
      <c r="B4090" s="1" t="n">
        <v>45638.63901620371</v>
      </c>
      <c r="C4090" s="1" t="n">
        <v>46045</v>
      </c>
      <c r="D4090" t="inlineStr">
        <is>
          <t>JÄMTLANDS LÄN</t>
        </is>
      </c>
      <c r="E4090" t="inlineStr">
        <is>
          <t>STRÖMSUND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14518-2023</t>
        </is>
      </c>
      <c r="B4091" s="1" t="n">
        <v>45012</v>
      </c>
      <c r="C4091" s="1" t="n">
        <v>46045</v>
      </c>
      <c r="D4091" t="inlineStr">
        <is>
          <t>JÄMTLANDS LÄN</t>
        </is>
      </c>
      <c r="E4091" t="inlineStr">
        <is>
          <t>ÖSTERSUND</t>
        </is>
      </c>
      <c r="G4091" t="n">
        <v>14.4</v>
      </c>
      <c r="H4091" t="n">
        <v>0</v>
      </c>
      <c r="I4091" t="n">
        <v>0</v>
      </c>
      <c r="J4091" t="n">
        <v>0</v>
      </c>
      <c r="K4091" t="n">
        <v>0</v>
      </c>
      <c r="L4091" t="n">
        <v>0</v>
      </c>
      <c r="M4091" t="n">
        <v>0</v>
      </c>
      <c r="N4091" t="n">
        <v>0</v>
      </c>
      <c r="O4091" t="n">
        <v>0</v>
      </c>
      <c r="P4091" t="n">
        <v>0</v>
      </c>
      <c r="Q4091" t="n">
        <v>0</v>
      </c>
      <c r="R4091" s="2" t="inlineStr"/>
    </row>
    <row r="4092" ht="15" customHeight="1">
      <c r="A4092" t="inlineStr">
        <is>
          <t>A 11997-2025</t>
        </is>
      </c>
      <c r="B4092" s="1" t="n">
        <v>45728.61006944445</v>
      </c>
      <c r="C4092" s="1" t="n">
        <v>46045</v>
      </c>
      <c r="D4092" t="inlineStr">
        <is>
          <t>JÄMTLANDS LÄN</t>
        </is>
      </c>
      <c r="E4092" t="inlineStr">
        <is>
          <t>HÄRJEDALEN</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1546-2025</t>
        </is>
      </c>
      <c r="B4093" s="1" t="n">
        <v>45670</v>
      </c>
      <c r="C4093" s="1" t="n">
        <v>46045</v>
      </c>
      <c r="D4093" t="inlineStr">
        <is>
          <t>JÄMTLANDS LÄN</t>
        </is>
      </c>
      <c r="E4093" t="inlineStr">
        <is>
          <t>STRÖMSUND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38682-2023</t>
        </is>
      </c>
      <c r="B4094" s="1" t="n">
        <v>45162</v>
      </c>
      <c r="C4094" s="1" t="n">
        <v>46045</v>
      </c>
      <c r="D4094" t="inlineStr">
        <is>
          <t>JÄMTLANDS LÄN</t>
        </is>
      </c>
      <c r="E4094" t="inlineStr">
        <is>
          <t>BERG</t>
        </is>
      </c>
      <c r="F4094" t="inlineStr">
        <is>
          <t>SCA</t>
        </is>
      </c>
      <c r="G4094" t="n">
        <v>21.3</v>
      </c>
      <c r="H4094" t="n">
        <v>0</v>
      </c>
      <c r="I4094" t="n">
        <v>0</v>
      </c>
      <c r="J4094" t="n">
        <v>0</v>
      </c>
      <c r="K4094" t="n">
        <v>0</v>
      </c>
      <c r="L4094" t="n">
        <v>0</v>
      </c>
      <c r="M4094" t="n">
        <v>0</v>
      </c>
      <c r="N4094" t="n">
        <v>0</v>
      </c>
      <c r="O4094" t="n">
        <v>0</v>
      </c>
      <c r="P4094" t="n">
        <v>0</v>
      </c>
      <c r="Q4094" t="n">
        <v>0</v>
      </c>
      <c r="R4094" s="2" t="inlineStr"/>
    </row>
    <row r="4095" ht="15" customHeight="1">
      <c r="A4095" t="inlineStr">
        <is>
          <t>A 64913-2021</t>
        </is>
      </c>
      <c r="B4095" s="1" t="n">
        <v>44512</v>
      </c>
      <c r="C4095" s="1" t="n">
        <v>46045</v>
      </c>
      <c r="D4095" t="inlineStr">
        <is>
          <t>JÄMTLANDS LÄN</t>
        </is>
      </c>
      <c r="E4095" t="inlineStr">
        <is>
          <t>STRÖMSUND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37566-2024</t>
        </is>
      </c>
      <c r="B4096" s="1" t="n">
        <v>45541.44819444444</v>
      </c>
      <c r="C4096" s="1" t="n">
        <v>46045</v>
      </c>
      <c r="D4096" t="inlineStr">
        <is>
          <t>JÄMTLANDS LÄN</t>
        </is>
      </c>
      <c r="E4096" t="inlineStr">
        <is>
          <t>STRÖMSUND</t>
        </is>
      </c>
      <c r="F4096" t="inlineStr">
        <is>
          <t>SCA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55655-2023</t>
        </is>
      </c>
      <c r="B4097" s="1" t="n">
        <v>45238.96651620371</v>
      </c>
      <c r="C4097" s="1" t="n">
        <v>46045</v>
      </c>
      <c r="D4097" t="inlineStr">
        <is>
          <t>JÄMTLANDS LÄN</t>
        </is>
      </c>
      <c r="E4097" t="inlineStr">
        <is>
          <t>STRÖMSUND</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55663-2023</t>
        </is>
      </c>
      <c r="B4098" s="1" t="n">
        <v>45238.96738425926</v>
      </c>
      <c r="C4098" s="1" t="n">
        <v>46045</v>
      </c>
      <c r="D4098" t="inlineStr">
        <is>
          <t>JÄMTLANDS LÄN</t>
        </is>
      </c>
      <c r="E4098" t="inlineStr">
        <is>
          <t>BRÄCKE</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6371-2021</t>
        </is>
      </c>
      <c r="B4099" s="1" t="n">
        <v>44232</v>
      </c>
      <c r="C4099" s="1" t="n">
        <v>46045</v>
      </c>
      <c r="D4099" t="inlineStr">
        <is>
          <t>JÄMTLANDS LÄN</t>
        </is>
      </c>
      <c r="E4099" t="inlineStr">
        <is>
          <t>STRÖMSUND</t>
        </is>
      </c>
      <c r="F4099" t="inlineStr">
        <is>
          <t>Kommuner</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40339-2025</t>
        </is>
      </c>
      <c r="B4100" s="1" t="n">
        <v>45895</v>
      </c>
      <c r="C4100" s="1" t="n">
        <v>46045</v>
      </c>
      <c r="D4100" t="inlineStr">
        <is>
          <t>JÄMTLANDS LÄN</t>
        </is>
      </c>
      <c r="E4100" t="inlineStr">
        <is>
          <t>BERG</t>
        </is>
      </c>
      <c r="F4100" t="inlineStr">
        <is>
          <t>SCA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40340-2025</t>
        </is>
      </c>
      <c r="B4101" s="1" t="n">
        <v>45895.46922453704</v>
      </c>
      <c r="C4101" s="1" t="n">
        <v>46045</v>
      </c>
      <c r="D4101" t="inlineStr">
        <is>
          <t>JÄMTLANDS LÄN</t>
        </is>
      </c>
      <c r="E4101" t="inlineStr">
        <is>
          <t>BERG</t>
        </is>
      </c>
      <c r="F4101" t="inlineStr">
        <is>
          <t>SCA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29242-2024</t>
        </is>
      </c>
      <c r="B4102" s="1" t="n">
        <v>45482.94611111111</v>
      </c>
      <c r="C4102" s="1" t="n">
        <v>46045</v>
      </c>
      <c r="D4102" t="inlineStr">
        <is>
          <t>JÄMTLANDS LÄN</t>
        </is>
      </c>
      <c r="E4102" t="inlineStr">
        <is>
          <t>STRÖMSUND</t>
        </is>
      </c>
      <c r="F4102" t="inlineStr">
        <is>
          <t>SCA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29243-2024</t>
        </is>
      </c>
      <c r="B4103" s="1" t="n">
        <v>45482.94621527778</v>
      </c>
      <c r="C4103" s="1" t="n">
        <v>46045</v>
      </c>
      <c r="D4103" t="inlineStr">
        <is>
          <t>JÄMTLANDS LÄN</t>
        </is>
      </c>
      <c r="E4103" t="inlineStr">
        <is>
          <t>STRÖMSUND</t>
        </is>
      </c>
      <c r="F4103" t="inlineStr">
        <is>
          <t>SCA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53556-2024</t>
        </is>
      </c>
      <c r="B4104" s="1" t="n">
        <v>45608</v>
      </c>
      <c r="C4104" s="1" t="n">
        <v>46045</v>
      </c>
      <c r="D4104" t="inlineStr">
        <is>
          <t>JÄMTLANDS LÄN</t>
        </is>
      </c>
      <c r="E4104" t="inlineStr">
        <is>
          <t>STRÖMSUND</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29274-2024</t>
        </is>
      </c>
      <c r="B4105" s="1" t="n">
        <v>45482.95017361111</v>
      </c>
      <c r="C4105" s="1" t="n">
        <v>46045</v>
      </c>
      <c r="D4105" t="inlineStr">
        <is>
          <t>JÄMTLANDS LÄN</t>
        </is>
      </c>
      <c r="E4105" t="inlineStr">
        <is>
          <t>STRÖMSUND</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40361-2025</t>
        </is>
      </c>
      <c r="B4106" s="1" t="n">
        <v>45895.49026620371</v>
      </c>
      <c r="C4106" s="1" t="n">
        <v>46045</v>
      </c>
      <c r="D4106" t="inlineStr">
        <is>
          <t>JÄMTLANDS LÄN</t>
        </is>
      </c>
      <c r="E4106" t="inlineStr">
        <is>
          <t>ÖSTERSUND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40428-2025</t>
        </is>
      </c>
      <c r="B4107" s="1" t="n">
        <v>45895.59442129629</v>
      </c>
      <c r="C4107" s="1" t="n">
        <v>46045</v>
      </c>
      <c r="D4107" t="inlineStr">
        <is>
          <t>JÄMTLANDS LÄN</t>
        </is>
      </c>
      <c r="E4107" t="inlineStr">
        <is>
          <t>STRÖMSUND</t>
        </is>
      </c>
      <c r="F4107" t="inlineStr">
        <is>
          <t>SCA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40341-2025</t>
        </is>
      </c>
      <c r="B4108" s="1" t="n">
        <v>45895</v>
      </c>
      <c r="C4108" s="1" t="n">
        <v>46045</v>
      </c>
      <c r="D4108" t="inlineStr">
        <is>
          <t>JÄMTLANDS LÄN</t>
        </is>
      </c>
      <c r="E4108" t="inlineStr">
        <is>
          <t>BERG</t>
        </is>
      </c>
      <c r="F4108" t="inlineStr">
        <is>
          <t>SCA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376-2024</t>
        </is>
      </c>
      <c r="B4109" s="1" t="n">
        <v>45296</v>
      </c>
      <c r="C4109" s="1" t="n">
        <v>46045</v>
      </c>
      <c r="D4109" t="inlineStr">
        <is>
          <t>JÄMTLANDS LÄN</t>
        </is>
      </c>
      <c r="E4109" t="inlineStr">
        <is>
          <t>ÅRE</t>
        </is>
      </c>
      <c r="F4109" t="inlineStr">
        <is>
          <t>Kyrkan</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29940-2023</t>
        </is>
      </c>
      <c r="B4110" s="1" t="n">
        <v>45107</v>
      </c>
      <c r="C4110" s="1" t="n">
        <v>46045</v>
      </c>
      <c r="D4110" t="inlineStr">
        <is>
          <t>JÄMTLANDS LÄN</t>
        </is>
      </c>
      <c r="E4110" t="inlineStr">
        <is>
          <t>RAGUNDA</t>
        </is>
      </c>
      <c r="G4110" t="n">
        <v>13.5</v>
      </c>
      <c r="H4110" t="n">
        <v>0</v>
      </c>
      <c r="I4110" t="n">
        <v>0</v>
      </c>
      <c r="J4110" t="n">
        <v>0</v>
      </c>
      <c r="K4110" t="n">
        <v>0</v>
      </c>
      <c r="L4110" t="n">
        <v>0</v>
      </c>
      <c r="M4110" t="n">
        <v>0</v>
      </c>
      <c r="N4110" t="n">
        <v>0</v>
      </c>
      <c r="O4110" t="n">
        <v>0</v>
      </c>
      <c r="P4110" t="n">
        <v>0</v>
      </c>
      <c r="Q4110" t="n">
        <v>0</v>
      </c>
      <c r="R4110" s="2" t="inlineStr"/>
    </row>
    <row r="4111" ht="15" customHeight="1">
      <c r="A4111" t="inlineStr">
        <is>
          <t>A 18863-2025</t>
        </is>
      </c>
      <c r="B4111" s="1" t="n">
        <v>45764.42766203704</v>
      </c>
      <c r="C4111" s="1" t="n">
        <v>46045</v>
      </c>
      <c r="D4111" t="inlineStr">
        <is>
          <t>JÄMTLANDS LÄN</t>
        </is>
      </c>
      <c r="E4111" t="inlineStr">
        <is>
          <t>STRÖMSUND</t>
        </is>
      </c>
      <c r="F4111" t="inlineStr">
        <is>
          <t>SCA</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63875-2021</t>
        </is>
      </c>
      <c r="B4112" s="1" t="n">
        <v>44509</v>
      </c>
      <c r="C4112" s="1" t="n">
        <v>46045</v>
      </c>
      <c r="D4112" t="inlineStr">
        <is>
          <t>JÄMTLANDS LÄN</t>
        </is>
      </c>
      <c r="E4112" t="inlineStr">
        <is>
          <t>STRÖMSUND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39509-2023</t>
        </is>
      </c>
      <c r="B4113" s="1" t="n">
        <v>45166.95824074074</v>
      </c>
      <c r="C4113" s="1" t="n">
        <v>46045</v>
      </c>
      <c r="D4113" t="inlineStr">
        <is>
          <t>JÄMTLANDS LÄN</t>
        </is>
      </c>
      <c r="E4113" t="inlineStr">
        <is>
          <t>BRÄCKE</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26645-2024</t>
        </is>
      </c>
      <c r="B4114" s="1" t="n">
        <v>45469.94667824074</v>
      </c>
      <c r="C4114" s="1" t="n">
        <v>46045</v>
      </c>
      <c r="D4114" t="inlineStr">
        <is>
          <t>JÄMTLANDS LÄN</t>
        </is>
      </c>
      <c r="E4114" t="inlineStr">
        <is>
          <t>RAGUNDA</t>
        </is>
      </c>
      <c r="F4114" t="inlineStr">
        <is>
          <t>SCA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40572-2025</t>
        </is>
      </c>
      <c r="B4115" s="1" t="n">
        <v>45896.49821759259</v>
      </c>
      <c r="C4115" s="1" t="n">
        <v>46045</v>
      </c>
      <c r="D4115" t="inlineStr">
        <is>
          <t>JÄMTLANDS LÄN</t>
        </is>
      </c>
      <c r="E4115" t="inlineStr">
        <is>
          <t>HÄRJEDALEN</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40283-2025</t>
        </is>
      </c>
      <c r="B4116" s="1" t="n">
        <v>45895.36994212963</v>
      </c>
      <c r="C4116" s="1" t="n">
        <v>46045</v>
      </c>
      <c r="D4116" t="inlineStr">
        <is>
          <t>JÄMTLANDS LÄN</t>
        </is>
      </c>
      <c r="E4116" t="inlineStr">
        <is>
          <t>KROKOM</t>
        </is>
      </c>
      <c r="G4116" t="n">
        <v>11.1</v>
      </c>
      <c r="H4116" t="n">
        <v>0</v>
      </c>
      <c r="I4116" t="n">
        <v>0</v>
      </c>
      <c r="J4116" t="n">
        <v>0</v>
      </c>
      <c r="K4116" t="n">
        <v>0</v>
      </c>
      <c r="L4116" t="n">
        <v>0</v>
      </c>
      <c r="M4116" t="n">
        <v>0</v>
      </c>
      <c r="N4116" t="n">
        <v>0</v>
      </c>
      <c r="O4116" t="n">
        <v>0</v>
      </c>
      <c r="P4116" t="n">
        <v>0</v>
      </c>
      <c r="Q4116" t="n">
        <v>0</v>
      </c>
      <c r="R4116" s="2" t="inlineStr"/>
    </row>
    <row r="4117" ht="15" customHeight="1">
      <c r="A4117" t="inlineStr">
        <is>
          <t>A 49225-2024</t>
        </is>
      </c>
      <c r="B4117" s="1" t="n">
        <v>45595.4177662037</v>
      </c>
      <c r="C4117" s="1" t="n">
        <v>46045</v>
      </c>
      <c r="D4117" t="inlineStr">
        <is>
          <t>JÄMTLANDS LÄN</t>
        </is>
      </c>
      <c r="E4117" t="inlineStr">
        <is>
          <t>BERG</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40326-2025</t>
        </is>
      </c>
      <c r="B4118" s="1" t="n">
        <v>45895.44856481482</v>
      </c>
      <c r="C4118" s="1" t="n">
        <v>46045</v>
      </c>
      <c r="D4118" t="inlineStr">
        <is>
          <t>JÄMTLANDS LÄN</t>
        </is>
      </c>
      <c r="E4118" t="inlineStr">
        <is>
          <t>ÖSTERSUND</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40573-2025</t>
        </is>
      </c>
      <c r="B4119" s="1" t="n">
        <v>45896.49959490741</v>
      </c>
      <c r="C4119" s="1" t="n">
        <v>46045</v>
      </c>
      <c r="D4119" t="inlineStr">
        <is>
          <t>JÄMTLANDS LÄN</t>
        </is>
      </c>
      <c r="E4119" t="inlineStr">
        <is>
          <t>HÄRJEDALEN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38043-2023</t>
        </is>
      </c>
      <c r="B4120" s="1" t="n">
        <v>45160.66704861111</v>
      </c>
      <c r="C4120" s="1" t="n">
        <v>46045</v>
      </c>
      <c r="D4120" t="inlineStr">
        <is>
          <t>JÄMTLANDS LÄN</t>
        </is>
      </c>
      <c r="E4120" t="inlineStr">
        <is>
          <t>KROKOM</t>
        </is>
      </c>
      <c r="F4120" t="inlineStr">
        <is>
          <t>Övriga Aktiebolag</t>
        </is>
      </c>
      <c r="G4120" t="n">
        <v>10.4</v>
      </c>
      <c r="H4120" t="n">
        <v>0</v>
      </c>
      <c r="I4120" t="n">
        <v>0</v>
      </c>
      <c r="J4120" t="n">
        <v>0</v>
      </c>
      <c r="K4120" t="n">
        <v>0</v>
      </c>
      <c r="L4120" t="n">
        <v>0</v>
      </c>
      <c r="M4120" t="n">
        <v>0</v>
      </c>
      <c r="N4120" t="n">
        <v>0</v>
      </c>
      <c r="O4120" t="n">
        <v>0</v>
      </c>
      <c r="P4120" t="n">
        <v>0</v>
      </c>
      <c r="Q4120" t="n">
        <v>0</v>
      </c>
      <c r="R4120" s="2" t="inlineStr"/>
    </row>
    <row r="4121" ht="15" customHeight="1">
      <c r="A4121" t="inlineStr">
        <is>
          <t>A 40103-2023</t>
        </is>
      </c>
      <c r="B4121" s="1" t="n">
        <v>45168.93762731482</v>
      </c>
      <c r="C4121" s="1" t="n">
        <v>46045</v>
      </c>
      <c r="D4121" t="inlineStr">
        <is>
          <t>JÄMTLANDS LÄN</t>
        </is>
      </c>
      <c r="E4121" t="inlineStr">
        <is>
          <t>STRÖMSUND</t>
        </is>
      </c>
      <c r="F4121" t="inlineStr">
        <is>
          <t>SCA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40617-2025</t>
        </is>
      </c>
      <c r="B4122" s="1" t="n">
        <v>45896.58326388889</v>
      </c>
      <c r="C4122" s="1" t="n">
        <v>46045</v>
      </c>
      <c r="D4122" t="inlineStr">
        <is>
          <t>JÄMTLANDS LÄN</t>
        </is>
      </c>
      <c r="E4122" t="inlineStr">
        <is>
          <t>BERG</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44489-2024</t>
        </is>
      </c>
      <c r="B4123" s="1" t="n">
        <v>45574.38943287037</v>
      </c>
      <c r="C4123" s="1" t="n">
        <v>46045</v>
      </c>
      <c r="D4123" t="inlineStr">
        <is>
          <t>JÄMTLANDS LÄN</t>
        </is>
      </c>
      <c r="E4123" t="inlineStr">
        <is>
          <t>ÖSTERSUND</t>
        </is>
      </c>
      <c r="F4123" t="inlineStr">
        <is>
          <t>SCA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14182-2025</t>
        </is>
      </c>
      <c r="B4124" s="1" t="n">
        <v>45740.54168981482</v>
      </c>
      <c r="C4124" s="1" t="n">
        <v>46045</v>
      </c>
      <c r="D4124" t="inlineStr">
        <is>
          <t>JÄMTLANDS LÄN</t>
        </is>
      </c>
      <c r="E4124" t="inlineStr">
        <is>
          <t>ÖSTERSUND</t>
        </is>
      </c>
      <c r="F4124" t="inlineStr">
        <is>
          <t>Övriga Aktiebolag</t>
        </is>
      </c>
      <c r="G4124" t="n">
        <v>20.1</v>
      </c>
      <c r="H4124" t="n">
        <v>0</v>
      </c>
      <c r="I4124" t="n">
        <v>0</v>
      </c>
      <c r="J4124" t="n">
        <v>0</v>
      </c>
      <c r="K4124" t="n">
        <v>0</v>
      </c>
      <c r="L4124" t="n">
        <v>0</v>
      </c>
      <c r="M4124" t="n">
        <v>0</v>
      </c>
      <c r="N4124" t="n">
        <v>0</v>
      </c>
      <c r="O4124" t="n">
        <v>0</v>
      </c>
      <c r="P4124" t="n">
        <v>0</v>
      </c>
      <c r="Q4124" t="n">
        <v>0</v>
      </c>
      <c r="R4124" s="2" t="inlineStr"/>
    </row>
    <row r="4125" ht="15" customHeight="1">
      <c r="A4125" t="inlineStr">
        <is>
          <t>A 40507-2025</t>
        </is>
      </c>
      <c r="B4125" s="1" t="n">
        <v>45896.34443287037</v>
      </c>
      <c r="C4125" s="1" t="n">
        <v>46045</v>
      </c>
      <c r="D4125" t="inlineStr">
        <is>
          <t>JÄMTLANDS LÄN</t>
        </is>
      </c>
      <c r="E4125" t="inlineStr">
        <is>
          <t>KROKOM</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40249-2025</t>
        </is>
      </c>
      <c r="B4126" s="1" t="n">
        <v>45895.29387731481</v>
      </c>
      <c r="C4126" s="1" t="n">
        <v>46045</v>
      </c>
      <c r="D4126" t="inlineStr">
        <is>
          <t>JÄMTLANDS LÄN</t>
        </is>
      </c>
      <c r="E4126" t="inlineStr">
        <is>
          <t>HÄRJEDALEN</t>
        </is>
      </c>
      <c r="F4126" t="inlineStr">
        <is>
          <t>Bergvik skog väst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41236-2025</t>
        </is>
      </c>
      <c r="B4127" s="1" t="n">
        <v>45898.59565972222</v>
      </c>
      <c r="C4127" s="1" t="n">
        <v>46045</v>
      </c>
      <c r="D4127" t="inlineStr">
        <is>
          <t>JÄMTLANDS LÄN</t>
        </is>
      </c>
      <c r="E4127" t="inlineStr">
        <is>
          <t>BRÄCKE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41247-2025</t>
        </is>
      </c>
      <c r="B4128" s="1" t="n">
        <v>45898.60109953704</v>
      </c>
      <c r="C4128" s="1" t="n">
        <v>46045</v>
      </c>
      <c r="D4128" t="inlineStr">
        <is>
          <t>JÄMTLANDS LÄN</t>
        </is>
      </c>
      <c r="E4128" t="inlineStr">
        <is>
          <t>BERG</t>
        </is>
      </c>
      <c r="G4128" t="n">
        <v>17.5</v>
      </c>
      <c r="H4128" t="n">
        <v>0</v>
      </c>
      <c r="I4128" t="n">
        <v>0</v>
      </c>
      <c r="J4128" t="n">
        <v>0</v>
      </c>
      <c r="K4128" t="n">
        <v>0</v>
      </c>
      <c r="L4128" t="n">
        <v>0</v>
      </c>
      <c r="M4128" t="n">
        <v>0</v>
      </c>
      <c r="N4128" t="n">
        <v>0</v>
      </c>
      <c r="O4128" t="n">
        <v>0</v>
      </c>
      <c r="P4128" t="n">
        <v>0</v>
      </c>
      <c r="Q4128" t="n">
        <v>0</v>
      </c>
      <c r="R4128" s="2" t="inlineStr"/>
    </row>
    <row r="4129" ht="15" customHeight="1">
      <c r="A4129" t="inlineStr">
        <is>
          <t>A 41285-2025</t>
        </is>
      </c>
      <c r="B4129" s="1" t="n">
        <v>45898.63637731481</v>
      </c>
      <c r="C4129" s="1" t="n">
        <v>46045</v>
      </c>
      <c r="D4129" t="inlineStr">
        <is>
          <t>JÄMTLANDS LÄN</t>
        </is>
      </c>
      <c r="E4129" t="inlineStr">
        <is>
          <t>BRÄCKE</t>
        </is>
      </c>
      <c r="F4129" t="inlineStr">
        <is>
          <t>Övriga Aktiebolag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31587-2024</t>
        </is>
      </c>
      <c r="B4130" s="1" t="n">
        <v>45506.36534722222</v>
      </c>
      <c r="C4130" s="1" t="n">
        <v>46045</v>
      </c>
      <c r="D4130" t="inlineStr">
        <is>
          <t>JÄMTLANDS LÄN</t>
        </is>
      </c>
      <c r="E4130" t="inlineStr">
        <is>
          <t>HÄRJEDALEN</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25565-2023</t>
        </is>
      </c>
      <c r="B4131" s="1" t="n">
        <v>45082</v>
      </c>
      <c r="C4131" s="1" t="n">
        <v>46045</v>
      </c>
      <c r="D4131" t="inlineStr">
        <is>
          <t>JÄMTLANDS LÄN</t>
        </is>
      </c>
      <c r="E4131" t="inlineStr">
        <is>
          <t>BERG</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39662-2024</t>
        </is>
      </c>
      <c r="B4132" s="1" t="n">
        <v>45552.51068287037</v>
      </c>
      <c r="C4132" s="1" t="n">
        <v>46045</v>
      </c>
      <c r="D4132" t="inlineStr">
        <is>
          <t>JÄMTLANDS LÄN</t>
        </is>
      </c>
      <c r="E4132" t="inlineStr">
        <is>
          <t>BRÄCKE</t>
        </is>
      </c>
      <c r="F4132" t="inlineStr">
        <is>
          <t>SCA</t>
        </is>
      </c>
      <c r="G4132" t="n">
        <v>11.3</v>
      </c>
      <c r="H4132" t="n">
        <v>0</v>
      </c>
      <c r="I4132" t="n">
        <v>0</v>
      </c>
      <c r="J4132" t="n">
        <v>0</v>
      </c>
      <c r="K4132" t="n">
        <v>0</v>
      </c>
      <c r="L4132" t="n">
        <v>0</v>
      </c>
      <c r="M4132" t="n">
        <v>0</v>
      </c>
      <c r="N4132" t="n">
        <v>0</v>
      </c>
      <c r="O4132" t="n">
        <v>0</v>
      </c>
      <c r="P4132" t="n">
        <v>0</v>
      </c>
      <c r="Q4132" t="n">
        <v>0</v>
      </c>
      <c r="R4132" s="2" t="inlineStr"/>
    </row>
    <row r="4133" ht="15" customHeight="1">
      <c r="A4133" t="inlineStr">
        <is>
          <t>A 40749-2025</t>
        </is>
      </c>
      <c r="B4133" s="1" t="n">
        <v>45897.38248842592</v>
      </c>
      <c r="C4133" s="1" t="n">
        <v>46045</v>
      </c>
      <c r="D4133" t="inlineStr">
        <is>
          <t>JÄMTLANDS LÄN</t>
        </is>
      </c>
      <c r="E4133" t="inlineStr">
        <is>
          <t>BRÄCKE</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41297-2025</t>
        </is>
      </c>
      <c r="B4134" s="1" t="n">
        <v>45898.66872685185</v>
      </c>
      <c r="C4134" s="1" t="n">
        <v>46045</v>
      </c>
      <c r="D4134" t="inlineStr">
        <is>
          <t>JÄMTLANDS LÄN</t>
        </is>
      </c>
      <c r="E4134" t="inlineStr">
        <is>
          <t>BRÄCKE</t>
        </is>
      </c>
      <c r="F4134" t="inlineStr">
        <is>
          <t>Övriga Aktiebolag</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69592-2021</t>
        </is>
      </c>
      <c r="B4135" s="1" t="n">
        <v>44531</v>
      </c>
      <c r="C4135" s="1" t="n">
        <v>46045</v>
      </c>
      <c r="D4135" t="inlineStr">
        <is>
          <t>JÄMTLANDS LÄN</t>
        </is>
      </c>
      <c r="E4135" t="inlineStr">
        <is>
          <t>ÅRE</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28686-2024</t>
        </is>
      </c>
      <c r="B4136" s="1" t="n">
        <v>45478.48700231482</v>
      </c>
      <c r="C4136" s="1" t="n">
        <v>46045</v>
      </c>
      <c r="D4136" t="inlineStr">
        <is>
          <t>JÄMTLANDS LÄN</t>
        </is>
      </c>
      <c r="E4136" t="inlineStr">
        <is>
          <t>HÄRJEDALEN</t>
        </is>
      </c>
      <c r="F4136" t="inlineStr">
        <is>
          <t>Bergvik skog väst AB</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30352-2024</t>
        </is>
      </c>
      <c r="B4137" s="1" t="n">
        <v>45490.95556712963</v>
      </c>
      <c r="C4137" s="1" t="n">
        <v>46045</v>
      </c>
      <c r="D4137" t="inlineStr">
        <is>
          <t>JÄMTLANDS LÄN</t>
        </is>
      </c>
      <c r="E4137" t="inlineStr">
        <is>
          <t>STRÖMSUND</t>
        </is>
      </c>
      <c r="F4137" t="inlineStr">
        <is>
          <t>SCA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41000-2025</t>
        </is>
      </c>
      <c r="B4138" s="1" t="n">
        <v>45898.34496527778</v>
      </c>
      <c r="C4138" s="1" t="n">
        <v>46045</v>
      </c>
      <c r="D4138" t="inlineStr">
        <is>
          <t>JÄMTLANDS LÄN</t>
        </is>
      </c>
      <c r="E4138" t="inlineStr">
        <is>
          <t>STRÖMSUND</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40770-2025</t>
        </is>
      </c>
      <c r="B4139" s="1" t="n">
        <v>45897.40724537037</v>
      </c>
      <c r="C4139" s="1" t="n">
        <v>46045</v>
      </c>
      <c r="D4139" t="inlineStr">
        <is>
          <t>JÄMTLANDS LÄN</t>
        </is>
      </c>
      <c r="E4139" t="inlineStr">
        <is>
          <t>STRÖMSUND</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1747-2023</t>
        </is>
      </c>
      <c r="B4140" s="1" t="n">
        <v>44936</v>
      </c>
      <c r="C4140" s="1" t="n">
        <v>46045</v>
      </c>
      <c r="D4140" t="inlineStr">
        <is>
          <t>JÄMTLANDS LÄN</t>
        </is>
      </c>
      <c r="E4140" t="inlineStr">
        <is>
          <t>STRÖMSUND</t>
        </is>
      </c>
      <c r="G4140" t="n">
        <v>13.1</v>
      </c>
      <c r="H4140" t="n">
        <v>0</v>
      </c>
      <c r="I4140" t="n">
        <v>0</v>
      </c>
      <c r="J4140" t="n">
        <v>0</v>
      </c>
      <c r="K4140" t="n">
        <v>0</v>
      </c>
      <c r="L4140" t="n">
        <v>0</v>
      </c>
      <c r="M4140" t="n">
        <v>0</v>
      </c>
      <c r="N4140" t="n">
        <v>0</v>
      </c>
      <c r="O4140" t="n">
        <v>0</v>
      </c>
      <c r="P4140" t="n">
        <v>0</v>
      </c>
      <c r="Q4140" t="n">
        <v>0</v>
      </c>
      <c r="R4140" s="2" t="inlineStr"/>
    </row>
    <row r="4141" ht="15" customHeight="1">
      <c r="A4141" t="inlineStr">
        <is>
          <t>A 40793-2025</t>
        </is>
      </c>
      <c r="B4141" s="1" t="n">
        <v>45897.44868055556</v>
      </c>
      <c r="C4141" s="1" t="n">
        <v>46045</v>
      </c>
      <c r="D4141" t="inlineStr">
        <is>
          <t>JÄMTLANDS LÄN</t>
        </is>
      </c>
      <c r="E4141" t="inlineStr">
        <is>
          <t>BRÄCKE</t>
        </is>
      </c>
      <c r="F4141" t="inlineStr">
        <is>
          <t>SCA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40840-2025</t>
        </is>
      </c>
      <c r="B4142" s="1" t="n">
        <v>45897.53171296296</v>
      </c>
      <c r="C4142" s="1" t="n">
        <v>46045</v>
      </c>
      <c r="D4142" t="inlineStr">
        <is>
          <t>JÄMTLANDS LÄN</t>
        </is>
      </c>
      <c r="E4142" t="inlineStr">
        <is>
          <t>STRÖMSUND</t>
        </is>
      </c>
      <c r="F4142" t="inlineStr">
        <is>
          <t>SCA</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40846-2025</t>
        </is>
      </c>
      <c r="B4143" s="1" t="n">
        <v>45897</v>
      </c>
      <c r="C4143" s="1" t="n">
        <v>46045</v>
      </c>
      <c r="D4143" t="inlineStr">
        <is>
          <t>JÄMTLANDS LÄN</t>
        </is>
      </c>
      <c r="E4143" t="inlineStr">
        <is>
          <t>STRÖMSUND</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40868-2025</t>
        </is>
      </c>
      <c r="B4144" s="1" t="n">
        <v>45897.57365740741</v>
      </c>
      <c r="C4144" s="1" t="n">
        <v>46045</v>
      </c>
      <c r="D4144" t="inlineStr">
        <is>
          <t>JÄMTLANDS LÄN</t>
        </is>
      </c>
      <c r="E4144" t="inlineStr">
        <is>
          <t>BRÄCKE</t>
        </is>
      </c>
      <c r="F4144" t="inlineStr">
        <is>
          <t>SCA</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40869-2025</t>
        </is>
      </c>
      <c r="B4145" s="1" t="n">
        <v>45897.57383101852</v>
      </c>
      <c r="C4145" s="1" t="n">
        <v>46045</v>
      </c>
      <c r="D4145" t="inlineStr">
        <is>
          <t>JÄMTLANDS LÄN</t>
        </is>
      </c>
      <c r="E4145" t="inlineStr">
        <is>
          <t>BRÄCKE</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40809-2025</t>
        </is>
      </c>
      <c r="B4146" s="1" t="n">
        <v>45897.46936342592</v>
      </c>
      <c r="C4146" s="1" t="n">
        <v>46045</v>
      </c>
      <c r="D4146" t="inlineStr">
        <is>
          <t>JÄMTLANDS LÄN</t>
        </is>
      </c>
      <c r="E4146" t="inlineStr">
        <is>
          <t>BRÄCKE</t>
        </is>
      </c>
      <c r="F4146" t="inlineStr">
        <is>
          <t>SCA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40834-2025</t>
        </is>
      </c>
      <c r="B4147" s="1" t="n">
        <v>45897.51135416667</v>
      </c>
      <c r="C4147" s="1" t="n">
        <v>46045</v>
      </c>
      <c r="D4147" t="inlineStr">
        <is>
          <t>JÄMTLANDS LÄN</t>
        </is>
      </c>
      <c r="E4147" t="inlineStr">
        <is>
          <t>BRÄCKE</t>
        </is>
      </c>
      <c r="F4147" t="inlineStr">
        <is>
          <t>SCA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40843-2025</t>
        </is>
      </c>
      <c r="B4148" s="1" t="n">
        <v>45897.5321412037</v>
      </c>
      <c r="C4148" s="1" t="n">
        <v>46045</v>
      </c>
      <c r="D4148" t="inlineStr">
        <is>
          <t>JÄMTLANDS LÄN</t>
        </is>
      </c>
      <c r="E4148" t="inlineStr">
        <is>
          <t>BRÄCKE</t>
        </is>
      </c>
      <c r="F4148" t="inlineStr">
        <is>
          <t>SCA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28405-2023</t>
        </is>
      </c>
      <c r="B4149" s="1" t="n">
        <v>45100.93861111111</v>
      </c>
      <c r="C4149" s="1" t="n">
        <v>46045</v>
      </c>
      <c r="D4149" t="inlineStr">
        <is>
          <t>JÄMTLANDS LÄN</t>
        </is>
      </c>
      <c r="E4149" t="inlineStr">
        <is>
          <t>STRÖMSUND</t>
        </is>
      </c>
      <c r="F4149" t="inlineStr">
        <is>
          <t>SCA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40901-2025</t>
        </is>
      </c>
      <c r="B4150" s="1" t="n">
        <v>45897.615625</v>
      </c>
      <c r="C4150" s="1" t="n">
        <v>46045</v>
      </c>
      <c r="D4150" t="inlineStr">
        <is>
          <t>JÄMTLANDS LÄN</t>
        </is>
      </c>
      <c r="E4150" t="inlineStr">
        <is>
          <t>STRÖMSUND</t>
        </is>
      </c>
      <c r="F4150" t="inlineStr">
        <is>
          <t>SCA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40906-2025</t>
        </is>
      </c>
      <c r="B4151" s="1" t="n">
        <v>45897.61641203704</v>
      </c>
      <c r="C4151" s="1" t="n">
        <v>46045</v>
      </c>
      <c r="D4151" t="inlineStr">
        <is>
          <t>JÄMTLANDS LÄN</t>
        </is>
      </c>
      <c r="E4151" t="inlineStr">
        <is>
          <t>STRÖMSUND</t>
        </is>
      </c>
      <c r="F4151" t="inlineStr">
        <is>
          <t>SCA</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54250-2024</t>
        </is>
      </c>
      <c r="B4152" s="1" t="n">
        <v>45616</v>
      </c>
      <c r="C4152" s="1" t="n">
        <v>46045</v>
      </c>
      <c r="D4152" t="inlineStr">
        <is>
          <t>JÄMTLANDS LÄN</t>
        </is>
      </c>
      <c r="E4152" t="inlineStr">
        <is>
          <t>ÅRE</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41161-2025</t>
        </is>
      </c>
      <c r="B4153" s="1" t="n">
        <v>45898.53193287037</v>
      </c>
      <c r="C4153" s="1" t="n">
        <v>46045</v>
      </c>
      <c r="D4153" t="inlineStr">
        <is>
          <t>JÄMTLANDS LÄN</t>
        </is>
      </c>
      <c r="E4153" t="inlineStr">
        <is>
          <t>RAGUNDA</t>
        </is>
      </c>
      <c r="F4153" t="inlineStr">
        <is>
          <t>SCA</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66471-2021</t>
        </is>
      </c>
      <c r="B4154" s="1" t="n">
        <v>44518</v>
      </c>
      <c r="C4154" s="1" t="n">
        <v>46045</v>
      </c>
      <c r="D4154" t="inlineStr">
        <is>
          <t>JÄMTLANDS LÄN</t>
        </is>
      </c>
      <c r="E4154" t="inlineStr">
        <is>
          <t>RAGUNDA</t>
        </is>
      </c>
      <c r="G4154" t="n">
        <v>13.4</v>
      </c>
      <c r="H4154" t="n">
        <v>0</v>
      </c>
      <c r="I4154" t="n">
        <v>0</v>
      </c>
      <c r="J4154" t="n">
        <v>0</v>
      </c>
      <c r="K4154" t="n">
        <v>0</v>
      </c>
      <c r="L4154" t="n">
        <v>0</v>
      </c>
      <c r="M4154" t="n">
        <v>0</v>
      </c>
      <c r="N4154" t="n">
        <v>0</v>
      </c>
      <c r="O4154" t="n">
        <v>0</v>
      </c>
      <c r="P4154" t="n">
        <v>0</v>
      </c>
      <c r="Q4154" t="n">
        <v>0</v>
      </c>
      <c r="R4154" s="2" t="inlineStr"/>
    </row>
    <row r="4155" ht="15" customHeight="1">
      <c r="A4155" t="inlineStr">
        <is>
          <t>A 9126-2025</t>
        </is>
      </c>
      <c r="B4155" s="1" t="n">
        <v>45713</v>
      </c>
      <c r="C4155" s="1" t="n">
        <v>46045</v>
      </c>
      <c r="D4155" t="inlineStr">
        <is>
          <t>JÄMTLANDS LÄN</t>
        </is>
      </c>
      <c r="E4155" t="inlineStr">
        <is>
          <t>ÅRE</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2954-2023</t>
        </is>
      </c>
      <c r="B4156" s="1" t="n">
        <v>44945.62861111111</v>
      </c>
      <c r="C4156" s="1" t="n">
        <v>46045</v>
      </c>
      <c r="D4156" t="inlineStr">
        <is>
          <t>JÄMTLANDS LÄN</t>
        </is>
      </c>
      <c r="E4156" t="inlineStr">
        <is>
          <t>BRÄCKE</t>
        </is>
      </c>
      <c r="F4156" t="inlineStr">
        <is>
          <t>Övriga Aktiebolag</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41054-2025</t>
        </is>
      </c>
      <c r="B4157" s="1" t="n">
        <v>45898.40481481481</v>
      </c>
      <c r="C4157" s="1" t="n">
        <v>46045</v>
      </c>
      <c r="D4157" t="inlineStr">
        <is>
          <t>JÄMTLANDS LÄN</t>
        </is>
      </c>
      <c r="E4157" t="inlineStr">
        <is>
          <t>HÄRJEDALEN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41180-2025</t>
        </is>
      </c>
      <c r="B4158" s="1" t="n">
        <v>45898.55296296296</v>
      </c>
      <c r="C4158" s="1" t="n">
        <v>46045</v>
      </c>
      <c r="D4158" t="inlineStr">
        <is>
          <t>JÄMTLANDS LÄN</t>
        </is>
      </c>
      <c r="E4158" t="inlineStr">
        <is>
          <t>HÄRJEDALEN</t>
        </is>
      </c>
      <c r="F4158" t="inlineStr">
        <is>
          <t>SCA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41187-2025</t>
        </is>
      </c>
      <c r="B4159" s="1" t="n">
        <v>45898.56390046296</v>
      </c>
      <c r="C4159" s="1" t="n">
        <v>46045</v>
      </c>
      <c r="D4159" t="inlineStr">
        <is>
          <t>JÄMTLANDS LÄN</t>
        </is>
      </c>
      <c r="E4159" t="inlineStr">
        <is>
          <t>BRÄCKE</t>
        </is>
      </c>
      <c r="F4159" t="inlineStr">
        <is>
          <t>Övriga Aktiebolag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56111-2022</t>
        </is>
      </c>
      <c r="B4160" s="1" t="n">
        <v>44889</v>
      </c>
      <c r="C4160" s="1" t="n">
        <v>46045</v>
      </c>
      <c r="D4160" t="inlineStr">
        <is>
          <t>JÄMTLANDS LÄN</t>
        </is>
      </c>
      <c r="E4160" t="inlineStr">
        <is>
          <t>ÖSTERSUND</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27906-2024</t>
        </is>
      </c>
      <c r="B4161" s="1" t="n">
        <v>45475.94585648148</v>
      </c>
      <c r="C4161" s="1" t="n">
        <v>46045</v>
      </c>
      <c r="D4161" t="inlineStr">
        <is>
          <t>JÄMTLANDS LÄN</t>
        </is>
      </c>
      <c r="E4161" t="inlineStr">
        <is>
          <t>ÖSTERSUND</t>
        </is>
      </c>
      <c r="F4161" t="inlineStr">
        <is>
          <t>SCA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8891-2025</t>
        </is>
      </c>
      <c r="B4162" s="1" t="n">
        <v>45713.39917824074</v>
      </c>
      <c r="C4162" s="1" t="n">
        <v>46045</v>
      </c>
      <c r="D4162" t="inlineStr">
        <is>
          <t>JÄMTLANDS LÄN</t>
        </is>
      </c>
      <c r="E4162" t="inlineStr">
        <is>
          <t>BRÄCKE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41295-2025</t>
        </is>
      </c>
      <c r="B4163" s="1" t="n">
        <v>45898.65660879629</v>
      </c>
      <c r="C4163" s="1" t="n">
        <v>46045</v>
      </c>
      <c r="D4163" t="inlineStr">
        <is>
          <t>JÄMTLANDS LÄN</t>
        </is>
      </c>
      <c r="E4163" t="inlineStr">
        <is>
          <t>BERG</t>
        </is>
      </c>
      <c r="F4163" t="inlineStr">
        <is>
          <t>SCA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51593-2024</t>
        </is>
      </c>
      <c r="B4164" s="1" t="n">
        <v>45604.64981481482</v>
      </c>
      <c r="C4164" s="1" t="n">
        <v>46045</v>
      </c>
      <c r="D4164" t="inlineStr">
        <is>
          <t>JÄMTLANDS LÄN</t>
        </is>
      </c>
      <c r="E4164" t="inlineStr">
        <is>
          <t>STRÖMSUND</t>
        </is>
      </c>
      <c r="F4164" t="inlineStr">
        <is>
          <t>Kommuner</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60742-2022</t>
        </is>
      </c>
      <c r="B4165" s="1" t="n">
        <v>44913</v>
      </c>
      <c r="C4165" s="1" t="n">
        <v>46045</v>
      </c>
      <c r="D4165" t="inlineStr">
        <is>
          <t>JÄMTLANDS LÄN</t>
        </is>
      </c>
      <c r="E4165" t="inlineStr">
        <is>
          <t>STRÖMSUND</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22731-2023</t>
        </is>
      </c>
      <c r="B4166" s="1" t="n">
        <v>45071</v>
      </c>
      <c r="C4166" s="1" t="n">
        <v>46045</v>
      </c>
      <c r="D4166" t="inlineStr">
        <is>
          <t>JÄMTLANDS LÄN</t>
        </is>
      </c>
      <c r="E4166" t="inlineStr">
        <is>
          <t>RAGUNDA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41182-2025</t>
        </is>
      </c>
      <c r="B4167" s="1" t="n">
        <v>45898.55322916667</v>
      </c>
      <c r="C4167" s="1" t="n">
        <v>46045</v>
      </c>
      <c r="D4167" t="inlineStr">
        <is>
          <t>JÄMTLANDS LÄN</t>
        </is>
      </c>
      <c r="E4167" t="inlineStr">
        <is>
          <t>STRÖMSUND</t>
        </is>
      </c>
      <c r="F4167" t="inlineStr">
        <is>
          <t>SCA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41196-2025</t>
        </is>
      </c>
      <c r="B4168" s="1" t="n">
        <v>45898.57332175926</v>
      </c>
      <c r="C4168" s="1" t="n">
        <v>46045</v>
      </c>
      <c r="D4168" t="inlineStr">
        <is>
          <t>JÄMTLANDS LÄN</t>
        </is>
      </c>
      <c r="E4168" t="inlineStr">
        <is>
          <t>BRÄCKE</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27395-2021</t>
        </is>
      </c>
      <c r="B4169" s="1" t="n">
        <v>44350</v>
      </c>
      <c r="C4169" s="1" t="n">
        <v>46045</v>
      </c>
      <c r="D4169" t="inlineStr">
        <is>
          <t>JÄMTLANDS LÄN</t>
        </is>
      </c>
      <c r="E4169" t="inlineStr">
        <is>
          <t>BERG</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40900-2025</t>
        </is>
      </c>
      <c r="B4170" s="1" t="n">
        <v>45897.61546296296</v>
      </c>
      <c r="C4170" s="1" t="n">
        <v>46045</v>
      </c>
      <c r="D4170" t="inlineStr">
        <is>
          <t>JÄMTLANDS LÄN</t>
        </is>
      </c>
      <c r="E4170" t="inlineStr">
        <is>
          <t>BRÄCKE</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56226-2024</t>
        </is>
      </c>
      <c r="B4171" s="1" t="n">
        <v>45624.61572916667</v>
      </c>
      <c r="C4171" s="1" t="n">
        <v>46045</v>
      </c>
      <c r="D4171" t="inlineStr">
        <is>
          <t>JÄMTLANDS LÄN</t>
        </is>
      </c>
      <c r="E4171" t="inlineStr">
        <is>
          <t>BERG</t>
        </is>
      </c>
      <c r="F4171" t="inlineStr">
        <is>
          <t>SCA</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41140-2025</t>
        </is>
      </c>
      <c r="B4172" s="1" t="n">
        <v>45898.49012731481</v>
      </c>
      <c r="C4172" s="1" t="n">
        <v>46045</v>
      </c>
      <c r="D4172" t="inlineStr">
        <is>
          <t>JÄMTLANDS LÄN</t>
        </is>
      </c>
      <c r="E4172" t="inlineStr">
        <is>
          <t>RAGUNDA</t>
        </is>
      </c>
      <c r="F4172" t="inlineStr">
        <is>
          <t>SCA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41181-2025</t>
        </is>
      </c>
      <c r="B4173" s="1" t="n">
        <v>45898.55309027778</v>
      </c>
      <c r="C4173" s="1" t="n">
        <v>46045</v>
      </c>
      <c r="D4173" t="inlineStr">
        <is>
          <t>JÄMTLANDS LÄN</t>
        </is>
      </c>
      <c r="E4173" t="inlineStr">
        <is>
          <t>STRÖMSUND</t>
        </is>
      </c>
      <c r="F4173" t="inlineStr">
        <is>
          <t>SCA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41193-2025</t>
        </is>
      </c>
      <c r="B4174" s="1" t="n">
        <v>45898.56891203704</v>
      </c>
      <c r="C4174" s="1" t="n">
        <v>46045</v>
      </c>
      <c r="D4174" t="inlineStr">
        <is>
          <t>JÄMTLANDS LÄN</t>
        </is>
      </c>
      <c r="E4174" t="inlineStr">
        <is>
          <t>BRÄCKE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12810-2022</t>
        </is>
      </c>
      <c r="B4175" s="1" t="n">
        <v>44642</v>
      </c>
      <c r="C4175" s="1" t="n">
        <v>46045</v>
      </c>
      <c r="D4175" t="inlineStr">
        <is>
          <t>JÄMTLANDS LÄN</t>
        </is>
      </c>
      <c r="E4175" t="inlineStr">
        <is>
          <t>HÄRJEDALEN</t>
        </is>
      </c>
      <c r="F4175" t="inlineStr">
        <is>
          <t>Holmen skog AB</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35720-2024</t>
        </is>
      </c>
      <c r="B4176" s="1" t="n">
        <v>45532.48732638889</v>
      </c>
      <c r="C4176" s="1" t="n">
        <v>46045</v>
      </c>
      <c r="D4176" t="inlineStr">
        <is>
          <t>JÄMTLANDS LÄN</t>
        </is>
      </c>
      <c r="E4176" t="inlineStr">
        <is>
          <t>KROKOM</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40822-2025</t>
        </is>
      </c>
      <c r="B4177" s="1" t="n">
        <v>45897.49424768519</v>
      </c>
      <c r="C4177" s="1" t="n">
        <v>46045</v>
      </c>
      <c r="D4177" t="inlineStr">
        <is>
          <t>JÄMTLANDS LÄN</t>
        </is>
      </c>
      <c r="E4177" t="inlineStr">
        <is>
          <t>KROKOM</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32248-2024</t>
        </is>
      </c>
      <c r="B4178" s="1" t="n">
        <v>45511.95144675926</v>
      </c>
      <c r="C4178" s="1" t="n">
        <v>46045</v>
      </c>
      <c r="D4178" t="inlineStr">
        <is>
          <t>JÄMTLANDS LÄN</t>
        </is>
      </c>
      <c r="E4178" t="inlineStr">
        <is>
          <t>BERG</t>
        </is>
      </c>
      <c r="F4178" t="inlineStr">
        <is>
          <t>SCA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26033-2024</t>
        </is>
      </c>
      <c r="B4179" s="1" t="n">
        <v>45467.96340277778</v>
      </c>
      <c r="C4179" s="1" t="n">
        <v>46045</v>
      </c>
      <c r="D4179" t="inlineStr">
        <is>
          <t>JÄMTLANDS LÄN</t>
        </is>
      </c>
      <c r="E4179" t="inlineStr">
        <is>
          <t>STRÖMSUND</t>
        </is>
      </c>
      <c r="F4179" t="inlineStr">
        <is>
          <t>SCA</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40918-2025</t>
        </is>
      </c>
      <c r="B4180" s="1" t="n">
        <v>45897.6292824074</v>
      </c>
      <c r="C4180" s="1" t="n">
        <v>46045</v>
      </c>
      <c r="D4180" t="inlineStr">
        <is>
          <t>JÄMTLANDS LÄN</t>
        </is>
      </c>
      <c r="E4180" t="inlineStr">
        <is>
          <t>BERG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73174-2021</t>
        </is>
      </c>
      <c r="B4181" s="1" t="n">
        <v>44550</v>
      </c>
      <c r="C4181" s="1" t="n">
        <v>46045</v>
      </c>
      <c r="D4181" t="inlineStr">
        <is>
          <t>JÄMTLANDS LÄN</t>
        </is>
      </c>
      <c r="E4181" t="inlineStr">
        <is>
          <t>KROKOM</t>
        </is>
      </c>
      <c r="G4181" t="n">
        <v>152.9</v>
      </c>
      <c r="H4181" t="n">
        <v>0</v>
      </c>
      <c r="I4181" t="n">
        <v>0</v>
      </c>
      <c r="J4181" t="n">
        <v>0</v>
      </c>
      <c r="K4181" t="n">
        <v>0</v>
      </c>
      <c r="L4181" t="n">
        <v>0</v>
      </c>
      <c r="M4181" t="n">
        <v>0</v>
      </c>
      <c r="N4181" t="n">
        <v>0</v>
      </c>
      <c r="O4181" t="n">
        <v>0</v>
      </c>
      <c r="P4181" t="n">
        <v>0</v>
      </c>
      <c r="Q4181" t="n">
        <v>0</v>
      </c>
      <c r="R4181" s="2" t="inlineStr"/>
    </row>
    <row r="4182" ht="15" customHeight="1">
      <c r="A4182" t="inlineStr">
        <is>
          <t>A 32258-2024</t>
        </is>
      </c>
      <c r="B4182" s="1" t="n">
        <v>45511</v>
      </c>
      <c r="C4182" s="1" t="n">
        <v>46045</v>
      </c>
      <c r="D4182" t="inlineStr">
        <is>
          <t>JÄMTLANDS LÄN</t>
        </is>
      </c>
      <c r="E4182" t="inlineStr">
        <is>
          <t>RAGUNDA</t>
        </is>
      </c>
      <c r="F4182" t="inlineStr">
        <is>
          <t>SCA</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33877-2023</t>
        </is>
      </c>
      <c r="B4183" s="1" t="n">
        <v>45133</v>
      </c>
      <c r="C4183" s="1" t="n">
        <v>46045</v>
      </c>
      <c r="D4183" t="inlineStr">
        <is>
          <t>JÄMTLANDS LÄN</t>
        </is>
      </c>
      <c r="E4183" t="inlineStr">
        <is>
          <t>RAGUNDA</t>
        </is>
      </c>
      <c r="F4183" t="inlineStr">
        <is>
          <t>SCA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66880-2021</t>
        </is>
      </c>
      <c r="B4184" s="1" t="n">
        <v>44522.46662037037</v>
      </c>
      <c r="C4184" s="1" t="n">
        <v>46045</v>
      </c>
      <c r="D4184" t="inlineStr">
        <is>
          <t>JÄMTLANDS LÄN</t>
        </is>
      </c>
      <c r="E4184" t="inlineStr">
        <is>
          <t>KROKOM</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51322-2024</t>
        </is>
      </c>
      <c r="B4185" s="1" t="n">
        <v>45604.33195601852</v>
      </c>
      <c r="C4185" s="1" t="n">
        <v>46045</v>
      </c>
      <c r="D4185" t="inlineStr">
        <is>
          <t>JÄMTLANDS LÄN</t>
        </is>
      </c>
      <c r="E4185" t="inlineStr">
        <is>
          <t>HÄRJEDALEN</t>
        </is>
      </c>
      <c r="F4185" t="inlineStr">
        <is>
          <t>Holmen skog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60775-2022</t>
        </is>
      </c>
      <c r="B4186" s="1" t="n">
        <v>44907</v>
      </c>
      <c r="C4186" s="1" t="n">
        <v>46045</v>
      </c>
      <c r="D4186" t="inlineStr">
        <is>
          <t>JÄMTLANDS LÄN</t>
        </is>
      </c>
      <c r="E4186" t="inlineStr">
        <is>
          <t>STRÖMSUND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2376-2023</t>
        </is>
      </c>
      <c r="B4187" s="1" t="n">
        <v>44942</v>
      </c>
      <c r="C4187" s="1" t="n">
        <v>46045</v>
      </c>
      <c r="D4187" t="inlineStr">
        <is>
          <t>JÄMTLANDS LÄN</t>
        </is>
      </c>
      <c r="E4187" t="inlineStr">
        <is>
          <t>ÅRE</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41048-2025</t>
        </is>
      </c>
      <c r="B4188" s="1" t="n">
        <v>45898</v>
      </c>
      <c r="C4188" s="1" t="n">
        <v>46045</v>
      </c>
      <c r="D4188" t="inlineStr">
        <is>
          <t>JÄMTLANDS LÄN</t>
        </is>
      </c>
      <c r="E4188" t="inlineStr">
        <is>
          <t>STRÖMSUND</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41049-2025</t>
        </is>
      </c>
      <c r="B4189" s="1" t="n">
        <v>45898.40252314815</v>
      </c>
      <c r="C4189" s="1" t="n">
        <v>46045</v>
      </c>
      <c r="D4189" t="inlineStr">
        <is>
          <t>JÄMTLANDS LÄN</t>
        </is>
      </c>
      <c r="E4189" t="inlineStr">
        <is>
          <t>BRÄCKE</t>
        </is>
      </c>
      <c r="F4189" t="inlineStr">
        <is>
          <t>Övriga Aktiebolag</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6494-2025</t>
        </is>
      </c>
      <c r="B4190" s="1" t="n">
        <v>45699.63442129629</v>
      </c>
      <c r="C4190" s="1" t="n">
        <v>46045</v>
      </c>
      <c r="D4190" t="inlineStr">
        <is>
          <t>JÄMTLANDS LÄN</t>
        </is>
      </c>
      <c r="E4190" t="inlineStr">
        <is>
          <t>STRÖMSUND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9678-2023</t>
        </is>
      </c>
      <c r="B4191" s="1" t="n">
        <v>44984</v>
      </c>
      <c r="C4191" s="1" t="n">
        <v>46045</v>
      </c>
      <c r="D4191" t="inlineStr">
        <is>
          <t>JÄMTLANDS LÄN</t>
        </is>
      </c>
      <c r="E4191" t="inlineStr">
        <is>
          <t>STRÖMSUND</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41051-2025</t>
        </is>
      </c>
      <c r="B4192" s="1" t="n">
        <v>45898.40267361111</v>
      </c>
      <c r="C4192" s="1" t="n">
        <v>46045</v>
      </c>
      <c r="D4192" t="inlineStr">
        <is>
          <t>JÄMTLANDS LÄN</t>
        </is>
      </c>
      <c r="E4192" t="inlineStr">
        <is>
          <t>HÄRJEDALEN</t>
        </is>
      </c>
      <c r="F4192" t="inlineStr">
        <is>
          <t>Kommuner</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34907-2023</t>
        </is>
      </c>
      <c r="B4193" s="1" t="n">
        <v>45141</v>
      </c>
      <c r="C4193" s="1" t="n">
        <v>46045</v>
      </c>
      <c r="D4193" t="inlineStr">
        <is>
          <t>JÄMTLANDS LÄN</t>
        </is>
      </c>
      <c r="E4193" t="inlineStr">
        <is>
          <t>STRÖMSUND</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7787-2025</t>
        </is>
      </c>
      <c r="B4194" s="1" t="n">
        <v>45706.59251157408</v>
      </c>
      <c r="C4194" s="1" t="n">
        <v>46045</v>
      </c>
      <c r="D4194" t="inlineStr">
        <is>
          <t>JÄMTLANDS LÄN</t>
        </is>
      </c>
      <c r="E4194" t="inlineStr">
        <is>
          <t>KROKOM</t>
        </is>
      </c>
      <c r="F4194" t="inlineStr">
        <is>
          <t>Övriga Aktiebolag</t>
        </is>
      </c>
      <c r="G4194" t="n">
        <v>16.8</v>
      </c>
      <c r="H4194" t="n">
        <v>0</v>
      </c>
      <c r="I4194" t="n">
        <v>0</v>
      </c>
      <c r="J4194" t="n">
        <v>0</v>
      </c>
      <c r="K4194" t="n">
        <v>0</v>
      </c>
      <c r="L4194" t="n">
        <v>0</v>
      </c>
      <c r="M4194" t="n">
        <v>0</v>
      </c>
      <c r="N4194" t="n">
        <v>0</v>
      </c>
      <c r="O4194" t="n">
        <v>0</v>
      </c>
      <c r="P4194" t="n">
        <v>0</v>
      </c>
      <c r="Q4194" t="n">
        <v>0</v>
      </c>
      <c r="R4194" s="2" t="inlineStr"/>
    </row>
    <row r="4195" ht="15" customHeight="1">
      <c r="A4195" t="inlineStr">
        <is>
          <t>A 6527-2025</t>
        </is>
      </c>
      <c r="B4195" s="1" t="n">
        <v>45699</v>
      </c>
      <c r="C4195" s="1" t="n">
        <v>46045</v>
      </c>
      <c r="D4195" t="inlineStr">
        <is>
          <t>JÄMTLANDS LÄN</t>
        </is>
      </c>
      <c r="E4195" t="inlineStr">
        <is>
          <t>STRÖMSUND</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35418-2024</t>
        </is>
      </c>
      <c r="B4196" s="1" t="n">
        <v>45531.40873842593</v>
      </c>
      <c r="C4196" s="1" t="n">
        <v>46045</v>
      </c>
      <c r="D4196" t="inlineStr">
        <is>
          <t>JÄMTLANDS LÄN</t>
        </is>
      </c>
      <c r="E4196" t="inlineStr">
        <is>
          <t>STRÖMSUND</t>
        </is>
      </c>
      <c r="F4196" t="inlineStr">
        <is>
          <t>SCA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40708-2025</t>
        </is>
      </c>
      <c r="B4197" s="1" t="n">
        <v>45897</v>
      </c>
      <c r="C4197" s="1" t="n">
        <v>46045</v>
      </c>
      <c r="D4197" t="inlineStr">
        <is>
          <t>JÄMTLANDS LÄN</t>
        </is>
      </c>
      <c r="E4197" t="inlineStr">
        <is>
          <t>BERG</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56906-2023</t>
        </is>
      </c>
      <c r="B4198" s="1" t="n">
        <v>45244</v>
      </c>
      <c r="C4198" s="1" t="n">
        <v>46045</v>
      </c>
      <c r="D4198" t="inlineStr">
        <is>
          <t>JÄMTLANDS LÄN</t>
        </is>
      </c>
      <c r="E4198" t="inlineStr">
        <is>
          <t>HÄRJEDALEN</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40757-2025</t>
        </is>
      </c>
      <c r="B4199" s="1" t="n">
        <v>45897.39034722222</v>
      </c>
      <c r="C4199" s="1" t="n">
        <v>46045</v>
      </c>
      <c r="D4199" t="inlineStr">
        <is>
          <t>JÄMTLANDS LÄN</t>
        </is>
      </c>
      <c r="E4199" t="inlineStr">
        <is>
          <t>BRÄCKE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40768-2025</t>
        </is>
      </c>
      <c r="B4200" s="1" t="n">
        <v>45897.40685185185</v>
      </c>
      <c r="C4200" s="1" t="n">
        <v>46045</v>
      </c>
      <c r="D4200" t="inlineStr">
        <is>
          <t>JÄMTLANDS LÄN</t>
        </is>
      </c>
      <c r="E4200" t="inlineStr">
        <is>
          <t>STRÖMSUND</t>
        </is>
      </c>
      <c r="F4200" t="inlineStr">
        <is>
          <t>SCA</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54863-2023</t>
        </is>
      </c>
      <c r="B4201" s="1" t="n">
        <v>45236</v>
      </c>
      <c r="C4201" s="1" t="n">
        <v>46045</v>
      </c>
      <c r="D4201" t="inlineStr">
        <is>
          <t>JÄMTLANDS LÄN</t>
        </is>
      </c>
      <c r="E4201" t="inlineStr">
        <is>
          <t>BERG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13166-2023</t>
        </is>
      </c>
      <c r="B4202" s="1" t="n">
        <v>45002</v>
      </c>
      <c r="C4202" s="1" t="n">
        <v>46045</v>
      </c>
      <c r="D4202" t="inlineStr">
        <is>
          <t>JÄMTLANDS LÄN</t>
        </is>
      </c>
      <c r="E4202" t="inlineStr">
        <is>
          <t>ÖSTERSUND</t>
        </is>
      </c>
      <c r="F4202" t="inlineStr">
        <is>
          <t>Övriga statliga verk och myndigheter</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29424-2024</t>
        </is>
      </c>
      <c r="B4203" s="1" t="n">
        <v>45483.71451388889</v>
      </c>
      <c r="C4203" s="1" t="n">
        <v>46045</v>
      </c>
      <c r="D4203" t="inlineStr">
        <is>
          <t>JÄMTLANDS LÄN</t>
        </is>
      </c>
      <c r="E4203" t="inlineStr">
        <is>
          <t>BERG</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49189-2024</t>
        </is>
      </c>
      <c r="B4204" s="1" t="n">
        <v>45595.34502314815</v>
      </c>
      <c r="C4204" s="1" t="n">
        <v>46045</v>
      </c>
      <c r="D4204" t="inlineStr">
        <is>
          <t>JÄMTLANDS LÄN</t>
        </is>
      </c>
      <c r="E4204" t="inlineStr">
        <is>
          <t>BRÄCKE</t>
        </is>
      </c>
      <c r="F4204" t="inlineStr">
        <is>
          <t>SCA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49194-2024</t>
        </is>
      </c>
      <c r="B4205" s="1" t="n">
        <v>45595.35122685185</v>
      </c>
      <c r="C4205" s="1" t="n">
        <v>46045</v>
      </c>
      <c r="D4205" t="inlineStr">
        <is>
          <t>JÄMTLANDS LÄN</t>
        </is>
      </c>
      <c r="E4205" t="inlineStr">
        <is>
          <t>STRÖMSUND</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6213-2025</t>
        </is>
      </c>
      <c r="B4206" s="1" t="n">
        <v>45698.51072916666</v>
      </c>
      <c r="C4206" s="1" t="n">
        <v>46045</v>
      </c>
      <c r="D4206" t="inlineStr">
        <is>
          <t>JÄMTLANDS LÄN</t>
        </is>
      </c>
      <c r="E4206" t="inlineStr">
        <is>
          <t>BRÄCKE</t>
        </is>
      </c>
      <c r="F4206" t="inlineStr">
        <is>
          <t>SCA</t>
        </is>
      </c>
      <c r="G4206" t="n">
        <v>11.4</v>
      </c>
      <c r="H4206" t="n">
        <v>0</v>
      </c>
      <c r="I4206" t="n">
        <v>0</v>
      </c>
      <c r="J4206" t="n">
        <v>0</v>
      </c>
      <c r="K4206" t="n">
        <v>0</v>
      </c>
      <c r="L4206" t="n">
        <v>0</v>
      </c>
      <c r="M4206" t="n">
        <v>0</v>
      </c>
      <c r="N4206" t="n">
        <v>0</v>
      </c>
      <c r="O4206" t="n">
        <v>0</v>
      </c>
      <c r="P4206" t="n">
        <v>0</v>
      </c>
      <c r="Q4206" t="n">
        <v>0</v>
      </c>
      <c r="R4206" s="2" t="inlineStr"/>
    </row>
    <row r="4207" ht="15" customHeight="1">
      <c r="A4207" t="inlineStr">
        <is>
          <t>A 30917-2024</t>
        </is>
      </c>
      <c r="B4207" s="1" t="n">
        <v>45498.66611111111</v>
      </c>
      <c r="C4207" s="1" t="n">
        <v>46045</v>
      </c>
      <c r="D4207" t="inlineStr">
        <is>
          <t>JÄMTLANDS LÄN</t>
        </is>
      </c>
      <c r="E4207" t="inlineStr">
        <is>
          <t>BERG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41060-2025</t>
        </is>
      </c>
      <c r="B4208" s="1" t="n">
        <v>45898.4071875</v>
      </c>
      <c r="C4208" s="1" t="n">
        <v>46045</v>
      </c>
      <c r="D4208" t="inlineStr">
        <is>
          <t>JÄMTLANDS LÄN</t>
        </is>
      </c>
      <c r="E4208" t="inlineStr">
        <is>
          <t>BRÄCKE</t>
        </is>
      </c>
      <c r="F4208" t="inlineStr">
        <is>
          <t>SCA</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41070-2025</t>
        </is>
      </c>
      <c r="B4209" s="1" t="n">
        <v>45898.41540509259</v>
      </c>
      <c r="C4209" s="1" t="n">
        <v>46045</v>
      </c>
      <c r="D4209" t="inlineStr">
        <is>
          <t>JÄMTLANDS LÄN</t>
        </is>
      </c>
      <c r="E4209" t="inlineStr">
        <is>
          <t>HÄRJEDALEN</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40796-2025</t>
        </is>
      </c>
      <c r="B4210" s="1" t="n">
        <v>45897.44951388889</v>
      </c>
      <c r="C4210" s="1" t="n">
        <v>46045</v>
      </c>
      <c r="D4210" t="inlineStr">
        <is>
          <t>JÄMTLANDS LÄN</t>
        </is>
      </c>
      <c r="E4210" t="inlineStr">
        <is>
          <t>KROKOM</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40806-2025</t>
        </is>
      </c>
      <c r="B4211" s="1" t="n">
        <v>45897.46832175926</v>
      </c>
      <c r="C4211" s="1" t="n">
        <v>46045</v>
      </c>
      <c r="D4211" t="inlineStr">
        <is>
          <t>JÄMTLANDS LÄN</t>
        </is>
      </c>
      <c r="E4211" t="inlineStr">
        <is>
          <t>KROKOM</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30992-2024</t>
        </is>
      </c>
      <c r="B4212" s="1" t="n">
        <v>45499</v>
      </c>
      <c r="C4212" s="1" t="n">
        <v>46045</v>
      </c>
      <c r="D4212" t="inlineStr">
        <is>
          <t>JÄMTLANDS LÄN</t>
        </is>
      </c>
      <c r="E4212" t="inlineStr">
        <is>
          <t>BERG</t>
        </is>
      </c>
      <c r="F4212" t="inlineStr">
        <is>
          <t>Sveaskog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40870-2025</t>
        </is>
      </c>
      <c r="B4213" s="1" t="n">
        <v>45897.57402777778</v>
      </c>
      <c r="C4213" s="1" t="n">
        <v>46045</v>
      </c>
      <c r="D4213" t="inlineStr">
        <is>
          <t>JÄMTLANDS LÄN</t>
        </is>
      </c>
      <c r="E4213" t="inlineStr">
        <is>
          <t>STRÖMSUND</t>
        </is>
      </c>
      <c r="F4213" t="inlineStr">
        <is>
          <t>SCA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40873-2025</t>
        </is>
      </c>
      <c r="B4214" s="1" t="n">
        <v>45897.5744675926</v>
      </c>
      <c r="C4214" s="1" t="n">
        <v>46045</v>
      </c>
      <c r="D4214" t="inlineStr">
        <is>
          <t>JÄMTLANDS LÄN</t>
        </is>
      </c>
      <c r="E4214" t="inlineStr">
        <is>
          <t>BERG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48663-2023</t>
        </is>
      </c>
      <c r="B4215" s="1" t="n">
        <v>45202</v>
      </c>
      <c r="C4215" s="1" t="n">
        <v>46045</v>
      </c>
      <c r="D4215" t="inlineStr">
        <is>
          <t>JÄMTLANDS LÄN</t>
        </is>
      </c>
      <c r="E4215" t="inlineStr">
        <is>
          <t>BERG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58740-2023</t>
        </is>
      </c>
      <c r="B4216" s="1" t="n">
        <v>45251.92890046296</v>
      </c>
      <c r="C4216" s="1" t="n">
        <v>46045</v>
      </c>
      <c r="D4216" t="inlineStr">
        <is>
          <t>JÄMTLANDS LÄN</t>
        </is>
      </c>
      <c r="E4216" t="inlineStr">
        <is>
          <t>BRÄCKE</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54039-2021</t>
        </is>
      </c>
      <c r="B4217" s="1" t="n">
        <v>44470.39989583333</v>
      </c>
      <c r="C4217" s="1" t="n">
        <v>46045</v>
      </c>
      <c r="D4217" t="inlineStr">
        <is>
          <t>JÄMTLANDS LÄN</t>
        </is>
      </c>
      <c r="E4217" t="inlineStr">
        <is>
          <t>KROKOM</t>
        </is>
      </c>
      <c r="G4217" t="n">
        <v>9.9</v>
      </c>
      <c r="H4217" t="n">
        <v>0</v>
      </c>
      <c r="I4217" t="n">
        <v>0</v>
      </c>
      <c r="J4217" t="n">
        <v>0</v>
      </c>
      <c r="K4217" t="n">
        <v>0</v>
      </c>
      <c r="L4217" t="n">
        <v>0</v>
      </c>
      <c r="M4217" t="n">
        <v>0</v>
      </c>
      <c r="N4217" t="n">
        <v>0</v>
      </c>
      <c r="O4217" t="n">
        <v>0</v>
      </c>
      <c r="P4217" t="n">
        <v>0</v>
      </c>
      <c r="Q4217" t="n">
        <v>0</v>
      </c>
      <c r="R4217" s="2" t="inlineStr"/>
    </row>
    <row r="4218" ht="15" customHeight="1">
      <c r="A4218" t="inlineStr">
        <is>
          <t>A 4476-2025</t>
        </is>
      </c>
      <c r="B4218" s="1" t="n">
        <v>45686.62828703703</v>
      </c>
      <c r="C4218" s="1" t="n">
        <v>46045</v>
      </c>
      <c r="D4218" t="inlineStr">
        <is>
          <t>JÄMTLANDS LÄN</t>
        </is>
      </c>
      <c r="E4218" t="inlineStr">
        <is>
          <t>BERG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62229-2022</t>
        </is>
      </c>
      <c r="B4219" s="1" t="n">
        <v>44916</v>
      </c>
      <c r="C4219" s="1" t="n">
        <v>46045</v>
      </c>
      <c r="D4219" t="inlineStr">
        <is>
          <t>JÄMTLANDS LÄN</t>
        </is>
      </c>
      <c r="E4219" t="inlineStr">
        <is>
          <t>STRÖMSUND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40867-2025</t>
        </is>
      </c>
      <c r="B4220" s="1" t="n">
        <v>45897.57342592593</v>
      </c>
      <c r="C4220" s="1" t="n">
        <v>46045</v>
      </c>
      <c r="D4220" t="inlineStr">
        <is>
          <t>JÄMTLANDS LÄN</t>
        </is>
      </c>
      <c r="E4220" t="inlineStr">
        <is>
          <t>STRÖMSUND</t>
        </is>
      </c>
      <c r="F4220" t="inlineStr">
        <is>
          <t>SCA</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40871-2025</t>
        </is>
      </c>
      <c r="B4221" s="1" t="n">
        <v>45897.57418981481</v>
      </c>
      <c r="C4221" s="1" t="n">
        <v>46045</v>
      </c>
      <c r="D4221" t="inlineStr">
        <is>
          <t>JÄMTLANDS LÄN</t>
        </is>
      </c>
      <c r="E4221" t="inlineStr">
        <is>
          <t>BRÄCKE</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45081-2022</t>
        </is>
      </c>
      <c r="B4222" s="1" t="n">
        <v>44841</v>
      </c>
      <c r="C4222" s="1" t="n">
        <v>46045</v>
      </c>
      <c r="D4222" t="inlineStr">
        <is>
          <t>JÄMTLANDS LÄN</t>
        </is>
      </c>
      <c r="E4222" t="inlineStr">
        <is>
          <t>BERG</t>
        </is>
      </c>
      <c r="F4222" t="inlineStr">
        <is>
          <t>SCA</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40832-2025</t>
        </is>
      </c>
      <c r="B4223" s="1" t="n">
        <v>45897.51096064815</v>
      </c>
      <c r="C4223" s="1" t="n">
        <v>46045</v>
      </c>
      <c r="D4223" t="inlineStr">
        <is>
          <t>JÄMTLANDS LÄN</t>
        </is>
      </c>
      <c r="E4223" t="inlineStr">
        <is>
          <t>BRÄCKE</t>
        </is>
      </c>
      <c r="F4223" t="inlineStr">
        <is>
          <t>SCA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40902-2025</t>
        </is>
      </c>
      <c r="B4224" s="1" t="n">
        <v>45897.61581018518</v>
      </c>
      <c r="C4224" s="1" t="n">
        <v>46045</v>
      </c>
      <c r="D4224" t="inlineStr">
        <is>
          <t>JÄMTLANDS LÄN</t>
        </is>
      </c>
      <c r="E4224" t="inlineStr">
        <is>
          <t>STRÖMSUND</t>
        </is>
      </c>
      <c r="F4224" t="inlineStr">
        <is>
          <t>SCA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4521-2025</t>
        </is>
      </c>
      <c r="B4225" s="1" t="n">
        <v>45686</v>
      </c>
      <c r="C4225" s="1" t="n">
        <v>46045</v>
      </c>
      <c r="D4225" t="inlineStr">
        <is>
          <t>JÄMTLANDS LÄN</t>
        </is>
      </c>
      <c r="E4225" t="inlineStr">
        <is>
          <t>ÖSTERSUND</t>
        </is>
      </c>
      <c r="G4225" t="n">
        <v>28.4</v>
      </c>
      <c r="H4225" t="n">
        <v>0</v>
      </c>
      <c r="I4225" t="n">
        <v>0</v>
      </c>
      <c r="J4225" t="n">
        <v>0</v>
      </c>
      <c r="K4225" t="n">
        <v>0</v>
      </c>
      <c r="L4225" t="n">
        <v>0</v>
      </c>
      <c r="M4225" t="n">
        <v>0</v>
      </c>
      <c r="N4225" t="n">
        <v>0</v>
      </c>
      <c r="O4225" t="n">
        <v>0</v>
      </c>
      <c r="P4225" t="n">
        <v>0</v>
      </c>
      <c r="Q4225" t="n">
        <v>0</v>
      </c>
      <c r="R4225" s="2" t="inlineStr"/>
    </row>
    <row r="4226" ht="15" customHeight="1">
      <c r="A4226" t="inlineStr">
        <is>
          <t>A 26444-2022</t>
        </is>
      </c>
      <c r="B4226" s="1" t="n">
        <v>44738.93929398148</v>
      </c>
      <c r="C4226" s="1" t="n">
        <v>46045</v>
      </c>
      <c r="D4226" t="inlineStr">
        <is>
          <t>JÄMTLANDS LÄN</t>
        </is>
      </c>
      <c r="E4226" t="inlineStr">
        <is>
          <t>BRÄCKE</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40891-2025</t>
        </is>
      </c>
      <c r="B4227" s="1" t="n">
        <v>45897.60731481481</v>
      </c>
      <c r="C4227" s="1" t="n">
        <v>46045</v>
      </c>
      <c r="D4227" t="inlineStr">
        <is>
          <t>JÄMTLANDS LÄN</t>
        </is>
      </c>
      <c r="E4227" t="inlineStr">
        <is>
          <t>STRÖMSUND</t>
        </is>
      </c>
      <c r="F4227" t="inlineStr">
        <is>
          <t>Holmen skog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40903-2025</t>
        </is>
      </c>
      <c r="B4228" s="1" t="n">
        <v>45897.61609953704</v>
      </c>
      <c r="C4228" s="1" t="n">
        <v>46045</v>
      </c>
      <c r="D4228" t="inlineStr">
        <is>
          <t>JÄMTLANDS LÄN</t>
        </is>
      </c>
      <c r="E4228" t="inlineStr">
        <is>
          <t>BRÄCKE</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40905-2025</t>
        </is>
      </c>
      <c r="B4229" s="1" t="n">
        <v>45897.61626157408</v>
      </c>
      <c r="C4229" s="1" t="n">
        <v>46045</v>
      </c>
      <c r="D4229" t="inlineStr">
        <is>
          <t>JÄMTLANDS LÄN</t>
        </is>
      </c>
      <c r="E4229" t="inlineStr">
        <is>
          <t>STRÖMSUND</t>
        </is>
      </c>
      <c r="F4229" t="inlineStr">
        <is>
          <t>SCA</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41304-2025</t>
        </is>
      </c>
      <c r="B4230" s="1" t="n">
        <v>45898.69829861111</v>
      </c>
      <c r="C4230" s="1" t="n">
        <v>46045</v>
      </c>
      <c r="D4230" t="inlineStr">
        <is>
          <t>JÄMTLANDS LÄN</t>
        </is>
      </c>
      <c r="E4230" t="inlineStr">
        <is>
          <t>STRÖMSUND</t>
        </is>
      </c>
      <c r="F4230" t="inlineStr">
        <is>
          <t>SCA</t>
        </is>
      </c>
      <c r="G4230" t="n">
        <v>9.699999999999999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29431-2023</t>
        </is>
      </c>
      <c r="B4231" s="1" t="n">
        <v>45106</v>
      </c>
      <c r="C4231" s="1" t="n">
        <v>46045</v>
      </c>
      <c r="D4231" t="inlineStr">
        <is>
          <t>JÄMTLANDS LÄN</t>
        </is>
      </c>
      <c r="E4231" t="inlineStr">
        <is>
          <t>HÄRJEDALEN</t>
        </is>
      </c>
      <c r="F4231" t="inlineStr">
        <is>
          <t>Bergvik skog väst AB</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41094-2025</t>
        </is>
      </c>
      <c r="B4232" s="1" t="n">
        <v>45898.44246527777</v>
      </c>
      <c r="C4232" s="1" t="n">
        <v>46045</v>
      </c>
      <c r="D4232" t="inlineStr">
        <is>
          <t>JÄMTLANDS LÄN</t>
        </is>
      </c>
      <c r="E4232" t="inlineStr">
        <is>
          <t>BRÄCKE</t>
        </is>
      </c>
      <c r="F4232" t="inlineStr">
        <is>
          <t>Övriga Aktiebolag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20803-2021</t>
        </is>
      </c>
      <c r="B4233" s="1" t="n">
        <v>44316</v>
      </c>
      <c r="C4233" s="1" t="n">
        <v>46045</v>
      </c>
      <c r="D4233" t="inlineStr">
        <is>
          <t>JÄMTLANDS LÄN</t>
        </is>
      </c>
      <c r="E4233" t="inlineStr">
        <is>
          <t>BRÄCKE</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8775-2025</t>
        </is>
      </c>
      <c r="B4234" s="1" t="n">
        <v>45712.61502314815</v>
      </c>
      <c r="C4234" s="1" t="n">
        <v>46045</v>
      </c>
      <c r="D4234" t="inlineStr">
        <is>
          <t>JÄMTLANDS LÄN</t>
        </is>
      </c>
      <c r="E4234" t="inlineStr">
        <is>
          <t>RAGUNDA</t>
        </is>
      </c>
      <c r="F4234" t="inlineStr">
        <is>
          <t>SCA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8808-2025</t>
        </is>
      </c>
      <c r="B4235" s="1" t="n">
        <v>45712.67740740741</v>
      </c>
      <c r="C4235" s="1" t="n">
        <v>46045</v>
      </c>
      <c r="D4235" t="inlineStr">
        <is>
          <t>JÄMTLANDS LÄN</t>
        </is>
      </c>
      <c r="E4235" t="inlineStr">
        <is>
          <t>STRÖMSUND</t>
        </is>
      </c>
      <c r="F4235" t="inlineStr">
        <is>
          <t>SCA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52712-2022</t>
        </is>
      </c>
      <c r="B4236" s="1" t="n">
        <v>44874</v>
      </c>
      <c r="C4236" s="1" t="n">
        <v>46045</v>
      </c>
      <c r="D4236" t="inlineStr">
        <is>
          <t>JÄMTLANDS LÄN</t>
        </is>
      </c>
      <c r="E4236" t="inlineStr">
        <is>
          <t>BRÄCKE</t>
        </is>
      </c>
      <c r="F4236" t="inlineStr">
        <is>
          <t>SCA</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52713-2022</t>
        </is>
      </c>
      <c r="B4237" s="1" t="n">
        <v>44874.95504629629</v>
      </c>
      <c r="C4237" s="1" t="n">
        <v>46045</v>
      </c>
      <c r="D4237" t="inlineStr">
        <is>
          <t>JÄMTLANDS LÄN</t>
        </is>
      </c>
      <c r="E4237" t="inlineStr">
        <is>
          <t>BRÄCKE</t>
        </is>
      </c>
      <c r="F4237" t="inlineStr">
        <is>
          <t>SCA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46597-2022</t>
        </is>
      </c>
      <c r="B4238" s="1" t="n">
        <v>44848</v>
      </c>
      <c r="C4238" s="1" t="n">
        <v>46045</v>
      </c>
      <c r="D4238" t="inlineStr">
        <is>
          <t>JÄMTLANDS LÄN</t>
        </is>
      </c>
      <c r="E4238" t="inlineStr">
        <is>
          <t>BRÄCKE</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41195-2025</t>
        </is>
      </c>
      <c r="B4239" s="1" t="n">
        <v>45898.57331018519</v>
      </c>
      <c r="C4239" s="1" t="n">
        <v>46045</v>
      </c>
      <c r="D4239" t="inlineStr">
        <is>
          <t>JÄMTLANDS LÄN</t>
        </is>
      </c>
      <c r="E4239" t="inlineStr">
        <is>
          <t>BRÄCKE</t>
        </is>
      </c>
      <c r="F4239" t="inlineStr">
        <is>
          <t>SCA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35792-2024</t>
        </is>
      </c>
      <c r="B4240" s="1" t="n">
        <v>45532.62950231481</v>
      </c>
      <c r="C4240" s="1" t="n">
        <v>46045</v>
      </c>
      <c r="D4240" t="inlineStr">
        <is>
          <t>JÄMTLANDS LÄN</t>
        </is>
      </c>
      <c r="E4240" t="inlineStr">
        <is>
          <t>BERG</t>
        </is>
      </c>
      <c r="F4240" t="inlineStr">
        <is>
          <t>SCA</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41257-2025</t>
        </is>
      </c>
      <c r="B4241" s="1" t="n">
        <v>45898.6084375</v>
      </c>
      <c r="C4241" s="1" t="n">
        <v>46045</v>
      </c>
      <c r="D4241" t="inlineStr">
        <is>
          <t>JÄMTLANDS LÄN</t>
        </is>
      </c>
      <c r="E4241" t="inlineStr">
        <is>
          <t>BRÄCKE</t>
        </is>
      </c>
      <c r="F4241" t="inlineStr">
        <is>
          <t>Övriga Aktiebolag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35904-2024</t>
        </is>
      </c>
      <c r="B4242" s="1" t="n">
        <v>45533.40658564815</v>
      </c>
      <c r="C4242" s="1" t="n">
        <v>46045</v>
      </c>
      <c r="D4242" t="inlineStr">
        <is>
          <t>JÄMTLANDS LÄN</t>
        </is>
      </c>
      <c r="E4242" t="inlineStr">
        <is>
          <t>STRÖMSUND</t>
        </is>
      </c>
      <c r="F4242" t="inlineStr">
        <is>
          <t>SCA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41265-2025</t>
        </is>
      </c>
      <c r="B4243" s="1" t="n">
        <v>45898.6153587963</v>
      </c>
      <c r="C4243" s="1" t="n">
        <v>46045</v>
      </c>
      <c r="D4243" t="inlineStr">
        <is>
          <t>JÄMTLANDS LÄN</t>
        </is>
      </c>
      <c r="E4243" t="inlineStr">
        <is>
          <t>BERG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40714-2025</t>
        </is>
      </c>
      <c r="B4244" s="1" t="n">
        <v>45897.34424768519</v>
      </c>
      <c r="C4244" s="1" t="n">
        <v>46045</v>
      </c>
      <c r="D4244" t="inlineStr">
        <is>
          <t>JÄMTLANDS LÄN</t>
        </is>
      </c>
      <c r="E4244" t="inlineStr">
        <is>
          <t>STRÖMSUND</t>
        </is>
      </c>
      <c r="F4244" t="inlineStr">
        <is>
          <t>SCA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2064-2024</t>
        </is>
      </c>
      <c r="B4245" s="1" t="n">
        <v>45308</v>
      </c>
      <c r="C4245" s="1" t="n">
        <v>46045</v>
      </c>
      <c r="D4245" t="inlineStr">
        <is>
          <t>JÄMTLANDS LÄN</t>
        </is>
      </c>
      <c r="E4245" t="inlineStr">
        <is>
          <t>BRÄCKE</t>
        </is>
      </c>
      <c r="F4245" t="inlineStr">
        <is>
          <t>SCA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41233-2025</t>
        </is>
      </c>
      <c r="B4246" s="1" t="n">
        <v>45898.59295138889</v>
      </c>
      <c r="C4246" s="1" t="n">
        <v>46045</v>
      </c>
      <c r="D4246" t="inlineStr">
        <is>
          <t>JÄMTLANDS LÄN</t>
        </is>
      </c>
      <c r="E4246" t="inlineStr">
        <is>
          <t>RAGUNDA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66488-2021</t>
        </is>
      </c>
      <c r="B4247" s="1" t="n">
        <v>44518.94496527778</v>
      </c>
      <c r="C4247" s="1" t="n">
        <v>46045</v>
      </c>
      <c r="D4247" t="inlineStr">
        <is>
          <t>JÄMTLANDS LÄN</t>
        </is>
      </c>
      <c r="E4247" t="inlineStr">
        <is>
          <t>STRÖMSUND</t>
        </is>
      </c>
      <c r="F4247" t="inlineStr">
        <is>
          <t>SCA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26100-2021</t>
        </is>
      </c>
      <c r="B4248" s="1" t="n">
        <v>44344.93584490741</v>
      </c>
      <c r="C4248" s="1" t="n">
        <v>46045</v>
      </c>
      <c r="D4248" t="inlineStr">
        <is>
          <t>JÄMTLANDS LÄN</t>
        </is>
      </c>
      <c r="E4248" t="inlineStr">
        <is>
          <t>BRÄCKE</t>
        </is>
      </c>
      <c r="F4248" t="inlineStr">
        <is>
          <t>SCA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41262-2025</t>
        </is>
      </c>
      <c r="B4249" s="1" t="n">
        <v>45898.61502314815</v>
      </c>
      <c r="C4249" s="1" t="n">
        <v>46045</v>
      </c>
      <c r="D4249" t="inlineStr">
        <is>
          <t>JÄMTLANDS LÄN</t>
        </is>
      </c>
      <c r="E4249" t="inlineStr">
        <is>
          <t>RAGUNDA</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41263-2025</t>
        </is>
      </c>
      <c r="B4250" s="1" t="n">
        <v>45898.61517361111</v>
      </c>
      <c r="C4250" s="1" t="n">
        <v>46045</v>
      </c>
      <c r="D4250" t="inlineStr">
        <is>
          <t>JÄMTLANDS LÄN</t>
        </is>
      </c>
      <c r="E4250" t="inlineStr">
        <is>
          <t>BERG</t>
        </is>
      </c>
      <c r="F4250" t="inlineStr">
        <is>
          <t>SCA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8052-2022</t>
        </is>
      </c>
      <c r="B4251" s="1" t="n">
        <v>44609</v>
      </c>
      <c r="C4251" s="1" t="n">
        <v>46045</v>
      </c>
      <c r="D4251" t="inlineStr">
        <is>
          <t>JÄMTLANDS LÄN</t>
        </is>
      </c>
      <c r="E4251" t="inlineStr">
        <is>
          <t>BRÄCKE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40732-2025</t>
        </is>
      </c>
      <c r="B4252" s="1" t="n">
        <v>45897</v>
      </c>
      <c r="C4252" s="1" t="n">
        <v>46045</v>
      </c>
      <c r="D4252" t="inlineStr">
        <is>
          <t>JÄMTLANDS LÄN</t>
        </is>
      </c>
      <c r="E4252" t="inlineStr">
        <is>
          <t>STRÖMSUND</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40737-2025</t>
        </is>
      </c>
      <c r="B4253" s="1" t="n">
        <v>45897.36572916667</v>
      </c>
      <c r="C4253" s="1" t="n">
        <v>46045</v>
      </c>
      <c r="D4253" t="inlineStr">
        <is>
          <t>JÄMTLANDS LÄN</t>
        </is>
      </c>
      <c r="E4253" t="inlineStr">
        <is>
          <t>BERG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41020-2025</t>
        </is>
      </c>
      <c r="B4254" s="1" t="n">
        <v>45898.36521990741</v>
      </c>
      <c r="C4254" s="1" t="n">
        <v>46045</v>
      </c>
      <c r="D4254" t="inlineStr">
        <is>
          <t>JÄMTLANDS LÄN</t>
        </is>
      </c>
      <c r="E4254" t="inlineStr">
        <is>
          <t>STRÖMSUND</t>
        </is>
      </c>
      <c r="F4254" t="inlineStr">
        <is>
          <t>SCA</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41026-2025</t>
        </is>
      </c>
      <c r="B4255" s="1" t="n">
        <v>45898.36888888889</v>
      </c>
      <c r="C4255" s="1" t="n">
        <v>46045</v>
      </c>
      <c r="D4255" t="inlineStr">
        <is>
          <t>JÄMTLANDS LÄN</t>
        </is>
      </c>
      <c r="E4255" t="inlineStr">
        <is>
          <t>BRÄCKE</t>
        </is>
      </c>
      <c r="F4255" t="inlineStr">
        <is>
          <t>Övriga Aktiebolag</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50486-2023</t>
        </is>
      </c>
      <c r="B4256" s="1" t="n">
        <v>45216.92424768519</v>
      </c>
      <c r="C4256" s="1" t="n">
        <v>46045</v>
      </c>
      <c r="D4256" t="inlineStr">
        <is>
          <t>JÄMTLANDS LÄN</t>
        </is>
      </c>
      <c r="E4256" t="inlineStr">
        <is>
          <t>RAGUNDA</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233-2023</t>
        </is>
      </c>
      <c r="B4257" s="1" t="n">
        <v>44922</v>
      </c>
      <c r="C4257" s="1" t="n">
        <v>46045</v>
      </c>
      <c r="D4257" t="inlineStr">
        <is>
          <t>JÄMTLANDS LÄN</t>
        </is>
      </c>
      <c r="E4257" t="inlineStr">
        <is>
          <t>KROKOM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41197-2025</t>
        </is>
      </c>
      <c r="B4258" s="1" t="n">
        <v>45898.5734837963</v>
      </c>
      <c r="C4258" s="1" t="n">
        <v>46045</v>
      </c>
      <c r="D4258" t="inlineStr">
        <is>
          <t>JÄMTLANDS LÄN</t>
        </is>
      </c>
      <c r="E4258" t="inlineStr">
        <is>
          <t>STRÖMSUND</t>
        </is>
      </c>
      <c r="F4258" t="inlineStr">
        <is>
          <t>SCA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50821-2024</t>
        </is>
      </c>
      <c r="B4259" s="1" t="n">
        <v>45602</v>
      </c>
      <c r="C4259" s="1" t="n">
        <v>46045</v>
      </c>
      <c r="D4259" t="inlineStr">
        <is>
          <t>JÄMTLANDS LÄN</t>
        </is>
      </c>
      <c r="E4259" t="inlineStr">
        <is>
          <t>KROKOM</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40748-2025</t>
        </is>
      </c>
      <c r="B4260" s="1" t="n">
        <v>45897.38009259259</v>
      </c>
      <c r="C4260" s="1" t="n">
        <v>46045</v>
      </c>
      <c r="D4260" t="inlineStr">
        <is>
          <t>JÄMTLANDS LÄN</t>
        </is>
      </c>
      <c r="E4260" t="inlineStr">
        <is>
          <t>BRÄCKE</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41290-2025</t>
        </is>
      </c>
      <c r="B4261" s="1" t="n">
        <v>45898.64267361111</v>
      </c>
      <c r="C4261" s="1" t="n">
        <v>46045</v>
      </c>
      <c r="D4261" t="inlineStr">
        <is>
          <t>JÄMTLANDS LÄN</t>
        </is>
      </c>
      <c r="E4261" t="inlineStr">
        <is>
          <t>KROKOM</t>
        </is>
      </c>
      <c r="G4261" t="n">
        <v>17.1</v>
      </c>
      <c r="H4261" t="n">
        <v>0</v>
      </c>
      <c r="I4261" t="n">
        <v>0</v>
      </c>
      <c r="J4261" t="n">
        <v>0</v>
      </c>
      <c r="K4261" t="n">
        <v>0</v>
      </c>
      <c r="L4261" t="n">
        <v>0</v>
      </c>
      <c r="M4261" t="n">
        <v>0</v>
      </c>
      <c r="N4261" t="n">
        <v>0</v>
      </c>
      <c r="O4261" t="n">
        <v>0</v>
      </c>
      <c r="P4261" t="n">
        <v>0</v>
      </c>
      <c r="Q4261" t="n">
        <v>0</v>
      </c>
      <c r="R4261" s="2" t="inlineStr"/>
    </row>
    <row r="4262" ht="15" customHeight="1">
      <c r="A4262" t="inlineStr">
        <is>
          <t>A 34801-2023</t>
        </is>
      </c>
      <c r="B4262" s="1" t="n">
        <v>45140</v>
      </c>
      <c r="C4262" s="1" t="n">
        <v>46045</v>
      </c>
      <c r="D4262" t="inlineStr">
        <is>
          <t>JÄMTLANDS LÄN</t>
        </is>
      </c>
      <c r="E4262" t="inlineStr">
        <is>
          <t>KROKOM</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41019-2025</t>
        </is>
      </c>
      <c r="B4263" s="1" t="n">
        <v>45898.36513888889</v>
      </c>
      <c r="C4263" s="1" t="n">
        <v>46045</v>
      </c>
      <c r="D4263" t="inlineStr">
        <is>
          <t>JÄMTLANDS LÄN</t>
        </is>
      </c>
      <c r="E4263" t="inlineStr">
        <is>
          <t>STRÖMSUND</t>
        </is>
      </c>
      <c r="F4263" t="inlineStr">
        <is>
          <t>SCA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40966-2025</t>
        </is>
      </c>
      <c r="B4264" s="1" t="n">
        <v>45897.77532407407</v>
      </c>
      <c r="C4264" s="1" t="n">
        <v>46045</v>
      </c>
      <c r="D4264" t="inlineStr">
        <is>
          <t>JÄMTLANDS LÄN</t>
        </is>
      </c>
      <c r="E4264" t="inlineStr">
        <is>
          <t>STRÖMSUND</t>
        </is>
      </c>
      <c r="F4264" t="inlineStr">
        <is>
          <t>SCA</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40998-2025</t>
        </is>
      </c>
      <c r="B4265" s="1" t="n">
        <v>45898.3446875</v>
      </c>
      <c r="C4265" s="1" t="n">
        <v>46045</v>
      </c>
      <c r="D4265" t="inlineStr">
        <is>
          <t>JÄMTLANDS LÄN</t>
        </is>
      </c>
      <c r="E4265" t="inlineStr">
        <is>
          <t>STRÖMSUND</t>
        </is>
      </c>
      <c r="F4265" t="inlineStr">
        <is>
          <t>SCA</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59969-2023</t>
        </is>
      </c>
      <c r="B4266" s="1" t="n">
        <v>45254</v>
      </c>
      <c r="C4266" s="1" t="n">
        <v>46045</v>
      </c>
      <c r="D4266" t="inlineStr">
        <is>
          <t>JÄMTLANDS LÄN</t>
        </is>
      </c>
      <c r="E4266" t="inlineStr">
        <is>
          <t>STRÖMSUND</t>
        </is>
      </c>
      <c r="G4266" t="n">
        <v>23.3</v>
      </c>
      <c r="H4266" t="n">
        <v>0</v>
      </c>
      <c r="I4266" t="n">
        <v>0</v>
      </c>
      <c r="J4266" t="n">
        <v>0</v>
      </c>
      <c r="K4266" t="n">
        <v>0</v>
      </c>
      <c r="L4266" t="n">
        <v>0</v>
      </c>
      <c r="M4266" t="n">
        <v>0</v>
      </c>
      <c r="N4266" t="n">
        <v>0</v>
      </c>
      <c r="O4266" t="n">
        <v>0</v>
      </c>
      <c r="P4266" t="n">
        <v>0</v>
      </c>
      <c r="Q4266" t="n">
        <v>0</v>
      </c>
      <c r="R4266" s="2" t="inlineStr"/>
    </row>
    <row r="4267" ht="15" customHeight="1">
      <c r="A4267" t="inlineStr">
        <is>
          <t>A 8776-2025</t>
        </is>
      </c>
      <c r="B4267" s="1" t="n">
        <v>45712.61510416667</v>
      </c>
      <c r="C4267" s="1" t="n">
        <v>46045</v>
      </c>
      <c r="D4267" t="inlineStr">
        <is>
          <t>JÄMTLANDS LÄN</t>
        </is>
      </c>
      <c r="E4267" t="inlineStr">
        <is>
          <t>RAGUNDA</t>
        </is>
      </c>
      <c r="F4267" t="inlineStr">
        <is>
          <t>SCA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40775-2023</t>
        </is>
      </c>
      <c r="B4268" s="1" t="n">
        <v>45170.95685185185</v>
      </c>
      <c r="C4268" s="1" t="n">
        <v>46045</v>
      </c>
      <c r="D4268" t="inlineStr">
        <is>
          <t>JÄMTLANDS LÄN</t>
        </is>
      </c>
      <c r="E4268" t="inlineStr">
        <is>
          <t>BRÄCKE</t>
        </is>
      </c>
      <c r="F4268" t="inlineStr">
        <is>
          <t>SCA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50151-2023</t>
        </is>
      </c>
      <c r="B4269" s="1" t="n">
        <v>45208</v>
      </c>
      <c r="C4269" s="1" t="n">
        <v>46045</v>
      </c>
      <c r="D4269" t="inlineStr">
        <is>
          <t>JÄMTLANDS LÄN</t>
        </is>
      </c>
      <c r="E4269" t="inlineStr">
        <is>
          <t>BRÄCKE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40908-2025</t>
        </is>
      </c>
      <c r="B4270" s="1" t="n">
        <v>45897.61657407408</v>
      </c>
      <c r="C4270" s="1" t="n">
        <v>46045</v>
      </c>
      <c r="D4270" t="inlineStr">
        <is>
          <t>JÄMTLANDS LÄN</t>
        </is>
      </c>
      <c r="E4270" t="inlineStr">
        <is>
          <t>BRÄCKE</t>
        </is>
      </c>
      <c r="F4270" t="inlineStr">
        <is>
          <t>SCA</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5911-2024</t>
        </is>
      </c>
      <c r="B4271" s="1" t="n">
        <v>45335</v>
      </c>
      <c r="C4271" s="1" t="n">
        <v>46045</v>
      </c>
      <c r="D4271" t="inlineStr">
        <is>
          <t>JÄMTLANDS LÄN</t>
        </is>
      </c>
      <c r="E4271" t="inlineStr">
        <is>
          <t>BERG</t>
        </is>
      </c>
      <c r="F4271" t="inlineStr">
        <is>
          <t>SCA</t>
        </is>
      </c>
      <c r="G4271" t="n">
        <v>28.6</v>
      </c>
      <c r="H4271" t="n">
        <v>0</v>
      </c>
      <c r="I4271" t="n">
        <v>0</v>
      </c>
      <c r="J4271" t="n">
        <v>0</v>
      </c>
      <c r="K4271" t="n">
        <v>0</v>
      </c>
      <c r="L4271" t="n">
        <v>0</v>
      </c>
      <c r="M4271" t="n">
        <v>0</v>
      </c>
      <c r="N4271" t="n">
        <v>0</v>
      </c>
      <c r="O4271" t="n">
        <v>0</v>
      </c>
      <c r="P4271" t="n">
        <v>0</v>
      </c>
      <c r="Q4271" t="n">
        <v>0</v>
      </c>
      <c r="R4271" s="2" t="inlineStr"/>
    </row>
    <row r="4272" ht="15" customHeight="1">
      <c r="A4272" t="inlineStr">
        <is>
          <t>A 172-2025</t>
        </is>
      </c>
      <c r="B4272" s="1" t="n">
        <v>45659.6565625</v>
      </c>
      <c r="C4272" s="1" t="n">
        <v>46045</v>
      </c>
      <c r="D4272" t="inlineStr">
        <is>
          <t>JÄMTLANDS LÄN</t>
        </is>
      </c>
      <c r="E4272" t="inlineStr">
        <is>
          <t>BRÄCKE</t>
        </is>
      </c>
      <c r="F4272" t="inlineStr">
        <is>
          <t>SCA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40959-2025</t>
        </is>
      </c>
      <c r="B4273" s="1" t="n">
        <v>45897.67890046296</v>
      </c>
      <c r="C4273" s="1" t="n">
        <v>46045</v>
      </c>
      <c r="D4273" t="inlineStr">
        <is>
          <t>JÄMTLANDS LÄN</t>
        </is>
      </c>
      <c r="E4273" t="inlineStr">
        <is>
          <t>BRÄCKE</t>
        </is>
      </c>
      <c r="F4273" t="inlineStr">
        <is>
          <t>Naturvårdsverket</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40960-2025</t>
        </is>
      </c>
      <c r="B4274" s="1" t="n">
        <v>45897.67907407408</v>
      </c>
      <c r="C4274" s="1" t="n">
        <v>46045</v>
      </c>
      <c r="D4274" t="inlineStr">
        <is>
          <t>JÄMTLANDS LÄN</t>
        </is>
      </c>
      <c r="E4274" t="inlineStr">
        <is>
          <t>STRÖMSUND</t>
        </is>
      </c>
      <c r="F4274" t="inlineStr">
        <is>
          <t>SCA</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26721-2023</t>
        </is>
      </c>
      <c r="B4275" s="1" t="n">
        <v>45090</v>
      </c>
      <c r="C4275" s="1" t="n">
        <v>46045</v>
      </c>
      <c r="D4275" t="inlineStr">
        <is>
          <t>JÄMTLANDS LÄN</t>
        </is>
      </c>
      <c r="E4275" t="inlineStr">
        <is>
          <t>KROKOM</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25775-2024</t>
        </is>
      </c>
      <c r="B4276" s="1" t="n">
        <v>45466.62116898148</v>
      </c>
      <c r="C4276" s="1" t="n">
        <v>46045</v>
      </c>
      <c r="D4276" t="inlineStr">
        <is>
          <t>JÄMTLANDS LÄN</t>
        </is>
      </c>
      <c r="E4276" t="inlineStr">
        <is>
          <t>KROKOM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40693-2024</t>
        </is>
      </c>
      <c r="B4277" s="1" t="n">
        <v>45558.40670138889</v>
      </c>
      <c r="C4277" s="1" t="n">
        <v>46045</v>
      </c>
      <c r="D4277" t="inlineStr">
        <is>
          <t>JÄMTLANDS LÄN</t>
        </is>
      </c>
      <c r="E4277" t="inlineStr">
        <is>
          <t>BRÄCKE</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1983-2022</t>
        </is>
      </c>
      <c r="B4278" s="1" t="n">
        <v>44575</v>
      </c>
      <c r="C4278" s="1" t="n">
        <v>46045</v>
      </c>
      <c r="D4278" t="inlineStr">
        <is>
          <t>JÄMTLANDS LÄN</t>
        </is>
      </c>
      <c r="E4278" t="inlineStr">
        <is>
          <t>BERG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2002-2022</t>
        </is>
      </c>
      <c r="B4279" s="1" t="n">
        <v>44575</v>
      </c>
      <c r="C4279" s="1" t="n">
        <v>46045</v>
      </c>
      <c r="D4279" t="inlineStr">
        <is>
          <t>JÄMTLANDS LÄN</t>
        </is>
      </c>
      <c r="E4279" t="inlineStr">
        <is>
          <t>BERG</t>
        </is>
      </c>
      <c r="G4279" t="n">
        <v>11.3</v>
      </c>
      <c r="H4279" t="n">
        <v>0</v>
      </c>
      <c r="I4279" t="n">
        <v>0</v>
      </c>
      <c r="J4279" t="n">
        <v>0</v>
      </c>
      <c r="K4279" t="n">
        <v>0</v>
      </c>
      <c r="L4279" t="n">
        <v>0</v>
      </c>
      <c r="M4279" t="n">
        <v>0</v>
      </c>
      <c r="N4279" t="n">
        <v>0</v>
      </c>
      <c r="O4279" t="n">
        <v>0</v>
      </c>
      <c r="P4279" t="n">
        <v>0</v>
      </c>
      <c r="Q4279" t="n">
        <v>0</v>
      </c>
      <c r="R4279" s="2" t="inlineStr"/>
    </row>
    <row r="4280" ht="15" customHeight="1">
      <c r="A4280" t="inlineStr">
        <is>
          <t>A 30488-2024</t>
        </is>
      </c>
      <c r="B4280" s="1" t="n">
        <v>45491.95037037037</v>
      </c>
      <c r="C4280" s="1" t="n">
        <v>46045</v>
      </c>
      <c r="D4280" t="inlineStr">
        <is>
          <t>JÄMTLANDS LÄN</t>
        </is>
      </c>
      <c r="E4280" t="inlineStr">
        <is>
          <t>BRÄCKE</t>
        </is>
      </c>
      <c r="F4280" t="inlineStr">
        <is>
          <t>Naturvårdsverket</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10422-2024</t>
        </is>
      </c>
      <c r="B4281" s="1" t="n">
        <v>45365</v>
      </c>
      <c r="C4281" s="1" t="n">
        <v>46045</v>
      </c>
      <c r="D4281" t="inlineStr">
        <is>
          <t>JÄMTLANDS LÄN</t>
        </is>
      </c>
      <c r="E4281" t="inlineStr">
        <is>
          <t>STRÖMSUND</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12889-2024</t>
        </is>
      </c>
      <c r="B4282" s="1" t="n">
        <v>45385</v>
      </c>
      <c r="C4282" s="1" t="n">
        <v>46045</v>
      </c>
      <c r="D4282" t="inlineStr">
        <is>
          <t>JÄMTLANDS LÄN</t>
        </is>
      </c>
      <c r="E4282" t="inlineStr">
        <is>
          <t>BRÄCKE</t>
        </is>
      </c>
      <c r="F4282" t="inlineStr">
        <is>
          <t>Kyrkan</t>
        </is>
      </c>
      <c r="G4282" t="n">
        <v>12.1</v>
      </c>
      <c r="H4282" t="n">
        <v>0</v>
      </c>
      <c r="I4282" t="n">
        <v>0</v>
      </c>
      <c r="J4282" t="n">
        <v>0</v>
      </c>
      <c r="K4282" t="n">
        <v>0</v>
      </c>
      <c r="L4282" t="n">
        <v>0</v>
      </c>
      <c r="M4282" t="n">
        <v>0</v>
      </c>
      <c r="N4282" t="n">
        <v>0</v>
      </c>
      <c r="O4282" t="n">
        <v>0</v>
      </c>
      <c r="P4282" t="n">
        <v>0</v>
      </c>
      <c r="Q4282" t="n">
        <v>0</v>
      </c>
      <c r="R4282" s="2" t="inlineStr"/>
    </row>
    <row r="4283" ht="15" customHeight="1">
      <c r="A4283" t="inlineStr">
        <is>
          <t>A 36083-2024</t>
        </is>
      </c>
      <c r="B4283" s="1" t="n">
        <v>45533.67138888889</v>
      </c>
      <c r="C4283" s="1" t="n">
        <v>46045</v>
      </c>
      <c r="D4283" t="inlineStr">
        <is>
          <t>JÄMTLANDS LÄN</t>
        </is>
      </c>
      <c r="E4283" t="inlineStr">
        <is>
          <t>HÄRJEDALEN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41266-2024</t>
        </is>
      </c>
      <c r="B4284" s="1" t="n">
        <v>45559</v>
      </c>
      <c r="C4284" s="1" t="n">
        <v>46045</v>
      </c>
      <c r="D4284" t="inlineStr">
        <is>
          <t>JÄMTLANDS LÄN</t>
        </is>
      </c>
      <c r="E4284" t="inlineStr">
        <is>
          <t>ÅRE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41283-2024</t>
        </is>
      </c>
      <c r="B4285" s="1" t="n">
        <v>45559.59509259259</v>
      </c>
      <c r="C4285" s="1" t="n">
        <v>46045</v>
      </c>
      <c r="D4285" t="inlineStr">
        <is>
          <t>JÄMTLANDS LÄN</t>
        </is>
      </c>
      <c r="E4285" t="inlineStr">
        <is>
          <t>STRÖMSUND</t>
        </is>
      </c>
      <c r="F4285" t="inlineStr">
        <is>
          <t>SCA</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39186-2024</t>
        </is>
      </c>
      <c r="B4286" s="1" t="n">
        <v>45548.66489583333</v>
      </c>
      <c r="C4286" s="1" t="n">
        <v>46045</v>
      </c>
      <c r="D4286" t="inlineStr">
        <is>
          <t>JÄMTLANDS LÄN</t>
        </is>
      </c>
      <c r="E4286" t="inlineStr">
        <is>
          <t>BERG</t>
        </is>
      </c>
      <c r="G4286" t="n">
        <v>38.4</v>
      </c>
      <c r="H4286" t="n">
        <v>0</v>
      </c>
      <c r="I4286" t="n">
        <v>0</v>
      </c>
      <c r="J4286" t="n">
        <v>0</v>
      </c>
      <c r="K4286" t="n">
        <v>0</v>
      </c>
      <c r="L4286" t="n">
        <v>0</v>
      </c>
      <c r="M4286" t="n">
        <v>0</v>
      </c>
      <c r="N4286" t="n">
        <v>0</v>
      </c>
      <c r="O4286" t="n">
        <v>0</v>
      </c>
      <c r="P4286" t="n">
        <v>0</v>
      </c>
      <c r="Q4286" t="n">
        <v>0</v>
      </c>
      <c r="R4286" s="2" t="inlineStr"/>
    </row>
    <row r="4287" ht="15" customHeight="1">
      <c r="A4287" t="inlineStr">
        <is>
          <t>A 41664-2025</t>
        </is>
      </c>
      <c r="B4287" s="1" t="n">
        <v>45902.35612268518</v>
      </c>
      <c r="C4287" s="1" t="n">
        <v>46045</v>
      </c>
      <c r="D4287" t="inlineStr">
        <is>
          <t>JÄMTLANDS LÄN</t>
        </is>
      </c>
      <c r="E4287" t="inlineStr">
        <is>
          <t>HÄRJEDALEN</t>
        </is>
      </c>
      <c r="F4287" t="inlineStr">
        <is>
          <t>Holmen skog AB</t>
        </is>
      </c>
      <c r="G4287" t="n">
        <v>18.7</v>
      </c>
      <c r="H4287" t="n">
        <v>0</v>
      </c>
      <c r="I4287" t="n">
        <v>0</v>
      </c>
      <c r="J4287" t="n">
        <v>0</v>
      </c>
      <c r="K4287" t="n">
        <v>0</v>
      </c>
      <c r="L4287" t="n">
        <v>0</v>
      </c>
      <c r="M4287" t="n">
        <v>0</v>
      </c>
      <c r="N4287" t="n">
        <v>0</v>
      </c>
      <c r="O4287" t="n">
        <v>0</v>
      </c>
      <c r="P4287" t="n">
        <v>0</v>
      </c>
      <c r="Q4287" t="n">
        <v>0</v>
      </c>
      <c r="R4287" s="2" t="inlineStr"/>
    </row>
    <row r="4288" ht="15" customHeight="1">
      <c r="A4288" t="inlineStr">
        <is>
          <t>A 58446-2024</t>
        </is>
      </c>
      <c r="B4288" s="1" t="n">
        <v>45635.33439814814</v>
      </c>
      <c r="C4288" s="1" t="n">
        <v>46045</v>
      </c>
      <c r="D4288" t="inlineStr">
        <is>
          <t>JÄMTLANDS LÄN</t>
        </is>
      </c>
      <c r="E4288" t="inlineStr">
        <is>
          <t>HÄRJEDALEN</t>
        </is>
      </c>
      <c r="F4288" t="inlineStr">
        <is>
          <t>Bergvik skog väst AB</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57749-2024</t>
        </is>
      </c>
      <c r="B4289" s="1" t="n">
        <v>45630.7862037037</v>
      </c>
      <c r="C4289" s="1" t="n">
        <v>46045</v>
      </c>
      <c r="D4289" t="inlineStr">
        <is>
          <t>JÄMTLANDS LÄN</t>
        </is>
      </c>
      <c r="E4289" t="inlineStr">
        <is>
          <t>RAGUNDA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6578-2021</t>
        </is>
      </c>
      <c r="B4290" s="1" t="n">
        <v>44236</v>
      </c>
      <c r="C4290" s="1" t="n">
        <v>46045</v>
      </c>
      <c r="D4290" t="inlineStr">
        <is>
          <t>JÄMTLANDS LÄN</t>
        </is>
      </c>
      <c r="E4290" t="inlineStr">
        <is>
          <t>ÖSTERSUND</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8865-2023</t>
        </is>
      </c>
      <c r="B4291" s="1" t="n">
        <v>44978</v>
      </c>
      <c r="C4291" s="1" t="n">
        <v>46045</v>
      </c>
      <c r="D4291" t="inlineStr">
        <is>
          <t>JÄMTLANDS LÄN</t>
        </is>
      </c>
      <c r="E4291" t="inlineStr">
        <is>
          <t>BRÄCKE</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5067-2024</t>
        </is>
      </c>
      <c r="B4292" s="1" t="n">
        <v>45329.95806712963</v>
      </c>
      <c r="C4292" s="1" t="n">
        <v>46045</v>
      </c>
      <c r="D4292" t="inlineStr">
        <is>
          <t>JÄMTLANDS LÄN</t>
        </is>
      </c>
      <c r="E4292" t="inlineStr">
        <is>
          <t>RAGUNDA</t>
        </is>
      </c>
      <c r="F4292" t="inlineStr">
        <is>
          <t>SCA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41404-2025</t>
        </is>
      </c>
      <c r="B4293" s="1" t="n">
        <v>45901.3446412037</v>
      </c>
      <c r="C4293" s="1" t="n">
        <v>46045</v>
      </c>
      <c r="D4293" t="inlineStr">
        <is>
          <t>JÄMTLANDS LÄN</t>
        </is>
      </c>
      <c r="E4293" t="inlineStr">
        <is>
          <t>STRÖMSUND</t>
        </is>
      </c>
      <c r="F4293" t="inlineStr">
        <is>
          <t>SCA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41422-2025</t>
        </is>
      </c>
      <c r="B4294" s="1" t="n">
        <v>45901.38572916666</v>
      </c>
      <c r="C4294" s="1" t="n">
        <v>46045</v>
      </c>
      <c r="D4294" t="inlineStr">
        <is>
          <t>JÄMTLANDS LÄN</t>
        </is>
      </c>
      <c r="E4294" t="inlineStr">
        <is>
          <t>RAGUNDA</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41510-2025</t>
        </is>
      </c>
      <c r="B4295" s="1" t="n">
        <v>45901.53417824074</v>
      </c>
      <c r="C4295" s="1" t="n">
        <v>46045</v>
      </c>
      <c r="D4295" t="inlineStr">
        <is>
          <t>JÄMTLANDS LÄN</t>
        </is>
      </c>
      <c r="E4295" t="inlineStr">
        <is>
          <t>BRÄCKE</t>
        </is>
      </c>
      <c r="F4295" t="inlineStr">
        <is>
          <t>Övriga Aktiebolag</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50425-2025</t>
        </is>
      </c>
      <c r="B4296" s="1" t="n">
        <v>45944.67199074074</v>
      </c>
      <c r="C4296" s="1" t="n">
        <v>46045</v>
      </c>
      <c r="D4296" t="inlineStr">
        <is>
          <t>JÄMTLANDS LÄN</t>
        </is>
      </c>
      <c r="E4296" t="inlineStr">
        <is>
          <t>HÄRJEDALEN</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29128-2022</t>
        </is>
      </c>
      <c r="B4297" s="1" t="n">
        <v>44750</v>
      </c>
      <c r="C4297" s="1" t="n">
        <v>46045</v>
      </c>
      <c r="D4297" t="inlineStr">
        <is>
          <t>JÄMTLANDS LÄN</t>
        </is>
      </c>
      <c r="E4297" t="inlineStr">
        <is>
          <t>ÖSTERSUND</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17896-2025</t>
        </is>
      </c>
      <c r="B4298" s="1" t="n">
        <v>45758.69638888889</v>
      </c>
      <c r="C4298" s="1" t="n">
        <v>46045</v>
      </c>
      <c r="D4298" t="inlineStr">
        <is>
          <t>JÄMTLANDS LÄN</t>
        </is>
      </c>
      <c r="E4298" t="inlineStr">
        <is>
          <t>HÄRJEDALEN</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61787-2023</t>
        </is>
      </c>
      <c r="B4299" s="1" t="n">
        <v>45265.95765046297</v>
      </c>
      <c r="C4299" s="1" t="n">
        <v>46045</v>
      </c>
      <c r="D4299" t="inlineStr">
        <is>
          <t>JÄMTLANDS LÄN</t>
        </is>
      </c>
      <c r="E4299" t="inlineStr">
        <is>
          <t>BRÄCKE</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51826-2024</t>
        </is>
      </c>
      <c r="B4300" s="1" t="n">
        <v>45607.50137731482</v>
      </c>
      <c r="C4300" s="1" t="n">
        <v>46045</v>
      </c>
      <c r="D4300" t="inlineStr">
        <is>
          <t>JÄMTLANDS LÄN</t>
        </is>
      </c>
      <c r="E4300" t="inlineStr">
        <is>
          <t>ÖSTERSUND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35253-2025</t>
        </is>
      </c>
      <c r="B4301" s="1" t="n">
        <v>45853</v>
      </c>
      <c r="C4301" s="1" t="n">
        <v>46045</v>
      </c>
      <c r="D4301" t="inlineStr">
        <is>
          <t>JÄMTLANDS LÄN</t>
        </is>
      </c>
      <c r="E4301" t="inlineStr">
        <is>
          <t>HÄRJEDALEN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51478-2024</t>
        </is>
      </c>
      <c r="B4302" s="1" t="n">
        <v>45604.51259259259</v>
      </c>
      <c r="C4302" s="1" t="n">
        <v>46045</v>
      </c>
      <c r="D4302" t="inlineStr">
        <is>
          <t>JÄMTLANDS LÄN</t>
        </is>
      </c>
      <c r="E4302" t="inlineStr">
        <is>
          <t>STRÖMSUND</t>
        </is>
      </c>
      <c r="F4302" t="inlineStr">
        <is>
          <t>Kommuner</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9084-2023</t>
        </is>
      </c>
      <c r="B4303" s="1" t="n">
        <v>44979</v>
      </c>
      <c r="C4303" s="1" t="n">
        <v>46045</v>
      </c>
      <c r="D4303" t="inlineStr">
        <is>
          <t>JÄMTLANDS LÄN</t>
        </is>
      </c>
      <c r="E4303" t="inlineStr">
        <is>
          <t>RAGUNDA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5429-2024</t>
        </is>
      </c>
      <c r="B4304" s="1" t="n">
        <v>45331.92746527777</v>
      </c>
      <c r="C4304" s="1" t="n">
        <v>46045</v>
      </c>
      <c r="D4304" t="inlineStr">
        <is>
          <t>JÄMTLANDS LÄN</t>
        </is>
      </c>
      <c r="E4304" t="inlineStr">
        <is>
          <t>RAGUNDA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41503-2025</t>
        </is>
      </c>
      <c r="B4305" s="1" t="n">
        <v>45901.51952546297</v>
      </c>
      <c r="C4305" s="1" t="n">
        <v>46045</v>
      </c>
      <c r="D4305" t="inlineStr">
        <is>
          <t>JÄMTLANDS LÄN</t>
        </is>
      </c>
      <c r="E4305" t="inlineStr">
        <is>
          <t>BRÄCKE</t>
        </is>
      </c>
      <c r="F4305" t="inlineStr">
        <is>
          <t>Övriga Aktiebolag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41368-2025</t>
        </is>
      </c>
      <c r="B4306" s="1" t="n">
        <v>45900.5678125</v>
      </c>
      <c r="C4306" s="1" t="n">
        <v>46045</v>
      </c>
      <c r="D4306" t="inlineStr">
        <is>
          <t>JÄMTLANDS LÄN</t>
        </is>
      </c>
      <c r="E4306" t="inlineStr">
        <is>
          <t>BRÄCKE</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17570-2025</t>
        </is>
      </c>
      <c r="B4307" s="1" t="n">
        <v>45757.64563657407</v>
      </c>
      <c r="C4307" s="1" t="n">
        <v>46045</v>
      </c>
      <c r="D4307" t="inlineStr">
        <is>
          <t>JÄMTLANDS LÄN</t>
        </is>
      </c>
      <c r="E4307" t="inlineStr">
        <is>
          <t>ÖSTERSUND</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24312-2021</t>
        </is>
      </c>
      <c r="B4308" s="1" t="n">
        <v>44336</v>
      </c>
      <c r="C4308" s="1" t="n">
        <v>46045</v>
      </c>
      <c r="D4308" t="inlineStr">
        <is>
          <t>JÄMTLANDS LÄN</t>
        </is>
      </c>
      <c r="E4308" t="inlineStr">
        <is>
          <t>ÖSTERSUND</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8325-2025</t>
        </is>
      </c>
      <c r="B4309" s="1" t="n">
        <v>45708.63638888889</v>
      </c>
      <c r="C4309" s="1" t="n">
        <v>46045</v>
      </c>
      <c r="D4309" t="inlineStr">
        <is>
          <t>JÄMTLANDS LÄN</t>
        </is>
      </c>
      <c r="E4309" t="inlineStr">
        <is>
          <t>STRÖMSUND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41769-2025</t>
        </is>
      </c>
      <c r="B4310" s="1" t="n">
        <v>45902.55119212963</v>
      </c>
      <c r="C4310" s="1" t="n">
        <v>46045</v>
      </c>
      <c r="D4310" t="inlineStr">
        <is>
          <t>JÄMTLANDS LÄN</t>
        </is>
      </c>
      <c r="E4310" t="inlineStr">
        <is>
          <t>HÄRJEDALEN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29091-2024</t>
        </is>
      </c>
      <c r="B4311" s="1" t="n">
        <v>45481.93001157408</v>
      </c>
      <c r="C4311" s="1" t="n">
        <v>46045</v>
      </c>
      <c r="D4311" t="inlineStr">
        <is>
          <t>JÄMTLANDS LÄN</t>
        </is>
      </c>
      <c r="E4311" t="inlineStr">
        <is>
          <t>STRÖMSUND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29096-2024</t>
        </is>
      </c>
      <c r="B4312" s="1" t="n">
        <v>45481.9506712963</v>
      </c>
      <c r="C4312" s="1" t="n">
        <v>46045</v>
      </c>
      <c r="D4312" t="inlineStr">
        <is>
          <t>JÄMTLANDS LÄN</t>
        </is>
      </c>
      <c r="E4312" t="inlineStr">
        <is>
          <t>STRÖMSUND</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29113-2024</t>
        </is>
      </c>
      <c r="B4313" s="1" t="n">
        <v>45481.95314814815</v>
      </c>
      <c r="C4313" s="1" t="n">
        <v>46045</v>
      </c>
      <c r="D4313" t="inlineStr">
        <is>
          <t>JÄMTLANDS LÄN</t>
        </is>
      </c>
      <c r="E4313" t="inlineStr">
        <is>
          <t>STRÖMSUND</t>
        </is>
      </c>
      <c r="F4313" t="inlineStr">
        <is>
          <t>SCA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41423-2025</t>
        </is>
      </c>
      <c r="B4314" s="1" t="n">
        <v>45901.38578703703</v>
      </c>
      <c r="C4314" s="1" t="n">
        <v>46045</v>
      </c>
      <c r="D4314" t="inlineStr">
        <is>
          <t>JÄMTLANDS LÄN</t>
        </is>
      </c>
      <c r="E4314" t="inlineStr">
        <is>
          <t>RAGUNDA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41425-2025</t>
        </is>
      </c>
      <c r="B4315" s="1" t="n">
        <v>45901.38590277778</v>
      </c>
      <c r="C4315" s="1" t="n">
        <v>46045</v>
      </c>
      <c r="D4315" t="inlineStr">
        <is>
          <t>JÄMTLANDS LÄN</t>
        </is>
      </c>
      <c r="E4315" t="inlineStr">
        <is>
          <t>KROKOM</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29130-2024</t>
        </is>
      </c>
      <c r="B4316" s="1" t="n">
        <v>45482.35856481481</v>
      </c>
      <c r="C4316" s="1" t="n">
        <v>46045</v>
      </c>
      <c r="D4316" t="inlineStr">
        <is>
          <t>JÄMTLANDS LÄN</t>
        </is>
      </c>
      <c r="E4316" t="inlineStr">
        <is>
          <t>BRÄCKE</t>
        </is>
      </c>
      <c r="F4316" t="inlineStr">
        <is>
          <t>Övriga Aktiebolag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29177-2024</t>
        </is>
      </c>
      <c r="B4317" s="1" t="n">
        <v>45482.53859953704</v>
      </c>
      <c r="C4317" s="1" t="n">
        <v>46045</v>
      </c>
      <c r="D4317" t="inlineStr">
        <is>
          <t>JÄMTLANDS LÄN</t>
        </is>
      </c>
      <c r="E4317" t="inlineStr">
        <is>
          <t>ÅRE</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41656-2025</t>
        </is>
      </c>
      <c r="B4318" s="1" t="n">
        <v>45902.34423611111</v>
      </c>
      <c r="C4318" s="1" t="n">
        <v>46045</v>
      </c>
      <c r="D4318" t="inlineStr">
        <is>
          <t>JÄMTLANDS LÄN</t>
        </is>
      </c>
      <c r="E4318" t="inlineStr">
        <is>
          <t>RAGUNDA</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41424-2025</t>
        </is>
      </c>
      <c r="B4319" s="1" t="n">
        <v>45901.38584490741</v>
      </c>
      <c r="C4319" s="1" t="n">
        <v>46045</v>
      </c>
      <c r="D4319" t="inlineStr">
        <is>
          <t>JÄMTLANDS LÄN</t>
        </is>
      </c>
      <c r="E4319" t="inlineStr">
        <is>
          <t>RAGUNDA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41448-2025</t>
        </is>
      </c>
      <c r="B4320" s="1" t="n">
        <v>45901.42773148148</v>
      </c>
      <c r="C4320" s="1" t="n">
        <v>46045</v>
      </c>
      <c r="D4320" t="inlineStr">
        <is>
          <t>JÄMTLANDS LÄN</t>
        </is>
      </c>
      <c r="E4320" t="inlineStr">
        <is>
          <t>STRÖMSUND</t>
        </is>
      </c>
      <c r="F4320" t="inlineStr">
        <is>
          <t>SCA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9301-2023</t>
        </is>
      </c>
      <c r="B4321" s="1" t="n">
        <v>44977</v>
      </c>
      <c r="C4321" s="1" t="n">
        <v>46045</v>
      </c>
      <c r="D4321" t="inlineStr">
        <is>
          <t>JÄMTLANDS LÄN</t>
        </is>
      </c>
      <c r="E4321" t="inlineStr">
        <is>
          <t>STRÖMSUND</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37739-2023</t>
        </is>
      </c>
      <c r="B4322" s="1" t="n">
        <v>45159</v>
      </c>
      <c r="C4322" s="1" t="n">
        <v>46045</v>
      </c>
      <c r="D4322" t="inlineStr">
        <is>
          <t>JÄMTLANDS LÄN</t>
        </is>
      </c>
      <c r="E4322" t="inlineStr">
        <is>
          <t>ÅRE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37747-2023</t>
        </is>
      </c>
      <c r="B4323" s="1" t="n">
        <v>45159</v>
      </c>
      <c r="C4323" s="1" t="n">
        <v>46045</v>
      </c>
      <c r="D4323" t="inlineStr">
        <is>
          <t>JÄMTLANDS LÄN</t>
        </is>
      </c>
      <c r="E4323" t="inlineStr">
        <is>
          <t>HÄRJEDALEN</t>
        </is>
      </c>
      <c r="F4323" t="inlineStr">
        <is>
          <t>Bergvik skog väst AB</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41804-2025</t>
        </is>
      </c>
      <c r="B4324" s="1" t="n">
        <v>45902.63591435185</v>
      </c>
      <c r="C4324" s="1" t="n">
        <v>46045</v>
      </c>
      <c r="D4324" t="inlineStr">
        <is>
          <t>JÄMTLANDS LÄN</t>
        </is>
      </c>
      <c r="E4324" t="inlineStr">
        <is>
          <t>STRÖMSUND</t>
        </is>
      </c>
      <c r="F4324" t="inlineStr">
        <is>
          <t>SCA</t>
        </is>
      </c>
      <c r="G4324" t="n">
        <v>9.5</v>
      </c>
      <c r="H4324" t="n">
        <v>0</v>
      </c>
      <c r="I4324" t="n">
        <v>0</v>
      </c>
      <c r="J4324" t="n">
        <v>0</v>
      </c>
      <c r="K4324" t="n">
        <v>0</v>
      </c>
      <c r="L4324" t="n">
        <v>0</v>
      </c>
      <c r="M4324" t="n">
        <v>0</v>
      </c>
      <c r="N4324" t="n">
        <v>0</v>
      </c>
      <c r="O4324" t="n">
        <v>0</v>
      </c>
      <c r="P4324" t="n">
        <v>0</v>
      </c>
      <c r="Q4324" t="n">
        <v>0</v>
      </c>
      <c r="R4324" s="2" t="inlineStr"/>
    </row>
    <row r="4325" ht="15" customHeight="1">
      <c r="A4325" t="inlineStr">
        <is>
          <t>A 35850-2022</t>
        </is>
      </c>
      <c r="B4325" s="1" t="n">
        <v>44802.41818287037</v>
      </c>
      <c r="C4325" s="1" t="n">
        <v>46045</v>
      </c>
      <c r="D4325" t="inlineStr">
        <is>
          <t>JÄMTLANDS LÄN</t>
        </is>
      </c>
      <c r="E4325" t="inlineStr">
        <is>
          <t>STRÖMSUND</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41821-2025</t>
        </is>
      </c>
      <c r="B4326" s="1" t="n">
        <v>45902.66265046296</v>
      </c>
      <c r="C4326" s="1" t="n">
        <v>46045</v>
      </c>
      <c r="D4326" t="inlineStr">
        <is>
          <t>JÄMTLANDS LÄN</t>
        </is>
      </c>
      <c r="E4326" t="inlineStr">
        <is>
          <t>HÄRJEDALEN</t>
        </is>
      </c>
      <c r="F4326" t="inlineStr">
        <is>
          <t>Holmen skog AB</t>
        </is>
      </c>
      <c r="G4326" t="n">
        <v>30</v>
      </c>
      <c r="H4326" t="n">
        <v>0</v>
      </c>
      <c r="I4326" t="n">
        <v>0</v>
      </c>
      <c r="J4326" t="n">
        <v>0</v>
      </c>
      <c r="K4326" t="n">
        <v>0</v>
      </c>
      <c r="L4326" t="n">
        <v>0</v>
      </c>
      <c r="M4326" t="n">
        <v>0</v>
      </c>
      <c r="N4326" t="n">
        <v>0</v>
      </c>
      <c r="O4326" t="n">
        <v>0</v>
      </c>
      <c r="P4326" t="n">
        <v>0</v>
      </c>
      <c r="Q4326" t="n">
        <v>0</v>
      </c>
      <c r="R4326" s="2" t="inlineStr"/>
    </row>
    <row r="4327" ht="15" customHeight="1">
      <c r="A4327" t="inlineStr">
        <is>
          <t>A 9360-2023</t>
        </is>
      </c>
      <c r="B4327" s="1" t="n">
        <v>44980.93865740741</v>
      </c>
      <c r="C4327" s="1" t="n">
        <v>46045</v>
      </c>
      <c r="D4327" t="inlineStr">
        <is>
          <t>JÄMTLANDS LÄN</t>
        </is>
      </c>
      <c r="E4327" t="inlineStr">
        <is>
          <t>RAGUNDA</t>
        </is>
      </c>
      <c r="F4327" t="inlineStr">
        <is>
          <t>SCA</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36346-2024</t>
        </is>
      </c>
      <c r="B4328" s="1" t="n">
        <v>45534.64390046296</v>
      </c>
      <c r="C4328" s="1" t="n">
        <v>46045</v>
      </c>
      <c r="D4328" t="inlineStr">
        <is>
          <t>JÄMTLANDS LÄN</t>
        </is>
      </c>
      <c r="E4328" t="inlineStr">
        <is>
          <t>STRÖMSUND</t>
        </is>
      </c>
      <c r="F4328" t="inlineStr">
        <is>
          <t>SCA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41491-2025</t>
        </is>
      </c>
      <c r="B4329" s="1" t="n">
        <v>45901.4881712963</v>
      </c>
      <c r="C4329" s="1" t="n">
        <v>46045</v>
      </c>
      <c r="D4329" t="inlineStr">
        <is>
          <t>JÄMTLANDS LÄN</t>
        </is>
      </c>
      <c r="E4329" t="inlineStr">
        <is>
          <t>HÄRJEDALEN</t>
        </is>
      </c>
      <c r="F4329" t="inlineStr">
        <is>
          <t>Holmen skog AB</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60681-2022</t>
        </is>
      </c>
      <c r="B4330" s="1" t="n">
        <v>44911.93994212963</v>
      </c>
      <c r="C4330" s="1" t="n">
        <v>46045</v>
      </c>
      <c r="D4330" t="inlineStr">
        <is>
          <t>JÄMTLANDS LÄN</t>
        </is>
      </c>
      <c r="E4330" t="inlineStr">
        <is>
          <t>ÖSTERSUND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37758-2023</t>
        </is>
      </c>
      <c r="B4331" s="1" t="n">
        <v>45159</v>
      </c>
      <c r="C4331" s="1" t="n">
        <v>46045</v>
      </c>
      <c r="D4331" t="inlineStr">
        <is>
          <t>JÄMTLANDS LÄN</t>
        </is>
      </c>
      <c r="E4331" t="inlineStr">
        <is>
          <t>ÅRE</t>
        </is>
      </c>
      <c r="G4331" t="n">
        <v>20.1</v>
      </c>
      <c r="H4331" t="n">
        <v>0</v>
      </c>
      <c r="I4331" t="n">
        <v>0</v>
      </c>
      <c r="J4331" t="n">
        <v>0</v>
      </c>
      <c r="K4331" t="n">
        <v>0</v>
      </c>
      <c r="L4331" t="n">
        <v>0</v>
      </c>
      <c r="M4331" t="n">
        <v>0</v>
      </c>
      <c r="N4331" t="n">
        <v>0</v>
      </c>
      <c r="O4331" t="n">
        <v>0</v>
      </c>
      <c r="P4331" t="n">
        <v>0</v>
      </c>
      <c r="Q4331" t="n">
        <v>0</v>
      </c>
      <c r="R4331" s="2" t="inlineStr"/>
    </row>
    <row r="4332" ht="15" customHeight="1">
      <c r="A4332" t="inlineStr">
        <is>
          <t>A 37762-2023</t>
        </is>
      </c>
      <c r="B4332" s="1" t="n">
        <v>45159</v>
      </c>
      <c r="C4332" s="1" t="n">
        <v>46045</v>
      </c>
      <c r="D4332" t="inlineStr">
        <is>
          <t>JÄMTLANDS LÄN</t>
        </is>
      </c>
      <c r="E4332" t="inlineStr">
        <is>
          <t>HÄRJEDALEN</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61140-2024</t>
        </is>
      </c>
      <c r="B4333" s="1" t="n">
        <v>45644</v>
      </c>
      <c r="C4333" s="1" t="n">
        <v>46045</v>
      </c>
      <c r="D4333" t="inlineStr">
        <is>
          <t>JÄMTLANDS LÄN</t>
        </is>
      </c>
      <c r="E4333" t="inlineStr">
        <is>
          <t>HÄRJEDALEN</t>
        </is>
      </c>
      <c r="G4333" t="n">
        <v>29.7</v>
      </c>
      <c r="H4333" t="n">
        <v>0</v>
      </c>
      <c r="I4333" t="n">
        <v>0</v>
      </c>
      <c r="J4333" t="n">
        <v>0</v>
      </c>
      <c r="K4333" t="n">
        <v>0</v>
      </c>
      <c r="L4333" t="n">
        <v>0</v>
      </c>
      <c r="M4333" t="n">
        <v>0</v>
      </c>
      <c r="N4333" t="n">
        <v>0</v>
      </c>
      <c r="O4333" t="n">
        <v>0</v>
      </c>
      <c r="P4333" t="n">
        <v>0</v>
      </c>
      <c r="Q4333" t="n">
        <v>0</v>
      </c>
      <c r="R4333" s="2" t="inlineStr"/>
    </row>
    <row r="4334" ht="15" customHeight="1">
      <c r="A4334" t="inlineStr">
        <is>
          <t>A 21596-2021</t>
        </is>
      </c>
      <c r="B4334" s="1" t="n">
        <v>44314</v>
      </c>
      <c r="C4334" s="1" t="n">
        <v>46045</v>
      </c>
      <c r="D4334" t="inlineStr">
        <is>
          <t>JÄMTLANDS LÄN</t>
        </is>
      </c>
      <c r="E4334" t="inlineStr">
        <is>
          <t>HÄRJEDALEN</t>
        </is>
      </c>
      <c r="G4334" t="n">
        <v>18.2</v>
      </c>
      <c r="H4334" t="n">
        <v>0</v>
      </c>
      <c r="I4334" t="n">
        <v>0</v>
      </c>
      <c r="J4334" t="n">
        <v>0</v>
      </c>
      <c r="K4334" t="n">
        <v>0</v>
      </c>
      <c r="L4334" t="n">
        <v>0</v>
      </c>
      <c r="M4334" t="n">
        <v>0</v>
      </c>
      <c r="N4334" t="n">
        <v>0</v>
      </c>
      <c r="O4334" t="n">
        <v>0</v>
      </c>
      <c r="P4334" t="n">
        <v>0</v>
      </c>
      <c r="Q4334" t="n">
        <v>0</v>
      </c>
      <c r="R4334" s="2" t="inlineStr"/>
    </row>
    <row r="4335" ht="15" customHeight="1">
      <c r="A4335" t="inlineStr">
        <is>
          <t>A 61163-2024</t>
        </is>
      </c>
      <c r="B4335" s="1" t="n">
        <v>45645.59503472222</v>
      </c>
      <c r="C4335" s="1" t="n">
        <v>46045</v>
      </c>
      <c r="D4335" t="inlineStr">
        <is>
          <t>JÄMTLANDS LÄN</t>
        </is>
      </c>
      <c r="E4335" t="inlineStr">
        <is>
          <t>STRÖMSUND</t>
        </is>
      </c>
      <c r="F4335" t="inlineStr">
        <is>
          <t>SCA</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9775-2023</t>
        </is>
      </c>
      <c r="B4336" s="1" t="n">
        <v>44984.60255787037</v>
      </c>
      <c r="C4336" s="1" t="n">
        <v>46045</v>
      </c>
      <c r="D4336" t="inlineStr">
        <is>
          <t>JÄMTLANDS LÄN</t>
        </is>
      </c>
      <c r="E4336" t="inlineStr">
        <is>
          <t>ÅRE</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66706-2021</t>
        </is>
      </c>
      <c r="B4337" s="1" t="n">
        <v>44519.94440972222</v>
      </c>
      <c r="C4337" s="1" t="n">
        <v>46045</v>
      </c>
      <c r="D4337" t="inlineStr">
        <is>
          <t>JÄMTLANDS LÄN</t>
        </is>
      </c>
      <c r="E4337" t="inlineStr">
        <is>
          <t>RAGUNDA</t>
        </is>
      </c>
      <c r="F4337" t="inlineStr">
        <is>
          <t>SCA</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52610-2024</t>
        </is>
      </c>
      <c r="B4338" s="1" t="n">
        <v>45609.78957175926</v>
      </c>
      <c r="C4338" s="1" t="n">
        <v>46045</v>
      </c>
      <c r="D4338" t="inlineStr">
        <is>
          <t>JÄMTLANDS LÄN</t>
        </is>
      </c>
      <c r="E4338" t="inlineStr">
        <is>
          <t>BRÄCKE</t>
        </is>
      </c>
      <c r="G4338" t="n">
        <v>16.7</v>
      </c>
      <c r="H4338" t="n">
        <v>0</v>
      </c>
      <c r="I4338" t="n">
        <v>0</v>
      </c>
      <c r="J4338" t="n">
        <v>0</v>
      </c>
      <c r="K4338" t="n">
        <v>0</v>
      </c>
      <c r="L4338" t="n">
        <v>0</v>
      </c>
      <c r="M4338" t="n">
        <v>0</v>
      </c>
      <c r="N4338" t="n">
        <v>0</v>
      </c>
      <c r="O4338" t="n">
        <v>0</v>
      </c>
      <c r="P4338" t="n">
        <v>0</v>
      </c>
      <c r="Q4338" t="n">
        <v>0</v>
      </c>
      <c r="R4338" s="2" t="inlineStr"/>
    </row>
    <row r="4339" ht="15" customHeight="1">
      <c r="A4339" t="inlineStr">
        <is>
          <t>A 58890-2023</t>
        </is>
      </c>
      <c r="B4339" s="1" t="n">
        <v>45252.48409722222</v>
      </c>
      <c r="C4339" s="1" t="n">
        <v>46045</v>
      </c>
      <c r="D4339" t="inlineStr">
        <is>
          <t>JÄMTLANDS LÄN</t>
        </is>
      </c>
      <c r="E4339" t="inlineStr">
        <is>
          <t>HÄRJEDALEN</t>
        </is>
      </c>
      <c r="G4339" t="n">
        <v>15.2</v>
      </c>
      <c r="H4339" t="n">
        <v>0</v>
      </c>
      <c r="I4339" t="n">
        <v>0</v>
      </c>
      <c r="J4339" t="n">
        <v>0</v>
      </c>
      <c r="K4339" t="n">
        <v>0</v>
      </c>
      <c r="L4339" t="n">
        <v>0</v>
      </c>
      <c r="M4339" t="n">
        <v>0</v>
      </c>
      <c r="N4339" t="n">
        <v>0</v>
      </c>
      <c r="O4339" t="n">
        <v>0</v>
      </c>
      <c r="P4339" t="n">
        <v>0</v>
      </c>
      <c r="Q4339" t="n">
        <v>0</v>
      </c>
      <c r="R4339" s="2" t="inlineStr"/>
    </row>
    <row r="4340" ht="15" customHeight="1">
      <c r="A4340" t="inlineStr">
        <is>
          <t>A 41675-2025</t>
        </is>
      </c>
      <c r="B4340" s="1" t="n">
        <v>45902.36641203704</v>
      </c>
      <c r="C4340" s="1" t="n">
        <v>46045</v>
      </c>
      <c r="D4340" t="inlineStr">
        <is>
          <t>JÄMTLANDS LÄN</t>
        </is>
      </c>
      <c r="E4340" t="inlineStr">
        <is>
          <t>ÖSTERSUND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41708-2025</t>
        </is>
      </c>
      <c r="B4341" s="1" t="n">
        <v>45902.42280092592</v>
      </c>
      <c r="C4341" s="1" t="n">
        <v>46045</v>
      </c>
      <c r="D4341" t="inlineStr">
        <is>
          <t>JÄMTLANDS LÄN</t>
        </is>
      </c>
      <c r="E4341" t="inlineStr">
        <is>
          <t>ÖSTERSUND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41816-2025</t>
        </is>
      </c>
      <c r="B4342" s="1" t="n">
        <v>45902.65679398148</v>
      </c>
      <c r="C4342" s="1" t="n">
        <v>46045</v>
      </c>
      <c r="D4342" t="inlineStr">
        <is>
          <t>JÄMTLANDS LÄN</t>
        </is>
      </c>
      <c r="E4342" t="inlineStr">
        <is>
          <t>STRÖMSUND</t>
        </is>
      </c>
      <c r="F4342" t="inlineStr">
        <is>
          <t>SCA</t>
        </is>
      </c>
      <c r="G4342" t="n">
        <v>9.199999999999999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58930-2023</t>
        </is>
      </c>
      <c r="B4343" s="1" t="n">
        <v>45252</v>
      </c>
      <c r="C4343" s="1" t="n">
        <v>46045</v>
      </c>
      <c r="D4343" t="inlineStr">
        <is>
          <t>JÄMTLANDS LÄN</t>
        </is>
      </c>
      <c r="E4343" t="inlineStr">
        <is>
          <t>HÄRJEDALEN</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57280-2022</t>
        </is>
      </c>
      <c r="B4344" s="1" t="n">
        <v>44895.94929398148</v>
      </c>
      <c r="C4344" s="1" t="n">
        <v>46045</v>
      </c>
      <c r="D4344" t="inlineStr">
        <is>
          <t>JÄMTLANDS LÄN</t>
        </is>
      </c>
      <c r="E4344" t="inlineStr">
        <is>
          <t>STRÖMSUND</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41344-2025</t>
        </is>
      </c>
      <c r="B4345" s="1" t="n">
        <v>45899.46899305555</v>
      </c>
      <c r="C4345" s="1" t="n">
        <v>46045</v>
      </c>
      <c r="D4345" t="inlineStr">
        <is>
          <t>JÄMTLANDS LÄN</t>
        </is>
      </c>
      <c r="E4345" t="inlineStr">
        <is>
          <t>BRÄCKE</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35583-2024</t>
        </is>
      </c>
      <c r="B4346" s="1" t="n">
        <v>45531.64809027778</v>
      </c>
      <c r="C4346" s="1" t="n">
        <v>46045</v>
      </c>
      <c r="D4346" t="inlineStr">
        <is>
          <t>JÄMTLANDS LÄN</t>
        </is>
      </c>
      <c r="E4346" t="inlineStr">
        <is>
          <t>STRÖMSUND</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35584-2024</t>
        </is>
      </c>
      <c r="B4347" s="1" t="n">
        <v>45531.6481712963</v>
      </c>
      <c r="C4347" s="1" t="n">
        <v>46045</v>
      </c>
      <c r="D4347" t="inlineStr">
        <is>
          <t>JÄMTLANDS LÄN</t>
        </is>
      </c>
      <c r="E4347" t="inlineStr">
        <is>
          <t>STRÖMSUND</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35767-2024</t>
        </is>
      </c>
      <c r="B4348" s="1" t="n">
        <v>45532.58101851852</v>
      </c>
      <c r="C4348" s="1" t="n">
        <v>46045</v>
      </c>
      <c r="D4348" t="inlineStr">
        <is>
          <t>JÄMTLANDS LÄN</t>
        </is>
      </c>
      <c r="E4348" t="inlineStr">
        <is>
          <t>KROKOM</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26437-2022</t>
        </is>
      </c>
      <c r="B4349" s="1" t="n">
        <v>44736.93912037037</v>
      </c>
      <c r="C4349" s="1" t="n">
        <v>46045</v>
      </c>
      <c r="D4349" t="inlineStr">
        <is>
          <t>JÄMTLANDS LÄN</t>
        </is>
      </c>
      <c r="E4349" t="inlineStr">
        <is>
          <t>BRÄCKE</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6836-2025</t>
        </is>
      </c>
      <c r="B4350" s="1" t="n">
        <v>45700.79859953704</v>
      </c>
      <c r="C4350" s="1" t="n">
        <v>46045</v>
      </c>
      <c r="D4350" t="inlineStr">
        <is>
          <t>JÄMTLANDS LÄN</t>
        </is>
      </c>
      <c r="E4350" t="inlineStr">
        <is>
          <t>STRÖMSUND</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17887-2025</t>
        </is>
      </c>
      <c r="B4351" s="1" t="n">
        <v>45758.66180555556</v>
      </c>
      <c r="C4351" s="1" t="n">
        <v>46045</v>
      </c>
      <c r="D4351" t="inlineStr">
        <is>
          <t>JÄMTLANDS LÄN</t>
        </is>
      </c>
      <c r="E4351" t="inlineStr">
        <is>
          <t>KROKOM</t>
        </is>
      </c>
      <c r="G4351" t="n">
        <v>11.5</v>
      </c>
      <c r="H4351" t="n">
        <v>0</v>
      </c>
      <c r="I4351" t="n">
        <v>0</v>
      </c>
      <c r="J4351" t="n">
        <v>0</v>
      </c>
      <c r="K4351" t="n">
        <v>0</v>
      </c>
      <c r="L4351" t="n">
        <v>0</v>
      </c>
      <c r="M4351" t="n">
        <v>0</v>
      </c>
      <c r="N4351" t="n">
        <v>0</v>
      </c>
      <c r="O4351" t="n">
        <v>0</v>
      </c>
      <c r="P4351" t="n">
        <v>0</v>
      </c>
      <c r="Q4351" t="n">
        <v>0</v>
      </c>
      <c r="R4351" s="2" t="inlineStr"/>
    </row>
    <row r="4352" ht="15" customHeight="1">
      <c r="A4352" t="inlineStr">
        <is>
          <t>A 17888-2025</t>
        </is>
      </c>
      <c r="B4352" s="1" t="n">
        <v>45758.67065972222</v>
      </c>
      <c r="C4352" s="1" t="n">
        <v>46045</v>
      </c>
      <c r="D4352" t="inlineStr">
        <is>
          <t>JÄMTLANDS LÄN</t>
        </is>
      </c>
      <c r="E4352" t="inlineStr">
        <is>
          <t>KROKOM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41367-2025</t>
        </is>
      </c>
      <c r="B4353" s="1" t="n">
        <v>45900.55118055556</v>
      </c>
      <c r="C4353" s="1" t="n">
        <v>46045</v>
      </c>
      <c r="D4353" t="inlineStr">
        <is>
          <t>JÄMTLANDS LÄN</t>
        </is>
      </c>
      <c r="E4353" t="inlineStr">
        <is>
          <t>BRÄCKE</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22707-2021</t>
        </is>
      </c>
      <c r="B4354" s="1" t="n">
        <v>44323</v>
      </c>
      <c r="C4354" s="1" t="n">
        <v>46045</v>
      </c>
      <c r="D4354" t="inlineStr">
        <is>
          <t>JÄMTLANDS LÄN</t>
        </is>
      </c>
      <c r="E4354" t="inlineStr">
        <is>
          <t>ÅRE</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40990-2022</t>
        </is>
      </c>
      <c r="B4355" s="1" t="n">
        <v>44823</v>
      </c>
      <c r="C4355" s="1" t="n">
        <v>46045</v>
      </c>
      <c r="D4355" t="inlineStr">
        <is>
          <t>JÄMTLANDS LÄN</t>
        </is>
      </c>
      <c r="E4355" t="inlineStr">
        <is>
          <t>BERG</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56687-2023</t>
        </is>
      </c>
      <c r="B4356" s="1" t="n">
        <v>45243.96633101852</v>
      </c>
      <c r="C4356" s="1" t="n">
        <v>46045</v>
      </c>
      <c r="D4356" t="inlineStr">
        <is>
          <t>JÄMTLANDS LÄN</t>
        </is>
      </c>
      <c r="E4356" t="inlineStr">
        <is>
          <t>BRÄCKE</t>
        </is>
      </c>
      <c r="F4356" t="inlineStr">
        <is>
          <t>SCA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56688-2023</t>
        </is>
      </c>
      <c r="B4357" s="1" t="n">
        <v>45243.96645833334</v>
      </c>
      <c r="C4357" s="1" t="n">
        <v>46045</v>
      </c>
      <c r="D4357" t="inlineStr">
        <is>
          <t>JÄMTLANDS LÄN</t>
        </is>
      </c>
      <c r="E4357" t="inlineStr">
        <is>
          <t>BRÄCKE</t>
        </is>
      </c>
      <c r="F4357" t="inlineStr">
        <is>
          <t>SCA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8733-2025</t>
        </is>
      </c>
      <c r="B4358" s="1" t="n">
        <v>45712.53197916667</v>
      </c>
      <c r="C4358" s="1" t="n">
        <v>46045</v>
      </c>
      <c r="D4358" t="inlineStr">
        <is>
          <t>JÄMTLANDS LÄN</t>
        </is>
      </c>
      <c r="E4358" t="inlineStr">
        <is>
          <t>BERG</t>
        </is>
      </c>
      <c r="F4358" t="inlineStr">
        <is>
          <t>SCA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13033-2023</t>
        </is>
      </c>
      <c r="B4359" s="1" t="n">
        <v>45001</v>
      </c>
      <c r="C4359" s="1" t="n">
        <v>46045</v>
      </c>
      <c r="D4359" t="inlineStr">
        <is>
          <t>JÄMTLANDS LÄN</t>
        </is>
      </c>
      <c r="E4359" t="inlineStr">
        <is>
          <t>BRÄCKE</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21366-2021</t>
        </is>
      </c>
      <c r="B4360" s="1" t="n">
        <v>44320</v>
      </c>
      <c r="C4360" s="1" t="n">
        <v>46045</v>
      </c>
      <c r="D4360" t="inlineStr">
        <is>
          <t>JÄMTLANDS LÄN</t>
        </is>
      </c>
      <c r="E4360" t="inlineStr">
        <is>
          <t>BRÄCKE</t>
        </is>
      </c>
      <c r="F4360" t="inlineStr">
        <is>
          <t>SCA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9109-2024</t>
        </is>
      </c>
      <c r="B4361" s="1" t="n">
        <v>45357.96106481482</v>
      </c>
      <c r="C4361" s="1" t="n">
        <v>46045</v>
      </c>
      <c r="D4361" t="inlineStr">
        <is>
          <t>JÄMTLANDS LÄN</t>
        </is>
      </c>
      <c r="E4361" t="inlineStr">
        <is>
          <t>ÖSTERSUND</t>
        </is>
      </c>
      <c r="G4361" t="n">
        <v>17.1</v>
      </c>
      <c r="H4361" t="n">
        <v>0</v>
      </c>
      <c r="I4361" t="n">
        <v>0</v>
      </c>
      <c r="J4361" t="n">
        <v>0</v>
      </c>
      <c r="K4361" t="n">
        <v>0</v>
      </c>
      <c r="L4361" t="n">
        <v>0</v>
      </c>
      <c r="M4361" t="n">
        <v>0</v>
      </c>
      <c r="N4361" t="n">
        <v>0</v>
      </c>
      <c r="O4361" t="n">
        <v>0</v>
      </c>
      <c r="P4361" t="n">
        <v>0</v>
      </c>
      <c r="Q4361" t="n">
        <v>0</v>
      </c>
      <c r="R4361" s="2" t="inlineStr"/>
    </row>
    <row r="4362" ht="15" customHeight="1">
      <c r="A4362" t="inlineStr">
        <is>
          <t>A 32259-2024</t>
        </is>
      </c>
      <c r="B4362" s="1" t="n">
        <v>45511</v>
      </c>
      <c r="C4362" s="1" t="n">
        <v>46045</v>
      </c>
      <c r="D4362" t="inlineStr">
        <is>
          <t>JÄMTLANDS LÄN</t>
        </is>
      </c>
      <c r="E4362" t="inlineStr">
        <is>
          <t>RAGUNDA</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23561-2021</t>
        </is>
      </c>
      <c r="B4363" s="1" t="n">
        <v>44334</v>
      </c>
      <c r="C4363" s="1" t="n">
        <v>46045</v>
      </c>
      <c r="D4363" t="inlineStr">
        <is>
          <t>JÄMTLANDS LÄN</t>
        </is>
      </c>
      <c r="E4363" t="inlineStr">
        <is>
          <t>ÅRE</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1394-2025</t>
        </is>
      </c>
      <c r="B4364" s="1" t="n">
        <v>45667</v>
      </c>
      <c r="C4364" s="1" t="n">
        <v>46045</v>
      </c>
      <c r="D4364" t="inlineStr">
        <is>
          <t>JÄMTLANDS LÄN</t>
        </is>
      </c>
      <c r="E4364" t="inlineStr">
        <is>
          <t>HÄRJEDALEN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41345-2025</t>
        </is>
      </c>
      <c r="B4365" s="1" t="n">
        <v>45899.46903935185</v>
      </c>
      <c r="C4365" s="1" t="n">
        <v>46045</v>
      </c>
      <c r="D4365" t="inlineStr">
        <is>
          <t>JÄMTLANDS LÄN</t>
        </is>
      </c>
      <c r="E4365" t="inlineStr">
        <is>
          <t>BRÄCKE</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41526-2025</t>
        </is>
      </c>
      <c r="B4366" s="1" t="n">
        <v>45901.5528587963</v>
      </c>
      <c r="C4366" s="1" t="n">
        <v>46045</v>
      </c>
      <c r="D4366" t="inlineStr">
        <is>
          <t>JÄMTLANDS LÄN</t>
        </is>
      </c>
      <c r="E4366" t="inlineStr">
        <is>
          <t>BRÄCKE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37207-2024</t>
        </is>
      </c>
      <c r="B4367" s="1" t="n">
        <v>45539.67773148148</v>
      </c>
      <c r="C4367" s="1" t="n">
        <v>46045</v>
      </c>
      <c r="D4367" t="inlineStr">
        <is>
          <t>JÄMTLANDS LÄN</t>
        </is>
      </c>
      <c r="E4367" t="inlineStr">
        <is>
          <t>STRÖMSUND</t>
        </is>
      </c>
      <c r="F4367" t="inlineStr">
        <is>
          <t>SCA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41582-2025</t>
        </is>
      </c>
      <c r="B4368" s="1" t="n">
        <v>45901</v>
      </c>
      <c r="C4368" s="1" t="n">
        <v>46045</v>
      </c>
      <c r="D4368" t="inlineStr">
        <is>
          <t>JÄMTLANDS LÄN</t>
        </is>
      </c>
      <c r="E4368" t="inlineStr">
        <is>
          <t>ÖSTERSUND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16512-2024</t>
        </is>
      </c>
      <c r="B4369" s="1" t="n">
        <v>45408.39922453704</v>
      </c>
      <c r="C4369" s="1" t="n">
        <v>46045</v>
      </c>
      <c r="D4369" t="inlineStr">
        <is>
          <t>JÄMTLANDS LÄN</t>
        </is>
      </c>
      <c r="E4369" t="inlineStr">
        <is>
          <t>BRÄCKE</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29712-2024</t>
        </is>
      </c>
      <c r="B4370" s="1" t="n">
        <v>45485</v>
      </c>
      <c r="C4370" s="1" t="n">
        <v>46045</v>
      </c>
      <c r="D4370" t="inlineStr">
        <is>
          <t>JÄMTLANDS LÄN</t>
        </is>
      </c>
      <c r="E4370" t="inlineStr">
        <is>
          <t>HÄRJEDALEN</t>
        </is>
      </c>
      <c r="F4370" t="inlineStr">
        <is>
          <t>Holmen skog AB</t>
        </is>
      </c>
      <c r="G4370" t="n">
        <v>9.5</v>
      </c>
      <c r="H4370" t="n">
        <v>0</v>
      </c>
      <c r="I4370" t="n">
        <v>0</v>
      </c>
      <c r="J4370" t="n">
        <v>0</v>
      </c>
      <c r="K4370" t="n">
        <v>0</v>
      </c>
      <c r="L4370" t="n">
        <v>0</v>
      </c>
      <c r="M4370" t="n">
        <v>0</v>
      </c>
      <c r="N4370" t="n">
        <v>0</v>
      </c>
      <c r="O4370" t="n">
        <v>0</v>
      </c>
      <c r="P4370" t="n">
        <v>0</v>
      </c>
      <c r="Q4370" t="n">
        <v>0</v>
      </c>
      <c r="R4370" s="2" t="inlineStr"/>
    </row>
    <row r="4371" ht="15" customHeight="1">
      <c r="A4371" t="inlineStr">
        <is>
          <t>A 31791-2024</t>
        </is>
      </c>
      <c r="B4371" s="1" t="n">
        <v>45509</v>
      </c>
      <c r="C4371" s="1" t="n">
        <v>46045</v>
      </c>
      <c r="D4371" t="inlineStr">
        <is>
          <t>JÄMTLANDS LÄN</t>
        </is>
      </c>
      <c r="E4371" t="inlineStr">
        <is>
          <t>HÄRJEDALEN</t>
        </is>
      </c>
      <c r="F4371" t="inlineStr">
        <is>
          <t>Övriga statliga verk och myndigheter</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21380-2024</t>
        </is>
      </c>
      <c r="B4372" s="1" t="n">
        <v>45440</v>
      </c>
      <c r="C4372" s="1" t="n">
        <v>46045</v>
      </c>
      <c r="D4372" t="inlineStr">
        <is>
          <t>JÄMTLANDS LÄN</t>
        </is>
      </c>
      <c r="E4372" t="inlineStr">
        <is>
          <t>BRÄCKE</t>
        </is>
      </c>
      <c r="F4372" t="inlineStr">
        <is>
          <t>SCA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21381-2024</t>
        </is>
      </c>
      <c r="B4373" s="1" t="n">
        <v>45440.95402777778</v>
      </c>
      <c r="C4373" s="1" t="n">
        <v>46045</v>
      </c>
      <c r="D4373" t="inlineStr">
        <is>
          <t>JÄMTLANDS LÄN</t>
        </is>
      </c>
      <c r="E4373" t="inlineStr">
        <is>
          <t>BRÄCKE</t>
        </is>
      </c>
      <c r="F4373" t="inlineStr">
        <is>
          <t>SCA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8733-2024</t>
        </is>
      </c>
      <c r="B4374" s="1" t="n">
        <v>45355</v>
      </c>
      <c r="C4374" s="1" t="n">
        <v>46045</v>
      </c>
      <c r="D4374" t="inlineStr">
        <is>
          <t>JÄMTLANDS LÄN</t>
        </is>
      </c>
      <c r="E4374" t="inlineStr">
        <is>
          <t>BERG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10773-2024</t>
        </is>
      </c>
      <c r="B4375" s="1" t="n">
        <v>45369</v>
      </c>
      <c r="C4375" s="1" t="n">
        <v>46045</v>
      </c>
      <c r="D4375" t="inlineStr">
        <is>
          <t>JÄMTLANDS LÄN</t>
        </is>
      </c>
      <c r="E4375" t="inlineStr">
        <is>
          <t>KROKOM</t>
        </is>
      </c>
      <c r="G4375" t="n">
        <v>27.1</v>
      </c>
      <c r="H4375" t="n">
        <v>0</v>
      </c>
      <c r="I4375" t="n">
        <v>0</v>
      </c>
      <c r="J4375" t="n">
        <v>0</v>
      </c>
      <c r="K4375" t="n">
        <v>0</v>
      </c>
      <c r="L4375" t="n">
        <v>0</v>
      </c>
      <c r="M4375" t="n">
        <v>0</v>
      </c>
      <c r="N4375" t="n">
        <v>0</v>
      </c>
      <c r="O4375" t="n">
        <v>0</v>
      </c>
      <c r="P4375" t="n">
        <v>0</v>
      </c>
      <c r="Q4375" t="n">
        <v>0</v>
      </c>
      <c r="R4375" s="2" t="inlineStr"/>
    </row>
    <row r="4376" ht="15" customHeight="1">
      <c r="A4376" t="inlineStr">
        <is>
          <t>A 45304-2022</t>
        </is>
      </c>
      <c r="B4376" s="1" t="n">
        <v>44841</v>
      </c>
      <c r="C4376" s="1" t="n">
        <v>46045</v>
      </c>
      <c r="D4376" t="inlineStr">
        <is>
          <t>JÄMTLANDS LÄN</t>
        </is>
      </c>
      <c r="E4376" t="inlineStr">
        <is>
          <t>BRÄCKE</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43432-2022</t>
        </is>
      </c>
      <c r="B4377" s="1" t="n">
        <v>44834</v>
      </c>
      <c r="C4377" s="1" t="n">
        <v>46045</v>
      </c>
      <c r="D4377" t="inlineStr">
        <is>
          <t>JÄMTLANDS LÄN</t>
        </is>
      </c>
      <c r="E4377" t="inlineStr">
        <is>
          <t>STRÖMSUND</t>
        </is>
      </c>
      <c r="F4377" t="inlineStr">
        <is>
          <t>SCA</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1366-2024</t>
        </is>
      </c>
      <c r="B4378" s="1" t="n">
        <v>45303.52626157407</v>
      </c>
      <c r="C4378" s="1" t="n">
        <v>46045</v>
      </c>
      <c r="D4378" t="inlineStr">
        <is>
          <t>JÄMTLANDS LÄN</t>
        </is>
      </c>
      <c r="E4378" t="inlineStr">
        <is>
          <t>HÄRJEDALEN</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52578-2021</t>
        </is>
      </c>
      <c r="B4379" s="1" t="n">
        <v>44466.56642361111</v>
      </c>
      <c r="C4379" s="1" t="n">
        <v>46045</v>
      </c>
      <c r="D4379" t="inlineStr">
        <is>
          <t>JÄMTLANDS LÄN</t>
        </is>
      </c>
      <c r="E4379" t="inlineStr">
        <is>
          <t>KROKOM</t>
        </is>
      </c>
      <c r="G4379" t="n">
        <v>17.1</v>
      </c>
      <c r="H4379" t="n">
        <v>0</v>
      </c>
      <c r="I4379" t="n">
        <v>0</v>
      </c>
      <c r="J4379" t="n">
        <v>0</v>
      </c>
      <c r="K4379" t="n">
        <v>0</v>
      </c>
      <c r="L4379" t="n">
        <v>0</v>
      </c>
      <c r="M4379" t="n">
        <v>0</v>
      </c>
      <c r="N4379" t="n">
        <v>0</v>
      </c>
      <c r="O4379" t="n">
        <v>0</v>
      </c>
      <c r="P4379" t="n">
        <v>0</v>
      </c>
      <c r="Q4379" t="n">
        <v>0</v>
      </c>
      <c r="R4379" s="2" t="inlineStr"/>
    </row>
    <row r="4380" ht="15" customHeight="1">
      <c r="A4380" t="inlineStr">
        <is>
          <t>A 41600-2025</t>
        </is>
      </c>
      <c r="B4380" s="1" t="n">
        <v>45901.65686342592</v>
      </c>
      <c r="C4380" s="1" t="n">
        <v>46045</v>
      </c>
      <c r="D4380" t="inlineStr">
        <is>
          <t>JÄMTLANDS LÄN</t>
        </is>
      </c>
      <c r="E4380" t="inlineStr">
        <is>
          <t>BRÄCKE</t>
        </is>
      </c>
      <c r="F4380" t="inlineStr">
        <is>
          <t>SCA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62074-2023</t>
        </is>
      </c>
      <c r="B4381" s="1" t="n">
        <v>45266</v>
      </c>
      <c r="C4381" s="1" t="n">
        <v>46045</v>
      </c>
      <c r="D4381" t="inlineStr">
        <is>
          <t>JÄMTLANDS LÄN</t>
        </is>
      </c>
      <c r="E4381" t="inlineStr">
        <is>
          <t>BRÄCKE</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61230-2021</t>
        </is>
      </c>
      <c r="B4382" s="1" t="n">
        <v>44498</v>
      </c>
      <c r="C4382" s="1" t="n">
        <v>46045</v>
      </c>
      <c r="D4382" t="inlineStr">
        <is>
          <t>JÄMTLANDS LÄN</t>
        </is>
      </c>
      <c r="E4382" t="inlineStr">
        <is>
          <t>KROKOM</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51559-2022</t>
        </is>
      </c>
      <c r="B4383" s="1" t="n">
        <v>44869</v>
      </c>
      <c r="C4383" s="1" t="n">
        <v>46045</v>
      </c>
      <c r="D4383" t="inlineStr">
        <is>
          <t>JÄMTLANDS LÄN</t>
        </is>
      </c>
      <c r="E4383" t="inlineStr">
        <is>
          <t>BRÄCKE</t>
        </is>
      </c>
      <c r="F4383" t="inlineStr">
        <is>
          <t>SCA</t>
        </is>
      </c>
      <c r="G4383" t="n">
        <v>21.1</v>
      </c>
      <c r="H4383" t="n">
        <v>0</v>
      </c>
      <c r="I4383" t="n">
        <v>0</v>
      </c>
      <c r="J4383" t="n">
        <v>0</v>
      </c>
      <c r="K4383" t="n">
        <v>0</v>
      </c>
      <c r="L4383" t="n">
        <v>0</v>
      </c>
      <c r="M4383" t="n">
        <v>0</v>
      </c>
      <c r="N4383" t="n">
        <v>0</v>
      </c>
      <c r="O4383" t="n">
        <v>0</v>
      </c>
      <c r="P4383" t="n">
        <v>0</v>
      </c>
      <c r="Q4383" t="n">
        <v>0</v>
      </c>
      <c r="R4383" s="2" t="inlineStr"/>
    </row>
    <row r="4384" ht="15" customHeight="1">
      <c r="A4384" t="inlineStr">
        <is>
          <t>A 52147-2024</t>
        </is>
      </c>
      <c r="B4384" s="1" t="n">
        <v>45608.52340277778</v>
      </c>
      <c r="C4384" s="1" t="n">
        <v>46045</v>
      </c>
      <c r="D4384" t="inlineStr">
        <is>
          <t>JÄMTLANDS LÄN</t>
        </is>
      </c>
      <c r="E4384" t="inlineStr">
        <is>
          <t>STRÖMSUND</t>
        </is>
      </c>
      <c r="F4384" t="inlineStr">
        <is>
          <t>SCA</t>
        </is>
      </c>
      <c r="G4384" t="n">
        <v>9</v>
      </c>
      <c r="H4384" t="n">
        <v>0</v>
      </c>
      <c r="I4384" t="n">
        <v>0</v>
      </c>
      <c r="J4384" t="n">
        <v>0</v>
      </c>
      <c r="K4384" t="n">
        <v>0</v>
      </c>
      <c r="L4384" t="n">
        <v>0</v>
      </c>
      <c r="M4384" t="n">
        <v>0</v>
      </c>
      <c r="N4384" t="n">
        <v>0</v>
      </c>
      <c r="O4384" t="n">
        <v>0</v>
      </c>
      <c r="P4384" t="n">
        <v>0</v>
      </c>
      <c r="Q4384" t="n">
        <v>0</v>
      </c>
      <c r="R4384" s="2" t="inlineStr"/>
    </row>
    <row r="4385" ht="15" customHeight="1">
      <c r="A4385" t="inlineStr">
        <is>
          <t>A 5402-2025</t>
        </is>
      </c>
      <c r="B4385" s="1" t="n">
        <v>45692.64298611111</v>
      </c>
      <c r="C4385" s="1" t="n">
        <v>46045</v>
      </c>
      <c r="D4385" t="inlineStr">
        <is>
          <t>JÄMTLANDS LÄN</t>
        </is>
      </c>
      <c r="E4385" t="inlineStr">
        <is>
          <t>KROKOM</t>
        </is>
      </c>
      <c r="G4385" t="n">
        <v>20.3</v>
      </c>
      <c r="H4385" t="n">
        <v>0</v>
      </c>
      <c r="I4385" t="n">
        <v>0</v>
      </c>
      <c r="J4385" t="n">
        <v>0</v>
      </c>
      <c r="K4385" t="n">
        <v>0</v>
      </c>
      <c r="L4385" t="n">
        <v>0</v>
      </c>
      <c r="M4385" t="n">
        <v>0</v>
      </c>
      <c r="N4385" t="n">
        <v>0</v>
      </c>
      <c r="O4385" t="n">
        <v>0</v>
      </c>
      <c r="P4385" t="n">
        <v>0</v>
      </c>
      <c r="Q4385" t="n">
        <v>0</v>
      </c>
      <c r="R4385" s="2" t="inlineStr"/>
    </row>
    <row r="4386" ht="15" customHeight="1">
      <c r="A4386" t="inlineStr">
        <is>
          <t>A 60172-2024</t>
        </is>
      </c>
      <c r="B4386" s="1" t="n">
        <v>45642.6366087963</v>
      </c>
      <c r="C4386" s="1" t="n">
        <v>46045</v>
      </c>
      <c r="D4386" t="inlineStr">
        <is>
          <t>JÄMTLANDS LÄN</t>
        </is>
      </c>
      <c r="E4386" t="inlineStr">
        <is>
          <t>KROKOM</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18778-2024</t>
        </is>
      </c>
      <c r="B4387" s="1" t="n">
        <v>45426</v>
      </c>
      <c r="C4387" s="1" t="n">
        <v>46045</v>
      </c>
      <c r="D4387" t="inlineStr">
        <is>
          <t>JÄMTLANDS LÄN</t>
        </is>
      </c>
      <c r="E4387" t="inlineStr">
        <is>
          <t>RAGUNDA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18781-2024</t>
        </is>
      </c>
      <c r="B4388" s="1" t="n">
        <v>45426</v>
      </c>
      <c r="C4388" s="1" t="n">
        <v>46045</v>
      </c>
      <c r="D4388" t="inlineStr">
        <is>
          <t>JÄMTLANDS LÄN</t>
        </is>
      </c>
      <c r="E4388" t="inlineStr">
        <is>
          <t>RAGUNDA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32879-2024</t>
        </is>
      </c>
      <c r="B4389" s="1" t="n">
        <v>45516.68450231481</v>
      </c>
      <c r="C4389" s="1" t="n">
        <v>46045</v>
      </c>
      <c r="D4389" t="inlineStr">
        <is>
          <t>JÄMTLANDS LÄN</t>
        </is>
      </c>
      <c r="E4389" t="inlineStr">
        <is>
          <t>BERG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28742-2023</t>
        </is>
      </c>
      <c r="B4390" s="1" t="n">
        <v>45103</v>
      </c>
      <c r="C4390" s="1" t="n">
        <v>46045</v>
      </c>
      <c r="D4390" t="inlineStr">
        <is>
          <t>JÄMTLANDS LÄN</t>
        </is>
      </c>
      <c r="E4390" t="inlineStr">
        <is>
          <t>RAGUNDA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12484-2023</t>
        </is>
      </c>
      <c r="B4391" s="1" t="n">
        <v>44998</v>
      </c>
      <c r="C4391" s="1" t="n">
        <v>46045</v>
      </c>
      <c r="D4391" t="inlineStr">
        <is>
          <t>JÄMTLANDS LÄN</t>
        </is>
      </c>
      <c r="E4391" t="inlineStr">
        <is>
          <t>HÄRJEDALEN</t>
        </is>
      </c>
      <c r="G4391" t="n">
        <v>43.1</v>
      </c>
      <c r="H4391" t="n">
        <v>0</v>
      </c>
      <c r="I4391" t="n">
        <v>0</v>
      </c>
      <c r="J4391" t="n">
        <v>0</v>
      </c>
      <c r="K4391" t="n">
        <v>0</v>
      </c>
      <c r="L4391" t="n">
        <v>0</v>
      </c>
      <c r="M4391" t="n">
        <v>0</v>
      </c>
      <c r="N4391" t="n">
        <v>0</v>
      </c>
      <c r="O4391" t="n">
        <v>0</v>
      </c>
      <c r="P4391" t="n">
        <v>0</v>
      </c>
      <c r="Q4391" t="n">
        <v>0</v>
      </c>
      <c r="R4391" s="2" t="inlineStr"/>
    </row>
    <row r="4392" ht="15" customHeight="1">
      <c r="A4392" t="inlineStr">
        <is>
          <t>A 54904-2022</t>
        </is>
      </c>
      <c r="B4392" s="1" t="n">
        <v>44886</v>
      </c>
      <c r="C4392" s="1" t="n">
        <v>46045</v>
      </c>
      <c r="D4392" t="inlineStr">
        <is>
          <t>JÄMTLANDS LÄN</t>
        </is>
      </c>
      <c r="E4392" t="inlineStr">
        <is>
          <t>ÅRE</t>
        </is>
      </c>
      <c r="F4392" t="inlineStr">
        <is>
          <t>Övriga Aktiebolag</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41579-2024</t>
        </is>
      </c>
      <c r="B4393" s="1" t="n">
        <v>45560.55297453704</v>
      </c>
      <c r="C4393" s="1" t="n">
        <v>46045</v>
      </c>
      <c r="D4393" t="inlineStr">
        <is>
          <t>JÄMTLANDS LÄN</t>
        </is>
      </c>
      <c r="E4393" t="inlineStr">
        <is>
          <t>STRÖMSUND</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59279-2023</t>
        </is>
      </c>
      <c r="B4394" s="1" t="n">
        <v>45253.55737268519</v>
      </c>
      <c r="C4394" s="1" t="n">
        <v>46045</v>
      </c>
      <c r="D4394" t="inlineStr">
        <is>
          <t>JÄMTLANDS LÄN</t>
        </is>
      </c>
      <c r="E4394" t="inlineStr">
        <is>
          <t>HÄRJEDALEN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19345-2024</t>
        </is>
      </c>
      <c r="B4395" s="1" t="n">
        <v>45428.97185185185</v>
      </c>
      <c r="C4395" s="1" t="n">
        <v>46045</v>
      </c>
      <c r="D4395" t="inlineStr">
        <is>
          <t>JÄMTLANDS LÄN</t>
        </is>
      </c>
      <c r="E4395" t="inlineStr">
        <is>
          <t>BERG</t>
        </is>
      </c>
      <c r="F4395" t="inlineStr">
        <is>
          <t>SCA</t>
        </is>
      </c>
      <c r="G4395" t="n">
        <v>14.7</v>
      </c>
      <c r="H4395" t="n">
        <v>0</v>
      </c>
      <c r="I4395" t="n">
        <v>0</v>
      </c>
      <c r="J4395" t="n">
        <v>0</v>
      </c>
      <c r="K4395" t="n">
        <v>0</v>
      </c>
      <c r="L4395" t="n">
        <v>0</v>
      </c>
      <c r="M4395" t="n">
        <v>0</v>
      </c>
      <c r="N4395" t="n">
        <v>0</v>
      </c>
      <c r="O4395" t="n">
        <v>0</v>
      </c>
      <c r="P4395" t="n">
        <v>0</v>
      </c>
      <c r="Q4395" t="n">
        <v>0</v>
      </c>
      <c r="R4395" s="2" t="inlineStr"/>
    </row>
    <row r="4396" ht="15" customHeight="1">
      <c r="A4396" t="inlineStr">
        <is>
          <t>A 17248-2023</t>
        </is>
      </c>
      <c r="B4396" s="1" t="n">
        <v>45033</v>
      </c>
      <c r="C4396" s="1" t="n">
        <v>46045</v>
      </c>
      <c r="D4396" t="inlineStr">
        <is>
          <t>JÄMTLANDS LÄN</t>
        </is>
      </c>
      <c r="E4396" t="inlineStr">
        <is>
          <t>RAGUNDA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53456-2022</t>
        </is>
      </c>
      <c r="B4397" s="1" t="n">
        <v>44874</v>
      </c>
      <c r="C4397" s="1" t="n">
        <v>46045</v>
      </c>
      <c r="D4397" t="inlineStr">
        <is>
          <t>JÄMTLANDS LÄN</t>
        </is>
      </c>
      <c r="E4397" t="inlineStr">
        <is>
          <t>BERG</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6622-2025</t>
        </is>
      </c>
      <c r="B4398" s="1" t="n">
        <v>45700.36594907408</v>
      </c>
      <c r="C4398" s="1" t="n">
        <v>46045</v>
      </c>
      <c r="D4398" t="inlineStr">
        <is>
          <t>JÄMTLANDS LÄN</t>
        </is>
      </c>
      <c r="E4398" t="inlineStr">
        <is>
          <t>BRÄCKE</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23601-2021</t>
        </is>
      </c>
      <c r="B4399" s="1" t="n">
        <v>44334</v>
      </c>
      <c r="C4399" s="1" t="n">
        <v>46045</v>
      </c>
      <c r="D4399" t="inlineStr">
        <is>
          <t>JÄMTLANDS LÄN</t>
        </is>
      </c>
      <c r="E4399" t="inlineStr">
        <is>
          <t>KROKOM</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52478-2023</t>
        </is>
      </c>
      <c r="B4400" s="1" t="n">
        <v>45225</v>
      </c>
      <c r="C4400" s="1" t="n">
        <v>46045</v>
      </c>
      <c r="D4400" t="inlineStr">
        <is>
          <t>JÄMTLANDS LÄN</t>
        </is>
      </c>
      <c r="E4400" t="inlineStr">
        <is>
          <t>STRÖMSUND</t>
        </is>
      </c>
      <c r="F4400" t="inlineStr">
        <is>
          <t>Holmen skog AB</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46980-2024</t>
        </is>
      </c>
      <c r="B4401" s="1" t="n">
        <v>45586.35054398148</v>
      </c>
      <c r="C4401" s="1" t="n">
        <v>46045</v>
      </c>
      <c r="D4401" t="inlineStr">
        <is>
          <t>JÄMTLANDS LÄN</t>
        </is>
      </c>
      <c r="E4401" t="inlineStr">
        <is>
          <t>STRÖMSUND</t>
        </is>
      </c>
      <c r="F4401" t="inlineStr">
        <is>
          <t>Holmen skog AB</t>
        </is>
      </c>
      <c r="G4401" t="n">
        <v>8.9</v>
      </c>
      <c r="H4401" t="n">
        <v>0</v>
      </c>
      <c r="I4401" t="n">
        <v>0</v>
      </c>
      <c r="J4401" t="n">
        <v>0</v>
      </c>
      <c r="K4401" t="n">
        <v>0</v>
      </c>
      <c r="L4401" t="n">
        <v>0</v>
      </c>
      <c r="M4401" t="n">
        <v>0</v>
      </c>
      <c r="N4401" t="n">
        <v>0</v>
      </c>
      <c r="O4401" t="n">
        <v>0</v>
      </c>
      <c r="P4401" t="n">
        <v>0</v>
      </c>
      <c r="Q4401" t="n">
        <v>0</v>
      </c>
      <c r="R4401" s="2" t="inlineStr"/>
    </row>
    <row r="4402" ht="15" customHeight="1">
      <c r="A4402" t="inlineStr">
        <is>
          <t>A 11243-2025</t>
        </is>
      </c>
      <c r="B4402" s="1" t="n">
        <v>45726.37850694444</v>
      </c>
      <c r="C4402" s="1" t="n">
        <v>46045</v>
      </c>
      <c r="D4402" t="inlineStr">
        <is>
          <t>JÄMTLANDS LÄN</t>
        </is>
      </c>
      <c r="E4402" t="inlineStr">
        <is>
          <t>KROKOM</t>
        </is>
      </c>
      <c r="F4402" t="inlineStr">
        <is>
          <t>Övriga Aktiebolag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48476-2023</t>
        </is>
      </c>
      <c r="B4403" s="1" t="n">
        <v>45206</v>
      </c>
      <c r="C4403" s="1" t="n">
        <v>46045</v>
      </c>
      <c r="D4403" t="inlineStr">
        <is>
          <t>JÄMTLANDS LÄN</t>
        </is>
      </c>
      <c r="E4403" t="inlineStr">
        <is>
          <t>STRÖMSUND</t>
        </is>
      </c>
      <c r="F4403" t="inlineStr">
        <is>
          <t>SCA</t>
        </is>
      </c>
      <c r="G4403" t="n">
        <v>16.7</v>
      </c>
      <c r="H4403" t="n">
        <v>0</v>
      </c>
      <c r="I4403" t="n">
        <v>0</v>
      </c>
      <c r="J4403" t="n">
        <v>0</v>
      </c>
      <c r="K4403" t="n">
        <v>0</v>
      </c>
      <c r="L4403" t="n">
        <v>0</v>
      </c>
      <c r="M4403" t="n">
        <v>0</v>
      </c>
      <c r="N4403" t="n">
        <v>0</v>
      </c>
      <c r="O4403" t="n">
        <v>0</v>
      </c>
      <c r="P4403" t="n">
        <v>0</v>
      </c>
      <c r="Q4403" t="n">
        <v>0</v>
      </c>
      <c r="R4403" s="2" t="inlineStr"/>
    </row>
    <row r="4404" ht="15" customHeight="1">
      <c r="A4404" t="inlineStr">
        <is>
          <t>A 6066-2025</t>
        </is>
      </c>
      <c r="B4404" s="1" t="n">
        <v>45696.3440162037</v>
      </c>
      <c r="C4404" s="1" t="n">
        <v>46045</v>
      </c>
      <c r="D4404" t="inlineStr">
        <is>
          <t>JÄMTLANDS LÄN</t>
        </is>
      </c>
      <c r="E4404" t="inlineStr">
        <is>
          <t>KROKOM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48480-2023</t>
        </is>
      </c>
      <c r="B4405" s="1" t="n">
        <v>45206.95831018518</v>
      </c>
      <c r="C4405" s="1" t="n">
        <v>46045</v>
      </c>
      <c r="D4405" t="inlineStr">
        <is>
          <t>JÄMTLANDS LÄN</t>
        </is>
      </c>
      <c r="E4405" t="inlineStr">
        <is>
          <t>BRÄCKE</t>
        </is>
      </c>
      <c r="F4405" t="inlineStr">
        <is>
          <t>SCA</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58206-2024</t>
        </is>
      </c>
      <c r="B4406" s="1" t="n">
        <v>45632.4900462963</v>
      </c>
      <c r="C4406" s="1" t="n">
        <v>46045</v>
      </c>
      <c r="D4406" t="inlineStr">
        <is>
          <t>JÄMTLANDS LÄN</t>
        </is>
      </c>
      <c r="E4406" t="inlineStr">
        <is>
          <t>STRÖMSUND</t>
        </is>
      </c>
      <c r="F4406" t="inlineStr">
        <is>
          <t>SCA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58734-2024</t>
        </is>
      </c>
      <c r="B4407" s="1" t="n">
        <v>45635.67949074074</v>
      </c>
      <c r="C4407" s="1" t="n">
        <v>46045</v>
      </c>
      <c r="D4407" t="inlineStr">
        <is>
          <t>JÄMTLANDS LÄN</t>
        </is>
      </c>
      <c r="E4407" t="inlineStr">
        <is>
          <t>KROKOM</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41659-2025</t>
        </is>
      </c>
      <c r="B4408" s="1" t="n">
        <v>45902.3446412037</v>
      </c>
      <c r="C4408" s="1" t="n">
        <v>46045</v>
      </c>
      <c r="D4408" t="inlineStr">
        <is>
          <t>JÄMTLANDS LÄN</t>
        </is>
      </c>
      <c r="E4408" t="inlineStr">
        <is>
          <t>STRÖMSUND</t>
        </is>
      </c>
      <c r="F4408" t="inlineStr">
        <is>
          <t>SCA</t>
        </is>
      </c>
      <c r="G4408" t="n">
        <v>6.7</v>
      </c>
      <c r="H4408" t="n">
        <v>0</v>
      </c>
      <c r="I4408" t="n">
        <v>0</v>
      </c>
      <c r="J4408" t="n">
        <v>0</v>
      </c>
      <c r="K4408" t="n">
        <v>0</v>
      </c>
      <c r="L4408" t="n">
        <v>0</v>
      </c>
      <c r="M4408" t="n">
        <v>0</v>
      </c>
      <c r="N4408" t="n">
        <v>0</v>
      </c>
      <c r="O4408" t="n">
        <v>0</v>
      </c>
      <c r="P4408" t="n">
        <v>0</v>
      </c>
      <c r="Q4408" t="n">
        <v>0</v>
      </c>
      <c r="R4408" s="2" t="inlineStr"/>
    </row>
    <row r="4409" ht="15" customHeight="1">
      <c r="A4409" t="inlineStr">
        <is>
          <t>A 48696-2024</t>
        </is>
      </c>
      <c r="B4409" s="1" t="n">
        <v>45593.51123842593</v>
      </c>
      <c r="C4409" s="1" t="n">
        <v>46045</v>
      </c>
      <c r="D4409" t="inlineStr">
        <is>
          <t>JÄMTLANDS LÄN</t>
        </is>
      </c>
      <c r="E4409" t="inlineStr">
        <is>
          <t>ÖSTERSUND</t>
        </is>
      </c>
      <c r="F4409" t="inlineStr">
        <is>
          <t>SCA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61475-2024</t>
        </is>
      </c>
      <c r="B4410" s="1" t="n">
        <v>45645</v>
      </c>
      <c r="C4410" s="1" t="n">
        <v>46045</v>
      </c>
      <c r="D4410" t="inlineStr">
        <is>
          <t>JÄMTLANDS LÄN</t>
        </is>
      </c>
      <c r="E4410" t="inlineStr">
        <is>
          <t>STRÖMSUND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52111-2024</t>
        </is>
      </c>
      <c r="B4411" s="1" t="n">
        <v>45608.43930555556</v>
      </c>
      <c r="C4411" s="1" t="n">
        <v>46045</v>
      </c>
      <c r="D4411" t="inlineStr">
        <is>
          <t>JÄMTLANDS LÄN</t>
        </is>
      </c>
      <c r="E4411" t="inlineStr">
        <is>
          <t>KROKOM</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171-2022</t>
        </is>
      </c>
      <c r="B4412" s="1" t="n">
        <v>44564</v>
      </c>
      <c r="C4412" s="1" t="n">
        <v>46045</v>
      </c>
      <c r="D4412" t="inlineStr">
        <is>
          <t>JÄMTLANDS LÄN</t>
        </is>
      </c>
      <c r="E4412" t="inlineStr">
        <is>
          <t>BERG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41788-2025</t>
        </is>
      </c>
      <c r="B4413" s="1" t="n">
        <v>45902.59438657408</v>
      </c>
      <c r="C4413" s="1" t="n">
        <v>46045</v>
      </c>
      <c r="D4413" t="inlineStr">
        <is>
          <t>JÄMTLANDS LÄN</t>
        </is>
      </c>
      <c r="E4413" t="inlineStr">
        <is>
          <t>HÄRJEDALEN</t>
        </is>
      </c>
      <c r="F4413" t="inlineStr">
        <is>
          <t>SCA</t>
        </is>
      </c>
      <c r="G4413" t="n">
        <v>9.9</v>
      </c>
      <c r="H4413" t="n">
        <v>0</v>
      </c>
      <c r="I4413" t="n">
        <v>0</v>
      </c>
      <c r="J4413" t="n">
        <v>0</v>
      </c>
      <c r="K4413" t="n">
        <v>0</v>
      </c>
      <c r="L4413" t="n">
        <v>0</v>
      </c>
      <c r="M4413" t="n">
        <v>0</v>
      </c>
      <c r="N4413" t="n">
        <v>0</v>
      </c>
      <c r="O4413" t="n">
        <v>0</v>
      </c>
      <c r="P4413" t="n">
        <v>0</v>
      </c>
      <c r="Q4413" t="n">
        <v>0</v>
      </c>
      <c r="R4413" s="2" t="inlineStr"/>
    </row>
    <row r="4414" ht="15" customHeight="1">
      <c r="A4414" t="inlineStr">
        <is>
          <t>A 22126-2021</t>
        </is>
      </c>
      <c r="B4414" s="1" t="n">
        <v>44323</v>
      </c>
      <c r="C4414" s="1" t="n">
        <v>46045</v>
      </c>
      <c r="D4414" t="inlineStr">
        <is>
          <t>JÄMTLANDS LÄN</t>
        </is>
      </c>
      <c r="E4414" t="inlineStr">
        <is>
          <t>ÖSTERSUND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239-2022</t>
        </is>
      </c>
      <c r="B4415" s="1" t="n">
        <v>44565.31975694445</v>
      </c>
      <c r="C4415" s="1" t="n">
        <v>46045</v>
      </c>
      <c r="D4415" t="inlineStr">
        <is>
          <t>JÄMTLANDS LÄN</t>
        </is>
      </c>
      <c r="E4415" t="inlineStr">
        <is>
          <t>HÄRJEDALEN</t>
        </is>
      </c>
      <c r="F4415" t="inlineStr">
        <is>
          <t>Övriga Aktiebolag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241-2022</t>
        </is>
      </c>
      <c r="B4416" s="1" t="n">
        <v>44565</v>
      </c>
      <c r="C4416" s="1" t="n">
        <v>46045</v>
      </c>
      <c r="D4416" t="inlineStr">
        <is>
          <t>JÄMTLANDS LÄN</t>
        </is>
      </c>
      <c r="E4416" t="inlineStr">
        <is>
          <t>HÄRJEDALEN</t>
        </is>
      </c>
      <c r="F4416" t="inlineStr">
        <is>
          <t>Övriga Aktiebolag</t>
        </is>
      </c>
      <c r="G4416" t="n">
        <v>16.5</v>
      </c>
      <c r="H4416" t="n">
        <v>0</v>
      </c>
      <c r="I4416" t="n">
        <v>0</v>
      </c>
      <c r="J4416" t="n">
        <v>0</v>
      </c>
      <c r="K4416" t="n">
        <v>0</v>
      </c>
      <c r="L4416" t="n">
        <v>0</v>
      </c>
      <c r="M4416" t="n">
        <v>0</v>
      </c>
      <c r="N4416" t="n">
        <v>0</v>
      </c>
      <c r="O4416" t="n">
        <v>0</v>
      </c>
      <c r="P4416" t="n">
        <v>0</v>
      </c>
      <c r="Q4416" t="n">
        <v>0</v>
      </c>
      <c r="R4416" s="2" t="inlineStr"/>
    </row>
    <row r="4417" ht="15" customHeight="1">
      <c r="A4417" t="inlineStr">
        <is>
          <t>A 13146-2025</t>
        </is>
      </c>
      <c r="B4417" s="1" t="n">
        <v>45734</v>
      </c>
      <c r="C4417" s="1" t="n">
        <v>46045</v>
      </c>
      <c r="D4417" t="inlineStr">
        <is>
          <t>JÄMTLANDS LÄN</t>
        </is>
      </c>
      <c r="E4417" t="inlineStr">
        <is>
          <t>STRÖMSUND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38962-2024</t>
        </is>
      </c>
      <c r="B4418" s="1" t="n">
        <v>45548.36175925926</v>
      </c>
      <c r="C4418" s="1" t="n">
        <v>46045</v>
      </c>
      <c r="D4418" t="inlineStr">
        <is>
          <t>JÄMTLANDS LÄN</t>
        </is>
      </c>
      <c r="E4418" t="inlineStr">
        <is>
          <t>BERG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26048-2024</t>
        </is>
      </c>
      <c r="B4419" s="1" t="n">
        <v>45468.32363425926</v>
      </c>
      <c r="C4419" s="1" t="n">
        <v>46045</v>
      </c>
      <c r="D4419" t="inlineStr">
        <is>
          <t>JÄMTLANDS LÄN</t>
        </is>
      </c>
      <c r="E4419" t="inlineStr">
        <is>
          <t>STRÖMSUND</t>
        </is>
      </c>
      <c r="F4419" t="inlineStr">
        <is>
          <t>Holmen skog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10024-2025</t>
        </is>
      </c>
      <c r="B4420" s="1" t="n">
        <v>45719.48778935185</v>
      </c>
      <c r="C4420" s="1" t="n">
        <v>46045</v>
      </c>
      <c r="D4420" t="inlineStr">
        <is>
          <t>JÄMTLANDS LÄN</t>
        </is>
      </c>
      <c r="E4420" t="inlineStr">
        <is>
          <t>HÄRJEDALEN</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10088-2025</t>
        </is>
      </c>
      <c r="B4421" s="1" t="n">
        <v>45719.57335648148</v>
      </c>
      <c r="C4421" s="1" t="n">
        <v>46045</v>
      </c>
      <c r="D4421" t="inlineStr">
        <is>
          <t>JÄMTLANDS LÄN</t>
        </is>
      </c>
      <c r="E4421" t="inlineStr">
        <is>
          <t>BRÄCKE</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10093-2025</t>
        </is>
      </c>
      <c r="B4422" s="1" t="n">
        <v>45719.57422453703</v>
      </c>
      <c r="C4422" s="1" t="n">
        <v>46045</v>
      </c>
      <c r="D4422" t="inlineStr">
        <is>
          <t>JÄMTLANDS LÄN</t>
        </is>
      </c>
      <c r="E4422" t="inlineStr">
        <is>
          <t>STRÖMSUND</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53263-2024</t>
        </is>
      </c>
      <c r="B4423" s="1" t="n">
        <v>45614.34541666666</v>
      </c>
      <c r="C4423" s="1" t="n">
        <v>46045</v>
      </c>
      <c r="D4423" t="inlineStr">
        <is>
          <t>JÄMTLANDS LÄN</t>
        </is>
      </c>
      <c r="E4423" t="inlineStr">
        <is>
          <t>RAGUNDA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10106-2025</t>
        </is>
      </c>
      <c r="B4424" s="1" t="n">
        <v>45719.58611111111</v>
      </c>
      <c r="C4424" s="1" t="n">
        <v>46045</v>
      </c>
      <c r="D4424" t="inlineStr">
        <is>
          <t>JÄMTLANDS LÄN</t>
        </is>
      </c>
      <c r="E4424" t="inlineStr">
        <is>
          <t>BRÄCKE</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12168-2023</t>
        </is>
      </c>
      <c r="B4425" s="1" t="n">
        <v>44998</v>
      </c>
      <c r="C4425" s="1" t="n">
        <v>46045</v>
      </c>
      <c r="D4425" t="inlineStr">
        <is>
          <t>JÄMTLANDS LÄN</t>
        </is>
      </c>
      <c r="E4425" t="inlineStr">
        <is>
          <t>ÅRE</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12173-2023</t>
        </is>
      </c>
      <c r="B4426" s="1" t="n">
        <v>44998</v>
      </c>
      <c r="C4426" s="1" t="n">
        <v>46045</v>
      </c>
      <c r="D4426" t="inlineStr">
        <is>
          <t>JÄMTLANDS LÄN</t>
        </is>
      </c>
      <c r="E4426" t="inlineStr">
        <is>
          <t>ÅRE</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15650-2021</t>
        </is>
      </c>
      <c r="B4427" s="1" t="n">
        <v>44285</v>
      </c>
      <c r="C4427" s="1" t="n">
        <v>46045</v>
      </c>
      <c r="D4427" t="inlineStr">
        <is>
          <t>JÄMTLANDS LÄN</t>
        </is>
      </c>
      <c r="E4427" t="inlineStr">
        <is>
          <t>STRÖMSUND</t>
        </is>
      </c>
      <c r="F4427" t="inlineStr">
        <is>
          <t>SCA</t>
        </is>
      </c>
      <c r="G4427" t="n">
        <v>9.6</v>
      </c>
      <c r="H4427" t="n">
        <v>0</v>
      </c>
      <c r="I4427" t="n">
        <v>0</v>
      </c>
      <c r="J4427" t="n">
        <v>0</v>
      </c>
      <c r="K4427" t="n">
        <v>0</v>
      </c>
      <c r="L4427" t="n">
        <v>0</v>
      </c>
      <c r="M4427" t="n">
        <v>0</v>
      </c>
      <c r="N4427" t="n">
        <v>0</v>
      </c>
      <c r="O4427" t="n">
        <v>0</v>
      </c>
      <c r="P4427" t="n">
        <v>0</v>
      </c>
      <c r="Q4427" t="n">
        <v>0</v>
      </c>
      <c r="R4427" s="2" t="inlineStr"/>
    </row>
    <row r="4428" ht="15" customHeight="1">
      <c r="A4428" t="inlineStr">
        <is>
          <t>A 15659-2021</t>
        </is>
      </c>
      <c r="B4428" s="1" t="n">
        <v>44298</v>
      </c>
      <c r="C4428" s="1" t="n">
        <v>46045</v>
      </c>
      <c r="D4428" t="inlineStr">
        <is>
          <t>JÄMTLANDS LÄN</t>
        </is>
      </c>
      <c r="E4428" t="inlineStr">
        <is>
          <t>ÖSTERSUND</t>
        </is>
      </c>
      <c r="G4428" t="n">
        <v>13.3</v>
      </c>
      <c r="H4428" t="n">
        <v>0</v>
      </c>
      <c r="I4428" t="n">
        <v>0</v>
      </c>
      <c r="J4428" t="n">
        <v>0</v>
      </c>
      <c r="K4428" t="n">
        <v>0</v>
      </c>
      <c r="L4428" t="n">
        <v>0</v>
      </c>
      <c r="M4428" t="n">
        <v>0</v>
      </c>
      <c r="N4428" t="n">
        <v>0</v>
      </c>
      <c r="O4428" t="n">
        <v>0</v>
      </c>
      <c r="P4428" t="n">
        <v>0</v>
      </c>
      <c r="Q4428" t="n">
        <v>0</v>
      </c>
      <c r="R4428" s="2" t="inlineStr"/>
    </row>
    <row r="4429" ht="15" customHeight="1">
      <c r="A4429" t="inlineStr">
        <is>
          <t>A 15672-2021</t>
        </is>
      </c>
      <c r="B4429" s="1" t="n">
        <v>44286</v>
      </c>
      <c r="C4429" s="1" t="n">
        <v>46045</v>
      </c>
      <c r="D4429" t="inlineStr">
        <is>
          <t>JÄMTLANDS LÄN</t>
        </is>
      </c>
      <c r="E4429" t="inlineStr">
        <is>
          <t>RAGUNDA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41602-2025</t>
        </is>
      </c>
      <c r="B4430" s="1" t="n">
        <v>45901.65706018519</v>
      </c>
      <c r="C4430" s="1" t="n">
        <v>46045</v>
      </c>
      <c r="D4430" t="inlineStr">
        <is>
          <t>JÄMTLANDS LÄN</t>
        </is>
      </c>
      <c r="E4430" t="inlineStr">
        <is>
          <t>STRÖMSUND</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44819-2024</t>
        </is>
      </c>
      <c r="B4431" s="1" t="n">
        <v>45574.66106481481</v>
      </c>
      <c r="C4431" s="1" t="n">
        <v>46045</v>
      </c>
      <c r="D4431" t="inlineStr">
        <is>
          <t>JÄMTLANDS LÄN</t>
        </is>
      </c>
      <c r="E4431" t="inlineStr">
        <is>
          <t>HÄRJEDALEN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59619-2024</t>
        </is>
      </c>
      <c r="B4432" s="1" t="n">
        <v>45638.81375</v>
      </c>
      <c r="C4432" s="1" t="n">
        <v>46045</v>
      </c>
      <c r="D4432" t="inlineStr">
        <is>
          <t>JÄMTLANDS LÄN</t>
        </is>
      </c>
      <c r="E4432" t="inlineStr">
        <is>
          <t>KROKOM</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50650-2023</t>
        </is>
      </c>
      <c r="B4433" s="1" t="n">
        <v>45210</v>
      </c>
      <c r="C4433" s="1" t="n">
        <v>46045</v>
      </c>
      <c r="D4433" t="inlineStr">
        <is>
          <t>JÄMTLANDS LÄN</t>
        </is>
      </c>
      <c r="E4433" t="inlineStr">
        <is>
          <t>RAGUNDA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61363-2024</t>
        </is>
      </c>
      <c r="B4434" s="1" t="n">
        <v>45646.38584490741</v>
      </c>
      <c r="C4434" s="1" t="n">
        <v>46045</v>
      </c>
      <c r="D4434" t="inlineStr">
        <is>
          <t>JÄMTLANDS LÄN</t>
        </is>
      </c>
      <c r="E4434" t="inlineStr">
        <is>
          <t>STRÖMSUND</t>
        </is>
      </c>
      <c r="F4434" t="inlineStr">
        <is>
          <t>SCA</t>
        </is>
      </c>
      <c r="G4434" t="n">
        <v>9.1</v>
      </c>
      <c r="H4434" t="n">
        <v>0</v>
      </c>
      <c r="I4434" t="n">
        <v>0</v>
      </c>
      <c r="J4434" t="n">
        <v>0</v>
      </c>
      <c r="K4434" t="n">
        <v>0</v>
      </c>
      <c r="L4434" t="n">
        <v>0</v>
      </c>
      <c r="M4434" t="n">
        <v>0</v>
      </c>
      <c r="N4434" t="n">
        <v>0</v>
      </c>
      <c r="O4434" t="n">
        <v>0</v>
      </c>
      <c r="P4434" t="n">
        <v>0</v>
      </c>
      <c r="Q4434" t="n">
        <v>0</v>
      </c>
      <c r="R4434" s="2" t="inlineStr"/>
    </row>
    <row r="4435" ht="15" customHeight="1">
      <c r="A4435" t="inlineStr">
        <is>
          <t>A 58758-2023</t>
        </is>
      </c>
      <c r="B4435" s="1" t="n">
        <v>45251.93006944445</v>
      </c>
      <c r="C4435" s="1" t="n">
        <v>46045</v>
      </c>
      <c r="D4435" t="inlineStr">
        <is>
          <t>JÄMTLANDS LÄN</t>
        </is>
      </c>
      <c r="E4435" t="inlineStr">
        <is>
          <t>BRÄCKE</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73102-2021</t>
        </is>
      </c>
      <c r="B4436" s="1" t="n">
        <v>44550.45236111111</v>
      </c>
      <c r="C4436" s="1" t="n">
        <v>46045</v>
      </c>
      <c r="D4436" t="inlineStr">
        <is>
          <t>JÄMTLANDS LÄN</t>
        </is>
      </c>
      <c r="E4436" t="inlineStr">
        <is>
          <t>BRÄCKE</t>
        </is>
      </c>
      <c r="F4436" t="inlineStr">
        <is>
          <t>Sveaskog</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49046-2023</t>
        </is>
      </c>
      <c r="B4437" s="1" t="n">
        <v>45209</v>
      </c>
      <c r="C4437" s="1" t="n">
        <v>46045</v>
      </c>
      <c r="D4437" t="inlineStr">
        <is>
          <t>JÄMTLANDS LÄN</t>
        </is>
      </c>
      <c r="E4437" t="inlineStr">
        <is>
          <t>KROKOM</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61465-2023</t>
        </is>
      </c>
      <c r="B4438" s="1" t="n">
        <v>45264.92637731481</v>
      </c>
      <c r="C4438" s="1" t="n">
        <v>46045</v>
      </c>
      <c r="D4438" t="inlineStr">
        <is>
          <t>JÄMTLANDS LÄN</t>
        </is>
      </c>
      <c r="E4438" t="inlineStr">
        <is>
          <t>HÄRJEDALEN</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58630-2024</t>
        </is>
      </c>
      <c r="B4439" s="1" t="n">
        <v>45635.57331018519</v>
      </c>
      <c r="C4439" s="1" t="n">
        <v>46045</v>
      </c>
      <c r="D4439" t="inlineStr">
        <is>
          <t>JÄMTLANDS LÄN</t>
        </is>
      </c>
      <c r="E4439" t="inlineStr">
        <is>
          <t>RAGUNDA</t>
        </is>
      </c>
      <c r="F4439" t="inlineStr">
        <is>
          <t>SCA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20760-2024</t>
        </is>
      </c>
      <c r="B4440" s="1" t="n">
        <v>45436.92543981481</v>
      </c>
      <c r="C4440" s="1" t="n">
        <v>46045</v>
      </c>
      <c r="D4440" t="inlineStr">
        <is>
          <t>JÄMTLANDS LÄN</t>
        </is>
      </c>
      <c r="E4440" t="inlineStr">
        <is>
          <t>BRÄCKE</t>
        </is>
      </c>
      <c r="G4440" t="n">
        <v>10.9</v>
      </c>
      <c r="H4440" t="n">
        <v>0</v>
      </c>
      <c r="I4440" t="n">
        <v>0</v>
      </c>
      <c r="J4440" t="n">
        <v>0</v>
      </c>
      <c r="K4440" t="n">
        <v>0</v>
      </c>
      <c r="L4440" t="n">
        <v>0</v>
      </c>
      <c r="M4440" t="n">
        <v>0</v>
      </c>
      <c r="N4440" t="n">
        <v>0</v>
      </c>
      <c r="O4440" t="n">
        <v>0</v>
      </c>
      <c r="P4440" t="n">
        <v>0</v>
      </c>
      <c r="Q4440" t="n">
        <v>0</v>
      </c>
      <c r="R4440" s="2" t="inlineStr"/>
    </row>
    <row r="4441" ht="15" customHeight="1">
      <c r="A4441" t="inlineStr">
        <is>
          <t>A 58646-2024</t>
        </is>
      </c>
      <c r="B4441" s="1" t="n">
        <v>45635.59450231482</v>
      </c>
      <c r="C4441" s="1" t="n">
        <v>46045</v>
      </c>
      <c r="D4441" t="inlineStr">
        <is>
          <t>JÄMTLANDS LÄN</t>
        </is>
      </c>
      <c r="E4441" t="inlineStr">
        <is>
          <t>STRÖMSUND</t>
        </is>
      </c>
      <c r="F4441" t="inlineStr">
        <is>
          <t>SCA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47182-2023</t>
        </is>
      </c>
      <c r="B4442" s="1" t="n">
        <v>45201.94883101852</v>
      </c>
      <c r="C4442" s="1" t="n">
        <v>46045</v>
      </c>
      <c r="D4442" t="inlineStr">
        <is>
          <t>JÄMTLANDS LÄN</t>
        </is>
      </c>
      <c r="E4442" t="inlineStr">
        <is>
          <t>STRÖMSUND</t>
        </is>
      </c>
      <c r="F4442" t="inlineStr">
        <is>
          <t>SCA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47186-2023</t>
        </is>
      </c>
      <c r="B4443" s="1" t="n">
        <v>45201</v>
      </c>
      <c r="C4443" s="1" t="n">
        <v>46045</v>
      </c>
      <c r="D4443" t="inlineStr">
        <is>
          <t>JÄMTLANDS LÄN</t>
        </is>
      </c>
      <c r="E4443" t="inlineStr">
        <is>
          <t>BRÄCKE</t>
        </is>
      </c>
      <c r="F4443" t="inlineStr">
        <is>
          <t>SCA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21699-2021</t>
        </is>
      </c>
      <c r="B4444" s="1" t="n">
        <v>44316</v>
      </c>
      <c r="C4444" s="1" t="n">
        <v>46045</v>
      </c>
      <c r="D4444" t="inlineStr">
        <is>
          <t>JÄMTLANDS LÄN</t>
        </is>
      </c>
      <c r="E4444" t="inlineStr">
        <is>
          <t>HÄRJEDALEN</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41869-2025</t>
        </is>
      </c>
      <c r="B4445" s="1" t="n">
        <v>45903.34443287037</v>
      </c>
      <c r="C4445" s="1" t="n">
        <v>46045</v>
      </c>
      <c r="D4445" t="inlineStr">
        <is>
          <t>JÄMTLANDS LÄN</t>
        </is>
      </c>
      <c r="E4445" t="inlineStr">
        <is>
          <t>STRÖMSUND</t>
        </is>
      </c>
      <c r="F4445" t="inlineStr">
        <is>
          <t>SCA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41876-2025</t>
        </is>
      </c>
      <c r="B4446" s="1" t="n">
        <v>45903.34555555556</v>
      </c>
      <c r="C4446" s="1" t="n">
        <v>46045</v>
      </c>
      <c r="D4446" t="inlineStr">
        <is>
          <t>JÄMTLANDS LÄN</t>
        </is>
      </c>
      <c r="E4446" t="inlineStr">
        <is>
          <t>RAGUNDA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42312-2025</t>
        </is>
      </c>
      <c r="B4447" s="1" t="n">
        <v>45904.65673611111</v>
      </c>
      <c r="C4447" s="1" t="n">
        <v>46045</v>
      </c>
      <c r="D4447" t="inlineStr">
        <is>
          <t>JÄMTLANDS LÄN</t>
        </is>
      </c>
      <c r="E4447" t="inlineStr">
        <is>
          <t>BRÄCKE</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42235-2025</t>
        </is>
      </c>
      <c r="B4448" s="1" t="n">
        <v>45904.56144675926</v>
      </c>
      <c r="C4448" s="1" t="n">
        <v>46045</v>
      </c>
      <c r="D4448" t="inlineStr">
        <is>
          <t>JÄMTLANDS LÄN</t>
        </is>
      </c>
      <c r="E4448" t="inlineStr">
        <is>
          <t>KROKOM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41183-2023</t>
        </is>
      </c>
      <c r="B4449" s="1" t="n">
        <v>45170</v>
      </c>
      <c r="C4449" s="1" t="n">
        <v>46045</v>
      </c>
      <c r="D4449" t="inlineStr">
        <is>
          <t>JÄMTLANDS LÄN</t>
        </is>
      </c>
      <c r="E4449" t="inlineStr">
        <is>
          <t>BRÄCKE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42189-2025</t>
        </is>
      </c>
      <c r="B4450" s="1" t="n">
        <v>45904.47059027778</v>
      </c>
      <c r="C4450" s="1" t="n">
        <v>46045</v>
      </c>
      <c r="D4450" t="inlineStr">
        <is>
          <t>JÄMTLANDS LÄN</t>
        </is>
      </c>
      <c r="E4450" t="inlineStr">
        <is>
          <t>HÄRJEDALEN</t>
        </is>
      </c>
      <c r="F4450" t="inlineStr">
        <is>
          <t>Holmen skog AB</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15422-2025</t>
        </is>
      </c>
      <c r="B4451" s="1" t="n">
        <v>45746</v>
      </c>
      <c r="C4451" s="1" t="n">
        <v>46045</v>
      </c>
      <c r="D4451" t="inlineStr">
        <is>
          <t>JÄMTLANDS LÄN</t>
        </is>
      </c>
      <c r="E4451" t="inlineStr">
        <is>
          <t>KROKOM</t>
        </is>
      </c>
      <c r="F4451" t="inlineStr">
        <is>
          <t>SCA</t>
        </is>
      </c>
      <c r="G4451" t="n">
        <v>12.9</v>
      </c>
      <c r="H4451" t="n">
        <v>0</v>
      </c>
      <c r="I4451" t="n">
        <v>0</v>
      </c>
      <c r="J4451" t="n">
        <v>0</v>
      </c>
      <c r="K4451" t="n">
        <v>0</v>
      </c>
      <c r="L4451" t="n">
        <v>0</v>
      </c>
      <c r="M4451" t="n">
        <v>0</v>
      </c>
      <c r="N4451" t="n">
        <v>0</v>
      </c>
      <c r="O4451" t="n">
        <v>0</v>
      </c>
      <c r="P4451" t="n">
        <v>0</v>
      </c>
      <c r="Q4451" t="n">
        <v>0</v>
      </c>
      <c r="R4451" s="2" t="inlineStr"/>
    </row>
    <row r="4452" ht="15" customHeight="1">
      <c r="A4452" t="inlineStr">
        <is>
          <t>A 50856-2025</t>
        </is>
      </c>
      <c r="B4452" s="1" t="n">
        <v>45946.5902662037</v>
      </c>
      <c r="C4452" s="1" t="n">
        <v>46045</v>
      </c>
      <c r="D4452" t="inlineStr">
        <is>
          <t>JÄMTLANDS LÄN</t>
        </is>
      </c>
      <c r="E4452" t="inlineStr">
        <is>
          <t>STRÖMSUND</t>
        </is>
      </c>
      <c r="F4452" t="inlineStr">
        <is>
          <t>Holmen skog AB</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26278-2024</t>
        </is>
      </c>
      <c r="B4453" s="1" t="n">
        <v>45468.68905092592</v>
      </c>
      <c r="C4453" s="1" t="n">
        <v>46045</v>
      </c>
      <c r="D4453" t="inlineStr">
        <is>
          <t>JÄMTLANDS LÄN</t>
        </is>
      </c>
      <c r="E4453" t="inlineStr">
        <is>
          <t>BRÄCKE</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7135-2025</t>
        </is>
      </c>
      <c r="B4454" s="1" t="n">
        <v>45702.36494212963</v>
      </c>
      <c r="C4454" s="1" t="n">
        <v>46045</v>
      </c>
      <c r="D4454" t="inlineStr">
        <is>
          <t>JÄMTLANDS LÄN</t>
        </is>
      </c>
      <c r="E4454" t="inlineStr">
        <is>
          <t>STRÖMSUND</t>
        </is>
      </c>
      <c r="F4454" t="inlineStr">
        <is>
          <t>SCA</t>
        </is>
      </c>
      <c r="G4454" t="n">
        <v>32.9</v>
      </c>
      <c r="H4454" t="n">
        <v>0</v>
      </c>
      <c r="I4454" t="n">
        <v>0</v>
      </c>
      <c r="J4454" t="n">
        <v>0</v>
      </c>
      <c r="K4454" t="n">
        <v>0</v>
      </c>
      <c r="L4454" t="n">
        <v>0</v>
      </c>
      <c r="M4454" t="n">
        <v>0</v>
      </c>
      <c r="N4454" t="n">
        <v>0</v>
      </c>
      <c r="O4454" t="n">
        <v>0</v>
      </c>
      <c r="P4454" t="n">
        <v>0</v>
      </c>
      <c r="Q4454" t="n">
        <v>0</v>
      </c>
      <c r="R4454" s="2" t="inlineStr"/>
    </row>
    <row r="4455" ht="15" customHeight="1">
      <c r="A4455" t="inlineStr">
        <is>
          <t>A 59962-2024</t>
        </is>
      </c>
      <c r="B4455" s="1" t="n">
        <v>45642.35256944445</v>
      </c>
      <c r="C4455" s="1" t="n">
        <v>46045</v>
      </c>
      <c r="D4455" t="inlineStr">
        <is>
          <t>JÄMTLANDS LÄN</t>
        </is>
      </c>
      <c r="E4455" t="inlineStr">
        <is>
          <t>HÄRJEDALEN</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59968-2024</t>
        </is>
      </c>
      <c r="B4456" s="1" t="n">
        <v>45642</v>
      </c>
      <c r="C4456" s="1" t="n">
        <v>46045</v>
      </c>
      <c r="D4456" t="inlineStr">
        <is>
          <t>JÄMTLANDS LÄN</t>
        </is>
      </c>
      <c r="E4456" t="inlineStr">
        <is>
          <t>BERG</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14894-2022</t>
        </is>
      </c>
      <c r="B4457" s="1" t="n">
        <v>44656.94644675926</v>
      </c>
      <c r="C4457" s="1" t="n">
        <v>46045</v>
      </c>
      <c r="D4457" t="inlineStr">
        <is>
          <t>JÄMTLANDS LÄN</t>
        </is>
      </c>
      <c r="E4457" t="inlineStr">
        <is>
          <t>STRÖMSUND</t>
        </is>
      </c>
      <c r="F4457" t="inlineStr">
        <is>
          <t>SCA</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14896-2022</t>
        </is>
      </c>
      <c r="B4458" s="1" t="n">
        <v>44656</v>
      </c>
      <c r="C4458" s="1" t="n">
        <v>46045</v>
      </c>
      <c r="D4458" t="inlineStr">
        <is>
          <t>JÄMTLANDS LÄN</t>
        </is>
      </c>
      <c r="E4458" t="inlineStr">
        <is>
          <t>RAGUNDA</t>
        </is>
      </c>
      <c r="F4458" t="inlineStr">
        <is>
          <t>SCA</t>
        </is>
      </c>
      <c r="G4458" t="n">
        <v>8.300000000000001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5642-2022</t>
        </is>
      </c>
      <c r="B4459" s="1" t="n">
        <v>44595.92322916666</v>
      </c>
      <c r="C4459" s="1" t="n">
        <v>46045</v>
      </c>
      <c r="D4459" t="inlineStr">
        <is>
          <t>JÄMTLANDS LÄN</t>
        </is>
      </c>
      <c r="E4459" t="inlineStr">
        <is>
          <t>STRÖMSUND</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11551-2024</t>
        </is>
      </c>
      <c r="B4460" s="1" t="n">
        <v>45372.95762731481</v>
      </c>
      <c r="C4460" s="1" t="n">
        <v>46045</v>
      </c>
      <c r="D4460" t="inlineStr">
        <is>
          <t>JÄMTLANDS LÄN</t>
        </is>
      </c>
      <c r="E4460" t="inlineStr">
        <is>
          <t>RAGUNDA</t>
        </is>
      </c>
      <c r="F4460" t="inlineStr">
        <is>
          <t>SCA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49591-2024</t>
        </is>
      </c>
      <c r="B4461" s="1" t="n">
        <v>45596.5525</v>
      </c>
      <c r="C4461" s="1" t="n">
        <v>46045</v>
      </c>
      <c r="D4461" t="inlineStr">
        <is>
          <t>JÄMTLANDS LÄN</t>
        </is>
      </c>
      <c r="E4461" t="inlineStr">
        <is>
          <t>BRÄCKE</t>
        </is>
      </c>
      <c r="F4461" t="inlineStr">
        <is>
          <t>SCA</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11197-2024</t>
        </is>
      </c>
      <c r="B4462" s="1" t="n">
        <v>45371</v>
      </c>
      <c r="C4462" s="1" t="n">
        <v>46045</v>
      </c>
      <c r="D4462" t="inlineStr">
        <is>
          <t>JÄMTLANDS LÄN</t>
        </is>
      </c>
      <c r="E4462" t="inlineStr">
        <is>
          <t>KROKOM</t>
        </is>
      </c>
      <c r="G4462" t="n">
        <v>15.3</v>
      </c>
      <c r="H4462" t="n">
        <v>0</v>
      </c>
      <c r="I4462" t="n">
        <v>0</v>
      </c>
      <c r="J4462" t="n">
        <v>0</v>
      </c>
      <c r="K4462" t="n">
        <v>0</v>
      </c>
      <c r="L4462" t="n">
        <v>0</v>
      </c>
      <c r="M4462" t="n">
        <v>0</v>
      </c>
      <c r="N4462" t="n">
        <v>0</v>
      </c>
      <c r="O4462" t="n">
        <v>0</v>
      </c>
      <c r="P4462" t="n">
        <v>0</v>
      </c>
      <c r="Q4462" t="n">
        <v>0</v>
      </c>
      <c r="R4462" s="2" t="inlineStr"/>
    </row>
    <row r="4463" ht="15" customHeight="1">
      <c r="A4463" t="inlineStr">
        <is>
          <t>A 41875-2025</t>
        </is>
      </c>
      <c r="B4463" s="1" t="n">
        <v>45903.34546296296</v>
      </c>
      <c r="C4463" s="1" t="n">
        <v>46045</v>
      </c>
      <c r="D4463" t="inlineStr">
        <is>
          <t>JÄMTLANDS LÄN</t>
        </is>
      </c>
      <c r="E4463" t="inlineStr">
        <is>
          <t>STRÖMSUND</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42271-2025</t>
        </is>
      </c>
      <c r="B4464" s="1" t="n">
        <v>45904.60483796296</v>
      </c>
      <c r="C4464" s="1" t="n">
        <v>46045</v>
      </c>
      <c r="D4464" t="inlineStr">
        <is>
          <t>JÄMTLANDS LÄN</t>
        </is>
      </c>
      <c r="E4464" t="inlineStr">
        <is>
          <t>HÄRJEDALEN</t>
        </is>
      </c>
      <c r="F4464" t="inlineStr">
        <is>
          <t>Holmen skog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61256-2022</t>
        </is>
      </c>
      <c r="B4465" s="1" t="n">
        <v>44909</v>
      </c>
      <c r="C4465" s="1" t="n">
        <v>46045</v>
      </c>
      <c r="D4465" t="inlineStr">
        <is>
          <t>JÄMTLANDS LÄN</t>
        </is>
      </c>
      <c r="E4465" t="inlineStr">
        <is>
          <t>ÖSTERSUND</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41930-2025</t>
        </is>
      </c>
      <c r="B4466" s="1" t="n">
        <v>45903.43454861111</v>
      </c>
      <c r="C4466" s="1" t="n">
        <v>46045</v>
      </c>
      <c r="D4466" t="inlineStr">
        <is>
          <t>JÄMTLANDS LÄN</t>
        </is>
      </c>
      <c r="E4466" t="inlineStr">
        <is>
          <t>BERG</t>
        </is>
      </c>
      <c r="F4466" t="inlineStr">
        <is>
          <t>Övriga statliga verk och myndigheter</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42169-2025</t>
        </is>
      </c>
      <c r="B4467" s="1" t="n">
        <v>45904.42746527777</v>
      </c>
      <c r="C4467" s="1" t="n">
        <v>46045</v>
      </c>
      <c r="D4467" t="inlineStr">
        <is>
          <t>JÄMTLANDS LÄN</t>
        </is>
      </c>
      <c r="E4467" t="inlineStr">
        <is>
          <t>STRÖMSUND</t>
        </is>
      </c>
      <c r="F4467" t="inlineStr">
        <is>
          <t>SCA</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22981-2023</t>
        </is>
      </c>
      <c r="B4468" s="1" t="n">
        <v>45072.92737268518</v>
      </c>
      <c r="C4468" s="1" t="n">
        <v>46045</v>
      </c>
      <c r="D4468" t="inlineStr">
        <is>
          <t>JÄMTLANDS LÄN</t>
        </is>
      </c>
      <c r="E4468" t="inlineStr">
        <is>
          <t>RAGUNDA</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39975-2024</t>
        </is>
      </c>
      <c r="B4469" s="1" t="n">
        <v>45553.60474537037</v>
      </c>
      <c r="C4469" s="1" t="n">
        <v>46045</v>
      </c>
      <c r="D4469" t="inlineStr">
        <is>
          <t>JÄMTLANDS LÄN</t>
        </is>
      </c>
      <c r="E4469" t="inlineStr">
        <is>
          <t>ÖSTERSUND</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42504-2025</t>
        </is>
      </c>
      <c r="B4470" s="1" t="n">
        <v>45904</v>
      </c>
      <c r="C4470" s="1" t="n">
        <v>46045</v>
      </c>
      <c r="D4470" t="inlineStr">
        <is>
          <t>JÄMTLANDS LÄN</t>
        </is>
      </c>
      <c r="E4470" t="inlineStr">
        <is>
          <t>HÄRJEDALEN</t>
        </is>
      </c>
      <c r="F4470" t="inlineStr">
        <is>
          <t>Bergvik skog väst AB</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26350-2023</t>
        </is>
      </c>
      <c r="B4471" s="1" t="n">
        <v>45091.9421412037</v>
      </c>
      <c r="C4471" s="1" t="n">
        <v>46045</v>
      </c>
      <c r="D4471" t="inlineStr">
        <is>
          <t>JÄMTLANDS LÄN</t>
        </is>
      </c>
      <c r="E4471" t="inlineStr">
        <is>
          <t>BRÄCKE</t>
        </is>
      </c>
      <c r="F4471" t="inlineStr">
        <is>
          <t>SCA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26805-2023</t>
        </is>
      </c>
      <c r="B4472" s="1" t="n">
        <v>45090</v>
      </c>
      <c r="C4472" s="1" t="n">
        <v>46045</v>
      </c>
      <c r="D4472" t="inlineStr">
        <is>
          <t>JÄMTLANDS LÄN</t>
        </is>
      </c>
      <c r="E4472" t="inlineStr">
        <is>
          <t>KROKOM</t>
        </is>
      </c>
      <c r="G4472" t="n">
        <v>20.4</v>
      </c>
      <c r="H4472" t="n">
        <v>0</v>
      </c>
      <c r="I4472" t="n">
        <v>0</v>
      </c>
      <c r="J4472" t="n">
        <v>0</v>
      </c>
      <c r="K4472" t="n">
        <v>0</v>
      </c>
      <c r="L4472" t="n">
        <v>0</v>
      </c>
      <c r="M4472" t="n">
        <v>0</v>
      </c>
      <c r="N4472" t="n">
        <v>0</v>
      </c>
      <c r="O4472" t="n">
        <v>0</v>
      </c>
      <c r="P4472" t="n">
        <v>0</v>
      </c>
      <c r="Q4472" t="n">
        <v>0</v>
      </c>
      <c r="R4472" s="2" t="inlineStr"/>
    </row>
    <row r="4473" ht="15" customHeight="1">
      <c r="A4473" t="inlineStr">
        <is>
          <t>A 50574-2025</t>
        </is>
      </c>
      <c r="B4473" s="1" t="n">
        <v>45945</v>
      </c>
      <c r="C4473" s="1" t="n">
        <v>46045</v>
      </c>
      <c r="D4473" t="inlineStr">
        <is>
          <t>JÄMTLANDS LÄN</t>
        </is>
      </c>
      <c r="E4473" t="inlineStr">
        <is>
          <t>ÅRE</t>
        </is>
      </c>
      <c r="G4473" t="n">
        <v>16.1</v>
      </c>
      <c r="H4473" t="n">
        <v>0</v>
      </c>
      <c r="I4473" t="n">
        <v>0</v>
      </c>
      <c r="J4473" t="n">
        <v>0</v>
      </c>
      <c r="K4473" t="n">
        <v>0</v>
      </c>
      <c r="L4473" t="n">
        <v>0</v>
      </c>
      <c r="M4473" t="n">
        <v>0</v>
      </c>
      <c r="N4473" t="n">
        <v>0</v>
      </c>
      <c r="O4473" t="n">
        <v>0</v>
      </c>
      <c r="P4473" t="n">
        <v>0</v>
      </c>
      <c r="Q4473" t="n">
        <v>0</v>
      </c>
      <c r="R4473" s="2" t="inlineStr"/>
    </row>
    <row r="4474" ht="15" customHeight="1">
      <c r="A4474" t="inlineStr">
        <is>
          <t>A 40219-2024</t>
        </is>
      </c>
      <c r="B4474" s="1" t="n">
        <v>45554.59538194445</v>
      </c>
      <c r="C4474" s="1" t="n">
        <v>46045</v>
      </c>
      <c r="D4474" t="inlineStr">
        <is>
          <t>JÄMTLANDS LÄN</t>
        </is>
      </c>
      <c r="E4474" t="inlineStr">
        <is>
          <t>KROKOM</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61079-2024</t>
        </is>
      </c>
      <c r="B4475" s="1" t="n">
        <v>45645.51072916666</v>
      </c>
      <c r="C4475" s="1" t="n">
        <v>46045</v>
      </c>
      <c r="D4475" t="inlineStr">
        <is>
          <t>JÄMTLANDS LÄN</t>
        </is>
      </c>
      <c r="E4475" t="inlineStr">
        <is>
          <t>BRÄCKE</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564-2025</t>
        </is>
      </c>
      <c r="B4476" s="1" t="n">
        <v>45664.55241898148</v>
      </c>
      <c r="C4476" s="1" t="n">
        <v>46045</v>
      </c>
      <c r="D4476" t="inlineStr">
        <is>
          <t>JÄMTLANDS LÄN</t>
        </is>
      </c>
      <c r="E4476" t="inlineStr">
        <is>
          <t>RAGUNDA</t>
        </is>
      </c>
      <c r="F4476" t="inlineStr">
        <is>
          <t>SCA</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10763-2023</t>
        </is>
      </c>
      <c r="B4477" s="1" t="n">
        <v>44988</v>
      </c>
      <c r="C4477" s="1" t="n">
        <v>46045</v>
      </c>
      <c r="D4477" t="inlineStr">
        <is>
          <t>JÄMTLANDS LÄN</t>
        </is>
      </c>
      <c r="E4477" t="inlineStr">
        <is>
          <t>BRÄCKE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56961-2024</t>
        </is>
      </c>
      <c r="B4478" s="1" t="n">
        <v>45628.65688657408</v>
      </c>
      <c r="C4478" s="1" t="n">
        <v>46045</v>
      </c>
      <c r="D4478" t="inlineStr">
        <is>
          <t>JÄMTLANDS LÄN</t>
        </is>
      </c>
      <c r="E4478" t="inlineStr">
        <is>
          <t>STRÖMSUND</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30499-2025</t>
        </is>
      </c>
      <c r="B4479" s="1" t="n">
        <v>45830</v>
      </c>
      <c r="C4479" s="1" t="n">
        <v>46045</v>
      </c>
      <c r="D4479" t="inlineStr">
        <is>
          <t>JÄMTLANDS LÄN</t>
        </is>
      </c>
      <c r="E4479" t="inlineStr">
        <is>
          <t>HÄRJEDALEN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21726-2023</t>
        </is>
      </c>
      <c r="B4480" s="1" t="n">
        <v>45065.42894675926</v>
      </c>
      <c r="C4480" s="1" t="n">
        <v>46045</v>
      </c>
      <c r="D4480" t="inlineStr">
        <is>
          <t>JÄMTLANDS LÄN</t>
        </is>
      </c>
      <c r="E4480" t="inlineStr">
        <is>
          <t>RAGUNDA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42129-2025</t>
        </is>
      </c>
      <c r="B4481" s="1" t="n">
        <v>45904.3452662037</v>
      </c>
      <c r="C4481" s="1" t="n">
        <v>46045</v>
      </c>
      <c r="D4481" t="inlineStr">
        <is>
          <t>JÄMTLANDS LÄN</t>
        </is>
      </c>
      <c r="E4481" t="inlineStr">
        <is>
          <t>ÖSTERSUND</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42131-2025</t>
        </is>
      </c>
      <c r="B4482" s="1" t="n">
        <v>45904.34542824074</v>
      </c>
      <c r="C4482" s="1" t="n">
        <v>46045</v>
      </c>
      <c r="D4482" t="inlineStr">
        <is>
          <t>JÄMTLANDS LÄN</t>
        </is>
      </c>
      <c r="E4482" t="inlineStr">
        <is>
          <t>BRÄCKE</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42154-2025</t>
        </is>
      </c>
      <c r="B4483" s="1" t="n">
        <v>45904.39456018519</v>
      </c>
      <c r="C4483" s="1" t="n">
        <v>46045</v>
      </c>
      <c r="D4483" t="inlineStr">
        <is>
          <t>JÄMTLANDS LÄN</t>
        </is>
      </c>
      <c r="E4483" t="inlineStr">
        <is>
          <t>STRÖMSUND</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42163-2025</t>
        </is>
      </c>
      <c r="B4484" s="1" t="n">
        <v>45904.41844907407</v>
      </c>
      <c r="C4484" s="1" t="n">
        <v>46045</v>
      </c>
      <c r="D4484" t="inlineStr">
        <is>
          <t>JÄMTLANDS LÄN</t>
        </is>
      </c>
      <c r="E4484" t="inlineStr">
        <is>
          <t>HÄRJEDALEN</t>
        </is>
      </c>
      <c r="F4484" t="inlineStr">
        <is>
          <t>Holmen skog AB</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42231-2025</t>
        </is>
      </c>
      <c r="B4485" s="1" t="n">
        <v>45904.55565972222</v>
      </c>
      <c r="C4485" s="1" t="n">
        <v>46045</v>
      </c>
      <c r="D4485" t="inlineStr">
        <is>
          <t>JÄMTLANDS LÄN</t>
        </is>
      </c>
      <c r="E4485" t="inlineStr">
        <is>
          <t>KROKOM</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11386-2025</t>
        </is>
      </c>
      <c r="B4486" s="1" t="n">
        <v>45726.56341435185</v>
      </c>
      <c r="C4486" s="1" t="n">
        <v>46045</v>
      </c>
      <c r="D4486" t="inlineStr">
        <is>
          <t>JÄMTLANDS LÄN</t>
        </is>
      </c>
      <c r="E4486" t="inlineStr">
        <is>
          <t>KROKOM</t>
        </is>
      </c>
      <c r="F4486" t="inlineStr">
        <is>
          <t>Övriga Aktiebolag</t>
        </is>
      </c>
      <c r="G4486" t="n">
        <v>42.4</v>
      </c>
      <c r="H4486" t="n">
        <v>0</v>
      </c>
      <c r="I4486" t="n">
        <v>0</v>
      </c>
      <c r="J4486" t="n">
        <v>0</v>
      </c>
      <c r="K4486" t="n">
        <v>0</v>
      </c>
      <c r="L4486" t="n">
        <v>0</v>
      </c>
      <c r="M4486" t="n">
        <v>0</v>
      </c>
      <c r="N4486" t="n">
        <v>0</v>
      </c>
      <c r="O4486" t="n">
        <v>0</v>
      </c>
      <c r="P4486" t="n">
        <v>0</v>
      </c>
      <c r="Q4486" t="n">
        <v>0</v>
      </c>
      <c r="R4486" s="2" t="inlineStr"/>
    </row>
    <row r="4487" ht="15" customHeight="1">
      <c r="A4487" t="inlineStr">
        <is>
          <t>A 42123-2025</t>
        </is>
      </c>
      <c r="B4487" s="1" t="n">
        <v>45904.34429398148</v>
      </c>
      <c r="C4487" s="1" t="n">
        <v>46045</v>
      </c>
      <c r="D4487" t="inlineStr">
        <is>
          <t>JÄMTLANDS LÄN</t>
        </is>
      </c>
      <c r="E4487" t="inlineStr">
        <is>
          <t>BRÄCKE</t>
        </is>
      </c>
      <c r="F4487" t="inlineStr">
        <is>
          <t>SCA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11403-2025</t>
        </is>
      </c>
      <c r="B4488" s="1" t="n">
        <v>45726.5827199074</v>
      </c>
      <c r="C4488" s="1" t="n">
        <v>46045</v>
      </c>
      <c r="D4488" t="inlineStr">
        <is>
          <t>JÄMTLANDS LÄN</t>
        </is>
      </c>
      <c r="E4488" t="inlineStr">
        <is>
          <t>KROKOM</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11436-2025</t>
        </is>
      </c>
      <c r="B4489" s="1" t="n">
        <v>45726.61520833334</v>
      </c>
      <c r="C4489" s="1" t="n">
        <v>46045</v>
      </c>
      <c r="D4489" t="inlineStr">
        <is>
          <t>JÄMTLANDS LÄN</t>
        </is>
      </c>
      <c r="E4489" t="inlineStr">
        <is>
          <t>KROKOM</t>
        </is>
      </c>
      <c r="F4489" t="inlineStr">
        <is>
          <t>SCA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11438-2025</t>
        </is>
      </c>
      <c r="B4490" s="1" t="n">
        <v>45726.61552083334</v>
      </c>
      <c r="C4490" s="1" t="n">
        <v>46045</v>
      </c>
      <c r="D4490" t="inlineStr">
        <is>
          <t>JÄMTLANDS LÄN</t>
        </is>
      </c>
      <c r="E4490" t="inlineStr">
        <is>
          <t>BRÄCKE</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10428-2025</t>
        </is>
      </c>
      <c r="B4491" s="1" t="n">
        <v>45720.65660879629</v>
      </c>
      <c r="C4491" s="1" t="n">
        <v>46045</v>
      </c>
      <c r="D4491" t="inlineStr">
        <is>
          <t>JÄMTLANDS LÄN</t>
        </is>
      </c>
      <c r="E4491" t="inlineStr">
        <is>
          <t>STRÖMSUND</t>
        </is>
      </c>
      <c r="F4491" t="inlineStr">
        <is>
          <t>SCA</t>
        </is>
      </c>
      <c r="G4491" t="n">
        <v>14.2</v>
      </c>
      <c r="H4491" t="n">
        <v>0</v>
      </c>
      <c r="I4491" t="n">
        <v>0</v>
      </c>
      <c r="J4491" t="n">
        <v>0</v>
      </c>
      <c r="K4491" t="n">
        <v>0</v>
      </c>
      <c r="L4491" t="n">
        <v>0</v>
      </c>
      <c r="M4491" t="n">
        <v>0</v>
      </c>
      <c r="N4491" t="n">
        <v>0</v>
      </c>
      <c r="O4491" t="n">
        <v>0</v>
      </c>
      <c r="P4491" t="n">
        <v>0</v>
      </c>
      <c r="Q4491" t="n">
        <v>0</v>
      </c>
      <c r="R4491" s="2" t="inlineStr"/>
    </row>
    <row r="4492" ht="15" customHeight="1">
      <c r="A4492" t="inlineStr">
        <is>
          <t>A 42128-2025</t>
        </is>
      </c>
      <c r="B4492" s="1" t="n">
        <v>45904.34517361111</v>
      </c>
      <c r="C4492" s="1" t="n">
        <v>46045</v>
      </c>
      <c r="D4492" t="inlineStr">
        <is>
          <t>JÄMTLANDS LÄN</t>
        </is>
      </c>
      <c r="E4492" t="inlineStr">
        <is>
          <t>BRÄCKE</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42130-2025</t>
        </is>
      </c>
      <c r="B4493" s="1" t="n">
        <v>45904.34540509259</v>
      </c>
      <c r="C4493" s="1" t="n">
        <v>46045</v>
      </c>
      <c r="D4493" t="inlineStr">
        <is>
          <t>JÄMTLANDS LÄN</t>
        </is>
      </c>
      <c r="E4493" t="inlineStr">
        <is>
          <t>BRÄCKE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58027-2024</t>
        </is>
      </c>
      <c r="B4494" s="1" t="n">
        <v>45631</v>
      </c>
      <c r="C4494" s="1" t="n">
        <v>46045</v>
      </c>
      <c r="D4494" t="inlineStr">
        <is>
          <t>JÄMTLANDS LÄN</t>
        </is>
      </c>
      <c r="E4494" t="inlineStr">
        <is>
          <t>STRÖMSUND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1460-2024</t>
        </is>
      </c>
      <c r="B4495" s="1" t="n">
        <v>45303.93322916667</v>
      </c>
      <c r="C4495" s="1" t="n">
        <v>46045</v>
      </c>
      <c r="D4495" t="inlineStr">
        <is>
          <t>JÄMTLANDS LÄN</t>
        </is>
      </c>
      <c r="E4495" t="inlineStr">
        <is>
          <t>ÅRE</t>
        </is>
      </c>
      <c r="F4495" t="inlineStr">
        <is>
          <t>Övriga Aktiebolag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53609-2024</t>
        </is>
      </c>
      <c r="B4496" s="1" t="n">
        <v>45614</v>
      </c>
      <c r="C4496" s="1" t="n">
        <v>46045</v>
      </c>
      <c r="D4496" t="inlineStr">
        <is>
          <t>JÄMTLANDS LÄN</t>
        </is>
      </c>
      <c r="E4496" t="inlineStr">
        <is>
          <t>STRÖMSUND</t>
        </is>
      </c>
      <c r="F4496" t="inlineStr">
        <is>
          <t>SCA</t>
        </is>
      </c>
      <c r="G4496" t="n">
        <v>13.1</v>
      </c>
      <c r="H4496" t="n">
        <v>0</v>
      </c>
      <c r="I4496" t="n">
        <v>0</v>
      </c>
      <c r="J4496" t="n">
        <v>0</v>
      </c>
      <c r="K4496" t="n">
        <v>0</v>
      </c>
      <c r="L4496" t="n">
        <v>0</v>
      </c>
      <c r="M4496" t="n">
        <v>0</v>
      </c>
      <c r="N4496" t="n">
        <v>0</v>
      </c>
      <c r="O4496" t="n">
        <v>0</v>
      </c>
      <c r="P4496" t="n">
        <v>0</v>
      </c>
      <c r="Q4496" t="n">
        <v>0</v>
      </c>
      <c r="R4496" s="2" t="inlineStr"/>
    </row>
    <row r="4497" ht="15" customHeight="1">
      <c r="A4497" t="inlineStr">
        <is>
          <t>A 56507-2024</t>
        </is>
      </c>
      <c r="B4497" s="1" t="n">
        <v>45625.51142361111</v>
      </c>
      <c r="C4497" s="1" t="n">
        <v>46045</v>
      </c>
      <c r="D4497" t="inlineStr">
        <is>
          <t>JÄMTLANDS LÄN</t>
        </is>
      </c>
      <c r="E4497" t="inlineStr">
        <is>
          <t>STRÖMSUND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56514-2024</t>
        </is>
      </c>
      <c r="B4498" s="1" t="n">
        <v>45625.53173611111</v>
      </c>
      <c r="C4498" s="1" t="n">
        <v>46045</v>
      </c>
      <c r="D4498" t="inlineStr">
        <is>
          <t>JÄMTLANDS LÄN</t>
        </is>
      </c>
      <c r="E4498" t="inlineStr">
        <is>
          <t>STRÖMSUND</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42003-2025</t>
        </is>
      </c>
      <c r="B4499" s="1" t="n">
        <v>45903.55403935185</v>
      </c>
      <c r="C4499" s="1" t="n">
        <v>46045</v>
      </c>
      <c r="D4499" t="inlineStr">
        <is>
          <t>JÄMTLANDS LÄN</t>
        </is>
      </c>
      <c r="E4499" t="inlineStr">
        <is>
          <t>BERG</t>
        </is>
      </c>
      <c r="F4499" t="inlineStr">
        <is>
          <t>Övriga statliga verk och myndigheter</t>
        </is>
      </c>
      <c r="G4499" t="n">
        <v>10.5</v>
      </c>
      <c r="H4499" t="n">
        <v>0</v>
      </c>
      <c r="I4499" t="n">
        <v>0</v>
      </c>
      <c r="J4499" t="n">
        <v>0</v>
      </c>
      <c r="K4499" t="n">
        <v>0</v>
      </c>
      <c r="L4499" t="n">
        <v>0</v>
      </c>
      <c r="M4499" t="n">
        <v>0</v>
      </c>
      <c r="N4499" t="n">
        <v>0</v>
      </c>
      <c r="O4499" t="n">
        <v>0</v>
      </c>
      <c r="P4499" t="n">
        <v>0</v>
      </c>
      <c r="Q4499" t="n">
        <v>0</v>
      </c>
      <c r="R4499" s="2" t="inlineStr"/>
    </row>
    <row r="4500" ht="15" customHeight="1">
      <c r="A4500" t="inlineStr">
        <is>
          <t>A 60426-2022</t>
        </is>
      </c>
      <c r="B4500" s="1" t="n">
        <v>44911.32092592592</v>
      </c>
      <c r="C4500" s="1" t="n">
        <v>46045</v>
      </c>
      <c r="D4500" t="inlineStr">
        <is>
          <t>JÄMTLANDS LÄN</t>
        </is>
      </c>
      <c r="E4500" t="inlineStr">
        <is>
          <t>ÅRE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52846-2022</t>
        </is>
      </c>
      <c r="B4501" s="1" t="n">
        <v>44875</v>
      </c>
      <c r="C4501" s="1" t="n">
        <v>46045</v>
      </c>
      <c r="D4501" t="inlineStr">
        <is>
          <t>JÄMTLANDS LÄN</t>
        </is>
      </c>
      <c r="E4501" t="inlineStr">
        <is>
          <t>BRÄCKE</t>
        </is>
      </c>
      <c r="F4501" t="inlineStr">
        <is>
          <t>Övriga Aktiebolag</t>
        </is>
      </c>
      <c r="G4501" t="n">
        <v>13.1</v>
      </c>
      <c r="H4501" t="n">
        <v>0</v>
      </c>
      <c r="I4501" t="n">
        <v>0</v>
      </c>
      <c r="J4501" t="n">
        <v>0</v>
      </c>
      <c r="K4501" t="n">
        <v>0</v>
      </c>
      <c r="L4501" t="n">
        <v>0</v>
      </c>
      <c r="M4501" t="n">
        <v>0</v>
      </c>
      <c r="N4501" t="n">
        <v>0</v>
      </c>
      <c r="O4501" t="n">
        <v>0</v>
      </c>
      <c r="P4501" t="n">
        <v>0</v>
      </c>
      <c r="Q4501" t="n">
        <v>0</v>
      </c>
      <c r="R4501" s="2" t="inlineStr"/>
    </row>
    <row r="4502" ht="15" customHeight="1">
      <c r="A4502" t="inlineStr">
        <is>
          <t>A 55514-2024</t>
        </is>
      </c>
      <c r="B4502" s="1" t="n">
        <v>45622.46910879629</v>
      </c>
      <c r="C4502" s="1" t="n">
        <v>46045</v>
      </c>
      <c r="D4502" t="inlineStr">
        <is>
          <t>JÄMTLANDS LÄN</t>
        </is>
      </c>
      <c r="E4502" t="inlineStr">
        <is>
          <t>RAGUNDA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42032-2025</t>
        </is>
      </c>
      <c r="B4503" s="1" t="n">
        <v>45903.6066087963</v>
      </c>
      <c r="C4503" s="1" t="n">
        <v>46045</v>
      </c>
      <c r="D4503" t="inlineStr">
        <is>
          <t>JÄMTLANDS LÄN</t>
        </is>
      </c>
      <c r="E4503" t="inlineStr">
        <is>
          <t>HÄRJEDALEN</t>
        </is>
      </c>
      <c r="F4503" t="inlineStr">
        <is>
          <t>Holmen skog AB</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162-2024</t>
        </is>
      </c>
      <c r="B4504" s="1" t="n">
        <v>45294</v>
      </c>
      <c r="C4504" s="1" t="n">
        <v>46045</v>
      </c>
      <c r="D4504" t="inlineStr">
        <is>
          <t>JÄMTLANDS LÄN</t>
        </is>
      </c>
      <c r="E4504" t="inlineStr">
        <is>
          <t>BERG</t>
        </is>
      </c>
      <c r="F4504" t="inlineStr">
        <is>
          <t>Kyrkan</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42980-2024</t>
        </is>
      </c>
      <c r="B4505" s="1" t="n">
        <v>45567.37451388889</v>
      </c>
      <c r="C4505" s="1" t="n">
        <v>46045</v>
      </c>
      <c r="D4505" t="inlineStr">
        <is>
          <t>JÄMTLANDS LÄN</t>
        </is>
      </c>
      <c r="E4505" t="inlineStr">
        <is>
          <t>STRÖMSUND</t>
        </is>
      </c>
      <c r="F4505" t="inlineStr">
        <is>
          <t>SCA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42132-2025</t>
        </is>
      </c>
      <c r="B4506" s="1" t="n">
        <v>45904.34546296296</v>
      </c>
      <c r="C4506" s="1" t="n">
        <v>46045</v>
      </c>
      <c r="D4506" t="inlineStr">
        <is>
          <t>JÄMTLANDS LÄN</t>
        </is>
      </c>
      <c r="E4506" t="inlineStr">
        <is>
          <t>BRÄCKE</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62513-2022</t>
        </is>
      </c>
      <c r="B4507" s="1" t="n">
        <v>44924.61315972222</v>
      </c>
      <c r="C4507" s="1" t="n">
        <v>46045</v>
      </c>
      <c r="D4507" t="inlineStr">
        <is>
          <t>JÄMTLANDS LÄN</t>
        </is>
      </c>
      <c r="E4507" t="inlineStr">
        <is>
          <t>HÄRJEDALEN</t>
        </is>
      </c>
      <c r="F4507" t="inlineStr">
        <is>
          <t>Holmen skog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24441-2024</t>
        </is>
      </c>
      <c r="B4508" s="1" t="n">
        <v>45457.96372685185</v>
      </c>
      <c r="C4508" s="1" t="n">
        <v>46045</v>
      </c>
      <c r="D4508" t="inlineStr">
        <is>
          <t>JÄMTLANDS LÄN</t>
        </is>
      </c>
      <c r="E4508" t="inlineStr">
        <is>
          <t>RAGUNDA</t>
        </is>
      </c>
      <c r="F4508" t="inlineStr">
        <is>
          <t>SCA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6112-2024</t>
        </is>
      </c>
      <c r="B4509" s="1" t="n">
        <v>45337.39020833333</v>
      </c>
      <c r="C4509" s="1" t="n">
        <v>46045</v>
      </c>
      <c r="D4509" t="inlineStr">
        <is>
          <t>JÄMTLANDS LÄN</t>
        </is>
      </c>
      <c r="E4509" t="inlineStr">
        <is>
          <t>STRÖMSUND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23877-2024</t>
        </is>
      </c>
      <c r="B4510" s="1" t="n">
        <v>45455.63024305556</v>
      </c>
      <c r="C4510" s="1" t="n">
        <v>46045</v>
      </c>
      <c r="D4510" t="inlineStr">
        <is>
          <t>JÄMTLANDS LÄN</t>
        </is>
      </c>
      <c r="E4510" t="inlineStr">
        <is>
          <t>BERG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42031-2025</t>
        </is>
      </c>
      <c r="B4511" s="1" t="n">
        <v>45903.60319444445</v>
      </c>
      <c r="C4511" s="1" t="n">
        <v>46045</v>
      </c>
      <c r="D4511" t="inlineStr">
        <is>
          <t>JÄMTLANDS LÄN</t>
        </is>
      </c>
      <c r="E4511" t="inlineStr">
        <is>
          <t>HÄRJEDALEN</t>
        </is>
      </c>
      <c r="F4511" t="inlineStr">
        <is>
          <t>Holmen skog AB</t>
        </is>
      </c>
      <c r="G4511" t="n">
        <v>8.6</v>
      </c>
      <c r="H4511" t="n">
        <v>0</v>
      </c>
      <c r="I4511" t="n">
        <v>0</v>
      </c>
      <c r="J4511" t="n">
        <v>0</v>
      </c>
      <c r="K4511" t="n">
        <v>0</v>
      </c>
      <c r="L4511" t="n">
        <v>0</v>
      </c>
      <c r="M4511" t="n">
        <v>0</v>
      </c>
      <c r="N4511" t="n">
        <v>0</v>
      </c>
      <c r="O4511" t="n">
        <v>0</v>
      </c>
      <c r="P4511" t="n">
        <v>0</v>
      </c>
      <c r="Q4511" t="n">
        <v>0</v>
      </c>
      <c r="R4511" s="2" t="inlineStr"/>
    </row>
    <row r="4512" ht="15" customHeight="1">
      <c r="A4512" t="inlineStr">
        <is>
          <t>A 28766-2024</t>
        </is>
      </c>
      <c r="B4512" s="1" t="n">
        <v>45478</v>
      </c>
      <c r="C4512" s="1" t="n">
        <v>46045</v>
      </c>
      <c r="D4512" t="inlineStr">
        <is>
          <t>JÄMTLANDS LÄN</t>
        </is>
      </c>
      <c r="E4512" t="inlineStr">
        <is>
          <t>BRÄCKE</t>
        </is>
      </c>
      <c r="F4512" t="inlineStr">
        <is>
          <t>Sveaskog</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42269-2025</t>
        </is>
      </c>
      <c r="B4513" s="1" t="n">
        <v>45904.60431712963</v>
      </c>
      <c r="C4513" s="1" t="n">
        <v>46045</v>
      </c>
      <c r="D4513" t="inlineStr">
        <is>
          <t>JÄMTLANDS LÄN</t>
        </is>
      </c>
      <c r="E4513" t="inlineStr">
        <is>
          <t>RAGUNDA</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42270-2025</t>
        </is>
      </c>
      <c r="B4514" s="1" t="n">
        <v>45904.60445601852</v>
      </c>
      <c r="C4514" s="1" t="n">
        <v>46045</v>
      </c>
      <c r="D4514" t="inlineStr">
        <is>
          <t>JÄMTLANDS LÄN</t>
        </is>
      </c>
      <c r="E4514" t="inlineStr">
        <is>
          <t>BRÄCKE</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23880-2024</t>
        </is>
      </c>
      <c r="B4515" s="1" t="n">
        <v>45455.63731481481</v>
      </c>
      <c r="C4515" s="1" t="n">
        <v>46045</v>
      </c>
      <c r="D4515" t="inlineStr">
        <is>
          <t>JÄMTLANDS LÄN</t>
        </is>
      </c>
      <c r="E4515" t="inlineStr">
        <is>
          <t>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33379-2024</t>
        </is>
      </c>
      <c r="B4516" s="1" t="n">
        <v>45519.4495949074</v>
      </c>
      <c r="C4516" s="1" t="n">
        <v>46045</v>
      </c>
      <c r="D4516" t="inlineStr">
        <is>
          <t>JÄMTLANDS LÄN</t>
        </is>
      </c>
      <c r="E4516" t="inlineStr">
        <is>
          <t>ÅRE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42280-2025</t>
        </is>
      </c>
      <c r="B4517" s="1" t="n">
        <v>45904.61605324074</v>
      </c>
      <c r="C4517" s="1" t="n">
        <v>46045</v>
      </c>
      <c r="D4517" t="inlineStr">
        <is>
          <t>JÄMTLANDS LÄN</t>
        </is>
      </c>
      <c r="E4517" t="inlineStr">
        <is>
          <t>BRÄCKE</t>
        </is>
      </c>
      <c r="F4517" t="inlineStr">
        <is>
          <t>SCA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41547-2025</t>
        </is>
      </c>
      <c r="B4518" s="1" t="n">
        <v>45901.57991898148</v>
      </c>
      <c r="C4518" s="1" t="n">
        <v>46045</v>
      </c>
      <c r="D4518" t="inlineStr">
        <is>
          <t>JÄMTLANDS LÄN</t>
        </is>
      </c>
      <c r="E4518" t="inlineStr">
        <is>
          <t>BRÄCKE</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41757-2025</t>
        </is>
      </c>
      <c r="B4519" s="1" t="n">
        <v>45902.50755787037</v>
      </c>
      <c r="C4519" s="1" t="n">
        <v>46045</v>
      </c>
      <c r="D4519" t="inlineStr">
        <is>
          <t>JÄMTLANDS LÄN</t>
        </is>
      </c>
      <c r="E4519" t="inlineStr">
        <is>
          <t>BRÄCKE</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51936-2023</t>
        </is>
      </c>
      <c r="B4520" s="1" t="n">
        <v>45223.5036574074</v>
      </c>
      <c r="C4520" s="1" t="n">
        <v>46045</v>
      </c>
      <c r="D4520" t="inlineStr">
        <is>
          <t>JÄMTLANDS LÄN</t>
        </is>
      </c>
      <c r="E4520" t="inlineStr">
        <is>
          <t>ÖSTERSUND</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51941-2023</t>
        </is>
      </c>
      <c r="B4521" s="1" t="n">
        <v>45223</v>
      </c>
      <c r="C4521" s="1" t="n">
        <v>46045</v>
      </c>
      <c r="D4521" t="inlineStr">
        <is>
          <t>JÄMTLANDS LÄN</t>
        </is>
      </c>
      <c r="E4521" t="inlineStr">
        <is>
          <t>ÖSTERSUND</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5052-2024</t>
        </is>
      </c>
      <c r="B4522" s="1" t="n">
        <v>45329.93077546296</v>
      </c>
      <c r="C4522" s="1" t="n">
        <v>46045</v>
      </c>
      <c r="D4522" t="inlineStr">
        <is>
          <t>JÄMTLANDS LÄN</t>
        </is>
      </c>
      <c r="E4522" t="inlineStr">
        <is>
          <t>BRÄCKE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5053-2024</t>
        </is>
      </c>
      <c r="B4523" s="1" t="n">
        <v>45329.93084490741</v>
      </c>
      <c r="C4523" s="1" t="n">
        <v>46045</v>
      </c>
      <c r="D4523" t="inlineStr">
        <is>
          <t>JÄMTLANDS LÄN</t>
        </is>
      </c>
      <c r="E4523" t="inlineStr">
        <is>
          <t>BRÄCKE</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60749-2023</t>
        </is>
      </c>
      <c r="B4524" s="1" t="n">
        <v>45260.59042824074</v>
      </c>
      <c r="C4524" s="1" t="n">
        <v>46045</v>
      </c>
      <c r="D4524" t="inlineStr">
        <is>
          <t>JÄMTLANDS LÄN</t>
        </is>
      </c>
      <c r="E4524" t="inlineStr">
        <is>
          <t>HÄRJEDALEN</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14523-2023</t>
        </is>
      </c>
      <c r="B4525" s="1" t="n">
        <v>45012</v>
      </c>
      <c r="C4525" s="1" t="n">
        <v>46045</v>
      </c>
      <c r="D4525" t="inlineStr">
        <is>
          <t>JÄMTLANDS LÄN</t>
        </is>
      </c>
      <c r="E4525" t="inlineStr">
        <is>
          <t>ÖSTERSUND</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2179-2025</t>
        </is>
      </c>
      <c r="B4526" s="1" t="n">
        <v>45673.34421296296</v>
      </c>
      <c r="C4526" s="1" t="n">
        <v>46045</v>
      </c>
      <c r="D4526" t="inlineStr">
        <is>
          <t>JÄMTLANDS LÄN</t>
        </is>
      </c>
      <c r="E4526" t="inlineStr">
        <is>
          <t>BRÄCKE</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19955-2021</t>
        </is>
      </c>
      <c r="B4527" s="1" t="n">
        <v>44312</v>
      </c>
      <c r="C4527" s="1" t="n">
        <v>46045</v>
      </c>
      <c r="D4527" t="inlineStr">
        <is>
          <t>JÄMTLANDS LÄN</t>
        </is>
      </c>
      <c r="E4527" t="inlineStr">
        <is>
          <t>HÄRJEDALEN</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2197-2025</t>
        </is>
      </c>
      <c r="B4528" s="1" t="n">
        <v>45673.38782407407</v>
      </c>
      <c r="C4528" s="1" t="n">
        <v>46045</v>
      </c>
      <c r="D4528" t="inlineStr">
        <is>
          <t>JÄMTLANDS LÄN</t>
        </is>
      </c>
      <c r="E4528" t="inlineStr">
        <is>
          <t>BRÄCKE</t>
        </is>
      </c>
      <c r="F4528" t="inlineStr">
        <is>
          <t>SCA</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41981-2025</t>
        </is>
      </c>
      <c r="B4529" s="1" t="n">
        <v>45903.53172453704</v>
      </c>
      <c r="C4529" s="1" t="n">
        <v>46045</v>
      </c>
      <c r="D4529" t="inlineStr">
        <is>
          <t>JÄMTLANDS LÄN</t>
        </is>
      </c>
      <c r="E4529" t="inlineStr">
        <is>
          <t>BRÄCKE</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60178-2022</t>
        </is>
      </c>
      <c r="B4530" s="1" t="n">
        <v>44909</v>
      </c>
      <c r="C4530" s="1" t="n">
        <v>46045</v>
      </c>
      <c r="D4530" t="inlineStr">
        <is>
          <t>JÄMTLANDS LÄN</t>
        </is>
      </c>
      <c r="E4530" t="inlineStr">
        <is>
          <t>BRÄCKE</t>
        </is>
      </c>
      <c r="F4530" t="inlineStr">
        <is>
          <t>SCA</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42291-2025</t>
        </is>
      </c>
      <c r="B4531" s="1" t="n">
        <v>45903</v>
      </c>
      <c r="C4531" s="1" t="n">
        <v>46045</v>
      </c>
      <c r="D4531" t="inlineStr">
        <is>
          <t>JÄMTLANDS LÄN</t>
        </is>
      </c>
      <c r="E4531" t="inlineStr">
        <is>
          <t>STRÖMSUND</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45324-2024</t>
        </is>
      </c>
      <c r="B4532" s="1" t="n">
        <v>45576</v>
      </c>
      <c r="C4532" s="1" t="n">
        <v>46045</v>
      </c>
      <c r="D4532" t="inlineStr">
        <is>
          <t>JÄMTLANDS LÄN</t>
        </is>
      </c>
      <c r="E4532" t="inlineStr">
        <is>
          <t>ÅRE</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58025-2022</t>
        </is>
      </c>
      <c r="B4533" s="1" t="n">
        <v>44893</v>
      </c>
      <c r="C4533" s="1" t="n">
        <v>46045</v>
      </c>
      <c r="D4533" t="inlineStr">
        <is>
          <t>JÄMTLANDS LÄN</t>
        </is>
      </c>
      <c r="E4533" t="inlineStr">
        <is>
          <t>STRÖMSUND</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60560-2022</t>
        </is>
      </c>
      <c r="B4534" s="1" t="n">
        <v>44911.54984953703</v>
      </c>
      <c r="C4534" s="1" t="n">
        <v>46045</v>
      </c>
      <c r="D4534" t="inlineStr">
        <is>
          <t>JÄMTLANDS LÄN</t>
        </is>
      </c>
      <c r="E4534" t="inlineStr">
        <is>
          <t>ÖSTERSUND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934-2023</t>
        </is>
      </c>
      <c r="B4535" s="1" t="n">
        <v>44932.93927083333</v>
      </c>
      <c r="C4535" s="1" t="n">
        <v>46045</v>
      </c>
      <c r="D4535" t="inlineStr">
        <is>
          <t>JÄMTLANDS LÄN</t>
        </is>
      </c>
      <c r="E4535" t="inlineStr">
        <is>
          <t>RAGUNDA</t>
        </is>
      </c>
      <c r="F4535" t="inlineStr">
        <is>
          <t>SCA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18752-2024</t>
        </is>
      </c>
      <c r="B4536" s="1" t="n">
        <v>45426.54224537037</v>
      </c>
      <c r="C4536" s="1" t="n">
        <v>46045</v>
      </c>
      <c r="D4536" t="inlineStr">
        <is>
          <t>JÄMTLANDS LÄN</t>
        </is>
      </c>
      <c r="E4536" t="inlineStr">
        <is>
          <t>BERG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41873-2025</t>
        </is>
      </c>
      <c r="B4537" s="1" t="n">
        <v>45903.34513888889</v>
      </c>
      <c r="C4537" s="1" t="n">
        <v>46045</v>
      </c>
      <c r="D4537" t="inlineStr">
        <is>
          <t>JÄMTLANDS LÄN</t>
        </is>
      </c>
      <c r="E4537" t="inlineStr">
        <is>
          <t>STRÖMSUND</t>
        </is>
      </c>
      <c r="F4537" t="inlineStr">
        <is>
          <t>SCA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56556-2022</t>
        </is>
      </c>
      <c r="B4538" s="1" t="n">
        <v>44893.48930555556</v>
      </c>
      <c r="C4538" s="1" t="n">
        <v>46045</v>
      </c>
      <c r="D4538" t="inlineStr">
        <is>
          <t>JÄMTLANDS LÄN</t>
        </is>
      </c>
      <c r="E4538" t="inlineStr">
        <is>
          <t>ÅRE</t>
        </is>
      </c>
      <c r="F4538" t="inlineStr">
        <is>
          <t>Övriga Aktiebolag</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13282-2023</t>
        </is>
      </c>
      <c r="B4539" s="1" t="n">
        <v>45004</v>
      </c>
      <c r="C4539" s="1" t="n">
        <v>46045</v>
      </c>
      <c r="D4539" t="inlineStr">
        <is>
          <t>JÄMTLANDS LÄN</t>
        </is>
      </c>
      <c r="E4539" t="inlineStr">
        <is>
          <t>ÖSTERSUND</t>
        </is>
      </c>
      <c r="G4539" t="n">
        <v>28.5</v>
      </c>
      <c r="H4539" t="n">
        <v>0</v>
      </c>
      <c r="I4539" t="n">
        <v>0</v>
      </c>
      <c r="J4539" t="n">
        <v>0</v>
      </c>
      <c r="K4539" t="n">
        <v>0</v>
      </c>
      <c r="L4539" t="n">
        <v>0</v>
      </c>
      <c r="M4539" t="n">
        <v>0</v>
      </c>
      <c r="N4539" t="n">
        <v>0</v>
      </c>
      <c r="O4539" t="n">
        <v>0</v>
      </c>
      <c r="P4539" t="n">
        <v>0</v>
      </c>
      <c r="Q4539" t="n">
        <v>0</v>
      </c>
      <c r="R4539" s="2" t="inlineStr"/>
    </row>
    <row r="4540" ht="15" customHeight="1">
      <c r="A4540" t="inlineStr">
        <is>
          <t>A 37242-2024</t>
        </is>
      </c>
      <c r="B4540" s="1" t="n">
        <v>45540.34428240741</v>
      </c>
      <c r="C4540" s="1" t="n">
        <v>46045</v>
      </c>
      <c r="D4540" t="inlineStr">
        <is>
          <t>JÄMTLANDS LÄN</t>
        </is>
      </c>
      <c r="E4540" t="inlineStr">
        <is>
          <t>RAGUNDA</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9232-2025</t>
        </is>
      </c>
      <c r="B4541" s="1" t="n">
        <v>45714.55064814815</v>
      </c>
      <c r="C4541" s="1" t="n">
        <v>46045</v>
      </c>
      <c r="D4541" t="inlineStr">
        <is>
          <t>JÄMTLANDS LÄN</t>
        </is>
      </c>
      <c r="E4541" t="inlineStr">
        <is>
          <t>RAGUNDA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23185-2023</t>
        </is>
      </c>
      <c r="B4542" s="1" t="n">
        <v>45075.59148148148</v>
      </c>
      <c r="C4542" s="1" t="n">
        <v>46045</v>
      </c>
      <c r="D4542" t="inlineStr">
        <is>
          <t>JÄMTLANDS LÄN</t>
        </is>
      </c>
      <c r="E4542" t="inlineStr">
        <is>
          <t>HÄRJEDALEN</t>
        </is>
      </c>
      <c r="F4542" t="inlineStr">
        <is>
          <t>Bergvik skog väst AB</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41997-2025</t>
        </is>
      </c>
      <c r="B4543" s="1" t="n">
        <v>45903.55162037037</v>
      </c>
      <c r="C4543" s="1" t="n">
        <v>46045</v>
      </c>
      <c r="D4543" t="inlineStr">
        <is>
          <t>JÄMTLANDS LÄN</t>
        </is>
      </c>
      <c r="E4543" t="inlineStr">
        <is>
          <t>BERG</t>
        </is>
      </c>
      <c r="F4543" t="inlineStr">
        <is>
          <t>Övriga statliga verk och myndigheter</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56656-2022</t>
        </is>
      </c>
      <c r="B4544" s="1" t="n">
        <v>44893</v>
      </c>
      <c r="C4544" s="1" t="n">
        <v>46045</v>
      </c>
      <c r="D4544" t="inlineStr">
        <is>
          <t>JÄMTLANDS LÄN</t>
        </is>
      </c>
      <c r="E4544" t="inlineStr">
        <is>
          <t>BRÄCKE</t>
        </is>
      </c>
      <c r="G4544" t="n">
        <v>8.300000000000001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54973-2023</t>
        </is>
      </c>
      <c r="B4545" s="1" t="n">
        <v>45236.92776620371</v>
      </c>
      <c r="C4545" s="1" t="n">
        <v>46045</v>
      </c>
      <c r="D4545" t="inlineStr">
        <is>
          <t>JÄMTLANDS LÄN</t>
        </is>
      </c>
      <c r="E4545" t="inlineStr">
        <is>
          <t>ÖSTERSUND</t>
        </is>
      </c>
      <c r="G4545" t="n">
        <v>15.4</v>
      </c>
      <c r="H4545" t="n">
        <v>0</v>
      </c>
      <c r="I4545" t="n">
        <v>0</v>
      </c>
      <c r="J4545" t="n">
        <v>0</v>
      </c>
      <c r="K4545" t="n">
        <v>0</v>
      </c>
      <c r="L4545" t="n">
        <v>0</v>
      </c>
      <c r="M4545" t="n">
        <v>0</v>
      </c>
      <c r="N4545" t="n">
        <v>0</v>
      </c>
      <c r="O4545" t="n">
        <v>0</v>
      </c>
      <c r="P4545" t="n">
        <v>0</v>
      </c>
      <c r="Q4545" t="n">
        <v>0</v>
      </c>
      <c r="R4545" s="2" t="inlineStr"/>
    </row>
    <row r="4546" ht="15" customHeight="1">
      <c r="A4546" t="inlineStr">
        <is>
          <t>A 52021-2022</t>
        </is>
      </c>
      <c r="B4546" s="1" t="n">
        <v>44872.95638888889</v>
      </c>
      <c r="C4546" s="1" t="n">
        <v>46045</v>
      </c>
      <c r="D4546" t="inlineStr">
        <is>
          <t>JÄMTLANDS LÄN</t>
        </is>
      </c>
      <c r="E4546" t="inlineStr">
        <is>
          <t>BRÄCKE</t>
        </is>
      </c>
      <c r="F4546" t="inlineStr">
        <is>
          <t>SCA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525-2023</t>
        </is>
      </c>
      <c r="B4547" s="1" t="n">
        <v>44924</v>
      </c>
      <c r="C4547" s="1" t="n">
        <v>46045</v>
      </c>
      <c r="D4547" t="inlineStr">
        <is>
          <t>JÄMTLANDS LÄN</t>
        </is>
      </c>
      <c r="E4547" t="inlineStr">
        <is>
          <t>BERG</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57839-2022</t>
        </is>
      </c>
      <c r="B4548" s="1" t="n">
        <v>44897</v>
      </c>
      <c r="C4548" s="1" t="n">
        <v>46045</v>
      </c>
      <c r="D4548" t="inlineStr">
        <is>
          <t>JÄMTLANDS LÄN</t>
        </is>
      </c>
      <c r="E4548" t="inlineStr">
        <is>
          <t>RAGUNDA</t>
        </is>
      </c>
      <c r="F4548" t="inlineStr">
        <is>
          <t>SCA</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30498-2025</t>
        </is>
      </c>
      <c r="B4549" s="1" t="n">
        <v>45830</v>
      </c>
      <c r="C4549" s="1" t="n">
        <v>46045</v>
      </c>
      <c r="D4549" t="inlineStr">
        <is>
          <t>JÄMTLANDS LÄN</t>
        </is>
      </c>
      <c r="E4549" t="inlineStr">
        <is>
          <t>HÄRJEDALEN</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30500-2025</t>
        </is>
      </c>
      <c r="B4550" s="1" t="n">
        <v>45830</v>
      </c>
      <c r="C4550" s="1" t="n">
        <v>46045</v>
      </c>
      <c r="D4550" t="inlineStr">
        <is>
          <t>JÄMTLANDS LÄN</t>
        </is>
      </c>
      <c r="E4550" t="inlineStr">
        <is>
          <t>HÄRJEDALEN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30501-2025</t>
        </is>
      </c>
      <c r="B4551" s="1" t="n">
        <v>45830</v>
      </c>
      <c r="C4551" s="1" t="n">
        <v>46045</v>
      </c>
      <c r="D4551" t="inlineStr">
        <is>
          <t>JÄMTLANDS LÄN</t>
        </is>
      </c>
      <c r="E4551" t="inlineStr">
        <is>
          <t>HÄRJEDALEN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4901-2025</t>
        </is>
      </c>
      <c r="B4552" s="1" t="n">
        <v>45688.67965277778</v>
      </c>
      <c r="C4552" s="1" t="n">
        <v>46045</v>
      </c>
      <c r="D4552" t="inlineStr">
        <is>
          <t>JÄMTLANDS LÄN</t>
        </is>
      </c>
      <c r="E4552" t="inlineStr">
        <is>
          <t>ÖSTERSUND</t>
        </is>
      </c>
      <c r="F4552" t="inlineStr">
        <is>
          <t>SCA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38373-2025</t>
        </is>
      </c>
      <c r="B4553" s="1" t="n">
        <v>45883</v>
      </c>
      <c r="C4553" s="1" t="n">
        <v>46045</v>
      </c>
      <c r="D4553" t="inlineStr">
        <is>
          <t>JÄMTLANDS LÄN</t>
        </is>
      </c>
      <c r="E4553" t="inlineStr">
        <is>
          <t>STRÖMSUND</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38268-2024</t>
        </is>
      </c>
      <c r="B4554" s="1" t="n">
        <v>45545.59842592593</v>
      </c>
      <c r="C4554" s="1" t="n">
        <v>46045</v>
      </c>
      <c r="D4554" t="inlineStr">
        <is>
          <t>JÄMTLANDS LÄN</t>
        </is>
      </c>
      <c r="E4554" t="inlineStr">
        <is>
          <t>ÅRE</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25187-2024</t>
        </is>
      </c>
      <c r="B4555" s="1" t="n">
        <v>45462.56172453704</v>
      </c>
      <c r="C4555" s="1" t="n">
        <v>46045</v>
      </c>
      <c r="D4555" t="inlineStr">
        <is>
          <t>JÄMTLANDS LÄN</t>
        </is>
      </c>
      <c r="E4555" t="inlineStr">
        <is>
          <t>ÖSTERSUND</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38301-2024</t>
        </is>
      </c>
      <c r="B4556" s="1" t="n">
        <v>45545.6360300926</v>
      </c>
      <c r="C4556" s="1" t="n">
        <v>46045</v>
      </c>
      <c r="D4556" t="inlineStr">
        <is>
          <t>JÄMTLANDS LÄN</t>
        </is>
      </c>
      <c r="E4556" t="inlineStr">
        <is>
          <t>STRÖMSUND</t>
        </is>
      </c>
      <c r="F4556" t="inlineStr">
        <is>
          <t>SCA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2581-2025</t>
        </is>
      </c>
      <c r="B4557" s="1" t="n">
        <v>45674.67771990741</v>
      </c>
      <c r="C4557" s="1" t="n">
        <v>46045</v>
      </c>
      <c r="D4557" t="inlineStr">
        <is>
          <t>JÄMTLANDS LÄN</t>
        </is>
      </c>
      <c r="E4557" t="inlineStr">
        <is>
          <t>BRÄCKE</t>
        </is>
      </c>
      <c r="F4557" t="inlineStr">
        <is>
          <t>SCA</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38336-2024</t>
        </is>
      </c>
      <c r="B4558" s="1" t="n">
        <v>45545.68386574074</v>
      </c>
      <c r="C4558" s="1" t="n">
        <v>46045</v>
      </c>
      <c r="D4558" t="inlineStr">
        <is>
          <t>JÄMTLANDS LÄN</t>
        </is>
      </c>
      <c r="E4558" t="inlineStr">
        <is>
          <t>BRÄCKE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25995-2025</t>
        </is>
      </c>
      <c r="B4559" s="1" t="n">
        <v>45804.656875</v>
      </c>
      <c r="C4559" s="1" t="n">
        <v>46045</v>
      </c>
      <c r="D4559" t="inlineStr">
        <is>
          <t>JÄMTLANDS LÄN</t>
        </is>
      </c>
      <c r="E4559" t="inlineStr">
        <is>
          <t>ÖSTERSUND</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58813-2024</t>
        </is>
      </c>
      <c r="B4560" s="1" t="n">
        <v>45636.34748842593</v>
      </c>
      <c r="C4560" s="1" t="n">
        <v>46045</v>
      </c>
      <c r="D4560" t="inlineStr">
        <is>
          <t>JÄMTLANDS LÄN</t>
        </is>
      </c>
      <c r="E4560" t="inlineStr">
        <is>
          <t>STRÖMSUND</t>
        </is>
      </c>
      <c r="F4560" t="inlineStr">
        <is>
          <t>SCA</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41656-2023</t>
        </is>
      </c>
      <c r="B4561" s="1" t="n">
        <v>45175</v>
      </c>
      <c r="C4561" s="1" t="n">
        <v>46045</v>
      </c>
      <c r="D4561" t="inlineStr">
        <is>
          <t>JÄMTLANDS LÄN</t>
        </is>
      </c>
      <c r="E4561" t="inlineStr">
        <is>
          <t>RAGUNDA</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18627-2024</t>
        </is>
      </c>
      <c r="B4562" s="1" t="n">
        <v>45425.96443287037</v>
      </c>
      <c r="C4562" s="1" t="n">
        <v>46045</v>
      </c>
      <c r="D4562" t="inlineStr">
        <is>
          <t>JÄMTLANDS LÄN</t>
        </is>
      </c>
      <c r="E4562" t="inlineStr">
        <is>
          <t>ÖSTERSUND</t>
        </is>
      </c>
      <c r="F4562" t="inlineStr">
        <is>
          <t>SCA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36287-2024</t>
        </is>
      </c>
      <c r="B4563" s="1" t="n">
        <v>45534</v>
      </c>
      <c r="C4563" s="1" t="n">
        <v>46045</v>
      </c>
      <c r="D4563" t="inlineStr">
        <is>
          <t>JÄMTLANDS LÄN</t>
        </is>
      </c>
      <c r="E4563" t="inlineStr">
        <is>
          <t>BERG</t>
        </is>
      </c>
      <c r="F4563" t="inlineStr">
        <is>
          <t>Kyrkan</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33299-2024</t>
        </is>
      </c>
      <c r="B4564" s="1" t="n">
        <v>45518.96902777778</v>
      </c>
      <c r="C4564" s="1" t="n">
        <v>46045</v>
      </c>
      <c r="D4564" t="inlineStr">
        <is>
          <t>JÄMTLANDS LÄN</t>
        </is>
      </c>
      <c r="E4564" t="inlineStr">
        <is>
          <t>STRÖMSUND</t>
        </is>
      </c>
      <c r="F4564" t="inlineStr">
        <is>
          <t>SCA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36317-2024</t>
        </is>
      </c>
      <c r="B4565" s="1" t="n">
        <v>45534.63537037037</v>
      </c>
      <c r="C4565" s="1" t="n">
        <v>46045</v>
      </c>
      <c r="D4565" t="inlineStr">
        <is>
          <t>JÄMTLANDS LÄN</t>
        </is>
      </c>
      <c r="E4565" t="inlineStr">
        <is>
          <t>RAGUNDA</t>
        </is>
      </c>
      <c r="F4565" t="inlineStr">
        <is>
          <t>SCA</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42380-2025</t>
        </is>
      </c>
      <c r="B4566" s="1" t="n">
        <v>45905.34456018519</v>
      </c>
      <c r="C4566" s="1" t="n">
        <v>46045</v>
      </c>
      <c r="D4566" t="inlineStr">
        <is>
          <t>JÄMTLANDS LÄN</t>
        </is>
      </c>
      <c r="E4566" t="inlineStr">
        <is>
          <t>BRÄCKE</t>
        </is>
      </c>
      <c r="F4566" t="inlineStr">
        <is>
          <t>SCA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37441-2024</t>
        </is>
      </c>
      <c r="B4567" s="1" t="n">
        <v>45540</v>
      </c>
      <c r="C4567" s="1" t="n">
        <v>46045</v>
      </c>
      <c r="D4567" t="inlineStr">
        <is>
          <t>JÄMTLANDS LÄN</t>
        </is>
      </c>
      <c r="E4567" t="inlineStr">
        <is>
          <t>STRÖMSUND</t>
        </is>
      </c>
      <c r="G4567" t="n">
        <v>15.8</v>
      </c>
      <c r="H4567" t="n">
        <v>0</v>
      </c>
      <c r="I4567" t="n">
        <v>0</v>
      </c>
      <c r="J4567" t="n">
        <v>0</v>
      </c>
      <c r="K4567" t="n">
        <v>0</v>
      </c>
      <c r="L4567" t="n">
        <v>0</v>
      </c>
      <c r="M4567" t="n">
        <v>0</v>
      </c>
      <c r="N4567" t="n">
        <v>0</v>
      </c>
      <c r="O4567" t="n">
        <v>0</v>
      </c>
      <c r="P4567" t="n">
        <v>0</v>
      </c>
      <c r="Q4567" t="n">
        <v>0</v>
      </c>
      <c r="R4567" s="2" t="inlineStr"/>
    </row>
    <row r="4568" ht="15" customHeight="1">
      <c r="A4568" t="inlineStr">
        <is>
          <t>A 21666-2023</t>
        </is>
      </c>
      <c r="B4568" s="1" t="n">
        <v>45063.92605324074</v>
      </c>
      <c r="C4568" s="1" t="n">
        <v>46045</v>
      </c>
      <c r="D4568" t="inlineStr">
        <is>
          <t>JÄMTLANDS LÄN</t>
        </is>
      </c>
      <c r="E4568" t="inlineStr">
        <is>
          <t>HÄRJEDALEN</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58416-2024</t>
        </is>
      </c>
      <c r="B4569" s="1" t="n">
        <v>45634.79854166666</v>
      </c>
      <c r="C4569" s="1" t="n">
        <v>46045</v>
      </c>
      <c r="D4569" t="inlineStr">
        <is>
          <t>JÄMTLANDS LÄN</t>
        </is>
      </c>
      <c r="E4569" t="inlineStr">
        <is>
          <t>KROKOM</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23139-2021</t>
        </is>
      </c>
      <c r="B4570" s="1" t="n">
        <v>44331</v>
      </c>
      <c r="C4570" s="1" t="n">
        <v>46045</v>
      </c>
      <c r="D4570" t="inlineStr">
        <is>
          <t>JÄMTLANDS LÄN</t>
        </is>
      </c>
      <c r="E4570" t="inlineStr">
        <is>
          <t>KROKOM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42415-2025</t>
        </is>
      </c>
      <c r="B4571" s="1" t="n">
        <v>45905.39195601852</v>
      </c>
      <c r="C4571" s="1" t="n">
        <v>46045</v>
      </c>
      <c r="D4571" t="inlineStr">
        <is>
          <t>JÄMTLANDS LÄN</t>
        </is>
      </c>
      <c r="E4571" t="inlineStr">
        <is>
          <t>BERG</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51452-2024</t>
        </is>
      </c>
      <c r="B4572" s="1" t="n">
        <v>45604.49045138889</v>
      </c>
      <c r="C4572" s="1" t="n">
        <v>46045</v>
      </c>
      <c r="D4572" t="inlineStr">
        <is>
          <t>JÄMTLANDS LÄN</t>
        </is>
      </c>
      <c r="E4572" t="inlineStr">
        <is>
          <t>ÅRE</t>
        </is>
      </c>
      <c r="G4572" t="n">
        <v>8</v>
      </c>
      <c r="H4572" t="n">
        <v>0</v>
      </c>
      <c r="I4572" t="n">
        <v>0</v>
      </c>
      <c r="J4572" t="n">
        <v>0</v>
      </c>
      <c r="K4572" t="n">
        <v>0</v>
      </c>
      <c r="L4572" t="n">
        <v>0</v>
      </c>
      <c r="M4572" t="n">
        <v>0</v>
      </c>
      <c r="N4572" t="n">
        <v>0</v>
      </c>
      <c r="O4572" t="n">
        <v>0</v>
      </c>
      <c r="P4572" t="n">
        <v>0</v>
      </c>
      <c r="Q4572" t="n">
        <v>0</v>
      </c>
      <c r="R4572" s="2" t="inlineStr"/>
    </row>
    <row r="4573" ht="15" customHeight="1">
      <c r="A4573" t="inlineStr">
        <is>
          <t>A 27375-2021</t>
        </is>
      </c>
      <c r="B4573" s="1" t="n">
        <v>44351</v>
      </c>
      <c r="C4573" s="1" t="n">
        <v>46045</v>
      </c>
      <c r="D4573" t="inlineStr">
        <is>
          <t>JÄMTLANDS LÄN</t>
        </is>
      </c>
      <c r="E4573" t="inlineStr">
        <is>
          <t>ÅRE</t>
        </is>
      </c>
      <c r="G4573" t="n">
        <v>7.4</v>
      </c>
      <c r="H4573" t="n">
        <v>0</v>
      </c>
      <c r="I4573" t="n">
        <v>0</v>
      </c>
      <c r="J4573" t="n">
        <v>0</v>
      </c>
      <c r="K4573" t="n">
        <v>0</v>
      </c>
      <c r="L4573" t="n">
        <v>0</v>
      </c>
      <c r="M4573" t="n">
        <v>0</v>
      </c>
      <c r="N4573" t="n">
        <v>0</v>
      </c>
      <c r="O4573" t="n">
        <v>0</v>
      </c>
      <c r="P4573" t="n">
        <v>0</v>
      </c>
      <c r="Q4573" t="n">
        <v>0</v>
      </c>
      <c r="R4573" s="2" t="inlineStr"/>
    </row>
    <row r="4574" ht="15" customHeight="1">
      <c r="A4574" t="inlineStr">
        <is>
          <t>A 42427-2025</t>
        </is>
      </c>
      <c r="B4574" s="1" t="n">
        <v>45905.4174537037</v>
      </c>
      <c r="C4574" s="1" t="n">
        <v>46045</v>
      </c>
      <c r="D4574" t="inlineStr">
        <is>
          <t>JÄMTLANDS LÄN</t>
        </is>
      </c>
      <c r="E4574" t="inlineStr">
        <is>
          <t>KROKOM</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61239-2022</t>
        </is>
      </c>
      <c r="B4575" s="1" t="n">
        <v>44909</v>
      </c>
      <c r="C4575" s="1" t="n">
        <v>46045</v>
      </c>
      <c r="D4575" t="inlineStr">
        <is>
          <t>JÄMTLANDS LÄN</t>
        </is>
      </c>
      <c r="E4575" t="inlineStr">
        <is>
          <t>BERG</t>
        </is>
      </c>
      <c r="G4575" t="n">
        <v>13.5</v>
      </c>
      <c r="H4575" t="n">
        <v>0</v>
      </c>
      <c r="I4575" t="n">
        <v>0</v>
      </c>
      <c r="J4575" t="n">
        <v>0</v>
      </c>
      <c r="K4575" t="n">
        <v>0</v>
      </c>
      <c r="L4575" t="n">
        <v>0</v>
      </c>
      <c r="M4575" t="n">
        <v>0</v>
      </c>
      <c r="N4575" t="n">
        <v>0</v>
      </c>
      <c r="O4575" t="n">
        <v>0</v>
      </c>
      <c r="P4575" t="n">
        <v>0</v>
      </c>
      <c r="Q4575" t="n">
        <v>0</v>
      </c>
      <c r="R4575" s="2" t="inlineStr"/>
    </row>
    <row r="4576" ht="15" customHeight="1">
      <c r="A4576" t="inlineStr">
        <is>
          <t>A 61251-2022</t>
        </is>
      </c>
      <c r="B4576" s="1" t="n">
        <v>44909</v>
      </c>
      <c r="C4576" s="1" t="n">
        <v>46045</v>
      </c>
      <c r="D4576" t="inlineStr">
        <is>
          <t>JÄMTLANDS LÄN</t>
        </is>
      </c>
      <c r="E4576" t="inlineStr">
        <is>
          <t>BERG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61255-2022</t>
        </is>
      </c>
      <c r="B4577" s="1" t="n">
        <v>44909</v>
      </c>
      <c r="C4577" s="1" t="n">
        <v>46045</v>
      </c>
      <c r="D4577" t="inlineStr">
        <is>
          <t>JÄMTLANDS LÄN</t>
        </is>
      </c>
      <c r="E4577" t="inlineStr">
        <is>
          <t>BERG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5341-2025</t>
        </is>
      </c>
      <c r="B4578" s="1" t="n">
        <v>45692.55256944444</v>
      </c>
      <c r="C4578" s="1" t="n">
        <v>46045</v>
      </c>
      <c r="D4578" t="inlineStr">
        <is>
          <t>JÄMTLANDS LÄN</t>
        </is>
      </c>
      <c r="E4578" t="inlineStr">
        <is>
          <t>ÖSTERSUND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42485-2025</t>
        </is>
      </c>
      <c r="B4579" s="1" t="n">
        <v>45905.49106481481</v>
      </c>
      <c r="C4579" s="1" t="n">
        <v>46045</v>
      </c>
      <c r="D4579" t="inlineStr">
        <is>
          <t>JÄMTLANDS LÄN</t>
        </is>
      </c>
      <c r="E4579" t="inlineStr">
        <is>
          <t>STRÖMSUND</t>
        </is>
      </c>
      <c r="F4579" t="inlineStr">
        <is>
          <t>Holmen skog AB</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42721-2025</t>
        </is>
      </c>
      <c r="B4580" s="1" t="n">
        <v>45908</v>
      </c>
      <c r="C4580" s="1" t="n">
        <v>46045</v>
      </c>
      <c r="D4580" t="inlineStr">
        <is>
          <t>JÄMTLANDS LÄN</t>
        </is>
      </c>
      <c r="E4580" t="inlineStr">
        <is>
          <t>STRÖMSUND</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42729-2025</t>
        </is>
      </c>
      <c r="B4581" s="1" t="n">
        <v>45908.40557870371</v>
      </c>
      <c r="C4581" s="1" t="n">
        <v>46045</v>
      </c>
      <c r="D4581" t="inlineStr">
        <is>
          <t>JÄMTLANDS LÄN</t>
        </is>
      </c>
      <c r="E4581" t="inlineStr">
        <is>
          <t>HÄRJEDALEN</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64643-2023</t>
        </is>
      </c>
      <c r="B4582" s="1" t="n">
        <v>45281</v>
      </c>
      <c r="C4582" s="1" t="n">
        <v>46045</v>
      </c>
      <c r="D4582" t="inlineStr">
        <is>
          <t>JÄMTLANDS LÄN</t>
        </is>
      </c>
      <c r="E4582" t="inlineStr">
        <is>
          <t>BRÄCKE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5356-2025</t>
        </is>
      </c>
      <c r="B4583" s="1" t="n">
        <v>45692</v>
      </c>
      <c r="C4583" s="1" t="n">
        <v>46045</v>
      </c>
      <c r="D4583" t="inlineStr">
        <is>
          <t>JÄMTLANDS LÄN</t>
        </is>
      </c>
      <c r="E4583" t="inlineStr">
        <is>
          <t>KROKOM</t>
        </is>
      </c>
      <c r="F4583" t="inlineStr">
        <is>
          <t>Övriga Aktiebolag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60663-2022</t>
        </is>
      </c>
      <c r="B4584" s="1" t="n">
        <v>44911.93846064815</v>
      </c>
      <c r="C4584" s="1" t="n">
        <v>46045</v>
      </c>
      <c r="D4584" t="inlineStr">
        <is>
          <t>JÄMTLANDS LÄN</t>
        </is>
      </c>
      <c r="E4584" t="inlineStr">
        <is>
          <t>RAGUNDA</t>
        </is>
      </c>
      <c r="F4584" t="inlineStr">
        <is>
          <t>SCA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42507-2025</t>
        </is>
      </c>
      <c r="B4585" s="1" t="n">
        <v>45905.53167824074</v>
      </c>
      <c r="C4585" s="1" t="n">
        <v>46045</v>
      </c>
      <c r="D4585" t="inlineStr">
        <is>
          <t>JÄMTLANDS LÄN</t>
        </is>
      </c>
      <c r="E4585" t="inlineStr">
        <is>
          <t>BRÄCKE</t>
        </is>
      </c>
      <c r="F4585" t="inlineStr">
        <is>
          <t>SCA</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42435-2025</t>
        </is>
      </c>
      <c r="B4586" s="1" t="n">
        <v>45905.42763888889</v>
      </c>
      <c r="C4586" s="1" t="n">
        <v>46045</v>
      </c>
      <c r="D4586" t="inlineStr">
        <is>
          <t>JÄMTLANDS LÄN</t>
        </is>
      </c>
      <c r="E4586" t="inlineStr">
        <is>
          <t>BRÄCKE</t>
        </is>
      </c>
      <c r="F4586" t="inlineStr">
        <is>
          <t>SCA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42949-2025</t>
        </is>
      </c>
      <c r="B4587" s="1" t="n">
        <v>45908</v>
      </c>
      <c r="C4587" s="1" t="n">
        <v>46045</v>
      </c>
      <c r="D4587" t="inlineStr">
        <is>
          <t>JÄMTLANDS LÄN</t>
        </is>
      </c>
      <c r="E4587" t="inlineStr">
        <is>
          <t>STRÖMSUND</t>
        </is>
      </c>
      <c r="G4587" t="n">
        <v>9.800000000000001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51540-2025</t>
        </is>
      </c>
      <c r="B4588" s="1" t="n">
        <v>45950.69952546297</v>
      </c>
      <c r="C4588" s="1" t="n">
        <v>46045</v>
      </c>
      <c r="D4588" t="inlineStr">
        <is>
          <t>JÄMTLANDS LÄN</t>
        </is>
      </c>
      <c r="E4588" t="inlineStr">
        <is>
          <t>STRÖMSUND</t>
        </is>
      </c>
      <c r="F4588" t="inlineStr">
        <is>
          <t>SCA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53002-2024</t>
        </is>
      </c>
      <c r="B4589" s="1" t="n">
        <v>45611.38759259259</v>
      </c>
      <c r="C4589" s="1" t="n">
        <v>46045</v>
      </c>
      <c r="D4589" t="inlineStr">
        <is>
          <t>JÄMTLANDS LÄN</t>
        </is>
      </c>
      <c r="E4589" t="inlineStr">
        <is>
          <t>HÄRJEDALEN</t>
        </is>
      </c>
      <c r="G4589" t="n">
        <v>7.7</v>
      </c>
      <c r="H4589" t="n">
        <v>0</v>
      </c>
      <c r="I4589" t="n">
        <v>0</v>
      </c>
      <c r="J4589" t="n">
        <v>0</v>
      </c>
      <c r="K4589" t="n">
        <v>0</v>
      </c>
      <c r="L4589" t="n">
        <v>0</v>
      </c>
      <c r="M4589" t="n">
        <v>0</v>
      </c>
      <c r="N4589" t="n">
        <v>0</v>
      </c>
      <c r="O4589" t="n">
        <v>0</v>
      </c>
      <c r="P4589" t="n">
        <v>0</v>
      </c>
      <c r="Q4589" t="n">
        <v>0</v>
      </c>
      <c r="R4589" s="2" t="inlineStr"/>
    </row>
    <row r="4590" ht="15" customHeight="1">
      <c r="A4590" t="inlineStr">
        <is>
          <t>A 20999-2024</t>
        </is>
      </c>
      <c r="B4590" s="1" t="n">
        <v>45439</v>
      </c>
      <c r="C4590" s="1" t="n">
        <v>46045</v>
      </c>
      <c r="D4590" t="inlineStr">
        <is>
          <t>JÄMTLANDS LÄN</t>
        </is>
      </c>
      <c r="E4590" t="inlineStr">
        <is>
          <t>ÅRE</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26302-2024</t>
        </is>
      </c>
      <c r="B4591" s="1" t="n">
        <v>45468.9328587963</v>
      </c>
      <c r="C4591" s="1" t="n">
        <v>46045</v>
      </c>
      <c r="D4591" t="inlineStr">
        <is>
          <t>JÄMTLANDS LÄN</t>
        </is>
      </c>
      <c r="E4591" t="inlineStr">
        <is>
          <t>BRÄCKE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31821-2023</t>
        </is>
      </c>
      <c r="B4592" s="1" t="n">
        <v>45118</v>
      </c>
      <c r="C4592" s="1" t="n">
        <v>46045</v>
      </c>
      <c r="D4592" t="inlineStr">
        <is>
          <t>JÄMTLANDS LÄN</t>
        </is>
      </c>
      <c r="E4592" t="inlineStr">
        <is>
          <t>KROKOM</t>
        </is>
      </c>
      <c r="G4592" t="n">
        <v>0.1</v>
      </c>
      <c r="H4592" t="n">
        <v>0</v>
      </c>
      <c r="I4592" t="n">
        <v>0</v>
      </c>
      <c r="J4592" t="n">
        <v>0</v>
      </c>
      <c r="K4592" t="n">
        <v>0</v>
      </c>
      <c r="L4592" t="n">
        <v>0</v>
      </c>
      <c r="M4592" t="n">
        <v>0</v>
      </c>
      <c r="N4592" t="n">
        <v>0</v>
      </c>
      <c r="O4592" t="n">
        <v>0</v>
      </c>
      <c r="P4592" t="n">
        <v>0</v>
      </c>
      <c r="Q4592" t="n">
        <v>0</v>
      </c>
      <c r="R4592" s="2" t="inlineStr"/>
    </row>
    <row r="4593" ht="15" customHeight="1">
      <c r="A4593" t="inlineStr">
        <is>
          <t>A 3767-2025</t>
        </is>
      </c>
      <c r="B4593" s="1" t="n">
        <v>45681.60203703704</v>
      </c>
      <c r="C4593" s="1" t="n">
        <v>46045</v>
      </c>
      <c r="D4593" t="inlineStr">
        <is>
          <t>JÄMTLANDS LÄN</t>
        </is>
      </c>
      <c r="E4593" t="inlineStr">
        <is>
          <t>RAGUNDA</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3787-2025</t>
        </is>
      </c>
      <c r="B4594" s="1" t="n">
        <v>45681.6362037037</v>
      </c>
      <c r="C4594" s="1" t="n">
        <v>46045</v>
      </c>
      <c r="D4594" t="inlineStr">
        <is>
          <t>JÄMTLANDS LÄN</t>
        </is>
      </c>
      <c r="E4594" t="inlineStr">
        <is>
          <t>BRÄCKE</t>
        </is>
      </c>
      <c r="F4594" t="inlineStr">
        <is>
          <t>SCA</t>
        </is>
      </c>
      <c r="G4594" t="n">
        <v>6.8</v>
      </c>
      <c r="H4594" t="n">
        <v>0</v>
      </c>
      <c r="I4594" t="n">
        <v>0</v>
      </c>
      <c r="J4594" t="n">
        <v>0</v>
      </c>
      <c r="K4594" t="n">
        <v>0</v>
      </c>
      <c r="L4594" t="n">
        <v>0</v>
      </c>
      <c r="M4594" t="n">
        <v>0</v>
      </c>
      <c r="N4594" t="n">
        <v>0</v>
      </c>
      <c r="O4594" t="n">
        <v>0</v>
      </c>
      <c r="P4594" t="n">
        <v>0</v>
      </c>
      <c r="Q4594" t="n">
        <v>0</v>
      </c>
      <c r="R4594" s="2" t="inlineStr"/>
    </row>
    <row r="4595" ht="15" customHeight="1">
      <c r="A4595" t="inlineStr">
        <is>
          <t>A 53396-2022</t>
        </is>
      </c>
      <c r="B4595" s="1" t="n">
        <v>44879.43427083334</v>
      </c>
      <c r="C4595" s="1" t="n">
        <v>46045</v>
      </c>
      <c r="D4595" t="inlineStr">
        <is>
          <t>JÄMTLANDS LÄN</t>
        </is>
      </c>
      <c r="E4595" t="inlineStr">
        <is>
          <t>STRÖMSUND</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8326-2025</t>
        </is>
      </c>
      <c r="B4596" s="1" t="n">
        <v>45708.6365162037</v>
      </c>
      <c r="C4596" s="1" t="n">
        <v>46045</v>
      </c>
      <c r="D4596" t="inlineStr">
        <is>
          <t>JÄMTLANDS LÄN</t>
        </is>
      </c>
      <c r="E4596" t="inlineStr">
        <is>
          <t>STRÖMSUND</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42445-2025</t>
        </is>
      </c>
      <c r="B4597" s="1" t="n">
        <v>45905.4375</v>
      </c>
      <c r="C4597" s="1" t="n">
        <v>46045</v>
      </c>
      <c r="D4597" t="inlineStr">
        <is>
          <t>JÄMTLANDS LÄN</t>
        </is>
      </c>
      <c r="E4597" t="inlineStr">
        <is>
          <t>KROKOM</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45113-2024</t>
        </is>
      </c>
      <c r="B4598" s="1" t="n">
        <v>45575.59709490741</v>
      </c>
      <c r="C4598" s="1" t="n">
        <v>46045</v>
      </c>
      <c r="D4598" t="inlineStr">
        <is>
          <t>JÄMTLANDS LÄN</t>
        </is>
      </c>
      <c r="E4598" t="inlineStr">
        <is>
          <t>ÅRE</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45120-2024</t>
        </is>
      </c>
      <c r="B4599" s="1" t="n">
        <v>45575.60996527778</v>
      </c>
      <c r="C4599" s="1" t="n">
        <v>46045</v>
      </c>
      <c r="D4599" t="inlineStr">
        <is>
          <t>JÄMTLANDS LÄN</t>
        </is>
      </c>
      <c r="E4599" t="inlineStr">
        <is>
          <t>HÄRJEDALEN</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54571-2021</t>
        </is>
      </c>
      <c r="B4600" s="1" t="n">
        <v>44473</v>
      </c>
      <c r="C4600" s="1" t="n">
        <v>46045</v>
      </c>
      <c r="D4600" t="inlineStr">
        <is>
          <t>JÄMTLANDS LÄN</t>
        </is>
      </c>
      <c r="E4600" t="inlineStr">
        <is>
          <t>BRÄCKE</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54763-2024</t>
        </is>
      </c>
      <c r="B4601" s="1" t="n">
        <v>45618.46903935185</v>
      </c>
      <c r="C4601" s="1" t="n">
        <v>46045</v>
      </c>
      <c r="D4601" t="inlineStr">
        <is>
          <t>JÄMTLANDS LÄN</t>
        </is>
      </c>
      <c r="E4601" t="inlineStr">
        <is>
          <t>STRÖMSUND</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47727-2023</t>
        </is>
      </c>
      <c r="B4602" s="1" t="n">
        <v>45203</v>
      </c>
      <c r="C4602" s="1" t="n">
        <v>46045</v>
      </c>
      <c r="D4602" t="inlineStr">
        <is>
          <t>JÄMTLANDS LÄN</t>
        </is>
      </c>
      <c r="E4602" t="inlineStr">
        <is>
          <t>ÖSTERSUND</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46447-2024</t>
        </is>
      </c>
      <c r="B4603" s="1" t="n">
        <v>45582.49792824074</v>
      </c>
      <c r="C4603" s="1" t="n">
        <v>46045</v>
      </c>
      <c r="D4603" t="inlineStr">
        <is>
          <t>JÄMTLANDS LÄN</t>
        </is>
      </c>
      <c r="E4603" t="inlineStr">
        <is>
          <t>HÄRJEDALEN</t>
        </is>
      </c>
      <c r="F4603" t="inlineStr">
        <is>
          <t>Bergvik skog väst AB</t>
        </is>
      </c>
      <c r="G4603" t="n">
        <v>19.2</v>
      </c>
      <c r="H4603" t="n">
        <v>0</v>
      </c>
      <c r="I4603" t="n">
        <v>0</v>
      </c>
      <c r="J4603" t="n">
        <v>0</v>
      </c>
      <c r="K4603" t="n">
        <v>0</v>
      </c>
      <c r="L4603" t="n">
        <v>0</v>
      </c>
      <c r="M4603" t="n">
        <v>0</v>
      </c>
      <c r="N4603" t="n">
        <v>0</v>
      </c>
      <c r="O4603" t="n">
        <v>0</v>
      </c>
      <c r="P4603" t="n">
        <v>0</v>
      </c>
      <c r="Q4603" t="n">
        <v>0</v>
      </c>
      <c r="R4603" s="2" t="inlineStr"/>
    </row>
    <row r="4604" ht="15" customHeight="1">
      <c r="A4604" t="inlineStr">
        <is>
          <t>A 3186-2025</t>
        </is>
      </c>
      <c r="B4604" s="1" t="n">
        <v>45679.40362268518</v>
      </c>
      <c r="C4604" s="1" t="n">
        <v>46045</v>
      </c>
      <c r="D4604" t="inlineStr">
        <is>
          <t>JÄMTLANDS LÄN</t>
        </is>
      </c>
      <c r="E4604" t="inlineStr">
        <is>
          <t>RAGUNDA</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39051-2023</t>
        </is>
      </c>
      <c r="B4605" s="1" t="n">
        <v>45163</v>
      </c>
      <c r="C4605" s="1" t="n">
        <v>46045</v>
      </c>
      <c r="D4605" t="inlineStr">
        <is>
          <t>JÄMTLANDS LÄN</t>
        </is>
      </c>
      <c r="E4605" t="inlineStr">
        <is>
          <t>STRÖMSUND</t>
        </is>
      </c>
      <c r="F4605" t="inlineStr">
        <is>
          <t>SCA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42773-2025</t>
        </is>
      </c>
      <c r="B4606" s="1" t="n">
        <v>45908.48638888889</v>
      </c>
      <c r="C4606" s="1" t="n">
        <v>46045</v>
      </c>
      <c r="D4606" t="inlineStr">
        <is>
          <t>JÄMTLANDS LÄN</t>
        </is>
      </c>
      <c r="E4606" t="inlineStr">
        <is>
          <t>HÄRJEDALEN</t>
        </is>
      </c>
      <c r="F4606" t="inlineStr">
        <is>
          <t>Holmen skog AB</t>
        </is>
      </c>
      <c r="G4606" t="n">
        <v>13.2</v>
      </c>
      <c r="H4606" t="n">
        <v>0</v>
      </c>
      <c r="I4606" t="n">
        <v>0</v>
      </c>
      <c r="J4606" t="n">
        <v>0</v>
      </c>
      <c r="K4606" t="n">
        <v>0</v>
      </c>
      <c r="L4606" t="n">
        <v>0</v>
      </c>
      <c r="M4606" t="n">
        <v>0</v>
      </c>
      <c r="N4606" t="n">
        <v>0</v>
      </c>
      <c r="O4606" t="n">
        <v>0</v>
      </c>
      <c r="P4606" t="n">
        <v>0</v>
      </c>
      <c r="Q4606" t="n">
        <v>0</v>
      </c>
      <c r="R4606" s="2" t="inlineStr"/>
      <c r="U4606">
        <f>HYPERLINK("https://klasma.github.io/Logging_2361/knärot/A 42773-2025 karta knärot.png", "A 42773-2025")</f>
        <v/>
      </c>
      <c r="V4606">
        <f>HYPERLINK("https://klasma.github.io/Logging_2361/klagomål/A 42773-2025 FSC-klagomål.docx", "A 42773-2025")</f>
        <v/>
      </c>
      <c r="W4606">
        <f>HYPERLINK("https://klasma.github.io/Logging_2361/klagomålsmail/A 42773-2025 FSC-klagomål mail.docx", "A 42773-2025")</f>
        <v/>
      </c>
      <c r="X4606">
        <f>HYPERLINK("https://klasma.github.io/Logging_2361/tillsyn/A 42773-2025 tillsynsbegäran.docx", "A 42773-2025")</f>
        <v/>
      </c>
      <c r="Y4606">
        <f>HYPERLINK("https://klasma.github.io/Logging_2361/tillsynsmail/A 42773-2025 tillsynsbegäran mail.docx", "A 42773-2025")</f>
        <v/>
      </c>
    </row>
    <row r="4607" ht="15" customHeight="1">
      <c r="A4607" t="inlineStr">
        <is>
          <t>A 40578-2023</t>
        </is>
      </c>
      <c r="B4607" s="1" t="n">
        <v>45170.46923611111</v>
      </c>
      <c r="C4607" s="1" t="n">
        <v>46045</v>
      </c>
      <c r="D4607" t="inlineStr">
        <is>
          <t>JÄMTLANDS LÄN</t>
        </is>
      </c>
      <c r="E4607" t="inlineStr">
        <is>
          <t>HÄRJEDALEN</t>
        </is>
      </c>
      <c r="F4607" t="inlineStr">
        <is>
          <t>Holmen skog AB</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43558-2023</t>
        </is>
      </c>
      <c r="B4608" s="1" t="n">
        <v>45181</v>
      </c>
      <c r="C4608" s="1" t="n">
        <v>46045</v>
      </c>
      <c r="D4608" t="inlineStr">
        <is>
          <t>JÄMTLANDS LÄN</t>
        </is>
      </c>
      <c r="E4608" t="inlineStr">
        <is>
          <t>STRÖMSUND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43565-2023</t>
        </is>
      </c>
      <c r="B4609" s="1" t="n">
        <v>45181</v>
      </c>
      <c r="C4609" s="1" t="n">
        <v>46045</v>
      </c>
      <c r="D4609" t="inlineStr">
        <is>
          <t>JÄMTLANDS LÄN</t>
        </is>
      </c>
      <c r="E4609" t="inlineStr">
        <is>
          <t>STRÖMSUND</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42816-2025</t>
        </is>
      </c>
      <c r="B4610" s="1" t="n">
        <v>45908.56461805556</v>
      </c>
      <c r="C4610" s="1" t="n">
        <v>46045</v>
      </c>
      <c r="D4610" t="inlineStr">
        <is>
          <t>JÄMTLANDS LÄN</t>
        </is>
      </c>
      <c r="E4610" t="inlineStr">
        <is>
          <t>HÄRJEDALEN</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42659-2025</t>
        </is>
      </c>
      <c r="B4611" s="1" t="n">
        <v>45907.56715277778</v>
      </c>
      <c r="C4611" s="1" t="n">
        <v>46045</v>
      </c>
      <c r="D4611" t="inlineStr">
        <is>
          <t>JÄMTLANDS LÄN</t>
        </is>
      </c>
      <c r="E4611" t="inlineStr">
        <is>
          <t>BRÄCKE</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49875-2024</t>
        </is>
      </c>
      <c r="B4612" s="1" t="n">
        <v>45597.49638888889</v>
      </c>
      <c r="C4612" s="1" t="n">
        <v>46045</v>
      </c>
      <c r="D4612" t="inlineStr">
        <is>
          <t>JÄMTLANDS LÄN</t>
        </is>
      </c>
      <c r="E4612" t="inlineStr">
        <is>
          <t>KROKOM</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56480-2023</t>
        </is>
      </c>
      <c r="B4613" s="1" t="n">
        <v>45237</v>
      </c>
      <c r="C4613" s="1" t="n">
        <v>46045</v>
      </c>
      <c r="D4613" t="inlineStr">
        <is>
          <t>JÄMTLANDS LÄN</t>
        </is>
      </c>
      <c r="E4613" t="inlineStr">
        <is>
          <t>STRÖMSUND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42605-2025</t>
        </is>
      </c>
      <c r="B4614" s="1" t="n">
        <v>45905.67454861111</v>
      </c>
      <c r="C4614" s="1" t="n">
        <v>46045</v>
      </c>
      <c r="D4614" t="inlineStr">
        <is>
          <t>JÄMTLANDS LÄN</t>
        </is>
      </c>
      <c r="E4614" t="inlineStr">
        <is>
          <t>HÄRJEDALEN</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22003-2025</t>
        </is>
      </c>
      <c r="B4615" s="1" t="n">
        <v>45784</v>
      </c>
      <c r="C4615" s="1" t="n">
        <v>46045</v>
      </c>
      <c r="D4615" t="inlineStr">
        <is>
          <t>JÄMTLANDS LÄN</t>
        </is>
      </c>
      <c r="E4615" t="inlineStr">
        <is>
          <t>STRÖMSUND</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28191-2024</t>
        </is>
      </c>
      <c r="B4616" s="1" t="n">
        <v>45477.32728009259</v>
      </c>
      <c r="C4616" s="1" t="n">
        <v>46045</v>
      </c>
      <c r="D4616" t="inlineStr">
        <is>
          <t>JÄMTLANDS LÄN</t>
        </is>
      </c>
      <c r="E4616" t="inlineStr">
        <is>
          <t>KROKOM</t>
        </is>
      </c>
      <c r="F4616" t="inlineStr">
        <is>
          <t>Övriga Aktiebolag</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35375-2022</t>
        </is>
      </c>
      <c r="B4617" s="1" t="n">
        <v>44798</v>
      </c>
      <c r="C4617" s="1" t="n">
        <v>46045</v>
      </c>
      <c r="D4617" t="inlineStr">
        <is>
          <t>JÄMTLANDS LÄN</t>
        </is>
      </c>
      <c r="E4617" t="inlineStr">
        <is>
          <t>STRÖMSUND</t>
        </is>
      </c>
      <c r="F4617" t="inlineStr">
        <is>
          <t>Kommuner</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1308-2025</t>
        </is>
      </c>
      <c r="B4618" s="1" t="n">
        <v>45667.55239583334</v>
      </c>
      <c r="C4618" s="1" t="n">
        <v>46045</v>
      </c>
      <c r="D4618" t="inlineStr">
        <is>
          <t>JÄMTLANDS LÄN</t>
        </is>
      </c>
      <c r="E4618" t="inlineStr">
        <is>
          <t>RAGUNDA</t>
        </is>
      </c>
      <c r="F4618" t="inlineStr">
        <is>
          <t>SCA</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33763-2025</t>
        </is>
      </c>
      <c r="B4619" s="1" t="n">
        <v>45842.38579861111</v>
      </c>
      <c r="C4619" s="1" t="n">
        <v>46045</v>
      </c>
      <c r="D4619" t="inlineStr">
        <is>
          <t>JÄMTLANDS LÄN</t>
        </is>
      </c>
      <c r="E4619" t="inlineStr">
        <is>
          <t>RAGUNDA</t>
        </is>
      </c>
      <c r="F4619" t="inlineStr">
        <is>
          <t>SCA</t>
        </is>
      </c>
      <c r="G4619" t="n">
        <v>13.4</v>
      </c>
      <c r="H4619" t="n">
        <v>0</v>
      </c>
      <c r="I4619" t="n">
        <v>0</v>
      </c>
      <c r="J4619" t="n">
        <v>0</v>
      </c>
      <c r="K4619" t="n">
        <v>0</v>
      </c>
      <c r="L4619" t="n">
        <v>0</v>
      </c>
      <c r="M4619" t="n">
        <v>0</v>
      </c>
      <c r="N4619" t="n">
        <v>0</v>
      </c>
      <c r="O4619" t="n">
        <v>0</v>
      </c>
      <c r="P4619" t="n">
        <v>0</v>
      </c>
      <c r="Q4619" t="n">
        <v>0</v>
      </c>
      <c r="R4619" s="2" t="inlineStr"/>
    </row>
    <row r="4620" ht="15" customHeight="1">
      <c r="A4620" t="inlineStr">
        <is>
          <t>A 31026-2025</t>
        </is>
      </c>
      <c r="B4620" s="1" t="n">
        <v>45832</v>
      </c>
      <c r="C4620" s="1" t="n">
        <v>46045</v>
      </c>
      <c r="D4620" t="inlineStr">
        <is>
          <t>JÄMTLANDS LÄN</t>
        </is>
      </c>
      <c r="E4620" t="inlineStr">
        <is>
          <t>KROKOM</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36099-2025</t>
        </is>
      </c>
      <c r="B4621" s="1" t="n">
        <v>45866.51630787037</v>
      </c>
      <c r="C4621" s="1" t="n">
        <v>46045</v>
      </c>
      <c r="D4621" t="inlineStr">
        <is>
          <t>JÄMTLANDS LÄN</t>
        </is>
      </c>
      <c r="E4621" t="inlineStr">
        <is>
          <t>ÖSTERSUND</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54805-2024</t>
        </is>
      </c>
      <c r="B4622" s="1" t="n">
        <v>45618.51116898148</v>
      </c>
      <c r="C4622" s="1" t="n">
        <v>46045</v>
      </c>
      <c r="D4622" t="inlineStr">
        <is>
          <t>JÄMTLANDS LÄN</t>
        </is>
      </c>
      <c r="E4622" t="inlineStr">
        <is>
          <t>STRÖMSUND</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55325-2024</t>
        </is>
      </c>
      <c r="B4623" s="1" t="n">
        <v>45621</v>
      </c>
      <c r="C4623" s="1" t="n">
        <v>46045</v>
      </c>
      <c r="D4623" t="inlineStr">
        <is>
          <t>JÄMTLANDS LÄN</t>
        </is>
      </c>
      <c r="E4623" t="inlineStr">
        <is>
          <t>STRÖMSUND</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5680-2025</t>
        </is>
      </c>
      <c r="B4624" s="1" t="n">
        <v>45694.34268518518</v>
      </c>
      <c r="C4624" s="1" t="n">
        <v>46045</v>
      </c>
      <c r="D4624" t="inlineStr">
        <is>
          <t>JÄMTLANDS LÄN</t>
        </is>
      </c>
      <c r="E4624" t="inlineStr">
        <is>
          <t>KROKOM</t>
        </is>
      </c>
      <c r="F4624" t="inlineStr">
        <is>
          <t>Övriga Aktiebolag</t>
        </is>
      </c>
      <c r="G4624" t="n">
        <v>48.4</v>
      </c>
      <c r="H4624" t="n">
        <v>0</v>
      </c>
      <c r="I4624" t="n">
        <v>0</v>
      </c>
      <c r="J4624" t="n">
        <v>0</v>
      </c>
      <c r="K4624" t="n">
        <v>0</v>
      </c>
      <c r="L4624" t="n">
        <v>0</v>
      </c>
      <c r="M4624" t="n">
        <v>0</v>
      </c>
      <c r="N4624" t="n">
        <v>0</v>
      </c>
      <c r="O4624" t="n">
        <v>0</v>
      </c>
      <c r="P4624" t="n">
        <v>0</v>
      </c>
      <c r="Q4624" t="n">
        <v>0</v>
      </c>
      <c r="R4624" s="2" t="inlineStr"/>
    </row>
    <row r="4625" ht="15" customHeight="1">
      <c r="A4625" t="inlineStr">
        <is>
          <t>A 31024-2025</t>
        </is>
      </c>
      <c r="B4625" s="1" t="n">
        <v>45832.52571759259</v>
      </c>
      <c r="C4625" s="1" t="n">
        <v>46045</v>
      </c>
      <c r="D4625" t="inlineStr">
        <is>
          <t>JÄMTLANDS LÄN</t>
        </is>
      </c>
      <c r="E4625" t="inlineStr">
        <is>
          <t>BERG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35896-2023</t>
        </is>
      </c>
      <c r="B4626" s="1" t="n">
        <v>45148</v>
      </c>
      <c r="C4626" s="1" t="n">
        <v>46045</v>
      </c>
      <c r="D4626" t="inlineStr">
        <is>
          <t>JÄMTLANDS LÄN</t>
        </is>
      </c>
      <c r="E4626" t="inlineStr">
        <is>
          <t>BRÄCKE</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49303-2024</t>
        </is>
      </c>
      <c r="B4627" s="1" t="n">
        <v>45595</v>
      </c>
      <c r="C4627" s="1" t="n">
        <v>46045</v>
      </c>
      <c r="D4627" t="inlineStr">
        <is>
          <t>JÄMTLANDS LÄN</t>
        </is>
      </c>
      <c r="E4627" t="inlineStr">
        <is>
          <t>ÅRE</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56896-2021</t>
        </is>
      </c>
      <c r="B4628" s="1" t="n">
        <v>44481.92091435185</v>
      </c>
      <c r="C4628" s="1" t="n">
        <v>46045</v>
      </c>
      <c r="D4628" t="inlineStr">
        <is>
          <t>JÄMTLANDS LÄN</t>
        </is>
      </c>
      <c r="E4628" t="inlineStr">
        <is>
          <t>BRÄCKE</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24655-2023</t>
        </is>
      </c>
      <c r="B4629" s="1" t="n">
        <v>45084.47790509259</v>
      </c>
      <c r="C4629" s="1" t="n">
        <v>46045</v>
      </c>
      <c r="D4629" t="inlineStr">
        <is>
          <t>JÄMTLANDS LÄN</t>
        </is>
      </c>
      <c r="E4629" t="inlineStr">
        <is>
          <t>ÅRE</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47746-2024</t>
        </is>
      </c>
      <c r="B4630" s="1" t="n">
        <v>45588.53438657407</v>
      </c>
      <c r="C4630" s="1" t="n">
        <v>46045</v>
      </c>
      <c r="D4630" t="inlineStr">
        <is>
          <t>JÄMTLANDS LÄN</t>
        </is>
      </c>
      <c r="E4630" t="inlineStr">
        <is>
          <t>BRÄCKE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20798-2025</t>
        </is>
      </c>
      <c r="B4631" s="1" t="n">
        <v>45776</v>
      </c>
      <c r="C4631" s="1" t="n">
        <v>46045</v>
      </c>
      <c r="D4631" t="inlineStr">
        <is>
          <t>JÄMTLANDS LÄN</t>
        </is>
      </c>
      <c r="E4631" t="inlineStr">
        <is>
          <t>KROKOM</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47850-2023</t>
        </is>
      </c>
      <c r="B4632" s="1" t="n">
        <v>45204.40770833333</v>
      </c>
      <c r="C4632" s="1" t="n">
        <v>46045</v>
      </c>
      <c r="D4632" t="inlineStr">
        <is>
          <t>JÄMTLANDS LÄN</t>
        </is>
      </c>
      <c r="E4632" t="inlineStr">
        <is>
          <t>KROKOM</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42493-2025</t>
        </is>
      </c>
      <c r="B4633" s="1" t="n">
        <v>45905.50447916667</v>
      </c>
      <c r="C4633" s="1" t="n">
        <v>46045</v>
      </c>
      <c r="D4633" t="inlineStr">
        <is>
          <t>JÄMTLANDS LÄN</t>
        </is>
      </c>
      <c r="E4633" t="inlineStr">
        <is>
          <t>STRÖMSUND</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26184-2024</t>
        </is>
      </c>
      <c r="B4634" s="1" t="n">
        <v>45467</v>
      </c>
      <c r="C4634" s="1" t="n">
        <v>46045</v>
      </c>
      <c r="D4634" t="inlineStr">
        <is>
          <t>JÄMTLANDS LÄN</t>
        </is>
      </c>
      <c r="E4634" t="inlineStr">
        <is>
          <t>KROKOM</t>
        </is>
      </c>
      <c r="G4634" t="n">
        <v>65.7</v>
      </c>
      <c r="H4634" t="n">
        <v>0</v>
      </c>
      <c r="I4634" t="n">
        <v>0</v>
      </c>
      <c r="J4634" t="n">
        <v>0</v>
      </c>
      <c r="K4634" t="n">
        <v>0</v>
      </c>
      <c r="L4634" t="n">
        <v>0</v>
      </c>
      <c r="M4634" t="n">
        <v>0</v>
      </c>
      <c r="N4634" t="n">
        <v>0</v>
      </c>
      <c r="O4634" t="n">
        <v>0</v>
      </c>
      <c r="P4634" t="n">
        <v>0</v>
      </c>
      <c r="Q4634" t="n">
        <v>0</v>
      </c>
      <c r="R4634" s="2" t="inlineStr"/>
    </row>
    <row r="4635" ht="15" customHeight="1">
      <c r="A4635" t="inlineStr">
        <is>
          <t>A 12669-2023</t>
        </is>
      </c>
      <c r="B4635" s="1" t="n">
        <v>45000</v>
      </c>
      <c r="C4635" s="1" t="n">
        <v>46045</v>
      </c>
      <c r="D4635" t="inlineStr">
        <is>
          <t>JÄMTLANDS LÄN</t>
        </is>
      </c>
      <c r="E4635" t="inlineStr">
        <is>
          <t>ÅRE</t>
        </is>
      </c>
      <c r="F4635" t="inlineStr">
        <is>
          <t>Övriga Aktiebolag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47804-2024</t>
        </is>
      </c>
      <c r="B4636" s="1" t="n">
        <v>45588.61498842593</v>
      </c>
      <c r="C4636" s="1" t="n">
        <v>46045</v>
      </c>
      <c r="D4636" t="inlineStr">
        <is>
          <t>JÄMTLANDS LÄN</t>
        </is>
      </c>
      <c r="E4636" t="inlineStr">
        <is>
          <t>ÖSTERSUND</t>
        </is>
      </c>
      <c r="F4636" t="inlineStr">
        <is>
          <t>SCA</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9980-2025</t>
        </is>
      </c>
      <c r="B4637" s="1" t="n">
        <v>45719.40480324074</v>
      </c>
      <c r="C4637" s="1" t="n">
        <v>46045</v>
      </c>
      <c r="D4637" t="inlineStr">
        <is>
          <t>JÄMTLANDS LÄN</t>
        </is>
      </c>
      <c r="E4637" t="inlineStr">
        <is>
          <t>HÄRJEDALEN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26665-2024</t>
        </is>
      </c>
      <c r="B4638" s="1" t="n">
        <v>45469.95024305556</v>
      </c>
      <c r="C4638" s="1" t="n">
        <v>46045</v>
      </c>
      <c r="D4638" t="inlineStr">
        <is>
          <t>JÄMTLANDS LÄN</t>
        </is>
      </c>
      <c r="E4638" t="inlineStr">
        <is>
          <t>STRÖMSUND</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10533-2025</t>
        </is>
      </c>
      <c r="B4639" s="1" t="n">
        <v>45721.45563657407</v>
      </c>
      <c r="C4639" s="1" t="n">
        <v>46045</v>
      </c>
      <c r="D4639" t="inlineStr">
        <is>
          <t>JÄMTLANDS LÄN</t>
        </is>
      </c>
      <c r="E4639" t="inlineStr">
        <is>
          <t>KROKOM</t>
        </is>
      </c>
      <c r="F4639" t="inlineStr">
        <is>
          <t>SCA</t>
        </is>
      </c>
      <c r="G4639" t="n">
        <v>64.90000000000001</v>
      </c>
      <c r="H4639" t="n">
        <v>0</v>
      </c>
      <c r="I4639" t="n">
        <v>0</v>
      </c>
      <c r="J4639" t="n">
        <v>0</v>
      </c>
      <c r="K4639" t="n">
        <v>0</v>
      </c>
      <c r="L4639" t="n">
        <v>0</v>
      </c>
      <c r="M4639" t="n">
        <v>0</v>
      </c>
      <c r="N4639" t="n">
        <v>0</v>
      </c>
      <c r="O4639" t="n">
        <v>0</v>
      </c>
      <c r="P4639" t="n">
        <v>0</v>
      </c>
      <c r="Q4639" t="n">
        <v>0</v>
      </c>
      <c r="R4639" s="2" t="inlineStr"/>
    </row>
    <row r="4640" ht="15" customHeight="1">
      <c r="A4640" t="inlineStr">
        <is>
          <t>A 20798-2024</t>
        </is>
      </c>
      <c r="B4640" s="1" t="n">
        <v>45438.94798611111</v>
      </c>
      <c r="C4640" s="1" t="n">
        <v>46045</v>
      </c>
      <c r="D4640" t="inlineStr">
        <is>
          <t>JÄMTLANDS LÄN</t>
        </is>
      </c>
      <c r="E4640" t="inlineStr">
        <is>
          <t>BRÄCKE</t>
        </is>
      </c>
      <c r="F4640" t="inlineStr">
        <is>
          <t>SCA</t>
        </is>
      </c>
      <c r="G4640" t="n">
        <v>7.4</v>
      </c>
      <c r="H4640" t="n">
        <v>0</v>
      </c>
      <c r="I4640" t="n">
        <v>0</v>
      </c>
      <c r="J4640" t="n">
        <v>0</v>
      </c>
      <c r="K4640" t="n">
        <v>0</v>
      </c>
      <c r="L4640" t="n">
        <v>0</v>
      </c>
      <c r="M4640" t="n">
        <v>0</v>
      </c>
      <c r="N4640" t="n">
        <v>0</v>
      </c>
      <c r="O4640" t="n">
        <v>0</v>
      </c>
      <c r="P4640" t="n">
        <v>0</v>
      </c>
      <c r="Q4640" t="n">
        <v>0</v>
      </c>
      <c r="R4640" s="2" t="inlineStr"/>
    </row>
    <row r="4641" ht="15" customHeight="1">
      <c r="A4641" t="inlineStr">
        <is>
          <t>A 40094-2023</t>
        </is>
      </c>
      <c r="B4641" s="1" t="n">
        <v>45168</v>
      </c>
      <c r="C4641" s="1" t="n">
        <v>46045</v>
      </c>
      <c r="D4641" t="inlineStr">
        <is>
          <t>JÄMTLANDS LÄN</t>
        </is>
      </c>
      <c r="E4641" t="inlineStr">
        <is>
          <t>BRÄCKE</t>
        </is>
      </c>
      <c r="F4641" t="inlineStr">
        <is>
          <t>SCA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5536-2025</t>
        </is>
      </c>
      <c r="B4642" s="1" t="n">
        <v>45693.44846064815</v>
      </c>
      <c r="C4642" s="1" t="n">
        <v>46045</v>
      </c>
      <c r="D4642" t="inlineStr">
        <is>
          <t>JÄMTLANDS LÄN</t>
        </is>
      </c>
      <c r="E4642" t="inlineStr">
        <is>
          <t>BRÄCKE</t>
        </is>
      </c>
      <c r="F4642" t="inlineStr">
        <is>
          <t>SCA</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5537-2025</t>
        </is>
      </c>
      <c r="B4643" s="1" t="n">
        <v>45693.44858796296</v>
      </c>
      <c r="C4643" s="1" t="n">
        <v>46045</v>
      </c>
      <c r="D4643" t="inlineStr">
        <is>
          <t>JÄMTLANDS LÄN</t>
        </is>
      </c>
      <c r="E4643" t="inlineStr">
        <is>
          <t>BRÄCKE</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42709-2025</t>
        </is>
      </c>
      <c r="B4644" s="1" t="n">
        <v>45908</v>
      </c>
      <c r="C4644" s="1" t="n">
        <v>46045</v>
      </c>
      <c r="D4644" t="inlineStr">
        <is>
          <t>JÄMTLANDS LÄN</t>
        </is>
      </c>
      <c r="E4644" t="inlineStr">
        <is>
          <t>STRÖMSUND</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41262-2021</t>
        </is>
      </c>
      <c r="B4645" s="1" t="n">
        <v>44424</v>
      </c>
      <c r="C4645" s="1" t="n">
        <v>46045</v>
      </c>
      <c r="D4645" t="inlineStr">
        <is>
          <t>JÄMTLANDS LÄN</t>
        </is>
      </c>
      <c r="E4645" t="inlineStr">
        <is>
          <t>RAGUNDA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36371-2023</t>
        </is>
      </c>
      <c r="B4646" s="1" t="n">
        <v>45149</v>
      </c>
      <c r="C4646" s="1" t="n">
        <v>46045</v>
      </c>
      <c r="D4646" t="inlineStr">
        <is>
          <t>JÄMTLANDS LÄN</t>
        </is>
      </c>
      <c r="E4646" t="inlineStr">
        <is>
          <t>RAGUNDA</t>
        </is>
      </c>
      <c r="G4646" t="n">
        <v>25.7</v>
      </c>
      <c r="H4646" t="n">
        <v>0</v>
      </c>
      <c r="I4646" t="n">
        <v>0</v>
      </c>
      <c r="J4646" t="n">
        <v>0</v>
      </c>
      <c r="K4646" t="n">
        <v>0</v>
      </c>
      <c r="L4646" t="n">
        <v>0</v>
      </c>
      <c r="M4646" t="n">
        <v>0</v>
      </c>
      <c r="N4646" t="n">
        <v>0</v>
      </c>
      <c r="O4646" t="n">
        <v>0</v>
      </c>
      <c r="P4646" t="n">
        <v>0</v>
      </c>
      <c r="Q4646" t="n">
        <v>0</v>
      </c>
      <c r="R4646" s="2" t="inlineStr"/>
    </row>
    <row r="4647" ht="15" customHeight="1">
      <c r="A4647" t="inlineStr">
        <is>
          <t>A 42784-2025</t>
        </is>
      </c>
      <c r="B4647" s="1" t="n">
        <v>45908.51035879629</v>
      </c>
      <c r="C4647" s="1" t="n">
        <v>46045</v>
      </c>
      <c r="D4647" t="inlineStr">
        <is>
          <t>JÄMTLANDS LÄN</t>
        </is>
      </c>
      <c r="E4647" t="inlineStr">
        <is>
          <t>BRÄCKE</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53568-2024</t>
        </is>
      </c>
      <c r="B4648" s="1" t="n">
        <v>45614.65925925926</v>
      </c>
      <c r="C4648" s="1" t="n">
        <v>46045</v>
      </c>
      <c r="D4648" t="inlineStr">
        <is>
          <t>JÄMTLANDS LÄN</t>
        </is>
      </c>
      <c r="E4648" t="inlineStr">
        <is>
          <t>KROKOM</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54640-2024</t>
        </is>
      </c>
      <c r="B4649" s="1" t="n">
        <v>45617.89371527778</v>
      </c>
      <c r="C4649" s="1" t="n">
        <v>46045</v>
      </c>
      <c r="D4649" t="inlineStr">
        <is>
          <t>JÄMTLANDS LÄN</t>
        </is>
      </c>
      <c r="E4649" t="inlineStr">
        <is>
          <t>HÄRJEDALEN</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8388-2022</t>
        </is>
      </c>
      <c r="B4650" s="1" t="n">
        <v>44610</v>
      </c>
      <c r="C4650" s="1" t="n">
        <v>46045</v>
      </c>
      <c r="D4650" t="inlineStr">
        <is>
          <t>JÄMTLANDS LÄN</t>
        </is>
      </c>
      <c r="E4650" t="inlineStr">
        <is>
          <t>BERG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33480-2024</t>
        </is>
      </c>
      <c r="B4651" s="1" t="n">
        <v>45519.60965277778</v>
      </c>
      <c r="C4651" s="1" t="n">
        <v>46045</v>
      </c>
      <c r="D4651" t="inlineStr">
        <is>
          <t>JÄMTLANDS LÄN</t>
        </is>
      </c>
      <c r="E4651" t="inlineStr">
        <is>
          <t>KROKOM</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40430-2023</t>
        </is>
      </c>
      <c r="B4652" s="1" t="n">
        <v>45169</v>
      </c>
      <c r="C4652" s="1" t="n">
        <v>46045</v>
      </c>
      <c r="D4652" t="inlineStr">
        <is>
          <t>JÄMTLANDS LÄN</t>
        </is>
      </c>
      <c r="E4652" t="inlineStr">
        <is>
          <t>BRÄCKE</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55115-2024</t>
        </is>
      </c>
      <c r="B4653" s="1" t="n">
        <v>45621</v>
      </c>
      <c r="C4653" s="1" t="n">
        <v>46045</v>
      </c>
      <c r="D4653" t="inlineStr">
        <is>
          <t>JÄMTLANDS LÄN</t>
        </is>
      </c>
      <c r="E4653" t="inlineStr">
        <is>
          <t>HÄRJEDALEN</t>
        </is>
      </c>
      <c r="F4653" t="inlineStr">
        <is>
          <t>Sveaskog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36921-2023</t>
        </is>
      </c>
      <c r="B4654" s="1" t="n">
        <v>45154</v>
      </c>
      <c r="C4654" s="1" t="n">
        <v>46045</v>
      </c>
      <c r="D4654" t="inlineStr">
        <is>
          <t>JÄMTLANDS LÄN</t>
        </is>
      </c>
      <c r="E4654" t="inlineStr">
        <is>
          <t>HÄRJEDALEN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57102-2024</t>
        </is>
      </c>
      <c r="B4655" s="1" t="n">
        <v>45629.35856481481</v>
      </c>
      <c r="C4655" s="1" t="n">
        <v>46045</v>
      </c>
      <c r="D4655" t="inlineStr">
        <is>
          <t>JÄMTLANDS LÄN</t>
        </is>
      </c>
      <c r="E4655" t="inlineStr">
        <is>
          <t>ÅRE</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30064-2024</t>
        </is>
      </c>
      <c r="B4656" s="1" t="n">
        <v>45488.94849537037</v>
      </c>
      <c r="C4656" s="1" t="n">
        <v>46045</v>
      </c>
      <c r="D4656" t="inlineStr">
        <is>
          <t>JÄMTLANDS LÄN</t>
        </is>
      </c>
      <c r="E4656" t="inlineStr">
        <is>
          <t>STRÖMSUND</t>
        </is>
      </c>
      <c r="F4656" t="inlineStr">
        <is>
          <t>SCA</t>
        </is>
      </c>
      <c r="G4656" t="n">
        <v>10.2</v>
      </c>
      <c r="H4656" t="n">
        <v>0</v>
      </c>
      <c r="I4656" t="n">
        <v>0</v>
      </c>
      <c r="J4656" t="n">
        <v>0</v>
      </c>
      <c r="K4656" t="n">
        <v>0</v>
      </c>
      <c r="L4656" t="n">
        <v>0</v>
      </c>
      <c r="M4656" t="n">
        <v>0</v>
      </c>
      <c r="N4656" t="n">
        <v>0</v>
      </c>
      <c r="O4656" t="n">
        <v>0</v>
      </c>
      <c r="P4656" t="n">
        <v>0</v>
      </c>
      <c r="Q4656" t="n">
        <v>0</v>
      </c>
      <c r="R4656" s="2" t="inlineStr"/>
    </row>
    <row r="4657" ht="15" customHeight="1">
      <c r="A4657" t="inlineStr">
        <is>
          <t>A 30065-2024</t>
        </is>
      </c>
      <c r="B4657" s="1" t="n">
        <v>45488.94857638889</v>
      </c>
      <c r="C4657" s="1" t="n">
        <v>46045</v>
      </c>
      <c r="D4657" t="inlineStr">
        <is>
          <t>JÄMTLANDS LÄN</t>
        </is>
      </c>
      <c r="E4657" t="inlineStr">
        <is>
          <t>KROKOM</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12722-2025</t>
        </is>
      </c>
      <c r="B4658" s="1" t="n">
        <v>45733.48998842593</v>
      </c>
      <c r="C4658" s="1" t="n">
        <v>46045</v>
      </c>
      <c r="D4658" t="inlineStr">
        <is>
          <t>JÄMTLANDS LÄN</t>
        </is>
      </c>
      <c r="E4658" t="inlineStr">
        <is>
          <t>BRÄCKE</t>
        </is>
      </c>
      <c r="F4658" t="inlineStr">
        <is>
          <t>SCA</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27799-2024</t>
        </is>
      </c>
      <c r="B4659" s="1" t="n">
        <v>45475.56605324074</v>
      </c>
      <c r="C4659" s="1" t="n">
        <v>46045</v>
      </c>
      <c r="D4659" t="inlineStr">
        <is>
          <t>JÄMTLANDS LÄN</t>
        </is>
      </c>
      <c r="E4659" t="inlineStr">
        <is>
          <t>BRÄCKE</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42379-2025</t>
        </is>
      </c>
      <c r="B4660" s="1" t="n">
        <v>45905.34443287037</v>
      </c>
      <c r="C4660" s="1" t="n">
        <v>46045</v>
      </c>
      <c r="D4660" t="inlineStr">
        <is>
          <t>JÄMTLANDS LÄN</t>
        </is>
      </c>
      <c r="E4660" t="inlineStr">
        <is>
          <t>BRÄCKE</t>
        </is>
      </c>
      <c r="F4660" t="inlineStr">
        <is>
          <t>SCA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64163-2023</t>
        </is>
      </c>
      <c r="B4661" s="1" t="n">
        <v>45279</v>
      </c>
      <c r="C4661" s="1" t="n">
        <v>46045</v>
      </c>
      <c r="D4661" t="inlineStr">
        <is>
          <t>JÄMTLANDS LÄN</t>
        </is>
      </c>
      <c r="E4661" t="inlineStr">
        <is>
          <t>KROKOM</t>
        </is>
      </c>
      <c r="G4661" t="n">
        <v>15.8</v>
      </c>
      <c r="H4661" t="n">
        <v>0</v>
      </c>
      <c r="I4661" t="n">
        <v>0</v>
      </c>
      <c r="J4661" t="n">
        <v>0</v>
      </c>
      <c r="K4661" t="n">
        <v>0</v>
      </c>
      <c r="L4661" t="n">
        <v>0</v>
      </c>
      <c r="M4661" t="n">
        <v>0</v>
      </c>
      <c r="N4661" t="n">
        <v>0</v>
      </c>
      <c r="O4661" t="n">
        <v>0</v>
      </c>
      <c r="P4661" t="n">
        <v>0</v>
      </c>
      <c r="Q4661" t="n">
        <v>0</v>
      </c>
      <c r="R4661" s="2" t="inlineStr"/>
    </row>
    <row r="4662" ht="15" customHeight="1">
      <c r="A4662" t="inlineStr">
        <is>
          <t>A 9996-2025</t>
        </is>
      </c>
      <c r="B4662" s="1" t="n">
        <v>45719.44133101852</v>
      </c>
      <c r="C4662" s="1" t="n">
        <v>46045</v>
      </c>
      <c r="D4662" t="inlineStr">
        <is>
          <t>JÄMTLANDS LÄN</t>
        </is>
      </c>
      <c r="E4662" t="inlineStr">
        <is>
          <t>BRÄCKE</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10002-2025</t>
        </is>
      </c>
      <c r="B4663" s="1" t="n">
        <v>45719.45215277778</v>
      </c>
      <c r="C4663" s="1" t="n">
        <v>46045</v>
      </c>
      <c r="D4663" t="inlineStr">
        <is>
          <t>JÄMTLANDS LÄN</t>
        </is>
      </c>
      <c r="E4663" t="inlineStr">
        <is>
          <t>HÄRJEDALEN</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60667-2022</t>
        </is>
      </c>
      <c r="B4664" s="1" t="n">
        <v>44911</v>
      </c>
      <c r="C4664" s="1" t="n">
        <v>46045</v>
      </c>
      <c r="D4664" t="inlineStr">
        <is>
          <t>JÄMTLANDS LÄN</t>
        </is>
      </c>
      <c r="E4664" t="inlineStr">
        <is>
          <t>STRÖMSUND</t>
        </is>
      </c>
      <c r="F4664" t="inlineStr">
        <is>
          <t>SCA</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35385-2023</t>
        </is>
      </c>
      <c r="B4665" s="1" t="n">
        <v>45145</v>
      </c>
      <c r="C4665" s="1" t="n">
        <v>46045</v>
      </c>
      <c r="D4665" t="inlineStr">
        <is>
          <t>JÄMTLANDS LÄN</t>
        </is>
      </c>
      <c r="E4665" t="inlineStr">
        <is>
          <t>STRÖMSUND</t>
        </is>
      </c>
      <c r="G4665" t="n">
        <v>29.8</v>
      </c>
      <c r="H4665" t="n">
        <v>0</v>
      </c>
      <c r="I4665" t="n">
        <v>0</v>
      </c>
      <c r="J4665" t="n">
        <v>0</v>
      </c>
      <c r="K4665" t="n">
        <v>0</v>
      </c>
      <c r="L4665" t="n">
        <v>0</v>
      </c>
      <c r="M4665" t="n">
        <v>0</v>
      </c>
      <c r="N4665" t="n">
        <v>0</v>
      </c>
      <c r="O4665" t="n">
        <v>0</v>
      </c>
      <c r="P4665" t="n">
        <v>0</v>
      </c>
      <c r="Q4665" t="n">
        <v>0</v>
      </c>
      <c r="R4665" s="2" t="inlineStr"/>
    </row>
    <row r="4666" ht="15" customHeight="1">
      <c r="A4666" t="inlineStr">
        <is>
          <t>A 51579-2024</t>
        </is>
      </c>
      <c r="B4666" s="1" t="n">
        <v>45604.63575231482</v>
      </c>
      <c r="C4666" s="1" t="n">
        <v>46045</v>
      </c>
      <c r="D4666" t="inlineStr">
        <is>
          <t>JÄMTLANDS LÄN</t>
        </is>
      </c>
      <c r="E4666" t="inlineStr">
        <is>
          <t>RAGUNDA</t>
        </is>
      </c>
      <c r="F4666" t="inlineStr">
        <is>
          <t>SCA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1255-2025</t>
        </is>
      </c>
      <c r="B4667" s="1" t="n">
        <v>45667.46922453704</v>
      </c>
      <c r="C4667" s="1" t="n">
        <v>46045</v>
      </c>
      <c r="D4667" t="inlineStr">
        <is>
          <t>JÄMTLANDS LÄN</t>
        </is>
      </c>
      <c r="E4667" t="inlineStr">
        <is>
          <t>ÖSTERSUND</t>
        </is>
      </c>
      <c r="F4667" t="inlineStr">
        <is>
          <t>SCA</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36226-2023</t>
        </is>
      </c>
      <c r="B4668" s="1" t="n">
        <v>45149.95372685185</v>
      </c>
      <c r="C4668" s="1" t="n">
        <v>46045</v>
      </c>
      <c r="D4668" t="inlineStr">
        <is>
          <t>JÄMTLANDS LÄN</t>
        </is>
      </c>
      <c r="E4668" t="inlineStr">
        <is>
          <t>RAGUNDA</t>
        </is>
      </c>
      <c r="F4668" t="inlineStr">
        <is>
          <t>SCA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55690-2024</t>
        </is>
      </c>
      <c r="B4669" s="1" t="n">
        <v>45622.67746527777</v>
      </c>
      <c r="C4669" s="1" t="n">
        <v>46045</v>
      </c>
      <c r="D4669" t="inlineStr">
        <is>
          <t>JÄMTLANDS LÄN</t>
        </is>
      </c>
      <c r="E4669" t="inlineStr">
        <is>
          <t>STRÖMSUND</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61149-2023</t>
        </is>
      </c>
      <c r="B4670" s="1" t="n">
        <v>45261.96777777778</v>
      </c>
      <c r="C4670" s="1" t="n">
        <v>46045</v>
      </c>
      <c r="D4670" t="inlineStr">
        <is>
          <t>JÄMTLANDS LÄN</t>
        </is>
      </c>
      <c r="E4670" t="inlineStr">
        <is>
          <t>BRÄCKE</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42547-2025</t>
        </is>
      </c>
      <c r="B4671" s="1" t="n">
        <v>45905.58885416666</v>
      </c>
      <c r="C4671" s="1" t="n">
        <v>46045</v>
      </c>
      <c r="D4671" t="inlineStr">
        <is>
          <t>JÄMTLANDS LÄN</t>
        </is>
      </c>
      <c r="E4671" t="inlineStr">
        <is>
          <t>STRÖMSUND</t>
        </is>
      </c>
      <c r="G4671" t="n">
        <v>12.6</v>
      </c>
      <c r="H4671" t="n">
        <v>0</v>
      </c>
      <c r="I4671" t="n">
        <v>0</v>
      </c>
      <c r="J4671" t="n">
        <v>0</v>
      </c>
      <c r="K4671" t="n">
        <v>0</v>
      </c>
      <c r="L4671" t="n">
        <v>0</v>
      </c>
      <c r="M4671" t="n">
        <v>0</v>
      </c>
      <c r="N4671" t="n">
        <v>0</v>
      </c>
      <c r="O4671" t="n">
        <v>0</v>
      </c>
      <c r="P4671" t="n">
        <v>0</v>
      </c>
      <c r="Q4671" t="n">
        <v>0</v>
      </c>
      <c r="R4671" s="2" t="inlineStr"/>
    </row>
    <row r="4672" ht="15" customHeight="1">
      <c r="A4672" t="inlineStr">
        <is>
          <t>A 51601-2024</t>
        </is>
      </c>
      <c r="B4672" s="1" t="n">
        <v>45604.66936342593</v>
      </c>
      <c r="C4672" s="1" t="n">
        <v>46045</v>
      </c>
      <c r="D4672" t="inlineStr">
        <is>
          <t>JÄMTLANDS LÄN</t>
        </is>
      </c>
      <c r="E4672" t="inlineStr">
        <is>
          <t>HÄRJEDALEN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10306-2023</t>
        </is>
      </c>
      <c r="B4673" s="1" t="n">
        <v>44986.94196759259</v>
      </c>
      <c r="C4673" s="1" t="n">
        <v>46045</v>
      </c>
      <c r="D4673" t="inlineStr">
        <is>
          <t>JÄMTLANDS LÄN</t>
        </is>
      </c>
      <c r="E4673" t="inlineStr">
        <is>
          <t>ÖSTERSUND</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10309-2023</t>
        </is>
      </c>
      <c r="B4674" s="1" t="n">
        <v>44986</v>
      </c>
      <c r="C4674" s="1" t="n">
        <v>46045</v>
      </c>
      <c r="D4674" t="inlineStr">
        <is>
          <t>JÄMTLANDS LÄN</t>
        </is>
      </c>
      <c r="E4674" t="inlineStr">
        <is>
          <t>BRÄCKE</t>
        </is>
      </c>
      <c r="F4674" t="inlineStr">
        <is>
          <t>SCA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7999-2025</t>
        </is>
      </c>
      <c r="B4675" s="1" t="n">
        <v>45706</v>
      </c>
      <c r="C4675" s="1" t="n">
        <v>46045</v>
      </c>
      <c r="D4675" t="inlineStr">
        <is>
          <t>JÄMTLANDS LÄN</t>
        </is>
      </c>
      <c r="E4675" t="inlineStr">
        <is>
          <t>STRÖMSUND</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58415-2024</t>
        </is>
      </c>
      <c r="B4676" s="1" t="n">
        <v>45634.7925</v>
      </c>
      <c r="C4676" s="1" t="n">
        <v>46045</v>
      </c>
      <c r="D4676" t="inlineStr">
        <is>
          <t>JÄMTLANDS LÄN</t>
        </is>
      </c>
      <c r="E4676" t="inlineStr">
        <is>
          <t>KROKOM</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6585-2025</t>
        </is>
      </c>
      <c r="B4677" s="1" t="n">
        <v>45700.27895833334</v>
      </c>
      <c r="C4677" s="1" t="n">
        <v>46045</v>
      </c>
      <c r="D4677" t="inlineStr">
        <is>
          <t>JÄMTLANDS LÄN</t>
        </is>
      </c>
      <c r="E4677" t="inlineStr">
        <is>
          <t>KROKOM</t>
        </is>
      </c>
      <c r="F4677" t="inlineStr">
        <is>
          <t>Övriga Aktiebolag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19584-2024</t>
        </is>
      </c>
      <c r="B4678" s="1" t="n">
        <v>45429</v>
      </c>
      <c r="C4678" s="1" t="n">
        <v>46045</v>
      </c>
      <c r="D4678" t="inlineStr">
        <is>
          <t>JÄMTLANDS LÄN</t>
        </is>
      </c>
      <c r="E4678" t="inlineStr">
        <is>
          <t>BRÄCKE</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31846-2022</t>
        </is>
      </c>
      <c r="B4679" s="1" t="n">
        <v>44776.94175925926</v>
      </c>
      <c r="C4679" s="1" t="n">
        <v>46045</v>
      </c>
      <c r="D4679" t="inlineStr">
        <is>
          <t>JÄMTLANDS LÄN</t>
        </is>
      </c>
      <c r="E4679" t="inlineStr">
        <is>
          <t>STRÖMSUND</t>
        </is>
      </c>
      <c r="F4679" t="inlineStr">
        <is>
          <t>SCA</t>
        </is>
      </c>
      <c r="G4679" t="n">
        <v>19.1</v>
      </c>
      <c r="H4679" t="n">
        <v>0</v>
      </c>
      <c r="I4679" t="n">
        <v>0</v>
      </c>
      <c r="J4679" t="n">
        <v>0</v>
      </c>
      <c r="K4679" t="n">
        <v>0</v>
      </c>
      <c r="L4679" t="n">
        <v>0</v>
      </c>
      <c r="M4679" t="n">
        <v>0</v>
      </c>
      <c r="N4679" t="n">
        <v>0</v>
      </c>
      <c r="O4679" t="n">
        <v>0</v>
      </c>
      <c r="P4679" t="n">
        <v>0</v>
      </c>
      <c r="Q4679" t="n">
        <v>0</v>
      </c>
      <c r="R4679" s="2" t="inlineStr"/>
    </row>
    <row r="4680" ht="15" customHeight="1">
      <c r="A4680" t="inlineStr">
        <is>
          <t>A 8868-2025</t>
        </is>
      </c>
      <c r="B4680" s="1" t="n">
        <v>45713.36836805556</v>
      </c>
      <c r="C4680" s="1" t="n">
        <v>46045</v>
      </c>
      <c r="D4680" t="inlineStr">
        <is>
          <t>JÄMTLANDS LÄN</t>
        </is>
      </c>
      <c r="E4680" t="inlineStr">
        <is>
          <t>KROKOM</t>
        </is>
      </c>
      <c r="F4680" t="inlineStr">
        <is>
          <t>Övriga Aktiebolag</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58917-2022</t>
        </is>
      </c>
      <c r="B4681" s="1" t="n">
        <v>44903</v>
      </c>
      <c r="C4681" s="1" t="n">
        <v>46045</v>
      </c>
      <c r="D4681" t="inlineStr">
        <is>
          <t>JÄMTLANDS LÄN</t>
        </is>
      </c>
      <c r="E4681" t="inlineStr">
        <is>
          <t>ÅRE</t>
        </is>
      </c>
      <c r="F4681" t="inlineStr">
        <is>
          <t>Övriga Aktiebolag</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16317-2022</t>
        </is>
      </c>
      <c r="B4682" s="1" t="n">
        <v>44670</v>
      </c>
      <c r="C4682" s="1" t="n">
        <v>46045</v>
      </c>
      <c r="D4682" t="inlineStr">
        <is>
          <t>JÄMTLANDS LÄN</t>
        </is>
      </c>
      <c r="E4682" t="inlineStr">
        <is>
          <t>STRÖMSUND</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48971-2024</t>
        </is>
      </c>
      <c r="B4683" s="1" t="n">
        <v>45594.463125</v>
      </c>
      <c r="C4683" s="1" t="n">
        <v>46045</v>
      </c>
      <c r="D4683" t="inlineStr">
        <is>
          <t>JÄMTLANDS LÄN</t>
        </is>
      </c>
      <c r="E4683" t="inlineStr">
        <is>
          <t>KROKOM</t>
        </is>
      </c>
      <c r="G4683" t="n">
        <v>11.8</v>
      </c>
      <c r="H4683" t="n">
        <v>0</v>
      </c>
      <c r="I4683" t="n">
        <v>0</v>
      </c>
      <c r="J4683" t="n">
        <v>0</v>
      </c>
      <c r="K4683" t="n">
        <v>0</v>
      </c>
      <c r="L4683" t="n">
        <v>0</v>
      </c>
      <c r="M4683" t="n">
        <v>0</v>
      </c>
      <c r="N4683" t="n">
        <v>0</v>
      </c>
      <c r="O4683" t="n">
        <v>0</v>
      </c>
      <c r="P4683" t="n">
        <v>0</v>
      </c>
      <c r="Q4683" t="n">
        <v>0</v>
      </c>
      <c r="R4683" s="2" t="inlineStr"/>
    </row>
    <row r="4684" ht="15" customHeight="1">
      <c r="A4684" t="inlineStr">
        <is>
          <t>A 15785-2021</t>
        </is>
      </c>
      <c r="B4684" s="1" t="n">
        <v>44286.58679398148</v>
      </c>
      <c r="C4684" s="1" t="n">
        <v>46045</v>
      </c>
      <c r="D4684" t="inlineStr">
        <is>
          <t>JÄMTLANDS LÄN</t>
        </is>
      </c>
      <c r="E4684" t="inlineStr">
        <is>
          <t>BERG</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59496-2024</t>
        </is>
      </c>
      <c r="B4685" s="1" t="n">
        <v>45638</v>
      </c>
      <c r="C4685" s="1" t="n">
        <v>46045</v>
      </c>
      <c r="D4685" t="inlineStr">
        <is>
          <t>JÄMTLANDS LÄN</t>
        </is>
      </c>
      <c r="E4685" t="inlineStr">
        <is>
          <t>RAGUNDA</t>
        </is>
      </c>
      <c r="G4685" t="n">
        <v>13.1</v>
      </c>
      <c r="H4685" t="n">
        <v>0</v>
      </c>
      <c r="I4685" t="n">
        <v>0</v>
      </c>
      <c r="J4685" t="n">
        <v>0</v>
      </c>
      <c r="K4685" t="n">
        <v>0</v>
      </c>
      <c r="L4685" t="n">
        <v>0</v>
      </c>
      <c r="M4685" t="n">
        <v>0</v>
      </c>
      <c r="N4685" t="n">
        <v>0</v>
      </c>
      <c r="O4685" t="n">
        <v>0</v>
      </c>
      <c r="P4685" t="n">
        <v>0</v>
      </c>
      <c r="Q4685" t="n">
        <v>0</v>
      </c>
      <c r="R4685" s="2" t="inlineStr"/>
    </row>
    <row r="4686" ht="15" customHeight="1">
      <c r="A4686" t="inlineStr">
        <is>
          <t>A 39269-2024</t>
        </is>
      </c>
      <c r="B4686" s="1" t="n">
        <v>45551.34488425926</v>
      </c>
      <c r="C4686" s="1" t="n">
        <v>46045</v>
      </c>
      <c r="D4686" t="inlineStr">
        <is>
          <t>JÄMTLANDS LÄN</t>
        </is>
      </c>
      <c r="E4686" t="inlineStr">
        <is>
          <t>BERG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28796-2023</t>
        </is>
      </c>
      <c r="B4687" s="1" t="n">
        <v>45096</v>
      </c>
      <c r="C4687" s="1" t="n">
        <v>46045</v>
      </c>
      <c r="D4687" t="inlineStr">
        <is>
          <t>JÄMTLANDS LÄN</t>
        </is>
      </c>
      <c r="E4687" t="inlineStr">
        <is>
          <t>BRÄCKE</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39326-2024</t>
        </is>
      </c>
      <c r="B4688" s="1" t="n">
        <v>45551.42741898148</v>
      </c>
      <c r="C4688" s="1" t="n">
        <v>46045</v>
      </c>
      <c r="D4688" t="inlineStr">
        <is>
          <t>JÄMTLANDS LÄN</t>
        </is>
      </c>
      <c r="E4688" t="inlineStr">
        <is>
          <t>BRÄCKE</t>
        </is>
      </c>
      <c r="F4688" t="inlineStr">
        <is>
          <t>SCA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42487-2025</t>
        </is>
      </c>
      <c r="B4689" s="1" t="n">
        <v>45905.49262731482</v>
      </c>
      <c r="C4689" s="1" t="n">
        <v>46045</v>
      </c>
      <c r="D4689" t="inlineStr">
        <is>
          <t>JÄMTLANDS LÄN</t>
        </is>
      </c>
      <c r="E4689" t="inlineStr">
        <is>
          <t>STRÖMSUND</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24613-2024</t>
        </is>
      </c>
      <c r="B4690" s="1" t="n">
        <v>45460.48582175926</v>
      </c>
      <c r="C4690" s="1" t="n">
        <v>46045</v>
      </c>
      <c r="D4690" t="inlineStr">
        <is>
          <t>JÄMTLANDS LÄN</t>
        </is>
      </c>
      <c r="E4690" t="inlineStr">
        <is>
          <t>HÄRJEDALEN</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31910-2023</t>
        </is>
      </c>
      <c r="B4691" s="1" t="n">
        <v>45118.91633101852</v>
      </c>
      <c r="C4691" s="1" t="n">
        <v>46045</v>
      </c>
      <c r="D4691" t="inlineStr">
        <is>
          <t>JÄMTLANDS LÄN</t>
        </is>
      </c>
      <c r="E4691" t="inlineStr">
        <is>
          <t>HÄRJEDALEN</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31961-2023</t>
        </is>
      </c>
      <c r="B4692" s="1" t="n">
        <v>45119</v>
      </c>
      <c r="C4692" s="1" t="n">
        <v>46045</v>
      </c>
      <c r="D4692" t="inlineStr">
        <is>
          <t>JÄMTLANDS LÄN</t>
        </is>
      </c>
      <c r="E4692" t="inlineStr">
        <is>
          <t>HÄRJEDALEN</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42732-2025</t>
        </is>
      </c>
      <c r="B4693" s="1" t="n">
        <v>45908.40704861111</v>
      </c>
      <c r="C4693" s="1" t="n">
        <v>46045</v>
      </c>
      <c r="D4693" t="inlineStr">
        <is>
          <t>JÄMTLANDS LÄN</t>
        </is>
      </c>
      <c r="E4693" t="inlineStr">
        <is>
          <t>BRÄCKE</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42745-2025</t>
        </is>
      </c>
      <c r="B4694" s="1" t="n">
        <v>45908.43237268519</v>
      </c>
      <c r="C4694" s="1" t="n">
        <v>46045</v>
      </c>
      <c r="D4694" t="inlineStr">
        <is>
          <t>JÄMTLANDS LÄN</t>
        </is>
      </c>
      <c r="E4694" t="inlineStr">
        <is>
          <t>HÄRJEDALEN</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42523-2025</t>
        </is>
      </c>
      <c r="B4695" s="1" t="n">
        <v>45905.55248842593</v>
      </c>
      <c r="C4695" s="1" t="n">
        <v>46045</v>
      </c>
      <c r="D4695" t="inlineStr">
        <is>
          <t>JÄMTLANDS LÄN</t>
        </is>
      </c>
      <c r="E4695" t="inlineStr">
        <is>
          <t>STRÖMSUND</t>
        </is>
      </c>
      <c r="F4695" t="inlineStr">
        <is>
          <t>SCA</t>
        </is>
      </c>
      <c r="G4695" t="n">
        <v>18.3</v>
      </c>
      <c r="H4695" t="n">
        <v>0</v>
      </c>
      <c r="I4695" t="n">
        <v>0</v>
      </c>
      <c r="J4695" t="n">
        <v>0</v>
      </c>
      <c r="K4695" t="n">
        <v>0</v>
      </c>
      <c r="L4695" t="n">
        <v>0</v>
      </c>
      <c r="M4695" t="n">
        <v>0</v>
      </c>
      <c r="N4695" t="n">
        <v>0</v>
      </c>
      <c r="O4695" t="n">
        <v>0</v>
      </c>
      <c r="P4695" t="n">
        <v>0</v>
      </c>
      <c r="Q4695" t="n">
        <v>0</v>
      </c>
      <c r="R4695" s="2" t="inlineStr"/>
    </row>
    <row r="4696" ht="15" customHeight="1">
      <c r="A4696" t="inlineStr">
        <is>
          <t>A 42590-2025</t>
        </is>
      </c>
      <c r="B4696" s="1" t="n">
        <v>45905.63607638889</v>
      </c>
      <c r="C4696" s="1" t="n">
        <v>46045</v>
      </c>
      <c r="D4696" t="inlineStr">
        <is>
          <t>JÄMTLANDS LÄN</t>
        </is>
      </c>
      <c r="E4696" t="inlineStr">
        <is>
          <t>BRÄCKE</t>
        </is>
      </c>
      <c r="F4696" t="inlineStr">
        <is>
          <t>SCA</t>
        </is>
      </c>
      <c r="G4696" t="n">
        <v>24.2</v>
      </c>
      <c r="H4696" t="n">
        <v>0</v>
      </c>
      <c r="I4696" t="n">
        <v>0</v>
      </c>
      <c r="J4696" t="n">
        <v>0</v>
      </c>
      <c r="K4696" t="n">
        <v>0</v>
      </c>
      <c r="L4696" t="n">
        <v>0</v>
      </c>
      <c r="M4696" t="n">
        <v>0</v>
      </c>
      <c r="N4696" t="n">
        <v>0</v>
      </c>
      <c r="O4696" t="n">
        <v>0</v>
      </c>
      <c r="P4696" t="n">
        <v>0</v>
      </c>
      <c r="Q4696" t="n">
        <v>0</v>
      </c>
      <c r="R4696" s="2" t="inlineStr"/>
    </row>
    <row r="4697" ht="15" customHeight="1">
      <c r="A4697" t="inlineStr">
        <is>
          <t>A 21778-2022</t>
        </is>
      </c>
      <c r="B4697" s="1" t="n">
        <v>44708.48859953704</v>
      </c>
      <c r="C4697" s="1" t="n">
        <v>46045</v>
      </c>
      <c r="D4697" t="inlineStr">
        <is>
          <t>JÄMTLANDS LÄN</t>
        </is>
      </c>
      <c r="E4697" t="inlineStr">
        <is>
          <t>HÄRJEDALEN</t>
        </is>
      </c>
      <c r="F4697" t="inlineStr">
        <is>
          <t>Holmen skog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58352-2024</t>
        </is>
      </c>
      <c r="B4698" s="1" t="n">
        <v>45632.65197916667</v>
      </c>
      <c r="C4698" s="1" t="n">
        <v>46045</v>
      </c>
      <c r="D4698" t="inlineStr">
        <is>
          <t>JÄMTLANDS LÄN</t>
        </is>
      </c>
      <c r="E4698" t="inlineStr">
        <is>
          <t>HÄRJEDALEN</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32873-2023</t>
        </is>
      </c>
      <c r="B4699" s="1" t="n">
        <v>45112</v>
      </c>
      <c r="C4699" s="1" t="n">
        <v>46045</v>
      </c>
      <c r="D4699" t="inlineStr">
        <is>
          <t>JÄMTLANDS LÄN</t>
        </is>
      </c>
      <c r="E4699" t="inlineStr">
        <is>
          <t>STRÖMSUND</t>
        </is>
      </c>
      <c r="F4699" t="inlineStr">
        <is>
          <t>Kommuner</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32883-2023</t>
        </is>
      </c>
      <c r="B4700" s="1" t="n">
        <v>45112</v>
      </c>
      <c r="C4700" s="1" t="n">
        <v>46045</v>
      </c>
      <c r="D4700" t="inlineStr">
        <is>
          <t>JÄMTLANDS LÄN</t>
        </is>
      </c>
      <c r="E4700" t="inlineStr">
        <is>
          <t>STRÖMSUND</t>
        </is>
      </c>
      <c r="F4700" t="inlineStr">
        <is>
          <t>Kommuner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32884-2023</t>
        </is>
      </c>
      <c r="B4701" s="1" t="n">
        <v>45112</v>
      </c>
      <c r="C4701" s="1" t="n">
        <v>46045</v>
      </c>
      <c r="D4701" t="inlineStr">
        <is>
          <t>JÄMTLANDS LÄN</t>
        </is>
      </c>
      <c r="E4701" t="inlineStr">
        <is>
          <t>STRÖMSUND</t>
        </is>
      </c>
      <c r="F4701" t="inlineStr">
        <is>
          <t>Kommuner</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20095-2023</t>
        </is>
      </c>
      <c r="B4702" s="1" t="n">
        <v>45054.94199074074</v>
      </c>
      <c r="C4702" s="1" t="n">
        <v>46045</v>
      </c>
      <c r="D4702" t="inlineStr">
        <is>
          <t>JÄMTLANDS LÄN</t>
        </is>
      </c>
      <c r="E4702" t="inlineStr">
        <is>
          <t>BRÄCKE</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27729-2024</t>
        </is>
      </c>
      <c r="B4703" s="1" t="n">
        <v>45475</v>
      </c>
      <c r="C4703" s="1" t="n">
        <v>46045</v>
      </c>
      <c r="D4703" t="inlineStr">
        <is>
          <t>JÄMTLANDS LÄN</t>
        </is>
      </c>
      <c r="E4703" t="inlineStr">
        <is>
          <t>KROKOM</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30569-2024</t>
        </is>
      </c>
      <c r="B4704" s="1" t="n">
        <v>45492.95690972222</v>
      </c>
      <c r="C4704" s="1" t="n">
        <v>46045</v>
      </c>
      <c r="D4704" t="inlineStr">
        <is>
          <t>JÄMTLANDS LÄN</t>
        </is>
      </c>
      <c r="E4704" t="inlineStr">
        <is>
          <t>BRÄCKE</t>
        </is>
      </c>
      <c r="F4704" t="inlineStr">
        <is>
          <t>SCA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13924-2024</t>
        </is>
      </c>
      <c r="B4705" s="1" t="n">
        <v>45391.9315162037</v>
      </c>
      <c r="C4705" s="1" t="n">
        <v>46045</v>
      </c>
      <c r="D4705" t="inlineStr">
        <is>
          <t>JÄMTLANDS LÄN</t>
        </is>
      </c>
      <c r="E4705" t="inlineStr">
        <is>
          <t>STRÖMSUND</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37265-2024</t>
        </is>
      </c>
      <c r="B4706" s="1" t="n">
        <v>45540.38564814815</v>
      </c>
      <c r="C4706" s="1" t="n">
        <v>46045</v>
      </c>
      <c r="D4706" t="inlineStr">
        <is>
          <t>JÄMTLANDS LÄN</t>
        </is>
      </c>
      <c r="E4706" t="inlineStr">
        <is>
          <t>RAGUNDA</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12254-2025</t>
        </is>
      </c>
      <c r="B4707" s="1" t="n">
        <v>45729</v>
      </c>
      <c r="C4707" s="1" t="n">
        <v>46045</v>
      </c>
      <c r="D4707" t="inlineStr">
        <is>
          <t>JÄMTLANDS LÄN</t>
        </is>
      </c>
      <c r="E4707" t="inlineStr">
        <is>
          <t>BERG</t>
        </is>
      </c>
      <c r="G4707" t="n">
        <v>26.3</v>
      </c>
      <c r="H4707" t="n">
        <v>0</v>
      </c>
      <c r="I4707" t="n">
        <v>0</v>
      </c>
      <c r="J4707" t="n">
        <v>0</v>
      </c>
      <c r="K4707" t="n">
        <v>0</v>
      </c>
      <c r="L4707" t="n">
        <v>0</v>
      </c>
      <c r="M4707" t="n">
        <v>0</v>
      </c>
      <c r="N4707" t="n">
        <v>0</v>
      </c>
      <c r="O4707" t="n">
        <v>0</v>
      </c>
      <c r="P4707" t="n">
        <v>0</v>
      </c>
      <c r="Q4707" t="n">
        <v>0</v>
      </c>
      <c r="R4707" s="2" t="inlineStr"/>
    </row>
    <row r="4708" ht="15" customHeight="1">
      <c r="A4708" t="inlineStr">
        <is>
          <t>A 18612-2024</t>
        </is>
      </c>
      <c r="B4708" s="1" t="n">
        <v>45425.96239583333</v>
      </c>
      <c r="C4708" s="1" t="n">
        <v>46045</v>
      </c>
      <c r="D4708" t="inlineStr">
        <is>
          <t>JÄMTLANDS LÄN</t>
        </is>
      </c>
      <c r="E4708" t="inlineStr">
        <is>
          <t>RAGUNDA</t>
        </is>
      </c>
      <c r="F4708" t="inlineStr">
        <is>
          <t>SCA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42815-2025</t>
        </is>
      </c>
      <c r="B4709" s="1" t="n">
        <v>45908.56354166667</v>
      </c>
      <c r="C4709" s="1" t="n">
        <v>46045</v>
      </c>
      <c r="D4709" t="inlineStr">
        <is>
          <t>JÄMTLANDS LÄN</t>
        </is>
      </c>
      <c r="E4709" t="inlineStr">
        <is>
          <t>HÄRJEDALEN</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42662-2025</t>
        </is>
      </c>
      <c r="B4710" s="1" t="n">
        <v>45907.61496527777</v>
      </c>
      <c r="C4710" s="1" t="n">
        <v>46045</v>
      </c>
      <c r="D4710" t="inlineStr">
        <is>
          <t>JÄMTLANDS LÄN</t>
        </is>
      </c>
      <c r="E4710" t="inlineStr">
        <is>
          <t>STRÖMSUND</t>
        </is>
      </c>
      <c r="F4710" t="inlineStr">
        <is>
          <t>SCA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5549-2025</t>
        </is>
      </c>
      <c r="B4711" s="1" t="n">
        <v>45693</v>
      </c>
      <c r="C4711" s="1" t="n">
        <v>46045</v>
      </c>
      <c r="D4711" t="inlineStr">
        <is>
          <t>JÄMTLANDS LÄN</t>
        </is>
      </c>
      <c r="E4711" t="inlineStr">
        <is>
          <t>ÖSTERSUND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5627-2025</t>
        </is>
      </c>
      <c r="B4712" s="1" t="n">
        <v>45693.64836805555</v>
      </c>
      <c r="C4712" s="1" t="n">
        <v>46045</v>
      </c>
      <c r="D4712" t="inlineStr">
        <is>
          <t>JÄMTLANDS LÄN</t>
        </is>
      </c>
      <c r="E4712" t="inlineStr">
        <is>
          <t>STRÖMSUND</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18641-2024</t>
        </is>
      </c>
      <c r="B4713" s="1" t="n">
        <v>45425.9666087963</v>
      </c>
      <c r="C4713" s="1" t="n">
        <v>46045</v>
      </c>
      <c r="D4713" t="inlineStr">
        <is>
          <t>JÄMTLANDS LÄN</t>
        </is>
      </c>
      <c r="E4713" t="inlineStr">
        <is>
          <t>BRÄCKE</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58031-2022</t>
        </is>
      </c>
      <c r="B4714" s="1" t="n">
        <v>44893</v>
      </c>
      <c r="C4714" s="1" t="n">
        <v>46045</v>
      </c>
      <c r="D4714" t="inlineStr">
        <is>
          <t>JÄMTLANDS LÄN</t>
        </is>
      </c>
      <c r="E4714" t="inlineStr">
        <is>
          <t>STRÖMSUND</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58449-2024</t>
        </is>
      </c>
      <c r="B4715" s="1" t="n">
        <v>45635.34413194445</v>
      </c>
      <c r="C4715" s="1" t="n">
        <v>46045</v>
      </c>
      <c r="D4715" t="inlineStr">
        <is>
          <t>JÄMTLANDS LÄN</t>
        </is>
      </c>
      <c r="E4715" t="inlineStr">
        <is>
          <t>BRÄCKE</t>
        </is>
      </c>
      <c r="F4715" t="inlineStr">
        <is>
          <t>SCA</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42378-2025</t>
        </is>
      </c>
      <c r="B4716" s="1" t="n">
        <v>45905.34423611111</v>
      </c>
      <c r="C4716" s="1" t="n">
        <v>46045</v>
      </c>
      <c r="D4716" t="inlineStr">
        <is>
          <t>JÄMTLANDS LÄN</t>
        </is>
      </c>
      <c r="E4716" t="inlineStr">
        <is>
          <t>BERG</t>
        </is>
      </c>
      <c r="F4716" t="inlineStr">
        <is>
          <t>SCA</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48249-2024</t>
        </is>
      </c>
      <c r="B4717" s="1" t="n">
        <v>45590.40675925926</v>
      </c>
      <c r="C4717" s="1" t="n">
        <v>46045</v>
      </c>
      <c r="D4717" t="inlineStr">
        <is>
          <t>JÄMTLANDS LÄN</t>
        </is>
      </c>
      <c r="E4717" t="inlineStr">
        <is>
          <t>RAGUNDA</t>
        </is>
      </c>
      <c r="F4717" t="inlineStr">
        <is>
          <t>SCA</t>
        </is>
      </c>
      <c r="G4717" t="n">
        <v>14.4</v>
      </c>
      <c r="H4717" t="n">
        <v>0</v>
      </c>
      <c r="I4717" t="n">
        <v>0</v>
      </c>
      <c r="J4717" t="n">
        <v>0</v>
      </c>
      <c r="K4717" t="n">
        <v>0</v>
      </c>
      <c r="L4717" t="n">
        <v>0</v>
      </c>
      <c r="M4717" t="n">
        <v>0</v>
      </c>
      <c r="N4717" t="n">
        <v>0</v>
      </c>
      <c r="O4717" t="n">
        <v>0</v>
      </c>
      <c r="P4717" t="n">
        <v>0</v>
      </c>
      <c r="Q4717" t="n">
        <v>0</v>
      </c>
      <c r="R4717" s="2" t="inlineStr"/>
    </row>
    <row r="4718" ht="15" customHeight="1">
      <c r="A4718" t="inlineStr">
        <is>
          <t>A 58482-2024</t>
        </is>
      </c>
      <c r="B4718" s="1" t="n">
        <v>45635</v>
      </c>
      <c r="C4718" s="1" t="n">
        <v>46045</v>
      </c>
      <c r="D4718" t="inlineStr">
        <is>
          <t>JÄMTLANDS LÄN</t>
        </is>
      </c>
      <c r="E4718" t="inlineStr">
        <is>
          <t>KROKOM</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42439-2025</t>
        </is>
      </c>
      <c r="B4719" s="1" t="n">
        <v>45905.42969907408</v>
      </c>
      <c r="C4719" s="1" t="n">
        <v>46045</v>
      </c>
      <c r="D4719" t="inlineStr">
        <is>
          <t>JÄMTLANDS LÄN</t>
        </is>
      </c>
      <c r="E4719" t="inlineStr">
        <is>
          <t>BERG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51345-2022</t>
        </is>
      </c>
      <c r="B4720" s="1" t="n">
        <v>44866</v>
      </c>
      <c r="C4720" s="1" t="n">
        <v>46045</v>
      </c>
      <c r="D4720" t="inlineStr">
        <is>
          <t>JÄMTLANDS LÄN</t>
        </is>
      </c>
      <c r="E4720" t="inlineStr">
        <is>
          <t>KROKOM</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42862-2025</t>
        </is>
      </c>
      <c r="B4721" s="1" t="n">
        <v>45908.61515046296</v>
      </c>
      <c r="C4721" s="1" t="n">
        <v>46045</v>
      </c>
      <c r="D4721" t="inlineStr">
        <is>
          <t>JÄMTLANDS LÄN</t>
        </is>
      </c>
      <c r="E4721" t="inlineStr">
        <is>
          <t>BERG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51183-2025</t>
        </is>
      </c>
      <c r="B4722" s="1" t="n">
        <v>45947.62087962963</v>
      </c>
      <c r="C4722" s="1" t="n">
        <v>46045</v>
      </c>
      <c r="D4722" t="inlineStr">
        <is>
          <t>JÄMTLANDS LÄN</t>
        </is>
      </c>
      <c r="E4722" t="inlineStr">
        <is>
          <t>ÅRE</t>
        </is>
      </c>
      <c r="F4722" t="inlineStr">
        <is>
          <t>Övriga statliga verk och myndigheter</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59368-2022</t>
        </is>
      </c>
      <c r="B4723" s="1" t="n">
        <v>44904.94824074074</v>
      </c>
      <c r="C4723" s="1" t="n">
        <v>46045</v>
      </c>
      <c r="D4723" t="inlineStr">
        <is>
          <t>JÄMTLANDS LÄN</t>
        </is>
      </c>
      <c r="E4723" t="inlineStr">
        <is>
          <t>RAGUNDA</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893-2025</t>
        </is>
      </c>
      <c r="B4724" s="1" t="n">
        <v>45665.65684027778</v>
      </c>
      <c r="C4724" s="1" t="n">
        <v>46045</v>
      </c>
      <c r="D4724" t="inlineStr">
        <is>
          <t>JÄMTLANDS LÄN</t>
        </is>
      </c>
      <c r="E4724" t="inlineStr">
        <is>
          <t>RAGUNDA</t>
        </is>
      </c>
      <c r="F4724" t="inlineStr">
        <is>
          <t>SCA</t>
        </is>
      </c>
      <c r="G4724" t="n">
        <v>45.1</v>
      </c>
      <c r="H4724" t="n">
        <v>0</v>
      </c>
      <c r="I4724" t="n">
        <v>0</v>
      </c>
      <c r="J4724" t="n">
        <v>0</v>
      </c>
      <c r="K4724" t="n">
        <v>0</v>
      </c>
      <c r="L4724" t="n">
        <v>0</v>
      </c>
      <c r="M4724" t="n">
        <v>0</v>
      </c>
      <c r="N4724" t="n">
        <v>0</v>
      </c>
      <c r="O4724" t="n">
        <v>0</v>
      </c>
      <c r="P4724" t="n">
        <v>0</v>
      </c>
      <c r="Q4724" t="n">
        <v>0</v>
      </c>
      <c r="R4724" s="2" t="inlineStr"/>
    </row>
    <row r="4725" ht="15" customHeight="1">
      <c r="A4725" t="inlineStr">
        <is>
          <t>A 13524-2024</t>
        </is>
      </c>
      <c r="B4725" s="1" t="n">
        <v>45387.78174768519</v>
      </c>
      <c r="C4725" s="1" t="n">
        <v>46045</v>
      </c>
      <c r="D4725" t="inlineStr">
        <is>
          <t>JÄMTLANDS LÄN</t>
        </is>
      </c>
      <c r="E4725" t="inlineStr">
        <is>
          <t>BERG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14039-2025</t>
        </is>
      </c>
      <c r="B4726" s="1" t="n">
        <v>45740.36546296296</v>
      </c>
      <c r="C4726" s="1" t="n">
        <v>46045</v>
      </c>
      <c r="D4726" t="inlineStr">
        <is>
          <t>JÄMTLANDS LÄN</t>
        </is>
      </c>
      <c r="E4726" t="inlineStr">
        <is>
          <t>HÄRJEDALEN</t>
        </is>
      </c>
      <c r="F4726" t="inlineStr">
        <is>
          <t>Holmen skog AB</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3425-2025</t>
        </is>
      </c>
      <c r="B4727" s="1" t="n">
        <v>45680.42497685185</v>
      </c>
      <c r="C4727" s="1" t="n">
        <v>46045</v>
      </c>
      <c r="D4727" t="inlineStr">
        <is>
          <t>JÄMTLANDS LÄN</t>
        </is>
      </c>
      <c r="E4727" t="inlineStr">
        <is>
          <t>HÄRJEDALEN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12891-2024</t>
        </is>
      </c>
      <c r="B4728" s="1" t="n">
        <v>45385</v>
      </c>
      <c r="C4728" s="1" t="n">
        <v>46045</v>
      </c>
      <c r="D4728" t="inlineStr">
        <is>
          <t>JÄMTLANDS LÄN</t>
        </is>
      </c>
      <c r="E4728" t="inlineStr">
        <is>
          <t>BRÄCKE</t>
        </is>
      </c>
      <c r="F4728" t="inlineStr">
        <is>
          <t>Kyrkan</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59352-2021</t>
        </is>
      </c>
      <c r="B4729" s="1" t="n">
        <v>44490</v>
      </c>
      <c r="C4729" s="1" t="n">
        <v>46045</v>
      </c>
      <c r="D4729" t="inlineStr">
        <is>
          <t>JÄMTLANDS LÄN</t>
        </is>
      </c>
      <c r="E4729" t="inlineStr">
        <is>
          <t>ÅRE</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17158-2025</t>
        </is>
      </c>
      <c r="B4730" s="1" t="n">
        <v>45756.34439814815</v>
      </c>
      <c r="C4730" s="1" t="n">
        <v>46045</v>
      </c>
      <c r="D4730" t="inlineStr">
        <is>
          <t>JÄMTLANDS LÄN</t>
        </is>
      </c>
      <c r="E4730" t="inlineStr">
        <is>
          <t>STRÖMSUND</t>
        </is>
      </c>
      <c r="F4730" t="inlineStr">
        <is>
          <t>SCA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39996-2024</t>
        </is>
      </c>
      <c r="B4731" s="1" t="n">
        <v>45553.63585648148</v>
      </c>
      <c r="C4731" s="1" t="n">
        <v>46045</v>
      </c>
      <c r="D4731" t="inlineStr">
        <is>
          <t>JÄMTLANDS LÄN</t>
        </is>
      </c>
      <c r="E4731" t="inlineStr">
        <is>
          <t>BRÄCKE</t>
        </is>
      </c>
      <c r="F4731" t="inlineStr">
        <is>
          <t>SCA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28906-2025</t>
        </is>
      </c>
      <c r="B4732" s="1" t="n">
        <v>45820.64821759259</v>
      </c>
      <c r="C4732" s="1" t="n">
        <v>46045</v>
      </c>
      <c r="D4732" t="inlineStr">
        <is>
          <t>JÄMTLANDS LÄN</t>
        </is>
      </c>
      <c r="E4732" t="inlineStr">
        <is>
          <t>HÄRJEDALEN</t>
        </is>
      </c>
      <c r="G4732" t="n">
        <v>29.4</v>
      </c>
      <c r="H4732" t="n">
        <v>0</v>
      </c>
      <c r="I4732" t="n">
        <v>0</v>
      </c>
      <c r="J4732" t="n">
        <v>0</v>
      </c>
      <c r="K4732" t="n">
        <v>0</v>
      </c>
      <c r="L4732" t="n">
        <v>0</v>
      </c>
      <c r="M4732" t="n">
        <v>0</v>
      </c>
      <c r="N4732" t="n">
        <v>0</v>
      </c>
      <c r="O4732" t="n">
        <v>0</v>
      </c>
      <c r="P4732" t="n">
        <v>0</v>
      </c>
      <c r="Q4732" t="n">
        <v>0</v>
      </c>
      <c r="R4732" s="2" t="inlineStr"/>
    </row>
    <row r="4733" ht="15" customHeight="1">
      <c r="A4733" t="inlineStr">
        <is>
          <t>A 42805-2025</t>
        </is>
      </c>
      <c r="B4733" s="1" t="n">
        <v>45908.54806712963</v>
      </c>
      <c r="C4733" s="1" t="n">
        <v>46045</v>
      </c>
      <c r="D4733" t="inlineStr">
        <is>
          <t>JÄMTLANDS LÄN</t>
        </is>
      </c>
      <c r="E4733" t="inlineStr">
        <is>
          <t>HÄRJEDALEN</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37734-2023</t>
        </is>
      </c>
      <c r="B4734" s="1" t="n">
        <v>45159.61971064815</v>
      </c>
      <c r="C4734" s="1" t="n">
        <v>46045</v>
      </c>
      <c r="D4734" t="inlineStr">
        <is>
          <t>JÄMTLANDS LÄN</t>
        </is>
      </c>
      <c r="E4734" t="inlineStr">
        <is>
          <t>ÅRE</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60740-2022</t>
        </is>
      </c>
      <c r="B4735" s="1" t="n">
        <v>44913</v>
      </c>
      <c r="C4735" s="1" t="n">
        <v>46045</v>
      </c>
      <c r="D4735" t="inlineStr">
        <is>
          <t>JÄMTLANDS LÄN</t>
        </is>
      </c>
      <c r="E4735" t="inlineStr">
        <is>
          <t>STRÖMSUND</t>
        </is>
      </c>
      <c r="F4735" t="inlineStr">
        <is>
          <t>SCA</t>
        </is>
      </c>
      <c r="G4735" t="n">
        <v>16.7</v>
      </c>
      <c r="H4735" t="n">
        <v>0</v>
      </c>
      <c r="I4735" t="n">
        <v>0</v>
      </c>
      <c r="J4735" t="n">
        <v>0</v>
      </c>
      <c r="K4735" t="n">
        <v>0</v>
      </c>
      <c r="L4735" t="n">
        <v>0</v>
      </c>
      <c r="M4735" t="n">
        <v>0</v>
      </c>
      <c r="N4735" t="n">
        <v>0</v>
      </c>
      <c r="O4735" t="n">
        <v>0</v>
      </c>
      <c r="P4735" t="n">
        <v>0</v>
      </c>
      <c r="Q4735" t="n">
        <v>0</v>
      </c>
      <c r="R4735" s="2" t="inlineStr"/>
    </row>
    <row r="4736" ht="15" customHeight="1">
      <c r="A4736" t="inlineStr">
        <is>
          <t>A 43022-2025</t>
        </is>
      </c>
      <c r="B4736" s="1" t="n">
        <v>45909.51016203704</v>
      </c>
      <c r="C4736" s="1" t="n">
        <v>46045</v>
      </c>
      <c r="D4736" t="inlineStr">
        <is>
          <t>JÄMTLANDS LÄN</t>
        </is>
      </c>
      <c r="E4736" t="inlineStr">
        <is>
          <t>BRÄCKE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36209-2023</t>
        </is>
      </c>
      <c r="B4737" s="1" t="n">
        <v>45149</v>
      </c>
      <c r="C4737" s="1" t="n">
        <v>46045</v>
      </c>
      <c r="D4737" t="inlineStr">
        <is>
          <t>JÄMTLANDS LÄN</t>
        </is>
      </c>
      <c r="E4737" t="inlineStr">
        <is>
          <t>BRÄCKE</t>
        </is>
      </c>
      <c r="F4737" t="inlineStr">
        <is>
          <t>SCA</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8065-2024</t>
        </is>
      </c>
      <c r="B4738" s="1" t="n">
        <v>45351.40697916667</v>
      </c>
      <c r="C4738" s="1" t="n">
        <v>46045</v>
      </c>
      <c r="D4738" t="inlineStr">
        <is>
          <t>JÄMTLANDS LÄN</t>
        </is>
      </c>
      <c r="E4738" t="inlineStr">
        <is>
          <t>BERG</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13561-2025</t>
        </is>
      </c>
      <c r="B4739" s="1" t="n">
        <v>45736.5587037037</v>
      </c>
      <c r="C4739" s="1" t="n">
        <v>46045</v>
      </c>
      <c r="D4739" t="inlineStr">
        <is>
          <t>JÄMTLANDS LÄN</t>
        </is>
      </c>
      <c r="E4739" t="inlineStr">
        <is>
          <t>ÅRE</t>
        </is>
      </c>
      <c r="F4739" t="inlineStr">
        <is>
          <t>Övriga statliga verk och myndigheter</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62102-2024</t>
        </is>
      </c>
      <c r="B4740" s="1" t="n">
        <v>45656.51145833333</v>
      </c>
      <c r="C4740" s="1" t="n">
        <v>46045</v>
      </c>
      <c r="D4740" t="inlineStr">
        <is>
          <t>JÄMTLANDS LÄN</t>
        </is>
      </c>
      <c r="E4740" t="inlineStr">
        <is>
          <t>BRÄCKE</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61652-2024</t>
        </is>
      </c>
      <c r="B4741" s="1" t="n">
        <v>45646.72293981481</v>
      </c>
      <c r="C4741" s="1" t="n">
        <v>46045</v>
      </c>
      <c r="D4741" t="inlineStr">
        <is>
          <t>JÄMTLANDS LÄN</t>
        </is>
      </c>
      <c r="E4741" t="inlineStr">
        <is>
          <t>BERG</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61449-2024</t>
        </is>
      </c>
      <c r="B4742" s="1" t="n">
        <v>45646.48988425926</v>
      </c>
      <c r="C4742" s="1" t="n">
        <v>46045</v>
      </c>
      <c r="D4742" t="inlineStr">
        <is>
          <t>JÄMTLANDS LÄN</t>
        </is>
      </c>
      <c r="E4742" t="inlineStr">
        <is>
          <t>ÖSTERSUND</t>
        </is>
      </c>
      <c r="F4742" t="inlineStr">
        <is>
          <t>SCA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61450-2024</t>
        </is>
      </c>
      <c r="B4743" s="1" t="n">
        <v>45646.49012731481</v>
      </c>
      <c r="C4743" s="1" t="n">
        <v>46045</v>
      </c>
      <c r="D4743" t="inlineStr">
        <is>
          <t>JÄMTLANDS LÄN</t>
        </is>
      </c>
      <c r="E4743" t="inlineStr">
        <is>
          <t>ÖSTERSUND</t>
        </is>
      </c>
      <c r="F4743" t="inlineStr">
        <is>
          <t>SCA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43242-2025</t>
        </is>
      </c>
      <c r="B4744" s="1" t="n">
        <v>45910.53799768518</v>
      </c>
      <c r="C4744" s="1" t="n">
        <v>46045</v>
      </c>
      <c r="D4744" t="inlineStr">
        <is>
          <t>JÄMTLANDS LÄN</t>
        </is>
      </c>
      <c r="E4744" t="inlineStr">
        <is>
          <t>STRÖMSUND</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43247-2025</t>
        </is>
      </c>
      <c r="B4745" s="1" t="n">
        <v>45910.54983796296</v>
      </c>
      <c r="C4745" s="1" t="n">
        <v>46045</v>
      </c>
      <c r="D4745" t="inlineStr">
        <is>
          <t>JÄMTLANDS LÄN</t>
        </is>
      </c>
      <c r="E4745" t="inlineStr">
        <is>
          <t>STRÖMSUND</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43254-2025</t>
        </is>
      </c>
      <c r="B4746" s="1" t="n">
        <v>45910.553125</v>
      </c>
      <c r="C4746" s="1" t="n">
        <v>46045</v>
      </c>
      <c r="D4746" t="inlineStr">
        <is>
          <t>JÄMTLANDS LÄN</t>
        </is>
      </c>
      <c r="E4746" t="inlineStr">
        <is>
          <t>BRÄCKE</t>
        </is>
      </c>
      <c r="F4746" t="inlineStr">
        <is>
          <t>SCA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61451-2024</t>
        </is>
      </c>
      <c r="B4747" s="1" t="n">
        <v>45646.49017361111</v>
      </c>
      <c r="C4747" s="1" t="n">
        <v>46045</v>
      </c>
      <c r="D4747" t="inlineStr">
        <is>
          <t>JÄMTLANDS LÄN</t>
        </is>
      </c>
      <c r="E4747" t="inlineStr">
        <is>
          <t>ÖSTERSUND</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35813-2023</t>
        </is>
      </c>
      <c r="B4748" s="1" t="n">
        <v>45147</v>
      </c>
      <c r="C4748" s="1" t="n">
        <v>46045</v>
      </c>
      <c r="D4748" t="inlineStr">
        <is>
          <t>JÄMTLANDS LÄN</t>
        </is>
      </c>
      <c r="E4748" t="inlineStr">
        <is>
          <t>HÄRJEDALEN</t>
        </is>
      </c>
      <c r="G4748" t="n">
        <v>15.1</v>
      </c>
      <c r="H4748" t="n">
        <v>0</v>
      </c>
      <c r="I4748" t="n">
        <v>0</v>
      </c>
      <c r="J4748" t="n">
        <v>0</v>
      </c>
      <c r="K4748" t="n">
        <v>0</v>
      </c>
      <c r="L4748" t="n">
        <v>0</v>
      </c>
      <c r="M4748" t="n">
        <v>0</v>
      </c>
      <c r="N4748" t="n">
        <v>0</v>
      </c>
      <c r="O4748" t="n">
        <v>0</v>
      </c>
      <c r="P4748" t="n">
        <v>0</v>
      </c>
      <c r="Q4748" t="n">
        <v>0</v>
      </c>
      <c r="R4748" s="2" t="inlineStr"/>
    </row>
    <row r="4749" ht="15" customHeight="1">
      <c r="A4749" t="inlineStr">
        <is>
          <t>A 41902-2023</t>
        </is>
      </c>
      <c r="B4749" s="1" t="n">
        <v>45176.87350694444</v>
      </c>
      <c r="C4749" s="1" t="n">
        <v>46045</v>
      </c>
      <c r="D4749" t="inlineStr">
        <is>
          <t>JÄMTLANDS LÄN</t>
        </is>
      </c>
      <c r="E4749" t="inlineStr">
        <is>
          <t>STRÖMSUND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41917-2023</t>
        </is>
      </c>
      <c r="B4750" s="1" t="n">
        <v>45176.9441087963</v>
      </c>
      <c r="C4750" s="1" t="n">
        <v>46045</v>
      </c>
      <c r="D4750" t="inlineStr">
        <is>
          <t>JÄMTLANDS LÄN</t>
        </is>
      </c>
      <c r="E4750" t="inlineStr">
        <is>
          <t>STRÖMSUND</t>
        </is>
      </c>
      <c r="F4750" t="inlineStr">
        <is>
          <t>SCA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41922-2023</t>
        </is>
      </c>
      <c r="B4751" s="1" t="n">
        <v>45176</v>
      </c>
      <c r="C4751" s="1" t="n">
        <v>46045</v>
      </c>
      <c r="D4751" t="inlineStr">
        <is>
          <t>JÄMTLANDS LÄN</t>
        </is>
      </c>
      <c r="E4751" t="inlineStr">
        <is>
          <t>BRÄCKE</t>
        </is>
      </c>
      <c r="F4751" t="inlineStr">
        <is>
          <t>SCA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42963-2025</t>
        </is>
      </c>
      <c r="B4752" s="1" t="n">
        <v>45909.37046296296</v>
      </c>
      <c r="C4752" s="1" t="n">
        <v>46045</v>
      </c>
      <c r="D4752" t="inlineStr">
        <is>
          <t>JÄMTLANDS LÄN</t>
        </is>
      </c>
      <c r="E4752" t="inlineStr">
        <is>
          <t>HÄRJEDALEN</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31388-2021</t>
        </is>
      </c>
      <c r="B4753" s="1" t="n">
        <v>44369</v>
      </c>
      <c r="C4753" s="1" t="n">
        <v>46045</v>
      </c>
      <c r="D4753" t="inlineStr">
        <is>
          <t>JÄMTLANDS LÄN</t>
        </is>
      </c>
      <c r="E4753" t="inlineStr">
        <is>
          <t>ÅRE</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29572-2024</t>
        </is>
      </c>
      <c r="B4754" s="1" t="n">
        <v>45484.55929398148</v>
      </c>
      <c r="C4754" s="1" t="n">
        <v>46045</v>
      </c>
      <c r="D4754" t="inlineStr">
        <is>
          <t>JÄMTLANDS LÄN</t>
        </is>
      </c>
      <c r="E4754" t="inlineStr">
        <is>
          <t>BRÄCKE</t>
        </is>
      </c>
      <c r="F4754" t="inlineStr">
        <is>
          <t>Övriga Aktiebolag</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44390-2023</t>
        </is>
      </c>
      <c r="B4755" s="1" t="n">
        <v>45188.94512731482</v>
      </c>
      <c r="C4755" s="1" t="n">
        <v>46045</v>
      </c>
      <c r="D4755" t="inlineStr">
        <is>
          <t>JÄMTLANDS LÄN</t>
        </is>
      </c>
      <c r="E4755" t="inlineStr">
        <is>
          <t>STRÖMSUND</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42989-2025</t>
        </is>
      </c>
      <c r="B4756" s="1" t="n">
        <v>45909.44971064815</v>
      </c>
      <c r="C4756" s="1" t="n">
        <v>46045</v>
      </c>
      <c r="D4756" t="inlineStr">
        <is>
          <t>JÄMTLANDS LÄN</t>
        </is>
      </c>
      <c r="E4756" t="inlineStr">
        <is>
          <t>ÖSTERSUND</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44403-2023</t>
        </is>
      </c>
      <c r="B4757" s="1" t="n">
        <v>45188.94601851852</v>
      </c>
      <c r="C4757" s="1" t="n">
        <v>46045</v>
      </c>
      <c r="D4757" t="inlineStr">
        <is>
          <t>JÄMTLANDS LÄN</t>
        </is>
      </c>
      <c r="E4757" t="inlineStr">
        <is>
          <t>BRÄCKE</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48543-2022</t>
        </is>
      </c>
      <c r="B4758" s="1" t="n">
        <v>44858.95497685186</v>
      </c>
      <c r="C4758" s="1" t="n">
        <v>46045</v>
      </c>
      <c r="D4758" t="inlineStr">
        <is>
          <t>JÄMTLANDS LÄN</t>
        </is>
      </c>
      <c r="E4758" t="inlineStr">
        <is>
          <t>STRÖMSUND</t>
        </is>
      </c>
      <c r="F4758" t="inlineStr">
        <is>
          <t>SCA</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1080-2025</t>
        </is>
      </c>
      <c r="B4759" s="1" t="n">
        <v>45666.61513888889</v>
      </c>
      <c r="C4759" s="1" t="n">
        <v>46045</v>
      </c>
      <c r="D4759" t="inlineStr">
        <is>
          <t>JÄMTLANDS LÄN</t>
        </is>
      </c>
      <c r="E4759" t="inlineStr">
        <is>
          <t>BRÄCKE</t>
        </is>
      </c>
      <c r="F4759" t="inlineStr">
        <is>
          <t>SCA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1126-2025</t>
        </is>
      </c>
      <c r="B4760" s="1" t="n">
        <v>45666.67743055556</v>
      </c>
      <c r="C4760" s="1" t="n">
        <v>46045</v>
      </c>
      <c r="D4760" t="inlineStr">
        <is>
          <t>JÄMTLANDS LÄN</t>
        </is>
      </c>
      <c r="E4760" t="inlineStr">
        <is>
          <t>STRÖMSUND</t>
        </is>
      </c>
      <c r="F4760" t="inlineStr">
        <is>
          <t>SCA</t>
        </is>
      </c>
      <c r="G4760" t="n">
        <v>9.800000000000001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23805-2024</t>
        </is>
      </c>
      <c r="B4761" s="1" t="n">
        <v>45455.44194444444</v>
      </c>
      <c r="C4761" s="1" t="n">
        <v>46045</v>
      </c>
      <c r="D4761" t="inlineStr">
        <is>
          <t>JÄMTLANDS LÄN</t>
        </is>
      </c>
      <c r="E4761" t="inlineStr">
        <is>
          <t>ÅRE</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33802-2021</t>
        </is>
      </c>
      <c r="B4762" s="1" t="n">
        <v>44377</v>
      </c>
      <c r="C4762" s="1" t="n">
        <v>46045</v>
      </c>
      <c r="D4762" t="inlineStr">
        <is>
          <t>JÄMTLANDS LÄN</t>
        </is>
      </c>
      <c r="E4762" t="inlineStr">
        <is>
          <t>KROKOM</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33831-2021</t>
        </is>
      </c>
      <c r="B4763" s="1" t="n">
        <v>44378</v>
      </c>
      <c r="C4763" s="1" t="n">
        <v>46045</v>
      </c>
      <c r="D4763" t="inlineStr">
        <is>
          <t>JÄMTLANDS LÄN</t>
        </is>
      </c>
      <c r="E4763" t="inlineStr">
        <is>
          <t>ÖSTERSUND</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43301-2025</t>
        </is>
      </c>
      <c r="B4764" s="1" t="n">
        <v>45910.63481481482</v>
      </c>
      <c r="C4764" s="1" t="n">
        <v>46045</v>
      </c>
      <c r="D4764" t="inlineStr">
        <is>
          <t>JÄMTLANDS LÄN</t>
        </is>
      </c>
      <c r="E4764" t="inlineStr">
        <is>
          <t>STRÖMSUND</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36568-2023</t>
        </is>
      </c>
      <c r="B4765" s="1" t="n">
        <v>45153.42725694444</v>
      </c>
      <c r="C4765" s="1" t="n">
        <v>46045</v>
      </c>
      <c r="D4765" t="inlineStr">
        <is>
          <t>JÄMTLANDS LÄN</t>
        </is>
      </c>
      <c r="E4765" t="inlineStr">
        <is>
          <t>HÄRJEDALEN</t>
        </is>
      </c>
      <c r="F4765" t="inlineStr">
        <is>
          <t>Bergvik skog väst AB</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43357-2025</t>
        </is>
      </c>
      <c r="B4766" s="1" t="n">
        <v>45910</v>
      </c>
      <c r="C4766" s="1" t="n">
        <v>46045</v>
      </c>
      <c r="D4766" t="inlineStr">
        <is>
          <t>JÄMTLANDS LÄN</t>
        </is>
      </c>
      <c r="E4766" t="inlineStr">
        <is>
          <t>STRÖMSUND</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6214-2022</t>
        </is>
      </c>
      <c r="B4767" s="1" t="n">
        <v>44600.37212962963</v>
      </c>
      <c r="C4767" s="1" t="n">
        <v>46045</v>
      </c>
      <c r="D4767" t="inlineStr">
        <is>
          <t>JÄMTLANDS LÄN</t>
        </is>
      </c>
      <c r="E4767" t="inlineStr">
        <is>
          <t>KROKOM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24062-2024</t>
        </is>
      </c>
      <c r="B4768" s="1" t="n">
        <v>45456.54141203704</v>
      </c>
      <c r="C4768" s="1" t="n">
        <v>46045</v>
      </c>
      <c r="D4768" t="inlineStr">
        <is>
          <t>JÄMTLANDS LÄN</t>
        </is>
      </c>
      <c r="E4768" t="inlineStr">
        <is>
          <t>BRÄCKE</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55219-2024</t>
        </is>
      </c>
      <c r="B4769" s="1" t="n">
        <v>45621.57325231482</v>
      </c>
      <c r="C4769" s="1" t="n">
        <v>46045</v>
      </c>
      <c r="D4769" t="inlineStr">
        <is>
          <t>JÄMTLANDS LÄN</t>
        </is>
      </c>
      <c r="E4769" t="inlineStr">
        <is>
          <t>STRÖMSUND</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43288-2025</t>
        </is>
      </c>
      <c r="B4770" s="1" t="n">
        <v>45910.61513888889</v>
      </c>
      <c r="C4770" s="1" t="n">
        <v>46045</v>
      </c>
      <c r="D4770" t="inlineStr">
        <is>
          <t>JÄMTLANDS LÄN</t>
        </is>
      </c>
      <c r="E4770" t="inlineStr">
        <is>
          <t>STRÖMSUND</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43290-2025</t>
        </is>
      </c>
      <c r="B4771" s="1" t="n">
        <v>45910.61677083333</v>
      </c>
      <c r="C4771" s="1" t="n">
        <v>46045</v>
      </c>
      <c r="D4771" t="inlineStr">
        <is>
          <t>JÄMTLANDS LÄN</t>
        </is>
      </c>
      <c r="E4771" t="inlineStr">
        <is>
          <t>STRÖMSUND</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43320-2025</t>
        </is>
      </c>
      <c r="B4772" s="1" t="n">
        <v>45910.65835648148</v>
      </c>
      <c r="C4772" s="1" t="n">
        <v>46045</v>
      </c>
      <c r="D4772" t="inlineStr">
        <is>
          <t>JÄMTLANDS LÄN</t>
        </is>
      </c>
      <c r="E4772" t="inlineStr">
        <is>
          <t>STRÖMSUND</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21530-2023</t>
        </is>
      </c>
      <c r="B4773" s="1" t="n">
        <v>45063</v>
      </c>
      <c r="C4773" s="1" t="n">
        <v>46045</v>
      </c>
      <c r="D4773" t="inlineStr">
        <is>
          <t>JÄMTLANDS LÄN</t>
        </is>
      </c>
      <c r="E4773" t="inlineStr">
        <is>
          <t>HÄRJEDALEN</t>
        </is>
      </c>
      <c r="G4773" t="n">
        <v>15.3</v>
      </c>
      <c r="H4773" t="n">
        <v>0</v>
      </c>
      <c r="I4773" t="n">
        <v>0</v>
      </c>
      <c r="J4773" t="n">
        <v>0</v>
      </c>
      <c r="K4773" t="n">
        <v>0</v>
      </c>
      <c r="L4773" t="n">
        <v>0</v>
      </c>
      <c r="M4773" t="n">
        <v>0</v>
      </c>
      <c r="N4773" t="n">
        <v>0</v>
      </c>
      <c r="O4773" t="n">
        <v>0</v>
      </c>
      <c r="P4773" t="n">
        <v>0</v>
      </c>
      <c r="Q4773" t="n">
        <v>0</v>
      </c>
      <c r="R4773" s="2" t="inlineStr"/>
    </row>
    <row r="4774" ht="15" customHeight="1">
      <c r="A4774" t="inlineStr">
        <is>
          <t>A 9016-2025</t>
        </is>
      </c>
      <c r="B4774" s="1" t="n">
        <v>45713.59163194444</v>
      </c>
      <c r="C4774" s="1" t="n">
        <v>46045</v>
      </c>
      <c r="D4774" t="inlineStr">
        <is>
          <t>JÄMTLANDS LÄN</t>
        </is>
      </c>
      <c r="E4774" t="inlineStr">
        <is>
          <t>KROKOM</t>
        </is>
      </c>
      <c r="F4774" t="inlineStr">
        <is>
          <t>Övriga Aktiebolag</t>
        </is>
      </c>
      <c r="G4774" t="n">
        <v>19.3</v>
      </c>
      <c r="H4774" t="n">
        <v>0</v>
      </c>
      <c r="I4774" t="n">
        <v>0</v>
      </c>
      <c r="J4774" t="n">
        <v>0</v>
      </c>
      <c r="K4774" t="n">
        <v>0</v>
      </c>
      <c r="L4774" t="n">
        <v>0</v>
      </c>
      <c r="M4774" t="n">
        <v>0</v>
      </c>
      <c r="N4774" t="n">
        <v>0</v>
      </c>
      <c r="O4774" t="n">
        <v>0</v>
      </c>
      <c r="P4774" t="n">
        <v>0</v>
      </c>
      <c r="Q4774" t="n">
        <v>0</v>
      </c>
      <c r="R4774" s="2" t="inlineStr"/>
    </row>
    <row r="4775" ht="15" customHeight="1">
      <c r="A4775" t="inlineStr">
        <is>
          <t>A 48440-2024</t>
        </is>
      </c>
      <c r="B4775" s="1" t="n">
        <v>45590.67774305555</v>
      </c>
      <c r="C4775" s="1" t="n">
        <v>46045</v>
      </c>
      <c r="D4775" t="inlineStr">
        <is>
          <t>JÄMTLANDS LÄN</t>
        </is>
      </c>
      <c r="E4775" t="inlineStr">
        <is>
          <t>BRÄCKE</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536-2023</t>
        </is>
      </c>
      <c r="B4776" s="1" t="n">
        <v>44930</v>
      </c>
      <c r="C4776" s="1" t="n">
        <v>46045</v>
      </c>
      <c r="D4776" t="inlineStr">
        <is>
          <t>JÄMTLANDS LÄN</t>
        </is>
      </c>
      <c r="E4776" t="inlineStr">
        <is>
          <t>STRÖMSUND</t>
        </is>
      </c>
      <c r="G4776" t="n">
        <v>35.4</v>
      </c>
      <c r="H4776" t="n">
        <v>0</v>
      </c>
      <c r="I4776" t="n">
        <v>0</v>
      </c>
      <c r="J4776" t="n">
        <v>0</v>
      </c>
      <c r="K4776" t="n">
        <v>0</v>
      </c>
      <c r="L4776" t="n">
        <v>0</v>
      </c>
      <c r="M4776" t="n">
        <v>0</v>
      </c>
      <c r="N4776" t="n">
        <v>0</v>
      </c>
      <c r="O4776" t="n">
        <v>0</v>
      </c>
      <c r="P4776" t="n">
        <v>0</v>
      </c>
      <c r="Q4776" t="n">
        <v>0</v>
      </c>
      <c r="R4776" s="2" t="inlineStr"/>
    </row>
    <row r="4777" ht="15" customHeight="1">
      <c r="A4777" t="inlineStr">
        <is>
          <t>A 44630-2023</t>
        </is>
      </c>
      <c r="B4777" s="1" t="n">
        <v>45184</v>
      </c>
      <c r="C4777" s="1" t="n">
        <v>46045</v>
      </c>
      <c r="D4777" t="inlineStr">
        <is>
          <t>JÄMTLANDS LÄN</t>
        </is>
      </c>
      <c r="E4777" t="inlineStr">
        <is>
          <t>RAGUNDA</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8261-2025</t>
        </is>
      </c>
      <c r="B4778" s="1" t="n">
        <v>45708.50256944444</v>
      </c>
      <c r="C4778" s="1" t="n">
        <v>46045</v>
      </c>
      <c r="D4778" t="inlineStr">
        <is>
          <t>JÄMTLANDS LÄN</t>
        </is>
      </c>
      <c r="E4778" t="inlineStr">
        <is>
          <t>ÖSTERSUND</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10756-2025</t>
        </is>
      </c>
      <c r="B4779" s="1" t="n">
        <v>45722.44892361111</v>
      </c>
      <c r="C4779" s="1" t="n">
        <v>46045</v>
      </c>
      <c r="D4779" t="inlineStr">
        <is>
          <t>JÄMTLANDS LÄN</t>
        </is>
      </c>
      <c r="E4779" t="inlineStr">
        <is>
          <t>ÖSTERSUND</t>
        </is>
      </c>
      <c r="F4779" t="inlineStr">
        <is>
          <t>SCA</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43323-2025</t>
        </is>
      </c>
      <c r="B4780" s="1" t="n">
        <v>45910.66498842592</v>
      </c>
      <c r="C4780" s="1" t="n">
        <v>46045</v>
      </c>
      <c r="D4780" t="inlineStr">
        <is>
          <t>JÄMTLANDS LÄN</t>
        </is>
      </c>
      <c r="E4780" t="inlineStr">
        <is>
          <t>HÄRJEDALEN</t>
        </is>
      </c>
      <c r="F4780" t="inlineStr">
        <is>
          <t>Sveaskog</t>
        </is>
      </c>
      <c r="G4780" t="n">
        <v>9.300000000000001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29581-2024</t>
        </is>
      </c>
      <c r="B4781" s="1" t="n">
        <v>45484.5740162037</v>
      </c>
      <c r="C4781" s="1" t="n">
        <v>46045</v>
      </c>
      <c r="D4781" t="inlineStr">
        <is>
          <t>JÄMTLANDS LÄN</t>
        </is>
      </c>
      <c r="E4781" t="inlineStr">
        <is>
          <t>BERG</t>
        </is>
      </c>
      <c r="G4781" t="n">
        <v>16.7</v>
      </c>
      <c r="H4781" t="n">
        <v>0</v>
      </c>
      <c r="I4781" t="n">
        <v>0</v>
      </c>
      <c r="J4781" t="n">
        <v>0</v>
      </c>
      <c r="K4781" t="n">
        <v>0</v>
      </c>
      <c r="L4781" t="n">
        <v>0</v>
      </c>
      <c r="M4781" t="n">
        <v>0</v>
      </c>
      <c r="N4781" t="n">
        <v>0</v>
      </c>
      <c r="O4781" t="n">
        <v>0</v>
      </c>
      <c r="P4781" t="n">
        <v>0</v>
      </c>
      <c r="Q4781" t="n">
        <v>0</v>
      </c>
      <c r="R4781" s="2" t="inlineStr"/>
    </row>
    <row r="4782" ht="15" customHeight="1">
      <c r="A4782" t="inlineStr">
        <is>
          <t>A 43330-2025</t>
        </is>
      </c>
      <c r="B4782" s="1" t="n">
        <v>45910.67766203704</v>
      </c>
      <c r="C4782" s="1" t="n">
        <v>46045</v>
      </c>
      <c r="D4782" t="inlineStr">
        <is>
          <t>JÄMTLANDS LÄN</t>
        </is>
      </c>
      <c r="E4782" t="inlineStr">
        <is>
          <t>RAGUNDA</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42933-2025</t>
        </is>
      </c>
      <c r="B4783" s="1" t="n">
        <v>45909.32215277778</v>
      </c>
      <c r="C4783" s="1" t="n">
        <v>46045</v>
      </c>
      <c r="D4783" t="inlineStr">
        <is>
          <t>JÄMTLANDS LÄN</t>
        </is>
      </c>
      <c r="E4783" t="inlineStr">
        <is>
          <t>BRÄCKE</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7520-2023</t>
        </is>
      </c>
      <c r="B4784" s="1" t="n">
        <v>44971</v>
      </c>
      <c r="C4784" s="1" t="n">
        <v>46045</v>
      </c>
      <c r="D4784" t="inlineStr">
        <is>
          <t>JÄMTLANDS LÄN</t>
        </is>
      </c>
      <c r="E4784" t="inlineStr">
        <is>
          <t>RAGUNDA</t>
        </is>
      </c>
      <c r="F4784" t="inlineStr">
        <is>
          <t>SCA</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61934-2022</t>
        </is>
      </c>
      <c r="B4785" s="1" t="n">
        <v>44917</v>
      </c>
      <c r="C4785" s="1" t="n">
        <v>46045</v>
      </c>
      <c r="D4785" t="inlineStr">
        <is>
          <t>JÄMTLANDS LÄN</t>
        </is>
      </c>
      <c r="E4785" t="inlineStr">
        <is>
          <t>RAGUNDA</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43164-2025</t>
        </is>
      </c>
      <c r="B4786" s="1" t="n">
        <v>45909</v>
      </c>
      <c r="C4786" s="1" t="n">
        <v>46045</v>
      </c>
      <c r="D4786" t="inlineStr">
        <is>
          <t>JÄMTLANDS LÄN</t>
        </is>
      </c>
      <c r="E4786" t="inlineStr">
        <is>
          <t>STRÖMSUND</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53549-2024</t>
        </is>
      </c>
      <c r="B4787" s="1" t="n">
        <v>45614.63869212963</v>
      </c>
      <c r="C4787" s="1" t="n">
        <v>46045</v>
      </c>
      <c r="D4787" t="inlineStr">
        <is>
          <t>JÄMTLANDS LÄN</t>
        </is>
      </c>
      <c r="E4787" t="inlineStr">
        <is>
          <t>RAGUNDA</t>
        </is>
      </c>
      <c r="F4787" t="inlineStr">
        <is>
          <t>Kyrkan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783-2025</t>
        </is>
      </c>
      <c r="B4788" s="1" t="n">
        <v>45665.49290509259</v>
      </c>
      <c r="C4788" s="1" t="n">
        <v>46045</v>
      </c>
      <c r="D4788" t="inlineStr">
        <is>
          <t>JÄMTLANDS LÄN</t>
        </is>
      </c>
      <c r="E4788" t="inlineStr">
        <is>
          <t>BRÄCKE</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43168-2025</t>
        </is>
      </c>
      <c r="B4789" s="1" t="n">
        <v>45909</v>
      </c>
      <c r="C4789" s="1" t="n">
        <v>46045</v>
      </c>
      <c r="D4789" t="inlineStr">
        <is>
          <t>JÄMTLANDS LÄN</t>
        </is>
      </c>
      <c r="E4789" t="inlineStr">
        <is>
          <t>STRÖMSUND</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48416-2024</t>
        </is>
      </c>
      <c r="B4790" s="1" t="n">
        <v>45590.64153935185</v>
      </c>
      <c r="C4790" s="1" t="n">
        <v>46045</v>
      </c>
      <c r="D4790" t="inlineStr">
        <is>
          <t>JÄMTLANDS LÄN</t>
        </is>
      </c>
      <c r="E4790" t="inlineStr">
        <is>
          <t>BRÄCKE</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60897-2022</t>
        </is>
      </c>
      <c r="B4791" s="1" t="n">
        <v>44914</v>
      </c>
      <c r="C4791" s="1" t="n">
        <v>46045</v>
      </c>
      <c r="D4791" t="inlineStr">
        <is>
          <t>JÄMTLANDS LÄN</t>
        </is>
      </c>
      <c r="E4791" t="inlineStr">
        <is>
          <t>HÄRJEDALEN</t>
        </is>
      </c>
      <c r="F4791" t="inlineStr">
        <is>
          <t>Holmen skog AB</t>
        </is>
      </c>
      <c r="G4791" t="n">
        <v>0.3</v>
      </c>
      <c r="H4791" t="n">
        <v>0</v>
      </c>
      <c r="I4791" t="n">
        <v>0</v>
      </c>
      <c r="J4791" t="n">
        <v>0</v>
      </c>
      <c r="K4791" t="n">
        <v>0</v>
      </c>
      <c r="L4791" t="n">
        <v>0</v>
      </c>
      <c r="M4791" t="n">
        <v>0</v>
      </c>
      <c r="N4791" t="n">
        <v>0</v>
      </c>
      <c r="O4791" t="n">
        <v>0</v>
      </c>
      <c r="P4791" t="n">
        <v>0</v>
      </c>
      <c r="Q4791" t="n">
        <v>0</v>
      </c>
      <c r="R4791" s="2" t="inlineStr"/>
      <c r="U4791">
        <f>HYPERLINK("https://klasma.github.io/Logging_2361/knärot/A 60897-2022 karta knärot.png", "A 60897-2022")</f>
        <v/>
      </c>
      <c r="V4791">
        <f>HYPERLINK("https://klasma.github.io/Logging_2361/klagomål/A 60897-2022 FSC-klagomål.docx", "A 60897-2022")</f>
        <v/>
      </c>
      <c r="W4791">
        <f>HYPERLINK("https://klasma.github.io/Logging_2361/klagomålsmail/A 60897-2022 FSC-klagomål mail.docx", "A 60897-2022")</f>
        <v/>
      </c>
      <c r="X4791">
        <f>HYPERLINK("https://klasma.github.io/Logging_2361/tillsyn/A 60897-2022 tillsynsbegäran.docx", "A 60897-2022")</f>
        <v/>
      </c>
      <c r="Y4791">
        <f>HYPERLINK("https://klasma.github.io/Logging_2361/tillsynsmail/A 60897-2022 tillsynsbegäran mail.docx", "A 60897-2022")</f>
        <v/>
      </c>
    </row>
    <row r="4792" ht="15" customHeight="1">
      <c r="A4792" t="inlineStr">
        <is>
          <t>A 105-2023</t>
        </is>
      </c>
      <c r="B4792" s="1" t="n">
        <v>44928.48072916667</v>
      </c>
      <c r="C4792" s="1" t="n">
        <v>46045</v>
      </c>
      <c r="D4792" t="inlineStr">
        <is>
          <t>JÄMTLANDS LÄN</t>
        </is>
      </c>
      <c r="E4792" t="inlineStr">
        <is>
          <t>HÄRJEDALEN</t>
        </is>
      </c>
      <c r="F4792" t="inlineStr">
        <is>
          <t>Holmen skog AB</t>
        </is>
      </c>
      <c r="G4792" t="n">
        <v>17.5</v>
      </c>
      <c r="H4792" t="n">
        <v>0</v>
      </c>
      <c r="I4792" t="n">
        <v>0</v>
      </c>
      <c r="J4792" t="n">
        <v>0</v>
      </c>
      <c r="K4792" t="n">
        <v>0</v>
      </c>
      <c r="L4792" t="n">
        <v>0</v>
      </c>
      <c r="M4792" t="n">
        <v>0</v>
      </c>
      <c r="N4792" t="n">
        <v>0</v>
      </c>
      <c r="O4792" t="n">
        <v>0</v>
      </c>
      <c r="P4792" t="n">
        <v>0</v>
      </c>
      <c r="Q4792" t="n">
        <v>0</v>
      </c>
      <c r="R4792" s="2" t="inlineStr"/>
    </row>
    <row r="4793" ht="15" customHeight="1">
      <c r="A4793" t="inlineStr">
        <is>
          <t>A 21679-2023</t>
        </is>
      </c>
      <c r="B4793" s="1" t="n">
        <v>45063.94199074074</v>
      </c>
      <c r="C4793" s="1" t="n">
        <v>46045</v>
      </c>
      <c r="D4793" t="inlineStr">
        <is>
          <t>JÄMTLANDS LÄN</t>
        </is>
      </c>
      <c r="E4793" t="inlineStr">
        <is>
          <t>BERG</t>
        </is>
      </c>
      <c r="F4793" t="inlineStr">
        <is>
          <t>SCA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30479-2022</t>
        </is>
      </c>
      <c r="B4794" s="1" t="n">
        <v>44761.94013888889</v>
      </c>
      <c r="C4794" s="1" t="n">
        <v>46045</v>
      </c>
      <c r="D4794" t="inlineStr">
        <is>
          <t>JÄMTLANDS LÄN</t>
        </is>
      </c>
      <c r="E4794" t="inlineStr">
        <is>
          <t>BRÄCKE</t>
        </is>
      </c>
      <c r="F4794" t="inlineStr">
        <is>
          <t>SCA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33787-2021</t>
        </is>
      </c>
      <c r="B4795" s="1" t="n">
        <v>44368</v>
      </c>
      <c r="C4795" s="1" t="n">
        <v>46045</v>
      </c>
      <c r="D4795" t="inlineStr">
        <is>
          <t>JÄMTLANDS LÄN</t>
        </is>
      </c>
      <c r="E4795" t="inlineStr">
        <is>
          <t>STRÖMSUND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12265-2025</t>
        </is>
      </c>
      <c r="B4796" s="1" t="n">
        <v>45729</v>
      </c>
      <c r="C4796" s="1" t="n">
        <v>46045</v>
      </c>
      <c r="D4796" t="inlineStr">
        <is>
          <t>JÄMTLANDS LÄN</t>
        </is>
      </c>
      <c r="E4796" t="inlineStr">
        <is>
          <t>STRÖMSUND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12352-2025</t>
        </is>
      </c>
      <c r="B4797" s="1" t="n">
        <v>45730.36263888889</v>
      </c>
      <c r="C4797" s="1" t="n">
        <v>46045</v>
      </c>
      <c r="D4797" t="inlineStr">
        <is>
          <t>JÄMTLANDS LÄN</t>
        </is>
      </c>
      <c r="E4797" t="inlineStr">
        <is>
          <t>ÖSTERSUND</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43239-2025</t>
        </is>
      </c>
      <c r="B4798" s="1" t="n">
        <v>45910.52289351852</v>
      </c>
      <c r="C4798" s="1" t="n">
        <v>46045</v>
      </c>
      <c r="D4798" t="inlineStr">
        <is>
          <t>JÄMTLANDS LÄN</t>
        </is>
      </c>
      <c r="E4798" t="inlineStr">
        <is>
          <t>STRÖMSUND</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11550-2023</t>
        </is>
      </c>
      <c r="B4799" s="1" t="n">
        <v>44993</v>
      </c>
      <c r="C4799" s="1" t="n">
        <v>46045</v>
      </c>
      <c r="D4799" t="inlineStr">
        <is>
          <t>JÄMTLANDS LÄN</t>
        </is>
      </c>
      <c r="E4799" t="inlineStr">
        <is>
          <t>BRÄCKE</t>
        </is>
      </c>
      <c r="F4799" t="inlineStr">
        <is>
          <t>SCA</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11558-2023</t>
        </is>
      </c>
      <c r="B4800" s="1" t="n">
        <v>44993.94958333333</v>
      </c>
      <c r="C4800" s="1" t="n">
        <v>46045</v>
      </c>
      <c r="D4800" t="inlineStr">
        <is>
          <t>JÄMTLANDS LÄN</t>
        </is>
      </c>
      <c r="E4800" t="inlineStr">
        <is>
          <t>RAGUNDA</t>
        </is>
      </c>
      <c r="F4800" t="inlineStr">
        <is>
          <t>SCA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31905-2021</t>
        </is>
      </c>
      <c r="B4801" s="1" t="n">
        <v>44370</v>
      </c>
      <c r="C4801" s="1" t="n">
        <v>46045</v>
      </c>
      <c r="D4801" t="inlineStr">
        <is>
          <t>JÄMTLANDS LÄN</t>
        </is>
      </c>
      <c r="E4801" t="inlineStr">
        <is>
          <t>KROKOM</t>
        </is>
      </c>
      <c r="G4801" t="n">
        <v>12.9</v>
      </c>
      <c r="H4801" t="n">
        <v>0</v>
      </c>
      <c r="I4801" t="n">
        <v>0</v>
      </c>
      <c r="J4801" t="n">
        <v>0</v>
      </c>
      <c r="K4801" t="n">
        <v>0</v>
      </c>
      <c r="L4801" t="n">
        <v>0</v>
      </c>
      <c r="M4801" t="n">
        <v>0</v>
      </c>
      <c r="N4801" t="n">
        <v>0</v>
      </c>
      <c r="O4801" t="n">
        <v>0</v>
      </c>
      <c r="P4801" t="n">
        <v>0</v>
      </c>
      <c r="Q4801" t="n">
        <v>0</v>
      </c>
      <c r="R4801" s="2" t="inlineStr"/>
    </row>
    <row r="4802" ht="15" customHeight="1">
      <c r="A4802" t="inlineStr">
        <is>
          <t>A 19275-2021</t>
        </is>
      </c>
      <c r="B4802" s="1" t="n">
        <v>44309</v>
      </c>
      <c r="C4802" s="1" t="n">
        <v>46045</v>
      </c>
      <c r="D4802" t="inlineStr">
        <is>
          <t>JÄMTLANDS LÄN</t>
        </is>
      </c>
      <c r="E4802" t="inlineStr">
        <is>
          <t>ÅRE</t>
        </is>
      </c>
      <c r="G4802" t="n">
        <v>16.4</v>
      </c>
      <c r="H4802" t="n">
        <v>0</v>
      </c>
      <c r="I4802" t="n">
        <v>0</v>
      </c>
      <c r="J4802" t="n">
        <v>0</v>
      </c>
      <c r="K4802" t="n">
        <v>0</v>
      </c>
      <c r="L4802" t="n">
        <v>0</v>
      </c>
      <c r="M4802" t="n">
        <v>0</v>
      </c>
      <c r="N4802" t="n">
        <v>0</v>
      </c>
      <c r="O4802" t="n">
        <v>0</v>
      </c>
      <c r="P4802" t="n">
        <v>0</v>
      </c>
      <c r="Q4802" t="n">
        <v>0</v>
      </c>
      <c r="R4802" s="2" t="inlineStr"/>
    </row>
    <row r="4803" ht="15" customHeight="1">
      <c r="A4803" t="inlineStr">
        <is>
          <t>A 42369-2021</t>
        </is>
      </c>
      <c r="B4803" s="1" t="n">
        <v>44427</v>
      </c>
      <c r="C4803" s="1" t="n">
        <v>46045</v>
      </c>
      <c r="D4803" t="inlineStr">
        <is>
          <t>JÄMTLANDS LÄN</t>
        </is>
      </c>
      <c r="E4803" t="inlineStr">
        <is>
          <t>KROKOM</t>
        </is>
      </c>
      <c r="G4803" t="n">
        <v>8.199999999999999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9971-2025</t>
        </is>
      </c>
      <c r="B4804" s="1" t="n">
        <v>45719.38630787037</v>
      </c>
      <c r="C4804" s="1" t="n">
        <v>46045</v>
      </c>
      <c r="D4804" t="inlineStr">
        <is>
          <t>JÄMTLANDS LÄN</t>
        </is>
      </c>
      <c r="E4804" t="inlineStr">
        <is>
          <t>ÖSTERSUND</t>
        </is>
      </c>
      <c r="F4804" t="inlineStr">
        <is>
          <t>SCA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42943-2025</t>
        </is>
      </c>
      <c r="B4805" s="1" t="n">
        <v>45909</v>
      </c>
      <c r="C4805" s="1" t="n">
        <v>46045</v>
      </c>
      <c r="D4805" t="inlineStr">
        <is>
          <t>JÄMTLANDS LÄN</t>
        </is>
      </c>
      <c r="E4805" t="inlineStr">
        <is>
          <t>HÄRJEDALEN</t>
        </is>
      </c>
      <c r="F4805" t="inlineStr">
        <is>
          <t>Bergvik skog väst AB</t>
        </is>
      </c>
      <c r="G4805" t="n">
        <v>10.4</v>
      </c>
      <c r="H4805" t="n">
        <v>0</v>
      </c>
      <c r="I4805" t="n">
        <v>0</v>
      </c>
      <c r="J4805" t="n">
        <v>0</v>
      </c>
      <c r="K4805" t="n">
        <v>0</v>
      </c>
      <c r="L4805" t="n">
        <v>0</v>
      </c>
      <c r="M4805" t="n">
        <v>0</v>
      </c>
      <c r="N4805" t="n">
        <v>0</v>
      </c>
      <c r="O4805" t="n">
        <v>0</v>
      </c>
      <c r="P4805" t="n">
        <v>0</v>
      </c>
      <c r="Q4805" t="n">
        <v>0</v>
      </c>
      <c r="R4805" s="2" t="inlineStr"/>
    </row>
    <row r="4806" ht="15" customHeight="1">
      <c r="A4806" t="inlineStr">
        <is>
          <t>A 3180-2024</t>
        </is>
      </c>
      <c r="B4806" s="1" t="n">
        <v>45316.64880787037</v>
      </c>
      <c r="C4806" s="1" t="n">
        <v>46045</v>
      </c>
      <c r="D4806" t="inlineStr">
        <is>
          <t>JÄMTLANDS LÄN</t>
        </is>
      </c>
      <c r="E4806" t="inlineStr">
        <is>
          <t>BRÄCKE</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3182-2024</t>
        </is>
      </c>
      <c r="B4807" s="1" t="n">
        <v>45316.65004629629</v>
      </c>
      <c r="C4807" s="1" t="n">
        <v>46045</v>
      </c>
      <c r="D4807" t="inlineStr">
        <is>
          <t>JÄMTLANDS LÄN</t>
        </is>
      </c>
      <c r="E4807" t="inlineStr">
        <is>
          <t>BRÄCKE</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12522-2023</t>
        </is>
      </c>
      <c r="B4808" s="1" t="n">
        <v>45000</v>
      </c>
      <c r="C4808" s="1" t="n">
        <v>46045</v>
      </c>
      <c r="D4808" t="inlineStr">
        <is>
          <t>JÄMTLANDS LÄN</t>
        </is>
      </c>
      <c r="E4808" t="inlineStr">
        <is>
          <t>RAGUNDA</t>
        </is>
      </c>
      <c r="F4808" t="inlineStr">
        <is>
          <t>SCA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12523-2023</t>
        </is>
      </c>
      <c r="B4809" s="1" t="n">
        <v>45000</v>
      </c>
      <c r="C4809" s="1" t="n">
        <v>46045</v>
      </c>
      <c r="D4809" t="inlineStr">
        <is>
          <t>JÄMTLANDS LÄN</t>
        </is>
      </c>
      <c r="E4809" t="inlineStr">
        <is>
          <t>RAGUNDA</t>
        </is>
      </c>
      <c r="F4809" t="inlineStr">
        <is>
          <t>SCA</t>
        </is>
      </c>
      <c r="G4809" t="n">
        <v>14.3</v>
      </c>
      <c r="H4809" t="n">
        <v>0</v>
      </c>
      <c r="I4809" t="n">
        <v>0</v>
      </c>
      <c r="J4809" t="n">
        <v>0</v>
      </c>
      <c r="K4809" t="n">
        <v>0</v>
      </c>
      <c r="L4809" t="n">
        <v>0</v>
      </c>
      <c r="M4809" t="n">
        <v>0</v>
      </c>
      <c r="N4809" t="n">
        <v>0</v>
      </c>
      <c r="O4809" t="n">
        <v>0</v>
      </c>
      <c r="P4809" t="n">
        <v>0</v>
      </c>
      <c r="Q4809" t="n">
        <v>0</v>
      </c>
      <c r="R4809" s="2" t="inlineStr"/>
    </row>
    <row r="4810" ht="15" customHeight="1">
      <c r="A4810" t="inlineStr">
        <is>
          <t>A 48333-2022</t>
        </is>
      </c>
      <c r="B4810" s="1" t="n">
        <v>44858</v>
      </c>
      <c r="C4810" s="1" t="n">
        <v>46045</v>
      </c>
      <c r="D4810" t="inlineStr">
        <is>
          <t>JÄMTLANDS LÄN</t>
        </is>
      </c>
      <c r="E4810" t="inlineStr">
        <is>
          <t>STRÖMSUND</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43225-2025</t>
        </is>
      </c>
      <c r="B4811" s="1" t="n">
        <v>45910.4900462963</v>
      </c>
      <c r="C4811" s="1" t="n">
        <v>46045</v>
      </c>
      <c r="D4811" t="inlineStr">
        <is>
          <t>JÄMTLANDS LÄN</t>
        </is>
      </c>
      <c r="E4811" t="inlineStr">
        <is>
          <t>ÖSTERSUND</t>
        </is>
      </c>
      <c r="F4811" t="inlineStr">
        <is>
          <t>SCA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37957-2021</t>
        </is>
      </c>
      <c r="B4812" s="1" t="n">
        <v>44403</v>
      </c>
      <c r="C4812" s="1" t="n">
        <v>46045</v>
      </c>
      <c r="D4812" t="inlineStr">
        <is>
          <t>JÄMTLANDS LÄN</t>
        </is>
      </c>
      <c r="E4812" t="inlineStr">
        <is>
          <t>BRÄCKE</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37098-2024</t>
        </is>
      </c>
      <c r="B4813" s="1" t="n">
        <v>45539.50243055556</v>
      </c>
      <c r="C4813" s="1" t="n">
        <v>46045</v>
      </c>
      <c r="D4813" t="inlineStr">
        <is>
          <t>JÄMTLANDS LÄN</t>
        </is>
      </c>
      <c r="E4813" t="inlineStr">
        <is>
          <t>BERG</t>
        </is>
      </c>
      <c r="F4813" t="inlineStr">
        <is>
          <t>Övriga Aktiebolag</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53941-2022</t>
        </is>
      </c>
      <c r="B4814" s="1" t="n">
        <v>44880</v>
      </c>
      <c r="C4814" s="1" t="n">
        <v>46045</v>
      </c>
      <c r="D4814" t="inlineStr">
        <is>
          <t>JÄMTLANDS LÄN</t>
        </is>
      </c>
      <c r="E4814" t="inlineStr">
        <is>
          <t>BRÄCKE</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29314-2021</t>
        </is>
      </c>
      <c r="B4815" s="1" t="n">
        <v>44361</v>
      </c>
      <c r="C4815" s="1" t="n">
        <v>46045</v>
      </c>
      <c r="D4815" t="inlineStr">
        <is>
          <t>JÄMTLANDS LÄN</t>
        </is>
      </c>
      <c r="E4815" t="inlineStr">
        <is>
          <t>BRÄCKE</t>
        </is>
      </c>
      <c r="G4815" t="n">
        <v>9.6</v>
      </c>
      <c r="H4815" t="n">
        <v>0</v>
      </c>
      <c r="I4815" t="n">
        <v>0</v>
      </c>
      <c r="J4815" t="n">
        <v>0</v>
      </c>
      <c r="K4815" t="n">
        <v>0</v>
      </c>
      <c r="L4815" t="n">
        <v>0</v>
      </c>
      <c r="M4815" t="n">
        <v>0</v>
      </c>
      <c r="N4815" t="n">
        <v>0</v>
      </c>
      <c r="O4815" t="n">
        <v>0</v>
      </c>
      <c r="P4815" t="n">
        <v>0</v>
      </c>
      <c r="Q4815" t="n">
        <v>0</v>
      </c>
      <c r="R4815" s="2" t="inlineStr"/>
    </row>
    <row r="4816" ht="15" customHeight="1">
      <c r="A4816" t="inlineStr">
        <is>
          <t>A 53955-2022</t>
        </is>
      </c>
      <c r="B4816" s="1" t="n">
        <v>44880.95741898148</v>
      </c>
      <c r="C4816" s="1" t="n">
        <v>46045</v>
      </c>
      <c r="D4816" t="inlineStr">
        <is>
          <t>JÄMTLANDS LÄN</t>
        </is>
      </c>
      <c r="E4816" t="inlineStr">
        <is>
          <t>RAGUNDA</t>
        </is>
      </c>
      <c r="F4816" t="inlineStr">
        <is>
          <t>SCA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296-2023</t>
        </is>
      </c>
      <c r="B4817" s="1" t="n">
        <v>44922</v>
      </c>
      <c r="C4817" s="1" t="n">
        <v>46045</v>
      </c>
      <c r="D4817" t="inlineStr">
        <is>
          <t>JÄMTLANDS LÄN</t>
        </is>
      </c>
      <c r="E4817" t="inlineStr">
        <is>
          <t>ÖSTERSUND</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57668-2024</t>
        </is>
      </c>
      <c r="B4818" s="1" t="n">
        <v>45630.62513888889</v>
      </c>
      <c r="C4818" s="1" t="n">
        <v>46045</v>
      </c>
      <c r="D4818" t="inlineStr">
        <is>
          <t>JÄMTLANDS LÄN</t>
        </is>
      </c>
      <c r="E4818" t="inlineStr">
        <is>
          <t>HÄRJEDALEN</t>
        </is>
      </c>
      <c r="G4818" t="n">
        <v>15.7</v>
      </c>
      <c r="H4818" t="n">
        <v>0</v>
      </c>
      <c r="I4818" t="n">
        <v>0</v>
      </c>
      <c r="J4818" t="n">
        <v>0</v>
      </c>
      <c r="K4818" t="n">
        <v>0</v>
      </c>
      <c r="L4818" t="n">
        <v>0</v>
      </c>
      <c r="M4818" t="n">
        <v>0</v>
      </c>
      <c r="N4818" t="n">
        <v>0</v>
      </c>
      <c r="O4818" t="n">
        <v>0</v>
      </c>
      <c r="P4818" t="n">
        <v>0</v>
      </c>
      <c r="Q4818" t="n">
        <v>0</v>
      </c>
      <c r="R4818" s="2" t="inlineStr"/>
    </row>
    <row r="4819" ht="15" customHeight="1">
      <c r="A4819" t="inlineStr">
        <is>
          <t>A 37101-2024</t>
        </is>
      </c>
      <c r="B4819" s="1" t="n">
        <v>45539.5029050926</v>
      </c>
      <c r="C4819" s="1" t="n">
        <v>46045</v>
      </c>
      <c r="D4819" t="inlineStr">
        <is>
          <t>JÄMTLANDS LÄN</t>
        </is>
      </c>
      <c r="E4819" t="inlineStr">
        <is>
          <t>BERG</t>
        </is>
      </c>
      <c r="F4819" t="inlineStr">
        <is>
          <t>Övriga Aktiebolag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43180-2025</t>
        </is>
      </c>
      <c r="B4820" s="1" t="n">
        <v>45910.40699074074</v>
      </c>
      <c r="C4820" s="1" t="n">
        <v>46045</v>
      </c>
      <c r="D4820" t="inlineStr">
        <is>
          <t>JÄMTLANDS LÄN</t>
        </is>
      </c>
      <c r="E4820" t="inlineStr">
        <is>
          <t>BRÄCKE</t>
        </is>
      </c>
      <c r="F4820" t="inlineStr">
        <is>
          <t>SCA</t>
        </is>
      </c>
      <c r="G4820" t="n">
        <v>10.9</v>
      </c>
      <c r="H4820" t="n">
        <v>0</v>
      </c>
      <c r="I4820" t="n">
        <v>0</v>
      </c>
      <c r="J4820" t="n">
        <v>0</v>
      </c>
      <c r="K4820" t="n">
        <v>0</v>
      </c>
      <c r="L4820" t="n">
        <v>0</v>
      </c>
      <c r="M4820" t="n">
        <v>0</v>
      </c>
      <c r="N4820" t="n">
        <v>0</v>
      </c>
      <c r="O4820" t="n">
        <v>0</v>
      </c>
      <c r="P4820" t="n">
        <v>0</v>
      </c>
      <c r="Q4820" t="n">
        <v>0</v>
      </c>
      <c r="R4820" s="2" t="inlineStr"/>
    </row>
    <row r="4821" ht="15" customHeight="1">
      <c r="A4821" t="inlineStr">
        <is>
          <t>A 43296-2025</t>
        </is>
      </c>
      <c r="B4821" s="1" t="n">
        <v>45910.62386574074</v>
      </c>
      <c r="C4821" s="1" t="n">
        <v>46045</v>
      </c>
      <c r="D4821" t="inlineStr">
        <is>
          <t>JÄMTLANDS LÄN</t>
        </is>
      </c>
      <c r="E4821" t="inlineStr">
        <is>
          <t>STRÖMSUND</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11193-2024</t>
        </is>
      </c>
      <c r="B4822" s="1" t="n">
        <v>45371</v>
      </c>
      <c r="C4822" s="1" t="n">
        <v>46045</v>
      </c>
      <c r="D4822" t="inlineStr">
        <is>
          <t>JÄMTLANDS LÄN</t>
        </is>
      </c>
      <c r="E4822" t="inlineStr">
        <is>
          <t>KROKOM</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14594-2025</t>
        </is>
      </c>
      <c r="B4823" s="1" t="n">
        <v>45742.34414351852</v>
      </c>
      <c r="C4823" s="1" t="n">
        <v>46045</v>
      </c>
      <c r="D4823" t="inlineStr">
        <is>
          <t>JÄMTLANDS LÄN</t>
        </is>
      </c>
      <c r="E4823" t="inlineStr">
        <is>
          <t>BERG</t>
        </is>
      </c>
      <c r="F4823" t="inlineStr">
        <is>
          <t>SCA</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14596-2025</t>
        </is>
      </c>
      <c r="B4824" s="1" t="n">
        <v>45742.34449074074</v>
      </c>
      <c r="C4824" s="1" t="n">
        <v>46045</v>
      </c>
      <c r="D4824" t="inlineStr">
        <is>
          <t>JÄMTLANDS LÄN</t>
        </is>
      </c>
      <c r="E4824" t="inlineStr">
        <is>
          <t>BERG</t>
        </is>
      </c>
      <c r="F4824" t="inlineStr">
        <is>
          <t>SCA</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42936-2025</t>
        </is>
      </c>
      <c r="B4825" s="1" t="n">
        <v>45909.32590277777</v>
      </c>
      <c r="C4825" s="1" t="n">
        <v>46045</v>
      </c>
      <c r="D4825" t="inlineStr">
        <is>
          <t>JÄMTLANDS LÄN</t>
        </is>
      </c>
      <c r="E4825" t="inlineStr">
        <is>
          <t>BRÄCKE</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31467-2023</t>
        </is>
      </c>
      <c r="B4826" s="1" t="n">
        <v>45104</v>
      </c>
      <c r="C4826" s="1" t="n">
        <v>46045</v>
      </c>
      <c r="D4826" t="inlineStr">
        <is>
          <t>JÄMTLANDS LÄN</t>
        </is>
      </c>
      <c r="E4826" t="inlineStr">
        <is>
          <t>BRÄCKE</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31471-2023</t>
        </is>
      </c>
      <c r="B4827" s="1" t="n">
        <v>45104</v>
      </c>
      <c r="C4827" s="1" t="n">
        <v>46045</v>
      </c>
      <c r="D4827" t="inlineStr">
        <is>
          <t>JÄMTLANDS LÄN</t>
        </is>
      </c>
      <c r="E4827" t="inlineStr">
        <is>
          <t>BRÄCKE</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10769-2025</t>
        </is>
      </c>
      <c r="B4828" s="1" t="n">
        <v>45722.4690625</v>
      </c>
      <c r="C4828" s="1" t="n">
        <v>46045</v>
      </c>
      <c r="D4828" t="inlineStr">
        <is>
          <t>JÄMTLANDS LÄN</t>
        </is>
      </c>
      <c r="E4828" t="inlineStr">
        <is>
          <t>BRÄCKE</t>
        </is>
      </c>
      <c r="F4828" t="inlineStr">
        <is>
          <t>SCA</t>
        </is>
      </c>
      <c r="G4828" t="n">
        <v>18.7</v>
      </c>
      <c r="H4828" t="n">
        <v>0</v>
      </c>
      <c r="I4828" t="n">
        <v>0</v>
      </c>
      <c r="J4828" t="n">
        <v>0</v>
      </c>
      <c r="K4828" t="n">
        <v>0</v>
      </c>
      <c r="L4828" t="n">
        <v>0</v>
      </c>
      <c r="M4828" t="n">
        <v>0</v>
      </c>
      <c r="N4828" t="n">
        <v>0</v>
      </c>
      <c r="O4828" t="n">
        <v>0</v>
      </c>
      <c r="P4828" t="n">
        <v>0</v>
      </c>
      <c r="Q4828" t="n">
        <v>0</v>
      </c>
      <c r="R4828" s="2" t="inlineStr"/>
    </row>
    <row r="4829" ht="15" customHeight="1">
      <c r="A4829" t="inlineStr">
        <is>
          <t>A 61331-2021</t>
        </is>
      </c>
      <c r="B4829" s="1" t="n">
        <v>44498</v>
      </c>
      <c r="C4829" s="1" t="n">
        <v>46045</v>
      </c>
      <c r="D4829" t="inlineStr">
        <is>
          <t>JÄMTLANDS LÄN</t>
        </is>
      </c>
      <c r="E4829" t="inlineStr">
        <is>
          <t>ÅRE</t>
        </is>
      </c>
      <c r="G4829" t="n">
        <v>8.4</v>
      </c>
      <c r="H4829" t="n">
        <v>0</v>
      </c>
      <c r="I4829" t="n">
        <v>0</v>
      </c>
      <c r="J4829" t="n">
        <v>0</v>
      </c>
      <c r="K4829" t="n">
        <v>0</v>
      </c>
      <c r="L4829" t="n">
        <v>0</v>
      </c>
      <c r="M4829" t="n">
        <v>0</v>
      </c>
      <c r="N4829" t="n">
        <v>0</v>
      </c>
      <c r="O4829" t="n">
        <v>0</v>
      </c>
      <c r="P4829" t="n">
        <v>0</v>
      </c>
      <c r="Q4829" t="n">
        <v>0</v>
      </c>
      <c r="R4829" s="2" t="inlineStr"/>
    </row>
    <row r="4830" ht="15" customHeight="1">
      <c r="A4830" t="inlineStr">
        <is>
          <t>A 61415-2021</t>
        </is>
      </c>
      <c r="B4830" s="1" t="n">
        <v>44500.93565972222</v>
      </c>
      <c r="C4830" s="1" t="n">
        <v>46045</v>
      </c>
      <c r="D4830" t="inlineStr">
        <is>
          <t>JÄMTLANDS LÄN</t>
        </is>
      </c>
      <c r="E4830" t="inlineStr">
        <is>
          <t>BRÄCKE</t>
        </is>
      </c>
      <c r="F4830" t="inlineStr">
        <is>
          <t>SCA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57836-2024</t>
        </is>
      </c>
      <c r="B4831" s="1" t="n">
        <v>45631.39950231482</v>
      </c>
      <c r="C4831" s="1" t="n">
        <v>46045</v>
      </c>
      <c r="D4831" t="inlineStr">
        <is>
          <t>JÄMTLANDS LÄN</t>
        </is>
      </c>
      <c r="E4831" t="inlineStr">
        <is>
          <t>HÄRJEDALEN</t>
        </is>
      </c>
      <c r="F4831" t="inlineStr">
        <is>
          <t>Bergvik skog väst AB</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29896-2021</t>
        </is>
      </c>
      <c r="B4832" s="1" t="n">
        <v>44362</v>
      </c>
      <c r="C4832" s="1" t="n">
        <v>46045</v>
      </c>
      <c r="D4832" t="inlineStr">
        <is>
          <t>JÄMTLANDS LÄN</t>
        </is>
      </c>
      <c r="E4832" t="inlineStr">
        <is>
          <t>KROKOM</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36913-2024</t>
        </is>
      </c>
      <c r="B4833" s="1" t="n">
        <v>45538.63615740741</v>
      </c>
      <c r="C4833" s="1" t="n">
        <v>46045</v>
      </c>
      <c r="D4833" t="inlineStr">
        <is>
          <t>JÄMTLANDS LÄN</t>
        </is>
      </c>
      <c r="E4833" t="inlineStr">
        <is>
          <t>STRÖMSUND</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36929-2024</t>
        </is>
      </c>
      <c r="B4834" s="1" t="n">
        <v>45538.68200231482</v>
      </c>
      <c r="C4834" s="1" t="n">
        <v>46045</v>
      </c>
      <c r="D4834" t="inlineStr">
        <is>
          <t>JÄMTLANDS LÄN</t>
        </is>
      </c>
      <c r="E4834" t="inlineStr">
        <is>
          <t>KROKOM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29262-2024</t>
        </is>
      </c>
      <c r="B4835" s="1" t="n">
        <v>45482.9487962963</v>
      </c>
      <c r="C4835" s="1" t="n">
        <v>46045</v>
      </c>
      <c r="D4835" t="inlineStr">
        <is>
          <t>JÄMTLANDS LÄN</t>
        </is>
      </c>
      <c r="E4835" t="inlineStr">
        <is>
          <t>BRÄCKE</t>
        </is>
      </c>
      <c r="F4835" t="inlineStr">
        <is>
          <t>SCA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4561-2024</t>
        </is>
      </c>
      <c r="B4836" s="1" t="n">
        <v>45327</v>
      </c>
      <c r="C4836" s="1" t="n">
        <v>46045</v>
      </c>
      <c r="D4836" t="inlineStr">
        <is>
          <t>JÄMTLANDS LÄN</t>
        </is>
      </c>
      <c r="E4836" t="inlineStr">
        <is>
          <t>BERG</t>
        </is>
      </c>
      <c r="G4836" t="n">
        <v>7.4</v>
      </c>
      <c r="H4836" t="n">
        <v>0</v>
      </c>
      <c r="I4836" t="n">
        <v>0</v>
      </c>
      <c r="J4836" t="n">
        <v>0</v>
      </c>
      <c r="K4836" t="n">
        <v>0</v>
      </c>
      <c r="L4836" t="n">
        <v>0</v>
      </c>
      <c r="M4836" t="n">
        <v>0</v>
      </c>
      <c r="N4836" t="n">
        <v>0</v>
      </c>
      <c r="O4836" t="n">
        <v>0</v>
      </c>
      <c r="P4836" t="n">
        <v>0</v>
      </c>
      <c r="Q4836" t="n">
        <v>0</v>
      </c>
      <c r="R4836" s="2" t="inlineStr"/>
    </row>
    <row r="4837" ht="15" customHeight="1">
      <c r="A4837" t="inlineStr">
        <is>
          <t>A 57864-2024</t>
        </is>
      </c>
      <c r="B4837" s="1" t="n">
        <v>45631.43578703704</v>
      </c>
      <c r="C4837" s="1" t="n">
        <v>46045</v>
      </c>
      <c r="D4837" t="inlineStr">
        <is>
          <t>JÄMTLANDS LÄN</t>
        </is>
      </c>
      <c r="E4837" t="inlineStr">
        <is>
          <t>ÅRE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17209-2023</t>
        </is>
      </c>
      <c r="B4838" s="1" t="n">
        <v>45034</v>
      </c>
      <c r="C4838" s="1" t="n">
        <v>46045</v>
      </c>
      <c r="D4838" t="inlineStr">
        <is>
          <t>JÄMTLANDS LÄN</t>
        </is>
      </c>
      <c r="E4838" t="inlineStr">
        <is>
          <t>BRÄCKE</t>
        </is>
      </c>
      <c r="G4838" t="n">
        <v>11.1</v>
      </c>
      <c r="H4838" t="n">
        <v>0</v>
      </c>
      <c r="I4838" t="n">
        <v>0</v>
      </c>
      <c r="J4838" t="n">
        <v>0</v>
      </c>
      <c r="K4838" t="n">
        <v>0</v>
      </c>
      <c r="L4838" t="n">
        <v>0</v>
      </c>
      <c r="M4838" t="n">
        <v>0</v>
      </c>
      <c r="N4838" t="n">
        <v>0</v>
      </c>
      <c r="O4838" t="n">
        <v>0</v>
      </c>
      <c r="P4838" t="n">
        <v>0</v>
      </c>
      <c r="Q4838" t="n">
        <v>0</v>
      </c>
      <c r="R4838" s="2" t="inlineStr"/>
    </row>
    <row r="4839" ht="15" customHeight="1">
      <c r="A4839" t="inlineStr">
        <is>
          <t>A 35635-2024</t>
        </is>
      </c>
      <c r="B4839" s="1" t="n">
        <v>45531.78386574074</v>
      </c>
      <c r="C4839" s="1" t="n">
        <v>46045</v>
      </c>
      <c r="D4839" t="inlineStr">
        <is>
          <t>JÄMTLANDS LÄN</t>
        </is>
      </c>
      <c r="E4839" t="inlineStr">
        <is>
          <t>HÄRJEDALEN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5553-2025</t>
        </is>
      </c>
      <c r="B4840" s="1" t="n">
        <v>45693</v>
      </c>
      <c r="C4840" s="1" t="n">
        <v>46045</v>
      </c>
      <c r="D4840" t="inlineStr">
        <is>
          <t>JÄMTLANDS LÄN</t>
        </is>
      </c>
      <c r="E4840" t="inlineStr">
        <is>
          <t>ÖSTERSUND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5644-2025</t>
        </is>
      </c>
      <c r="B4841" s="1" t="n">
        <v>45693.6833449074</v>
      </c>
      <c r="C4841" s="1" t="n">
        <v>46045</v>
      </c>
      <c r="D4841" t="inlineStr">
        <is>
          <t>JÄMTLANDS LÄN</t>
        </is>
      </c>
      <c r="E4841" t="inlineStr">
        <is>
          <t>BERG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41105-2023</t>
        </is>
      </c>
      <c r="B4842" s="1" t="n">
        <v>45170</v>
      </c>
      <c r="C4842" s="1" t="n">
        <v>46045</v>
      </c>
      <c r="D4842" t="inlineStr">
        <is>
          <t>JÄMTLANDS LÄN</t>
        </is>
      </c>
      <c r="E4842" t="inlineStr">
        <is>
          <t>BERG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41142-2023</t>
        </is>
      </c>
      <c r="B4843" s="1" t="n">
        <v>45173</v>
      </c>
      <c r="C4843" s="1" t="n">
        <v>46045</v>
      </c>
      <c r="D4843" t="inlineStr">
        <is>
          <t>JÄMTLANDS LÄN</t>
        </is>
      </c>
      <c r="E4843" t="inlineStr">
        <is>
          <t>KROKOM</t>
        </is>
      </c>
      <c r="F4843" t="inlineStr">
        <is>
          <t>SCA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41150-2023</t>
        </is>
      </c>
      <c r="B4844" s="1" t="n">
        <v>45173.94302083334</v>
      </c>
      <c r="C4844" s="1" t="n">
        <v>46045</v>
      </c>
      <c r="D4844" t="inlineStr">
        <is>
          <t>JÄMTLANDS LÄN</t>
        </is>
      </c>
      <c r="E4844" t="inlineStr">
        <is>
          <t>STRÖMSUND</t>
        </is>
      </c>
      <c r="F4844" t="inlineStr">
        <is>
          <t>SCA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43181-2025</t>
        </is>
      </c>
      <c r="B4845" s="1" t="n">
        <v>45910.40721064815</v>
      </c>
      <c r="C4845" s="1" t="n">
        <v>46045</v>
      </c>
      <c r="D4845" t="inlineStr">
        <is>
          <t>JÄMTLANDS LÄN</t>
        </is>
      </c>
      <c r="E4845" t="inlineStr">
        <is>
          <t>RAGUNDA</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8480-2025</t>
        </is>
      </c>
      <c r="B4846" s="1" t="n">
        <v>45706</v>
      </c>
      <c r="C4846" s="1" t="n">
        <v>46045</v>
      </c>
      <c r="D4846" t="inlineStr">
        <is>
          <t>JÄMTLANDS LÄN</t>
        </is>
      </c>
      <c r="E4846" t="inlineStr">
        <is>
          <t>STRÖMSUND</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9567-2025</t>
        </is>
      </c>
      <c r="B4847" s="1" t="n">
        <v>45715.61523148148</v>
      </c>
      <c r="C4847" s="1" t="n">
        <v>46045</v>
      </c>
      <c r="D4847" t="inlineStr">
        <is>
          <t>JÄMTLANDS LÄN</t>
        </is>
      </c>
      <c r="E4847" t="inlineStr">
        <is>
          <t>RAGUNDA</t>
        </is>
      </c>
      <c r="F4847" t="inlineStr">
        <is>
          <t>SCA</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27541-2023</t>
        </is>
      </c>
      <c r="B4848" s="1" t="n">
        <v>45097</v>
      </c>
      <c r="C4848" s="1" t="n">
        <v>46045</v>
      </c>
      <c r="D4848" t="inlineStr">
        <is>
          <t>JÄMTLANDS LÄN</t>
        </is>
      </c>
      <c r="E4848" t="inlineStr">
        <is>
          <t>HÄRJEDALEN</t>
        </is>
      </c>
      <c r="F4848" t="inlineStr">
        <is>
          <t>Bergvik skog väst AB</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7324-2025</t>
        </is>
      </c>
      <c r="B4849" s="1" t="n">
        <v>45702</v>
      </c>
      <c r="C4849" s="1" t="n">
        <v>46045</v>
      </c>
      <c r="D4849" t="inlineStr">
        <is>
          <t>JÄMTLANDS LÄN</t>
        </is>
      </c>
      <c r="E4849" t="inlineStr">
        <is>
          <t>STRÖMSUND</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43136-2025</t>
        </is>
      </c>
      <c r="B4850" s="1" t="n">
        <v>45909.85402777778</v>
      </c>
      <c r="C4850" s="1" t="n">
        <v>46045</v>
      </c>
      <c r="D4850" t="inlineStr">
        <is>
          <t>JÄMTLANDS LÄN</t>
        </is>
      </c>
      <c r="E4850" t="inlineStr">
        <is>
          <t>HÄRJEDALEN</t>
        </is>
      </c>
      <c r="F4850" t="inlineStr">
        <is>
          <t>Övriga statliga verk och myndigheter</t>
        </is>
      </c>
      <c r="G4850" t="n">
        <v>34.2</v>
      </c>
      <c r="H4850" t="n">
        <v>0</v>
      </c>
      <c r="I4850" t="n">
        <v>0</v>
      </c>
      <c r="J4850" t="n">
        <v>0</v>
      </c>
      <c r="K4850" t="n">
        <v>0</v>
      </c>
      <c r="L4850" t="n">
        <v>0</v>
      </c>
      <c r="M4850" t="n">
        <v>0</v>
      </c>
      <c r="N4850" t="n">
        <v>0</v>
      </c>
      <c r="O4850" t="n">
        <v>0</v>
      </c>
      <c r="P4850" t="n">
        <v>0</v>
      </c>
      <c r="Q4850" t="n">
        <v>0</v>
      </c>
      <c r="R4850" s="2" t="inlineStr"/>
    </row>
    <row r="4851" ht="15" customHeight="1">
      <c r="A4851" t="inlineStr">
        <is>
          <t>A 47244-2023</t>
        </is>
      </c>
      <c r="B4851" s="1" t="n">
        <v>45202</v>
      </c>
      <c r="C4851" s="1" t="n">
        <v>46045</v>
      </c>
      <c r="D4851" t="inlineStr">
        <is>
          <t>JÄMTLANDS LÄN</t>
        </is>
      </c>
      <c r="E4851" t="inlineStr">
        <is>
          <t>HÄRJEDALEN</t>
        </is>
      </c>
      <c r="F4851" t="inlineStr">
        <is>
          <t>Holmen skog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57770-2023</t>
        </is>
      </c>
      <c r="B4852" s="1" t="n">
        <v>45246.92542824074</v>
      </c>
      <c r="C4852" s="1" t="n">
        <v>46045</v>
      </c>
      <c r="D4852" t="inlineStr">
        <is>
          <t>JÄMTLANDS LÄN</t>
        </is>
      </c>
      <c r="E4852" t="inlineStr">
        <is>
          <t>ÅRE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60076-2024</t>
        </is>
      </c>
      <c r="B4853" s="1" t="n">
        <v>45642.53166666667</v>
      </c>
      <c r="C4853" s="1" t="n">
        <v>46045</v>
      </c>
      <c r="D4853" t="inlineStr">
        <is>
          <t>JÄMTLANDS LÄN</t>
        </is>
      </c>
      <c r="E4853" t="inlineStr">
        <is>
          <t>BERG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43177-2025</t>
        </is>
      </c>
      <c r="B4854" s="1" t="n">
        <v>45910.40667824074</v>
      </c>
      <c r="C4854" s="1" t="n">
        <v>46045</v>
      </c>
      <c r="D4854" t="inlineStr">
        <is>
          <t>JÄMTLANDS LÄN</t>
        </is>
      </c>
      <c r="E4854" t="inlineStr">
        <is>
          <t>RAGUNDA</t>
        </is>
      </c>
      <c r="F4854" t="inlineStr">
        <is>
          <t>SCA</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9195-2025</t>
        </is>
      </c>
      <c r="B4855" s="1" t="n">
        <v>45714.46916666667</v>
      </c>
      <c r="C4855" s="1" t="n">
        <v>46045</v>
      </c>
      <c r="D4855" t="inlineStr">
        <is>
          <t>JÄMTLANDS LÄN</t>
        </is>
      </c>
      <c r="E4855" t="inlineStr">
        <is>
          <t>STRÖMSUND</t>
        </is>
      </c>
      <c r="F4855" t="inlineStr">
        <is>
          <t>SCA</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8238-2024</t>
        </is>
      </c>
      <c r="B4856" s="1" t="n">
        <v>45351.98450231482</v>
      </c>
      <c r="C4856" s="1" t="n">
        <v>46045</v>
      </c>
      <c r="D4856" t="inlineStr">
        <is>
          <t>JÄMTLANDS LÄN</t>
        </is>
      </c>
      <c r="E4856" t="inlineStr">
        <is>
          <t>BERG</t>
        </is>
      </c>
      <c r="F4856" t="inlineStr">
        <is>
          <t>SCA</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61540-2024</t>
        </is>
      </c>
      <c r="B4857" s="1" t="n">
        <v>45646.5943287037</v>
      </c>
      <c r="C4857" s="1" t="n">
        <v>46045</v>
      </c>
      <c r="D4857" t="inlineStr">
        <is>
          <t>JÄMTLANDS LÄN</t>
        </is>
      </c>
      <c r="E4857" t="inlineStr">
        <is>
          <t>STRÖMSUND</t>
        </is>
      </c>
      <c r="F4857" t="inlineStr">
        <is>
          <t>SCA</t>
        </is>
      </c>
      <c r="G4857" t="n">
        <v>18.2</v>
      </c>
      <c r="H4857" t="n">
        <v>0</v>
      </c>
      <c r="I4857" t="n">
        <v>0</v>
      </c>
      <c r="J4857" t="n">
        <v>0</v>
      </c>
      <c r="K4857" t="n">
        <v>0</v>
      </c>
      <c r="L4857" t="n">
        <v>0</v>
      </c>
      <c r="M4857" t="n">
        <v>0</v>
      </c>
      <c r="N4857" t="n">
        <v>0</v>
      </c>
      <c r="O4857" t="n">
        <v>0</v>
      </c>
      <c r="P4857" t="n">
        <v>0</v>
      </c>
      <c r="Q4857" t="n">
        <v>0</v>
      </c>
      <c r="R4857" s="2" t="inlineStr"/>
    </row>
    <row r="4858" ht="15" customHeight="1">
      <c r="A4858" t="inlineStr">
        <is>
          <t>A 53287-2022</t>
        </is>
      </c>
      <c r="B4858" s="1" t="n">
        <v>44876</v>
      </c>
      <c r="C4858" s="1" t="n">
        <v>46045</v>
      </c>
      <c r="D4858" t="inlineStr">
        <is>
          <t>JÄMTLANDS LÄN</t>
        </is>
      </c>
      <c r="E4858" t="inlineStr">
        <is>
          <t>RAGUNDA</t>
        </is>
      </c>
      <c r="F4858" t="inlineStr">
        <is>
          <t>SCA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43166-2025</t>
        </is>
      </c>
      <c r="B4859" s="1" t="n">
        <v>45909</v>
      </c>
      <c r="C4859" s="1" t="n">
        <v>46045</v>
      </c>
      <c r="D4859" t="inlineStr">
        <is>
          <t>JÄMTLANDS LÄN</t>
        </is>
      </c>
      <c r="E4859" t="inlineStr">
        <is>
          <t>STRÖMSUND</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43403-2023</t>
        </is>
      </c>
      <c r="B4860" s="1" t="n">
        <v>45183</v>
      </c>
      <c r="C4860" s="1" t="n">
        <v>46045</v>
      </c>
      <c r="D4860" t="inlineStr">
        <is>
          <t>JÄMTLANDS LÄN</t>
        </is>
      </c>
      <c r="E4860" t="inlineStr">
        <is>
          <t>BERG</t>
        </is>
      </c>
      <c r="F4860" t="inlineStr">
        <is>
          <t>SCA</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9780-2024</t>
        </is>
      </c>
      <c r="B4861" s="1" t="n">
        <v>45362.65903935185</v>
      </c>
      <c r="C4861" s="1" t="n">
        <v>46045</v>
      </c>
      <c r="D4861" t="inlineStr">
        <is>
          <t>JÄMTLANDS LÄN</t>
        </is>
      </c>
      <c r="E4861" t="inlineStr">
        <is>
          <t>HÄRJEDALEN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59932-2022</t>
        </is>
      </c>
      <c r="B4862" s="1" t="n">
        <v>44909.36262731482</v>
      </c>
      <c r="C4862" s="1" t="n">
        <v>46045</v>
      </c>
      <c r="D4862" t="inlineStr">
        <is>
          <t>JÄMTLANDS LÄN</t>
        </is>
      </c>
      <c r="E4862" t="inlineStr">
        <is>
          <t>BRÄCKE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43015-2025</t>
        </is>
      </c>
      <c r="B4863" s="1" t="n">
        <v>45909.49278935185</v>
      </c>
      <c r="C4863" s="1" t="n">
        <v>46045</v>
      </c>
      <c r="D4863" t="inlineStr">
        <is>
          <t>JÄMTLANDS LÄN</t>
        </is>
      </c>
      <c r="E4863" t="inlineStr">
        <is>
          <t>BERG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511-2025</t>
        </is>
      </c>
      <c r="B4864" s="1" t="n">
        <v>45664.47284722222</v>
      </c>
      <c r="C4864" s="1" t="n">
        <v>46045</v>
      </c>
      <c r="D4864" t="inlineStr">
        <is>
          <t>JÄMTLANDS LÄN</t>
        </is>
      </c>
      <c r="E4864" t="inlineStr">
        <is>
          <t>BERG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3179-2024</t>
        </is>
      </c>
      <c r="B4865" s="1" t="n">
        <v>45316</v>
      </c>
      <c r="C4865" s="1" t="n">
        <v>46045</v>
      </c>
      <c r="D4865" t="inlineStr">
        <is>
          <t>JÄMTLANDS LÄN</t>
        </is>
      </c>
      <c r="E4865" t="inlineStr">
        <is>
          <t>BRÄCKE</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37959-2024</t>
        </is>
      </c>
      <c r="B4866" s="1" t="n">
        <v>45544.53870370371</v>
      </c>
      <c r="C4866" s="1" t="n">
        <v>46045</v>
      </c>
      <c r="D4866" t="inlineStr">
        <is>
          <t>JÄMTLANDS LÄN</t>
        </is>
      </c>
      <c r="E4866" t="inlineStr">
        <is>
          <t>BRÄCKE</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14072-2023</t>
        </is>
      </c>
      <c r="B4867" s="1" t="n">
        <v>45009.08899305556</v>
      </c>
      <c r="C4867" s="1" t="n">
        <v>46045</v>
      </c>
      <c r="D4867" t="inlineStr">
        <is>
          <t>JÄMTLANDS LÄN</t>
        </is>
      </c>
      <c r="E4867" t="inlineStr">
        <is>
          <t>STRÖMSUND</t>
        </is>
      </c>
      <c r="F4867" t="inlineStr">
        <is>
          <t>SCA</t>
        </is>
      </c>
      <c r="G4867" t="n">
        <v>24.8</v>
      </c>
      <c r="H4867" t="n">
        <v>0</v>
      </c>
      <c r="I4867" t="n">
        <v>0</v>
      </c>
      <c r="J4867" t="n">
        <v>0</v>
      </c>
      <c r="K4867" t="n">
        <v>0</v>
      </c>
      <c r="L4867" t="n">
        <v>0</v>
      </c>
      <c r="M4867" t="n">
        <v>0</v>
      </c>
      <c r="N4867" t="n">
        <v>0</v>
      </c>
      <c r="O4867" t="n">
        <v>0</v>
      </c>
      <c r="P4867" t="n">
        <v>0</v>
      </c>
      <c r="Q4867" t="n">
        <v>0</v>
      </c>
      <c r="R4867" s="2" t="inlineStr"/>
    </row>
    <row r="4868" ht="15" customHeight="1">
      <c r="A4868" t="inlineStr">
        <is>
          <t>A 6347-2023</t>
        </is>
      </c>
      <c r="B4868" s="1" t="n">
        <v>44965</v>
      </c>
      <c r="C4868" s="1" t="n">
        <v>46045</v>
      </c>
      <c r="D4868" t="inlineStr">
        <is>
          <t>JÄMTLANDS LÄN</t>
        </is>
      </c>
      <c r="E4868" t="inlineStr">
        <is>
          <t>KROKOM</t>
        </is>
      </c>
      <c r="F4868" t="inlineStr">
        <is>
          <t>Övriga Aktiebolag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8050-2025</t>
        </is>
      </c>
      <c r="B4869" s="1" t="n">
        <v>45706</v>
      </c>
      <c r="C4869" s="1" t="n">
        <v>46045</v>
      </c>
      <c r="D4869" t="inlineStr">
        <is>
          <t>JÄMTLANDS LÄN</t>
        </is>
      </c>
      <c r="E4869" t="inlineStr">
        <is>
          <t>STRÖMSUND</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48433-2023</t>
        </is>
      </c>
      <c r="B4870" s="1" t="n">
        <v>45205</v>
      </c>
      <c r="C4870" s="1" t="n">
        <v>46045</v>
      </c>
      <c r="D4870" t="inlineStr">
        <is>
          <t>JÄMTLANDS LÄN</t>
        </is>
      </c>
      <c r="E4870" t="inlineStr">
        <is>
          <t>BRÄCKE</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43517-2025</t>
        </is>
      </c>
      <c r="B4871" s="1" t="n">
        <v>45911.5727662037</v>
      </c>
      <c r="C4871" s="1" t="n">
        <v>46045</v>
      </c>
      <c r="D4871" t="inlineStr">
        <is>
          <t>JÄMTLANDS LÄN</t>
        </is>
      </c>
      <c r="E4871" t="inlineStr">
        <is>
          <t>HÄRJEDALEN</t>
        </is>
      </c>
      <c r="F4871" t="inlineStr">
        <is>
          <t>Bergvik skog väst AB</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43279-2024</t>
        </is>
      </c>
      <c r="B4872" s="1" t="n">
        <v>45568.3975462963</v>
      </c>
      <c r="C4872" s="1" t="n">
        <v>46045</v>
      </c>
      <c r="D4872" t="inlineStr">
        <is>
          <t>JÄMTLANDS LÄN</t>
        </is>
      </c>
      <c r="E4872" t="inlineStr">
        <is>
          <t>BERG</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48473-2023</t>
        </is>
      </c>
      <c r="B4873" s="1" t="n">
        <v>45206.95770833334</v>
      </c>
      <c r="C4873" s="1" t="n">
        <v>46045</v>
      </c>
      <c r="D4873" t="inlineStr">
        <is>
          <t>JÄMTLANDS LÄN</t>
        </is>
      </c>
      <c r="E4873" t="inlineStr">
        <is>
          <t>BRÄCKE</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43297-2024</t>
        </is>
      </c>
      <c r="B4874" s="1" t="n">
        <v>45568</v>
      </c>
      <c r="C4874" s="1" t="n">
        <v>46045</v>
      </c>
      <c r="D4874" t="inlineStr">
        <is>
          <t>JÄMTLANDS LÄN</t>
        </is>
      </c>
      <c r="E4874" t="inlineStr">
        <is>
          <t>HÄRJEDALEN</t>
        </is>
      </c>
      <c r="F4874" t="inlineStr">
        <is>
          <t>SCA</t>
        </is>
      </c>
      <c r="G4874" t="n">
        <v>9.300000000000001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51646-2023</t>
        </is>
      </c>
      <c r="B4875" s="1" t="n">
        <v>45215</v>
      </c>
      <c r="C4875" s="1" t="n">
        <v>46045</v>
      </c>
      <c r="D4875" t="inlineStr">
        <is>
          <t>JÄMTLANDS LÄN</t>
        </is>
      </c>
      <c r="E4875" t="inlineStr">
        <is>
          <t>RAGUNDA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43521-2025</t>
        </is>
      </c>
      <c r="B4876" s="1" t="n">
        <v>45911.57503472222</v>
      </c>
      <c r="C4876" s="1" t="n">
        <v>46045</v>
      </c>
      <c r="D4876" t="inlineStr">
        <is>
          <t>JÄMTLANDS LÄN</t>
        </is>
      </c>
      <c r="E4876" t="inlineStr">
        <is>
          <t>STRÖMSUND</t>
        </is>
      </c>
      <c r="F4876" t="inlineStr">
        <is>
          <t>Holmen skog AB</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556-2023</t>
        </is>
      </c>
      <c r="B4877" s="1" t="n">
        <v>44930</v>
      </c>
      <c r="C4877" s="1" t="n">
        <v>46045</v>
      </c>
      <c r="D4877" t="inlineStr">
        <is>
          <t>JÄMTLANDS LÄN</t>
        </is>
      </c>
      <c r="E4877" t="inlineStr">
        <is>
          <t>ÅRE</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5798-2025</t>
        </is>
      </c>
      <c r="B4878" s="1" t="n">
        <v>45694.65905092593</v>
      </c>
      <c r="C4878" s="1" t="n">
        <v>46045</v>
      </c>
      <c r="D4878" t="inlineStr">
        <is>
          <t>JÄMTLANDS LÄN</t>
        </is>
      </c>
      <c r="E4878" t="inlineStr">
        <is>
          <t>KROKOM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43363-2025</t>
        </is>
      </c>
      <c r="B4879" s="1" t="n">
        <v>45911.34452546296</v>
      </c>
      <c r="C4879" s="1" t="n">
        <v>46045</v>
      </c>
      <c r="D4879" t="inlineStr">
        <is>
          <t>JÄMTLANDS LÄN</t>
        </is>
      </c>
      <c r="E4879" t="inlineStr">
        <is>
          <t>STRÖMSUND</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5808-2025</t>
        </is>
      </c>
      <c r="B4880" s="1" t="n">
        <v>45694.6985300926</v>
      </c>
      <c r="C4880" s="1" t="n">
        <v>46045</v>
      </c>
      <c r="D4880" t="inlineStr">
        <is>
          <t>JÄMTLANDS LÄN</t>
        </is>
      </c>
      <c r="E4880" t="inlineStr">
        <is>
          <t>STRÖMSUND</t>
        </is>
      </c>
      <c r="F4880" t="inlineStr">
        <is>
          <t>SCA</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393-2024</t>
        </is>
      </c>
      <c r="B4881" s="1" t="n">
        <v>45296.43614583334</v>
      </c>
      <c r="C4881" s="1" t="n">
        <v>46045</v>
      </c>
      <c r="D4881" t="inlineStr">
        <is>
          <t>JÄMTLANDS LÄN</t>
        </is>
      </c>
      <c r="E4881" t="inlineStr">
        <is>
          <t>ÅRE</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43470-2025</t>
        </is>
      </c>
      <c r="B4882" s="1" t="n">
        <v>45911.48010416667</v>
      </c>
      <c r="C4882" s="1" t="n">
        <v>46045</v>
      </c>
      <c r="D4882" t="inlineStr">
        <is>
          <t>JÄMTLANDS LÄN</t>
        </is>
      </c>
      <c r="E4882" t="inlineStr">
        <is>
          <t>HÄRJEDALEN</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49648-2023</t>
        </is>
      </c>
      <c r="B4883" s="1" t="n">
        <v>45211.95061342593</v>
      </c>
      <c r="C4883" s="1" t="n">
        <v>46045</v>
      </c>
      <c r="D4883" t="inlineStr">
        <is>
          <t>JÄMTLANDS LÄN</t>
        </is>
      </c>
      <c r="E4883" t="inlineStr">
        <is>
          <t>RAGUNDA</t>
        </is>
      </c>
      <c r="F4883" t="inlineStr">
        <is>
          <t>SCA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43613-2025</t>
        </is>
      </c>
      <c r="B4884" s="1" t="n">
        <v>45911.67755787037</v>
      </c>
      <c r="C4884" s="1" t="n">
        <v>46045</v>
      </c>
      <c r="D4884" t="inlineStr">
        <is>
          <t>JÄMTLANDS LÄN</t>
        </is>
      </c>
      <c r="E4884" t="inlineStr">
        <is>
          <t>STRÖMSUND</t>
        </is>
      </c>
      <c r="F4884" t="inlineStr">
        <is>
          <t>SCA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43534-2025</t>
        </is>
      </c>
      <c r="B4885" s="1" t="n">
        <v>45911.59768518519</v>
      </c>
      <c r="C4885" s="1" t="n">
        <v>46045</v>
      </c>
      <c r="D4885" t="inlineStr">
        <is>
          <t>JÄMTLANDS LÄN</t>
        </is>
      </c>
      <c r="E4885" t="inlineStr">
        <is>
          <t>STRÖMSUND</t>
        </is>
      </c>
      <c r="F4885" t="inlineStr">
        <is>
          <t>Holmen skog AB</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37067-2023</t>
        </is>
      </c>
      <c r="B4886" s="1" t="n">
        <v>45154</v>
      </c>
      <c r="C4886" s="1" t="n">
        <v>46045</v>
      </c>
      <c r="D4886" t="inlineStr">
        <is>
          <t>JÄMTLANDS LÄN</t>
        </is>
      </c>
      <c r="E4886" t="inlineStr">
        <is>
          <t>BERG</t>
        </is>
      </c>
      <c r="G4886" t="n">
        <v>7.4</v>
      </c>
      <c r="H4886" t="n">
        <v>0</v>
      </c>
      <c r="I4886" t="n">
        <v>0</v>
      </c>
      <c r="J4886" t="n">
        <v>0</v>
      </c>
      <c r="K4886" t="n">
        <v>0</v>
      </c>
      <c r="L4886" t="n">
        <v>0</v>
      </c>
      <c r="M4886" t="n">
        <v>0</v>
      </c>
      <c r="N4886" t="n">
        <v>0</v>
      </c>
      <c r="O4886" t="n">
        <v>0</v>
      </c>
      <c r="P4886" t="n">
        <v>0</v>
      </c>
      <c r="Q4886" t="n">
        <v>0</v>
      </c>
      <c r="R4886" s="2" t="inlineStr"/>
    </row>
    <row r="4887" ht="15" customHeight="1">
      <c r="A4887" t="inlineStr">
        <is>
          <t>A 43785-2025</t>
        </is>
      </c>
      <c r="B4887" s="1" t="n">
        <v>45912</v>
      </c>
      <c r="C4887" s="1" t="n">
        <v>46045</v>
      </c>
      <c r="D4887" t="inlineStr">
        <is>
          <t>JÄMTLANDS LÄN</t>
        </is>
      </c>
      <c r="E4887" t="inlineStr">
        <is>
          <t>KROKOM</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43777-2025</t>
        </is>
      </c>
      <c r="B4888" s="1" t="n">
        <v>45912.51105324074</v>
      </c>
      <c r="C4888" s="1" t="n">
        <v>46045</v>
      </c>
      <c r="D4888" t="inlineStr">
        <is>
          <t>JÄMTLANDS LÄN</t>
        </is>
      </c>
      <c r="E4888" t="inlineStr">
        <is>
          <t>STRÖMSUND</t>
        </is>
      </c>
      <c r="F4888" t="inlineStr">
        <is>
          <t>SCA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1548-2025</t>
        </is>
      </c>
      <c r="B4889" s="1" t="n">
        <v>45670</v>
      </c>
      <c r="C4889" s="1" t="n">
        <v>46045</v>
      </c>
      <c r="D4889" t="inlineStr">
        <is>
          <t>JÄMTLANDS LÄN</t>
        </is>
      </c>
      <c r="E4889" t="inlineStr">
        <is>
          <t>STRÖMSUND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8095-2025</t>
        </is>
      </c>
      <c r="B4890" s="1" t="n">
        <v>45707</v>
      </c>
      <c r="C4890" s="1" t="n">
        <v>46045</v>
      </c>
      <c r="D4890" t="inlineStr">
        <is>
          <t>JÄMTLANDS LÄN</t>
        </is>
      </c>
      <c r="E4890" t="inlineStr">
        <is>
          <t>HÄRJEDALEN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15992-2025</t>
        </is>
      </c>
      <c r="B4891" s="1" t="n">
        <v>45749.58319444444</v>
      </c>
      <c r="C4891" s="1" t="n">
        <v>46045</v>
      </c>
      <c r="D4891" t="inlineStr">
        <is>
          <t>JÄMTLANDS LÄN</t>
        </is>
      </c>
      <c r="E4891" t="inlineStr">
        <is>
          <t>BERG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43388-2025</t>
        </is>
      </c>
      <c r="B4892" s="1" t="n">
        <v>45911.36547453704</v>
      </c>
      <c r="C4892" s="1" t="n">
        <v>46045</v>
      </c>
      <c r="D4892" t="inlineStr">
        <is>
          <t>JÄMTLANDS LÄN</t>
        </is>
      </c>
      <c r="E4892" t="inlineStr">
        <is>
          <t>STRÖMSUND</t>
        </is>
      </c>
      <c r="F4892" t="inlineStr">
        <is>
          <t>SCA</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6982-2025</t>
        </is>
      </c>
      <c r="B4893" s="1" t="n">
        <v>45701.55769675926</v>
      </c>
      <c r="C4893" s="1" t="n">
        <v>46045</v>
      </c>
      <c r="D4893" t="inlineStr">
        <is>
          <t>JÄMTLANDS LÄN</t>
        </is>
      </c>
      <c r="E4893" t="inlineStr">
        <is>
          <t>BERG</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6788-2025</t>
        </is>
      </c>
      <c r="B4894" s="1" t="n">
        <v>45700.65692129629</v>
      </c>
      <c r="C4894" s="1" t="n">
        <v>46045</v>
      </c>
      <c r="D4894" t="inlineStr">
        <is>
          <t>JÄMTLANDS LÄN</t>
        </is>
      </c>
      <c r="E4894" t="inlineStr">
        <is>
          <t>BRÄCKE</t>
        </is>
      </c>
      <c r="F4894" t="inlineStr">
        <is>
          <t>SCA</t>
        </is>
      </c>
      <c r="G4894" t="n">
        <v>6.8</v>
      </c>
      <c r="H4894" t="n">
        <v>0</v>
      </c>
      <c r="I4894" t="n">
        <v>0</v>
      </c>
      <c r="J4894" t="n">
        <v>0</v>
      </c>
      <c r="K4894" t="n">
        <v>0</v>
      </c>
      <c r="L4894" t="n">
        <v>0</v>
      </c>
      <c r="M4894" t="n">
        <v>0</v>
      </c>
      <c r="N4894" t="n">
        <v>0</v>
      </c>
      <c r="O4894" t="n">
        <v>0</v>
      </c>
      <c r="P4894" t="n">
        <v>0</v>
      </c>
      <c r="Q4894" t="n">
        <v>0</v>
      </c>
      <c r="R4894" s="2" t="inlineStr"/>
    </row>
    <row r="4895" ht="15" customHeight="1">
      <c r="A4895" t="inlineStr">
        <is>
          <t>A 4741-2022</t>
        </is>
      </c>
      <c r="B4895" s="1" t="n">
        <v>44592</v>
      </c>
      <c r="C4895" s="1" t="n">
        <v>46045</v>
      </c>
      <c r="D4895" t="inlineStr">
        <is>
          <t>JÄMTLANDS LÄN</t>
        </is>
      </c>
      <c r="E4895" t="inlineStr">
        <is>
          <t>KROKOM</t>
        </is>
      </c>
      <c r="G4895" t="n">
        <v>54.2</v>
      </c>
      <c r="H4895" t="n">
        <v>0</v>
      </c>
      <c r="I4895" t="n">
        <v>0</v>
      </c>
      <c r="J4895" t="n">
        <v>0</v>
      </c>
      <c r="K4895" t="n">
        <v>0</v>
      </c>
      <c r="L4895" t="n">
        <v>0</v>
      </c>
      <c r="M4895" t="n">
        <v>0</v>
      </c>
      <c r="N4895" t="n">
        <v>0</v>
      </c>
      <c r="O4895" t="n">
        <v>0</v>
      </c>
      <c r="P4895" t="n">
        <v>0</v>
      </c>
      <c r="Q4895" t="n">
        <v>0</v>
      </c>
      <c r="R4895" s="2" t="inlineStr"/>
    </row>
    <row r="4896" ht="15" customHeight="1">
      <c r="A4896" t="inlineStr">
        <is>
          <t>A 64314-2023</t>
        </is>
      </c>
      <c r="B4896" s="1" t="n">
        <v>45280</v>
      </c>
      <c r="C4896" s="1" t="n">
        <v>46045</v>
      </c>
      <c r="D4896" t="inlineStr">
        <is>
          <t>JÄMTLANDS LÄN</t>
        </is>
      </c>
      <c r="E4896" t="inlineStr">
        <is>
          <t>ÖSTERSUND</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43723-2025</t>
        </is>
      </c>
      <c r="B4897" s="1" t="n">
        <v>45912.42844907408</v>
      </c>
      <c r="C4897" s="1" t="n">
        <v>46045</v>
      </c>
      <c r="D4897" t="inlineStr">
        <is>
          <t>JÄMTLANDS LÄN</t>
        </is>
      </c>
      <c r="E4897" t="inlineStr">
        <is>
          <t>BRÄCKE</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43740-2025</t>
        </is>
      </c>
      <c r="B4898" s="1" t="n">
        <v>45912.45496527778</v>
      </c>
      <c r="C4898" s="1" t="n">
        <v>46045</v>
      </c>
      <c r="D4898" t="inlineStr">
        <is>
          <t>JÄMTLANDS LÄN</t>
        </is>
      </c>
      <c r="E4898" t="inlineStr">
        <is>
          <t>HÄRJEDALEN</t>
        </is>
      </c>
      <c r="F4898" t="inlineStr">
        <is>
          <t>Bergvik skog väst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57096-2024</t>
        </is>
      </c>
      <c r="B4899" s="1" t="n">
        <v>45629.35810185185</v>
      </c>
      <c r="C4899" s="1" t="n">
        <v>46045</v>
      </c>
      <c r="D4899" t="inlineStr">
        <is>
          <t>JÄMTLANDS LÄN</t>
        </is>
      </c>
      <c r="E4899" t="inlineStr">
        <is>
          <t>BRÄCKE</t>
        </is>
      </c>
      <c r="F4899" t="inlineStr">
        <is>
          <t>SCA</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36246-2024</t>
        </is>
      </c>
      <c r="B4900" s="1" t="n">
        <v>45534</v>
      </c>
      <c r="C4900" s="1" t="n">
        <v>46045</v>
      </c>
      <c r="D4900" t="inlineStr">
        <is>
          <t>JÄMTLANDS LÄN</t>
        </is>
      </c>
      <c r="E4900" t="inlineStr">
        <is>
          <t>RAGUNDA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43387-2025</t>
        </is>
      </c>
      <c r="B4901" s="1" t="n">
        <v>45911.3653587963</v>
      </c>
      <c r="C4901" s="1" t="n">
        <v>46045</v>
      </c>
      <c r="D4901" t="inlineStr">
        <is>
          <t>JÄMTLANDS LÄN</t>
        </is>
      </c>
      <c r="E4901" t="inlineStr">
        <is>
          <t>BRÄCKE</t>
        </is>
      </c>
      <c r="F4901" t="inlineStr">
        <is>
          <t>SCA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29319-2023</t>
        </is>
      </c>
      <c r="B4902" s="1" t="n">
        <v>45105</v>
      </c>
      <c r="C4902" s="1" t="n">
        <v>46045</v>
      </c>
      <c r="D4902" t="inlineStr">
        <is>
          <t>JÄMTLANDS LÄN</t>
        </is>
      </c>
      <c r="E4902" t="inlineStr">
        <is>
          <t>RAGUNDA</t>
        </is>
      </c>
      <c r="F4902" t="inlineStr">
        <is>
          <t>SCA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43416-2025</t>
        </is>
      </c>
      <c r="B4903" s="1" t="n">
        <v>45911.40685185185</v>
      </c>
      <c r="C4903" s="1" t="n">
        <v>46045</v>
      </c>
      <c r="D4903" t="inlineStr">
        <is>
          <t>JÄMTLANDS LÄN</t>
        </is>
      </c>
      <c r="E4903" t="inlineStr">
        <is>
          <t>BRÄCKE</t>
        </is>
      </c>
      <c r="F4903" t="inlineStr">
        <is>
          <t>SCA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43442-2025</t>
        </is>
      </c>
      <c r="B4904" s="1" t="n">
        <v>45911.44244212963</v>
      </c>
      <c r="C4904" s="1" t="n">
        <v>46045</v>
      </c>
      <c r="D4904" t="inlineStr">
        <is>
          <t>JÄMTLANDS LÄN</t>
        </is>
      </c>
      <c r="E4904" t="inlineStr">
        <is>
          <t>BERG</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17323-2025</t>
        </is>
      </c>
      <c r="B4905" s="1" t="n">
        <v>45756.63601851852</v>
      </c>
      <c r="C4905" s="1" t="n">
        <v>46045</v>
      </c>
      <c r="D4905" t="inlineStr">
        <is>
          <t>JÄMTLANDS LÄN</t>
        </is>
      </c>
      <c r="E4905" t="inlineStr">
        <is>
          <t>RAGUNDA</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41264-2025</t>
        </is>
      </c>
      <c r="B4906" s="1" t="n">
        <v>45898</v>
      </c>
      <c r="C4906" s="1" t="n">
        <v>46045</v>
      </c>
      <c r="D4906" t="inlineStr">
        <is>
          <t>JÄMTLANDS LÄN</t>
        </is>
      </c>
      <c r="E4906" t="inlineStr">
        <is>
          <t>BERG</t>
        </is>
      </c>
      <c r="G4906" t="n">
        <v>17.4</v>
      </c>
      <c r="H4906" t="n">
        <v>0</v>
      </c>
      <c r="I4906" t="n">
        <v>0</v>
      </c>
      <c r="J4906" t="n">
        <v>0</v>
      </c>
      <c r="K4906" t="n">
        <v>0</v>
      </c>
      <c r="L4906" t="n">
        <v>0</v>
      </c>
      <c r="M4906" t="n">
        <v>0</v>
      </c>
      <c r="N4906" t="n">
        <v>0</v>
      </c>
      <c r="O4906" t="n">
        <v>0</v>
      </c>
      <c r="P4906" t="n">
        <v>0</v>
      </c>
      <c r="Q4906" t="n">
        <v>0</v>
      </c>
      <c r="R4906" s="2" t="inlineStr"/>
    </row>
    <row r="4907" ht="15" customHeight="1">
      <c r="A4907" t="inlineStr">
        <is>
          <t>A 40439-2023</t>
        </is>
      </c>
      <c r="B4907" s="1" t="n">
        <v>45169</v>
      </c>
      <c r="C4907" s="1" t="n">
        <v>46045</v>
      </c>
      <c r="D4907" t="inlineStr">
        <is>
          <t>JÄMTLANDS LÄN</t>
        </is>
      </c>
      <c r="E4907" t="inlineStr">
        <is>
          <t>STRÖMSUND</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28135-2024</t>
        </is>
      </c>
      <c r="B4908" s="1" t="n">
        <v>45476</v>
      </c>
      <c r="C4908" s="1" t="n">
        <v>46045</v>
      </c>
      <c r="D4908" t="inlineStr">
        <is>
          <t>JÄMTLANDS LÄN</t>
        </is>
      </c>
      <c r="E4908" t="inlineStr">
        <is>
          <t>BRÄCKE</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40440-2023</t>
        </is>
      </c>
      <c r="B4909" s="1" t="n">
        <v>45169.94126157407</v>
      </c>
      <c r="C4909" s="1" t="n">
        <v>46045</v>
      </c>
      <c r="D4909" t="inlineStr">
        <is>
          <t>JÄMTLANDS LÄN</t>
        </is>
      </c>
      <c r="E4909" t="inlineStr">
        <is>
          <t>STRÖMSUND</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49043-2023</t>
        </is>
      </c>
      <c r="B4910" s="1" t="n">
        <v>45209.95743055556</v>
      </c>
      <c r="C4910" s="1" t="n">
        <v>46045</v>
      </c>
      <c r="D4910" t="inlineStr">
        <is>
          <t>JÄMTLANDS LÄN</t>
        </is>
      </c>
      <c r="E4910" t="inlineStr">
        <is>
          <t>BRÄCKE</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28181-2024</t>
        </is>
      </c>
      <c r="B4911" s="1" t="n">
        <v>45477.28482638889</v>
      </c>
      <c r="C4911" s="1" t="n">
        <v>46045</v>
      </c>
      <c r="D4911" t="inlineStr">
        <is>
          <t>JÄMTLANDS LÄN</t>
        </is>
      </c>
      <c r="E4911" t="inlineStr">
        <is>
          <t>ÖSTERSUND</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38280-2021</t>
        </is>
      </c>
      <c r="B4912" s="1" t="n">
        <v>44405</v>
      </c>
      <c r="C4912" s="1" t="n">
        <v>46045</v>
      </c>
      <c r="D4912" t="inlineStr">
        <is>
          <t>JÄMTLANDS LÄN</t>
        </is>
      </c>
      <c r="E4912" t="inlineStr">
        <is>
          <t>BRÄCKE</t>
        </is>
      </c>
      <c r="F4912" t="inlineStr">
        <is>
          <t>SCA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9798-2025</t>
        </is>
      </c>
      <c r="B4913" s="1" t="n">
        <v>45716.55252314815</v>
      </c>
      <c r="C4913" s="1" t="n">
        <v>46045</v>
      </c>
      <c r="D4913" t="inlineStr">
        <is>
          <t>JÄMTLANDS LÄN</t>
        </is>
      </c>
      <c r="E4913" t="inlineStr">
        <is>
          <t>STRÖMSUND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13654-2025</t>
        </is>
      </c>
      <c r="B4914" s="1" t="n">
        <v>45736.71942129629</v>
      </c>
      <c r="C4914" s="1" t="n">
        <v>46045</v>
      </c>
      <c r="D4914" t="inlineStr">
        <is>
          <t>JÄMTLANDS LÄN</t>
        </is>
      </c>
      <c r="E4914" t="inlineStr">
        <is>
          <t>STRÖMSUND</t>
        </is>
      </c>
      <c r="F4914" t="inlineStr">
        <is>
          <t>SCA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43597-2025</t>
        </is>
      </c>
      <c r="B4915" s="1" t="n">
        <v>45911.66243055555</v>
      </c>
      <c r="C4915" s="1" t="n">
        <v>46045</v>
      </c>
      <c r="D4915" t="inlineStr">
        <is>
          <t>JÄMTLANDS LÄN</t>
        </is>
      </c>
      <c r="E4915" t="inlineStr">
        <is>
          <t>HÄRJEDALEN</t>
        </is>
      </c>
      <c r="F4915" t="inlineStr">
        <is>
          <t>Bergvik skog väst AB</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13655-2025</t>
        </is>
      </c>
      <c r="B4916" s="1" t="n">
        <v>45736.71956018519</v>
      </c>
      <c r="C4916" s="1" t="n">
        <v>46045</v>
      </c>
      <c r="D4916" t="inlineStr">
        <is>
          <t>JÄMTLANDS LÄN</t>
        </is>
      </c>
      <c r="E4916" t="inlineStr">
        <is>
          <t>ÖSTERSUND</t>
        </is>
      </c>
      <c r="F4916" t="inlineStr">
        <is>
          <t>SCA</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58052-2022</t>
        </is>
      </c>
      <c r="B4917" s="1" t="n">
        <v>44893</v>
      </c>
      <c r="C4917" s="1" t="n">
        <v>46045</v>
      </c>
      <c r="D4917" t="inlineStr">
        <is>
          <t>JÄMTLANDS LÄN</t>
        </is>
      </c>
      <c r="E4917" t="inlineStr">
        <is>
          <t>KROKOM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4252-2025</t>
        </is>
      </c>
      <c r="B4918" s="1" t="n">
        <v>45685</v>
      </c>
      <c r="C4918" s="1" t="n">
        <v>46045</v>
      </c>
      <c r="D4918" t="inlineStr">
        <is>
          <t>JÄMTLANDS LÄN</t>
        </is>
      </c>
      <c r="E4918" t="inlineStr">
        <is>
          <t>HÄRJEDALEN</t>
        </is>
      </c>
      <c r="F4918" t="inlineStr">
        <is>
          <t>Holmen skog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51441-2023</t>
        </is>
      </c>
      <c r="B4919" s="1" t="n">
        <v>45219</v>
      </c>
      <c r="C4919" s="1" t="n">
        <v>46045</v>
      </c>
      <c r="D4919" t="inlineStr">
        <is>
          <t>JÄMTLANDS LÄN</t>
        </is>
      </c>
      <c r="E4919" t="inlineStr">
        <is>
          <t>BRÄCKE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55302-2021</t>
        </is>
      </c>
      <c r="B4920" s="1" t="n">
        <v>44475</v>
      </c>
      <c r="C4920" s="1" t="n">
        <v>46045</v>
      </c>
      <c r="D4920" t="inlineStr">
        <is>
          <t>JÄMTLANDS LÄN</t>
        </is>
      </c>
      <c r="E4920" t="inlineStr">
        <is>
          <t>ÖSTERSUND</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62500-2022</t>
        </is>
      </c>
      <c r="B4921" s="1" t="n">
        <v>44924.59140046296</v>
      </c>
      <c r="C4921" s="1" t="n">
        <v>46045</v>
      </c>
      <c r="D4921" t="inlineStr">
        <is>
          <t>JÄMTLANDS LÄN</t>
        </is>
      </c>
      <c r="E4921" t="inlineStr">
        <is>
          <t>HÄRJEDALEN</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24833-2023</t>
        </is>
      </c>
      <c r="B4922" s="1" t="n">
        <v>45084</v>
      </c>
      <c r="C4922" s="1" t="n">
        <v>46045</v>
      </c>
      <c r="D4922" t="inlineStr">
        <is>
          <t>JÄMTLANDS LÄN</t>
        </is>
      </c>
      <c r="E4922" t="inlineStr">
        <is>
          <t>STRÖMSUND</t>
        </is>
      </c>
      <c r="F4922" t="inlineStr">
        <is>
          <t>SCA</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43736-2025</t>
        </is>
      </c>
      <c r="B4923" s="1" t="n">
        <v>45912.44840277778</v>
      </c>
      <c r="C4923" s="1" t="n">
        <v>46045</v>
      </c>
      <c r="D4923" t="inlineStr">
        <is>
          <t>JÄMTLANDS LÄN</t>
        </is>
      </c>
      <c r="E4923" t="inlineStr">
        <is>
          <t>BRÄCKE</t>
        </is>
      </c>
      <c r="F4923" t="inlineStr">
        <is>
          <t>SCA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43456-2025</t>
        </is>
      </c>
      <c r="B4924" s="1" t="n">
        <v>45911.46148148148</v>
      </c>
      <c r="C4924" s="1" t="n">
        <v>46045</v>
      </c>
      <c r="D4924" t="inlineStr">
        <is>
          <t>JÄMTLANDS LÄN</t>
        </is>
      </c>
      <c r="E4924" t="inlineStr">
        <is>
          <t>BERG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9025-2025</t>
        </is>
      </c>
      <c r="B4925" s="1" t="n">
        <v>45713.59952546296</v>
      </c>
      <c r="C4925" s="1" t="n">
        <v>46045</v>
      </c>
      <c r="D4925" t="inlineStr">
        <is>
          <t>JÄMTLANDS LÄN</t>
        </is>
      </c>
      <c r="E4925" t="inlineStr">
        <is>
          <t>KROKOM</t>
        </is>
      </c>
      <c r="F4925" t="inlineStr">
        <is>
          <t>Övriga Aktiebolag</t>
        </is>
      </c>
      <c r="G4925" t="n">
        <v>28.4</v>
      </c>
      <c r="H4925" t="n">
        <v>0</v>
      </c>
      <c r="I4925" t="n">
        <v>0</v>
      </c>
      <c r="J4925" t="n">
        <v>0</v>
      </c>
      <c r="K4925" t="n">
        <v>0</v>
      </c>
      <c r="L4925" t="n">
        <v>0</v>
      </c>
      <c r="M4925" t="n">
        <v>0</v>
      </c>
      <c r="N4925" t="n">
        <v>0</v>
      </c>
      <c r="O4925" t="n">
        <v>0</v>
      </c>
      <c r="P4925" t="n">
        <v>0</v>
      </c>
      <c r="Q4925" t="n">
        <v>0</v>
      </c>
      <c r="R4925" s="2" t="inlineStr"/>
    </row>
    <row r="4926" ht="15" customHeight="1">
      <c r="A4926" t="inlineStr">
        <is>
          <t>A 43618-2025</t>
        </is>
      </c>
      <c r="B4926" s="1" t="n">
        <v>45911.67806712963</v>
      </c>
      <c r="C4926" s="1" t="n">
        <v>46045</v>
      </c>
      <c r="D4926" t="inlineStr">
        <is>
          <t>JÄMTLANDS LÄN</t>
        </is>
      </c>
      <c r="E4926" t="inlineStr">
        <is>
          <t>BRÄCKE</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16064-2024</t>
        </is>
      </c>
      <c r="B4927" s="1" t="n">
        <v>45406.05033564815</v>
      </c>
      <c r="C4927" s="1" t="n">
        <v>46045</v>
      </c>
      <c r="D4927" t="inlineStr">
        <is>
          <t>JÄMTLANDS LÄN</t>
        </is>
      </c>
      <c r="E4927" t="inlineStr">
        <is>
          <t>KROKOM</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46748-2023</t>
        </is>
      </c>
      <c r="B4928" s="1" t="n">
        <v>45198</v>
      </c>
      <c r="C4928" s="1" t="n">
        <v>46045</v>
      </c>
      <c r="D4928" t="inlineStr">
        <is>
          <t>JÄMTLANDS LÄN</t>
        </is>
      </c>
      <c r="E4928" t="inlineStr">
        <is>
          <t>ÖSTERSUND</t>
        </is>
      </c>
      <c r="F4928" t="inlineStr">
        <is>
          <t>Sveaskog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46763-2023</t>
        </is>
      </c>
      <c r="B4929" s="1" t="n">
        <v>45198</v>
      </c>
      <c r="C4929" s="1" t="n">
        <v>46045</v>
      </c>
      <c r="D4929" t="inlineStr">
        <is>
          <t>JÄMTLANDS LÄN</t>
        </is>
      </c>
      <c r="E4929" t="inlineStr">
        <is>
          <t>ÖSTERSUND</t>
        </is>
      </c>
      <c r="F4929" t="inlineStr">
        <is>
          <t>Sveaskog</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46776-2023</t>
        </is>
      </c>
      <c r="B4930" s="1" t="n">
        <v>45195</v>
      </c>
      <c r="C4930" s="1" t="n">
        <v>46045</v>
      </c>
      <c r="D4930" t="inlineStr">
        <is>
          <t>JÄMTLANDS LÄN</t>
        </is>
      </c>
      <c r="E4930" t="inlineStr">
        <is>
          <t>STRÖMSUND</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24801-2024</t>
        </is>
      </c>
      <c r="B4931" s="1" t="n">
        <v>45460.95300925926</v>
      </c>
      <c r="C4931" s="1" t="n">
        <v>46045</v>
      </c>
      <c r="D4931" t="inlineStr">
        <is>
          <t>JÄMTLANDS LÄN</t>
        </is>
      </c>
      <c r="E4931" t="inlineStr">
        <is>
          <t>STRÖMSUND</t>
        </is>
      </c>
      <c r="F4931" t="inlineStr">
        <is>
          <t>SCA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18896-2025</t>
        </is>
      </c>
      <c r="B4932" s="1" t="n">
        <v>45764.44861111111</v>
      </c>
      <c r="C4932" s="1" t="n">
        <v>46045</v>
      </c>
      <c r="D4932" t="inlineStr">
        <is>
          <t>JÄMTLANDS LÄN</t>
        </is>
      </c>
      <c r="E4932" t="inlineStr">
        <is>
          <t>HÄRJEDALEN</t>
        </is>
      </c>
      <c r="F4932" t="inlineStr">
        <is>
          <t>SCA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11555-2025</t>
        </is>
      </c>
      <c r="B4933" s="1" t="n">
        <v>45727.35621527778</v>
      </c>
      <c r="C4933" s="1" t="n">
        <v>46045</v>
      </c>
      <c r="D4933" t="inlineStr">
        <is>
          <t>JÄMTLANDS LÄN</t>
        </is>
      </c>
      <c r="E4933" t="inlineStr">
        <is>
          <t>HÄRJEDALEN</t>
        </is>
      </c>
      <c r="F4933" t="inlineStr">
        <is>
          <t>Bergvik skog väst AB</t>
        </is>
      </c>
      <c r="G4933" t="n">
        <v>14.2</v>
      </c>
      <c r="H4933" t="n">
        <v>0</v>
      </c>
      <c r="I4933" t="n">
        <v>0</v>
      </c>
      <c r="J4933" t="n">
        <v>0</v>
      </c>
      <c r="K4933" t="n">
        <v>0</v>
      </c>
      <c r="L4933" t="n">
        <v>0</v>
      </c>
      <c r="M4933" t="n">
        <v>0</v>
      </c>
      <c r="N4933" t="n">
        <v>0</v>
      </c>
      <c r="O4933" t="n">
        <v>0</v>
      </c>
      <c r="P4933" t="n">
        <v>0</v>
      </c>
      <c r="Q4933" t="n">
        <v>0</v>
      </c>
      <c r="R4933" s="2" t="inlineStr"/>
    </row>
    <row r="4934" ht="15" customHeight="1">
      <c r="A4934" t="inlineStr">
        <is>
          <t>A 28444-2024</t>
        </is>
      </c>
      <c r="B4934" s="1" t="n">
        <v>45477.66773148148</v>
      </c>
      <c r="C4934" s="1" t="n">
        <v>46045</v>
      </c>
      <c r="D4934" t="inlineStr">
        <is>
          <t>JÄMTLANDS LÄN</t>
        </is>
      </c>
      <c r="E4934" t="inlineStr">
        <is>
          <t>HÄRJEDALEN</t>
        </is>
      </c>
      <c r="F4934" t="inlineStr">
        <is>
          <t>Holmen skog AB</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60404-2023</t>
        </is>
      </c>
      <c r="B4935" s="1" t="n">
        <v>45259.46332175926</v>
      </c>
      <c r="C4935" s="1" t="n">
        <v>46045</v>
      </c>
      <c r="D4935" t="inlineStr">
        <is>
          <t>JÄMTLANDS LÄN</t>
        </is>
      </c>
      <c r="E4935" t="inlineStr">
        <is>
          <t>BERG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43563-2025</t>
        </is>
      </c>
      <c r="B4936" s="1" t="n">
        <v>45911.63133101852</v>
      </c>
      <c r="C4936" s="1" t="n">
        <v>46045</v>
      </c>
      <c r="D4936" t="inlineStr">
        <is>
          <t>JÄMTLANDS LÄN</t>
        </is>
      </c>
      <c r="E4936" t="inlineStr">
        <is>
          <t>STRÖMSUND</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32063-2024</t>
        </is>
      </c>
      <c r="B4937" s="1" t="n">
        <v>45510</v>
      </c>
      <c r="C4937" s="1" t="n">
        <v>46045</v>
      </c>
      <c r="D4937" t="inlineStr">
        <is>
          <t>JÄMTLANDS LÄN</t>
        </is>
      </c>
      <c r="E4937" t="inlineStr">
        <is>
          <t>RAGUNDA</t>
        </is>
      </c>
      <c r="F4937" t="inlineStr">
        <is>
          <t>SCA</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32064-2024</t>
        </is>
      </c>
      <c r="B4938" s="1" t="n">
        <v>45510</v>
      </c>
      <c r="C4938" s="1" t="n">
        <v>46045</v>
      </c>
      <c r="D4938" t="inlineStr">
        <is>
          <t>JÄMTLANDS LÄN</t>
        </is>
      </c>
      <c r="E4938" t="inlineStr">
        <is>
          <t>HÄRJEDALEN</t>
        </is>
      </c>
      <c r="F4938" t="inlineStr">
        <is>
          <t>SCA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19486-2024</t>
        </is>
      </c>
      <c r="B4939" s="1" t="n">
        <v>45429</v>
      </c>
      <c r="C4939" s="1" t="n">
        <v>46045</v>
      </c>
      <c r="D4939" t="inlineStr">
        <is>
          <t>JÄMTLANDS LÄN</t>
        </is>
      </c>
      <c r="E4939" t="inlineStr">
        <is>
          <t>RAGUNDA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12822-2022</t>
        </is>
      </c>
      <c r="B4940" s="1" t="n">
        <v>44642</v>
      </c>
      <c r="C4940" s="1" t="n">
        <v>46045</v>
      </c>
      <c r="D4940" t="inlineStr">
        <is>
          <t>JÄMTLANDS LÄN</t>
        </is>
      </c>
      <c r="E4940" t="inlineStr">
        <is>
          <t>STRÖMSUND</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40765-2023</t>
        </is>
      </c>
      <c r="B4941" s="1" t="n">
        <v>45170</v>
      </c>
      <c r="C4941" s="1" t="n">
        <v>46045</v>
      </c>
      <c r="D4941" t="inlineStr">
        <is>
          <t>JÄMTLANDS LÄN</t>
        </is>
      </c>
      <c r="E4941" t="inlineStr">
        <is>
          <t>BRÄCKE</t>
        </is>
      </c>
      <c r="F4941" t="inlineStr">
        <is>
          <t>SCA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43769-2025</t>
        </is>
      </c>
      <c r="B4942" s="1" t="n">
        <v>45912.49420138889</v>
      </c>
      <c r="C4942" s="1" t="n">
        <v>46045</v>
      </c>
      <c r="D4942" t="inlineStr">
        <is>
          <t>JÄMTLANDS LÄN</t>
        </is>
      </c>
      <c r="E4942" t="inlineStr">
        <is>
          <t>ÅRE</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50220-2023</t>
        </is>
      </c>
      <c r="B4943" s="1" t="n">
        <v>45215</v>
      </c>
      <c r="C4943" s="1" t="n">
        <v>46045</v>
      </c>
      <c r="D4943" t="inlineStr">
        <is>
          <t>JÄMTLANDS LÄN</t>
        </is>
      </c>
      <c r="E4943" t="inlineStr">
        <is>
          <t>BRÄCKE</t>
        </is>
      </c>
      <c r="F4943" t="inlineStr">
        <is>
          <t>SCA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43443-2025</t>
        </is>
      </c>
      <c r="B4944" s="1" t="n">
        <v>45911.44350694444</v>
      </c>
      <c r="C4944" s="1" t="n">
        <v>46045</v>
      </c>
      <c r="D4944" t="inlineStr">
        <is>
          <t>JÄMTLANDS LÄN</t>
        </is>
      </c>
      <c r="E4944" t="inlineStr">
        <is>
          <t>BERG</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58179-2022</t>
        </is>
      </c>
      <c r="B4945" s="1" t="n">
        <v>44900</v>
      </c>
      <c r="C4945" s="1" t="n">
        <v>46045</v>
      </c>
      <c r="D4945" t="inlineStr">
        <is>
          <t>JÄMTLANDS LÄN</t>
        </is>
      </c>
      <c r="E4945" t="inlineStr">
        <is>
          <t>STRÖMSUND</t>
        </is>
      </c>
      <c r="F4945" t="inlineStr">
        <is>
          <t>SCA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41194-2022</t>
        </is>
      </c>
      <c r="B4946" s="1" t="n">
        <v>44825.94982638889</v>
      </c>
      <c r="C4946" s="1" t="n">
        <v>46045</v>
      </c>
      <c r="D4946" t="inlineStr">
        <is>
          <t>JÄMTLANDS LÄN</t>
        </is>
      </c>
      <c r="E4946" t="inlineStr">
        <is>
          <t>STRÖMSUND</t>
        </is>
      </c>
      <c r="F4946" t="inlineStr">
        <is>
          <t>SCA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58194-2022</t>
        </is>
      </c>
      <c r="B4947" s="1" t="n">
        <v>44900</v>
      </c>
      <c r="C4947" s="1" t="n">
        <v>46045</v>
      </c>
      <c r="D4947" t="inlineStr">
        <is>
          <t>JÄMTLANDS LÄN</t>
        </is>
      </c>
      <c r="E4947" t="inlineStr">
        <is>
          <t>RAGUNDA</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58905-2022</t>
        </is>
      </c>
      <c r="B4948" s="1" t="n">
        <v>44903</v>
      </c>
      <c r="C4948" s="1" t="n">
        <v>46045</v>
      </c>
      <c r="D4948" t="inlineStr">
        <is>
          <t>JÄMTLANDS LÄN</t>
        </is>
      </c>
      <c r="E4948" t="inlineStr">
        <is>
          <t>STRÖMSUND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43364-2025</t>
        </is>
      </c>
      <c r="B4949" s="1" t="n">
        <v>45911.34483796296</v>
      </c>
      <c r="C4949" s="1" t="n">
        <v>46045</v>
      </c>
      <c r="D4949" t="inlineStr">
        <is>
          <t>JÄMTLANDS LÄN</t>
        </is>
      </c>
      <c r="E4949" t="inlineStr">
        <is>
          <t>BERG</t>
        </is>
      </c>
      <c r="F4949" t="inlineStr">
        <is>
          <t>SCA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43411-2025</t>
        </is>
      </c>
      <c r="B4950" s="1" t="n">
        <v>45911.40074074074</v>
      </c>
      <c r="C4950" s="1" t="n">
        <v>46045</v>
      </c>
      <c r="D4950" t="inlineStr">
        <is>
          <t>JÄMTLANDS LÄN</t>
        </is>
      </c>
      <c r="E4950" t="inlineStr">
        <is>
          <t>ÖSTERSUND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40339-2021</t>
        </is>
      </c>
      <c r="B4951" s="1" t="n">
        <v>44419</v>
      </c>
      <c r="C4951" s="1" t="n">
        <v>46045</v>
      </c>
      <c r="D4951" t="inlineStr">
        <is>
          <t>JÄMTLANDS LÄN</t>
        </is>
      </c>
      <c r="E4951" t="inlineStr">
        <is>
          <t>ÅRE</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13941-2025</t>
        </is>
      </c>
      <c r="B4952" s="1" t="n">
        <v>45737.69822916666</v>
      </c>
      <c r="C4952" s="1" t="n">
        <v>46045</v>
      </c>
      <c r="D4952" t="inlineStr">
        <is>
          <t>JÄMTLANDS LÄN</t>
        </is>
      </c>
      <c r="E4952" t="inlineStr">
        <is>
          <t>RAGUNDA</t>
        </is>
      </c>
      <c r="F4952" t="inlineStr">
        <is>
          <t>SCA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32673-2024</t>
        </is>
      </c>
      <c r="B4953" s="1" t="n">
        <v>45514.61270833333</v>
      </c>
      <c r="C4953" s="1" t="n">
        <v>46045</v>
      </c>
      <c r="D4953" t="inlineStr">
        <is>
          <t>JÄMTLANDS LÄN</t>
        </is>
      </c>
      <c r="E4953" t="inlineStr">
        <is>
          <t>STRÖMSUND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43481-2025</t>
        </is>
      </c>
      <c r="B4954" s="1" t="n">
        <v>45911.50042824074</v>
      </c>
      <c r="C4954" s="1" t="n">
        <v>46045</v>
      </c>
      <c r="D4954" t="inlineStr">
        <is>
          <t>JÄMTLANDS LÄN</t>
        </is>
      </c>
      <c r="E4954" t="inlineStr">
        <is>
          <t>STRÖMSUND</t>
        </is>
      </c>
      <c r="F4954" t="inlineStr">
        <is>
          <t>Holmen skog AB</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13033-2024</t>
        </is>
      </c>
      <c r="B4955" s="1" t="n">
        <v>45385</v>
      </c>
      <c r="C4955" s="1" t="n">
        <v>46045</v>
      </c>
      <c r="D4955" t="inlineStr">
        <is>
          <t>JÄMTLANDS LÄN</t>
        </is>
      </c>
      <c r="E4955" t="inlineStr">
        <is>
          <t>ÅRE</t>
        </is>
      </c>
      <c r="G4955" t="n">
        <v>7.3</v>
      </c>
      <c r="H4955" t="n">
        <v>0</v>
      </c>
      <c r="I4955" t="n">
        <v>0</v>
      </c>
      <c r="J4955" t="n">
        <v>0</v>
      </c>
      <c r="K4955" t="n">
        <v>0</v>
      </c>
      <c r="L4955" t="n">
        <v>0</v>
      </c>
      <c r="M4955" t="n">
        <v>0</v>
      </c>
      <c r="N4955" t="n">
        <v>0</v>
      </c>
      <c r="O4955" t="n">
        <v>0</v>
      </c>
      <c r="P4955" t="n">
        <v>0</v>
      </c>
      <c r="Q4955" t="n">
        <v>0</v>
      </c>
      <c r="R4955" s="2" t="inlineStr"/>
    </row>
    <row r="4956" ht="15" customHeight="1">
      <c r="A4956" t="inlineStr">
        <is>
          <t>A 43548-2025</t>
        </is>
      </c>
      <c r="B4956" s="1" t="n">
        <v>45911.61579861111</v>
      </c>
      <c r="C4956" s="1" t="n">
        <v>46045</v>
      </c>
      <c r="D4956" t="inlineStr">
        <is>
          <t>JÄMTLANDS LÄN</t>
        </is>
      </c>
      <c r="E4956" t="inlineStr">
        <is>
          <t>ÖSTERSUND</t>
        </is>
      </c>
      <c r="F4956" t="inlineStr">
        <is>
          <t>SCA</t>
        </is>
      </c>
      <c r="G4956" t="n">
        <v>17.3</v>
      </c>
      <c r="H4956" t="n">
        <v>0</v>
      </c>
      <c r="I4956" t="n">
        <v>0</v>
      </c>
      <c r="J4956" t="n">
        <v>0</v>
      </c>
      <c r="K4956" t="n">
        <v>0</v>
      </c>
      <c r="L4956" t="n">
        <v>0</v>
      </c>
      <c r="M4956" t="n">
        <v>0</v>
      </c>
      <c r="N4956" t="n">
        <v>0</v>
      </c>
      <c r="O4956" t="n">
        <v>0</v>
      </c>
      <c r="P4956" t="n">
        <v>0</v>
      </c>
      <c r="Q4956" t="n">
        <v>0</v>
      </c>
      <c r="R4956" s="2" t="inlineStr"/>
    </row>
    <row r="4957" ht="15" customHeight="1">
      <c r="A4957" t="inlineStr">
        <is>
          <t>A 43567-2025</t>
        </is>
      </c>
      <c r="B4957" s="1" t="n">
        <v>45911.6327662037</v>
      </c>
      <c r="C4957" s="1" t="n">
        <v>46045</v>
      </c>
      <c r="D4957" t="inlineStr">
        <is>
          <t>JÄMTLANDS LÄN</t>
        </is>
      </c>
      <c r="E4957" t="inlineStr">
        <is>
          <t>BERG</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42875-2024</t>
        </is>
      </c>
      <c r="B4958" s="1" t="n">
        <v>45566.68125</v>
      </c>
      <c r="C4958" s="1" t="n">
        <v>46045</v>
      </c>
      <c r="D4958" t="inlineStr">
        <is>
          <t>JÄMTLANDS LÄN</t>
        </is>
      </c>
      <c r="E4958" t="inlineStr">
        <is>
          <t>RAGUNDA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3031-2023</t>
        </is>
      </c>
      <c r="B4959" s="1" t="n">
        <v>44945</v>
      </c>
      <c r="C4959" s="1" t="n">
        <v>46045</v>
      </c>
      <c r="D4959" t="inlineStr">
        <is>
          <t>JÄMTLANDS LÄN</t>
        </is>
      </c>
      <c r="E4959" t="inlineStr">
        <is>
          <t>BRÄCKE</t>
        </is>
      </c>
      <c r="F4959" t="inlineStr">
        <is>
          <t>SCA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3033-2023</t>
        </is>
      </c>
      <c r="B4960" s="1" t="n">
        <v>44945</v>
      </c>
      <c r="C4960" s="1" t="n">
        <v>46045</v>
      </c>
      <c r="D4960" t="inlineStr">
        <is>
          <t>JÄMTLANDS LÄN</t>
        </is>
      </c>
      <c r="E4960" t="inlineStr">
        <is>
          <t>BRÄCKE</t>
        </is>
      </c>
      <c r="F4960" t="inlineStr">
        <is>
          <t>SCA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3036-2023</t>
        </is>
      </c>
      <c r="B4961" s="1" t="n">
        <v>44945.94201388889</v>
      </c>
      <c r="C4961" s="1" t="n">
        <v>46045</v>
      </c>
      <c r="D4961" t="inlineStr">
        <is>
          <t>JÄMTLANDS LÄN</t>
        </is>
      </c>
      <c r="E4961" t="inlineStr">
        <is>
          <t>BRÄCKE</t>
        </is>
      </c>
      <c r="F4961" t="inlineStr">
        <is>
          <t>SCA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59645-2022</t>
        </is>
      </c>
      <c r="B4962" s="1" t="n">
        <v>44907.96560185185</v>
      </c>
      <c r="C4962" s="1" t="n">
        <v>46045</v>
      </c>
      <c r="D4962" t="inlineStr">
        <is>
          <t>JÄMTLANDS LÄN</t>
        </is>
      </c>
      <c r="E4962" t="inlineStr">
        <is>
          <t>STRÖMSUND</t>
        </is>
      </c>
      <c r="F4962" t="inlineStr">
        <is>
          <t>SCA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62413-2023</t>
        </is>
      </c>
      <c r="B4963" s="1" t="n">
        <v>45266</v>
      </c>
      <c r="C4963" s="1" t="n">
        <v>46045</v>
      </c>
      <c r="D4963" t="inlineStr">
        <is>
          <t>JÄMTLANDS LÄN</t>
        </is>
      </c>
      <c r="E4963" t="inlineStr">
        <is>
          <t>KROKOM</t>
        </is>
      </c>
      <c r="G4963" t="n">
        <v>12.8</v>
      </c>
      <c r="H4963" t="n">
        <v>0</v>
      </c>
      <c r="I4963" t="n">
        <v>0</v>
      </c>
      <c r="J4963" t="n">
        <v>0</v>
      </c>
      <c r="K4963" t="n">
        <v>0</v>
      </c>
      <c r="L4963" t="n">
        <v>0</v>
      </c>
      <c r="M4963" t="n">
        <v>0</v>
      </c>
      <c r="N4963" t="n">
        <v>0</v>
      </c>
      <c r="O4963" t="n">
        <v>0</v>
      </c>
      <c r="P4963" t="n">
        <v>0</v>
      </c>
      <c r="Q4963" t="n">
        <v>0</v>
      </c>
      <c r="R4963" s="2" t="inlineStr"/>
    </row>
    <row r="4964" ht="15" customHeight="1">
      <c r="A4964" t="inlineStr">
        <is>
          <t>A 43591-2025</t>
        </is>
      </c>
      <c r="B4964" s="1" t="n">
        <v>45911.65681712963</v>
      </c>
      <c r="C4964" s="1" t="n">
        <v>46045</v>
      </c>
      <c r="D4964" t="inlineStr">
        <is>
          <t>JÄMTLANDS LÄN</t>
        </is>
      </c>
      <c r="E4964" t="inlineStr">
        <is>
          <t>BRÄCKE</t>
        </is>
      </c>
      <c r="F4964" t="inlineStr">
        <is>
          <t>SCA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43560-2025</t>
        </is>
      </c>
      <c r="B4965" s="1" t="n">
        <v>45911.62758101852</v>
      </c>
      <c r="C4965" s="1" t="n">
        <v>46045</v>
      </c>
      <c r="D4965" t="inlineStr">
        <is>
          <t>JÄMTLANDS LÄN</t>
        </is>
      </c>
      <c r="E4965" t="inlineStr">
        <is>
          <t>BERG</t>
        </is>
      </c>
      <c r="G4965" t="n">
        <v>10</v>
      </c>
      <c r="H4965" t="n">
        <v>0</v>
      </c>
      <c r="I4965" t="n">
        <v>0</v>
      </c>
      <c r="J4965" t="n">
        <v>0</v>
      </c>
      <c r="K4965" t="n">
        <v>0</v>
      </c>
      <c r="L4965" t="n">
        <v>0</v>
      </c>
      <c r="M4965" t="n">
        <v>0</v>
      </c>
      <c r="N4965" t="n">
        <v>0</v>
      </c>
      <c r="O4965" t="n">
        <v>0</v>
      </c>
      <c r="P4965" t="n">
        <v>0</v>
      </c>
      <c r="Q4965" t="n">
        <v>0</v>
      </c>
      <c r="R4965" s="2" t="inlineStr"/>
    </row>
    <row r="4966" ht="15" customHeight="1">
      <c r="A4966" t="inlineStr">
        <is>
          <t>A 60062-2023</t>
        </is>
      </c>
      <c r="B4966" s="1" t="n">
        <v>45257</v>
      </c>
      <c r="C4966" s="1" t="n">
        <v>46045</v>
      </c>
      <c r="D4966" t="inlineStr">
        <is>
          <t>JÄMTLANDS LÄN</t>
        </is>
      </c>
      <c r="E4966" t="inlineStr">
        <is>
          <t>HÄRJEDALEN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4220-2025</t>
        </is>
      </c>
      <c r="B4967" s="1" t="n">
        <v>45685</v>
      </c>
      <c r="C4967" s="1" t="n">
        <v>46045</v>
      </c>
      <c r="D4967" t="inlineStr">
        <is>
          <t>JÄMTLANDS LÄN</t>
        </is>
      </c>
      <c r="E4967" t="inlineStr">
        <is>
          <t>HÄRJEDALEN</t>
        </is>
      </c>
      <c r="F4967" t="inlineStr">
        <is>
          <t>Bergvik skog väst AB</t>
        </is>
      </c>
      <c r="G4967" t="n">
        <v>19.8</v>
      </c>
      <c r="H4967" t="n">
        <v>0</v>
      </c>
      <c r="I4967" t="n">
        <v>0</v>
      </c>
      <c r="J4967" t="n">
        <v>0</v>
      </c>
      <c r="K4967" t="n">
        <v>0</v>
      </c>
      <c r="L4967" t="n">
        <v>0</v>
      </c>
      <c r="M4967" t="n">
        <v>0</v>
      </c>
      <c r="N4967" t="n">
        <v>0</v>
      </c>
      <c r="O4967" t="n">
        <v>0</v>
      </c>
      <c r="P4967" t="n">
        <v>0</v>
      </c>
      <c r="Q4967" t="n">
        <v>0</v>
      </c>
      <c r="R4967" s="2" t="inlineStr"/>
    </row>
    <row r="4968" ht="15" customHeight="1">
      <c r="A4968" t="inlineStr">
        <is>
          <t>A 32460-2021</t>
        </is>
      </c>
      <c r="B4968" s="1" t="n">
        <v>44371</v>
      </c>
      <c r="C4968" s="1" t="n">
        <v>46045</v>
      </c>
      <c r="D4968" t="inlineStr">
        <is>
          <t>JÄMTLANDS LÄN</t>
        </is>
      </c>
      <c r="E4968" t="inlineStr">
        <is>
          <t>STRÖMSUND</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43500-2025</t>
        </is>
      </c>
      <c r="B4969" s="1" t="n">
        <v>45911.53392361111</v>
      </c>
      <c r="C4969" s="1" t="n">
        <v>46045</v>
      </c>
      <c r="D4969" t="inlineStr">
        <is>
          <t>JÄMTLANDS LÄN</t>
        </is>
      </c>
      <c r="E4969" t="inlineStr">
        <is>
          <t>STRÖMSUND</t>
        </is>
      </c>
      <c r="F4969" t="inlineStr">
        <is>
          <t>Holmen skog AB</t>
        </is>
      </c>
      <c r="G4969" t="n">
        <v>8.699999999999999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15864-2024</t>
        </is>
      </c>
      <c r="B4970" s="1" t="n">
        <v>45404.99792824074</v>
      </c>
      <c r="C4970" s="1" t="n">
        <v>46045</v>
      </c>
      <c r="D4970" t="inlineStr">
        <is>
          <t>JÄMTLANDS LÄN</t>
        </is>
      </c>
      <c r="E4970" t="inlineStr">
        <is>
          <t>RAGUNDA</t>
        </is>
      </c>
      <c r="F4970" t="inlineStr">
        <is>
          <t>SCA</t>
        </is>
      </c>
      <c r="G4970" t="n">
        <v>1.1</v>
      </c>
      <c r="H4970" t="n">
        <v>0</v>
      </c>
      <c r="I4970" t="n">
        <v>0</v>
      </c>
      <c r="J4970" t="n">
        <v>0</v>
      </c>
      <c r="K4970" t="n">
        <v>0</v>
      </c>
      <c r="L4970" t="n">
        <v>0</v>
      </c>
      <c r="M4970" t="n">
        <v>0</v>
      </c>
      <c r="N4970" t="n">
        <v>0</v>
      </c>
      <c r="O4970" t="n">
        <v>0</v>
      </c>
      <c r="P4970" t="n">
        <v>0</v>
      </c>
      <c r="Q4970" t="n">
        <v>0</v>
      </c>
      <c r="R4970" s="2" t="inlineStr"/>
      <c r="U4970">
        <f>HYPERLINK("https://klasma.github.io/Logging_2303/knärot/A 15864-2024 karta knärot.png", "A 15864-2024")</f>
        <v/>
      </c>
      <c r="V4970">
        <f>HYPERLINK("https://klasma.github.io/Logging_2303/klagomål/A 15864-2024 FSC-klagomål.docx", "A 15864-2024")</f>
        <v/>
      </c>
      <c r="W4970">
        <f>HYPERLINK("https://klasma.github.io/Logging_2303/klagomålsmail/A 15864-2024 FSC-klagomål mail.docx", "A 15864-2024")</f>
        <v/>
      </c>
      <c r="X4970">
        <f>HYPERLINK("https://klasma.github.io/Logging_2303/tillsyn/A 15864-2024 tillsynsbegäran.docx", "A 15864-2024")</f>
        <v/>
      </c>
      <c r="Y4970">
        <f>HYPERLINK("https://klasma.github.io/Logging_2303/tillsynsmail/A 15864-2024 tillsynsbegäran mail.docx", "A 15864-2024")</f>
        <v/>
      </c>
    </row>
    <row r="4971" ht="15" customHeight="1">
      <c r="A4971" t="inlineStr">
        <is>
          <t>A 32471-2021</t>
        </is>
      </c>
      <c r="B4971" s="1" t="n">
        <v>44371</v>
      </c>
      <c r="C4971" s="1" t="n">
        <v>46045</v>
      </c>
      <c r="D4971" t="inlineStr">
        <is>
          <t>JÄMTLANDS LÄN</t>
        </is>
      </c>
      <c r="E4971" t="inlineStr">
        <is>
          <t>BRÄCKE</t>
        </is>
      </c>
      <c r="F4971" t="inlineStr">
        <is>
          <t>SCA</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43519-2025</t>
        </is>
      </c>
      <c r="B4972" s="1" t="n">
        <v>45911.57349537037</v>
      </c>
      <c r="C4972" s="1" t="n">
        <v>46045</v>
      </c>
      <c r="D4972" t="inlineStr">
        <is>
          <t>JÄMTLANDS LÄN</t>
        </is>
      </c>
      <c r="E4972" t="inlineStr">
        <is>
          <t>ÖSTERSUND</t>
        </is>
      </c>
      <c r="F4972" t="inlineStr">
        <is>
          <t>SCA</t>
        </is>
      </c>
      <c r="G4972" t="n">
        <v>14.4</v>
      </c>
      <c r="H4972" t="n">
        <v>0</v>
      </c>
      <c r="I4972" t="n">
        <v>0</v>
      </c>
      <c r="J4972" t="n">
        <v>0</v>
      </c>
      <c r="K4972" t="n">
        <v>0</v>
      </c>
      <c r="L4972" t="n">
        <v>0</v>
      </c>
      <c r="M4972" t="n">
        <v>0</v>
      </c>
      <c r="N4972" t="n">
        <v>0</v>
      </c>
      <c r="O4972" t="n">
        <v>0</v>
      </c>
      <c r="P4972" t="n">
        <v>0</v>
      </c>
      <c r="Q4972" t="n">
        <v>0</v>
      </c>
      <c r="R4972" s="2" t="inlineStr"/>
    </row>
    <row r="4973" ht="15" customHeight="1">
      <c r="A4973" t="inlineStr">
        <is>
          <t>A 8422-2022</t>
        </is>
      </c>
      <c r="B4973" s="1" t="n">
        <v>44610</v>
      </c>
      <c r="C4973" s="1" t="n">
        <v>46045</v>
      </c>
      <c r="D4973" t="inlineStr">
        <is>
          <t>JÄMTLANDS LÄN</t>
        </is>
      </c>
      <c r="E4973" t="inlineStr">
        <is>
          <t>BRÄCKE</t>
        </is>
      </c>
      <c r="F4973" t="inlineStr">
        <is>
          <t>SCA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43768-2025</t>
        </is>
      </c>
      <c r="B4974" s="1" t="n">
        <v>45912.49289351852</v>
      </c>
      <c r="C4974" s="1" t="n">
        <v>46045</v>
      </c>
      <c r="D4974" t="inlineStr">
        <is>
          <t>JÄMTLANDS LÄN</t>
        </is>
      </c>
      <c r="E4974" t="inlineStr">
        <is>
          <t>ÅRE</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59076-2022</t>
        </is>
      </c>
      <c r="B4975" s="1" t="n">
        <v>44904</v>
      </c>
      <c r="C4975" s="1" t="n">
        <v>46045</v>
      </c>
      <c r="D4975" t="inlineStr">
        <is>
          <t>JÄMTLANDS LÄN</t>
        </is>
      </c>
      <c r="E4975" t="inlineStr">
        <is>
          <t>KROKOM</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43776-2025</t>
        </is>
      </c>
      <c r="B4976" s="1" t="n">
        <v>45912.51086805556</v>
      </c>
      <c r="C4976" s="1" t="n">
        <v>46045</v>
      </c>
      <c r="D4976" t="inlineStr">
        <is>
          <t>JÄMTLANDS LÄN</t>
        </is>
      </c>
      <c r="E4976" t="inlineStr">
        <is>
          <t>RAGUNDA</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43804-2025</t>
        </is>
      </c>
      <c r="B4977" s="1" t="n">
        <v>45912.57373842593</v>
      </c>
      <c r="C4977" s="1" t="n">
        <v>46045</v>
      </c>
      <c r="D4977" t="inlineStr">
        <is>
          <t>JÄMTLANDS LÄN</t>
        </is>
      </c>
      <c r="E4977" t="inlineStr">
        <is>
          <t>RAGUNDA</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846-2024</t>
        </is>
      </c>
      <c r="B4978" s="1" t="n">
        <v>45300</v>
      </c>
      <c r="C4978" s="1" t="n">
        <v>46045</v>
      </c>
      <c r="D4978" t="inlineStr">
        <is>
          <t>JÄMTLANDS LÄN</t>
        </is>
      </c>
      <c r="E4978" t="inlineStr">
        <is>
          <t>ÖSTERSUND</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57259-2023</t>
        </is>
      </c>
      <c r="B4979" s="1" t="n">
        <v>45245</v>
      </c>
      <c r="C4979" s="1" t="n">
        <v>46045</v>
      </c>
      <c r="D4979" t="inlineStr">
        <is>
          <t>JÄMTLANDS LÄN</t>
        </is>
      </c>
      <c r="E4979" t="inlineStr">
        <is>
          <t>KROKOM</t>
        </is>
      </c>
      <c r="G4979" t="n">
        <v>9.6</v>
      </c>
      <c r="H4979" t="n">
        <v>0</v>
      </c>
      <c r="I4979" t="n">
        <v>0</v>
      </c>
      <c r="J4979" t="n">
        <v>0</v>
      </c>
      <c r="K4979" t="n">
        <v>0</v>
      </c>
      <c r="L4979" t="n">
        <v>0</v>
      </c>
      <c r="M4979" t="n">
        <v>0</v>
      </c>
      <c r="N4979" t="n">
        <v>0</v>
      </c>
      <c r="O4979" t="n">
        <v>0</v>
      </c>
      <c r="P4979" t="n">
        <v>0</v>
      </c>
      <c r="Q4979" t="n">
        <v>0</v>
      </c>
      <c r="R4979" s="2" t="inlineStr"/>
    </row>
    <row r="4980" ht="15" customHeight="1">
      <c r="A4980" t="inlineStr">
        <is>
          <t>A 43441-2025</t>
        </is>
      </c>
      <c r="B4980" s="1" t="n">
        <v>45911.44184027778</v>
      </c>
      <c r="C4980" s="1" t="n">
        <v>46045</v>
      </c>
      <c r="D4980" t="inlineStr">
        <is>
          <t>JÄMTLANDS LÄN</t>
        </is>
      </c>
      <c r="E4980" t="inlineStr">
        <is>
          <t>BERG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43382-2025</t>
        </is>
      </c>
      <c r="B4981" s="1" t="n">
        <v>45911</v>
      </c>
      <c r="C4981" s="1" t="n">
        <v>46045</v>
      </c>
      <c r="D4981" t="inlineStr">
        <is>
          <t>JÄMTLANDS LÄN</t>
        </is>
      </c>
      <c r="E4981" t="inlineStr">
        <is>
          <t>HÄRJEDALEN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4015-2022</t>
        </is>
      </c>
      <c r="B4982" s="1" t="n">
        <v>44587.92149305555</v>
      </c>
      <c r="C4982" s="1" t="n">
        <v>46045</v>
      </c>
      <c r="D4982" t="inlineStr">
        <is>
          <t>JÄMTLANDS LÄN</t>
        </is>
      </c>
      <c r="E4982" t="inlineStr">
        <is>
          <t>RAGUNDA</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48507-2023</t>
        </is>
      </c>
      <c r="B4983" s="1" t="n">
        <v>45207.94034722223</v>
      </c>
      <c r="C4983" s="1" t="n">
        <v>46045</v>
      </c>
      <c r="D4983" t="inlineStr">
        <is>
          <t>JÄMTLANDS LÄN</t>
        </is>
      </c>
      <c r="E4983" t="inlineStr">
        <is>
          <t>BRÄCKE</t>
        </is>
      </c>
      <c r="F4983" t="inlineStr">
        <is>
          <t>SCA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43722-2025</t>
        </is>
      </c>
      <c r="B4984" s="1" t="n">
        <v>45912.42824074074</v>
      </c>
      <c r="C4984" s="1" t="n">
        <v>46045</v>
      </c>
      <c r="D4984" t="inlineStr">
        <is>
          <t>JÄMTLANDS LÄN</t>
        </is>
      </c>
      <c r="E4984" t="inlineStr">
        <is>
          <t>STRÖMSUND</t>
        </is>
      </c>
      <c r="F4984" t="inlineStr">
        <is>
          <t>SCA</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43767-2025</t>
        </is>
      </c>
      <c r="B4985" s="1" t="n">
        <v>45912.49256944445</v>
      </c>
      <c r="C4985" s="1" t="n">
        <v>46045</v>
      </c>
      <c r="D4985" t="inlineStr">
        <is>
          <t>JÄMTLANDS LÄN</t>
        </is>
      </c>
      <c r="E4985" t="inlineStr">
        <is>
          <t>ÅRE</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44280-2025</t>
        </is>
      </c>
      <c r="B4986" s="1" t="n">
        <v>45916.34502314815</v>
      </c>
      <c r="C4986" s="1" t="n">
        <v>46045</v>
      </c>
      <c r="D4986" t="inlineStr">
        <is>
          <t>JÄMTLANDS LÄN</t>
        </is>
      </c>
      <c r="E4986" t="inlineStr">
        <is>
          <t>STRÖMSUND</t>
        </is>
      </c>
      <c r="F4986" t="inlineStr">
        <is>
          <t>SCA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40976-2024</t>
        </is>
      </c>
      <c r="B4987" s="1" t="n">
        <v>45558.68231481482</v>
      </c>
      <c r="C4987" s="1" t="n">
        <v>46045</v>
      </c>
      <c r="D4987" t="inlineStr">
        <is>
          <t>JÄMTLANDS LÄN</t>
        </is>
      </c>
      <c r="E4987" t="inlineStr">
        <is>
          <t>STRÖMSUND</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5173-2025</t>
        </is>
      </c>
      <c r="B4988" s="1" t="n">
        <v>45691.61996527778</v>
      </c>
      <c r="C4988" s="1" t="n">
        <v>46045</v>
      </c>
      <c r="D4988" t="inlineStr">
        <is>
          <t>JÄMTLANDS LÄN</t>
        </is>
      </c>
      <c r="E4988" t="inlineStr">
        <is>
          <t>KROKOM</t>
        </is>
      </c>
      <c r="F4988" t="inlineStr">
        <is>
          <t>Kyrkan</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2599-2023</t>
        </is>
      </c>
      <c r="B4989" s="1" t="n">
        <v>44943.94802083333</v>
      </c>
      <c r="C4989" s="1" t="n">
        <v>46045</v>
      </c>
      <c r="D4989" t="inlineStr">
        <is>
          <t>JÄMTLANDS LÄN</t>
        </is>
      </c>
      <c r="E4989" t="inlineStr">
        <is>
          <t>RAGUNDA</t>
        </is>
      </c>
      <c r="F4989" t="inlineStr">
        <is>
          <t>SCA</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12227-2023</t>
        </is>
      </c>
      <c r="B4990" s="1" t="n">
        <v>44998.60261574074</v>
      </c>
      <c r="C4990" s="1" t="n">
        <v>46045</v>
      </c>
      <c r="D4990" t="inlineStr">
        <is>
          <t>JÄMTLANDS LÄN</t>
        </is>
      </c>
      <c r="E4990" t="inlineStr">
        <is>
          <t>ÅRE</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44051-2025</t>
        </is>
      </c>
      <c r="B4991" s="1" t="n">
        <v>45915.51079861111</v>
      </c>
      <c r="C4991" s="1" t="n">
        <v>46045</v>
      </c>
      <c r="D4991" t="inlineStr">
        <is>
          <t>JÄMTLANDS LÄN</t>
        </is>
      </c>
      <c r="E4991" t="inlineStr">
        <is>
          <t>BERG</t>
        </is>
      </c>
      <c r="F4991" t="inlineStr">
        <is>
          <t>SCA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61966-2024</t>
        </is>
      </c>
      <c r="B4992" s="1" t="n">
        <v>45653.57240740741</v>
      </c>
      <c r="C4992" s="1" t="n">
        <v>46045</v>
      </c>
      <c r="D4992" t="inlineStr">
        <is>
          <t>JÄMTLANDS LÄN</t>
        </is>
      </c>
      <c r="E4992" t="inlineStr">
        <is>
          <t>KROKOM</t>
        </is>
      </c>
      <c r="F4992" t="inlineStr">
        <is>
          <t>Övriga Aktiebolag</t>
        </is>
      </c>
      <c r="G4992" t="n">
        <v>15.7</v>
      </c>
      <c r="H4992" t="n">
        <v>0</v>
      </c>
      <c r="I4992" t="n">
        <v>0</v>
      </c>
      <c r="J4992" t="n">
        <v>0</v>
      </c>
      <c r="K4992" t="n">
        <v>0</v>
      </c>
      <c r="L4992" t="n">
        <v>0</v>
      </c>
      <c r="M4992" t="n">
        <v>0</v>
      </c>
      <c r="N4992" t="n">
        <v>0</v>
      </c>
      <c r="O4992" t="n">
        <v>0</v>
      </c>
      <c r="P4992" t="n">
        <v>0</v>
      </c>
      <c r="Q4992" t="n">
        <v>0</v>
      </c>
      <c r="R4992" s="2" t="inlineStr"/>
    </row>
    <row r="4993" ht="15" customHeight="1">
      <c r="A4993" t="inlineStr">
        <is>
          <t>A 59044-2022</t>
        </is>
      </c>
      <c r="B4993" s="1" t="n">
        <v>44903</v>
      </c>
      <c r="C4993" s="1" t="n">
        <v>46045</v>
      </c>
      <c r="D4993" t="inlineStr">
        <is>
          <t>JÄMTLANDS LÄN</t>
        </is>
      </c>
      <c r="E4993" t="inlineStr">
        <is>
          <t>RAGUNDA</t>
        </is>
      </c>
      <c r="F4993" t="inlineStr">
        <is>
          <t>SCA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59047-2022</t>
        </is>
      </c>
      <c r="B4994" s="1" t="n">
        <v>44903.95328703704</v>
      </c>
      <c r="C4994" s="1" t="n">
        <v>46045</v>
      </c>
      <c r="D4994" t="inlineStr">
        <is>
          <t>JÄMTLANDS LÄN</t>
        </is>
      </c>
      <c r="E4994" t="inlineStr">
        <is>
          <t>BRÄCKE</t>
        </is>
      </c>
      <c r="F4994" t="inlineStr">
        <is>
          <t>SCA</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32676-2023</t>
        </is>
      </c>
      <c r="B4995" s="1" t="n">
        <v>45121</v>
      </c>
      <c r="C4995" s="1" t="n">
        <v>46045</v>
      </c>
      <c r="D4995" t="inlineStr">
        <is>
          <t>JÄMTLANDS LÄN</t>
        </is>
      </c>
      <c r="E4995" t="inlineStr">
        <is>
          <t>KROKOM</t>
        </is>
      </c>
      <c r="F4995" t="inlineStr">
        <is>
          <t>Övriga Aktiebolag</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44191-2025</t>
        </is>
      </c>
      <c r="B4996" s="1" t="n">
        <v>45915.61539351852</v>
      </c>
      <c r="C4996" s="1" t="n">
        <v>46045</v>
      </c>
      <c r="D4996" t="inlineStr">
        <is>
          <t>JÄMTLANDS LÄN</t>
        </is>
      </c>
      <c r="E4996" t="inlineStr">
        <is>
          <t>STRÖMSUND</t>
        </is>
      </c>
      <c r="F4996" t="inlineStr">
        <is>
          <t>SCA</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44193-2025</t>
        </is>
      </c>
      <c r="B4997" s="1" t="n">
        <v>45915.61585648148</v>
      </c>
      <c r="C4997" s="1" t="n">
        <v>46045</v>
      </c>
      <c r="D4997" t="inlineStr">
        <is>
          <t>JÄMTLANDS LÄN</t>
        </is>
      </c>
      <c r="E4997" t="inlineStr">
        <is>
          <t>STRÖMSUND</t>
        </is>
      </c>
      <c r="F4997" t="inlineStr">
        <is>
          <t>SCA</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60587-2022</t>
        </is>
      </c>
      <c r="B4998" s="1" t="n">
        <v>44911.58445601852</v>
      </c>
      <c r="C4998" s="1" t="n">
        <v>46045</v>
      </c>
      <c r="D4998" t="inlineStr">
        <is>
          <t>JÄMTLANDS LÄN</t>
        </is>
      </c>
      <c r="E4998" t="inlineStr">
        <is>
          <t>BERG</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26646-2023</t>
        </is>
      </c>
      <c r="B4999" s="1" t="n">
        <v>45092</v>
      </c>
      <c r="C4999" s="1" t="n">
        <v>46045</v>
      </c>
      <c r="D4999" t="inlineStr">
        <is>
          <t>JÄMTLANDS LÄN</t>
        </is>
      </c>
      <c r="E4999" t="inlineStr">
        <is>
          <t>RAGUNDA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37239-2023</t>
        </is>
      </c>
      <c r="B5000" s="1" t="n">
        <v>45155.95373842592</v>
      </c>
      <c r="C5000" s="1" t="n">
        <v>46045</v>
      </c>
      <c r="D5000" t="inlineStr">
        <is>
          <t>JÄMTLANDS LÄN</t>
        </is>
      </c>
      <c r="E5000" t="inlineStr">
        <is>
          <t>BRÄCKE</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44138-2025</t>
        </is>
      </c>
      <c r="B5001" s="1" t="n">
        <v>45915.58836805556</v>
      </c>
      <c r="C5001" s="1" t="n">
        <v>46045</v>
      </c>
      <c r="D5001" t="inlineStr">
        <is>
          <t>JÄMTLANDS LÄN</t>
        </is>
      </c>
      <c r="E5001" t="inlineStr">
        <is>
          <t>KROKOM</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43968-2025</t>
        </is>
      </c>
      <c r="B5002" s="1" t="n">
        <v>45915</v>
      </c>
      <c r="C5002" s="1" t="n">
        <v>46045</v>
      </c>
      <c r="D5002" t="inlineStr">
        <is>
          <t>JÄMTLANDS LÄN</t>
        </is>
      </c>
      <c r="E5002" t="inlineStr">
        <is>
          <t>BERG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43971-2025</t>
        </is>
      </c>
      <c r="B5003" s="1" t="n">
        <v>45915.40694444445</v>
      </c>
      <c r="C5003" s="1" t="n">
        <v>46045</v>
      </c>
      <c r="D5003" t="inlineStr">
        <is>
          <t>JÄMTLANDS LÄN</t>
        </is>
      </c>
      <c r="E5003" t="inlineStr">
        <is>
          <t>RAGUNDA</t>
        </is>
      </c>
      <c r="F5003" t="inlineStr">
        <is>
          <t>SCA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43996-2025</t>
        </is>
      </c>
      <c r="B5004" s="1" t="n">
        <v>45915</v>
      </c>
      <c r="C5004" s="1" t="n">
        <v>46045</v>
      </c>
      <c r="D5004" t="inlineStr">
        <is>
          <t>JÄMTLANDS LÄN</t>
        </is>
      </c>
      <c r="E5004" t="inlineStr">
        <is>
          <t>KROKOM</t>
        </is>
      </c>
      <c r="G5004" t="n">
        <v>24.2</v>
      </c>
      <c r="H5004" t="n">
        <v>0</v>
      </c>
      <c r="I5004" t="n">
        <v>0</v>
      </c>
      <c r="J5004" t="n">
        <v>0</v>
      </c>
      <c r="K5004" t="n">
        <v>0</v>
      </c>
      <c r="L5004" t="n">
        <v>0</v>
      </c>
      <c r="M5004" t="n">
        <v>0</v>
      </c>
      <c r="N5004" t="n">
        <v>0</v>
      </c>
      <c r="O5004" t="n">
        <v>0</v>
      </c>
      <c r="P5004" t="n">
        <v>0</v>
      </c>
      <c r="Q5004" t="n">
        <v>0</v>
      </c>
      <c r="R5004" s="2" t="inlineStr"/>
    </row>
    <row r="5005" ht="15" customHeight="1">
      <c r="A5005" t="inlineStr">
        <is>
          <t>A 56513-2024</t>
        </is>
      </c>
      <c r="B5005" s="1" t="n">
        <v>45625.5315625</v>
      </c>
      <c r="C5005" s="1" t="n">
        <v>46045</v>
      </c>
      <c r="D5005" t="inlineStr">
        <is>
          <t>JÄMTLANDS LÄN</t>
        </is>
      </c>
      <c r="E5005" t="inlineStr">
        <is>
          <t>STRÖMSUND</t>
        </is>
      </c>
      <c r="F5005" t="inlineStr">
        <is>
          <t>SCA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4014-2022</t>
        </is>
      </c>
      <c r="B5006" s="1" t="n">
        <v>44587.92144675926</v>
      </c>
      <c r="C5006" s="1" t="n">
        <v>46045</v>
      </c>
      <c r="D5006" t="inlineStr">
        <is>
          <t>JÄMTLANDS LÄN</t>
        </is>
      </c>
      <c r="E5006" t="inlineStr">
        <is>
          <t>RAGUNDA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5174-2023</t>
        </is>
      </c>
      <c r="B5007" s="1" t="n">
        <v>44958</v>
      </c>
      <c r="C5007" s="1" t="n">
        <v>46045</v>
      </c>
      <c r="D5007" t="inlineStr">
        <is>
          <t>JÄMTLANDS LÄN</t>
        </is>
      </c>
      <c r="E5007" t="inlineStr">
        <is>
          <t>STRÖMSUND</t>
        </is>
      </c>
      <c r="F5007" t="inlineStr">
        <is>
          <t>SCA</t>
        </is>
      </c>
      <c r="G5007" t="n">
        <v>64.5</v>
      </c>
      <c r="H5007" t="n">
        <v>0</v>
      </c>
      <c r="I5007" t="n">
        <v>0</v>
      </c>
      <c r="J5007" t="n">
        <v>0</v>
      </c>
      <c r="K5007" t="n">
        <v>0</v>
      </c>
      <c r="L5007" t="n">
        <v>0</v>
      </c>
      <c r="M5007" t="n">
        <v>0</v>
      </c>
      <c r="N5007" t="n">
        <v>0</v>
      </c>
      <c r="O5007" t="n">
        <v>0</v>
      </c>
      <c r="P5007" t="n">
        <v>0</v>
      </c>
      <c r="Q5007" t="n">
        <v>0</v>
      </c>
      <c r="R5007" s="2" t="inlineStr"/>
    </row>
    <row r="5008" ht="15" customHeight="1">
      <c r="A5008" t="inlineStr">
        <is>
          <t>A 44302-2025</t>
        </is>
      </c>
      <c r="B5008" s="1" t="n">
        <v>45915</v>
      </c>
      <c r="C5008" s="1" t="n">
        <v>46045</v>
      </c>
      <c r="D5008" t="inlineStr">
        <is>
          <t>JÄMTLANDS LÄN</t>
        </is>
      </c>
      <c r="E5008" t="inlineStr">
        <is>
          <t>BERG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47052-2022</t>
        </is>
      </c>
      <c r="B5009" s="1" t="n">
        <v>44851</v>
      </c>
      <c r="C5009" s="1" t="n">
        <v>46045</v>
      </c>
      <c r="D5009" t="inlineStr">
        <is>
          <t>JÄMTLANDS LÄN</t>
        </is>
      </c>
      <c r="E5009" t="inlineStr">
        <is>
          <t>ÅRE</t>
        </is>
      </c>
      <c r="G5009" t="n">
        <v>90.8</v>
      </c>
      <c r="H5009" t="n">
        <v>0</v>
      </c>
      <c r="I5009" t="n">
        <v>0</v>
      </c>
      <c r="J5009" t="n">
        <v>0</v>
      </c>
      <c r="K5009" t="n">
        <v>0</v>
      </c>
      <c r="L5009" t="n">
        <v>0</v>
      </c>
      <c r="M5009" t="n">
        <v>0</v>
      </c>
      <c r="N5009" t="n">
        <v>0</v>
      </c>
      <c r="O5009" t="n">
        <v>0</v>
      </c>
      <c r="P5009" t="n">
        <v>0</v>
      </c>
      <c r="Q5009" t="n">
        <v>0</v>
      </c>
      <c r="R5009" s="2" t="inlineStr"/>
    </row>
    <row r="5010" ht="15" customHeight="1">
      <c r="A5010" t="inlineStr">
        <is>
          <t>A 8243-2024</t>
        </is>
      </c>
      <c r="B5010" s="1" t="n">
        <v>45351.98532407408</v>
      </c>
      <c r="C5010" s="1" t="n">
        <v>46045</v>
      </c>
      <c r="D5010" t="inlineStr">
        <is>
          <t>JÄMTLANDS LÄN</t>
        </is>
      </c>
      <c r="E5010" t="inlineStr">
        <is>
          <t>RAGUNDA</t>
        </is>
      </c>
      <c r="F5010" t="inlineStr">
        <is>
          <t>SCA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11528-2022</t>
        </is>
      </c>
      <c r="B5011" s="1" t="n">
        <v>44631.37701388889</v>
      </c>
      <c r="C5011" s="1" t="n">
        <v>46045</v>
      </c>
      <c r="D5011" t="inlineStr">
        <is>
          <t>JÄMTLANDS LÄN</t>
        </is>
      </c>
      <c r="E5011" t="inlineStr">
        <is>
          <t>HÄRJEDALEN</t>
        </is>
      </c>
      <c r="F5011" t="inlineStr">
        <is>
          <t>Holmen skog AB</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44356-2025</t>
        </is>
      </c>
      <c r="B5012" s="1" t="n">
        <v>45916.44834490741</v>
      </c>
      <c r="C5012" s="1" t="n">
        <v>46045</v>
      </c>
      <c r="D5012" t="inlineStr">
        <is>
          <t>JÄMTLANDS LÄN</t>
        </is>
      </c>
      <c r="E5012" t="inlineStr">
        <is>
          <t>STRÖMSUND</t>
        </is>
      </c>
      <c r="F5012" t="inlineStr">
        <is>
          <t>SCA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11545-2022</t>
        </is>
      </c>
      <c r="B5013" s="1" t="n">
        <v>44631.42353009259</v>
      </c>
      <c r="C5013" s="1" t="n">
        <v>46045</v>
      </c>
      <c r="D5013" t="inlineStr">
        <is>
          <t>JÄMTLANDS LÄN</t>
        </is>
      </c>
      <c r="E5013" t="inlineStr">
        <is>
          <t>HÄRJEDALEN</t>
        </is>
      </c>
      <c r="F5013" t="inlineStr">
        <is>
          <t>Holmen skog AB</t>
        </is>
      </c>
      <c r="G5013" t="n">
        <v>9.300000000000001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44446-2025</t>
        </is>
      </c>
      <c r="B5014" s="1" t="n">
        <v>45916.59773148148</v>
      </c>
      <c r="C5014" s="1" t="n">
        <v>46045</v>
      </c>
      <c r="D5014" t="inlineStr">
        <is>
          <t>JÄMTLANDS LÄN</t>
        </is>
      </c>
      <c r="E5014" t="inlineStr">
        <is>
          <t>ÖSTERSUND</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27291-2022</t>
        </is>
      </c>
      <c r="B5015" s="1" t="n">
        <v>44741.94070601852</v>
      </c>
      <c r="C5015" s="1" t="n">
        <v>46045</v>
      </c>
      <c r="D5015" t="inlineStr">
        <is>
          <t>JÄMTLANDS LÄN</t>
        </is>
      </c>
      <c r="E5015" t="inlineStr">
        <is>
          <t>RAGUNDA</t>
        </is>
      </c>
      <c r="F5015" t="inlineStr">
        <is>
          <t>SCA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6902-2024</t>
        </is>
      </c>
      <c r="B5016" s="1" t="n">
        <v>45342</v>
      </c>
      <c r="C5016" s="1" t="n">
        <v>46045</v>
      </c>
      <c r="D5016" t="inlineStr">
        <is>
          <t>JÄMTLANDS LÄN</t>
        </is>
      </c>
      <c r="E5016" t="inlineStr">
        <is>
          <t>RAGUNDA</t>
        </is>
      </c>
      <c r="F5016" t="inlineStr">
        <is>
          <t>SCA</t>
        </is>
      </c>
      <c r="G5016" t="n">
        <v>18.7</v>
      </c>
      <c r="H5016" t="n">
        <v>0</v>
      </c>
      <c r="I5016" t="n">
        <v>0</v>
      </c>
      <c r="J5016" t="n">
        <v>0</v>
      </c>
      <c r="K5016" t="n">
        <v>0</v>
      </c>
      <c r="L5016" t="n">
        <v>0</v>
      </c>
      <c r="M5016" t="n">
        <v>0</v>
      </c>
      <c r="N5016" t="n">
        <v>0</v>
      </c>
      <c r="O5016" t="n">
        <v>0</v>
      </c>
      <c r="P5016" t="n">
        <v>0</v>
      </c>
      <c r="Q5016" t="n">
        <v>0</v>
      </c>
      <c r="R5016" s="2" t="inlineStr"/>
    </row>
    <row r="5017" ht="15" customHeight="1">
      <c r="A5017" t="inlineStr">
        <is>
          <t>A 433-2023</t>
        </is>
      </c>
      <c r="B5017" s="1" t="n">
        <v>44923</v>
      </c>
      <c r="C5017" s="1" t="n">
        <v>46045</v>
      </c>
      <c r="D5017" t="inlineStr">
        <is>
          <t>JÄMTLANDS LÄN</t>
        </is>
      </c>
      <c r="E5017" t="inlineStr">
        <is>
          <t>BERG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7573-2023</t>
        </is>
      </c>
      <c r="B5018" s="1" t="n">
        <v>44967</v>
      </c>
      <c r="C5018" s="1" t="n">
        <v>46045</v>
      </c>
      <c r="D5018" t="inlineStr">
        <is>
          <t>JÄMTLANDS LÄN</t>
        </is>
      </c>
      <c r="E5018" t="inlineStr">
        <is>
          <t>ÅRE</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32998-2021</t>
        </is>
      </c>
      <c r="B5019" s="1" t="n">
        <v>44375</v>
      </c>
      <c r="C5019" s="1" t="n">
        <v>46045</v>
      </c>
      <c r="D5019" t="inlineStr">
        <is>
          <t>JÄMTLANDS LÄN</t>
        </is>
      </c>
      <c r="E5019" t="inlineStr">
        <is>
          <t>ÖSTERSUND</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6905-2024</t>
        </is>
      </c>
      <c r="B5020" s="1" t="n">
        <v>45342.9462037037</v>
      </c>
      <c r="C5020" s="1" t="n">
        <v>46045</v>
      </c>
      <c r="D5020" t="inlineStr">
        <is>
          <t>JÄMTLANDS LÄN</t>
        </is>
      </c>
      <c r="E5020" t="inlineStr">
        <is>
          <t>RAGUNDA</t>
        </is>
      </c>
      <c r="F5020" t="inlineStr">
        <is>
          <t>SCA</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12601-2022</t>
        </is>
      </c>
      <c r="B5021" s="1" t="n">
        <v>44638</v>
      </c>
      <c r="C5021" s="1" t="n">
        <v>46045</v>
      </c>
      <c r="D5021" t="inlineStr">
        <is>
          <t>JÄMTLANDS LÄN</t>
        </is>
      </c>
      <c r="E5021" t="inlineStr">
        <is>
          <t>BRÄCKE</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60887-2022</t>
        </is>
      </c>
      <c r="B5022" s="1" t="n">
        <v>44914</v>
      </c>
      <c r="C5022" s="1" t="n">
        <v>46045</v>
      </c>
      <c r="D5022" t="inlineStr">
        <is>
          <t>JÄMTLANDS LÄN</t>
        </is>
      </c>
      <c r="E5022" t="inlineStr">
        <is>
          <t>HÄRJEDALEN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33230-2024</t>
        </is>
      </c>
      <c r="B5023" s="1" t="n">
        <v>45518.57418981481</v>
      </c>
      <c r="C5023" s="1" t="n">
        <v>46045</v>
      </c>
      <c r="D5023" t="inlineStr">
        <is>
          <t>JÄMTLANDS LÄN</t>
        </is>
      </c>
      <c r="E5023" t="inlineStr">
        <is>
          <t>ÅRE</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44303-2025</t>
        </is>
      </c>
      <c r="B5024" s="1" t="n">
        <v>45915</v>
      </c>
      <c r="C5024" s="1" t="n">
        <v>46045</v>
      </c>
      <c r="D5024" t="inlineStr">
        <is>
          <t>JÄMTLANDS LÄN</t>
        </is>
      </c>
      <c r="E5024" t="inlineStr">
        <is>
          <t>BERG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29624-2024</t>
        </is>
      </c>
      <c r="B5025" s="1" t="n">
        <v>45484.65768518519</v>
      </c>
      <c r="C5025" s="1" t="n">
        <v>46045</v>
      </c>
      <c r="D5025" t="inlineStr">
        <is>
          <t>JÄMTLANDS LÄN</t>
        </is>
      </c>
      <c r="E5025" t="inlineStr">
        <is>
          <t>HÄRJEDALEN</t>
        </is>
      </c>
      <c r="F5025" t="inlineStr">
        <is>
          <t>Holmen skog AB</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15423-2025</t>
        </is>
      </c>
      <c r="B5026" s="1" t="n">
        <v>45747.4640162037</v>
      </c>
      <c r="C5026" s="1" t="n">
        <v>46045</v>
      </c>
      <c r="D5026" t="inlineStr">
        <is>
          <t>JÄMTLANDS LÄN</t>
        </is>
      </c>
      <c r="E5026" t="inlineStr">
        <is>
          <t>BRÄCKE</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39689-2022</t>
        </is>
      </c>
      <c r="B5027" s="1" t="n">
        <v>44818</v>
      </c>
      <c r="C5027" s="1" t="n">
        <v>46045</v>
      </c>
      <c r="D5027" t="inlineStr">
        <is>
          <t>JÄMTLANDS LÄN</t>
        </is>
      </c>
      <c r="E5027" t="inlineStr">
        <is>
          <t>STRÖMSUND</t>
        </is>
      </c>
      <c r="F5027" t="inlineStr">
        <is>
          <t>SCA</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5307-2025</t>
        </is>
      </c>
      <c r="B5028" s="1" t="n">
        <v>45692.48993055556</v>
      </c>
      <c r="C5028" s="1" t="n">
        <v>46045</v>
      </c>
      <c r="D5028" t="inlineStr">
        <is>
          <t>JÄMTLANDS LÄN</t>
        </is>
      </c>
      <c r="E5028" t="inlineStr">
        <is>
          <t>RAGUNDA</t>
        </is>
      </c>
      <c r="F5028" t="inlineStr">
        <is>
          <t>SCA</t>
        </is>
      </c>
      <c r="G5028" t="n">
        <v>20.9</v>
      </c>
      <c r="H5028" t="n">
        <v>0</v>
      </c>
      <c r="I5028" t="n">
        <v>0</v>
      </c>
      <c r="J5028" t="n">
        <v>0</v>
      </c>
      <c r="K5028" t="n">
        <v>0</v>
      </c>
      <c r="L5028" t="n">
        <v>0</v>
      </c>
      <c r="M5028" t="n">
        <v>0</v>
      </c>
      <c r="N5028" t="n">
        <v>0</v>
      </c>
      <c r="O5028" t="n">
        <v>0</v>
      </c>
      <c r="P5028" t="n">
        <v>0</v>
      </c>
      <c r="Q5028" t="n">
        <v>0</v>
      </c>
      <c r="R5028" s="2" t="inlineStr"/>
    </row>
    <row r="5029" ht="15" customHeight="1">
      <c r="A5029" t="inlineStr">
        <is>
          <t>A 8895-2024</t>
        </is>
      </c>
      <c r="B5029" s="1" t="n">
        <v>45357.31908564815</v>
      </c>
      <c r="C5029" s="1" t="n">
        <v>46045</v>
      </c>
      <c r="D5029" t="inlineStr">
        <is>
          <t>JÄMTLANDS LÄN</t>
        </is>
      </c>
      <c r="E5029" t="inlineStr">
        <is>
          <t>STRÖMSUND</t>
        </is>
      </c>
      <c r="F5029" t="inlineStr">
        <is>
          <t>Holmen skog AB</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43446-2023</t>
        </is>
      </c>
      <c r="B5030" s="1" t="n">
        <v>45184.35760416667</v>
      </c>
      <c r="C5030" s="1" t="n">
        <v>46045</v>
      </c>
      <c r="D5030" t="inlineStr">
        <is>
          <t>JÄMTLANDS LÄN</t>
        </is>
      </c>
      <c r="E5030" t="inlineStr">
        <is>
          <t>ÅRE</t>
        </is>
      </c>
      <c r="F5030" t="inlineStr">
        <is>
          <t>Övriga Aktiebolag</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14697-2025</t>
        </is>
      </c>
      <c r="B5031" s="1" t="n">
        <v>45742.59415509259</v>
      </c>
      <c r="C5031" s="1" t="n">
        <v>46045</v>
      </c>
      <c r="D5031" t="inlineStr">
        <is>
          <t>JÄMTLANDS LÄN</t>
        </is>
      </c>
      <c r="E5031" t="inlineStr">
        <is>
          <t>BERG</t>
        </is>
      </c>
      <c r="F5031" t="inlineStr">
        <is>
          <t>SCA</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43449-2023</t>
        </is>
      </c>
      <c r="B5032" s="1" t="n">
        <v>45184.36697916667</v>
      </c>
      <c r="C5032" s="1" t="n">
        <v>46045</v>
      </c>
      <c r="D5032" t="inlineStr">
        <is>
          <t>JÄMTLANDS LÄN</t>
        </is>
      </c>
      <c r="E5032" t="inlineStr">
        <is>
          <t>ÅRE</t>
        </is>
      </c>
      <c r="F5032" t="inlineStr">
        <is>
          <t>Övriga Aktiebolag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57398-2023</t>
        </is>
      </c>
      <c r="B5033" s="1" t="n">
        <v>45245</v>
      </c>
      <c r="C5033" s="1" t="n">
        <v>46045</v>
      </c>
      <c r="D5033" t="inlineStr">
        <is>
          <t>JÄMTLANDS LÄN</t>
        </is>
      </c>
      <c r="E5033" t="inlineStr">
        <is>
          <t>ÖSTERSUND</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61973-2024</t>
        </is>
      </c>
      <c r="B5034" s="1" t="n">
        <v>45653.61484953704</v>
      </c>
      <c r="C5034" s="1" t="n">
        <v>46045</v>
      </c>
      <c r="D5034" t="inlineStr">
        <is>
          <t>JÄMTLANDS LÄN</t>
        </is>
      </c>
      <c r="E5034" t="inlineStr">
        <is>
          <t>BRÄCKE</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61980-2024</t>
        </is>
      </c>
      <c r="B5035" s="1" t="n">
        <v>45653.66269675926</v>
      </c>
      <c r="C5035" s="1" t="n">
        <v>46045</v>
      </c>
      <c r="D5035" t="inlineStr">
        <is>
          <t>JÄMTLANDS LÄN</t>
        </is>
      </c>
      <c r="E5035" t="inlineStr">
        <is>
          <t>BERG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57412-2023</t>
        </is>
      </c>
      <c r="B5036" s="1" t="n">
        <v>45245</v>
      </c>
      <c r="C5036" s="1" t="n">
        <v>46045</v>
      </c>
      <c r="D5036" t="inlineStr">
        <is>
          <t>JÄMTLANDS LÄN</t>
        </is>
      </c>
      <c r="E5036" t="inlineStr">
        <is>
          <t>BRÄCKE</t>
        </is>
      </c>
      <c r="F5036" t="inlineStr">
        <is>
          <t>SCA</t>
        </is>
      </c>
      <c r="G5036" t="n">
        <v>8.699999999999999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60575-2022</t>
        </is>
      </c>
      <c r="B5037" s="1" t="n">
        <v>44911.5662037037</v>
      </c>
      <c r="C5037" s="1" t="n">
        <v>46045</v>
      </c>
      <c r="D5037" t="inlineStr">
        <is>
          <t>JÄMTLANDS LÄN</t>
        </is>
      </c>
      <c r="E5037" t="inlineStr">
        <is>
          <t>ÖSTERSUND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45242-2023</t>
        </is>
      </c>
      <c r="B5038" s="1" t="n">
        <v>45187</v>
      </c>
      <c r="C5038" s="1" t="n">
        <v>46045</v>
      </c>
      <c r="D5038" t="inlineStr">
        <is>
          <t>JÄMTLANDS LÄN</t>
        </is>
      </c>
      <c r="E5038" t="inlineStr">
        <is>
          <t>ÅRE</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51769-2024</t>
        </is>
      </c>
      <c r="B5039" s="1" t="n">
        <v>45607.44832175926</v>
      </c>
      <c r="C5039" s="1" t="n">
        <v>46045</v>
      </c>
      <c r="D5039" t="inlineStr">
        <is>
          <t>JÄMTLANDS LÄN</t>
        </is>
      </c>
      <c r="E5039" t="inlineStr">
        <is>
          <t>HÄRJEDALEN</t>
        </is>
      </c>
      <c r="F5039" t="inlineStr">
        <is>
          <t>SCA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60954-2023</t>
        </is>
      </c>
      <c r="B5040" s="1" t="n">
        <v>45261.45638888889</v>
      </c>
      <c r="C5040" s="1" t="n">
        <v>46045</v>
      </c>
      <c r="D5040" t="inlineStr">
        <is>
          <t>JÄMTLANDS LÄN</t>
        </is>
      </c>
      <c r="E5040" t="inlineStr">
        <is>
          <t>BRÄCKE</t>
        </is>
      </c>
      <c r="G5040" t="n">
        <v>8.4</v>
      </c>
      <c r="H5040" t="n">
        <v>0</v>
      </c>
      <c r="I5040" t="n">
        <v>0</v>
      </c>
      <c r="J5040" t="n">
        <v>0</v>
      </c>
      <c r="K5040" t="n">
        <v>0</v>
      </c>
      <c r="L5040" t="n">
        <v>0</v>
      </c>
      <c r="M5040" t="n">
        <v>0</v>
      </c>
      <c r="N5040" t="n">
        <v>0</v>
      </c>
      <c r="O5040" t="n">
        <v>0</v>
      </c>
      <c r="P5040" t="n">
        <v>0</v>
      </c>
      <c r="Q5040" t="n">
        <v>0</v>
      </c>
      <c r="R5040" s="2" t="inlineStr"/>
    </row>
    <row r="5041" ht="15" customHeight="1">
      <c r="A5041" t="inlineStr">
        <is>
          <t>A 10532-2025</t>
        </is>
      </c>
      <c r="B5041" s="1" t="n">
        <v>45721.4546412037</v>
      </c>
      <c r="C5041" s="1" t="n">
        <v>46045</v>
      </c>
      <c r="D5041" t="inlineStr">
        <is>
          <t>JÄMTLANDS LÄN</t>
        </is>
      </c>
      <c r="E5041" t="inlineStr">
        <is>
          <t>KROKOM</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20206-2022</t>
        </is>
      </c>
      <c r="B5042" s="1" t="n">
        <v>44698</v>
      </c>
      <c r="C5042" s="1" t="n">
        <v>46045</v>
      </c>
      <c r="D5042" t="inlineStr">
        <is>
          <t>JÄMTLANDS LÄN</t>
        </is>
      </c>
      <c r="E5042" t="inlineStr">
        <is>
          <t>HÄRJEDALEN</t>
        </is>
      </c>
      <c r="F5042" t="inlineStr">
        <is>
          <t>Bergvik skog väst AB</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44457-2025</t>
        </is>
      </c>
      <c r="B5043" s="1" t="n">
        <v>45916.61498842593</v>
      </c>
      <c r="C5043" s="1" t="n">
        <v>46045</v>
      </c>
      <c r="D5043" t="inlineStr">
        <is>
          <t>JÄMTLANDS LÄN</t>
        </is>
      </c>
      <c r="E5043" t="inlineStr">
        <is>
          <t>STRÖMSUND</t>
        </is>
      </c>
      <c r="F5043" t="inlineStr">
        <is>
          <t>SCA</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54364-2024</t>
        </is>
      </c>
      <c r="B5044" s="1" t="n">
        <v>45617</v>
      </c>
      <c r="C5044" s="1" t="n">
        <v>46045</v>
      </c>
      <c r="D5044" t="inlineStr">
        <is>
          <t>JÄMTLANDS LÄN</t>
        </is>
      </c>
      <c r="E5044" t="inlineStr">
        <is>
          <t>HÄRJEDALEN</t>
        </is>
      </c>
      <c r="F5044" t="inlineStr">
        <is>
          <t>Holmen skog AB</t>
        </is>
      </c>
      <c r="G5044" t="n">
        <v>41.1</v>
      </c>
      <c r="H5044" t="n">
        <v>0</v>
      </c>
      <c r="I5044" t="n">
        <v>0</v>
      </c>
      <c r="J5044" t="n">
        <v>0</v>
      </c>
      <c r="K5044" t="n">
        <v>0</v>
      </c>
      <c r="L5044" t="n">
        <v>0</v>
      </c>
      <c r="M5044" t="n">
        <v>0</v>
      </c>
      <c r="N5044" t="n">
        <v>0</v>
      </c>
      <c r="O5044" t="n">
        <v>0</v>
      </c>
      <c r="P5044" t="n">
        <v>0</v>
      </c>
      <c r="Q5044" t="n">
        <v>0</v>
      </c>
      <c r="R5044" s="2" t="inlineStr"/>
    </row>
    <row r="5045" ht="15" customHeight="1">
      <c r="A5045" t="inlineStr">
        <is>
          <t>A 30709-2024</t>
        </is>
      </c>
      <c r="B5045" s="1" t="n">
        <v>45496.41289351852</v>
      </c>
      <c r="C5045" s="1" t="n">
        <v>46045</v>
      </c>
      <c r="D5045" t="inlineStr">
        <is>
          <t>JÄMTLANDS LÄN</t>
        </is>
      </c>
      <c r="E5045" t="inlineStr">
        <is>
          <t>KROKOM</t>
        </is>
      </c>
      <c r="F5045" t="inlineStr">
        <is>
          <t>Övriga Aktiebolag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54817-2024</t>
        </is>
      </c>
      <c r="B5046" s="1" t="n">
        <v>45618.53126157408</v>
      </c>
      <c r="C5046" s="1" t="n">
        <v>46045</v>
      </c>
      <c r="D5046" t="inlineStr">
        <is>
          <t>JÄMTLANDS LÄN</t>
        </is>
      </c>
      <c r="E5046" t="inlineStr">
        <is>
          <t>KROKOM</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54823-2024</t>
        </is>
      </c>
      <c r="B5047" s="1" t="n">
        <v>45618.53633101852</v>
      </c>
      <c r="C5047" s="1" t="n">
        <v>46045</v>
      </c>
      <c r="D5047" t="inlineStr">
        <is>
          <t>JÄMTLANDS LÄN</t>
        </is>
      </c>
      <c r="E5047" t="inlineStr">
        <is>
          <t>KROKOM</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44035-2025</t>
        </is>
      </c>
      <c r="B5048" s="1" t="n">
        <v>45915.49084490741</v>
      </c>
      <c r="C5048" s="1" t="n">
        <v>46045</v>
      </c>
      <c r="D5048" t="inlineStr">
        <is>
          <t>JÄMTLANDS LÄN</t>
        </is>
      </c>
      <c r="E5048" t="inlineStr">
        <is>
          <t>BRÄCKE</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44030-2025</t>
        </is>
      </c>
      <c r="B5049" s="1" t="n">
        <v>45915.49006944444</v>
      </c>
      <c r="C5049" s="1" t="n">
        <v>46045</v>
      </c>
      <c r="D5049" t="inlineStr">
        <is>
          <t>JÄMTLANDS LÄN</t>
        </is>
      </c>
      <c r="E5049" t="inlineStr">
        <is>
          <t>BRÄCKE</t>
        </is>
      </c>
      <c r="F5049" t="inlineStr">
        <is>
          <t>SCA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57419-2023</t>
        </is>
      </c>
      <c r="B5050" s="1" t="n">
        <v>45245.96983796296</v>
      </c>
      <c r="C5050" s="1" t="n">
        <v>46045</v>
      </c>
      <c r="D5050" t="inlineStr">
        <is>
          <t>JÄMTLANDS LÄN</t>
        </is>
      </c>
      <c r="E5050" t="inlineStr">
        <is>
          <t>BRÄCKE</t>
        </is>
      </c>
      <c r="F5050" t="inlineStr">
        <is>
          <t>SCA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57445-2023</t>
        </is>
      </c>
      <c r="B5051" s="1" t="n">
        <v>45246.34328703704</v>
      </c>
      <c r="C5051" s="1" t="n">
        <v>46045</v>
      </c>
      <c r="D5051" t="inlineStr">
        <is>
          <t>JÄMTLANDS LÄN</t>
        </is>
      </c>
      <c r="E5051" t="inlineStr">
        <is>
          <t>STRÖMSUND</t>
        </is>
      </c>
      <c r="F5051" t="inlineStr">
        <is>
          <t>Holmen skog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1491-2024</t>
        </is>
      </c>
      <c r="B5052" s="1" t="n">
        <v>45305</v>
      </c>
      <c r="C5052" s="1" t="n">
        <v>46045</v>
      </c>
      <c r="D5052" t="inlineStr">
        <is>
          <t>JÄMTLANDS LÄN</t>
        </is>
      </c>
      <c r="E5052" t="inlineStr">
        <is>
          <t>ÅRE</t>
        </is>
      </c>
      <c r="G5052" t="n">
        <v>31.4</v>
      </c>
      <c r="H5052" t="n">
        <v>0</v>
      </c>
      <c r="I5052" t="n">
        <v>0</v>
      </c>
      <c r="J5052" t="n">
        <v>0</v>
      </c>
      <c r="K5052" t="n">
        <v>0</v>
      </c>
      <c r="L5052" t="n">
        <v>0</v>
      </c>
      <c r="M5052" t="n">
        <v>0</v>
      </c>
      <c r="N5052" t="n">
        <v>0</v>
      </c>
      <c r="O5052" t="n">
        <v>0</v>
      </c>
      <c r="P5052" t="n">
        <v>0</v>
      </c>
      <c r="Q5052" t="n">
        <v>0</v>
      </c>
      <c r="R5052" s="2" t="inlineStr"/>
    </row>
    <row r="5053" ht="15" customHeight="1">
      <c r="A5053" t="inlineStr">
        <is>
          <t>A 57476-2023</t>
        </is>
      </c>
      <c r="B5053" s="1" t="n">
        <v>45240</v>
      </c>
      <c r="C5053" s="1" t="n">
        <v>46045</v>
      </c>
      <c r="D5053" t="inlineStr">
        <is>
          <t>JÄMTLANDS LÄN</t>
        </is>
      </c>
      <c r="E5053" t="inlineStr">
        <is>
          <t>STRÖMSUND</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44043-2025</t>
        </is>
      </c>
      <c r="B5054" s="1" t="n">
        <v>45915.49266203704</v>
      </c>
      <c r="C5054" s="1" t="n">
        <v>46045</v>
      </c>
      <c r="D5054" t="inlineStr">
        <is>
          <t>JÄMTLANDS LÄN</t>
        </is>
      </c>
      <c r="E5054" t="inlineStr">
        <is>
          <t>BERG</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50417-2024</t>
        </is>
      </c>
      <c r="B5055" s="1" t="n">
        <v>45601.38071759259</v>
      </c>
      <c r="C5055" s="1" t="n">
        <v>46045</v>
      </c>
      <c r="D5055" t="inlineStr">
        <is>
          <t>JÄMTLANDS LÄN</t>
        </is>
      </c>
      <c r="E5055" t="inlineStr">
        <is>
          <t>KROKOM</t>
        </is>
      </c>
      <c r="F5055" t="inlineStr">
        <is>
          <t>SCA</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50609-2023</t>
        </is>
      </c>
      <c r="B5056" s="1" t="n">
        <v>45217</v>
      </c>
      <c r="C5056" s="1" t="n">
        <v>46045</v>
      </c>
      <c r="D5056" t="inlineStr">
        <is>
          <t>JÄMTLANDS LÄN</t>
        </is>
      </c>
      <c r="E5056" t="inlineStr">
        <is>
          <t>BRÄCKE</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49792-2023</t>
        </is>
      </c>
      <c r="B5057" s="1" t="n">
        <v>45212</v>
      </c>
      <c r="C5057" s="1" t="n">
        <v>46045</v>
      </c>
      <c r="D5057" t="inlineStr">
        <is>
          <t>JÄMTLANDS LÄN</t>
        </is>
      </c>
      <c r="E5057" t="inlineStr">
        <is>
          <t>HÄRJEDALEN</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44429-2025</t>
        </is>
      </c>
      <c r="B5058" s="1" t="n">
        <v>45916.57010416667</v>
      </c>
      <c r="C5058" s="1" t="n">
        <v>46045</v>
      </c>
      <c r="D5058" t="inlineStr">
        <is>
          <t>JÄMTLANDS LÄN</t>
        </is>
      </c>
      <c r="E5058" t="inlineStr">
        <is>
          <t>ÖSTERSUND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43982-2025</t>
        </is>
      </c>
      <c r="B5059" s="1" t="n">
        <v>45915.42771990741</v>
      </c>
      <c r="C5059" s="1" t="n">
        <v>46045</v>
      </c>
      <c r="D5059" t="inlineStr">
        <is>
          <t>JÄMTLANDS LÄN</t>
        </is>
      </c>
      <c r="E5059" t="inlineStr">
        <is>
          <t>BERG</t>
        </is>
      </c>
      <c r="F5059" t="inlineStr">
        <is>
          <t>SCA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20513-2024</t>
        </is>
      </c>
      <c r="B5060" s="1" t="n">
        <v>45435.94380787037</v>
      </c>
      <c r="C5060" s="1" t="n">
        <v>46045</v>
      </c>
      <c r="D5060" t="inlineStr">
        <is>
          <t>JÄMTLANDS LÄN</t>
        </is>
      </c>
      <c r="E5060" t="inlineStr">
        <is>
          <t>BRÄCKE</t>
        </is>
      </c>
      <c r="F5060" t="inlineStr">
        <is>
          <t>SCA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44250-2025</t>
        </is>
      </c>
      <c r="B5061" s="1" t="n">
        <v>45915.69828703703</v>
      </c>
      <c r="C5061" s="1" t="n">
        <v>46045</v>
      </c>
      <c r="D5061" t="inlineStr">
        <is>
          <t>JÄMTLANDS LÄN</t>
        </is>
      </c>
      <c r="E5061" t="inlineStr">
        <is>
          <t>STRÖMSUND</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5024-2025</t>
        </is>
      </c>
      <c r="B5062" s="1" t="n">
        <v>45691.40832175926</v>
      </c>
      <c r="C5062" s="1" t="n">
        <v>46045</v>
      </c>
      <c r="D5062" t="inlineStr">
        <is>
          <t>JÄMTLANDS LÄN</t>
        </is>
      </c>
      <c r="E5062" t="inlineStr">
        <is>
          <t>ÖSTERSUND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5025-2025</t>
        </is>
      </c>
      <c r="B5063" s="1" t="n">
        <v>45691.40836805556</v>
      </c>
      <c r="C5063" s="1" t="n">
        <v>46045</v>
      </c>
      <c r="D5063" t="inlineStr">
        <is>
          <t>JÄMTLANDS LÄN</t>
        </is>
      </c>
      <c r="E5063" t="inlineStr">
        <is>
          <t>ÖSTERSUND</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48066-2022</t>
        </is>
      </c>
      <c r="B5064" s="1" t="n">
        <v>44855</v>
      </c>
      <c r="C5064" s="1" t="n">
        <v>46045</v>
      </c>
      <c r="D5064" t="inlineStr">
        <is>
          <t>JÄMTLANDS LÄN</t>
        </is>
      </c>
      <c r="E5064" t="inlineStr">
        <is>
          <t>RAGUNDA</t>
        </is>
      </c>
      <c r="F5064" t="inlineStr">
        <is>
          <t>SCA</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4777-2025</t>
        </is>
      </c>
      <c r="B5065" s="1" t="n">
        <v>45688</v>
      </c>
      <c r="C5065" s="1" t="n">
        <v>46045</v>
      </c>
      <c r="D5065" t="inlineStr">
        <is>
          <t>JÄMTLANDS LÄN</t>
        </is>
      </c>
      <c r="E5065" t="inlineStr">
        <is>
          <t>ÅRE</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42244-2024</t>
        </is>
      </c>
      <c r="B5066" s="1" t="n">
        <v>45562.56747685185</v>
      </c>
      <c r="C5066" s="1" t="n">
        <v>46045</v>
      </c>
      <c r="D5066" t="inlineStr">
        <is>
          <t>JÄMTLANDS LÄN</t>
        </is>
      </c>
      <c r="E5066" t="inlineStr">
        <is>
          <t>ÅRE</t>
        </is>
      </c>
      <c r="F5066" t="inlineStr">
        <is>
          <t>Övriga Aktiebolag</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51444-2024</t>
        </is>
      </c>
      <c r="B5067" s="1" t="n">
        <v>45604.48304398148</v>
      </c>
      <c r="C5067" s="1" t="n">
        <v>46045</v>
      </c>
      <c r="D5067" t="inlineStr">
        <is>
          <t>JÄMTLANDS LÄN</t>
        </is>
      </c>
      <c r="E5067" t="inlineStr">
        <is>
          <t>ÅRE</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62719-2022</t>
        </is>
      </c>
      <c r="B5068" s="1" t="n">
        <v>44925</v>
      </c>
      <c r="C5068" s="1" t="n">
        <v>46045</v>
      </c>
      <c r="D5068" t="inlineStr">
        <is>
          <t>JÄMTLANDS LÄN</t>
        </is>
      </c>
      <c r="E5068" t="inlineStr">
        <is>
          <t>HÄRJEDALEN</t>
        </is>
      </c>
      <c r="F5068" t="inlineStr">
        <is>
          <t>Holmen skog AB</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40213-2024</t>
        </is>
      </c>
      <c r="B5069" s="1" t="n">
        <v>45554.59447916667</v>
      </c>
      <c r="C5069" s="1" t="n">
        <v>46045</v>
      </c>
      <c r="D5069" t="inlineStr">
        <is>
          <t>JÄMTLANDS LÄN</t>
        </is>
      </c>
      <c r="E5069" t="inlineStr">
        <is>
          <t>KROKOM</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49650-2024</t>
        </is>
      </c>
      <c r="B5070" s="1" t="n">
        <v>45596.61569444444</v>
      </c>
      <c r="C5070" s="1" t="n">
        <v>46045</v>
      </c>
      <c r="D5070" t="inlineStr">
        <is>
          <t>JÄMTLANDS LÄN</t>
        </is>
      </c>
      <c r="E5070" t="inlineStr">
        <is>
          <t>RAGUNDA</t>
        </is>
      </c>
      <c r="F5070" t="inlineStr">
        <is>
          <t>Naturvårdsverket</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49651-2024</t>
        </is>
      </c>
      <c r="B5071" s="1" t="n">
        <v>45596.61582175926</v>
      </c>
      <c r="C5071" s="1" t="n">
        <v>46045</v>
      </c>
      <c r="D5071" t="inlineStr">
        <is>
          <t>JÄMTLANDS LÄN</t>
        </is>
      </c>
      <c r="E5071" t="inlineStr">
        <is>
          <t>RAGUNDA</t>
        </is>
      </c>
      <c r="F5071" t="inlineStr">
        <is>
          <t>SCA</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22258-2024</t>
        </is>
      </c>
      <c r="B5072" s="1" t="n">
        <v>45446.47634259259</v>
      </c>
      <c r="C5072" s="1" t="n">
        <v>46045</v>
      </c>
      <c r="D5072" t="inlineStr">
        <is>
          <t>JÄMTLANDS LÄN</t>
        </is>
      </c>
      <c r="E5072" t="inlineStr">
        <is>
          <t>KROKOM</t>
        </is>
      </c>
      <c r="F5072" t="inlineStr">
        <is>
          <t>Övriga Aktiebolag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53989-2024</t>
        </is>
      </c>
      <c r="B5073" s="1" t="n">
        <v>45616.34479166667</v>
      </c>
      <c r="C5073" s="1" t="n">
        <v>46045</v>
      </c>
      <c r="D5073" t="inlineStr">
        <is>
          <t>JÄMTLANDS LÄN</t>
        </is>
      </c>
      <c r="E5073" t="inlineStr">
        <is>
          <t>RAGUNDA</t>
        </is>
      </c>
      <c r="F5073" t="inlineStr">
        <is>
          <t>SCA</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32064-2023</t>
        </is>
      </c>
      <c r="B5074" s="1" t="n">
        <v>45119.57108796296</v>
      </c>
      <c r="C5074" s="1" t="n">
        <v>46045</v>
      </c>
      <c r="D5074" t="inlineStr">
        <is>
          <t>JÄMTLANDS LÄN</t>
        </is>
      </c>
      <c r="E5074" t="inlineStr">
        <is>
          <t>BERG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5047-2025</t>
        </is>
      </c>
      <c r="B5075" s="1" t="n">
        <v>45691.44754629629</v>
      </c>
      <c r="C5075" s="1" t="n">
        <v>46045</v>
      </c>
      <c r="D5075" t="inlineStr">
        <is>
          <t>JÄMTLANDS LÄN</t>
        </is>
      </c>
      <c r="E5075" t="inlineStr">
        <is>
          <t>STRÖMSUND</t>
        </is>
      </c>
      <c r="F5075" t="inlineStr">
        <is>
          <t>SCA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5098-2025</t>
        </is>
      </c>
      <c r="B5076" s="1" t="n">
        <v>45691</v>
      </c>
      <c r="C5076" s="1" t="n">
        <v>46045</v>
      </c>
      <c r="D5076" t="inlineStr">
        <is>
          <t>JÄMTLANDS LÄN</t>
        </is>
      </c>
      <c r="E5076" t="inlineStr">
        <is>
          <t>HÄRJEDALEN</t>
        </is>
      </c>
      <c r="F5076" t="inlineStr">
        <is>
          <t>Holmen skog AB</t>
        </is>
      </c>
      <c r="G5076" t="n">
        <v>15.2</v>
      </c>
      <c r="H5076" t="n">
        <v>0</v>
      </c>
      <c r="I5076" t="n">
        <v>0</v>
      </c>
      <c r="J5076" t="n">
        <v>0</v>
      </c>
      <c r="K5076" t="n">
        <v>0</v>
      </c>
      <c r="L5076" t="n">
        <v>0</v>
      </c>
      <c r="M5076" t="n">
        <v>0</v>
      </c>
      <c r="N5076" t="n">
        <v>0</v>
      </c>
      <c r="O5076" t="n">
        <v>0</v>
      </c>
      <c r="P5076" t="n">
        <v>0</v>
      </c>
      <c r="Q5076" t="n">
        <v>0</v>
      </c>
      <c r="R5076" s="2" t="inlineStr"/>
    </row>
    <row r="5077" ht="15" customHeight="1">
      <c r="A5077" t="inlineStr">
        <is>
          <t>A 12864-2024</t>
        </is>
      </c>
      <c r="B5077" s="1" t="n">
        <v>45384.9415625</v>
      </c>
      <c r="C5077" s="1" t="n">
        <v>46045</v>
      </c>
      <c r="D5077" t="inlineStr">
        <is>
          <t>JÄMTLANDS LÄN</t>
        </is>
      </c>
      <c r="E5077" t="inlineStr">
        <is>
          <t>BRÄCKE</t>
        </is>
      </c>
      <c r="F5077" t="inlineStr">
        <is>
          <t>SCA</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12869-2024</t>
        </is>
      </c>
      <c r="B5078" s="1" t="n">
        <v>45384.9421412037</v>
      </c>
      <c r="C5078" s="1" t="n">
        <v>46045</v>
      </c>
      <c r="D5078" t="inlineStr">
        <is>
          <t>JÄMTLANDS LÄN</t>
        </is>
      </c>
      <c r="E5078" t="inlineStr">
        <is>
          <t>STRÖMSUND</t>
        </is>
      </c>
      <c r="F5078" t="inlineStr">
        <is>
          <t>SCA</t>
        </is>
      </c>
      <c r="G5078" t="n">
        <v>9.1</v>
      </c>
      <c r="H5078" t="n">
        <v>0</v>
      </c>
      <c r="I5078" t="n">
        <v>0</v>
      </c>
      <c r="J5078" t="n">
        <v>0</v>
      </c>
      <c r="K5078" t="n">
        <v>0</v>
      </c>
      <c r="L5078" t="n">
        <v>0</v>
      </c>
      <c r="M5078" t="n">
        <v>0</v>
      </c>
      <c r="N5078" t="n">
        <v>0</v>
      </c>
      <c r="O5078" t="n">
        <v>0</v>
      </c>
      <c r="P5078" t="n">
        <v>0</v>
      </c>
      <c r="Q5078" t="n">
        <v>0</v>
      </c>
      <c r="R5078" s="2" t="inlineStr"/>
    </row>
    <row r="5079" ht="15" customHeight="1">
      <c r="A5079" t="inlineStr">
        <is>
          <t>A 11274-2025</t>
        </is>
      </c>
      <c r="B5079" s="1" t="n">
        <v>45726.40868055556</v>
      </c>
      <c r="C5079" s="1" t="n">
        <v>46045</v>
      </c>
      <c r="D5079" t="inlineStr">
        <is>
          <t>JÄMTLANDS LÄN</t>
        </is>
      </c>
      <c r="E5079" t="inlineStr">
        <is>
          <t>BERG</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57501-2023</t>
        </is>
      </c>
      <c r="B5080" s="1" t="n">
        <v>45246.42853009259</v>
      </c>
      <c r="C5080" s="1" t="n">
        <v>46045</v>
      </c>
      <c r="D5080" t="inlineStr">
        <is>
          <t>JÄMTLANDS LÄN</t>
        </is>
      </c>
      <c r="E5080" t="inlineStr">
        <is>
          <t>STRÖMSUND</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57504-2023</t>
        </is>
      </c>
      <c r="B5081" s="1" t="n">
        <v>45246.43067129629</v>
      </c>
      <c r="C5081" s="1" t="n">
        <v>46045</v>
      </c>
      <c r="D5081" t="inlineStr">
        <is>
          <t>JÄMTLANDS LÄN</t>
        </is>
      </c>
      <c r="E5081" t="inlineStr">
        <is>
          <t>STRÖMSUND</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5102-2025</t>
        </is>
      </c>
      <c r="B5082" s="1" t="n">
        <v>45691</v>
      </c>
      <c r="C5082" s="1" t="n">
        <v>46045</v>
      </c>
      <c r="D5082" t="inlineStr">
        <is>
          <t>JÄMTLANDS LÄN</t>
        </is>
      </c>
      <c r="E5082" t="inlineStr">
        <is>
          <t>HÄRJEDALEN</t>
        </is>
      </c>
      <c r="F5082" t="inlineStr">
        <is>
          <t>Holmen skog AB</t>
        </is>
      </c>
      <c r="G5082" t="n">
        <v>19.3</v>
      </c>
      <c r="H5082" t="n">
        <v>0</v>
      </c>
      <c r="I5082" t="n">
        <v>0</v>
      </c>
      <c r="J5082" t="n">
        <v>0</v>
      </c>
      <c r="K5082" t="n">
        <v>0</v>
      </c>
      <c r="L5082" t="n">
        <v>0</v>
      </c>
      <c r="M5082" t="n">
        <v>0</v>
      </c>
      <c r="N5082" t="n">
        <v>0</v>
      </c>
      <c r="O5082" t="n">
        <v>0</v>
      </c>
      <c r="P5082" t="n">
        <v>0</v>
      </c>
      <c r="Q5082" t="n">
        <v>0</v>
      </c>
      <c r="R5082" s="2" t="inlineStr"/>
    </row>
    <row r="5083" ht="15" customHeight="1">
      <c r="A5083" t="inlineStr">
        <is>
          <t>A 53060-2024</t>
        </is>
      </c>
      <c r="B5083" s="1" t="n">
        <v>45611.46912037037</v>
      </c>
      <c r="C5083" s="1" t="n">
        <v>46045</v>
      </c>
      <c r="D5083" t="inlineStr">
        <is>
          <t>JÄMTLANDS LÄN</t>
        </is>
      </c>
      <c r="E5083" t="inlineStr">
        <is>
          <t>ÖSTERSUND</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35244-2021</t>
        </is>
      </c>
      <c r="B5084" s="1" t="n">
        <v>44384.58844907407</v>
      </c>
      <c r="C5084" s="1" t="n">
        <v>46045</v>
      </c>
      <c r="D5084" t="inlineStr">
        <is>
          <t>JÄMTLANDS LÄN</t>
        </is>
      </c>
      <c r="E5084" t="inlineStr">
        <is>
          <t>BRÄCKE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44031-2025</t>
        </is>
      </c>
      <c r="B5085" s="1" t="n">
        <v>45915.49019675926</v>
      </c>
      <c r="C5085" s="1" t="n">
        <v>46045</v>
      </c>
      <c r="D5085" t="inlineStr">
        <is>
          <t>JÄMTLANDS LÄN</t>
        </is>
      </c>
      <c r="E5085" t="inlineStr">
        <is>
          <t>BERG</t>
        </is>
      </c>
      <c r="F5085" t="inlineStr">
        <is>
          <t>SCA</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12097-2025</t>
        </is>
      </c>
      <c r="B5086" s="1" t="n">
        <v>45729.32767361111</v>
      </c>
      <c r="C5086" s="1" t="n">
        <v>46045</v>
      </c>
      <c r="D5086" t="inlineStr">
        <is>
          <t>JÄMTLANDS LÄN</t>
        </is>
      </c>
      <c r="E5086" t="inlineStr">
        <is>
          <t>STRÖMSUND</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12099-2025</t>
        </is>
      </c>
      <c r="B5087" s="1" t="n">
        <v>45729.32976851852</v>
      </c>
      <c r="C5087" s="1" t="n">
        <v>46045</v>
      </c>
      <c r="D5087" t="inlineStr">
        <is>
          <t>JÄMTLANDS LÄN</t>
        </is>
      </c>
      <c r="E5087" t="inlineStr">
        <is>
          <t>STRÖMSUND</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6477-2024</t>
        </is>
      </c>
      <c r="B5088" s="1" t="n">
        <v>45338.95405092592</v>
      </c>
      <c r="C5088" s="1" t="n">
        <v>46045</v>
      </c>
      <c r="D5088" t="inlineStr">
        <is>
          <t>JÄMTLANDS LÄN</t>
        </is>
      </c>
      <c r="E5088" t="inlineStr">
        <is>
          <t>RAGUNDA</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26942-2021</t>
        </is>
      </c>
      <c r="B5089" s="1" t="n">
        <v>44349.91978009259</v>
      </c>
      <c r="C5089" s="1" t="n">
        <v>46045</v>
      </c>
      <c r="D5089" t="inlineStr">
        <is>
          <t>JÄMTLANDS LÄN</t>
        </is>
      </c>
      <c r="E5089" t="inlineStr">
        <is>
          <t>RAGUNDA</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50544-2024</t>
        </is>
      </c>
      <c r="B5090" s="1" t="n">
        <v>45601.58355324074</v>
      </c>
      <c r="C5090" s="1" t="n">
        <v>46045</v>
      </c>
      <c r="D5090" t="inlineStr">
        <is>
          <t>JÄMTLANDS LÄN</t>
        </is>
      </c>
      <c r="E5090" t="inlineStr">
        <is>
          <t>HÄRJEDALEN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44514-2025</t>
        </is>
      </c>
      <c r="B5091" s="1" t="n">
        <v>45916.69831018519</v>
      </c>
      <c r="C5091" s="1" t="n">
        <v>46045</v>
      </c>
      <c r="D5091" t="inlineStr">
        <is>
          <t>JÄMTLANDS LÄN</t>
        </is>
      </c>
      <c r="E5091" t="inlineStr">
        <is>
          <t>STRÖMSUND</t>
        </is>
      </c>
      <c r="F5091" t="inlineStr">
        <is>
          <t>SCA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44057-2025</t>
        </is>
      </c>
      <c r="B5092" s="1" t="n">
        <v>45915.53097222222</v>
      </c>
      <c r="C5092" s="1" t="n">
        <v>46045</v>
      </c>
      <c r="D5092" t="inlineStr">
        <is>
          <t>JÄMTLANDS LÄN</t>
        </is>
      </c>
      <c r="E5092" t="inlineStr">
        <is>
          <t>BRÄCKE</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44219-2025</t>
        </is>
      </c>
      <c r="B5093" s="1" t="n">
        <v>45915.63640046296</v>
      </c>
      <c r="C5093" s="1" t="n">
        <v>46045</v>
      </c>
      <c r="D5093" t="inlineStr">
        <is>
          <t>JÄMTLANDS LÄN</t>
        </is>
      </c>
      <c r="E5093" t="inlineStr">
        <is>
          <t>STRÖMSUND</t>
        </is>
      </c>
      <c r="F5093" t="inlineStr">
        <is>
          <t>SCA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14671-2025</t>
        </is>
      </c>
      <c r="B5094" s="1" t="n">
        <v>45742</v>
      </c>
      <c r="C5094" s="1" t="n">
        <v>46045</v>
      </c>
      <c r="D5094" t="inlineStr">
        <is>
          <t>JÄMTLANDS LÄN</t>
        </is>
      </c>
      <c r="E5094" t="inlineStr">
        <is>
          <t>STRÖMSUND</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42448-2023</t>
        </is>
      </c>
      <c r="B5095" s="1" t="n">
        <v>45180</v>
      </c>
      <c r="C5095" s="1" t="n">
        <v>46045</v>
      </c>
      <c r="D5095" t="inlineStr">
        <is>
          <t>JÄMTLANDS LÄN</t>
        </is>
      </c>
      <c r="E5095" t="inlineStr">
        <is>
          <t>STRÖMSUND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44418-2025</t>
        </is>
      </c>
      <c r="B5096" s="1" t="n">
        <v>45916.54578703704</v>
      </c>
      <c r="C5096" s="1" t="n">
        <v>46045</v>
      </c>
      <c r="D5096" t="inlineStr">
        <is>
          <t>JÄMTLANDS LÄN</t>
        </is>
      </c>
      <c r="E5096" t="inlineStr">
        <is>
          <t>ÅRE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41886-2024</t>
        </is>
      </c>
      <c r="B5097" s="1" t="n">
        <v>45561.48825231481</v>
      </c>
      <c r="C5097" s="1" t="n">
        <v>46045</v>
      </c>
      <c r="D5097" t="inlineStr">
        <is>
          <t>JÄMTLANDS LÄN</t>
        </is>
      </c>
      <c r="E5097" t="inlineStr">
        <is>
          <t>BERG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42509-2023</t>
        </is>
      </c>
      <c r="B5098" s="1" t="n">
        <v>45180</v>
      </c>
      <c r="C5098" s="1" t="n">
        <v>46045</v>
      </c>
      <c r="D5098" t="inlineStr">
        <is>
          <t>JÄMTLANDS LÄN</t>
        </is>
      </c>
      <c r="E5098" t="inlineStr">
        <is>
          <t>RAGUNDA</t>
        </is>
      </c>
      <c r="F5098" t="inlineStr">
        <is>
          <t>SCA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13672-2024</t>
        </is>
      </c>
      <c r="B5099" s="1" t="n">
        <v>45390</v>
      </c>
      <c r="C5099" s="1" t="n">
        <v>46045</v>
      </c>
      <c r="D5099" t="inlineStr">
        <is>
          <t>JÄMTLANDS LÄN</t>
        </is>
      </c>
      <c r="E5099" t="inlineStr">
        <is>
          <t>BERG</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12287-2023</t>
        </is>
      </c>
      <c r="B5100" s="1" t="n">
        <v>44998.72736111111</v>
      </c>
      <c r="C5100" s="1" t="n">
        <v>46045</v>
      </c>
      <c r="D5100" t="inlineStr">
        <is>
          <t>JÄMTLANDS LÄN</t>
        </is>
      </c>
      <c r="E5100" t="inlineStr">
        <is>
          <t>ÅRE</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12290-2023</t>
        </is>
      </c>
      <c r="B5101" s="1" t="n">
        <v>44998.73545138889</v>
      </c>
      <c r="C5101" s="1" t="n">
        <v>46045</v>
      </c>
      <c r="D5101" t="inlineStr">
        <is>
          <t>JÄMTLANDS LÄN</t>
        </is>
      </c>
      <c r="E5101" t="inlineStr">
        <is>
          <t>ÅRE</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12291-2023</t>
        </is>
      </c>
      <c r="B5102" s="1" t="n">
        <v>44998.74140046296</v>
      </c>
      <c r="C5102" s="1" t="n">
        <v>46045</v>
      </c>
      <c r="D5102" t="inlineStr">
        <is>
          <t>JÄMTLANDS LÄN</t>
        </is>
      </c>
      <c r="E5102" t="inlineStr">
        <is>
          <t>ÅRE</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42510-2023</t>
        </is>
      </c>
      <c r="B5103" s="1" t="n">
        <v>45180.95927083334</v>
      </c>
      <c r="C5103" s="1" t="n">
        <v>46045</v>
      </c>
      <c r="D5103" t="inlineStr">
        <is>
          <t>JÄMTLANDS LÄN</t>
        </is>
      </c>
      <c r="E5103" t="inlineStr">
        <is>
          <t>RAGUNDA</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39368-2024</t>
        </is>
      </c>
      <c r="B5104" s="1" t="n">
        <v>45551.47325231481</v>
      </c>
      <c r="C5104" s="1" t="n">
        <v>46045</v>
      </c>
      <c r="D5104" t="inlineStr">
        <is>
          <t>JÄMTLANDS LÄN</t>
        </is>
      </c>
      <c r="E5104" t="inlineStr">
        <is>
          <t>KROKOM</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29821-2022</t>
        </is>
      </c>
      <c r="B5105" s="1" t="n">
        <v>44755.94486111111</v>
      </c>
      <c r="C5105" s="1" t="n">
        <v>46045</v>
      </c>
      <c r="D5105" t="inlineStr">
        <is>
          <t>JÄMTLANDS LÄN</t>
        </is>
      </c>
      <c r="E5105" t="inlineStr">
        <is>
          <t>BRÄCKE</t>
        </is>
      </c>
      <c r="F5105" t="inlineStr">
        <is>
          <t>SCA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16553-2025</t>
        </is>
      </c>
      <c r="B5106" s="1" t="n">
        <v>45751.69967592593</v>
      </c>
      <c r="C5106" s="1" t="n">
        <v>46045</v>
      </c>
      <c r="D5106" t="inlineStr">
        <is>
          <t>JÄMTLANDS LÄN</t>
        </is>
      </c>
      <c r="E5106" t="inlineStr">
        <is>
          <t>BERG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15243-2025</t>
        </is>
      </c>
      <c r="B5107" s="1" t="n">
        <v>45744.61537037037</v>
      </c>
      <c r="C5107" s="1" t="n">
        <v>46045</v>
      </c>
      <c r="D5107" t="inlineStr">
        <is>
          <t>JÄMTLANDS LÄN</t>
        </is>
      </c>
      <c r="E5107" t="inlineStr">
        <is>
          <t>BRÄCKE</t>
        </is>
      </c>
      <c r="F5107" t="inlineStr">
        <is>
          <t>SCA</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39516-2024</t>
        </is>
      </c>
      <c r="B5108" s="1" t="n">
        <v>45551.69825231482</v>
      </c>
      <c r="C5108" s="1" t="n">
        <v>46045</v>
      </c>
      <c r="D5108" t="inlineStr">
        <is>
          <t>JÄMTLANDS LÄN</t>
        </is>
      </c>
      <c r="E5108" t="inlineStr">
        <is>
          <t>STRÖMSUND</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44037-2025</t>
        </is>
      </c>
      <c r="B5109" s="1" t="n">
        <v>45915.49099537037</v>
      </c>
      <c r="C5109" s="1" t="n">
        <v>46045</v>
      </c>
      <c r="D5109" t="inlineStr">
        <is>
          <t>JÄMTLANDS LÄN</t>
        </is>
      </c>
      <c r="E5109" t="inlineStr">
        <is>
          <t>STRÖMSUND</t>
        </is>
      </c>
      <c r="F5109" t="inlineStr">
        <is>
          <t>SCA</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44442-2025</t>
        </is>
      </c>
      <c r="B5110" s="1" t="n">
        <v>45916.59424768519</v>
      </c>
      <c r="C5110" s="1" t="n">
        <v>46045</v>
      </c>
      <c r="D5110" t="inlineStr">
        <is>
          <t>JÄMTLANDS LÄN</t>
        </is>
      </c>
      <c r="E5110" t="inlineStr">
        <is>
          <t>STRÖMSUND</t>
        </is>
      </c>
      <c r="F5110" t="inlineStr">
        <is>
          <t>SCA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19402-2024</t>
        </is>
      </c>
      <c r="B5111" s="1" t="n">
        <v>45429.39</v>
      </c>
      <c r="C5111" s="1" t="n">
        <v>46045</v>
      </c>
      <c r="D5111" t="inlineStr">
        <is>
          <t>JÄMTLANDS LÄN</t>
        </is>
      </c>
      <c r="E5111" t="inlineStr">
        <is>
          <t>HÄRJEDALEN</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6590-2025</t>
        </is>
      </c>
      <c r="B5112" s="1" t="n">
        <v>45700.30092592593</v>
      </c>
      <c r="C5112" s="1" t="n">
        <v>46045</v>
      </c>
      <c r="D5112" t="inlineStr">
        <is>
          <t>JÄMTLANDS LÄN</t>
        </is>
      </c>
      <c r="E5112" t="inlineStr">
        <is>
          <t>KROKOM</t>
        </is>
      </c>
      <c r="F5112" t="inlineStr">
        <is>
          <t>Övriga Aktiebolag</t>
        </is>
      </c>
      <c r="G5112" t="n">
        <v>51.6</v>
      </c>
      <c r="H5112" t="n">
        <v>0</v>
      </c>
      <c r="I5112" t="n">
        <v>0</v>
      </c>
      <c r="J5112" t="n">
        <v>0</v>
      </c>
      <c r="K5112" t="n">
        <v>0</v>
      </c>
      <c r="L5112" t="n">
        <v>0</v>
      </c>
      <c r="M5112" t="n">
        <v>0</v>
      </c>
      <c r="N5112" t="n">
        <v>0</v>
      </c>
      <c r="O5112" t="n">
        <v>0</v>
      </c>
      <c r="P5112" t="n">
        <v>0</v>
      </c>
      <c r="Q5112" t="n">
        <v>0</v>
      </c>
      <c r="R5112" s="2" t="inlineStr"/>
    </row>
    <row r="5113" ht="15" customHeight="1">
      <c r="A5113" t="inlineStr">
        <is>
          <t>A 53522-2023</t>
        </is>
      </c>
      <c r="B5113" s="1" t="n">
        <v>45223</v>
      </c>
      <c r="C5113" s="1" t="n">
        <v>46045</v>
      </c>
      <c r="D5113" t="inlineStr">
        <is>
          <t>JÄMTLANDS LÄN</t>
        </is>
      </c>
      <c r="E5113" t="inlineStr">
        <is>
          <t>BRÄCKE</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11048-2023</t>
        </is>
      </c>
      <c r="B5114" s="1" t="n">
        <v>44991</v>
      </c>
      <c r="C5114" s="1" t="n">
        <v>46045</v>
      </c>
      <c r="D5114" t="inlineStr">
        <is>
          <t>JÄMTLANDS LÄN</t>
        </is>
      </c>
      <c r="E5114" t="inlineStr">
        <is>
          <t>RAGUNDA</t>
        </is>
      </c>
      <c r="F5114" t="inlineStr">
        <is>
          <t>SCA</t>
        </is>
      </c>
      <c r="G5114" t="n">
        <v>13.5</v>
      </c>
      <c r="H5114" t="n">
        <v>0</v>
      </c>
      <c r="I5114" t="n">
        <v>0</v>
      </c>
      <c r="J5114" t="n">
        <v>0</v>
      </c>
      <c r="K5114" t="n">
        <v>0</v>
      </c>
      <c r="L5114" t="n">
        <v>0</v>
      </c>
      <c r="M5114" t="n">
        <v>0</v>
      </c>
      <c r="N5114" t="n">
        <v>0</v>
      </c>
      <c r="O5114" t="n">
        <v>0</v>
      </c>
      <c r="P5114" t="n">
        <v>0</v>
      </c>
      <c r="Q5114" t="n">
        <v>0</v>
      </c>
      <c r="R5114" s="2" t="inlineStr"/>
    </row>
    <row r="5115" ht="15" customHeight="1">
      <c r="A5115" t="inlineStr">
        <is>
          <t>A 44609-2024</t>
        </is>
      </c>
      <c r="B5115" s="1" t="n">
        <v>45574.51212962963</v>
      </c>
      <c r="C5115" s="1" t="n">
        <v>46045</v>
      </c>
      <c r="D5115" t="inlineStr">
        <is>
          <t>JÄMTLANDS LÄN</t>
        </is>
      </c>
      <c r="E5115" t="inlineStr">
        <is>
          <t>ÅRE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44615-2024</t>
        </is>
      </c>
      <c r="B5116" s="1" t="n">
        <v>45574.51277777777</v>
      </c>
      <c r="C5116" s="1" t="n">
        <v>46045</v>
      </c>
      <c r="D5116" t="inlineStr">
        <is>
          <t>JÄMTLANDS LÄN</t>
        </is>
      </c>
      <c r="E5116" t="inlineStr">
        <is>
          <t>STRÖMSUND</t>
        </is>
      </c>
      <c r="F5116" t="inlineStr">
        <is>
          <t>SCA</t>
        </is>
      </c>
      <c r="G5116" t="n">
        <v>2.7</v>
      </c>
      <c r="H5116" t="n">
        <v>0</v>
      </c>
      <c r="I5116" t="n">
        <v>0</v>
      </c>
      <c r="J5116" t="n">
        <v>0</v>
      </c>
      <c r="K5116" t="n">
        <v>0</v>
      </c>
      <c r="L5116" t="n">
        <v>0</v>
      </c>
      <c r="M5116" t="n">
        <v>0</v>
      </c>
      <c r="N5116" t="n">
        <v>0</v>
      </c>
      <c r="O5116" t="n">
        <v>0</v>
      </c>
      <c r="P5116" t="n">
        <v>0</v>
      </c>
      <c r="Q5116" t="n">
        <v>0</v>
      </c>
      <c r="R5116" s="2" t="inlineStr"/>
      <c r="U5116">
        <f>HYPERLINK("https://klasma.github.io/Logging_2313/knärot/A 44615-2024 karta knärot.png", "A 44615-2024")</f>
        <v/>
      </c>
      <c r="V5116">
        <f>HYPERLINK("https://klasma.github.io/Logging_2313/klagomål/A 44615-2024 FSC-klagomål.docx", "A 44615-2024")</f>
        <v/>
      </c>
      <c r="W5116">
        <f>HYPERLINK("https://klasma.github.io/Logging_2313/klagomålsmail/A 44615-2024 FSC-klagomål mail.docx", "A 44615-2024")</f>
        <v/>
      </c>
      <c r="X5116">
        <f>HYPERLINK("https://klasma.github.io/Logging_2313/tillsyn/A 44615-2024 tillsynsbegäran.docx", "A 44615-2024")</f>
        <v/>
      </c>
      <c r="Y5116">
        <f>HYPERLINK("https://klasma.github.io/Logging_2313/tillsynsmail/A 44615-2024 tillsynsbegäran mail.docx", "A 44615-2024")</f>
        <v/>
      </c>
    </row>
    <row r="5117" ht="15" customHeight="1">
      <c r="A5117" t="inlineStr">
        <is>
          <t>A 44623-2024</t>
        </is>
      </c>
      <c r="B5117" s="1" t="n">
        <v>45574.51356481481</v>
      </c>
      <c r="C5117" s="1" t="n">
        <v>46045</v>
      </c>
      <c r="D5117" t="inlineStr">
        <is>
          <t>JÄMTLANDS LÄN</t>
        </is>
      </c>
      <c r="E5117" t="inlineStr">
        <is>
          <t>STRÖMSUND</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44216-2025</t>
        </is>
      </c>
      <c r="B5118" s="1" t="n">
        <v>45915.6359837963</v>
      </c>
      <c r="C5118" s="1" t="n">
        <v>46045</v>
      </c>
      <c r="D5118" t="inlineStr">
        <is>
          <t>JÄMTLANDS LÄN</t>
        </is>
      </c>
      <c r="E5118" t="inlineStr">
        <is>
          <t>BRÄCKE</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45619-2025</t>
        </is>
      </c>
      <c r="B5119" s="1" t="n">
        <v>45922</v>
      </c>
      <c r="C5119" s="1" t="n">
        <v>46045</v>
      </c>
      <c r="D5119" t="inlineStr">
        <is>
          <t>JÄMTLANDS LÄN</t>
        </is>
      </c>
      <c r="E5119" t="inlineStr">
        <is>
          <t>STRÖMSUND</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278-2023</t>
        </is>
      </c>
      <c r="B5120" s="1" t="n">
        <v>44928</v>
      </c>
      <c r="C5120" s="1" t="n">
        <v>46045</v>
      </c>
      <c r="D5120" t="inlineStr">
        <is>
          <t>JÄMTLANDS LÄN</t>
        </is>
      </c>
      <c r="E5120" t="inlineStr">
        <is>
          <t>ÅRE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44251-2025</t>
        </is>
      </c>
      <c r="B5121" s="1" t="n">
        <v>45915.69837962963</v>
      </c>
      <c r="C5121" s="1" t="n">
        <v>46045</v>
      </c>
      <c r="D5121" t="inlineStr">
        <is>
          <t>JÄMTLANDS LÄN</t>
        </is>
      </c>
      <c r="E5121" t="inlineStr">
        <is>
          <t>ÅRE</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60443-2023</t>
        </is>
      </c>
      <c r="B5122" s="1" t="n">
        <v>45258</v>
      </c>
      <c r="C5122" s="1" t="n">
        <v>46045</v>
      </c>
      <c r="D5122" t="inlineStr">
        <is>
          <t>JÄMTLANDS LÄN</t>
        </is>
      </c>
      <c r="E5122" t="inlineStr">
        <is>
          <t>RAGUNDA</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44459-2025</t>
        </is>
      </c>
      <c r="B5123" s="1" t="n">
        <v>45916.61518518518</v>
      </c>
      <c r="C5123" s="1" t="n">
        <v>46045</v>
      </c>
      <c r="D5123" t="inlineStr">
        <is>
          <t>JÄMTLANDS LÄN</t>
        </is>
      </c>
      <c r="E5123" t="inlineStr">
        <is>
          <t>STRÖMSUND</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44959-2025</t>
        </is>
      </c>
      <c r="B5124" s="1" t="n">
        <v>45918.61537037037</v>
      </c>
      <c r="C5124" s="1" t="n">
        <v>46045</v>
      </c>
      <c r="D5124" t="inlineStr">
        <is>
          <t>JÄMTLANDS LÄN</t>
        </is>
      </c>
      <c r="E5124" t="inlineStr">
        <is>
          <t>BRÄCKE</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6232-2021</t>
        </is>
      </c>
      <c r="B5125" s="1" t="n">
        <v>44231</v>
      </c>
      <c r="C5125" s="1" t="n">
        <v>46045</v>
      </c>
      <c r="D5125" t="inlineStr">
        <is>
          <t>JÄMTLANDS LÄN</t>
        </is>
      </c>
      <c r="E5125" t="inlineStr">
        <is>
          <t>ÅRE</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6013-2022</t>
        </is>
      </c>
      <c r="B5126" s="1" t="n">
        <v>44599.45850694444</v>
      </c>
      <c r="C5126" s="1" t="n">
        <v>46045</v>
      </c>
      <c r="D5126" t="inlineStr">
        <is>
          <t>JÄMTLANDS LÄN</t>
        </is>
      </c>
      <c r="E5126" t="inlineStr">
        <is>
          <t>ÖSTERSUND</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2619-2024</t>
        </is>
      </c>
      <c r="B5127" s="1" t="n">
        <v>45313</v>
      </c>
      <c r="C5127" s="1" t="n">
        <v>46045</v>
      </c>
      <c r="D5127" t="inlineStr">
        <is>
          <t>JÄMTLANDS LÄN</t>
        </is>
      </c>
      <c r="E5127" t="inlineStr">
        <is>
          <t>STRÖMSUND</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20272-2024</t>
        </is>
      </c>
      <c r="B5128" s="1" t="n">
        <v>45434.94920138889</v>
      </c>
      <c r="C5128" s="1" t="n">
        <v>46045</v>
      </c>
      <c r="D5128" t="inlineStr">
        <is>
          <t>JÄMTLANDS LÄN</t>
        </is>
      </c>
      <c r="E5128" t="inlineStr">
        <is>
          <t>STRÖMSUND</t>
        </is>
      </c>
      <c r="F5128" t="inlineStr">
        <is>
          <t>SCA</t>
        </is>
      </c>
      <c r="G5128" t="n">
        <v>7.6</v>
      </c>
      <c r="H5128" t="n">
        <v>0</v>
      </c>
      <c r="I5128" t="n">
        <v>0</v>
      </c>
      <c r="J5128" t="n">
        <v>0</v>
      </c>
      <c r="K5128" t="n">
        <v>0</v>
      </c>
      <c r="L5128" t="n">
        <v>0</v>
      </c>
      <c r="M5128" t="n">
        <v>0</v>
      </c>
      <c r="N5128" t="n">
        <v>0</v>
      </c>
      <c r="O5128" t="n">
        <v>0</v>
      </c>
      <c r="P5128" t="n">
        <v>0</v>
      </c>
      <c r="Q5128" t="n">
        <v>0</v>
      </c>
      <c r="R5128" s="2" t="inlineStr"/>
    </row>
    <row r="5129" ht="15" customHeight="1">
      <c r="A5129" t="inlineStr">
        <is>
          <t>A 44912-2025</t>
        </is>
      </c>
      <c r="B5129" s="1" t="n">
        <v>45918.53466435185</v>
      </c>
      <c r="C5129" s="1" t="n">
        <v>46045</v>
      </c>
      <c r="D5129" t="inlineStr">
        <is>
          <t>JÄMTLANDS LÄN</t>
        </is>
      </c>
      <c r="E5129" t="inlineStr">
        <is>
          <t>STRÖMSUND</t>
        </is>
      </c>
      <c r="F5129" t="inlineStr">
        <is>
          <t>Holmen skog AB</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29484-2024</t>
        </is>
      </c>
      <c r="B5130" s="1" t="n">
        <v>45484</v>
      </c>
      <c r="C5130" s="1" t="n">
        <v>46045</v>
      </c>
      <c r="D5130" t="inlineStr">
        <is>
          <t>JÄMTLANDS LÄN</t>
        </is>
      </c>
      <c r="E5130" t="inlineStr">
        <is>
          <t>KROKOM</t>
        </is>
      </c>
      <c r="F5130" t="inlineStr">
        <is>
          <t>Övriga Aktiebolag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44831-2025</t>
        </is>
      </c>
      <c r="B5131" s="1" t="n">
        <v>45918.40663194445</v>
      </c>
      <c r="C5131" s="1" t="n">
        <v>46045</v>
      </c>
      <c r="D5131" t="inlineStr">
        <is>
          <t>JÄMTLANDS LÄN</t>
        </is>
      </c>
      <c r="E5131" t="inlineStr">
        <is>
          <t>BRÄCKE</t>
        </is>
      </c>
      <c r="F5131" t="inlineStr">
        <is>
          <t>Naturvårdsverket</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44840-2025</t>
        </is>
      </c>
      <c r="B5132" s="1" t="n">
        <v>45918.42769675926</v>
      </c>
      <c r="C5132" s="1" t="n">
        <v>46045</v>
      </c>
      <c r="D5132" t="inlineStr">
        <is>
          <t>JÄMTLANDS LÄN</t>
        </is>
      </c>
      <c r="E5132" t="inlineStr">
        <is>
          <t>BRÄCKE</t>
        </is>
      </c>
      <c r="F5132" t="inlineStr">
        <is>
          <t>SCA</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32066-2024</t>
        </is>
      </c>
      <c r="B5133" s="1" t="n">
        <v>45510.97181712963</v>
      </c>
      <c r="C5133" s="1" t="n">
        <v>46045</v>
      </c>
      <c r="D5133" t="inlineStr">
        <is>
          <t>JÄMTLANDS LÄN</t>
        </is>
      </c>
      <c r="E5133" t="inlineStr">
        <is>
          <t>STRÖMSUND</t>
        </is>
      </c>
      <c r="F5133" t="inlineStr">
        <is>
          <t>SCA</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32107-2024</t>
        </is>
      </c>
      <c r="B5134" s="1" t="n">
        <v>45511</v>
      </c>
      <c r="C5134" s="1" t="n">
        <v>46045</v>
      </c>
      <c r="D5134" t="inlineStr">
        <is>
          <t>JÄMTLANDS LÄN</t>
        </is>
      </c>
      <c r="E5134" t="inlineStr">
        <is>
          <t>STRÖMSUND</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60666-2024</t>
        </is>
      </c>
      <c r="B5135" s="1" t="n">
        <v>45644.44833333333</v>
      </c>
      <c r="C5135" s="1" t="n">
        <v>46045</v>
      </c>
      <c r="D5135" t="inlineStr">
        <is>
          <t>JÄMTLANDS LÄN</t>
        </is>
      </c>
      <c r="E5135" t="inlineStr">
        <is>
          <t>BRÄCKE</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44928-2025</t>
        </is>
      </c>
      <c r="B5136" s="1" t="n">
        <v>45918.56171296296</v>
      </c>
      <c r="C5136" s="1" t="n">
        <v>46045</v>
      </c>
      <c r="D5136" t="inlineStr">
        <is>
          <t>JÄMTLANDS LÄN</t>
        </is>
      </c>
      <c r="E5136" t="inlineStr">
        <is>
          <t>STRÖMSUND</t>
        </is>
      </c>
      <c r="F5136" t="inlineStr">
        <is>
          <t>Holmen skog AB</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30383-2024</t>
        </is>
      </c>
      <c r="B5137" s="1" t="n">
        <v>45491.44971064815</v>
      </c>
      <c r="C5137" s="1" t="n">
        <v>46045</v>
      </c>
      <c r="D5137" t="inlineStr">
        <is>
          <t>JÄMTLANDS LÄN</t>
        </is>
      </c>
      <c r="E5137" t="inlineStr">
        <is>
          <t>KROKOM</t>
        </is>
      </c>
      <c r="G5137" t="n">
        <v>22.9</v>
      </c>
      <c r="H5137" t="n">
        <v>0</v>
      </c>
      <c r="I5137" t="n">
        <v>0</v>
      </c>
      <c r="J5137" t="n">
        <v>0</v>
      </c>
      <c r="K5137" t="n">
        <v>0</v>
      </c>
      <c r="L5137" t="n">
        <v>0</v>
      </c>
      <c r="M5137" t="n">
        <v>0</v>
      </c>
      <c r="N5137" t="n">
        <v>0</v>
      </c>
      <c r="O5137" t="n">
        <v>0</v>
      </c>
      <c r="P5137" t="n">
        <v>0</v>
      </c>
      <c r="Q5137" t="n">
        <v>0</v>
      </c>
      <c r="R5137" s="2" t="inlineStr"/>
    </row>
    <row r="5138" ht="15" customHeight="1">
      <c r="A5138" t="inlineStr">
        <is>
          <t>A 44847-2025</t>
        </is>
      </c>
      <c r="B5138" s="1" t="n">
        <v>45918.44200231481</v>
      </c>
      <c r="C5138" s="1" t="n">
        <v>46045</v>
      </c>
      <c r="D5138" t="inlineStr">
        <is>
          <t>JÄMTLANDS LÄN</t>
        </is>
      </c>
      <c r="E5138" t="inlineStr">
        <is>
          <t>BRÄCKE</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5378-2025</t>
        </is>
      </c>
      <c r="B5139" s="1" t="n">
        <v>45692.60364583333</v>
      </c>
      <c r="C5139" s="1" t="n">
        <v>46045</v>
      </c>
      <c r="D5139" t="inlineStr">
        <is>
          <t>JÄMTLANDS LÄN</t>
        </is>
      </c>
      <c r="E5139" t="inlineStr">
        <is>
          <t>KROKOM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34902-2024</t>
        </is>
      </c>
      <c r="B5140" s="1" t="n">
        <v>45527.39858796296</v>
      </c>
      <c r="C5140" s="1" t="n">
        <v>46045</v>
      </c>
      <c r="D5140" t="inlineStr">
        <is>
          <t>JÄMTLANDS LÄN</t>
        </is>
      </c>
      <c r="E5140" t="inlineStr">
        <is>
          <t>KROKOM</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58491-2024</t>
        </is>
      </c>
      <c r="B5141" s="1" t="n">
        <v>45635.40408564815</v>
      </c>
      <c r="C5141" s="1" t="n">
        <v>46045</v>
      </c>
      <c r="D5141" t="inlineStr">
        <is>
          <t>JÄMTLANDS LÄN</t>
        </is>
      </c>
      <c r="E5141" t="inlineStr">
        <is>
          <t>BRÄCKE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58581-2024</t>
        </is>
      </c>
      <c r="B5142" s="1" t="n">
        <v>45635.4916087963</v>
      </c>
      <c r="C5142" s="1" t="n">
        <v>46045</v>
      </c>
      <c r="D5142" t="inlineStr">
        <is>
          <t>JÄMTLANDS LÄN</t>
        </is>
      </c>
      <c r="E5142" t="inlineStr">
        <is>
          <t>HÄRJEDALEN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14631-2023</t>
        </is>
      </c>
      <c r="B5143" s="1" t="n">
        <v>45012</v>
      </c>
      <c r="C5143" s="1" t="n">
        <v>46045</v>
      </c>
      <c r="D5143" t="inlineStr">
        <is>
          <t>JÄMTLANDS LÄN</t>
        </is>
      </c>
      <c r="E5143" t="inlineStr">
        <is>
          <t>HÄRJEDALEN</t>
        </is>
      </c>
      <c r="F5143" t="inlineStr">
        <is>
          <t>Bergvik skog väst AB</t>
        </is>
      </c>
      <c r="G5143" t="n">
        <v>14.2</v>
      </c>
      <c r="H5143" t="n">
        <v>0</v>
      </c>
      <c r="I5143" t="n">
        <v>0</v>
      </c>
      <c r="J5143" t="n">
        <v>0</v>
      </c>
      <c r="K5143" t="n">
        <v>0</v>
      </c>
      <c r="L5143" t="n">
        <v>0</v>
      </c>
      <c r="M5143" t="n">
        <v>0</v>
      </c>
      <c r="N5143" t="n">
        <v>0</v>
      </c>
      <c r="O5143" t="n">
        <v>0</v>
      </c>
      <c r="P5143" t="n">
        <v>0</v>
      </c>
      <c r="Q5143" t="n">
        <v>0</v>
      </c>
      <c r="R5143" s="2" t="inlineStr"/>
    </row>
    <row r="5144" ht="15" customHeight="1">
      <c r="A5144" t="inlineStr">
        <is>
          <t>A 29841-2021</t>
        </is>
      </c>
      <c r="B5144" s="1" t="n">
        <v>44362</v>
      </c>
      <c r="C5144" s="1" t="n">
        <v>46045</v>
      </c>
      <c r="D5144" t="inlineStr">
        <is>
          <t>JÄMTLANDS LÄN</t>
        </is>
      </c>
      <c r="E5144" t="inlineStr">
        <is>
          <t>STRÖMSUND</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44572-2025</t>
        </is>
      </c>
      <c r="B5145" s="1" t="n">
        <v>45917</v>
      </c>
      <c r="C5145" s="1" t="n">
        <v>46045</v>
      </c>
      <c r="D5145" t="inlineStr">
        <is>
          <t>JÄMTLANDS LÄN</t>
        </is>
      </c>
      <c r="E5145" t="inlineStr">
        <is>
          <t>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41401-2023</t>
        </is>
      </c>
      <c r="B5146" s="1" t="n">
        <v>45174</v>
      </c>
      <c r="C5146" s="1" t="n">
        <v>46045</v>
      </c>
      <c r="D5146" t="inlineStr">
        <is>
          <t>JÄMTLANDS LÄN</t>
        </is>
      </c>
      <c r="E5146" t="inlineStr">
        <is>
          <t>BRÄCKE</t>
        </is>
      </c>
      <c r="F5146" t="inlineStr">
        <is>
          <t>SCA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12900-2023</t>
        </is>
      </c>
      <c r="B5147" s="1" t="n">
        <v>45001</v>
      </c>
      <c r="C5147" s="1" t="n">
        <v>46045</v>
      </c>
      <c r="D5147" t="inlineStr">
        <is>
          <t>JÄMTLANDS LÄN</t>
        </is>
      </c>
      <c r="E5147" t="inlineStr">
        <is>
          <t>BRÄCKE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41677-2024</t>
        </is>
      </c>
      <c r="B5148" s="1" t="n">
        <v>45560.66037037037</v>
      </c>
      <c r="C5148" s="1" t="n">
        <v>46045</v>
      </c>
      <c r="D5148" t="inlineStr">
        <is>
          <t>JÄMTLANDS LÄN</t>
        </is>
      </c>
      <c r="E5148" t="inlineStr">
        <is>
          <t>ÅRE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41688-2024</t>
        </is>
      </c>
      <c r="B5149" s="1" t="n">
        <v>45560.67542824074</v>
      </c>
      <c r="C5149" s="1" t="n">
        <v>46045</v>
      </c>
      <c r="D5149" t="inlineStr">
        <is>
          <t>JÄMTLANDS LÄN</t>
        </is>
      </c>
      <c r="E5149" t="inlineStr">
        <is>
          <t>ÅRE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39230-2024</t>
        </is>
      </c>
      <c r="B5150" s="1" t="n">
        <v>45550.66542824074</v>
      </c>
      <c r="C5150" s="1" t="n">
        <v>46045</v>
      </c>
      <c r="D5150" t="inlineStr">
        <is>
          <t>JÄMTLANDS LÄN</t>
        </is>
      </c>
      <c r="E5150" t="inlineStr">
        <is>
          <t>KROKOM</t>
        </is>
      </c>
      <c r="G5150" t="n">
        <v>7.9</v>
      </c>
      <c r="H5150" t="n">
        <v>0</v>
      </c>
      <c r="I5150" t="n">
        <v>0</v>
      </c>
      <c r="J5150" t="n">
        <v>0</v>
      </c>
      <c r="K5150" t="n">
        <v>0</v>
      </c>
      <c r="L5150" t="n">
        <v>0</v>
      </c>
      <c r="M5150" t="n">
        <v>0</v>
      </c>
      <c r="N5150" t="n">
        <v>0</v>
      </c>
      <c r="O5150" t="n">
        <v>0</v>
      </c>
      <c r="P5150" t="n">
        <v>0</v>
      </c>
      <c r="Q5150" t="n">
        <v>0</v>
      </c>
      <c r="R5150" s="2" t="inlineStr"/>
    </row>
    <row r="5151" ht="15" customHeight="1">
      <c r="A5151" t="inlineStr">
        <is>
          <t>A 44634-2025</t>
        </is>
      </c>
      <c r="B5151" s="1" t="n">
        <v>45917.48998842593</v>
      </c>
      <c r="C5151" s="1" t="n">
        <v>46045</v>
      </c>
      <c r="D5151" t="inlineStr">
        <is>
          <t>JÄMTLANDS LÄN</t>
        </is>
      </c>
      <c r="E5151" t="inlineStr">
        <is>
          <t>STRÖMSUND</t>
        </is>
      </c>
      <c r="F5151" t="inlineStr">
        <is>
          <t>SCA</t>
        </is>
      </c>
      <c r="G5151" t="n">
        <v>10.9</v>
      </c>
      <c r="H5151" t="n">
        <v>0</v>
      </c>
      <c r="I5151" t="n">
        <v>0</v>
      </c>
      <c r="J5151" t="n">
        <v>0</v>
      </c>
      <c r="K5151" t="n">
        <v>0</v>
      </c>
      <c r="L5151" t="n">
        <v>0</v>
      </c>
      <c r="M5151" t="n">
        <v>0</v>
      </c>
      <c r="N5151" t="n">
        <v>0</v>
      </c>
      <c r="O5151" t="n">
        <v>0</v>
      </c>
      <c r="P5151" t="n">
        <v>0</v>
      </c>
      <c r="Q5151" t="n">
        <v>0</v>
      </c>
      <c r="R5151" s="2" t="inlineStr"/>
    </row>
    <row r="5152" ht="15" customHeight="1">
      <c r="A5152" t="inlineStr">
        <is>
          <t>A 44759-2024</t>
        </is>
      </c>
      <c r="B5152" s="1" t="n">
        <v>45574.61634259259</v>
      </c>
      <c r="C5152" s="1" t="n">
        <v>46045</v>
      </c>
      <c r="D5152" t="inlineStr">
        <is>
          <t>JÄMTLANDS LÄN</t>
        </is>
      </c>
      <c r="E5152" t="inlineStr">
        <is>
          <t>RAGUNDA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51994-2024</t>
        </is>
      </c>
      <c r="B5153" s="1" t="n">
        <v>45607</v>
      </c>
      <c r="C5153" s="1" t="n">
        <v>46045</v>
      </c>
      <c r="D5153" t="inlineStr">
        <is>
          <t>JÄMTLANDS LÄN</t>
        </is>
      </c>
      <c r="E5153" t="inlineStr">
        <is>
          <t>HÄRJEDALEN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44843-2025</t>
        </is>
      </c>
      <c r="B5154" s="1" t="n">
        <v>45918.43283564815</v>
      </c>
      <c r="C5154" s="1" t="n">
        <v>46045</v>
      </c>
      <c r="D5154" t="inlineStr">
        <is>
          <t>JÄMTLANDS LÄN</t>
        </is>
      </c>
      <c r="E5154" t="inlineStr">
        <is>
          <t>BRÄCKE</t>
        </is>
      </c>
      <c r="F5154" t="inlineStr">
        <is>
          <t>SCA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1211-2025</t>
        </is>
      </c>
      <c r="B5155" s="1" t="n">
        <v>45667.40662037037</v>
      </c>
      <c r="C5155" s="1" t="n">
        <v>46045</v>
      </c>
      <c r="D5155" t="inlineStr">
        <is>
          <t>JÄMTLANDS LÄN</t>
        </is>
      </c>
      <c r="E5155" t="inlineStr">
        <is>
          <t>ÖSTERSUND</t>
        </is>
      </c>
      <c r="F5155" t="inlineStr">
        <is>
          <t>SCA</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993-2025</t>
        </is>
      </c>
      <c r="B5156" s="1" t="n">
        <v>45666.44943287037</v>
      </c>
      <c r="C5156" s="1" t="n">
        <v>46045</v>
      </c>
      <c r="D5156" t="inlineStr">
        <is>
          <t>JÄMTLANDS LÄN</t>
        </is>
      </c>
      <c r="E5156" t="inlineStr">
        <is>
          <t>RAGUNDA</t>
        </is>
      </c>
      <c r="G5156" t="n">
        <v>11.3</v>
      </c>
      <c r="H5156" t="n">
        <v>0</v>
      </c>
      <c r="I5156" t="n">
        <v>0</v>
      </c>
      <c r="J5156" t="n">
        <v>0</v>
      </c>
      <c r="K5156" t="n">
        <v>0</v>
      </c>
      <c r="L5156" t="n">
        <v>0</v>
      </c>
      <c r="M5156" t="n">
        <v>0</v>
      </c>
      <c r="N5156" t="n">
        <v>0</v>
      </c>
      <c r="O5156" t="n">
        <v>0</v>
      </c>
      <c r="P5156" t="n">
        <v>0</v>
      </c>
      <c r="Q5156" t="n">
        <v>0</v>
      </c>
      <c r="R5156" s="2" t="inlineStr"/>
    </row>
    <row r="5157" ht="15" customHeight="1">
      <c r="A5157" t="inlineStr">
        <is>
          <t>A 44854-2025</t>
        </is>
      </c>
      <c r="B5157" s="1" t="n">
        <v>45918.44819444444</v>
      </c>
      <c r="C5157" s="1" t="n">
        <v>46045</v>
      </c>
      <c r="D5157" t="inlineStr">
        <is>
          <t>JÄMTLANDS LÄN</t>
        </is>
      </c>
      <c r="E5157" t="inlineStr">
        <is>
          <t>BRÄCKE</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1641-2023</t>
        </is>
      </c>
      <c r="B5158" s="1" t="n">
        <v>44937.92457175926</v>
      </c>
      <c r="C5158" s="1" t="n">
        <v>46045</v>
      </c>
      <c r="D5158" t="inlineStr">
        <is>
          <t>JÄMTLANDS LÄN</t>
        </is>
      </c>
      <c r="E5158" t="inlineStr">
        <is>
          <t>STRÖMSUND</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57064-2024</t>
        </is>
      </c>
      <c r="B5159" s="1" t="n">
        <v>45629.35326388889</v>
      </c>
      <c r="C5159" s="1" t="n">
        <v>46045</v>
      </c>
      <c r="D5159" t="inlineStr">
        <is>
          <t>JÄMTLANDS LÄN</t>
        </is>
      </c>
      <c r="E5159" t="inlineStr">
        <is>
          <t>RAGUNDA</t>
        </is>
      </c>
      <c r="F5159" t="inlineStr">
        <is>
          <t>Naturvårdsverket</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44761-2025</t>
        </is>
      </c>
      <c r="B5160" s="1" t="n">
        <v>45917.71915509259</v>
      </c>
      <c r="C5160" s="1" t="n">
        <v>46045</v>
      </c>
      <c r="D5160" t="inlineStr">
        <is>
          <t>JÄMTLANDS LÄN</t>
        </is>
      </c>
      <c r="E5160" t="inlineStr">
        <is>
          <t>STRÖMSUND</t>
        </is>
      </c>
      <c r="F5160" t="inlineStr">
        <is>
          <t>SCA</t>
        </is>
      </c>
      <c r="G5160" t="n">
        <v>29.7</v>
      </c>
      <c r="H5160" t="n">
        <v>0</v>
      </c>
      <c r="I5160" t="n">
        <v>0</v>
      </c>
      <c r="J5160" t="n">
        <v>0</v>
      </c>
      <c r="K5160" t="n">
        <v>0</v>
      </c>
      <c r="L5160" t="n">
        <v>0</v>
      </c>
      <c r="M5160" t="n">
        <v>0</v>
      </c>
      <c r="N5160" t="n">
        <v>0</v>
      </c>
      <c r="O5160" t="n">
        <v>0</v>
      </c>
      <c r="P5160" t="n">
        <v>0</v>
      </c>
      <c r="Q5160" t="n">
        <v>0</v>
      </c>
      <c r="R5160" s="2" t="inlineStr"/>
    </row>
    <row r="5161" ht="15" customHeight="1">
      <c r="A5161" t="inlineStr">
        <is>
          <t>A 859-2022</t>
        </is>
      </c>
      <c r="B5161" s="1" t="n">
        <v>44571</v>
      </c>
      <c r="C5161" s="1" t="n">
        <v>46045</v>
      </c>
      <c r="D5161" t="inlineStr">
        <is>
          <t>JÄMTLANDS LÄN</t>
        </is>
      </c>
      <c r="E5161" t="inlineStr">
        <is>
          <t>HÄRJEDALEN</t>
        </is>
      </c>
      <c r="G5161" t="n">
        <v>16.9</v>
      </c>
      <c r="H5161" t="n">
        <v>0</v>
      </c>
      <c r="I5161" t="n">
        <v>0</v>
      </c>
      <c r="J5161" t="n">
        <v>0</v>
      </c>
      <c r="K5161" t="n">
        <v>0</v>
      </c>
      <c r="L5161" t="n">
        <v>0</v>
      </c>
      <c r="M5161" t="n">
        <v>0</v>
      </c>
      <c r="N5161" t="n">
        <v>0</v>
      </c>
      <c r="O5161" t="n">
        <v>0</v>
      </c>
      <c r="P5161" t="n">
        <v>0</v>
      </c>
      <c r="Q5161" t="n">
        <v>0</v>
      </c>
      <c r="R5161" s="2" t="inlineStr"/>
    </row>
    <row r="5162" ht="15" customHeight="1">
      <c r="A5162" t="inlineStr">
        <is>
          <t>A 7854-2024</t>
        </is>
      </c>
      <c r="B5162" s="1" t="n">
        <v>45350.01711805556</v>
      </c>
      <c r="C5162" s="1" t="n">
        <v>46045</v>
      </c>
      <c r="D5162" t="inlineStr">
        <is>
          <t>JÄMTLANDS LÄN</t>
        </is>
      </c>
      <c r="E5162" t="inlineStr">
        <is>
          <t>STRÖMSUND</t>
        </is>
      </c>
      <c r="F5162" t="inlineStr">
        <is>
          <t>SCA</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44968-2025</t>
        </is>
      </c>
      <c r="B5163" s="1" t="n">
        <v>45918.63228009259</v>
      </c>
      <c r="C5163" s="1" t="n">
        <v>46045</v>
      </c>
      <c r="D5163" t="inlineStr">
        <is>
          <t>JÄMTLANDS LÄN</t>
        </is>
      </c>
      <c r="E5163" t="inlineStr">
        <is>
          <t>BRÄCKE</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50172-2023</t>
        </is>
      </c>
      <c r="B5164" s="1" t="n">
        <v>45208</v>
      </c>
      <c r="C5164" s="1" t="n">
        <v>46045</v>
      </c>
      <c r="D5164" t="inlineStr">
        <is>
          <t>JÄMTLANDS LÄN</t>
        </is>
      </c>
      <c r="E5164" t="inlineStr">
        <is>
          <t>BERG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4218-2025</t>
        </is>
      </c>
      <c r="B5165" s="1" t="n">
        <v>45685</v>
      </c>
      <c r="C5165" s="1" t="n">
        <v>46045</v>
      </c>
      <c r="D5165" t="inlineStr">
        <is>
          <t>JÄMTLANDS LÄN</t>
        </is>
      </c>
      <c r="E5165" t="inlineStr">
        <is>
          <t>ÅRE</t>
        </is>
      </c>
      <c r="F5165" t="inlineStr">
        <is>
          <t>Övriga Aktiebolag</t>
        </is>
      </c>
      <c r="G5165" t="n">
        <v>10.1</v>
      </c>
      <c r="H5165" t="n">
        <v>0</v>
      </c>
      <c r="I5165" t="n">
        <v>0</v>
      </c>
      <c r="J5165" t="n">
        <v>0</v>
      </c>
      <c r="K5165" t="n">
        <v>0</v>
      </c>
      <c r="L5165" t="n">
        <v>0</v>
      </c>
      <c r="M5165" t="n">
        <v>0</v>
      </c>
      <c r="N5165" t="n">
        <v>0</v>
      </c>
      <c r="O5165" t="n">
        <v>0</v>
      </c>
      <c r="P5165" t="n">
        <v>0</v>
      </c>
      <c r="Q5165" t="n">
        <v>0</v>
      </c>
      <c r="R5165" s="2" t="inlineStr"/>
    </row>
    <row r="5166" ht="15" customHeight="1">
      <c r="A5166" t="inlineStr">
        <is>
          <t>A 45731-2024</t>
        </is>
      </c>
      <c r="B5166" s="1" t="n">
        <v>45579.59980324074</v>
      </c>
      <c r="C5166" s="1" t="n">
        <v>46045</v>
      </c>
      <c r="D5166" t="inlineStr">
        <is>
          <t>JÄMTLANDS LÄN</t>
        </is>
      </c>
      <c r="E5166" t="inlineStr">
        <is>
          <t>HÄRJEDALEN</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38507-2024</t>
        </is>
      </c>
      <c r="B5167" s="1" t="n">
        <v>45546.54530092593</v>
      </c>
      <c r="C5167" s="1" t="n">
        <v>46045</v>
      </c>
      <c r="D5167" t="inlineStr">
        <is>
          <t>JÄMTLANDS LÄN</t>
        </is>
      </c>
      <c r="E5167" t="inlineStr">
        <is>
          <t>HÄRJEDALEN</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40500-2024</t>
        </is>
      </c>
      <c r="B5168" s="1" t="n">
        <v>45555</v>
      </c>
      <c r="C5168" s="1" t="n">
        <v>46045</v>
      </c>
      <c r="D5168" t="inlineStr">
        <is>
          <t>JÄMTLANDS LÄN</t>
        </is>
      </c>
      <c r="E5168" t="inlineStr">
        <is>
          <t>STRÖMSUND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44644-2025</t>
        </is>
      </c>
      <c r="B5169" s="1" t="n">
        <v>45917.53284722222</v>
      </c>
      <c r="C5169" s="1" t="n">
        <v>46045</v>
      </c>
      <c r="D5169" t="inlineStr">
        <is>
          <t>JÄMTLANDS LÄN</t>
        </is>
      </c>
      <c r="E5169" t="inlineStr">
        <is>
          <t>ÅRE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28780-2024</t>
        </is>
      </c>
      <c r="B5170" s="1" t="n">
        <v>45478.60708333334</v>
      </c>
      <c r="C5170" s="1" t="n">
        <v>46045</v>
      </c>
      <c r="D5170" t="inlineStr">
        <is>
          <t>JÄMTLANDS LÄN</t>
        </is>
      </c>
      <c r="E5170" t="inlineStr">
        <is>
          <t>KROKOM</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59498-2024</t>
        </is>
      </c>
      <c r="B5171" s="1" t="n">
        <v>45638.54635416667</v>
      </c>
      <c r="C5171" s="1" t="n">
        <v>46045</v>
      </c>
      <c r="D5171" t="inlineStr">
        <is>
          <t>JÄMTLANDS LÄN</t>
        </is>
      </c>
      <c r="E5171" t="inlineStr">
        <is>
          <t>BERG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16364-2023</t>
        </is>
      </c>
      <c r="B5172" s="1" t="n">
        <v>45028</v>
      </c>
      <c r="C5172" s="1" t="n">
        <v>46045</v>
      </c>
      <c r="D5172" t="inlineStr">
        <is>
          <t>JÄMTLANDS LÄN</t>
        </is>
      </c>
      <c r="E5172" t="inlineStr">
        <is>
          <t>RAGUNDA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16372-2023</t>
        </is>
      </c>
      <c r="B5173" s="1" t="n">
        <v>45028.94083333333</v>
      </c>
      <c r="C5173" s="1" t="n">
        <v>46045</v>
      </c>
      <c r="D5173" t="inlineStr">
        <is>
          <t>JÄMTLANDS LÄN</t>
        </is>
      </c>
      <c r="E5173" t="inlineStr">
        <is>
          <t>BRÄCKE</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69132-2021</t>
        </is>
      </c>
      <c r="B5174" s="1" t="n">
        <v>44530</v>
      </c>
      <c r="C5174" s="1" t="n">
        <v>46045</v>
      </c>
      <c r="D5174" t="inlineStr">
        <is>
          <t>JÄMTLANDS LÄN</t>
        </is>
      </c>
      <c r="E5174" t="inlineStr">
        <is>
          <t>STRÖMSUND</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61732-2021</t>
        </is>
      </c>
      <c r="B5175" s="1" t="n">
        <v>44498</v>
      </c>
      <c r="C5175" s="1" t="n">
        <v>46045</v>
      </c>
      <c r="D5175" t="inlineStr">
        <is>
          <t>JÄMTLANDS LÄN</t>
        </is>
      </c>
      <c r="E5175" t="inlineStr">
        <is>
          <t>KROKOM</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56490-2023</t>
        </is>
      </c>
      <c r="B5176" s="1" t="n">
        <v>45237</v>
      </c>
      <c r="C5176" s="1" t="n">
        <v>46045</v>
      </c>
      <c r="D5176" t="inlineStr">
        <is>
          <t>JÄMTLANDS LÄN</t>
        </is>
      </c>
      <c r="E5176" t="inlineStr">
        <is>
          <t>STRÖMSUND</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44811-2025</t>
        </is>
      </c>
      <c r="B5177" s="1" t="n">
        <v>45918.37195601852</v>
      </c>
      <c r="C5177" s="1" t="n">
        <v>46045</v>
      </c>
      <c r="D5177" t="inlineStr">
        <is>
          <t>JÄMTLANDS LÄN</t>
        </is>
      </c>
      <c r="E5177" t="inlineStr">
        <is>
          <t>BERG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41875-2024</t>
        </is>
      </c>
      <c r="B5178" s="1" t="n">
        <v>45561.47431712963</v>
      </c>
      <c r="C5178" s="1" t="n">
        <v>46045</v>
      </c>
      <c r="D5178" t="inlineStr">
        <is>
          <t>JÄMTLANDS LÄN</t>
        </is>
      </c>
      <c r="E5178" t="inlineStr">
        <is>
          <t>BERG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44574-2025</t>
        </is>
      </c>
      <c r="B5179" s="1" t="n">
        <v>45917.39420138889</v>
      </c>
      <c r="C5179" s="1" t="n">
        <v>46045</v>
      </c>
      <c r="D5179" t="inlineStr">
        <is>
          <t>JÄMTLANDS LÄN</t>
        </is>
      </c>
      <c r="E5179" t="inlineStr">
        <is>
          <t>STRÖMSUND</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16466-2024</t>
        </is>
      </c>
      <c r="B5180" s="1" t="n">
        <v>45408.050625</v>
      </c>
      <c r="C5180" s="1" t="n">
        <v>46045</v>
      </c>
      <c r="D5180" t="inlineStr">
        <is>
          <t>JÄMTLANDS LÄN</t>
        </is>
      </c>
      <c r="E5180" t="inlineStr">
        <is>
          <t>BRÄCKE</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41972-2024</t>
        </is>
      </c>
      <c r="B5181" s="1" t="n">
        <v>45561.61515046296</v>
      </c>
      <c r="C5181" s="1" t="n">
        <v>46045</v>
      </c>
      <c r="D5181" t="inlineStr">
        <is>
          <t>JÄMTLANDS LÄN</t>
        </is>
      </c>
      <c r="E5181" t="inlineStr">
        <is>
          <t>KROKOM</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44954-2025</t>
        </is>
      </c>
      <c r="B5182" s="1" t="n">
        <v>45918.61203703703</v>
      </c>
      <c r="C5182" s="1" t="n">
        <v>46045</v>
      </c>
      <c r="D5182" t="inlineStr">
        <is>
          <t>JÄMTLANDS LÄN</t>
        </is>
      </c>
      <c r="E5182" t="inlineStr">
        <is>
          <t>RAGUNDA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44957-2025</t>
        </is>
      </c>
      <c r="B5183" s="1" t="n">
        <v>45918.615</v>
      </c>
      <c r="C5183" s="1" t="n">
        <v>46045</v>
      </c>
      <c r="D5183" t="inlineStr">
        <is>
          <t>JÄMTLANDS LÄN</t>
        </is>
      </c>
      <c r="E5183" t="inlineStr">
        <is>
          <t>BRÄCKE</t>
        </is>
      </c>
      <c r="F5183" t="inlineStr">
        <is>
          <t>SCA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26693-2023</t>
        </is>
      </c>
      <c r="B5184" s="1" t="n">
        <v>45090</v>
      </c>
      <c r="C5184" s="1" t="n">
        <v>46045</v>
      </c>
      <c r="D5184" t="inlineStr">
        <is>
          <t>JÄMTLANDS LÄN</t>
        </is>
      </c>
      <c r="E5184" t="inlineStr">
        <is>
          <t>KROKOM</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58110-2024</t>
        </is>
      </c>
      <c r="B5185" s="1" t="n">
        <v>45632</v>
      </c>
      <c r="C5185" s="1" t="n">
        <v>46045</v>
      </c>
      <c r="D5185" t="inlineStr">
        <is>
          <t>JÄMTLANDS LÄN</t>
        </is>
      </c>
      <c r="E5185" t="inlineStr">
        <is>
          <t>HÄRJEDALEN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58117-2024</t>
        </is>
      </c>
      <c r="B5186" s="1" t="n">
        <v>45632</v>
      </c>
      <c r="C5186" s="1" t="n">
        <v>46045</v>
      </c>
      <c r="D5186" t="inlineStr">
        <is>
          <t>JÄMTLANDS LÄN</t>
        </is>
      </c>
      <c r="E5186" t="inlineStr">
        <is>
          <t>HÄRJEDALEN</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59530-2024</t>
        </is>
      </c>
      <c r="B5187" s="1" t="n">
        <v>45638.59427083333</v>
      </c>
      <c r="C5187" s="1" t="n">
        <v>46045</v>
      </c>
      <c r="D5187" t="inlineStr">
        <is>
          <t>JÄMTLANDS LÄN</t>
        </is>
      </c>
      <c r="E5187" t="inlineStr">
        <is>
          <t>STRÖMSUND</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31920-2024</t>
        </is>
      </c>
      <c r="B5188" s="1" t="n">
        <v>45510</v>
      </c>
      <c r="C5188" s="1" t="n">
        <v>46045</v>
      </c>
      <c r="D5188" t="inlineStr">
        <is>
          <t>JÄMTLANDS LÄN</t>
        </is>
      </c>
      <c r="E5188" t="inlineStr">
        <is>
          <t>HÄRJEDALEN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13083-2025</t>
        </is>
      </c>
      <c r="B5189" s="1" t="n">
        <v>45734</v>
      </c>
      <c r="C5189" s="1" t="n">
        <v>46045</v>
      </c>
      <c r="D5189" t="inlineStr">
        <is>
          <t>JÄMTLANDS LÄN</t>
        </is>
      </c>
      <c r="E5189" t="inlineStr">
        <is>
          <t>BRÄCKE</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28003-2023</t>
        </is>
      </c>
      <c r="B5190" s="1" t="n">
        <v>45098.93894675926</v>
      </c>
      <c r="C5190" s="1" t="n">
        <v>46045</v>
      </c>
      <c r="D5190" t="inlineStr">
        <is>
          <t>JÄMTLANDS LÄN</t>
        </is>
      </c>
      <c r="E5190" t="inlineStr">
        <is>
          <t>STRÖMSUND</t>
        </is>
      </c>
      <c r="F5190" t="inlineStr">
        <is>
          <t>SCA</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6711-2025</t>
        </is>
      </c>
      <c r="B5191" s="1" t="n">
        <v>45700.56194444445</v>
      </c>
      <c r="C5191" s="1" t="n">
        <v>46045</v>
      </c>
      <c r="D5191" t="inlineStr">
        <is>
          <t>JÄMTLANDS LÄN</t>
        </is>
      </c>
      <c r="E5191" t="inlineStr">
        <is>
          <t>KROKOM</t>
        </is>
      </c>
      <c r="F5191" t="inlineStr">
        <is>
          <t>Övriga Aktiebolag</t>
        </is>
      </c>
      <c r="G5191" t="n">
        <v>37.6</v>
      </c>
      <c r="H5191" t="n">
        <v>0</v>
      </c>
      <c r="I5191" t="n">
        <v>0</v>
      </c>
      <c r="J5191" t="n">
        <v>0</v>
      </c>
      <c r="K5191" t="n">
        <v>0</v>
      </c>
      <c r="L5191" t="n">
        <v>0</v>
      </c>
      <c r="M5191" t="n">
        <v>0</v>
      </c>
      <c r="N5191" t="n">
        <v>0</v>
      </c>
      <c r="O5191" t="n">
        <v>0</v>
      </c>
      <c r="P5191" t="n">
        <v>0</v>
      </c>
      <c r="Q5191" t="n">
        <v>0</v>
      </c>
      <c r="R5191" s="2" t="inlineStr"/>
    </row>
    <row r="5192" ht="15" customHeight="1">
      <c r="A5192" t="inlineStr">
        <is>
          <t>A 44888-2025</t>
        </is>
      </c>
      <c r="B5192" s="1" t="n">
        <v>45918.49489583333</v>
      </c>
      <c r="C5192" s="1" t="n">
        <v>46045</v>
      </c>
      <c r="D5192" t="inlineStr">
        <is>
          <t>JÄMTLANDS LÄN</t>
        </is>
      </c>
      <c r="E5192" t="inlineStr">
        <is>
          <t>KROKOM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15692-2025</t>
        </is>
      </c>
      <c r="B5193" s="1" t="n">
        <v>45748</v>
      </c>
      <c r="C5193" s="1" t="n">
        <v>46045</v>
      </c>
      <c r="D5193" t="inlineStr">
        <is>
          <t>JÄMTLANDS LÄN</t>
        </is>
      </c>
      <c r="E5193" t="inlineStr">
        <is>
          <t>ÅRE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16199-2025</t>
        </is>
      </c>
      <c r="B5194" s="1" t="n">
        <v>45750.60577546297</v>
      </c>
      <c r="C5194" s="1" t="n">
        <v>46045</v>
      </c>
      <c r="D5194" t="inlineStr">
        <is>
          <t>JÄMTLANDS LÄN</t>
        </is>
      </c>
      <c r="E5194" t="inlineStr">
        <is>
          <t>KROKOM</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43287-2024</t>
        </is>
      </c>
      <c r="B5195" s="1" t="n">
        <v>45568</v>
      </c>
      <c r="C5195" s="1" t="n">
        <v>46045</v>
      </c>
      <c r="D5195" t="inlineStr">
        <is>
          <t>JÄMTLANDS LÄN</t>
        </is>
      </c>
      <c r="E5195" t="inlineStr">
        <is>
          <t>HÄRJEDALEN</t>
        </is>
      </c>
      <c r="F5195" t="inlineStr">
        <is>
          <t>SCA</t>
        </is>
      </c>
      <c r="G5195" t="n">
        <v>19.7</v>
      </c>
      <c r="H5195" t="n">
        <v>0</v>
      </c>
      <c r="I5195" t="n">
        <v>0</v>
      </c>
      <c r="J5195" t="n">
        <v>0</v>
      </c>
      <c r="K5195" t="n">
        <v>0</v>
      </c>
      <c r="L5195" t="n">
        <v>0</v>
      </c>
      <c r="M5195" t="n">
        <v>0</v>
      </c>
      <c r="N5195" t="n">
        <v>0</v>
      </c>
      <c r="O5195" t="n">
        <v>0</v>
      </c>
      <c r="P5195" t="n">
        <v>0</v>
      </c>
      <c r="Q5195" t="n">
        <v>0</v>
      </c>
      <c r="R5195" s="2" t="inlineStr"/>
    </row>
    <row r="5196" ht="15" customHeight="1">
      <c r="A5196" t="inlineStr">
        <is>
          <t>A 1112-2025</t>
        </is>
      </c>
      <c r="B5196" s="1" t="n">
        <v>45666</v>
      </c>
      <c r="C5196" s="1" t="n">
        <v>46045</v>
      </c>
      <c r="D5196" t="inlineStr">
        <is>
          <t>JÄMTLANDS LÄN</t>
        </is>
      </c>
      <c r="E5196" t="inlineStr">
        <is>
          <t>ÅRE</t>
        </is>
      </c>
      <c r="F5196" t="inlineStr">
        <is>
          <t>Övriga Aktiebolag</t>
        </is>
      </c>
      <c r="G5196" t="n">
        <v>17.7</v>
      </c>
      <c r="H5196" t="n">
        <v>0</v>
      </c>
      <c r="I5196" t="n">
        <v>0</v>
      </c>
      <c r="J5196" t="n">
        <v>0</v>
      </c>
      <c r="K5196" t="n">
        <v>0</v>
      </c>
      <c r="L5196" t="n">
        <v>0</v>
      </c>
      <c r="M5196" t="n">
        <v>0</v>
      </c>
      <c r="N5196" t="n">
        <v>0</v>
      </c>
      <c r="O5196" t="n">
        <v>0</v>
      </c>
      <c r="P5196" t="n">
        <v>0</v>
      </c>
      <c r="Q5196" t="n">
        <v>0</v>
      </c>
      <c r="R5196" s="2" t="inlineStr"/>
    </row>
    <row r="5197" ht="15" customHeight="1">
      <c r="A5197" t="inlineStr">
        <is>
          <t>A 44668-2025</t>
        </is>
      </c>
      <c r="B5197" s="1" t="n">
        <v>45917.56306712963</v>
      </c>
      <c r="C5197" s="1" t="n">
        <v>46045</v>
      </c>
      <c r="D5197" t="inlineStr">
        <is>
          <t>JÄMTLANDS LÄN</t>
        </is>
      </c>
      <c r="E5197" t="inlineStr">
        <is>
          <t>ÅRE</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37597-2023</t>
        </is>
      </c>
      <c r="B5198" s="1" t="n">
        <v>45159.42180555555</v>
      </c>
      <c r="C5198" s="1" t="n">
        <v>46045</v>
      </c>
      <c r="D5198" t="inlineStr">
        <is>
          <t>JÄMTLANDS LÄN</t>
        </is>
      </c>
      <c r="E5198" t="inlineStr">
        <is>
          <t>ÖSTERSUND</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44685-2025</t>
        </is>
      </c>
      <c r="B5199" s="1" t="n">
        <v>45917.58569444445</v>
      </c>
      <c r="C5199" s="1" t="n">
        <v>46045</v>
      </c>
      <c r="D5199" t="inlineStr">
        <is>
          <t>JÄMTLANDS LÄN</t>
        </is>
      </c>
      <c r="E5199" t="inlineStr">
        <is>
          <t>ÅRE</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44697-2025</t>
        </is>
      </c>
      <c r="B5200" s="1" t="n">
        <v>45917.59888888889</v>
      </c>
      <c r="C5200" s="1" t="n">
        <v>46045</v>
      </c>
      <c r="D5200" t="inlineStr">
        <is>
          <t>JÄMTLANDS LÄN</t>
        </is>
      </c>
      <c r="E5200" t="inlineStr">
        <is>
          <t>BERG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4887-2025</t>
        </is>
      </c>
      <c r="B5201" s="1" t="n">
        <v>45688.67800925926</v>
      </c>
      <c r="C5201" s="1" t="n">
        <v>46045</v>
      </c>
      <c r="D5201" t="inlineStr">
        <is>
          <t>JÄMTLANDS LÄN</t>
        </is>
      </c>
      <c r="E5201" t="inlineStr">
        <is>
          <t>BRÄCKE</t>
        </is>
      </c>
      <c r="F5201" t="inlineStr">
        <is>
          <t>SCA</t>
        </is>
      </c>
      <c r="G5201" t="n">
        <v>9.4</v>
      </c>
      <c r="H5201" t="n">
        <v>0</v>
      </c>
      <c r="I5201" t="n">
        <v>0</v>
      </c>
      <c r="J5201" t="n">
        <v>0</v>
      </c>
      <c r="K5201" t="n">
        <v>0</v>
      </c>
      <c r="L5201" t="n">
        <v>0</v>
      </c>
      <c r="M5201" t="n">
        <v>0</v>
      </c>
      <c r="N5201" t="n">
        <v>0</v>
      </c>
      <c r="O5201" t="n">
        <v>0</v>
      </c>
      <c r="P5201" t="n">
        <v>0</v>
      </c>
      <c r="Q5201" t="n">
        <v>0</v>
      </c>
      <c r="R5201" s="2" t="inlineStr"/>
    </row>
    <row r="5202" ht="15" customHeight="1">
      <c r="A5202" t="inlineStr">
        <is>
          <t>A 58082-2023</t>
        </is>
      </c>
      <c r="B5202" s="1" t="n">
        <v>45247.96538194444</v>
      </c>
      <c r="C5202" s="1" t="n">
        <v>46045</v>
      </c>
      <c r="D5202" t="inlineStr">
        <is>
          <t>JÄMTLANDS LÄN</t>
        </is>
      </c>
      <c r="E5202" t="inlineStr">
        <is>
          <t>BRÄCKE</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60936-2024</t>
        </is>
      </c>
      <c r="B5203" s="1" t="n">
        <v>45645.36743055555</v>
      </c>
      <c r="C5203" s="1" t="n">
        <v>46045</v>
      </c>
      <c r="D5203" t="inlineStr">
        <is>
          <t>JÄMTLANDS LÄN</t>
        </is>
      </c>
      <c r="E5203" t="inlineStr">
        <is>
          <t>RAGUNDA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52402-2023</t>
        </is>
      </c>
      <c r="B5204" s="1" t="n">
        <v>45224.96487268519</v>
      </c>
      <c r="C5204" s="1" t="n">
        <v>46045</v>
      </c>
      <c r="D5204" t="inlineStr">
        <is>
          <t>JÄMTLANDS LÄN</t>
        </is>
      </c>
      <c r="E5204" t="inlineStr">
        <is>
          <t>STRÖMSUND</t>
        </is>
      </c>
      <c r="F5204" t="inlineStr">
        <is>
          <t>SCA</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14283-2025</t>
        </is>
      </c>
      <c r="B5205" s="1" t="n">
        <v>45740.65851851852</v>
      </c>
      <c r="C5205" s="1" t="n">
        <v>46045</v>
      </c>
      <c r="D5205" t="inlineStr">
        <is>
          <t>JÄMTLANDS LÄN</t>
        </is>
      </c>
      <c r="E5205" t="inlineStr">
        <is>
          <t>ÅRE</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14886-2025</t>
        </is>
      </c>
      <c r="B5206" s="1" t="n">
        <v>45743.46734953704</v>
      </c>
      <c r="C5206" s="1" t="n">
        <v>46045</v>
      </c>
      <c r="D5206" t="inlineStr">
        <is>
          <t>JÄMTLANDS LÄN</t>
        </is>
      </c>
      <c r="E5206" t="inlineStr">
        <is>
          <t>STRÖMSUND</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44969-2025</t>
        </is>
      </c>
      <c r="B5207" s="1" t="n">
        <v>45918.63583333333</v>
      </c>
      <c r="C5207" s="1" t="n">
        <v>46045</v>
      </c>
      <c r="D5207" t="inlineStr">
        <is>
          <t>JÄMTLANDS LÄN</t>
        </is>
      </c>
      <c r="E5207" t="inlineStr">
        <is>
          <t>STRÖMSUND</t>
        </is>
      </c>
      <c r="F5207" t="inlineStr">
        <is>
          <t>SCA</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22096-2022</t>
        </is>
      </c>
      <c r="B5208" s="1" t="n">
        <v>44711.94118055556</v>
      </c>
      <c r="C5208" s="1" t="n">
        <v>46045</v>
      </c>
      <c r="D5208" t="inlineStr">
        <is>
          <t>JÄMTLANDS LÄN</t>
        </is>
      </c>
      <c r="E5208" t="inlineStr">
        <is>
          <t>STRÖMSUND</t>
        </is>
      </c>
      <c r="F5208" t="inlineStr">
        <is>
          <t>SCA</t>
        </is>
      </c>
      <c r="G5208" t="n">
        <v>10</v>
      </c>
      <c r="H5208" t="n">
        <v>0</v>
      </c>
      <c r="I5208" t="n">
        <v>0</v>
      </c>
      <c r="J5208" t="n">
        <v>0</v>
      </c>
      <c r="K5208" t="n">
        <v>0</v>
      </c>
      <c r="L5208" t="n">
        <v>0</v>
      </c>
      <c r="M5208" t="n">
        <v>0</v>
      </c>
      <c r="N5208" t="n">
        <v>0</v>
      </c>
      <c r="O5208" t="n">
        <v>0</v>
      </c>
      <c r="P5208" t="n">
        <v>0</v>
      </c>
      <c r="Q5208" t="n">
        <v>0</v>
      </c>
      <c r="R5208" s="2" t="inlineStr"/>
    </row>
    <row r="5209" ht="15" customHeight="1">
      <c r="A5209" t="inlineStr">
        <is>
          <t>A 18408-2025</t>
        </is>
      </c>
      <c r="B5209" s="1" t="n">
        <v>45762.61128472222</v>
      </c>
      <c r="C5209" s="1" t="n">
        <v>46045</v>
      </c>
      <c r="D5209" t="inlineStr">
        <is>
          <t>JÄMTLANDS LÄN</t>
        </is>
      </c>
      <c r="E5209" t="inlineStr">
        <is>
          <t>BERG</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5453-2024</t>
        </is>
      </c>
      <c r="B5210" s="1" t="n">
        <v>45331.95241898148</v>
      </c>
      <c r="C5210" s="1" t="n">
        <v>46045</v>
      </c>
      <c r="D5210" t="inlineStr">
        <is>
          <t>JÄMTLANDS LÄN</t>
        </is>
      </c>
      <c r="E5210" t="inlineStr">
        <is>
          <t>STRÖMSUND</t>
        </is>
      </c>
      <c r="F5210" t="inlineStr">
        <is>
          <t>SCA</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22001-2024</t>
        </is>
      </c>
      <c r="B5211" s="1" t="n">
        <v>45443.56649305556</v>
      </c>
      <c r="C5211" s="1" t="n">
        <v>46045</v>
      </c>
      <c r="D5211" t="inlineStr">
        <is>
          <t>JÄMTLANDS LÄN</t>
        </is>
      </c>
      <c r="E5211" t="inlineStr">
        <is>
          <t>BRÄCKE</t>
        </is>
      </c>
      <c r="F5211" t="inlineStr">
        <is>
          <t>Övriga Aktiebolag</t>
        </is>
      </c>
      <c r="G5211" t="n">
        <v>9</v>
      </c>
      <c r="H5211" t="n">
        <v>0</v>
      </c>
      <c r="I5211" t="n">
        <v>0</v>
      </c>
      <c r="J5211" t="n">
        <v>0</v>
      </c>
      <c r="K5211" t="n">
        <v>0</v>
      </c>
      <c r="L5211" t="n">
        <v>0</v>
      </c>
      <c r="M5211" t="n">
        <v>0</v>
      </c>
      <c r="N5211" t="n">
        <v>0</v>
      </c>
      <c r="O5211" t="n">
        <v>0</v>
      </c>
      <c r="P5211" t="n">
        <v>0</v>
      </c>
      <c r="Q5211" t="n">
        <v>0</v>
      </c>
      <c r="R5211" s="2" t="inlineStr"/>
    </row>
    <row r="5212" ht="15" customHeight="1">
      <c r="A5212" t="inlineStr">
        <is>
          <t>A 45521-2025</t>
        </is>
      </c>
      <c r="B5212" s="1" t="n">
        <v>45922.59420138889</v>
      </c>
      <c r="C5212" s="1" t="n">
        <v>46045</v>
      </c>
      <c r="D5212" t="inlineStr">
        <is>
          <t>JÄMTLANDS LÄN</t>
        </is>
      </c>
      <c r="E5212" t="inlineStr">
        <is>
          <t>STRÖMSUND</t>
        </is>
      </c>
      <c r="F5212" t="inlineStr">
        <is>
          <t>SCA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54066-2023</t>
        </is>
      </c>
      <c r="B5213" s="1" t="n">
        <v>45231</v>
      </c>
      <c r="C5213" s="1" t="n">
        <v>46045</v>
      </c>
      <c r="D5213" t="inlineStr">
        <is>
          <t>JÄMTLANDS LÄN</t>
        </is>
      </c>
      <c r="E5213" t="inlineStr">
        <is>
          <t>STRÖMSUND</t>
        </is>
      </c>
      <c r="F5213" t="inlineStr">
        <is>
          <t>SCA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16842-2025</t>
        </is>
      </c>
      <c r="B5214" s="1" t="n">
        <v>45754.67329861111</v>
      </c>
      <c r="C5214" s="1" t="n">
        <v>46045</v>
      </c>
      <c r="D5214" t="inlineStr">
        <is>
          <t>JÄMTLANDS LÄN</t>
        </is>
      </c>
      <c r="E5214" t="inlineStr">
        <is>
          <t>HÄRJEDALEN</t>
        </is>
      </c>
      <c r="G5214" t="n">
        <v>18.6</v>
      </c>
      <c r="H5214" t="n">
        <v>0</v>
      </c>
      <c r="I5214" t="n">
        <v>0</v>
      </c>
      <c r="J5214" t="n">
        <v>0</v>
      </c>
      <c r="K5214" t="n">
        <v>0</v>
      </c>
      <c r="L5214" t="n">
        <v>0</v>
      </c>
      <c r="M5214" t="n">
        <v>0</v>
      </c>
      <c r="N5214" t="n">
        <v>0</v>
      </c>
      <c r="O5214" t="n">
        <v>0</v>
      </c>
      <c r="P5214" t="n">
        <v>0</v>
      </c>
      <c r="Q5214" t="n">
        <v>0</v>
      </c>
      <c r="R5214" s="2" t="inlineStr"/>
    </row>
    <row r="5215" ht="15" customHeight="1">
      <c r="A5215" t="inlineStr">
        <is>
          <t>A 45391-2025</t>
        </is>
      </c>
      <c r="B5215" s="1" t="n">
        <v>45922.4077662037</v>
      </c>
      <c r="C5215" s="1" t="n">
        <v>46045</v>
      </c>
      <c r="D5215" t="inlineStr">
        <is>
          <t>JÄMTLANDS LÄN</t>
        </is>
      </c>
      <c r="E5215" t="inlineStr">
        <is>
          <t>ÖSTERSUND</t>
        </is>
      </c>
      <c r="F5215" t="inlineStr">
        <is>
          <t>SCA</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45389-2025</t>
        </is>
      </c>
      <c r="B5216" s="1" t="n">
        <v>45922.4075</v>
      </c>
      <c r="C5216" s="1" t="n">
        <v>46045</v>
      </c>
      <c r="D5216" t="inlineStr">
        <is>
          <t>JÄMTLANDS LÄN</t>
        </is>
      </c>
      <c r="E5216" t="inlineStr">
        <is>
          <t>ÖSTERSUND</t>
        </is>
      </c>
      <c r="F5216" t="inlineStr">
        <is>
          <t>SCA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46549-2023</t>
        </is>
      </c>
      <c r="B5217" s="1" t="n">
        <v>45197.94171296297</v>
      </c>
      <c r="C5217" s="1" t="n">
        <v>46045</v>
      </c>
      <c r="D5217" t="inlineStr">
        <is>
          <t>JÄMTLANDS LÄN</t>
        </is>
      </c>
      <c r="E5217" t="inlineStr">
        <is>
          <t>RAGUNDA</t>
        </is>
      </c>
      <c r="F5217" t="inlineStr">
        <is>
          <t>SCA</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43123-2023</t>
        </is>
      </c>
      <c r="B5218" s="1" t="n">
        <v>45182</v>
      </c>
      <c r="C5218" s="1" t="n">
        <v>46045</v>
      </c>
      <c r="D5218" t="inlineStr">
        <is>
          <t>JÄMTLANDS LÄN</t>
        </is>
      </c>
      <c r="E5218" t="inlineStr">
        <is>
          <t>BRÄCKE</t>
        </is>
      </c>
      <c r="F5218" t="inlineStr">
        <is>
          <t>Naturvårdsverket</t>
        </is>
      </c>
      <c r="G5218" t="n">
        <v>9.9</v>
      </c>
      <c r="H5218" t="n">
        <v>0</v>
      </c>
      <c r="I5218" t="n">
        <v>0</v>
      </c>
      <c r="J5218" t="n">
        <v>0</v>
      </c>
      <c r="K5218" t="n">
        <v>0</v>
      </c>
      <c r="L5218" t="n">
        <v>0</v>
      </c>
      <c r="M5218" t="n">
        <v>0</v>
      </c>
      <c r="N5218" t="n">
        <v>0</v>
      </c>
      <c r="O5218" t="n">
        <v>0</v>
      </c>
      <c r="P5218" t="n">
        <v>0</v>
      </c>
      <c r="Q5218" t="n">
        <v>0</v>
      </c>
      <c r="R5218" s="2" t="inlineStr"/>
    </row>
    <row r="5219" ht="15" customHeight="1">
      <c r="A5219" t="inlineStr">
        <is>
          <t>A 49727-2023</t>
        </is>
      </c>
      <c r="B5219" s="1" t="n">
        <v>45208</v>
      </c>
      <c r="C5219" s="1" t="n">
        <v>46045</v>
      </c>
      <c r="D5219" t="inlineStr">
        <is>
          <t>JÄMTLANDS LÄN</t>
        </is>
      </c>
      <c r="E5219" t="inlineStr">
        <is>
          <t>BRÄCKE</t>
        </is>
      </c>
      <c r="F5219" t="inlineStr">
        <is>
          <t>SCA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45464-2025</t>
        </is>
      </c>
      <c r="B5220" s="1" t="n">
        <v>45922.4984837963</v>
      </c>
      <c r="C5220" s="1" t="n">
        <v>46045</v>
      </c>
      <c r="D5220" t="inlineStr">
        <is>
          <t>JÄMTLANDS LÄN</t>
        </is>
      </c>
      <c r="E5220" t="inlineStr">
        <is>
          <t>KROKOM</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13782-2025</t>
        </is>
      </c>
      <c r="B5221" s="1" t="n">
        <v>45736</v>
      </c>
      <c r="C5221" s="1" t="n">
        <v>46045</v>
      </c>
      <c r="D5221" t="inlineStr">
        <is>
          <t>JÄMTLANDS LÄN</t>
        </is>
      </c>
      <c r="E5221" t="inlineStr">
        <is>
          <t>STRÖMSUND</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14834-2025</t>
        </is>
      </c>
      <c r="B5222" s="1" t="n">
        <v>45743.38224537037</v>
      </c>
      <c r="C5222" s="1" t="n">
        <v>46045</v>
      </c>
      <c r="D5222" t="inlineStr">
        <is>
          <t>JÄMTLANDS LÄN</t>
        </is>
      </c>
      <c r="E5222" t="inlineStr">
        <is>
          <t>BERG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45562-2025</t>
        </is>
      </c>
      <c r="B5223" s="1" t="n">
        <v>45922.64740740741</v>
      </c>
      <c r="C5223" s="1" t="n">
        <v>46045</v>
      </c>
      <c r="D5223" t="inlineStr">
        <is>
          <t>JÄMTLANDS LÄN</t>
        </is>
      </c>
      <c r="E5223" t="inlineStr">
        <is>
          <t>HÄRJEDALEN</t>
        </is>
      </c>
      <c r="G5223" t="n">
        <v>11.6</v>
      </c>
      <c r="H5223" t="n">
        <v>0</v>
      </c>
      <c r="I5223" t="n">
        <v>0</v>
      </c>
      <c r="J5223" t="n">
        <v>0</v>
      </c>
      <c r="K5223" t="n">
        <v>0</v>
      </c>
      <c r="L5223" t="n">
        <v>0</v>
      </c>
      <c r="M5223" t="n">
        <v>0</v>
      </c>
      <c r="N5223" t="n">
        <v>0</v>
      </c>
      <c r="O5223" t="n">
        <v>0</v>
      </c>
      <c r="P5223" t="n">
        <v>0</v>
      </c>
      <c r="Q5223" t="n">
        <v>0</v>
      </c>
      <c r="R5223" s="2" t="inlineStr"/>
    </row>
    <row r="5224" ht="15" customHeight="1">
      <c r="A5224" t="inlineStr">
        <is>
          <t>A 45570-2025</t>
        </is>
      </c>
      <c r="B5224" s="1" t="n">
        <v>45922.65715277778</v>
      </c>
      <c r="C5224" s="1" t="n">
        <v>46045</v>
      </c>
      <c r="D5224" t="inlineStr">
        <is>
          <t>JÄMTLANDS LÄN</t>
        </is>
      </c>
      <c r="E5224" t="inlineStr">
        <is>
          <t>BERG</t>
        </is>
      </c>
      <c r="F5224" t="inlineStr">
        <is>
          <t>SCA</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45462-2025</t>
        </is>
      </c>
      <c r="B5225" s="1" t="n">
        <v>45922.49604166667</v>
      </c>
      <c r="C5225" s="1" t="n">
        <v>46045</v>
      </c>
      <c r="D5225" t="inlineStr">
        <is>
          <t>JÄMTLANDS LÄN</t>
        </is>
      </c>
      <c r="E5225" t="inlineStr">
        <is>
          <t>KROKOM</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1542-2025</t>
        </is>
      </c>
      <c r="B5226" s="1" t="n">
        <v>45670</v>
      </c>
      <c r="C5226" s="1" t="n">
        <v>46045</v>
      </c>
      <c r="D5226" t="inlineStr">
        <is>
          <t>JÄMTLANDS LÄN</t>
        </is>
      </c>
      <c r="E5226" t="inlineStr">
        <is>
          <t>STRÖMSUND</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1543-2025</t>
        </is>
      </c>
      <c r="B5227" s="1" t="n">
        <v>45670</v>
      </c>
      <c r="C5227" s="1" t="n">
        <v>46045</v>
      </c>
      <c r="D5227" t="inlineStr">
        <is>
          <t>JÄMTLANDS LÄN</t>
        </is>
      </c>
      <c r="E5227" t="inlineStr">
        <is>
          <t>STRÖMSUND</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1544-2025</t>
        </is>
      </c>
      <c r="B5228" s="1" t="n">
        <v>45670</v>
      </c>
      <c r="C5228" s="1" t="n">
        <v>46045</v>
      </c>
      <c r="D5228" t="inlineStr">
        <is>
          <t>JÄMTLANDS LÄN</t>
        </is>
      </c>
      <c r="E5228" t="inlineStr">
        <is>
          <t>STRÖMSUND</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14601-2025</t>
        </is>
      </c>
      <c r="B5229" s="1" t="n">
        <v>45742.36497685185</v>
      </c>
      <c r="C5229" s="1" t="n">
        <v>46045</v>
      </c>
      <c r="D5229" t="inlineStr">
        <is>
          <t>JÄMTLANDS LÄN</t>
        </is>
      </c>
      <c r="E5229" t="inlineStr">
        <is>
          <t>BRÄCKE</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5101-2025</t>
        </is>
      </c>
      <c r="B5230" s="1" t="n">
        <v>45691</v>
      </c>
      <c r="C5230" s="1" t="n">
        <v>46045</v>
      </c>
      <c r="D5230" t="inlineStr">
        <is>
          <t>JÄMTLANDS LÄN</t>
        </is>
      </c>
      <c r="E5230" t="inlineStr">
        <is>
          <t>HÄRJEDALEN</t>
        </is>
      </c>
      <c r="F5230" t="inlineStr">
        <is>
          <t>Holmen skog AB</t>
        </is>
      </c>
      <c r="G5230" t="n">
        <v>33.5</v>
      </c>
      <c r="H5230" t="n">
        <v>0</v>
      </c>
      <c r="I5230" t="n">
        <v>0</v>
      </c>
      <c r="J5230" t="n">
        <v>0</v>
      </c>
      <c r="K5230" t="n">
        <v>0</v>
      </c>
      <c r="L5230" t="n">
        <v>0</v>
      </c>
      <c r="M5230" t="n">
        <v>0</v>
      </c>
      <c r="N5230" t="n">
        <v>0</v>
      </c>
      <c r="O5230" t="n">
        <v>0</v>
      </c>
      <c r="P5230" t="n">
        <v>0</v>
      </c>
      <c r="Q5230" t="n">
        <v>0</v>
      </c>
      <c r="R5230" s="2" t="inlineStr"/>
    </row>
    <row r="5231" ht="15" customHeight="1">
      <c r="A5231" t="inlineStr">
        <is>
          <t>A 1545-2025</t>
        </is>
      </c>
      <c r="B5231" s="1" t="n">
        <v>45670</v>
      </c>
      <c r="C5231" s="1" t="n">
        <v>46045</v>
      </c>
      <c r="D5231" t="inlineStr">
        <is>
          <t>JÄMTLANDS LÄN</t>
        </is>
      </c>
      <c r="E5231" t="inlineStr">
        <is>
          <t>STRÖMSUND</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1547-2025</t>
        </is>
      </c>
      <c r="B5232" s="1" t="n">
        <v>45670</v>
      </c>
      <c r="C5232" s="1" t="n">
        <v>46045</v>
      </c>
      <c r="D5232" t="inlineStr">
        <is>
          <t>JÄMTLANDS LÄN</t>
        </is>
      </c>
      <c r="E5232" t="inlineStr">
        <is>
          <t>STRÖMSUND</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45129-2025</t>
        </is>
      </c>
      <c r="B5233" s="1" t="n">
        <v>45919.43584490741</v>
      </c>
      <c r="C5233" s="1" t="n">
        <v>46045</v>
      </c>
      <c r="D5233" t="inlineStr">
        <is>
          <t>JÄMTLANDS LÄN</t>
        </is>
      </c>
      <c r="E5233" t="inlineStr">
        <is>
          <t>BERG</t>
        </is>
      </c>
      <c r="F5233" t="inlineStr">
        <is>
          <t>Övriga Aktiebolag</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45235-2025</t>
        </is>
      </c>
      <c r="B5234" s="1" t="n">
        <v>45919.59434027778</v>
      </c>
      <c r="C5234" s="1" t="n">
        <v>46045</v>
      </c>
      <c r="D5234" t="inlineStr">
        <is>
          <t>JÄMTLANDS LÄN</t>
        </is>
      </c>
      <c r="E5234" t="inlineStr">
        <is>
          <t>STRÖMSUND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3997-2025</t>
        </is>
      </c>
      <c r="B5235" s="1" t="n">
        <v>45684.56725694444</v>
      </c>
      <c r="C5235" s="1" t="n">
        <v>46045</v>
      </c>
      <c r="D5235" t="inlineStr">
        <is>
          <t>JÄMTLANDS LÄN</t>
        </is>
      </c>
      <c r="E5235" t="inlineStr">
        <is>
          <t>ÖSTERSUND</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45258-2025</t>
        </is>
      </c>
      <c r="B5236" s="1" t="n">
        <v>45919.62483796296</v>
      </c>
      <c r="C5236" s="1" t="n">
        <v>46045</v>
      </c>
      <c r="D5236" t="inlineStr">
        <is>
          <t>JÄMTLANDS LÄN</t>
        </is>
      </c>
      <c r="E5236" t="inlineStr">
        <is>
          <t>STRÖMSUND</t>
        </is>
      </c>
      <c r="G5236" t="n">
        <v>13.7</v>
      </c>
      <c r="H5236" t="n">
        <v>0</v>
      </c>
      <c r="I5236" t="n">
        <v>0</v>
      </c>
      <c r="J5236" t="n">
        <v>0</v>
      </c>
      <c r="K5236" t="n">
        <v>0</v>
      </c>
      <c r="L5236" t="n">
        <v>0</v>
      </c>
      <c r="M5236" t="n">
        <v>0</v>
      </c>
      <c r="N5236" t="n">
        <v>0</v>
      </c>
      <c r="O5236" t="n">
        <v>0</v>
      </c>
      <c r="P5236" t="n">
        <v>0</v>
      </c>
      <c r="Q5236" t="n">
        <v>0</v>
      </c>
      <c r="R5236" s="2" t="inlineStr"/>
    </row>
    <row r="5237" ht="15" customHeight="1">
      <c r="A5237" t="inlineStr">
        <is>
          <t>A 5113-2025</t>
        </is>
      </c>
      <c r="B5237" s="1" t="n">
        <v>45691</v>
      </c>
      <c r="C5237" s="1" t="n">
        <v>46045</v>
      </c>
      <c r="D5237" t="inlineStr">
        <is>
          <t>JÄMTLANDS LÄN</t>
        </is>
      </c>
      <c r="E5237" t="inlineStr">
        <is>
          <t>HÄRJEDALEN</t>
        </is>
      </c>
      <c r="F5237" t="inlineStr">
        <is>
          <t>Holmen skog AB</t>
        </is>
      </c>
      <c r="G5237" t="n">
        <v>25.9</v>
      </c>
      <c r="H5237" t="n">
        <v>0</v>
      </c>
      <c r="I5237" t="n">
        <v>0</v>
      </c>
      <c r="J5237" t="n">
        <v>0</v>
      </c>
      <c r="K5237" t="n">
        <v>0</v>
      </c>
      <c r="L5237" t="n">
        <v>0</v>
      </c>
      <c r="M5237" t="n">
        <v>0</v>
      </c>
      <c r="N5237" t="n">
        <v>0</v>
      </c>
      <c r="O5237" t="n">
        <v>0</v>
      </c>
      <c r="P5237" t="n">
        <v>0</v>
      </c>
      <c r="Q5237" t="n">
        <v>0</v>
      </c>
      <c r="R5237" s="2" t="inlineStr"/>
    </row>
    <row r="5238" ht="15" customHeight="1">
      <c r="A5238" t="inlineStr">
        <is>
          <t>A 44156-2024</t>
        </is>
      </c>
      <c r="B5238" s="1" t="n">
        <v>45572</v>
      </c>
      <c r="C5238" s="1" t="n">
        <v>46045</v>
      </c>
      <c r="D5238" t="inlineStr">
        <is>
          <t>JÄMTLANDS LÄN</t>
        </is>
      </c>
      <c r="E5238" t="inlineStr">
        <is>
          <t>KROKOM</t>
        </is>
      </c>
      <c r="F5238" t="inlineStr">
        <is>
          <t>SCA</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8191-2025</t>
        </is>
      </c>
      <c r="B5239" s="1" t="n">
        <v>45708.40821759259</v>
      </c>
      <c r="C5239" s="1" t="n">
        <v>46045</v>
      </c>
      <c r="D5239" t="inlineStr">
        <is>
          <t>JÄMTLANDS LÄN</t>
        </is>
      </c>
      <c r="E5239" t="inlineStr">
        <is>
          <t>BERG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45150-2025</t>
        </is>
      </c>
      <c r="B5240" s="1" t="n">
        <v>45919.47131944444</v>
      </c>
      <c r="C5240" s="1" t="n">
        <v>46045</v>
      </c>
      <c r="D5240" t="inlineStr">
        <is>
          <t>JÄMTLANDS LÄN</t>
        </is>
      </c>
      <c r="E5240" t="inlineStr">
        <is>
          <t>BERG</t>
        </is>
      </c>
      <c r="F5240" t="inlineStr">
        <is>
          <t>Övriga Aktiebolag</t>
        </is>
      </c>
      <c r="G5240" t="n">
        <v>9.6</v>
      </c>
      <c r="H5240" t="n">
        <v>0</v>
      </c>
      <c r="I5240" t="n">
        <v>0</v>
      </c>
      <c r="J5240" t="n">
        <v>0</v>
      </c>
      <c r="K5240" t="n">
        <v>0</v>
      </c>
      <c r="L5240" t="n">
        <v>0</v>
      </c>
      <c r="M5240" t="n">
        <v>0</v>
      </c>
      <c r="N5240" t="n">
        <v>0</v>
      </c>
      <c r="O5240" t="n">
        <v>0</v>
      </c>
      <c r="P5240" t="n">
        <v>0</v>
      </c>
      <c r="Q5240" t="n">
        <v>0</v>
      </c>
      <c r="R5240" s="2" t="inlineStr"/>
    </row>
    <row r="5241" ht="15" customHeight="1">
      <c r="A5241" t="inlineStr">
        <is>
          <t>A 51315-2024</t>
        </is>
      </c>
      <c r="B5241" s="1" t="n">
        <v>45604.32543981481</v>
      </c>
      <c r="C5241" s="1" t="n">
        <v>46045</v>
      </c>
      <c r="D5241" t="inlineStr">
        <is>
          <t>JÄMTLANDS LÄN</t>
        </is>
      </c>
      <c r="E5241" t="inlineStr">
        <is>
          <t>HÄRJEDALEN</t>
        </is>
      </c>
      <c r="F5241" t="inlineStr">
        <is>
          <t>Holmen skog AB</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55669-2024</t>
        </is>
      </c>
      <c r="B5242" s="1" t="n">
        <v>45622.64627314815</v>
      </c>
      <c r="C5242" s="1" t="n">
        <v>46045</v>
      </c>
      <c r="D5242" t="inlineStr">
        <is>
          <t>JÄMTLANDS LÄN</t>
        </is>
      </c>
      <c r="E5242" t="inlineStr">
        <is>
          <t>HÄRJEDALEN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45614-2025</t>
        </is>
      </c>
      <c r="B5243" s="1" t="n">
        <v>45922.719375</v>
      </c>
      <c r="C5243" s="1" t="n">
        <v>46045</v>
      </c>
      <c r="D5243" t="inlineStr">
        <is>
          <t>JÄMTLANDS LÄN</t>
        </is>
      </c>
      <c r="E5243" t="inlineStr">
        <is>
          <t>ÅRE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45270-2025</t>
        </is>
      </c>
      <c r="B5244" s="1" t="n">
        <v>45919.68295138889</v>
      </c>
      <c r="C5244" s="1" t="n">
        <v>46045</v>
      </c>
      <c r="D5244" t="inlineStr">
        <is>
          <t>JÄMTLANDS LÄN</t>
        </is>
      </c>
      <c r="E5244" t="inlineStr">
        <is>
          <t>STRÖMSUND</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45577-2023</t>
        </is>
      </c>
      <c r="B5245" s="1" t="n">
        <v>45194</v>
      </c>
      <c r="C5245" s="1" t="n">
        <v>46045</v>
      </c>
      <c r="D5245" t="inlineStr">
        <is>
          <t>JÄMTLANDS LÄN</t>
        </is>
      </c>
      <c r="E5245" t="inlineStr">
        <is>
          <t>BRÄCKE</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41825-2024</t>
        </is>
      </c>
      <c r="B5246" s="1" t="n">
        <v>45561.39943287037</v>
      </c>
      <c r="C5246" s="1" t="n">
        <v>46045</v>
      </c>
      <c r="D5246" t="inlineStr">
        <is>
          <t>JÄMTLANDS LÄN</t>
        </is>
      </c>
      <c r="E5246" t="inlineStr">
        <is>
          <t>BRÄCKE</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14266-2025</t>
        </is>
      </c>
      <c r="B5247" s="1" t="n">
        <v>45740.63572916666</v>
      </c>
      <c r="C5247" s="1" t="n">
        <v>46045</v>
      </c>
      <c r="D5247" t="inlineStr">
        <is>
          <t>JÄMTLANDS LÄN</t>
        </is>
      </c>
      <c r="E5247" t="inlineStr">
        <is>
          <t>BRÄCKE</t>
        </is>
      </c>
      <c r="F5247" t="inlineStr">
        <is>
          <t>SCA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45254-2025</t>
        </is>
      </c>
      <c r="B5248" s="1" t="n">
        <v>45919.61523148148</v>
      </c>
      <c r="C5248" s="1" t="n">
        <v>46045</v>
      </c>
      <c r="D5248" t="inlineStr">
        <is>
          <t>JÄMTLANDS LÄN</t>
        </is>
      </c>
      <c r="E5248" t="inlineStr">
        <is>
          <t>BERG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38093-2024</t>
        </is>
      </c>
      <c r="B5249" s="1" t="n">
        <v>45545.34461805555</v>
      </c>
      <c r="C5249" s="1" t="n">
        <v>46045</v>
      </c>
      <c r="D5249" t="inlineStr">
        <is>
          <t>JÄMTLANDS LÄN</t>
        </is>
      </c>
      <c r="E5249" t="inlineStr">
        <is>
          <t>STRÖMSUND</t>
        </is>
      </c>
      <c r="F5249" t="inlineStr">
        <is>
          <t>SCA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3248-2025</t>
        </is>
      </c>
      <c r="B5250" s="1" t="n">
        <v>45679.53173611111</v>
      </c>
      <c r="C5250" s="1" t="n">
        <v>46045</v>
      </c>
      <c r="D5250" t="inlineStr">
        <is>
          <t>JÄMTLANDS LÄN</t>
        </is>
      </c>
      <c r="E5250" t="inlineStr">
        <is>
          <t>BRÄCKE</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14798-2023</t>
        </is>
      </c>
      <c r="B5251" s="1" t="n">
        <v>45014.61738425926</v>
      </c>
      <c r="C5251" s="1" t="n">
        <v>46045</v>
      </c>
      <c r="D5251" t="inlineStr">
        <is>
          <t>JÄMTLANDS LÄN</t>
        </is>
      </c>
      <c r="E5251" t="inlineStr">
        <is>
          <t>BRÄCKE</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45279-2025</t>
        </is>
      </c>
      <c r="B5252" s="1" t="n">
        <v>45919.71912037037</v>
      </c>
      <c r="C5252" s="1" t="n">
        <v>46045</v>
      </c>
      <c r="D5252" t="inlineStr">
        <is>
          <t>JÄMTLANDS LÄN</t>
        </is>
      </c>
      <c r="E5252" t="inlineStr">
        <is>
          <t>RAGUNDA</t>
        </is>
      </c>
      <c r="F5252" t="inlineStr">
        <is>
          <t>SCA</t>
        </is>
      </c>
      <c r="G5252" t="n">
        <v>11.5</v>
      </c>
      <c r="H5252" t="n">
        <v>0</v>
      </c>
      <c r="I5252" t="n">
        <v>0</v>
      </c>
      <c r="J5252" t="n">
        <v>0</v>
      </c>
      <c r="K5252" t="n">
        <v>0</v>
      </c>
      <c r="L5252" t="n">
        <v>0</v>
      </c>
      <c r="M5252" t="n">
        <v>0</v>
      </c>
      <c r="N5252" t="n">
        <v>0</v>
      </c>
      <c r="O5252" t="n">
        <v>0</v>
      </c>
      <c r="P5252" t="n">
        <v>0</v>
      </c>
      <c r="Q5252" t="n">
        <v>0</v>
      </c>
      <c r="R5252" s="2" t="inlineStr"/>
    </row>
    <row r="5253" ht="15" customHeight="1">
      <c r="A5253" t="inlineStr">
        <is>
          <t>A 45522-2025</t>
        </is>
      </c>
      <c r="B5253" s="1" t="n">
        <v>45922.59444444445</v>
      </c>
      <c r="C5253" s="1" t="n">
        <v>46045</v>
      </c>
      <c r="D5253" t="inlineStr">
        <is>
          <t>JÄMTLANDS LÄN</t>
        </is>
      </c>
      <c r="E5253" t="inlineStr">
        <is>
          <t>STRÖMSUND</t>
        </is>
      </c>
      <c r="F5253" t="inlineStr">
        <is>
          <t>SCA</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4915-2025</t>
        </is>
      </c>
      <c r="B5254" s="1" t="n">
        <v>45688.68184027778</v>
      </c>
      <c r="C5254" s="1" t="n">
        <v>46045</v>
      </c>
      <c r="D5254" t="inlineStr">
        <is>
          <t>JÄMTLANDS LÄN</t>
        </is>
      </c>
      <c r="E5254" t="inlineStr">
        <is>
          <t>BRÄCKE</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54216-2025</t>
        </is>
      </c>
      <c r="B5255" s="1" t="n">
        <v>45964.59493055556</v>
      </c>
      <c r="C5255" s="1" t="n">
        <v>46045</v>
      </c>
      <c r="D5255" t="inlineStr">
        <is>
          <t>JÄMTLANDS LÄN</t>
        </is>
      </c>
      <c r="E5255" t="inlineStr">
        <is>
          <t>STRÖMSUND</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45600-2025</t>
        </is>
      </c>
      <c r="B5256" s="1" t="n">
        <v>45922.68890046296</v>
      </c>
      <c r="C5256" s="1" t="n">
        <v>46045</v>
      </c>
      <c r="D5256" t="inlineStr">
        <is>
          <t>JÄMTLANDS LÄN</t>
        </is>
      </c>
      <c r="E5256" t="inlineStr">
        <is>
          <t>STRÖMSUND</t>
        </is>
      </c>
      <c r="G5256" t="n">
        <v>33.4</v>
      </c>
      <c r="H5256" t="n">
        <v>0</v>
      </c>
      <c r="I5256" t="n">
        <v>0</v>
      </c>
      <c r="J5256" t="n">
        <v>0</v>
      </c>
      <c r="K5256" t="n">
        <v>0</v>
      </c>
      <c r="L5256" t="n">
        <v>0</v>
      </c>
      <c r="M5256" t="n">
        <v>0</v>
      </c>
      <c r="N5256" t="n">
        <v>0</v>
      </c>
      <c r="O5256" t="n">
        <v>0</v>
      </c>
      <c r="P5256" t="n">
        <v>0</v>
      </c>
      <c r="Q5256" t="n">
        <v>0</v>
      </c>
      <c r="R5256" s="2" t="inlineStr"/>
    </row>
    <row r="5257" ht="15" customHeight="1">
      <c r="A5257" t="inlineStr">
        <is>
          <t>A 45455-2025</t>
        </is>
      </c>
      <c r="B5257" s="1" t="n">
        <v>45922.49034722222</v>
      </c>
      <c r="C5257" s="1" t="n">
        <v>46045</v>
      </c>
      <c r="D5257" t="inlineStr">
        <is>
          <t>JÄMTLANDS LÄN</t>
        </is>
      </c>
      <c r="E5257" t="inlineStr">
        <is>
          <t>HÄRJEDALEN</t>
        </is>
      </c>
      <c r="F5257" t="inlineStr">
        <is>
          <t>Sveaskog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19615-2025</t>
        </is>
      </c>
      <c r="B5258" s="1" t="n">
        <v>45770.61519675926</v>
      </c>
      <c r="C5258" s="1" t="n">
        <v>46045</v>
      </c>
      <c r="D5258" t="inlineStr">
        <is>
          <t>JÄMTLANDS LÄN</t>
        </is>
      </c>
      <c r="E5258" t="inlineStr">
        <is>
          <t>BRÄCKE</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45558-2025</t>
        </is>
      </c>
      <c r="B5259" s="1" t="n">
        <v>45922</v>
      </c>
      <c r="C5259" s="1" t="n">
        <v>46045</v>
      </c>
      <c r="D5259" t="inlineStr">
        <is>
          <t>JÄMTLANDS LÄN</t>
        </is>
      </c>
      <c r="E5259" t="inlineStr">
        <is>
          <t>ÖSTERSUND</t>
        </is>
      </c>
      <c r="F5259" t="inlineStr">
        <is>
          <t>SCA</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19761-2025</t>
        </is>
      </c>
      <c r="B5260" s="1" t="n">
        <v>45771.40674768519</v>
      </c>
      <c r="C5260" s="1" t="n">
        <v>46045</v>
      </c>
      <c r="D5260" t="inlineStr">
        <is>
          <t>JÄMTLANDS LÄN</t>
        </is>
      </c>
      <c r="E5260" t="inlineStr">
        <is>
          <t>STRÖMSUND</t>
        </is>
      </c>
      <c r="F5260" t="inlineStr">
        <is>
          <t>SCA</t>
        </is>
      </c>
      <c r="G5260" t="n">
        <v>7.8</v>
      </c>
      <c r="H5260" t="n">
        <v>0</v>
      </c>
      <c r="I5260" t="n">
        <v>0</v>
      </c>
      <c r="J5260" t="n">
        <v>0</v>
      </c>
      <c r="K5260" t="n">
        <v>0</v>
      </c>
      <c r="L5260" t="n">
        <v>0</v>
      </c>
      <c r="M5260" t="n">
        <v>0</v>
      </c>
      <c r="N5260" t="n">
        <v>0</v>
      </c>
      <c r="O5260" t="n">
        <v>0</v>
      </c>
      <c r="P5260" t="n">
        <v>0</v>
      </c>
      <c r="Q5260" t="n">
        <v>0</v>
      </c>
      <c r="R5260" s="2" t="inlineStr"/>
    </row>
    <row r="5261" ht="15" customHeight="1">
      <c r="A5261" t="inlineStr">
        <is>
          <t>A 12177-2025</t>
        </is>
      </c>
      <c r="B5261" s="1" t="n">
        <v>45729.45119212963</v>
      </c>
      <c r="C5261" s="1" t="n">
        <v>46045</v>
      </c>
      <c r="D5261" t="inlineStr">
        <is>
          <t>JÄMTLANDS LÄN</t>
        </is>
      </c>
      <c r="E5261" t="inlineStr">
        <is>
          <t>ÅRE</t>
        </is>
      </c>
      <c r="F5261" t="inlineStr">
        <is>
          <t>Övriga Aktiebolag</t>
        </is>
      </c>
      <c r="G5261" t="n">
        <v>13.2</v>
      </c>
      <c r="H5261" t="n">
        <v>0</v>
      </c>
      <c r="I5261" t="n">
        <v>0</v>
      </c>
      <c r="J5261" t="n">
        <v>0</v>
      </c>
      <c r="K5261" t="n">
        <v>0</v>
      </c>
      <c r="L5261" t="n">
        <v>0</v>
      </c>
      <c r="M5261" t="n">
        <v>0</v>
      </c>
      <c r="N5261" t="n">
        <v>0</v>
      </c>
      <c r="O5261" t="n">
        <v>0</v>
      </c>
      <c r="P5261" t="n">
        <v>0</v>
      </c>
      <c r="Q5261" t="n">
        <v>0</v>
      </c>
      <c r="R5261" s="2" t="inlineStr"/>
    </row>
    <row r="5262" ht="15" customHeight="1">
      <c r="A5262" t="inlineStr">
        <is>
          <t>A 45249-2025</t>
        </is>
      </c>
      <c r="B5262" s="1" t="n">
        <v>45919.61225694444</v>
      </c>
      <c r="C5262" s="1" t="n">
        <v>46045</v>
      </c>
      <c r="D5262" t="inlineStr">
        <is>
          <t>JÄMTLANDS LÄN</t>
        </is>
      </c>
      <c r="E5262" t="inlineStr">
        <is>
          <t>BERG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45253-2025</t>
        </is>
      </c>
      <c r="B5263" s="1" t="n">
        <v>45919.61512731481</v>
      </c>
      <c r="C5263" s="1" t="n">
        <v>46045</v>
      </c>
      <c r="D5263" t="inlineStr">
        <is>
          <t>JÄMTLANDS LÄN</t>
        </is>
      </c>
      <c r="E5263" t="inlineStr">
        <is>
          <t>KROKOM</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4575-2025</t>
        </is>
      </c>
      <c r="B5264" s="1" t="n">
        <v>45687.48931712963</v>
      </c>
      <c r="C5264" s="1" t="n">
        <v>46045</v>
      </c>
      <c r="D5264" t="inlineStr">
        <is>
          <t>JÄMTLANDS LÄN</t>
        </is>
      </c>
      <c r="E5264" t="inlineStr">
        <is>
          <t>KROKOM</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45297-2025</t>
        </is>
      </c>
      <c r="B5265" s="1" t="n">
        <v>45920.8446412037</v>
      </c>
      <c r="C5265" s="1" t="n">
        <v>46045</v>
      </c>
      <c r="D5265" t="inlineStr">
        <is>
          <t>JÄMTLANDS LÄN</t>
        </is>
      </c>
      <c r="E5265" t="inlineStr">
        <is>
          <t>ÖSTERSUND</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4590-2025</t>
        </is>
      </c>
      <c r="B5266" s="1" t="n">
        <v>45687.53689814815</v>
      </c>
      <c r="C5266" s="1" t="n">
        <v>46045</v>
      </c>
      <c r="D5266" t="inlineStr">
        <is>
          <t>JÄMTLANDS LÄN</t>
        </is>
      </c>
      <c r="E5266" t="inlineStr">
        <is>
          <t>HÄRJEDALEN</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42774-2024</t>
        </is>
      </c>
      <c r="B5267" s="1" t="n">
        <v>45566.51501157408</v>
      </c>
      <c r="C5267" s="1" t="n">
        <v>46045</v>
      </c>
      <c r="D5267" t="inlineStr">
        <is>
          <t>JÄMTLANDS LÄN</t>
        </is>
      </c>
      <c r="E5267" t="inlineStr">
        <is>
          <t>KROKOM</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45457-2025</t>
        </is>
      </c>
      <c r="B5268" s="1" t="n">
        <v>45922.49168981481</v>
      </c>
      <c r="C5268" s="1" t="n">
        <v>46045</v>
      </c>
      <c r="D5268" t="inlineStr">
        <is>
          <t>JÄMTLANDS LÄN</t>
        </is>
      </c>
      <c r="E5268" t="inlineStr">
        <is>
          <t>HÄRJEDALEN</t>
        </is>
      </c>
      <c r="F5268" t="inlineStr">
        <is>
          <t>Bergvik skog väst AB</t>
        </is>
      </c>
      <c r="G5268" t="n">
        <v>45.8</v>
      </c>
      <c r="H5268" t="n">
        <v>0</v>
      </c>
      <c r="I5268" t="n">
        <v>0</v>
      </c>
      <c r="J5268" t="n">
        <v>0</v>
      </c>
      <c r="K5268" t="n">
        <v>0</v>
      </c>
      <c r="L5268" t="n">
        <v>0</v>
      </c>
      <c r="M5268" t="n">
        <v>0</v>
      </c>
      <c r="N5268" t="n">
        <v>0</v>
      </c>
      <c r="O5268" t="n">
        <v>0</v>
      </c>
      <c r="P5268" t="n">
        <v>0</v>
      </c>
      <c r="Q5268" t="n">
        <v>0</v>
      </c>
      <c r="R5268" s="2" t="inlineStr"/>
    </row>
    <row r="5269" ht="15" customHeight="1">
      <c r="A5269" t="inlineStr">
        <is>
          <t>A 5930-2025</t>
        </is>
      </c>
      <c r="B5269" s="1" t="n">
        <v>45695.44724537037</v>
      </c>
      <c r="C5269" s="1" t="n">
        <v>46045</v>
      </c>
      <c r="D5269" t="inlineStr">
        <is>
          <t>JÄMTLANDS LÄN</t>
        </is>
      </c>
      <c r="E5269" t="inlineStr">
        <is>
          <t>RAGUNDA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45605-2025</t>
        </is>
      </c>
      <c r="B5270" s="1" t="n">
        <v>45922.69826388889</v>
      </c>
      <c r="C5270" s="1" t="n">
        <v>46045</v>
      </c>
      <c r="D5270" t="inlineStr">
        <is>
          <t>JÄMTLANDS LÄN</t>
        </is>
      </c>
      <c r="E5270" t="inlineStr">
        <is>
          <t>ÅRE</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45089-2025</t>
        </is>
      </c>
      <c r="B5271" s="1" t="n">
        <v>45919.37613425926</v>
      </c>
      <c r="C5271" s="1" t="n">
        <v>46045</v>
      </c>
      <c r="D5271" t="inlineStr">
        <is>
          <t>JÄMTLANDS LÄN</t>
        </is>
      </c>
      <c r="E5271" t="inlineStr">
        <is>
          <t>STRÖMSUND</t>
        </is>
      </c>
      <c r="F5271" t="inlineStr">
        <is>
          <t>Holmen skog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43889-2024</t>
        </is>
      </c>
      <c r="B5272" s="1" t="n">
        <v>45572.40922453703</v>
      </c>
      <c r="C5272" s="1" t="n">
        <v>46045</v>
      </c>
      <c r="D5272" t="inlineStr">
        <is>
          <t>JÄMTLANDS LÄN</t>
        </is>
      </c>
      <c r="E5272" t="inlineStr">
        <is>
          <t>STRÖMSUND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45109-2025</t>
        </is>
      </c>
      <c r="B5273" s="1" t="n">
        <v>45919.41850694444</v>
      </c>
      <c r="C5273" s="1" t="n">
        <v>46045</v>
      </c>
      <c r="D5273" t="inlineStr">
        <is>
          <t>JÄMTLANDS LÄN</t>
        </is>
      </c>
      <c r="E5273" t="inlineStr">
        <is>
          <t>BERG</t>
        </is>
      </c>
      <c r="F5273" t="inlineStr">
        <is>
          <t>Övriga Aktiebolag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45100-2025</t>
        </is>
      </c>
      <c r="B5274" s="1" t="n">
        <v>45919</v>
      </c>
      <c r="C5274" s="1" t="n">
        <v>46045</v>
      </c>
      <c r="D5274" t="inlineStr">
        <is>
          <t>JÄMTLANDS LÄN</t>
        </is>
      </c>
      <c r="E5274" t="inlineStr">
        <is>
          <t>HÄRJEDALEN</t>
        </is>
      </c>
      <c r="F5274" t="inlineStr">
        <is>
          <t>Bergvik skog väst AB</t>
        </is>
      </c>
      <c r="G5274" t="n">
        <v>22.4</v>
      </c>
      <c r="H5274" t="n">
        <v>0</v>
      </c>
      <c r="I5274" t="n">
        <v>0</v>
      </c>
      <c r="J5274" t="n">
        <v>0</v>
      </c>
      <c r="K5274" t="n">
        <v>0</v>
      </c>
      <c r="L5274" t="n">
        <v>0</v>
      </c>
      <c r="M5274" t="n">
        <v>0</v>
      </c>
      <c r="N5274" t="n">
        <v>0</v>
      </c>
      <c r="O5274" t="n">
        <v>0</v>
      </c>
      <c r="P5274" t="n">
        <v>0</v>
      </c>
      <c r="Q5274" t="n">
        <v>0</v>
      </c>
      <c r="R5274" s="2" t="inlineStr"/>
    </row>
    <row r="5275" ht="15" customHeight="1">
      <c r="A5275" t="inlineStr">
        <is>
          <t>A 55942-2024</t>
        </is>
      </c>
      <c r="B5275" s="1" t="n">
        <v>45623.61278935185</v>
      </c>
      <c r="C5275" s="1" t="n">
        <v>46045</v>
      </c>
      <c r="D5275" t="inlineStr">
        <is>
          <t>JÄMTLANDS LÄN</t>
        </is>
      </c>
      <c r="E5275" t="inlineStr">
        <is>
          <t>STRÖMSUND</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5219-2022</t>
        </is>
      </c>
      <c r="B5276" s="1" t="n">
        <v>44594.48569444445</v>
      </c>
      <c r="C5276" s="1" t="n">
        <v>46045</v>
      </c>
      <c r="D5276" t="inlineStr">
        <is>
          <t>JÄMTLANDS LÄN</t>
        </is>
      </c>
      <c r="E5276" t="inlineStr">
        <is>
          <t>BERG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54231-2025</t>
        </is>
      </c>
      <c r="B5277" s="1" t="n">
        <v>45964.61983796296</v>
      </c>
      <c r="C5277" s="1" t="n">
        <v>46045</v>
      </c>
      <c r="D5277" t="inlineStr">
        <is>
          <t>JÄMTLANDS LÄN</t>
        </is>
      </c>
      <c r="E5277" t="inlineStr">
        <is>
          <t>STRÖMSUND</t>
        </is>
      </c>
      <c r="F5277" t="inlineStr">
        <is>
          <t>SCA</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51188-2024</t>
        </is>
      </c>
      <c r="B5278" s="1" t="n">
        <v>45603</v>
      </c>
      <c r="C5278" s="1" t="n">
        <v>46045</v>
      </c>
      <c r="D5278" t="inlineStr">
        <is>
          <t>JÄMTLANDS LÄN</t>
        </is>
      </c>
      <c r="E5278" t="inlineStr">
        <is>
          <t>HÄRJEDALEN</t>
        </is>
      </c>
      <c r="F5278" t="inlineStr">
        <is>
          <t>Holmen skog AB</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45568-2025</t>
        </is>
      </c>
      <c r="B5279" s="1" t="n">
        <v>45922.65672453704</v>
      </c>
      <c r="C5279" s="1" t="n">
        <v>46045</v>
      </c>
      <c r="D5279" t="inlineStr">
        <is>
          <t>JÄMTLANDS LÄN</t>
        </is>
      </c>
      <c r="E5279" t="inlineStr">
        <is>
          <t>BERG</t>
        </is>
      </c>
      <c r="F5279" t="inlineStr">
        <is>
          <t>SCA</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45386-2025</t>
        </is>
      </c>
      <c r="B5280" s="1" t="n">
        <v>45922.40697916667</v>
      </c>
      <c r="C5280" s="1" t="n">
        <v>46045</v>
      </c>
      <c r="D5280" t="inlineStr">
        <is>
          <t>JÄMTLANDS LÄN</t>
        </is>
      </c>
      <c r="E5280" t="inlineStr">
        <is>
          <t>ÖSTERSUND</t>
        </is>
      </c>
      <c r="F5280" t="inlineStr">
        <is>
          <t>SCA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45388-2025</t>
        </is>
      </c>
      <c r="B5281" s="1" t="n">
        <v>45922.4074537037</v>
      </c>
      <c r="C5281" s="1" t="n">
        <v>46045</v>
      </c>
      <c r="D5281" t="inlineStr">
        <is>
          <t>JÄMTLANDS LÄN</t>
        </is>
      </c>
      <c r="E5281" t="inlineStr">
        <is>
          <t>ÖSTERSUND</t>
        </is>
      </c>
      <c r="F5281" t="inlineStr">
        <is>
          <t>SCA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45390-2025</t>
        </is>
      </c>
      <c r="B5282" s="1" t="n">
        <v>45922.40762731482</v>
      </c>
      <c r="C5282" s="1" t="n">
        <v>46045</v>
      </c>
      <c r="D5282" t="inlineStr">
        <is>
          <t>JÄMTLANDS LÄN</t>
        </is>
      </c>
      <c r="E5282" t="inlineStr">
        <is>
          <t>BERG</t>
        </is>
      </c>
      <c r="F5282" t="inlineStr">
        <is>
          <t>SCA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45385-2025</t>
        </is>
      </c>
      <c r="B5283" s="1" t="n">
        <v>45922.40680555555</v>
      </c>
      <c r="C5283" s="1" t="n">
        <v>46045</v>
      </c>
      <c r="D5283" t="inlineStr">
        <is>
          <t>JÄMTLANDS LÄN</t>
        </is>
      </c>
      <c r="E5283" t="inlineStr">
        <is>
          <t>ÖSTERSUND</t>
        </is>
      </c>
      <c r="F5283" t="inlineStr">
        <is>
          <t>SCA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45179-2025</t>
        </is>
      </c>
      <c r="B5284" s="1" t="n">
        <v>45919.52993055555</v>
      </c>
      <c r="C5284" s="1" t="n">
        <v>46045</v>
      </c>
      <c r="D5284" t="inlineStr">
        <is>
          <t>JÄMTLANDS LÄN</t>
        </is>
      </c>
      <c r="E5284" t="inlineStr">
        <is>
          <t>HÄRJEDALEN</t>
        </is>
      </c>
      <c r="F5284" t="inlineStr">
        <is>
          <t>Bergvik skog väst AB</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19677-2024</t>
        </is>
      </c>
      <c r="B5285" s="1" t="n">
        <v>45432</v>
      </c>
      <c r="C5285" s="1" t="n">
        <v>46045</v>
      </c>
      <c r="D5285" t="inlineStr">
        <is>
          <t>JÄMTLANDS LÄN</t>
        </is>
      </c>
      <c r="E5285" t="inlineStr">
        <is>
          <t>HÄRJEDALEN</t>
        </is>
      </c>
      <c r="F5285" t="inlineStr">
        <is>
          <t>Bergvik skog väst AB</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4246-2025</t>
        </is>
      </c>
      <c r="B5286" s="1" t="n">
        <v>45685.59083333334</v>
      </c>
      <c r="C5286" s="1" t="n">
        <v>46045</v>
      </c>
      <c r="D5286" t="inlineStr">
        <is>
          <t>JÄMTLANDS LÄN</t>
        </is>
      </c>
      <c r="E5286" t="inlineStr">
        <is>
          <t>BERG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10532-2022</t>
        </is>
      </c>
      <c r="B5287" s="1" t="n">
        <v>44623</v>
      </c>
      <c r="C5287" s="1" t="n">
        <v>46045</v>
      </c>
      <c r="D5287" t="inlineStr">
        <is>
          <t>JÄMTLANDS LÄN</t>
        </is>
      </c>
      <c r="E5287" t="inlineStr">
        <is>
          <t>BRÄCKE</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57473-2024</t>
        </is>
      </c>
      <c r="B5288" s="1" t="n">
        <v>45630.34438657408</v>
      </c>
      <c r="C5288" s="1" t="n">
        <v>46045</v>
      </c>
      <c r="D5288" t="inlineStr">
        <is>
          <t>JÄMTLANDS LÄN</t>
        </is>
      </c>
      <c r="E5288" t="inlineStr">
        <is>
          <t>BRÄCKE</t>
        </is>
      </c>
      <c r="F5288" t="inlineStr">
        <is>
          <t>SCA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45459-2025</t>
        </is>
      </c>
      <c r="B5289" s="1" t="n">
        <v>45922.49230324074</v>
      </c>
      <c r="C5289" s="1" t="n">
        <v>46045</v>
      </c>
      <c r="D5289" t="inlineStr">
        <is>
          <t>JÄMTLANDS LÄN</t>
        </is>
      </c>
      <c r="E5289" t="inlineStr">
        <is>
          <t>BERG</t>
        </is>
      </c>
      <c r="F5289" t="inlineStr">
        <is>
          <t>Kyrkan</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45481-2025</t>
        </is>
      </c>
      <c r="B5290" s="1" t="n">
        <v>45922.53217592592</v>
      </c>
      <c r="C5290" s="1" t="n">
        <v>46045</v>
      </c>
      <c r="D5290" t="inlineStr">
        <is>
          <t>JÄMTLANDS LÄN</t>
        </is>
      </c>
      <c r="E5290" t="inlineStr">
        <is>
          <t>ÖSTERSUND</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7731-2021</t>
        </is>
      </c>
      <c r="B5291" s="1" t="n">
        <v>44242</v>
      </c>
      <c r="C5291" s="1" t="n">
        <v>46045</v>
      </c>
      <c r="D5291" t="inlineStr">
        <is>
          <t>JÄMTLANDS LÄN</t>
        </is>
      </c>
      <c r="E5291" t="inlineStr">
        <is>
          <t>HÄRJEDALEN</t>
        </is>
      </c>
      <c r="G5291" t="n">
        <v>13.6</v>
      </c>
      <c r="H5291" t="n">
        <v>0</v>
      </c>
      <c r="I5291" t="n">
        <v>0</v>
      </c>
      <c r="J5291" t="n">
        <v>0</v>
      </c>
      <c r="K5291" t="n">
        <v>0</v>
      </c>
      <c r="L5291" t="n">
        <v>0</v>
      </c>
      <c r="M5291" t="n">
        <v>0</v>
      </c>
      <c r="N5291" t="n">
        <v>0</v>
      </c>
      <c r="O5291" t="n">
        <v>0</v>
      </c>
      <c r="P5291" t="n">
        <v>0</v>
      </c>
      <c r="Q5291" t="n">
        <v>0</v>
      </c>
      <c r="R5291" s="2" t="inlineStr"/>
    </row>
    <row r="5292" ht="15" customHeight="1">
      <c r="A5292" t="inlineStr">
        <is>
          <t>A 1952-2023</t>
        </is>
      </c>
      <c r="B5292" s="1" t="n">
        <v>44938</v>
      </c>
      <c r="C5292" s="1" t="n">
        <v>46045</v>
      </c>
      <c r="D5292" t="inlineStr">
        <is>
          <t>JÄMTLANDS LÄN</t>
        </is>
      </c>
      <c r="E5292" t="inlineStr">
        <is>
          <t>STRÖMSUND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17469-2024</t>
        </is>
      </c>
      <c r="B5293" s="1" t="n">
        <v>45415.45006944444</v>
      </c>
      <c r="C5293" s="1" t="n">
        <v>46045</v>
      </c>
      <c r="D5293" t="inlineStr">
        <is>
          <t>JÄMTLANDS LÄN</t>
        </is>
      </c>
      <c r="E5293" t="inlineStr">
        <is>
          <t>KROKOM</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47674-2024</t>
        </is>
      </c>
      <c r="B5294" s="1" t="n">
        <v>45588.40413194444</v>
      </c>
      <c r="C5294" s="1" t="n">
        <v>46045</v>
      </c>
      <c r="D5294" t="inlineStr">
        <is>
          <t>JÄMTLANDS LÄN</t>
        </is>
      </c>
      <c r="E5294" t="inlineStr">
        <is>
          <t>BERG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1954-2023</t>
        </is>
      </c>
      <c r="B5295" s="1" t="n">
        <v>44939.45376157408</v>
      </c>
      <c r="C5295" s="1" t="n">
        <v>46045</v>
      </c>
      <c r="D5295" t="inlineStr">
        <is>
          <t>JÄMTLANDS LÄN</t>
        </is>
      </c>
      <c r="E5295" t="inlineStr">
        <is>
          <t>HÄRJEDALEN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51416-2024</t>
        </is>
      </c>
      <c r="B5296" s="1" t="n">
        <v>45604.44829861111</v>
      </c>
      <c r="C5296" s="1" t="n">
        <v>46045</v>
      </c>
      <c r="D5296" t="inlineStr">
        <is>
          <t>JÄMTLANDS LÄN</t>
        </is>
      </c>
      <c r="E5296" t="inlineStr">
        <is>
          <t>BRÄCKE</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38280-2024</t>
        </is>
      </c>
      <c r="B5297" s="1" t="n">
        <v>45545.61516203704</v>
      </c>
      <c r="C5297" s="1" t="n">
        <v>46045</v>
      </c>
      <c r="D5297" t="inlineStr">
        <is>
          <t>JÄMTLANDS LÄN</t>
        </is>
      </c>
      <c r="E5297" t="inlineStr">
        <is>
          <t>STRÖMSUND</t>
        </is>
      </c>
      <c r="F5297" t="inlineStr">
        <is>
          <t>SCA</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54225-2025</t>
        </is>
      </c>
      <c r="B5298" s="1" t="n">
        <v>45964.60839120371</v>
      </c>
      <c r="C5298" s="1" t="n">
        <v>46045</v>
      </c>
      <c r="D5298" t="inlineStr">
        <is>
          <t>JÄMTLANDS LÄN</t>
        </is>
      </c>
      <c r="E5298" t="inlineStr">
        <is>
          <t>ÅRE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45081-2025</t>
        </is>
      </c>
      <c r="B5299" s="1" t="n">
        <v>45919.36574074074</v>
      </c>
      <c r="C5299" s="1" t="n">
        <v>46045</v>
      </c>
      <c r="D5299" t="inlineStr">
        <is>
          <t>JÄMTLANDS LÄN</t>
        </is>
      </c>
      <c r="E5299" t="inlineStr">
        <is>
          <t>BRÄCKE</t>
        </is>
      </c>
      <c r="F5299" t="inlineStr">
        <is>
          <t>SCA</t>
        </is>
      </c>
      <c r="G5299" t="n">
        <v>5.8</v>
      </c>
      <c r="H5299" t="n">
        <v>0</v>
      </c>
      <c r="I5299" t="n">
        <v>0</v>
      </c>
      <c r="J5299" t="n">
        <v>0</v>
      </c>
      <c r="K5299" t="n">
        <v>0</v>
      </c>
      <c r="L5299" t="n">
        <v>0</v>
      </c>
      <c r="M5299" t="n">
        <v>0</v>
      </c>
      <c r="N5299" t="n">
        <v>0</v>
      </c>
      <c r="O5299" t="n">
        <v>0</v>
      </c>
      <c r="P5299" t="n">
        <v>0</v>
      </c>
      <c r="Q5299" t="n">
        <v>0</v>
      </c>
      <c r="R5299" s="2" t="inlineStr"/>
    </row>
    <row r="5300" ht="15" customHeight="1">
      <c r="A5300" t="inlineStr">
        <is>
          <t>A 45171-2025</t>
        </is>
      </c>
      <c r="B5300" s="1" t="n">
        <v>45919.50256944444</v>
      </c>
      <c r="C5300" s="1" t="n">
        <v>46045</v>
      </c>
      <c r="D5300" t="inlineStr">
        <is>
          <t>JÄMTLANDS LÄN</t>
        </is>
      </c>
      <c r="E5300" t="inlineStr">
        <is>
          <t>BERG</t>
        </is>
      </c>
      <c r="F5300" t="inlineStr">
        <is>
          <t>Övriga Aktiebolag</t>
        </is>
      </c>
      <c r="G5300" t="n">
        <v>10.7</v>
      </c>
      <c r="H5300" t="n">
        <v>0</v>
      </c>
      <c r="I5300" t="n">
        <v>0</v>
      </c>
      <c r="J5300" t="n">
        <v>0</v>
      </c>
      <c r="K5300" t="n">
        <v>0</v>
      </c>
      <c r="L5300" t="n">
        <v>0</v>
      </c>
      <c r="M5300" t="n">
        <v>0</v>
      </c>
      <c r="N5300" t="n">
        <v>0</v>
      </c>
      <c r="O5300" t="n">
        <v>0</v>
      </c>
      <c r="P5300" t="n">
        <v>0</v>
      </c>
      <c r="Q5300" t="n">
        <v>0</v>
      </c>
      <c r="R5300" s="2" t="inlineStr"/>
    </row>
    <row r="5301" ht="15" customHeight="1">
      <c r="A5301" t="inlineStr">
        <is>
          <t>A 11818-2023</t>
        </is>
      </c>
      <c r="B5301" s="1" t="n">
        <v>44994</v>
      </c>
      <c r="C5301" s="1" t="n">
        <v>46045</v>
      </c>
      <c r="D5301" t="inlineStr">
        <is>
          <t>JÄMTLANDS LÄN</t>
        </is>
      </c>
      <c r="E5301" t="inlineStr">
        <is>
          <t>HÄRJEDALEN</t>
        </is>
      </c>
      <c r="G5301" t="n">
        <v>8.9</v>
      </c>
      <c r="H5301" t="n">
        <v>0</v>
      </c>
      <c r="I5301" t="n">
        <v>0</v>
      </c>
      <c r="J5301" t="n">
        <v>0</v>
      </c>
      <c r="K5301" t="n">
        <v>0</v>
      </c>
      <c r="L5301" t="n">
        <v>0</v>
      </c>
      <c r="M5301" t="n">
        <v>0</v>
      </c>
      <c r="N5301" t="n">
        <v>0</v>
      </c>
      <c r="O5301" t="n">
        <v>0</v>
      </c>
      <c r="P5301" t="n">
        <v>0</v>
      </c>
      <c r="Q5301" t="n">
        <v>0</v>
      </c>
      <c r="R5301" s="2" t="inlineStr"/>
    </row>
    <row r="5302" ht="15" customHeight="1">
      <c r="A5302" t="inlineStr">
        <is>
          <t>A 20263-2025</t>
        </is>
      </c>
      <c r="B5302" s="1" t="n">
        <v>45773.38578703703</v>
      </c>
      <c r="C5302" s="1" t="n">
        <v>46045</v>
      </c>
      <c r="D5302" t="inlineStr">
        <is>
          <t>JÄMTLANDS LÄN</t>
        </is>
      </c>
      <c r="E5302" t="inlineStr">
        <is>
          <t>STRÖMSUND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45589-2025</t>
        </is>
      </c>
      <c r="B5303" s="1" t="n">
        <v>45922.67697916667</v>
      </c>
      <c r="C5303" s="1" t="n">
        <v>46045</v>
      </c>
      <c r="D5303" t="inlineStr">
        <is>
          <t>JÄMTLANDS LÄN</t>
        </is>
      </c>
      <c r="E5303" t="inlineStr">
        <is>
          <t>BRÄCKE</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45335-2025</t>
        </is>
      </c>
      <c r="B5304" s="1" t="n">
        <v>45922.34186342593</v>
      </c>
      <c r="C5304" s="1" t="n">
        <v>46045</v>
      </c>
      <c r="D5304" t="inlineStr">
        <is>
          <t>JÄMTLANDS LÄN</t>
        </is>
      </c>
      <c r="E5304" t="inlineStr">
        <is>
          <t>STRÖMSUND</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38283-2024</t>
        </is>
      </c>
      <c r="B5305" s="1" t="n">
        <v>45545.61560185185</v>
      </c>
      <c r="C5305" s="1" t="n">
        <v>46045</v>
      </c>
      <c r="D5305" t="inlineStr">
        <is>
          <t>JÄMTLANDS LÄN</t>
        </is>
      </c>
      <c r="E5305" t="inlineStr">
        <is>
          <t>STRÖMSUND</t>
        </is>
      </c>
      <c r="F5305" t="inlineStr">
        <is>
          <t>SCA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59152-2024</t>
        </is>
      </c>
      <c r="B5306" s="1" t="n">
        <v>45637.46261574074</v>
      </c>
      <c r="C5306" s="1" t="n">
        <v>46045</v>
      </c>
      <c r="D5306" t="inlineStr">
        <is>
          <t>JÄMTLANDS LÄN</t>
        </is>
      </c>
      <c r="E5306" t="inlineStr">
        <is>
          <t>STRÖMSUND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17950-2025</t>
        </is>
      </c>
      <c r="B5307" s="1" t="n">
        <v>45760.81083333334</v>
      </c>
      <c r="C5307" s="1" t="n">
        <v>46045</v>
      </c>
      <c r="D5307" t="inlineStr">
        <is>
          <t>JÄMTLANDS LÄN</t>
        </is>
      </c>
      <c r="E5307" t="inlineStr">
        <is>
          <t>KROKOM</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46017-2025</t>
        </is>
      </c>
      <c r="B5308" s="1" t="n">
        <v>45924.42774305555</v>
      </c>
      <c r="C5308" s="1" t="n">
        <v>46045</v>
      </c>
      <c r="D5308" t="inlineStr">
        <is>
          <t>JÄMTLANDS LÄN</t>
        </is>
      </c>
      <c r="E5308" t="inlineStr">
        <is>
          <t>BRÄCKE</t>
        </is>
      </c>
      <c r="F5308" t="inlineStr">
        <is>
          <t>SCA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45796-2025</t>
        </is>
      </c>
      <c r="B5309" s="1" t="n">
        <v>45923.57418981481</v>
      </c>
      <c r="C5309" s="1" t="n">
        <v>46045</v>
      </c>
      <c r="D5309" t="inlineStr">
        <is>
          <t>JÄMTLANDS LÄN</t>
        </is>
      </c>
      <c r="E5309" t="inlineStr">
        <is>
          <t>ÅRE</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45797-2025</t>
        </is>
      </c>
      <c r="B5310" s="1" t="n">
        <v>45923.57422453703</v>
      </c>
      <c r="C5310" s="1" t="n">
        <v>46045</v>
      </c>
      <c r="D5310" t="inlineStr">
        <is>
          <t>JÄMTLANDS LÄN</t>
        </is>
      </c>
      <c r="E5310" t="inlineStr">
        <is>
          <t>BRÄCKE</t>
        </is>
      </c>
      <c r="F5310" t="inlineStr">
        <is>
          <t>SCA</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7327-2023</t>
        </is>
      </c>
      <c r="B5311" s="1" t="n">
        <v>44970.97871527778</v>
      </c>
      <c r="C5311" s="1" t="n">
        <v>46045</v>
      </c>
      <c r="D5311" t="inlineStr">
        <is>
          <t>JÄMTLANDS LÄN</t>
        </is>
      </c>
      <c r="E5311" t="inlineStr">
        <is>
          <t>ÖSTERSUND</t>
        </is>
      </c>
      <c r="F5311" t="inlineStr">
        <is>
          <t>SCA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22121-2024</t>
        </is>
      </c>
      <c r="B5312" s="1" t="n">
        <v>45443.95271990741</v>
      </c>
      <c r="C5312" s="1" t="n">
        <v>46045</v>
      </c>
      <c r="D5312" t="inlineStr">
        <is>
          <t>JÄMTLANDS LÄN</t>
        </is>
      </c>
      <c r="E5312" t="inlineStr">
        <is>
          <t>BRÄCKE</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54587-2024</t>
        </is>
      </c>
      <c r="B5313" s="1" t="n">
        <v>45617.65800925926</v>
      </c>
      <c r="C5313" s="1" t="n">
        <v>46045</v>
      </c>
      <c r="D5313" t="inlineStr">
        <is>
          <t>JÄMTLANDS LÄN</t>
        </is>
      </c>
      <c r="E5313" t="inlineStr">
        <is>
          <t>ÖSTERSUND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45844-2025</t>
        </is>
      </c>
      <c r="B5314" s="1" t="n">
        <v>45923.61561342593</v>
      </c>
      <c r="C5314" s="1" t="n">
        <v>46045</v>
      </c>
      <c r="D5314" t="inlineStr">
        <is>
          <t>JÄMTLANDS LÄN</t>
        </is>
      </c>
      <c r="E5314" t="inlineStr">
        <is>
          <t>STRÖMSUND</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50391-2024</t>
        </is>
      </c>
      <c r="B5315" s="1" t="n">
        <v>45601.33743055556</v>
      </c>
      <c r="C5315" s="1" t="n">
        <v>46045</v>
      </c>
      <c r="D5315" t="inlineStr">
        <is>
          <t>JÄMTLANDS LÄN</t>
        </is>
      </c>
      <c r="E5315" t="inlineStr">
        <is>
          <t>KROKOM</t>
        </is>
      </c>
      <c r="F5315" t="inlineStr">
        <is>
          <t>SCA</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55214-2022</t>
        </is>
      </c>
      <c r="B5316" s="1" t="n">
        <v>44886</v>
      </c>
      <c r="C5316" s="1" t="n">
        <v>46045</v>
      </c>
      <c r="D5316" t="inlineStr">
        <is>
          <t>JÄMTLANDS LÄN</t>
        </is>
      </c>
      <c r="E5316" t="inlineStr">
        <is>
          <t>RAGUNDA</t>
        </is>
      </c>
      <c r="F5316" t="inlineStr">
        <is>
          <t>SCA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54799-2025</t>
        </is>
      </c>
      <c r="B5317" s="1" t="n">
        <v>45966.63707175926</v>
      </c>
      <c r="C5317" s="1" t="n">
        <v>46045</v>
      </c>
      <c r="D5317" t="inlineStr">
        <is>
          <t>JÄMTLANDS LÄN</t>
        </is>
      </c>
      <c r="E5317" t="inlineStr">
        <is>
          <t>BRÄCKE</t>
        </is>
      </c>
      <c r="G5317" t="n">
        <v>0</v>
      </c>
      <c r="H5317" t="n">
        <v>0</v>
      </c>
      <c r="I5317" t="n">
        <v>0</v>
      </c>
      <c r="J5317" t="n">
        <v>0</v>
      </c>
      <c r="K5317" t="n">
        <v>0</v>
      </c>
      <c r="L5317" t="n">
        <v>0</v>
      </c>
      <c r="M5317" t="n">
        <v>0</v>
      </c>
      <c r="N5317" t="n">
        <v>0</v>
      </c>
      <c r="O5317" t="n">
        <v>0</v>
      </c>
      <c r="P5317" t="n">
        <v>0</v>
      </c>
      <c r="Q5317" t="n">
        <v>0</v>
      </c>
      <c r="R5317" s="2" t="inlineStr"/>
    </row>
    <row r="5318" ht="15" customHeight="1">
      <c r="A5318" t="inlineStr">
        <is>
          <t>A 61365-2024</t>
        </is>
      </c>
      <c r="B5318" s="1" t="n">
        <v>45646.38611111111</v>
      </c>
      <c r="C5318" s="1" t="n">
        <v>46045</v>
      </c>
      <c r="D5318" t="inlineStr">
        <is>
          <t>JÄMTLANDS LÄN</t>
        </is>
      </c>
      <c r="E5318" t="inlineStr">
        <is>
          <t>STRÖMSUND</t>
        </is>
      </c>
      <c r="F5318" t="inlineStr">
        <is>
          <t>SCA</t>
        </is>
      </c>
      <c r="G5318" t="n">
        <v>12.9</v>
      </c>
      <c r="H5318" t="n">
        <v>0</v>
      </c>
      <c r="I5318" t="n">
        <v>0</v>
      </c>
      <c r="J5318" t="n">
        <v>0</v>
      </c>
      <c r="K5318" t="n">
        <v>0</v>
      </c>
      <c r="L5318" t="n">
        <v>0</v>
      </c>
      <c r="M5318" t="n">
        <v>0</v>
      </c>
      <c r="N5318" t="n">
        <v>0</v>
      </c>
      <c r="O5318" t="n">
        <v>0</v>
      </c>
      <c r="P5318" t="n">
        <v>0</v>
      </c>
      <c r="Q5318" t="n">
        <v>0</v>
      </c>
      <c r="R5318" s="2" t="inlineStr"/>
    </row>
    <row r="5319" ht="15" customHeight="1">
      <c r="A5319" t="inlineStr">
        <is>
          <t>A 3737-2025</t>
        </is>
      </c>
      <c r="B5319" s="1" t="n">
        <v>45681.57335648148</v>
      </c>
      <c r="C5319" s="1" t="n">
        <v>46045</v>
      </c>
      <c r="D5319" t="inlineStr">
        <is>
          <t>JÄMTLANDS LÄN</t>
        </is>
      </c>
      <c r="E5319" t="inlineStr">
        <is>
          <t>BRÄCKE</t>
        </is>
      </c>
      <c r="F5319" t="inlineStr">
        <is>
          <t>SCA</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46131-2025</t>
        </is>
      </c>
      <c r="B5320" s="1" t="n">
        <v>45924.59469907408</v>
      </c>
      <c r="C5320" s="1" t="n">
        <v>46045</v>
      </c>
      <c r="D5320" t="inlineStr">
        <is>
          <t>JÄMTLANDS LÄN</t>
        </is>
      </c>
      <c r="E5320" t="inlineStr">
        <is>
          <t>BRÄCKE</t>
        </is>
      </c>
      <c r="F5320" t="inlineStr">
        <is>
          <t>SCA</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46152-2025</t>
        </is>
      </c>
      <c r="B5321" s="1" t="n">
        <v>45924.61512731481</v>
      </c>
      <c r="C5321" s="1" t="n">
        <v>46045</v>
      </c>
      <c r="D5321" t="inlineStr">
        <is>
          <t>JÄMTLANDS LÄN</t>
        </is>
      </c>
      <c r="E5321" t="inlineStr">
        <is>
          <t>ÖSTERSUND</t>
        </is>
      </c>
      <c r="F5321" t="inlineStr">
        <is>
          <t>SCA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46069-2025</t>
        </is>
      </c>
      <c r="B5322" s="1" t="n">
        <v>45924.48994212963</v>
      </c>
      <c r="C5322" s="1" t="n">
        <v>46045</v>
      </c>
      <c r="D5322" t="inlineStr">
        <is>
          <t>JÄMTLANDS LÄN</t>
        </is>
      </c>
      <c r="E5322" t="inlineStr">
        <is>
          <t>BRÄCKE</t>
        </is>
      </c>
      <c r="F5322" t="inlineStr">
        <is>
          <t>SCA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31764-2024</t>
        </is>
      </c>
      <c r="B5323" s="1" t="n">
        <v>45509</v>
      </c>
      <c r="C5323" s="1" t="n">
        <v>46045</v>
      </c>
      <c r="D5323" t="inlineStr">
        <is>
          <t>JÄMTLANDS LÄN</t>
        </is>
      </c>
      <c r="E5323" t="inlineStr">
        <is>
          <t>HÄRJEDALEN</t>
        </is>
      </c>
      <c r="F5323" t="inlineStr">
        <is>
          <t>Övriga statliga verk och myndigheter</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56927-2023</t>
        </is>
      </c>
      <c r="B5324" s="1" t="n">
        <v>45244</v>
      </c>
      <c r="C5324" s="1" t="n">
        <v>46045</v>
      </c>
      <c r="D5324" t="inlineStr">
        <is>
          <t>JÄMTLANDS LÄN</t>
        </is>
      </c>
      <c r="E5324" t="inlineStr">
        <is>
          <t>KROKOM</t>
        </is>
      </c>
      <c r="G5324" t="n">
        <v>14.1</v>
      </c>
      <c r="H5324" t="n">
        <v>0</v>
      </c>
      <c r="I5324" t="n">
        <v>0</v>
      </c>
      <c r="J5324" t="n">
        <v>0</v>
      </c>
      <c r="K5324" t="n">
        <v>0</v>
      </c>
      <c r="L5324" t="n">
        <v>0</v>
      </c>
      <c r="M5324" t="n">
        <v>0</v>
      </c>
      <c r="N5324" t="n">
        <v>0</v>
      </c>
      <c r="O5324" t="n">
        <v>0</v>
      </c>
      <c r="P5324" t="n">
        <v>0</v>
      </c>
      <c r="Q5324" t="n">
        <v>0</v>
      </c>
      <c r="R5324" s="2" t="inlineStr"/>
    </row>
    <row r="5325" ht="15" customHeight="1">
      <c r="A5325" t="inlineStr">
        <is>
          <t>A 61506-2023</t>
        </is>
      </c>
      <c r="B5325" s="1" t="n">
        <v>45264</v>
      </c>
      <c r="C5325" s="1" t="n">
        <v>46045</v>
      </c>
      <c r="D5325" t="inlineStr">
        <is>
          <t>JÄMTLANDS LÄN</t>
        </is>
      </c>
      <c r="E5325" t="inlineStr">
        <is>
          <t>ÖSTERSUND</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18217-2023</t>
        </is>
      </c>
      <c r="B5326" s="1" t="n">
        <v>45040</v>
      </c>
      <c r="C5326" s="1" t="n">
        <v>46045</v>
      </c>
      <c r="D5326" t="inlineStr">
        <is>
          <t>JÄMTLANDS LÄN</t>
        </is>
      </c>
      <c r="E5326" t="inlineStr">
        <is>
          <t>BERG</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16336-2025</t>
        </is>
      </c>
      <c r="B5327" s="1" t="n">
        <v>45751.36519675926</v>
      </c>
      <c r="C5327" s="1" t="n">
        <v>46045</v>
      </c>
      <c r="D5327" t="inlineStr">
        <is>
          <t>JÄMTLANDS LÄN</t>
        </is>
      </c>
      <c r="E5327" t="inlineStr">
        <is>
          <t>ÖSTERSUND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4355-2024</t>
        </is>
      </c>
      <c r="B5328" s="1" t="n">
        <v>45324</v>
      </c>
      <c r="C5328" s="1" t="n">
        <v>46045</v>
      </c>
      <c r="D5328" t="inlineStr">
        <is>
          <t>JÄMTLANDS LÄN</t>
        </is>
      </c>
      <c r="E5328" t="inlineStr">
        <is>
          <t>KROKOM</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46141-2025</t>
        </is>
      </c>
      <c r="B5329" s="1" t="n">
        <v>45924.60287037037</v>
      </c>
      <c r="C5329" s="1" t="n">
        <v>46045</v>
      </c>
      <c r="D5329" t="inlineStr">
        <is>
          <t>JÄMTLANDS LÄN</t>
        </is>
      </c>
      <c r="E5329" t="inlineStr">
        <is>
          <t>KROKOM</t>
        </is>
      </c>
      <c r="F5329" t="inlineStr">
        <is>
          <t>Övriga Aktiebolag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34102-2025</t>
        </is>
      </c>
      <c r="B5330" s="1" t="n">
        <v>45845.49</v>
      </c>
      <c r="C5330" s="1" t="n">
        <v>46045</v>
      </c>
      <c r="D5330" t="inlineStr">
        <is>
          <t>JÄMTLANDS LÄN</t>
        </is>
      </c>
      <c r="E5330" t="inlineStr">
        <is>
          <t>BRÄCKE</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58847-2024</t>
        </is>
      </c>
      <c r="B5331" s="1" t="n">
        <v>45636.3864699074</v>
      </c>
      <c r="C5331" s="1" t="n">
        <v>46045</v>
      </c>
      <c r="D5331" t="inlineStr">
        <is>
          <t>JÄMTLANDS LÄN</t>
        </is>
      </c>
      <c r="E5331" t="inlineStr">
        <is>
          <t>RAGUNDA</t>
        </is>
      </c>
      <c r="F5331" t="inlineStr">
        <is>
          <t>SCA</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58848-2024</t>
        </is>
      </c>
      <c r="B5332" s="1" t="n">
        <v>45636.38657407407</v>
      </c>
      <c r="C5332" s="1" t="n">
        <v>46045</v>
      </c>
      <c r="D5332" t="inlineStr">
        <is>
          <t>JÄMTLANDS LÄN</t>
        </is>
      </c>
      <c r="E5332" t="inlineStr">
        <is>
          <t>BRÄCKE</t>
        </is>
      </c>
      <c r="F5332" t="inlineStr">
        <is>
          <t>SCA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12279-2025</t>
        </is>
      </c>
      <c r="B5333" s="1" t="n">
        <v>45729.65261574074</v>
      </c>
      <c r="C5333" s="1" t="n">
        <v>46045</v>
      </c>
      <c r="D5333" t="inlineStr">
        <is>
          <t>JÄMTLANDS LÄN</t>
        </is>
      </c>
      <c r="E5333" t="inlineStr">
        <is>
          <t>HÄRJEDALEN</t>
        </is>
      </c>
      <c r="F5333" t="inlineStr">
        <is>
          <t>Holmen skog AB</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18112-2024</t>
        </is>
      </c>
      <c r="B5334" s="1" t="n">
        <v>45420.49851851852</v>
      </c>
      <c r="C5334" s="1" t="n">
        <v>46045</v>
      </c>
      <c r="D5334" t="inlineStr">
        <is>
          <t>JÄMTLANDS LÄN</t>
        </is>
      </c>
      <c r="E5334" t="inlineStr">
        <is>
          <t>BERG</t>
        </is>
      </c>
      <c r="F5334" t="inlineStr">
        <is>
          <t>Holmen skog AB</t>
        </is>
      </c>
      <c r="G5334" t="n">
        <v>16.6</v>
      </c>
      <c r="H5334" t="n">
        <v>0</v>
      </c>
      <c r="I5334" t="n">
        <v>0</v>
      </c>
      <c r="J5334" t="n">
        <v>0</v>
      </c>
      <c r="K5334" t="n">
        <v>0</v>
      </c>
      <c r="L5334" t="n">
        <v>0</v>
      </c>
      <c r="M5334" t="n">
        <v>0</v>
      </c>
      <c r="N5334" t="n">
        <v>0</v>
      </c>
      <c r="O5334" t="n">
        <v>0</v>
      </c>
      <c r="P5334" t="n">
        <v>0</v>
      </c>
      <c r="Q5334" t="n">
        <v>0</v>
      </c>
      <c r="R5334" s="2" t="inlineStr"/>
    </row>
    <row r="5335" ht="15" customHeight="1">
      <c r="A5335" t="inlineStr">
        <is>
          <t>A 45703-2025</t>
        </is>
      </c>
      <c r="B5335" s="1" t="n">
        <v>45923.40854166666</v>
      </c>
      <c r="C5335" s="1" t="n">
        <v>46045</v>
      </c>
      <c r="D5335" t="inlineStr">
        <is>
          <t>JÄMTLANDS LÄN</t>
        </is>
      </c>
      <c r="E5335" t="inlineStr">
        <is>
          <t>BRÄCKE</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45363-2024</t>
        </is>
      </c>
      <c r="B5336" s="1" t="n">
        <v>45576.48657407407</v>
      </c>
      <c r="C5336" s="1" t="n">
        <v>46045</v>
      </c>
      <c r="D5336" t="inlineStr">
        <is>
          <t>JÄMTLANDS LÄN</t>
        </is>
      </c>
      <c r="E5336" t="inlineStr">
        <is>
          <t>HÄRJEDALEN</t>
        </is>
      </c>
      <c r="F5336" t="inlineStr">
        <is>
          <t>Sveaskog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45663-2025</t>
        </is>
      </c>
      <c r="B5337" s="1" t="n">
        <v>45923.34650462963</v>
      </c>
      <c r="C5337" s="1" t="n">
        <v>46045</v>
      </c>
      <c r="D5337" t="inlineStr">
        <is>
          <t>JÄMTLANDS LÄN</t>
        </is>
      </c>
      <c r="E5337" t="inlineStr">
        <is>
          <t>STRÖMSUND</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18980-2025</t>
        </is>
      </c>
      <c r="B5338" s="1" t="n">
        <v>45764.55260416667</v>
      </c>
      <c r="C5338" s="1" t="n">
        <v>46045</v>
      </c>
      <c r="D5338" t="inlineStr">
        <is>
          <t>JÄMTLANDS LÄN</t>
        </is>
      </c>
      <c r="E5338" t="inlineStr">
        <is>
          <t>KROKOM</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46004-2025</t>
        </is>
      </c>
      <c r="B5339" s="1" t="n">
        <v>45924.40741898148</v>
      </c>
      <c r="C5339" s="1" t="n">
        <v>46045</v>
      </c>
      <c r="D5339" t="inlineStr">
        <is>
          <t>JÄMTLANDS LÄN</t>
        </is>
      </c>
      <c r="E5339" t="inlineStr">
        <is>
          <t>BRÄCKE</t>
        </is>
      </c>
      <c r="F5339" t="inlineStr">
        <is>
          <t>SCA</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45453-2024</t>
        </is>
      </c>
      <c r="B5340" s="1" t="n">
        <v>45576.66674768519</v>
      </c>
      <c r="C5340" s="1" t="n">
        <v>46045</v>
      </c>
      <c r="D5340" t="inlineStr">
        <is>
          <t>JÄMTLANDS LÄN</t>
        </is>
      </c>
      <c r="E5340" t="inlineStr">
        <is>
          <t>ÅRE</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5004-2023</t>
        </is>
      </c>
      <c r="B5341" s="1" t="n">
        <v>44956</v>
      </c>
      <c r="C5341" s="1" t="n">
        <v>46045</v>
      </c>
      <c r="D5341" t="inlineStr">
        <is>
          <t>JÄMTLANDS LÄN</t>
        </is>
      </c>
      <c r="E5341" t="inlineStr">
        <is>
          <t>BRÄCKE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46099-2025</t>
        </is>
      </c>
      <c r="B5342" s="1" t="n">
        <v>45924.54465277777</v>
      </c>
      <c r="C5342" s="1" t="n">
        <v>46045</v>
      </c>
      <c r="D5342" t="inlineStr">
        <is>
          <t>JÄMTLANDS LÄN</t>
        </is>
      </c>
      <c r="E5342" t="inlineStr">
        <is>
          <t>KROKOM</t>
        </is>
      </c>
      <c r="F5342" t="inlineStr">
        <is>
          <t>Övriga Aktiebolag</t>
        </is>
      </c>
      <c r="G5342" t="n">
        <v>13.4</v>
      </c>
      <c r="H5342" t="n">
        <v>0</v>
      </c>
      <c r="I5342" t="n">
        <v>0</v>
      </c>
      <c r="J5342" t="n">
        <v>0</v>
      </c>
      <c r="K5342" t="n">
        <v>0</v>
      </c>
      <c r="L5342" t="n">
        <v>0</v>
      </c>
      <c r="M5342" t="n">
        <v>0</v>
      </c>
      <c r="N5342" t="n">
        <v>0</v>
      </c>
      <c r="O5342" t="n">
        <v>0</v>
      </c>
      <c r="P5342" t="n">
        <v>0</v>
      </c>
      <c r="Q5342" t="n">
        <v>0</v>
      </c>
      <c r="R5342" s="2" t="inlineStr"/>
    </row>
    <row r="5343" ht="15" customHeight="1">
      <c r="A5343" t="inlineStr">
        <is>
          <t>A 45894-2025</t>
        </is>
      </c>
      <c r="B5343" s="1" t="n">
        <v>45923.67765046296</v>
      </c>
      <c r="C5343" s="1" t="n">
        <v>46045</v>
      </c>
      <c r="D5343" t="inlineStr">
        <is>
          <t>JÄMTLANDS LÄN</t>
        </is>
      </c>
      <c r="E5343" t="inlineStr">
        <is>
          <t>RAGUNDA</t>
        </is>
      </c>
      <c r="F5343" t="inlineStr">
        <is>
          <t>SCA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61854-2024</t>
        </is>
      </c>
      <c r="B5344" s="1" t="n">
        <v>45649.67358796296</v>
      </c>
      <c r="C5344" s="1" t="n">
        <v>46045</v>
      </c>
      <c r="D5344" t="inlineStr">
        <is>
          <t>JÄMTLANDS LÄN</t>
        </is>
      </c>
      <c r="E5344" t="inlineStr">
        <is>
          <t>STRÖMSUND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4642-2025</t>
        </is>
      </c>
      <c r="B5345" s="1" t="n">
        <v>45687.65449074074</v>
      </c>
      <c r="C5345" s="1" t="n">
        <v>46045</v>
      </c>
      <c r="D5345" t="inlineStr">
        <is>
          <t>JÄMTLANDS LÄN</t>
        </is>
      </c>
      <c r="E5345" t="inlineStr">
        <is>
          <t>HÄRJEDALEN</t>
        </is>
      </c>
      <c r="F5345" t="inlineStr">
        <is>
          <t>Bergvik skog väst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5169-2025</t>
        </is>
      </c>
      <c r="B5346" s="1" t="n">
        <v>45691.61571759259</v>
      </c>
      <c r="C5346" s="1" t="n">
        <v>46045</v>
      </c>
      <c r="D5346" t="inlineStr">
        <is>
          <t>JÄMTLANDS LÄN</t>
        </is>
      </c>
      <c r="E5346" t="inlineStr">
        <is>
          <t>BRÄCKE</t>
        </is>
      </c>
      <c r="F5346" t="inlineStr">
        <is>
          <t>SCA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58952-2024</t>
        </is>
      </c>
      <c r="B5347" s="1" t="n">
        <v>45636.5674537037</v>
      </c>
      <c r="C5347" s="1" t="n">
        <v>46045</v>
      </c>
      <c r="D5347" t="inlineStr">
        <is>
          <t>JÄMTLANDS LÄN</t>
        </is>
      </c>
      <c r="E5347" t="inlineStr">
        <is>
          <t>ÖSTERSUND</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7022-2025</t>
        </is>
      </c>
      <c r="B5348" s="1" t="n">
        <v>45701.61899305556</v>
      </c>
      <c r="C5348" s="1" t="n">
        <v>46045</v>
      </c>
      <c r="D5348" t="inlineStr">
        <is>
          <t>JÄMTLANDS LÄN</t>
        </is>
      </c>
      <c r="E5348" t="inlineStr">
        <is>
          <t>ÖSTERSUND</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45366-2023</t>
        </is>
      </c>
      <c r="B5349" s="1" t="n">
        <v>45192</v>
      </c>
      <c r="C5349" s="1" t="n">
        <v>46045</v>
      </c>
      <c r="D5349" t="inlineStr">
        <is>
          <t>JÄMTLANDS LÄN</t>
        </is>
      </c>
      <c r="E5349" t="inlineStr">
        <is>
          <t>STRÖMSUND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45778-2025</t>
        </is>
      </c>
      <c r="B5350" s="1" t="n">
        <v>45923.54756944445</v>
      </c>
      <c r="C5350" s="1" t="n">
        <v>46045</v>
      </c>
      <c r="D5350" t="inlineStr">
        <is>
          <t>JÄMTLANDS LÄN</t>
        </is>
      </c>
      <c r="E5350" t="inlineStr">
        <is>
          <t>KROKOM</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45780-2025</t>
        </is>
      </c>
      <c r="B5351" s="1" t="n">
        <v>45923.54827546296</v>
      </c>
      <c r="C5351" s="1" t="n">
        <v>46045</v>
      </c>
      <c r="D5351" t="inlineStr">
        <is>
          <t>JÄMTLANDS LÄN</t>
        </is>
      </c>
      <c r="E5351" t="inlineStr">
        <is>
          <t>KROKOM</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40246-2024</t>
        </is>
      </c>
      <c r="B5352" s="1" t="n">
        <v>45554.61583333334</v>
      </c>
      <c r="C5352" s="1" t="n">
        <v>46045</v>
      </c>
      <c r="D5352" t="inlineStr">
        <is>
          <t>JÄMTLANDS LÄN</t>
        </is>
      </c>
      <c r="E5352" t="inlineStr">
        <is>
          <t>RAGUNDA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7085-2025</t>
        </is>
      </c>
      <c r="B5353" s="1" t="n">
        <v>45701.70259259259</v>
      </c>
      <c r="C5353" s="1" t="n">
        <v>46045</v>
      </c>
      <c r="D5353" t="inlineStr">
        <is>
          <t>JÄMTLANDS LÄN</t>
        </is>
      </c>
      <c r="E5353" t="inlineStr">
        <is>
          <t>STRÖMSUND</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46070-2025</t>
        </is>
      </c>
      <c r="B5354" s="1" t="n">
        <v>45924.49011574074</v>
      </c>
      <c r="C5354" s="1" t="n">
        <v>46045</v>
      </c>
      <c r="D5354" t="inlineStr">
        <is>
          <t>JÄMTLANDS LÄN</t>
        </is>
      </c>
      <c r="E5354" t="inlineStr">
        <is>
          <t>BRÄCKE</t>
        </is>
      </c>
      <c r="F5354" t="inlineStr">
        <is>
          <t>SCA</t>
        </is>
      </c>
      <c r="G5354" t="n">
        <v>8.6</v>
      </c>
      <c r="H5354" t="n">
        <v>0</v>
      </c>
      <c r="I5354" t="n">
        <v>0</v>
      </c>
      <c r="J5354" t="n">
        <v>0</v>
      </c>
      <c r="K5354" t="n">
        <v>0</v>
      </c>
      <c r="L5354" t="n">
        <v>0</v>
      </c>
      <c r="M5354" t="n">
        <v>0</v>
      </c>
      <c r="N5354" t="n">
        <v>0</v>
      </c>
      <c r="O5354" t="n">
        <v>0</v>
      </c>
      <c r="P5354" t="n">
        <v>0</v>
      </c>
      <c r="Q5354" t="n">
        <v>0</v>
      </c>
      <c r="R5354" s="2" t="inlineStr"/>
    </row>
    <row r="5355" ht="15" customHeight="1">
      <c r="A5355" t="inlineStr">
        <is>
          <t>A 3842-2023</t>
        </is>
      </c>
      <c r="B5355" s="1" t="n">
        <v>44951</v>
      </c>
      <c r="C5355" s="1" t="n">
        <v>46045</v>
      </c>
      <c r="D5355" t="inlineStr">
        <is>
          <t>JÄMTLANDS LÄN</t>
        </is>
      </c>
      <c r="E5355" t="inlineStr">
        <is>
          <t>BERG</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46041-2025</t>
        </is>
      </c>
      <c r="B5356" s="1" t="n">
        <v>45924</v>
      </c>
      <c r="C5356" s="1" t="n">
        <v>46045</v>
      </c>
      <c r="D5356" t="inlineStr">
        <is>
          <t>JÄMTLANDS LÄN</t>
        </is>
      </c>
      <c r="E5356" t="inlineStr">
        <is>
          <t>ÅRE</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14190-2023</t>
        </is>
      </c>
      <c r="B5357" s="1" t="n">
        <v>45009.56106481481</v>
      </c>
      <c r="C5357" s="1" t="n">
        <v>46045</v>
      </c>
      <c r="D5357" t="inlineStr">
        <is>
          <t>JÄMTLANDS LÄN</t>
        </is>
      </c>
      <c r="E5357" t="inlineStr">
        <is>
          <t>BERG</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54116-2023</t>
        </is>
      </c>
      <c r="B5358" s="1" t="n">
        <v>45232</v>
      </c>
      <c r="C5358" s="1" t="n">
        <v>46045</v>
      </c>
      <c r="D5358" t="inlineStr">
        <is>
          <t>JÄMTLANDS LÄN</t>
        </is>
      </c>
      <c r="E5358" t="inlineStr">
        <is>
          <t>ÅRE</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46001-2025</t>
        </is>
      </c>
      <c r="B5359" s="1" t="n">
        <v>45924.40692129629</v>
      </c>
      <c r="C5359" s="1" t="n">
        <v>46045</v>
      </c>
      <c r="D5359" t="inlineStr">
        <is>
          <t>JÄMTLANDS LÄN</t>
        </is>
      </c>
      <c r="E5359" t="inlineStr">
        <is>
          <t>STRÖMSUND</t>
        </is>
      </c>
      <c r="F5359" t="inlineStr">
        <is>
          <t>SCA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46005-2025</t>
        </is>
      </c>
      <c r="B5360" s="1" t="n">
        <v>45924.40751157407</v>
      </c>
      <c r="C5360" s="1" t="n">
        <v>46045</v>
      </c>
      <c r="D5360" t="inlineStr">
        <is>
          <t>JÄMTLANDS LÄN</t>
        </is>
      </c>
      <c r="E5360" t="inlineStr">
        <is>
          <t>BRÄCKE</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46093-2025</t>
        </is>
      </c>
      <c r="B5361" s="1" t="n">
        <v>45924.53166666667</v>
      </c>
      <c r="C5361" s="1" t="n">
        <v>46045</v>
      </c>
      <c r="D5361" t="inlineStr">
        <is>
          <t>JÄMTLANDS LÄN</t>
        </is>
      </c>
      <c r="E5361" t="inlineStr">
        <is>
          <t>BRÄCKE</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45640-2025</t>
        </is>
      </c>
      <c r="B5362" s="1" t="n">
        <v>45922.961875</v>
      </c>
      <c r="C5362" s="1" t="n">
        <v>46045</v>
      </c>
      <c r="D5362" t="inlineStr">
        <is>
          <t>JÄMTLANDS LÄN</t>
        </is>
      </c>
      <c r="E5362" t="inlineStr">
        <is>
          <t>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55161-2024</t>
        </is>
      </c>
      <c r="B5363" s="1" t="n">
        <v>45621.51085648148</v>
      </c>
      <c r="C5363" s="1" t="n">
        <v>46045</v>
      </c>
      <c r="D5363" t="inlineStr">
        <is>
          <t>JÄMTLANDS LÄN</t>
        </is>
      </c>
      <c r="E5363" t="inlineStr">
        <is>
          <t>STRÖMSUND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51585-2024</t>
        </is>
      </c>
      <c r="B5364" s="1" t="n">
        <v>45604.64290509259</v>
      </c>
      <c r="C5364" s="1" t="n">
        <v>46045</v>
      </c>
      <c r="D5364" t="inlineStr">
        <is>
          <t>JÄMTLANDS LÄN</t>
        </is>
      </c>
      <c r="E5364" t="inlineStr">
        <is>
          <t>STRÖMSUND</t>
        </is>
      </c>
      <c r="F5364" t="inlineStr">
        <is>
          <t>Kommuner</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46192-2025</t>
        </is>
      </c>
      <c r="B5365" s="1" t="n">
        <v>45924.67789351852</v>
      </c>
      <c r="C5365" s="1" t="n">
        <v>46045</v>
      </c>
      <c r="D5365" t="inlineStr">
        <is>
          <t>JÄMTLANDS LÄN</t>
        </is>
      </c>
      <c r="E5365" t="inlineStr">
        <is>
          <t>RAGUNDA</t>
        </is>
      </c>
      <c r="F5365" t="inlineStr">
        <is>
          <t>SCA</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46202-2025</t>
        </is>
      </c>
      <c r="B5366" s="1" t="n">
        <v>45924.70346064815</v>
      </c>
      <c r="C5366" s="1" t="n">
        <v>46045</v>
      </c>
      <c r="D5366" t="inlineStr">
        <is>
          <t>JÄMTLANDS LÄN</t>
        </is>
      </c>
      <c r="E5366" t="inlineStr">
        <is>
          <t>ÖSTERSUND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35423-2024</t>
        </is>
      </c>
      <c r="B5367" s="1" t="n">
        <v>45531.4108912037</v>
      </c>
      <c r="C5367" s="1" t="n">
        <v>46045</v>
      </c>
      <c r="D5367" t="inlineStr">
        <is>
          <t>JÄMTLANDS LÄN</t>
        </is>
      </c>
      <c r="E5367" t="inlineStr">
        <is>
          <t>STRÖMSUND</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50782-2023</t>
        </is>
      </c>
      <c r="B5368" s="1" t="n">
        <v>45217</v>
      </c>
      <c r="C5368" s="1" t="n">
        <v>46045</v>
      </c>
      <c r="D5368" t="inlineStr">
        <is>
          <t>JÄMTLANDS LÄN</t>
        </is>
      </c>
      <c r="E5368" t="inlineStr">
        <is>
          <t>KROKOM</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61295-2023</t>
        </is>
      </c>
      <c r="B5369" s="1" t="n">
        <v>45264</v>
      </c>
      <c r="C5369" s="1" t="n">
        <v>46045</v>
      </c>
      <c r="D5369" t="inlineStr">
        <is>
          <t>JÄMTLANDS LÄN</t>
        </is>
      </c>
      <c r="E5369" t="inlineStr">
        <is>
          <t>ÅRE</t>
        </is>
      </c>
      <c r="G5369" t="n">
        <v>8.699999999999999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46191-2025</t>
        </is>
      </c>
      <c r="B5370" s="1" t="n">
        <v>45924.67771990741</v>
      </c>
      <c r="C5370" s="1" t="n">
        <v>46045</v>
      </c>
      <c r="D5370" t="inlineStr">
        <is>
          <t>JÄMTLANDS LÄN</t>
        </is>
      </c>
      <c r="E5370" t="inlineStr">
        <is>
          <t>STRÖMSUND</t>
        </is>
      </c>
      <c r="F5370" t="inlineStr">
        <is>
          <t>SCA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59650-2024</t>
        </is>
      </c>
      <c r="B5371" s="1" t="n">
        <v>45639.34488425926</v>
      </c>
      <c r="C5371" s="1" t="n">
        <v>46045</v>
      </c>
      <c r="D5371" t="inlineStr">
        <is>
          <t>JÄMTLANDS LÄN</t>
        </is>
      </c>
      <c r="E5371" t="inlineStr">
        <is>
          <t>BRÄCKE</t>
        </is>
      </c>
      <c r="F5371" t="inlineStr">
        <is>
          <t>SCA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22966-2022</t>
        </is>
      </c>
      <c r="B5372" s="1" t="n">
        <v>44715.94222222222</v>
      </c>
      <c r="C5372" s="1" t="n">
        <v>46045</v>
      </c>
      <c r="D5372" t="inlineStr">
        <is>
          <t>JÄMTLANDS LÄN</t>
        </is>
      </c>
      <c r="E5372" t="inlineStr">
        <is>
          <t>STRÖMSUND</t>
        </is>
      </c>
      <c r="F5372" t="inlineStr">
        <is>
          <t>SCA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46180-2025</t>
        </is>
      </c>
      <c r="B5373" s="1" t="n">
        <v>45924.65664351852</v>
      </c>
      <c r="C5373" s="1" t="n">
        <v>46045</v>
      </c>
      <c r="D5373" t="inlineStr">
        <is>
          <t>JÄMTLANDS LÄN</t>
        </is>
      </c>
      <c r="E5373" t="inlineStr">
        <is>
          <t>BRÄCKE</t>
        </is>
      </c>
      <c r="F5373" t="inlineStr">
        <is>
          <t>SCA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45698-2025</t>
        </is>
      </c>
      <c r="B5374" s="1" t="n">
        <v>45923.39917824074</v>
      </c>
      <c r="C5374" s="1" t="n">
        <v>46045</v>
      </c>
      <c r="D5374" t="inlineStr">
        <is>
          <t>JÄMTLANDS LÄN</t>
        </is>
      </c>
      <c r="E5374" t="inlineStr">
        <is>
          <t>BRÄCKE</t>
        </is>
      </c>
      <c r="F5374" t="inlineStr">
        <is>
          <t>Övriga Aktiebolag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54160-2023</t>
        </is>
      </c>
      <c r="B5375" s="1" t="n">
        <v>45232.46239583333</v>
      </c>
      <c r="C5375" s="1" t="n">
        <v>46045</v>
      </c>
      <c r="D5375" t="inlineStr">
        <is>
          <t>JÄMTLANDS LÄN</t>
        </is>
      </c>
      <c r="E5375" t="inlineStr">
        <is>
          <t>KROKOM</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45912-2025</t>
        </is>
      </c>
      <c r="B5376" s="1" t="n">
        <v>45923</v>
      </c>
      <c r="C5376" s="1" t="n">
        <v>46045</v>
      </c>
      <c r="D5376" t="inlineStr">
        <is>
          <t>JÄMTLANDS LÄN</t>
        </is>
      </c>
      <c r="E5376" t="inlineStr">
        <is>
          <t>BERG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32711-2024</t>
        </is>
      </c>
      <c r="B5377" s="1" t="n">
        <v>45516</v>
      </c>
      <c r="C5377" s="1" t="n">
        <v>46045</v>
      </c>
      <c r="D5377" t="inlineStr">
        <is>
          <t>JÄMTLANDS LÄN</t>
        </is>
      </c>
      <c r="E5377" t="inlineStr">
        <is>
          <t>BERG</t>
        </is>
      </c>
      <c r="G5377" t="n">
        <v>0</v>
      </c>
      <c r="H5377" t="n">
        <v>0</v>
      </c>
      <c r="I5377" t="n">
        <v>0</v>
      </c>
      <c r="J5377" t="n">
        <v>0</v>
      </c>
      <c r="K5377" t="n">
        <v>0</v>
      </c>
      <c r="L5377" t="n">
        <v>0</v>
      </c>
      <c r="M5377" t="n">
        <v>0</v>
      </c>
      <c r="N5377" t="n">
        <v>0</v>
      </c>
      <c r="O5377" t="n">
        <v>0</v>
      </c>
      <c r="P5377" t="n">
        <v>0</v>
      </c>
      <c r="Q5377" t="n">
        <v>0</v>
      </c>
      <c r="R5377" s="2" t="inlineStr"/>
    </row>
    <row r="5378" ht="15" customHeight="1">
      <c r="A5378" t="inlineStr">
        <is>
          <t>A 41604-2024</t>
        </is>
      </c>
      <c r="B5378" s="1" t="n">
        <v>45560</v>
      </c>
      <c r="C5378" s="1" t="n">
        <v>46045</v>
      </c>
      <c r="D5378" t="inlineStr">
        <is>
          <t>JÄMTLANDS LÄN</t>
        </is>
      </c>
      <c r="E5378" t="inlineStr">
        <is>
          <t>HÄRJEDALEN</t>
        </is>
      </c>
      <c r="G5378" t="n">
        <v>6.3</v>
      </c>
      <c r="H5378" t="n">
        <v>0</v>
      </c>
      <c r="I5378" t="n">
        <v>0</v>
      </c>
      <c r="J5378" t="n">
        <v>0</v>
      </c>
      <c r="K5378" t="n">
        <v>0</v>
      </c>
      <c r="L5378" t="n">
        <v>0</v>
      </c>
      <c r="M5378" t="n">
        <v>0</v>
      </c>
      <c r="N5378" t="n">
        <v>0</v>
      </c>
      <c r="O5378" t="n">
        <v>0</v>
      </c>
      <c r="P5378" t="n">
        <v>0</v>
      </c>
      <c r="Q5378" t="n">
        <v>0</v>
      </c>
      <c r="R5378" s="2" t="inlineStr"/>
    </row>
    <row r="5379" ht="15" customHeight="1">
      <c r="A5379" t="inlineStr">
        <is>
          <t>A 54243-2022</t>
        </is>
      </c>
      <c r="B5379" s="1" t="n">
        <v>44881</v>
      </c>
      <c r="C5379" s="1" t="n">
        <v>46045</v>
      </c>
      <c r="D5379" t="inlineStr">
        <is>
          <t>JÄMTLANDS LÄN</t>
        </is>
      </c>
      <c r="E5379" t="inlineStr">
        <is>
          <t>BRÄCKE</t>
        </is>
      </c>
      <c r="F5379" t="inlineStr">
        <is>
          <t>SCA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23651-2025</t>
        </is>
      </c>
      <c r="B5380" s="1" t="n">
        <v>45792</v>
      </c>
      <c r="C5380" s="1" t="n">
        <v>46045</v>
      </c>
      <c r="D5380" t="inlineStr">
        <is>
          <t>JÄMTLANDS LÄN</t>
        </is>
      </c>
      <c r="E5380" t="inlineStr">
        <is>
          <t>ÅRE</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59008-2024</t>
        </is>
      </c>
      <c r="B5381" s="1" t="n">
        <v>45636.65724537037</v>
      </c>
      <c r="C5381" s="1" t="n">
        <v>46045</v>
      </c>
      <c r="D5381" t="inlineStr">
        <is>
          <t>JÄMTLANDS LÄN</t>
        </is>
      </c>
      <c r="E5381" t="inlineStr">
        <is>
          <t>BRÄCKE</t>
        </is>
      </c>
      <c r="F5381" t="inlineStr">
        <is>
          <t>SCA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9023-2025</t>
        </is>
      </c>
      <c r="B5382" s="1" t="n">
        <v>45713.59741898148</v>
      </c>
      <c r="C5382" s="1" t="n">
        <v>46045</v>
      </c>
      <c r="D5382" t="inlineStr">
        <is>
          <t>JÄMTLANDS LÄN</t>
        </is>
      </c>
      <c r="E5382" t="inlineStr">
        <is>
          <t>KROKOM</t>
        </is>
      </c>
      <c r="F5382" t="inlineStr">
        <is>
          <t>Övriga Aktiebolag</t>
        </is>
      </c>
      <c r="G5382" t="n">
        <v>16.8</v>
      </c>
      <c r="H5382" t="n">
        <v>0</v>
      </c>
      <c r="I5382" t="n">
        <v>0</v>
      </c>
      <c r="J5382" t="n">
        <v>0</v>
      </c>
      <c r="K5382" t="n">
        <v>0</v>
      </c>
      <c r="L5382" t="n">
        <v>0</v>
      </c>
      <c r="M5382" t="n">
        <v>0</v>
      </c>
      <c r="N5382" t="n">
        <v>0</v>
      </c>
      <c r="O5382" t="n">
        <v>0</v>
      </c>
      <c r="P5382" t="n">
        <v>0</v>
      </c>
      <c r="Q5382" t="n">
        <v>0</v>
      </c>
      <c r="R5382" s="2" t="inlineStr"/>
    </row>
    <row r="5383" ht="15" customHeight="1">
      <c r="A5383" t="inlineStr">
        <is>
          <t>A 46132-2025</t>
        </is>
      </c>
      <c r="B5383" s="1" t="n">
        <v>45924.59484953704</v>
      </c>
      <c r="C5383" s="1" t="n">
        <v>46045</v>
      </c>
      <c r="D5383" t="inlineStr">
        <is>
          <t>JÄMTLANDS LÄN</t>
        </is>
      </c>
      <c r="E5383" t="inlineStr">
        <is>
          <t>ÖSTERSUND</t>
        </is>
      </c>
      <c r="F5383" t="inlineStr">
        <is>
          <t>SCA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45741-2025</t>
        </is>
      </c>
      <c r="B5384" s="1" t="n">
        <v>45923.46953703704</v>
      </c>
      <c r="C5384" s="1" t="n">
        <v>46045</v>
      </c>
      <c r="D5384" t="inlineStr">
        <is>
          <t>JÄMTLANDS LÄN</t>
        </is>
      </c>
      <c r="E5384" t="inlineStr">
        <is>
          <t>BRÄCKE</t>
        </is>
      </c>
      <c r="F5384" t="inlineStr">
        <is>
          <t>SCA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39753-2024</t>
        </is>
      </c>
      <c r="B5385" s="1" t="n">
        <v>45552.67611111111</v>
      </c>
      <c r="C5385" s="1" t="n">
        <v>46045</v>
      </c>
      <c r="D5385" t="inlineStr">
        <is>
          <t>JÄMTLANDS LÄN</t>
        </is>
      </c>
      <c r="E5385" t="inlineStr">
        <is>
          <t>KROKOM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39126-2023</t>
        </is>
      </c>
      <c r="B5386" s="1" t="n">
        <v>45165.69965277778</v>
      </c>
      <c r="C5386" s="1" t="n">
        <v>46045</v>
      </c>
      <c r="D5386" t="inlineStr">
        <is>
          <t>JÄMTLANDS LÄN</t>
        </is>
      </c>
      <c r="E5386" t="inlineStr">
        <is>
          <t>KROKOM</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47635-2023</t>
        </is>
      </c>
      <c r="B5387" s="1" t="n">
        <v>45203</v>
      </c>
      <c r="C5387" s="1" t="n">
        <v>46045</v>
      </c>
      <c r="D5387" t="inlineStr">
        <is>
          <t>JÄMTLANDS LÄN</t>
        </is>
      </c>
      <c r="E5387" t="inlineStr">
        <is>
          <t>KROKOM</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45657-2025</t>
        </is>
      </c>
      <c r="B5388" s="1" t="n">
        <v>45923.34453703704</v>
      </c>
      <c r="C5388" s="1" t="n">
        <v>46045</v>
      </c>
      <c r="D5388" t="inlineStr">
        <is>
          <t>JÄMTLANDS LÄN</t>
        </is>
      </c>
      <c r="E5388" t="inlineStr">
        <is>
          <t>BERG</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785-2024</t>
        </is>
      </c>
      <c r="B5389" s="1" t="n">
        <v>45300</v>
      </c>
      <c r="C5389" s="1" t="n">
        <v>46045</v>
      </c>
      <c r="D5389" t="inlineStr">
        <is>
          <t>JÄMTLANDS LÄN</t>
        </is>
      </c>
      <c r="E5389" t="inlineStr">
        <is>
          <t>KROKOM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207-2025</t>
        </is>
      </c>
      <c r="B5390" s="1" t="n">
        <v>45660.32672453704</v>
      </c>
      <c r="C5390" s="1" t="n">
        <v>46045</v>
      </c>
      <c r="D5390" t="inlineStr">
        <is>
          <t>JÄMTLANDS LÄN</t>
        </is>
      </c>
      <c r="E5390" t="inlineStr">
        <is>
          <t>ÖSTERSUND</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55228-2024</t>
        </is>
      </c>
      <c r="B5391" s="1" t="n">
        <v>45621</v>
      </c>
      <c r="C5391" s="1" t="n">
        <v>46045</v>
      </c>
      <c r="D5391" t="inlineStr">
        <is>
          <t>JÄMTLANDS LÄN</t>
        </is>
      </c>
      <c r="E5391" t="inlineStr">
        <is>
          <t>HÄRJEDALEN</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55246-2024</t>
        </is>
      </c>
      <c r="B5392" s="1" t="n">
        <v>45621</v>
      </c>
      <c r="C5392" s="1" t="n">
        <v>46045</v>
      </c>
      <c r="D5392" t="inlineStr">
        <is>
          <t>JÄMTLANDS LÄN</t>
        </is>
      </c>
      <c r="E5392" t="inlineStr">
        <is>
          <t>HÄRJEDALEN</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43082-2024</t>
        </is>
      </c>
      <c r="B5393" s="1" t="n">
        <v>45567.51068287037</v>
      </c>
      <c r="C5393" s="1" t="n">
        <v>46045</v>
      </c>
      <c r="D5393" t="inlineStr">
        <is>
          <t>JÄMTLANDS LÄN</t>
        </is>
      </c>
      <c r="E5393" t="inlineStr">
        <is>
          <t>ÖSTERSUND</t>
        </is>
      </c>
      <c r="F5393" t="inlineStr">
        <is>
          <t>SCA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54382-2025</t>
        </is>
      </c>
      <c r="B5394" s="1" t="n">
        <v>45965.43498842593</v>
      </c>
      <c r="C5394" s="1" t="n">
        <v>46045</v>
      </c>
      <c r="D5394" t="inlineStr">
        <is>
          <t>JÄMTLANDS LÄN</t>
        </is>
      </c>
      <c r="E5394" t="inlineStr">
        <is>
          <t>STRÖMSUND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45971-2025</t>
        </is>
      </c>
      <c r="B5395" s="1" t="n">
        <v>45924.36534722222</v>
      </c>
      <c r="C5395" s="1" t="n">
        <v>46045</v>
      </c>
      <c r="D5395" t="inlineStr">
        <is>
          <t>JÄMTLANDS LÄN</t>
        </is>
      </c>
      <c r="E5395" t="inlineStr">
        <is>
          <t>BRÄCKE</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61571-2022</t>
        </is>
      </c>
      <c r="B5396" s="1" t="n">
        <v>44916</v>
      </c>
      <c r="C5396" s="1" t="n">
        <v>46045</v>
      </c>
      <c r="D5396" t="inlineStr">
        <is>
          <t>JÄMTLANDS LÄN</t>
        </is>
      </c>
      <c r="E5396" t="inlineStr">
        <is>
          <t>HÄRJEDALEN</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45409-2021</t>
        </is>
      </c>
      <c r="B5397" s="1" t="n">
        <v>44440</v>
      </c>
      <c r="C5397" s="1" t="n">
        <v>46045</v>
      </c>
      <c r="D5397" t="inlineStr">
        <is>
          <t>JÄMTLANDS LÄN</t>
        </is>
      </c>
      <c r="E5397" t="inlineStr">
        <is>
          <t>HÄRJEDALEN</t>
        </is>
      </c>
      <c r="G5397" t="n">
        <v>18.9</v>
      </c>
      <c r="H5397" t="n">
        <v>0</v>
      </c>
      <c r="I5397" t="n">
        <v>0</v>
      </c>
      <c r="J5397" t="n">
        <v>0</v>
      </c>
      <c r="K5397" t="n">
        <v>0</v>
      </c>
      <c r="L5397" t="n">
        <v>0</v>
      </c>
      <c r="M5397" t="n">
        <v>0</v>
      </c>
      <c r="N5397" t="n">
        <v>0</v>
      </c>
      <c r="O5397" t="n">
        <v>0</v>
      </c>
      <c r="P5397" t="n">
        <v>0</v>
      </c>
      <c r="Q5397" t="n">
        <v>0</v>
      </c>
      <c r="R5397" s="2" t="inlineStr"/>
    </row>
    <row r="5398" ht="15" customHeight="1">
      <c r="A5398" t="inlineStr">
        <is>
          <t>A 52723-2023</t>
        </is>
      </c>
      <c r="B5398" s="1" t="n">
        <v>45225</v>
      </c>
      <c r="C5398" s="1" t="n">
        <v>46045</v>
      </c>
      <c r="D5398" t="inlineStr">
        <is>
          <t>JÄMTLANDS LÄN</t>
        </is>
      </c>
      <c r="E5398" t="inlineStr">
        <is>
          <t>BRÄCKE</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14672-2025</t>
        </is>
      </c>
      <c r="B5399" s="1" t="n">
        <v>45742.55269675926</v>
      </c>
      <c r="C5399" s="1" t="n">
        <v>46045</v>
      </c>
      <c r="D5399" t="inlineStr">
        <is>
          <t>JÄMTLANDS LÄN</t>
        </is>
      </c>
      <c r="E5399" t="inlineStr">
        <is>
          <t>BERG</t>
        </is>
      </c>
      <c r="F5399" t="inlineStr">
        <is>
          <t>SCA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45740-2025</t>
        </is>
      </c>
      <c r="B5400" s="1" t="n">
        <v>45923.46938657408</v>
      </c>
      <c r="C5400" s="1" t="n">
        <v>46045</v>
      </c>
      <c r="D5400" t="inlineStr">
        <is>
          <t>JÄMTLANDS LÄN</t>
        </is>
      </c>
      <c r="E5400" t="inlineStr">
        <is>
          <t>BRÄCKE</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56490-2024</t>
        </is>
      </c>
      <c r="B5401" s="1" t="n">
        <v>45625.48765046296</v>
      </c>
      <c r="C5401" s="1" t="n">
        <v>46045</v>
      </c>
      <c r="D5401" t="inlineStr">
        <is>
          <t>JÄMTLANDS LÄN</t>
        </is>
      </c>
      <c r="E5401" t="inlineStr">
        <is>
          <t>BERG</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4354-2025</t>
        </is>
      </c>
      <c r="B5402" s="1" t="n">
        <v>45686.32671296296</v>
      </c>
      <c r="C5402" s="1" t="n">
        <v>46045</v>
      </c>
      <c r="D5402" t="inlineStr">
        <is>
          <t>JÄMTLANDS LÄN</t>
        </is>
      </c>
      <c r="E5402" t="inlineStr">
        <is>
          <t>KROKOM</t>
        </is>
      </c>
      <c r="F5402" t="inlineStr">
        <is>
          <t>SCA</t>
        </is>
      </c>
      <c r="G5402" t="n">
        <v>12.8</v>
      </c>
      <c r="H5402" t="n">
        <v>0</v>
      </c>
      <c r="I5402" t="n">
        <v>0</v>
      </c>
      <c r="J5402" t="n">
        <v>0</v>
      </c>
      <c r="K5402" t="n">
        <v>0</v>
      </c>
      <c r="L5402" t="n">
        <v>0</v>
      </c>
      <c r="M5402" t="n">
        <v>0</v>
      </c>
      <c r="N5402" t="n">
        <v>0</v>
      </c>
      <c r="O5402" t="n">
        <v>0</v>
      </c>
      <c r="P5402" t="n">
        <v>0</v>
      </c>
      <c r="Q5402" t="n">
        <v>0</v>
      </c>
      <c r="R5402" s="2" t="inlineStr"/>
    </row>
    <row r="5403" ht="15" customHeight="1">
      <c r="A5403" t="inlineStr">
        <is>
          <t>A 56504-2024</t>
        </is>
      </c>
      <c r="B5403" s="1" t="n">
        <v>45625.51068287037</v>
      </c>
      <c r="C5403" s="1" t="n">
        <v>46045</v>
      </c>
      <c r="D5403" t="inlineStr">
        <is>
          <t>JÄMTLANDS LÄN</t>
        </is>
      </c>
      <c r="E5403" t="inlineStr">
        <is>
          <t>RAGUNDA</t>
        </is>
      </c>
      <c r="F5403" t="inlineStr">
        <is>
          <t>SCA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29631-2024</t>
        </is>
      </c>
      <c r="B5404" s="1" t="n">
        <v>45484.66521990741</v>
      </c>
      <c r="C5404" s="1" t="n">
        <v>46045</v>
      </c>
      <c r="D5404" t="inlineStr">
        <is>
          <t>JÄMTLANDS LÄN</t>
        </is>
      </c>
      <c r="E5404" t="inlineStr">
        <is>
          <t>HÄRJEDALEN</t>
        </is>
      </c>
      <c r="F5404" t="inlineStr">
        <is>
          <t>Holmen skog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61332-2024</t>
        </is>
      </c>
      <c r="B5405" s="1" t="n">
        <v>45646.35685185185</v>
      </c>
      <c r="C5405" s="1" t="n">
        <v>46045</v>
      </c>
      <c r="D5405" t="inlineStr">
        <is>
          <t>JÄMTLANDS LÄN</t>
        </is>
      </c>
      <c r="E5405" t="inlineStr">
        <is>
          <t>ÖSTERSUND</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29791-2024</t>
        </is>
      </c>
      <c r="B5406" s="1" t="n">
        <v>45485</v>
      </c>
      <c r="C5406" s="1" t="n">
        <v>46045</v>
      </c>
      <c r="D5406" t="inlineStr">
        <is>
          <t>JÄMTLANDS LÄN</t>
        </is>
      </c>
      <c r="E5406" t="inlineStr">
        <is>
          <t>HÄRJEDALEN</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17709-2024</t>
        </is>
      </c>
      <c r="B5407" s="1" t="n">
        <v>45418.4843287037</v>
      </c>
      <c r="C5407" s="1" t="n">
        <v>46045</v>
      </c>
      <c r="D5407" t="inlineStr">
        <is>
          <t>JÄMTLANDS LÄN</t>
        </is>
      </c>
      <c r="E5407" t="inlineStr">
        <is>
          <t>ÖSTERSUND</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8420-2023</t>
        </is>
      </c>
      <c r="B5408" s="1" t="n">
        <v>44977.44643518519</v>
      </c>
      <c r="C5408" s="1" t="n">
        <v>46045</v>
      </c>
      <c r="D5408" t="inlineStr">
        <is>
          <t>JÄMTLANDS LÄN</t>
        </is>
      </c>
      <c r="E5408" t="inlineStr">
        <is>
          <t>HÄRJEDALEN</t>
        </is>
      </c>
      <c r="F5408" t="inlineStr">
        <is>
          <t>Holmen skog AB</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46681-2025</t>
        </is>
      </c>
      <c r="B5409" s="1" t="n">
        <v>45926.54697916667</v>
      </c>
      <c r="C5409" s="1" t="n">
        <v>46045</v>
      </c>
      <c r="D5409" t="inlineStr">
        <is>
          <t>JÄMTLANDS LÄN</t>
        </is>
      </c>
      <c r="E5409" t="inlineStr">
        <is>
          <t>HÄRJEDALEN</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46689-2025</t>
        </is>
      </c>
      <c r="B5410" s="1" t="n">
        <v>45926.55307870371</v>
      </c>
      <c r="C5410" s="1" t="n">
        <v>46045</v>
      </c>
      <c r="D5410" t="inlineStr">
        <is>
          <t>JÄMTLANDS LÄN</t>
        </is>
      </c>
      <c r="E5410" t="inlineStr">
        <is>
          <t>RAGUNDA</t>
        </is>
      </c>
      <c r="F5410" t="inlineStr">
        <is>
          <t>SCA</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45208-2024</t>
        </is>
      </c>
      <c r="B5411" s="1" t="n">
        <v>45575.7077662037</v>
      </c>
      <c r="C5411" s="1" t="n">
        <v>46045</v>
      </c>
      <c r="D5411" t="inlineStr">
        <is>
          <t>JÄMTLANDS LÄN</t>
        </is>
      </c>
      <c r="E5411" t="inlineStr">
        <is>
          <t>BERG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46625-2025</t>
        </is>
      </c>
      <c r="B5412" s="1" t="n">
        <v>45926.44857638889</v>
      </c>
      <c r="C5412" s="1" t="n">
        <v>46045</v>
      </c>
      <c r="D5412" t="inlineStr">
        <is>
          <t>JÄMTLANDS LÄN</t>
        </is>
      </c>
      <c r="E5412" t="inlineStr">
        <is>
          <t>BRÄCKE</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3840-2024</t>
        </is>
      </c>
      <c r="B5413" s="1" t="n">
        <v>45321.94605324074</v>
      </c>
      <c r="C5413" s="1" t="n">
        <v>46045</v>
      </c>
      <c r="D5413" t="inlineStr">
        <is>
          <t>JÄMTLANDS LÄN</t>
        </is>
      </c>
      <c r="E5413" t="inlineStr">
        <is>
          <t>BRÄCKE</t>
        </is>
      </c>
      <c r="F5413" t="inlineStr">
        <is>
          <t>SCA</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71043-2021</t>
        </is>
      </c>
      <c r="B5414" s="1" t="n">
        <v>44538</v>
      </c>
      <c r="C5414" s="1" t="n">
        <v>46045</v>
      </c>
      <c r="D5414" t="inlineStr">
        <is>
          <t>JÄMTLANDS LÄN</t>
        </is>
      </c>
      <c r="E5414" t="inlineStr">
        <is>
          <t>ÅRE</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33590-2023</t>
        </is>
      </c>
      <c r="B5415" s="1" t="n">
        <v>45131.94982638889</v>
      </c>
      <c r="C5415" s="1" t="n">
        <v>46045</v>
      </c>
      <c r="D5415" t="inlineStr">
        <is>
          <t>JÄMTLANDS LÄN</t>
        </is>
      </c>
      <c r="E5415" t="inlineStr">
        <is>
          <t>STRÖMSUND</t>
        </is>
      </c>
      <c r="F5415" t="inlineStr">
        <is>
          <t>SCA</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41634-2024</t>
        </is>
      </c>
      <c r="B5416" s="1" t="n">
        <v>45560.61496527777</v>
      </c>
      <c r="C5416" s="1" t="n">
        <v>46045</v>
      </c>
      <c r="D5416" t="inlineStr">
        <is>
          <t>JÄMTLANDS LÄN</t>
        </is>
      </c>
      <c r="E5416" t="inlineStr">
        <is>
          <t>BERG</t>
        </is>
      </c>
      <c r="F5416" t="inlineStr">
        <is>
          <t>SCA</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41450-2024</t>
        </is>
      </c>
      <c r="B5417" s="1" t="n">
        <v>45560.40653935185</v>
      </c>
      <c r="C5417" s="1" t="n">
        <v>46045</v>
      </c>
      <c r="D5417" t="inlineStr">
        <is>
          <t>JÄMTLANDS LÄN</t>
        </is>
      </c>
      <c r="E5417" t="inlineStr">
        <is>
          <t>BRÄCKE</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7722-2023</t>
        </is>
      </c>
      <c r="B5418" s="1" t="n">
        <v>44972.94140046297</v>
      </c>
      <c r="C5418" s="1" t="n">
        <v>46045</v>
      </c>
      <c r="D5418" t="inlineStr">
        <is>
          <t>JÄMTLANDS LÄN</t>
        </is>
      </c>
      <c r="E5418" t="inlineStr">
        <is>
          <t>RAGUNDA</t>
        </is>
      </c>
      <c r="F5418" t="inlineStr">
        <is>
          <t>SCA</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55436-2024</t>
        </is>
      </c>
      <c r="B5419" s="1" t="n">
        <v>45622.4022337963</v>
      </c>
      <c r="C5419" s="1" t="n">
        <v>46045</v>
      </c>
      <c r="D5419" t="inlineStr">
        <is>
          <t>JÄMTLANDS LÄN</t>
        </is>
      </c>
      <c r="E5419" t="inlineStr">
        <is>
          <t>BRÄCKE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40936-2022</t>
        </is>
      </c>
      <c r="B5420" s="1" t="n">
        <v>44823</v>
      </c>
      <c r="C5420" s="1" t="n">
        <v>46045</v>
      </c>
      <c r="D5420" t="inlineStr">
        <is>
          <t>JÄMTLANDS LÄN</t>
        </is>
      </c>
      <c r="E5420" t="inlineStr">
        <is>
          <t>STRÖMSUND</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51201-2023</t>
        </is>
      </c>
      <c r="B5421" s="1" t="n">
        <v>45219.42320601852</v>
      </c>
      <c r="C5421" s="1" t="n">
        <v>46045</v>
      </c>
      <c r="D5421" t="inlineStr">
        <is>
          <t>JÄMTLANDS LÄN</t>
        </is>
      </c>
      <c r="E5421" t="inlineStr">
        <is>
          <t>BERG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39509-2025</t>
        </is>
      </c>
      <c r="B5422" s="1" t="n">
        <v>45890.40737268519</v>
      </c>
      <c r="C5422" s="1" t="n">
        <v>46045</v>
      </c>
      <c r="D5422" t="inlineStr">
        <is>
          <t>JÄMTLANDS LÄN</t>
        </is>
      </c>
      <c r="E5422" t="inlineStr">
        <is>
          <t>ÅRE</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24011-2023</t>
        </is>
      </c>
      <c r="B5423" s="1" t="n">
        <v>45078</v>
      </c>
      <c r="C5423" s="1" t="n">
        <v>46045</v>
      </c>
      <c r="D5423" t="inlineStr">
        <is>
          <t>JÄMTLANDS LÄN</t>
        </is>
      </c>
      <c r="E5423" t="inlineStr">
        <is>
          <t>BERG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7072-2025</t>
        </is>
      </c>
      <c r="B5424" s="1" t="n">
        <v>45701</v>
      </c>
      <c r="C5424" s="1" t="n">
        <v>46045</v>
      </c>
      <c r="D5424" t="inlineStr">
        <is>
          <t>JÄMTLANDS LÄN</t>
        </is>
      </c>
      <c r="E5424" t="inlineStr">
        <is>
          <t>KROKOM</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24965-2022</t>
        </is>
      </c>
      <c r="B5425" s="1" t="n">
        <v>44728</v>
      </c>
      <c r="C5425" s="1" t="n">
        <v>46045</v>
      </c>
      <c r="D5425" t="inlineStr">
        <is>
          <t>JÄMTLANDS LÄN</t>
        </is>
      </c>
      <c r="E5425" t="inlineStr">
        <is>
          <t>STRÖMSUND</t>
        </is>
      </c>
      <c r="G5425" t="n">
        <v>20.5</v>
      </c>
      <c r="H5425" t="n">
        <v>0</v>
      </c>
      <c r="I5425" t="n">
        <v>0</v>
      </c>
      <c r="J5425" t="n">
        <v>0</v>
      </c>
      <c r="K5425" t="n">
        <v>0</v>
      </c>
      <c r="L5425" t="n">
        <v>0</v>
      </c>
      <c r="M5425" t="n">
        <v>0</v>
      </c>
      <c r="N5425" t="n">
        <v>0</v>
      </c>
      <c r="O5425" t="n">
        <v>0</v>
      </c>
      <c r="P5425" t="n">
        <v>0</v>
      </c>
      <c r="Q5425" t="n">
        <v>0</v>
      </c>
      <c r="R5425" s="2" t="inlineStr"/>
    </row>
    <row r="5426" ht="15" customHeight="1">
      <c r="A5426" t="inlineStr">
        <is>
          <t>A 34516-2025</t>
        </is>
      </c>
      <c r="B5426" s="1" t="n">
        <v>45847.46462962963</v>
      </c>
      <c r="C5426" s="1" t="n">
        <v>46045</v>
      </c>
      <c r="D5426" t="inlineStr">
        <is>
          <t>JÄMTLANDS LÄN</t>
        </is>
      </c>
      <c r="E5426" t="inlineStr">
        <is>
          <t>KROKOM</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44663-2025</t>
        </is>
      </c>
      <c r="B5427" s="1" t="n">
        <v>45917</v>
      </c>
      <c r="C5427" s="1" t="n">
        <v>46045</v>
      </c>
      <c r="D5427" t="inlineStr">
        <is>
          <t>JÄMTLANDS LÄN</t>
        </is>
      </c>
      <c r="E5427" t="inlineStr">
        <is>
          <t>KROKOM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61803-2021</t>
        </is>
      </c>
      <c r="B5428" s="1" t="n">
        <v>44498</v>
      </c>
      <c r="C5428" s="1" t="n">
        <v>46045</v>
      </c>
      <c r="D5428" t="inlineStr">
        <is>
          <t>JÄMTLANDS LÄN</t>
        </is>
      </c>
      <c r="E5428" t="inlineStr">
        <is>
          <t>ÅRE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5544-2025</t>
        </is>
      </c>
      <c r="B5429" s="1" t="n">
        <v>45693</v>
      </c>
      <c r="C5429" s="1" t="n">
        <v>46045</v>
      </c>
      <c r="D5429" t="inlineStr">
        <is>
          <t>JÄMTLANDS LÄN</t>
        </is>
      </c>
      <c r="E5429" t="inlineStr">
        <is>
          <t>ÖSTERSUND</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46623-2025</t>
        </is>
      </c>
      <c r="B5430" s="1" t="n">
        <v>45926.44829861111</v>
      </c>
      <c r="C5430" s="1" t="n">
        <v>46045</v>
      </c>
      <c r="D5430" t="inlineStr">
        <is>
          <t>JÄMTLANDS LÄN</t>
        </is>
      </c>
      <c r="E5430" t="inlineStr">
        <is>
          <t>BRÄCKE</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46624-2025</t>
        </is>
      </c>
      <c r="B5431" s="1" t="n">
        <v>45926.44844907407</v>
      </c>
      <c r="C5431" s="1" t="n">
        <v>46045</v>
      </c>
      <c r="D5431" t="inlineStr">
        <is>
          <t>JÄMTLANDS LÄN</t>
        </is>
      </c>
      <c r="E5431" t="inlineStr">
        <is>
          <t>BRÄCKE</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30809-2024</t>
        </is>
      </c>
      <c r="B5432" s="1" t="n">
        <v>45497</v>
      </c>
      <c r="C5432" s="1" t="n">
        <v>46045</v>
      </c>
      <c r="D5432" t="inlineStr">
        <is>
          <t>JÄMTLANDS LÄN</t>
        </is>
      </c>
      <c r="E5432" t="inlineStr">
        <is>
          <t>STRÖMSUND</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46670-2025</t>
        </is>
      </c>
      <c r="B5433" s="1" t="n">
        <v>45926</v>
      </c>
      <c r="C5433" s="1" t="n">
        <v>46045</v>
      </c>
      <c r="D5433" t="inlineStr">
        <is>
          <t>JÄMTLANDS LÄN</t>
        </is>
      </c>
      <c r="E5433" t="inlineStr">
        <is>
          <t>STRÖMSUND</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20756-2025</t>
        </is>
      </c>
      <c r="B5434" s="1" t="n">
        <v>45776.57333333333</v>
      </c>
      <c r="C5434" s="1" t="n">
        <v>46045</v>
      </c>
      <c r="D5434" t="inlineStr">
        <is>
          <t>JÄMTLANDS LÄN</t>
        </is>
      </c>
      <c r="E5434" t="inlineStr">
        <is>
          <t>BRÄCKE</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4694-2023</t>
        </is>
      </c>
      <c r="B5435" s="1" t="n">
        <v>44957</v>
      </c>
      <c r="C5435" s="1" t="n">
        <v>46045</v>
      </c>
      <c r="D5435" t="inlineStr">
        <is>
          <t>JÄMTLANDS LÄN</t>
        </is>
      </c>
      <c r="E5435" t="inlineStr">
        <is>
          <t>HÄRJEDALEN</t>
        </is>
      </c>
      <c r="F5435" t="inlineStr">
        <is>
          <t>Holmen skog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46216-2025</t>
        </is>
      </c>
      <c r="B5436" s="1" t="n">
        <v>45924.84655092593</v>
      </c>
      <c r="C5436" s="1" t="n">
        <v>46045</v>
      </c>
      <c r="D5436" t="inlineStr">
        <is>
          <t>JÄMTLANDS LÄN</t>
        </is>
      </c>
      <c r="E5436" t="inlineStr">
        <is>
          <t>BRÄCKE</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20653-2025</t>
        </is>
      </c>
      <c r="B5437" s="1" t="n">
        <v>45776.40311342593</v>
      </c>
      <c r="C5437" s="1" t="n">
        <v>46045</v>
      </c>
      <c r="D5437" t="inlineStr">
        <is>
          <t>JÄMTLANDS LÄN</t>
        </is>
      </c>
      <c r="E5437" t="inlineStr">
        <is>
          <t>RAGUNDA</t>
        </is>
      </c>
      <c r="G5437" t="n">
        <v>10.8</v>
      </c>
      <c r="H5437" t="n">
        <v>0</v>
      </c>
      <c r="I5437" t="n">
        <v>0</v>
      </c>
      <c r="J5437" t="n">
        <v>0</v>
      </c>
      <c r="K5437" t="n">
        <v>0</v>
      </c>
      <c r="L5437" t="n">
        <v>0</v>
      </c>
      <c r="M5437" t="n">
        <v>0</v>
      </c>
      <c r="N5437" t="n">
        <v>0</v>
      </c>
      <c r="O5437" t="n">
        <v>0</v>
      </c>
      <c r="P5437" t="n">
        <v>0</v>
      </c>
      <c r="Q5437" t="n">
        <v>0</v>
      </c>
      <c r="R5437" s="2" t="inlineStr"/>
    </row>
    <row r="5438" ht="15" customHeight="1">
      <c r="A5438" t="inlineStr">
        <is>
          <t>A 20778-2025</t>
        </is>
      </c>
      <c r="B5438" s="1" t="n">
        <v>45776.59439814815</v>
      </c>
      <c r="C5438" s="1" t="n">
        <v>46045</v>
      </c>
      <c r="D5438" t="inlineStr">
        <is>
          <t>JÄMTLANDS LÄN</t>
        </is>
      </c>
      <c r="E5438" t="inlineStr">
        <is>
          <t>BRÄCKE</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20783-2025</t>
        </is>
      </c>
      <c r="B5439" s="1" t="n">
        <v>45776.61612268518</v>
      </c>
      <c r="C5439" s="1" t="n">
        <v>46045</v>
      </c>
      <c r="D5439" t="inlineStr">
        <is>
          <t>JÄMTLANDS LÄN</t>
        </is>
      </c>
      <c r="E5439" t="inlineStr">
        <is>
          <t>STRÖMSUND</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46688-2025</t>
        </is>
      </c>
      <c r="B5440" s="1" t="n">
        <v>45926.55293981481</v>
      </c>
      <c r="C5440" s="1" t="n">
        <v>46045</v>
      </c>
      <c r="D5440" t="inlineStr">
        <is>
          <t>JÄMTLANDS LÄN</t>
        </is>
      </c>
      <c r="E5440" t="inlineStr">
        <is>
          <t>STRÖMSUND</t>
        </is>
      </c>
      <c r="F5440" t="inlineStr">
        <is>
          <t>SCA</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20777-2025</t>
        </is>
      </c>
      <c r="B5441" s="1" t="n">
        <v>45776.59422453704</v>
      </c>
      <c r="C5441" s="1" t="n">
        <v>46045</v>
      </c>
      <c r="D5441" t="inlineStr">
        <is>
          <t>JÄMTLANDS LÄN</t>
        </is>
      </c>
      <c r="E5441" t="inlineStr">
        <is>
          <t>RAGUNDA</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14234-2025</t>
        </is>
      </c>
      <c r="B5442" s="1" t="n">
        <v>45740</v>
      </c>
      <c r="C5442" s="1" t="n">
        <v>46045</v>
      </c>
      <c r="D5442" t="inlineStr">
        <is>
          <t>JÄMTLANDS LÄN</t>
        </is>
      </c>
      <c r="E5442" t="inlineStr">
        <is>
          <t>KROKOM</t>
        </is>
      </c>
      <c r="F5442" t="inlineStr">
        <is>
          <t>Övriga statliga verk och myndigheter</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21853-2024</t>
        </is>
      </c>
      <c r="B5443" s="1" t="n">
        <v>45442.96296296296</v>
      </c>
      <c r="C5443" s="1" t="n">
        <v>46045</v>
      </c>
      <c r="D5443" t="inlineStr">
        <is>
          <t>JÄMTLANDS LÄN</t>
        </is>
      </c>
      <c r="E5443" t="inlineStr">
        <is>
          <t>RAGUNDA</t>
        </is>
      </c>
      <c r="F5443" t="inlineStr">
        <is>
          <t>SCA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23941-2024</t>
        </is>
      </c>
      <c r="B5444" s="1" t="n">
        <v>45455.9633912037</v>
      </c>
      <c r="C5444" s="1" t="n">
        <v>46045</v>
      </c>
      <c r="D5444" t="inlineStr">
        <is>
          <t>JÄMTLANDS LÄN</t>
        </is>
      </c>
      <c r="E5444" t="inlineStr">
        <is>
          <t>STRÖMSUND</t>
        </is>
      </c>
      <c r="F5444" t="inlineStr">
        <is>
          <t>SCA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42681-2024</t>
        </is>
      </c>
      <c r="B5445" s="1" t="n">
        <v>45566.37802083333</v>
      </c>
      <c r="C5445" s="1" t="n">
        <v>46045</v>
      </c>
      <c r="D5445" t="inlineStr">
        <is>
          <t>JÄMTLANDS LÄN</t>
        </is>
      </c>
      <c r="E5445" t="inlineStr">
        <is>
          <t>STRÖMSUND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24103-2025</t>
        </is>
      </c>
      <c r="B5446" s="1" t="n">
        <v>45796</v>
      </c>
      <c r="C5446" s="1" t="n">
        <v>46045</v>
      </c>
      <c r="D5446" t="inlineStr">
        <is>
          <t>JÄMTLANDS LÄN</t>
        </is>
      </c>
      <c r="E5446" t="inlineStr">
        <is>
          <t>KROKOM</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46567-2025</t>
        </is>
      </c>
      <c r="B5447" s="1" t="n">
        <v>45926.36528935185</v>
      </c>
      <c r="C5447" s="1" t="n">
        <v>46045</v>
      </c>
      <c r="D5447" t="inlineStr">
        <is>
          <t>JÄMTLANDS LÄN</t>
        </is>
      </c>
      <c r="E5447" t="inlineStr">
        <is>
          <t>STRÖMSUND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20814-2025</t>
        </is>
      </c>
      <c r="B5448" s="1" t="n">
        <v>45776.67769675926</v>
      </c>
      <c r="C5448" s="1" t="n">
        <v>46045</v>
      </c>
      <c r="D5448" t="inlineStr">
        <is>
          <t>JÄMTLANDS LÄN</t>
        </is>
      </c>
      <c r="E5448" t="inlineStr">
        <is>
          <t>STRÖMSUND</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20815-2025</t>
        </is>
      </c>
      <c r="B5449" s="1" t="n">
        <v>45776.67771990741</v>
      </c>
      <c r="C5449" s="1" t="n">
        <v>46045</v>
      </c>
      <c r="D5449" t="inlineStr">
        <is>
          <t>JÄMTLANDS LÄN</t>
        </is>
      </c>
      <c r="E5449" t="inlineStr">
        <is>
          <t>STRÖMSUND</t>
        </is>
      </c>
      <c r="F5449" t="inlineStr">
        <is>
          <t>SCA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46479-2025</t>
        </is>
      </c>
      <c r="B5450" s="1" t="n">
        <v>45925.6985300926</v>
      </c>
      <c r="C5450" s="1" t="n">
        <v>46045</v>
      </c>
      <c r="D5450" t="inlineStr">
        <is>
          <t>JÄMTLANDS LÄN</t>
        </is>
      </c>
      <c r="E5450" t="inlineStr">
        <is>
          <t>STRÖMSUND</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29775-2023</t>
        </is>
      </c>
      <c r="B5451" s="1" t="n">
        <v>45098</v>
      </c>
      <c r="C5451" s="1" t="n">
        <v>46045</v>
      </c>
      <c r="D5451" t="inlineStr">
        <is>
          <t>JÄMTLANDS LÄN</t>
        </is>
      </c>
      <c r="E5451" t="inlineStr">
        <is>
          <t>RAGUNDA</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20722-2025</t>
        </is>
      </c>
      <c r="B5452" s="1" t="n">
        <v>45776.50651620371</v>
      </c>
      <c r="C5452" s="1" t="n">
        <v>46045</v>
      </c>
      <c r="D5452" t="inlineStr">
        <is>
          <t>JÄMTLANDS LÄN</t>
        </is>
      </c>
      <c r="E5452" t="inlineStr">
        <is>
          <t>RAGUNDA</t>
        </is>
      </c>
      <c r="F5452" t="inlineStr">
        <is>
          <t>Kommuner</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20728-2025</t>
        </is>
      </c>
      <c r="B5453" s="1" t="n">
        <v>45776.51130787037</v>
      </c>
      <c r="C5453" s="1" t="n">
        <v>46045</v>
      </c>
      <c r="D5453" t="inlineStr">
        <is>
          <t>JÄMTLANDS LÄN</t>
        </is>
      </c>
      <c r="E5453" t="inlineStr">
        <is>
          <t>RAGUNDA</t>
        </is>
      </c>
      <c r="F5453" t="inlineStr">
        <is>
          <t>Kommuner</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10536-2021</t>
        </is>
      </c>
      <c r="B5454" s="1" t="n">
        <v>44258</v>
      </c>
      <c r="C5454" s="1" t="n">
        <v>46045</v>
      </c>
      <c r="D5454" t="inlineStr">
        <is>
          <t>JÄMTLANDS LÄN</t>
        </is>
      </c>
      <c r="E5454" t="inlineStr">
        <is>
          <t>HÄRJEDALEN</t>
        </is>
      </c>
      <c r="G5454" t="n">
        <v>18.7</v>
      </c>
      <c r="H5454" t="n">
        <v>0</v>
      </c>
      <c r="I5454" t="n">
        <v>0</v>
      </c>
      <c r="J5454" t="n">
        <v>0</v>
      </c>
      <c r="K5454" t="n">
        <v>0</v>
      </c>
      <c r="L5454" t="n">
        <v>0</v>
      </c>
      <c r="M5454" t="n">
        <v>0</v>
      </c>
      <c r="N5454" t="n">
        <v>0</v>
      </c>
      <c r="O5454" t="n">
        <v>0</v>
      </c>
      <c r="P5454" t="n">
        <v>0</v>
      </c>
      <c r="Q5454" t="n">
        <v>0</v>
      </c>
      <c r="R5454" s="2" t="inlineStr"/>
    </row>
    <row r="5455" ht="15" customHeight="1">
      <c r="A5455" t="inlineStr">
        <is>
          <t>A 46217-2025</t>
        </is>
      </c>
      <c r="B5455" s="1" t="n">
        <v>45924.8475925926</v>
      </c>
      <c r="C5455" s="1" t="n">
        <v>46045</v>
      </c>
      <c r="D5455" t="inlineStr">
        <is>
          <t>JÄMTLANDS LÄN</t>
        </is>
      </c>
      <c r="E5455" t="inlineStr">
        <is>
          <t>BRÄCKE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16634-2025</t>
        </is>
      </c>
      <c r="B5456" s="1" t="n">
        <v>45754.3653125</v>
      </c>
      <c r="C5456" s="1" t="n">
        <v>46045</v>
      </c>
      <c r="D5456" t="inlineStr">
        <is>
          <t>JÄMTLANDS LÄN</t>
        </is>
      </c>
      <c r="E5456" t="inlineStr">
        <is>
          <t>BRÄCKE</t>
        </is>
      </c>
      <c r="F5456" t="inlineStr">
        <is>
          <t>SCA</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18780-2025</t>
        </is>
      </c>
      <c r="B5457" s="1" t="n">
        <v>45763</v>
      </c>
      <c r="C5457" s="1" t="n">
        <v>46045</v>
      </c>
      <c r="D5457" t="inlineStr">
        <is>
          <t>JÄMTLANDS LÄN</t>
        </is>
      </c>
      <c r="E5457" t="inlineStr">
        <is>
          <t>STRÖMSUND</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55459-2022</t>
        </is>
      </c>
      <c r="B5458" s="1" t="n">
        <v>44882</v>
      </c>
      <c r="C5458" s="1" t="n">
        <v>46045</v>
      </c>
      <c r="D5458" t="inlineStr">
        <is>
          <t>JÄMTLANDS LÄN</t>
        </is>
      </c>
      <c r="E5458" t="inlineStr">
        <is>
          <t>STRÖMSUND</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55479-2022</t>
        </is>
      </c>
      <c r="B5459" s="1" t="n">
        <v>44887</v>
      </c>
      <c r="C5459" s="1" t="n">
        <v>46045</v>
      </c>
      <c r="D5459" t="inlineStr">
        <is>
          <t>JÄMTLANDS LÄN</t>
        </is>
      </c>
      <c r="E5459" t="inlineStr">
        <is>
          <t>KROKOM</t>
        </is>
      </c>
      <c r="F5459" t="inlineStr">
        <is>
          <t>Övriga Aktiebolag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9623-2025</t>
        </is>
      </c>
      <c r="B5460" s="1" t="n">
        <v>45715</v>
      </c>
      <c r="C5460" s="1" t="n">
        <v>46045</v>
      </c>
      <c r="D5460" t="inlineStr">
        <is>
          <t>JÄMTLANDS LÄN</t>
        </is>
      </c>
      <c r="E5460" t="inlineStr">
        <is>
          <t>KROKOM</t>
        </is>
      </c>
      <c r="F5460" t="inlineStr">
        <is>
          <t>Kyrkan</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46516-2025</t>
        </is>
      </c>
      <c r="B5461" s="1" t="n">
        <v>45926.29324074074</v>
      </c>
      <c r="C5461" s="1" t="n">
        <v>46045</v>
      </c>
      <c r="D5461" t="inlineStr">
        <is>
          <t>JÄMTLANDS LÄN</t>
        </is>
      </c>
      <c r="E5461" t="inlineStr">
        <is>
          <t>KROKOM</t>
        </is>
      </c>
      <c r="F5461" t="inlineStr">
        <is>
          <t>Övriga Aktiebolag</t>
        </is>
      </c>
      <c r="G5461" t="n">
        <v>18.7</v>
      </c>
      <c r="H5461" t="n">
        <v>0</v>
      </c>
      <c r="I5461" t="n">
        <v>0</v>
      </c>
      <c r="J5461" t="n">
        <v>0</v>
      </c>
      <c r="K5461" t="n">
        <v>0</v>
      </c>
      <c r="L5461" t="n">
        <v>0</v>
      </c>
      <c r="M5461" t="n">
        <v>0</v>
      </c>
      <c r="N5461" t="n">
        <v>0</v>
      </c>
      <c r="O5461" t="n">
        <v>0</v>
      </c>
      <c r="P5461" t="n">
        <v>0</v>
      </c>
      <c r="Q5461" t="n">
        <v>0</v>
      </c>
      <c r="R5461" s="2" t="inlineStr"/>
    </row>
    <row r="5462" ht="15" customHeight="1">
      <c r="A5462" t="inlineStr">
        <is>
          <t>A 30742-2024</t>
        </is>
      </c>
      <c r="B5462" s="1" t="n">
        <v>45496.66903935185</v>
      </c>
      <c r="C5462" s="1" t="n">
        <v>46045</v>
      </c>
      <c r="D5462" t="inlineStr">
        <is>
          <t>JÄMTLANDS LÄN</t>
        </is>
      </c>
      <c r="E5462" t="inlineStr">
        <is>
          <t>HÄRJEDALEN</t>
        </is>
      </c>
      <c r="F5462" t="inlineStr">
        <is>
          <t>Bergvik skog väst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31710-2024</t>
        </is>
      </c>
      <c r="B5463" s="1" t="n">
        <v>45508.9509837963</v>
      </c>
      <c r="C5463" s="1" t="n">
        <v>46045</v>
      </c>
      <c r="D5463" t="inlineStr">
        <is>
          <t>JÄMTLANDS LÄN</t>
        </is>
      </c>
      <c r="E5463" t="inlineStr">
        <is>
          <t>STRÖMSUND</t>
        </is>
      </c>
      <c r="F5463" t="inlineStr">
        <is>
          <t>SCA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46275-2025</t>
        </is>
      </c>
      <c r="B5464" s="1" t="n">
        <v>45925.3711574074</v>
      </c>
      <c r="C5464" s="1" t="n">
        <v>46045</v>
      </c>
      <c r="D5464" t="inlineStr">
        <is>
          <t>JÄMTLANDS LÄN</t>
        </is>
      </c>
      <c r="E5464" t="inlineStr">
        <is>
          <t>RAGUNDA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5938-2025</t>
        </is>
      </c>
      <c r="B5465" s="1" t="n">
        <v>45695.45868055556</v>
      </c>
      <c r="C5465" s="1" t="n">
        <v>46045</v>
      </c>
      <c r="D5465" t="inlineStr">
        <is>
          <t>JÄMTLANDS LÄN</t>
        </is>
      </c>
      <c r="E5465" t="inlineStr">
        <is>
          <t>RAGUNDA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5943-2025</t>
        </is>
      </c>
      <c r="B5466" s="1" t="n">
        <v>45695.46907407408</v>
      </c>
      <c r="C5466" s="1" t="n">
        <v>46045</v>
      </c>
      <c r="D5466" t="inlineStr">
        <is>
          <t>JÄMTLANDS LÄN</t>
        </is>
      </c>
      <c r="E5466" t="inlineStr">
        <is>
          <t>STRÖMSUND</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40365-2024</t>
        </is>
      </c>
      <c r="B5467" s="1" t="n">
        <v>45555.38509259259</v>
      </c>
      <c r="C5467" s="1" t="n">
        <v>46045</v>
      </c>
      <c r="D5467" t="inlineStr">
        <is>
          <t>JÄMTLANDS LÄN</t>
        </is>
      </c>
      <c r="E5467" t="inlineStr">
        <is>
          <t>RAGUNDA</t>
        </is>
      </c>
      <c r="G5467" t="n">
        <v>7.8</v>
      </c>
      <c r="H5467" t="n">
        <v>0</v>
      </c>
      <c r="I5467" t="n">
        <v>0</v>
      </c>
      <c r="J5467" t="n">
        <v>0</v>
      </c>
      <c r="K5467" t="n">
        <v>0</v>
      </c>
      <c r="L5467" t="n">
        <v>0</v>
      </c>
      <c r="M5467" t="n">
        <v>0</v>
      </c>
      <c r="N5467" t="n">
        <v>0</v>
      </c>
      <c r="O5467" t="n">
        <v>0</v>
      </c>
      <c r="P5467" t="n">
        <v>0</v>
      </c>
      <c r="Q5467" t="n">
        <v>0</v>
      </c>
      <c r="R5467" s="2" t="inlineStr"/>
    </row>
    <row r="5468" ht="15" customHeight="1">
      <c r="A5468" t="inlineStr">
        <is>
          <t>A 46355-2025</t>
        </is>
      </c>
      <c r="B5468" s="1" t="n">
        <v>45925.49006944444</v>
      </c>
      <c r="C5468" s="1" t="n">
        <v>46045</v>
      </c>
      <c r="D5468" t="inlineStr">
        <is>
          <t>JÄMTLANDS LÄN</t>
        </is>
      </c>
      <c r="E5468" t="inlineStr">
        <is>
          <t>STRÖMSUND</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60654-2024</t>
        </is>
      </c>
      <c r="B5469" s="1" t="n">
        <v>45644</v>
      </c>
      <c r="C5469" s="1" t="n">
        <v>46045</v>
      </c>
      <c r="D5469" t="inlineStr">
        <is>
          <t>JÄMTLANDS LÄN</t>
        </is>
      </c>
      <c r="E5469" t="inlineStr">
        <is>
          <t>BRÄCKE</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7547-2025</t>
        </is>
      </c>
      <c r="B5470" s="1" t="n">
        <v>45705.57423611111</v>
      </c>
      <c r="C5470" s="1" t="n">
        <v>46045</v>
      </c>
      <c r="D5470" t="inlineStr">
        <is>
          <t>JÄMTLANDS LÄN</t>
        </is>
      </c>
      <c r="E5470" t="inlineStr">
        <is>
          <t>STRÖMSUND</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46686-2025</t>
        </is>
      </c>
      <c r="B5471" s="1" t="n">
        <v>45926.55258101852</v>
      </c>
      <c r="C5471" s="1" t="n">
        <v>46045</v>
      </c>
      <c r="D5471" t="inlineStr">
        <is>
          <t>JÄMTLANDS LÄN</t>
        </is>
      </c>
      <c r="E5471" t="inlineStr">
        <is>
          <t>BRÄCKE</t>
        </is>
      </c>
      <c r="F5471" t="inlineStr">
        <is>
          <t>SCA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46687-2025</t>
        </is>
      </c>
      <c r="B5472" s="1" t="n">
        <v>45926.55288194444</v>
      </c>
      <c r="C5472" s="1" t="n">
        <v>46045</v>
      </c>
      <c r="D5472" t="inlineStr">
        <is>
          <t>JÄMTLANDS LÄN</t>
        </is>
      </c>
      <c r="E5472" t="inlineStr">
        <is>
          <t>STRÖMSUND</t>
        </is>
      </c>
      <c r="F5472" t="inlineStr">
        <is>
          <t>SCA</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46710-2025</t>
        </is>
      </c>
      <c r="B5473" s="1" t="n">
        <v>45926.57337962963</v>
      </c>
      <c r="C5473" s="1" t="n">
        <v>46045</v>
      </c>
      <c r="D5473" t="inlineStr">
        <is>
          <t>JÄMTLANDS LÄN</t>
        </is>
      </c>
      <c r="E5473" t="inlineStr">
        <is>
          <t>RAGUNDA</t>
        </is>
      </c>
      <c r="F5473" t="inlineStr">
        <is>
          <t>SCA</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46751-2025</t>
        </is>
      </c>
      <c r="B5474" s="1" t="n">
        <v>45926.6153125</v>
      </c>
      <c r="C5474" s="1" t="n">
        <v>46045</v>
      </c>
      <c r="D5474" t="inlineStr">
        <is>
          <t>JÄMTLANDS LÄN</t>
        </is>
      </c>
      <c r="E5474" t="inlineStr">
        <is>
          <t>RAGUNDA</t>
        </is>
      </c>
      <c r="F5474" t="inlineStr">
        <is>
          <t>SCA</t>
        </is>
      </c>
      <c r="G5474" t="n">
        <v>7.8</v>
      </c>
      <c r="H5474" t="n">
        <v>0</v>
      </c>
      <c r="I5474" t="n">
        <v>0</v>
      </c>
      <c r="J5474" t="n">
        <v>0</v>
      </c>
      <c r="K5474" t="n">
        <v>0</v>
      </c>
      <c r="L5474" t="n">
        <v>0</v>
      </c>
      <c r="M5474" t="n">
        <v>0</v>
      </c>
      <c r="N5474" t="n">
        <v>0</v>
      </c>
      <c r="O5474" t="n">
        <v>0</v>
      </c>
      <c r="P5474" t="n">
        <v>0</v>
      </c>
      <c r="Q5474" t="n">
        <v>0</v>
      </c>
      <c r="R5474" s="2" t="inlineStr"/>
    </row>
    <row r="5475" ht="15" customHeight="1">
      <c r="A5475" t="inlineStr">
        <is>
          <t>A 46753-2025</t>
        </is>
      </c>
      <c r="B5475" s="1" t="n">
        <v>45926.61552083334</v>
      </c>
      <c r="C5475" s="1" t="n">
        <v>46045</v>
      </c>
      <c r="D5475" t="inlineStr">
        <is>
          <t>JÄMTLANDS LÄN</t>
        </is>
      </c>
      <c r="E5475" t="inlineStr">
        <is>
          <t>RAGUNDA</t>
        </is>
      </c>
      <c r="F5475" t="inlineStr">
        <is>
          <t>SCA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20667-2025</t>
        </is>
      </c>
      <c r="B5476" s="1" t="n">
        <v>45776.42745370371</v>
      </c>
      <c r="C5476" s="1" t="n">
        <v>46045</v>
      </c>
      <c r="D5476" t="inlineStr">
        <is>
          <t>JÄMTLANDS LÄN</t>
        </is>
      </c>
      <c r="E5476" t="inlineStr">
        <is>
          <t>STRÖMSUND</t>
        </is>
      </c>
      <c r="F5476" t="inlineStr">
        <is>
          <t>SCA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20672-2025</t>
        </is>
      </c>
      <c r="B5477" s="1" t="n">
        <v>45776.43898148148</v>
      </c>
      <c r="C5477" s="1" t="n">
        <v>46045</v>
      </c>
      <c r="D5477" t="inlineStr">
        <is>
          <t>JÄMTLANDS LÄN</t>
        </is>
      </c>
      <c r="E5477" t="inlineStr">
        <is>
          <t>HÄRJEDALEN</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57748-2023</t>
        </is>
      </c>
      <c r="B5478" s="1" t="n">
        <v>45246</v>
      </c>
      <c r="C5478" s="1" t="n">
        <v>46045</v>
      </c>
      <c r="D5478" t="inlineStr">
        <is>
          <t>JÄMTLANDS LÄN</t>
        </is>
      </c>
      <c r="E5478" t="inlineStr">
        <is>
          <t>STRÖMSUND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46811-2025</t>
        </is>
      </c>
      <c r="B5479" s="1" t="n">
        <v>45926.69831018519</v>
      </c>
      <c r="C5479" s="1" t="n">
        <v>46045</v>
      </c>
      <c r="D5479" t="inlineStr">
        <is>
          <t>JÄMTLANDS LÄN</t>
        </is>
      </c>
      <c r="E5479" t="inlineStr">
        <is>
          <t>BERG</t>
        </is>
      </c>
      <c r="F5479" t="inlineStr">
        <is>
          <t>SCA</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61419-2021</t>
        </is>
      </c>
      <c r="B5480" s="1" t="n">
        <v>44500.93606481481</v>
      </c>
      <c r="C5480" s="1" t="n">
        <v>46045</v>
      </c>
      <c r="D5480" t="inlineStr">
        <is>
          <t>JÄMTLANDS LÄN</t>
        </is>
      </c>
      <c r="E5480" t="inlineStr">
        <is>
          <t>STRÖMSUND</t>
        </is>
      </c>
      <c r="F5480" t="inlineStr">
        <is>
          <t>SCA</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46388-2025</t>
        </is>
      </c>
      <c r="B5481" s="1" t="n">
        <v>45925</v>
      </c>
      <c r="C5481" s="1" t="n">
        <v>46045</v>
      </c>
      <c r="D5481" t="inlineStr">
        <is>
          <t>JÄMTLANDS LÄN</t>
        </is>
      </c>
      <c r="E5481" t="inlineStr">
        <is>
          <t>STRÖMSUND</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61538-2024</t>
        </is>
      </c>
      <c r="B5482" s="1" t="n">
        <v>45646.5940625</v>
      </c>
      <c r="C5482" s="1" t="n">
        <v>46045</v>
      </c>
      <c r="D5482" t="inlineStr">
        <is>
          <t>JÄMTLANDS LÄN</t>
        </is>
      </c>
      <c r="E5482" t="inlineStr">
        <is>
          <t>STRÖMSUND</t>
        </is>
      </c>
      <c r="F5482" t="inlineStr">
        <is>
          <t>SCA</t>
        </is>
      </c>
      <c r="G5482" t="n">
        <v>24.4</v>
      </c>
      <c r="H5482" t="n">
        <v>0</v>
      </c>
      <c r="I5482" t="n">
        <v>0</v>
      </c>
      <c r="J5482" t="n">
        <v>0</v>
      </c>
      <c r="K5482" t="n">
        <v>0</v>
      </c>
      <c r="L5482" t="n">
        <v>0</v>
      </c>
      <c r="M5482" t="n">
        <v>0</v>
      </c>
      <c r="N5482" t="n">
        <v>0</v>
      </c>
      <c r="O5482" t="n">
        <v>0</v>
      </c>
      <c r="P5482" t="n">
        <v>0</v>
      </c>
      <c r="Q5482" t="n">
        <v>0</v>
      </c>
      <c r="R5482" s="2" t="inlineStr"/>
    </row>
    <row r="5483" ht="15" customHeight="1">
      <c r="A5483" t="inlineStr">
        <is>
          <t>A 33112-2024</t>
        </is>
      </c>
      <c r="B5483" s="1" t="n">
        <v>45517.92994212963</v>
      </c>
      <c r="C5483" s="1" t="n">
        <v>46045</v>
      </c>
      <c r="D5483" t="inlineStr">
        <is>
          <t>JÄMTLANDS LÄN</t>
        </is>
      </c>
      <c r="E5483" t="inlineStr">
        <is>
          <t>BRÄCKE</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61539-2024</t>
        </is>
      </c>
      <c r="B5484" s="1" t="n">
        <v>45646.59420138889</v>
      </c>
      <c r="C5484" s="1" t="n">
        <v>46045</v>
      </c>
      <c r="D5484" t="inlineStr">
        <is>
          <t>JÄMTLANDS LÄN</t>
        </is>
      </c>
      <c r="E5484" t="inlineStr">
        <is>
          <t>STRÖMSUND</t>
        </is>
      </c>
      <c r="F5484" t="inlineStr">
        <is>
          <t>SCA</t>
        </is>
      </c>
      <c r="G5484" t="n">
        <v>25.5</v>
      </c>
      <c r="H5484" t="n">
        <v>0</v>
      </c>
      <c r="I5484" t="n">
        <v>0</v>
      </c>
      <c r="J5484" t="n">
        <v>0</v>
      </c>
      <c r="K5484" t="n">
        <v>0</v>
      </c>
      <c r="L5484" t="n">
        <v>0</v>
      </c>
      <c r="M5484" t="n">
        <v>0</v>
      </c>
      <c r="N5484" t="n">
        <v>0</v>
      </c>
      <c r="O5484" t="n">
        <v>0</v>
      </c>
      <c r="P5484" t="n">
        <v>0</v>
      </c>
      <c r="Q5484" t="n">
        <v>0</v>
      </c>
      <c r="R5484" s="2" t="inlineStr"/>
    </row>
    <row r="5485" ht="15" customHeight="1">
      <c r="A5485" t="inlineStr">
        <is>
          <t>A 46796-2025</t>
        </is>
      </c>
      <c r="B5485" s="1" t="n">
        <v>45926.65686342592</v>
      </c>
      <c r="C5485" s="1" t="n">
        <v>46045</v>
      </c>
      <c r="D5485" t="inlineStr">
        <is>
          <t>JÄMTLANDS LÄN</t>
        </is>
      </c>
      <c r="E5485" t="inlineStr">
        <is>
          <t>KROKOM</t>
        </is>
      </c>
      <c r="F5485" t="inlineStr">
        <is>
          <t>SCA</t>
        </is>
      </c>
      <c r="G5485" t="n">
        <v>10.1</v>
      </c>
      <c r="H5485" t="n">
        <v>0</v>
      </c>
      <c r="I5485" t="n">
        <v>0</v>
      </c>
      <c r="J5485" t="n">
        <v>0</v>
      </c>
      <c r="K5485" t="n">
        <v>0</v>
      </c>
      <c r="L5485" t="n">
        <v>0</v>
      </c>
      <c r="M5485" t="n">
        <v>0</v>
      </c>
      <c r="N5485" t="n">
        <v>0</v>
      </c>
      <c r="O5485" t="n">
        <v>0</v>
      </c>
      <c r="P5485" t="n">
        <v>0</v>
      </c>
      <c r="Q5485" t="n">
        <v>0</v>
      </c>
      <c r="R5485" s="2" t="inlineStr"/>
    </row>
    <row r="5486" ht="15" customHeight="1">
      <c r="A5486" t="inlineStr">
        <is>
          <t>A 20870-2025</t>
        </is>
      </c>
      <c r="B5486" s="1" t="n">
        <v>45777.34517361111</v>
      </c>
      <c r="C5486" s="1" t="n">
        <v>46045</v>
      </c>
      <c r="D5486" t="inlineStr">
        <is>
          <t>JÄMTLANDS LÄN</t>
        </is>
      </c>
      <c r="E5486" t="inlineStr">
        <is>
          <t>BRÄCKE</t>
        </is>
      </c>
      <c r="F5486" t="inlineStr">
        <is>
          <t>SCA</t>
        </is>
      </c>
      <c r="G5486" t="n">
        <v>8.5</v>
      </c>
      <c r="H5486" t="n">
        <v>0</v>
      </c>
      <c r="I5486" t="n">
        <v>0</v>
      </c>
      <c r="J5486" t="n">
        <v>0</v>
      </c>
      <c r="K5486" t="n">
        <v>0</v>
      </c>
      <c r="L5486" t="n">
        <v>0</v>
      </c>
      <c r="M5486" t="n">
        <v>0</v>
      </c>
      <c r="N5486" t="n">
        <v>0</v>
      </c>
      <c r="O5486" t="n">
        <v>0</v>
      </c>
      <c r="P5486" t="n">
        <v>0</v>
      </c>
      <c r="Q5486" t="n">
        <v>0</v>
      </c>
      <c r="R5486" s="2" t="inlineStr"/>
    </row>
    <row r="5487" ht="15" customHeight="1">
      <c r="A5487" t="inlineStr">
        <is>
          <t>A 11591-2022</t>
        </is>
      </c>
      <c r="B5487" s="1" t="n">
        <v>44631</v>
      </c>
      <c r="C5487" s="1" t="n">
        <v>46045</v>
      </c>
      <c r="D5487" t="inlineStr">
        <is>
          <t>JÄMTLANDS LÄN</t>
        </is>
      </c>
      <c r="E5487" t="inlineStr">
        <is>
          <t>KROKOM</t>
        </is>
      </c>
      <c r="G5487" t="n">
        <v>2</v>
      </c>
      <c r="H5487" t="n">
        <v>0</v>
      </c>
      <c r="I5487" t="n">
        <v>0</v>
      </c>
      <c r="J5487" t="n">
        <v>0</v>
      </c>
      <c r="K5487" t="n">
        <v>0</v>
      </c>
      <c r="L5487" t="n">
        <v>0</v>
      </c>
      <c r="M5487" t="n">
        <v>0</v>
      </c>
      <c r="N5487" t="n">
        <v>0</v>
      </c>
      <c r="O5487" t="n">
        <v>0</v>
      </c>
      <c r="P5487" t="n">
        <v>0</v>
      </c>
      <c r="Q5487" t="n">
        <v>0</v>
      </c>
      <c r="R5487" s="2" t="inlineStr"/>
      <c r="U5487">
        <f>HYPERLINK("https://klasma.github.io/Logging_2309/knärot/A 11591-2022 karta knärot.png", "A 11591-2022")</f>
        <v/>
      </c>
      <c r="V5487">
        <f>HYPERLINK("https://klasma.github.io/Logging_2309/klagomål/A 11591-2022 FSC-klagomål.docx", "A 11591-2022")</f>
        <v/>
      </c>
      <c r="W5487">
        <f>HYPERLINK("https://klasma.github.io/Logging_2309/klagomålsmail/A 11591-2022 FSC-klagomål mail.docx", "A 11591-2022")</f>
        <v/>
      </c>
      <c r="X5487">
        <f>HYPERLINK("https://klasma.github.io/Logging_2309/tillsyn/A 11591-2022 tillsynsbegäran.docx", "A 11591-2022")</f>
        <v/>
      </c>
      <c r="Y5487">
        <f>HYPERLINK("https://klasma.github.io/Logging_2309/tillsynsmail/A 11591-2022 tillsynsbegäran mail.docx", "A 11591-2022")</f>
        <v/>
      </c>
    </row>
    <row r="5488" ht="15" customHeight="1">
      <c r="A5488" t="inlineStr">
        <is>
          <t>A 21060-2025</t>
        </is>
      </c>
      <c r="B5488" s="1" t="n">
        <v>45777.58025462963</v>
      </c>
      <c r="C5488" s="1" t="n">
        <v>46045</v>
      </c>
      <c r="D5488" t="inlineStr">
        <is>
          <t>JÄMTLANDS LÄN</t>
        </is>
      </c>
      <c r="E5488" t="inlineStr">
        <is>
          <t>ÖSTERSUND</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46429-2025</t>
        </is>
      </c>
      <c r="B5489" s="1" t="n">
        <v>45925.6144212963</v>
      </c>
      <c r="C5489" s="1" t="n">
        <v>46045</v>
      </c>
      <c r="D5489" t="inlineStr">
        <is>
          <t>JÄMTLANDS LÄN</t>
        </is>
      </c>
      <c r="E5489" t="inlineStr">
        <is>
          <t>HÄRJEDALEN</t>
        </is>
      </c>
      <c r="F5489" t="inlineStr">
        <is>
          <t>Bergvik skog öst AB</t>
        </is>
      </c>
      <c r="G5489" t="n">
        <v>9.300000000000001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46265-2025</t>
        </is>
      </c>
      <c r="B5490" s="1" t="n">
        <v>45925.36509259259</v>
      </c>
      <c r="C5490" s="1" t="n">
        <v>46045</v>
      </c>
      <c r="D5490" t="inlineStr">
        <is>
          <t>JÄMTLANDS LÄN</t>
        </is>
      </c>
      <c r="E5490" t="inlineStr">
        <is>
          <t>STRÖMSUND</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46331-2025</t>
        </is>
      </c>
      <c r="B5491" s="1" t="n">
        <v>45925.45605324074</v>
      </c>
      <c r="C5491" s="1" t="n">
        <v>46045</v>
      </c>
      <c r="D5491" t="inlineStr">
        <is>
          <t>JÄMTLANDS LÄN</t>
        </is>
      </c>
      <c r="E5491" t="inlineStr">
        <is>
          <t>KROKOM</t>
        </is>
      </c>
      <c r="F5491" t="inlineStr">
        <is>
          <t>Övriga Aktiebolag</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55129-2025</t>
        </is>
      </c>
      <c r="B5492" s="1" t="n">
        <v>45968.41502314815</v>
      </c>
      <c r="C5492" s="1" t="n">
        <v>46045</v>
      </c>
      <c r="D5492" t="inlineStr">
        <is>
          <t>JÄMTLANDS LÄN</t>
        </is>
      </c>
      <c r="E5492" t="inlineStr">
        <is>
          <t>ÅRE</t>
        </is>
      </c>
      <c r="F5492" t="inlineStr">
        <is>
          <t>Övriga Aktiebolag</t>
        </is>
      </c>
      <c r="G5492" t="n">
        <v>103.3</v>
      </c>
      <c r="H5492" t="n">
        <v>0</v>
      </c>
      <c r="I5492" t="n">
        <v>0</v>
      </c>
      <c r="J5492" t="n">
        <v>0</v>
      </c>
      <c r="K5492" t="n">
        <v>0</v>
      </c>
      <c r="L5492" t="n">
        <v>0</v>
      </c>
      <c r="M5492" t="n">
        <v>0</v>
      </c>
      <c r="N5492" t="n">
        <v>0</v>
      </c>
      <c r="O5492" t="n">
        <v>0</v>
      </c>
      <c r="P5492" t="n">
        <v>0</v>
      </c>
      <c r="Q5492" t="n">
        <v>0</v>
      </c>
      <c r="R5492" s="2" t="inlineStr"/>
    </row>
    <row r="5493" ht="15" customHeight="1">
      <c r="A5493" t="inlineStr">
        <is>
          <t>A 5498-2025</t>
        </is>
      </c>
      <c r="B5493" s="1" t="n">
        <v>45693</v>
      </c>
      <c r="C5493" s="1" t="n">
        <v>46045</v>
      </c>
      <c r="D5493" t="inlineStr">
        <is>
          <t>JÄMTLANDS LÄN</t>
        </is>
      </c>
      <c r="E5493" t="inlineStr">
        <is>
          <t>KROKOM</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46218-2025</t>
        </is>
      </c>
      <c r="B5494" s="1" t="n">
        <v>45924.851875</v>
      </c>
      <c r="C5494" s="1" t="n">
        <v>46045</v>
      </c>
      <c r="D5494" t="inlineStr">
        <is>
          <t>JÄMTLANDS LÄN</t>
        </is>
      </c>
      <c r="E5494" t="inlineStr">
        <is>
          <t>BRÄCKE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20871-2025</t>
        </is>
      </c>
      <c r="B5495" s="1" t="n">
        <v>45777.34578703704</v>
      </c>
      <c r="C5495" s="1" t="n">
        <v>46045</v>
      </c>
      <c r="D5495" t="inlineStr">
        <is>
          <t>JÄMTLANDS LÄN</t>
        </is>
      </c>
      <c r="E5495" t="inlineStr">
        <is>
          <t>STRÖMSUND</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46274-2025</t>
        </is>
      </c>
      <c r="B5496" s="1" t="n">
        <v>45925.37074074074</v>
      </c>
      <c r="C5496" s="1" t="n">
        <v>46045</v>
      </c>
      <c r="D5496" t="inlineStr">
        <is>
          <t>JÄMTLANDS LÄN</t>
        </is>
      </c>
      <c r="E5496" t="inlineStr">
        <is>
          <t>KROKOM</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42333-2024</t>
        </is>
      </c>
      <c r="B5497" s="1" t="n">
        <v>45562.65759259259</v>
      </c>
      <c r="C5497" s="1" t="n">
        <v>46045</v>
      </c>
      <c r="D5497" t="inlineStr">
        <is>
          <t>JÄMTLANDS LÄN</t>
        </is>
      </c>
      <c r="E5497" t="inlineStr">
        <is>
          <t>HÄRJEDALEN</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46295-2025</t>
        </is>
      </c>
      <c r="B5498" s="1" t="n">
        <v>45925.39686342593</v>
      </c>
      <c r="C5498" s="1" t="n">
        <v>46045</v>
      </c>
      <c r="D5498" t="inlineStr">
        <is>
          <t>JÄMTLANDS LÄN</t>
        </is>
      </c>
      <c r="E5498" t="inlineStr">
        <is>
          <t>KROKOM</t>
        </is>
      </c>
      <c r="F5498" t="inlineStr">
        <is>
          <t>Övriga Aktiebolag</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46297-2025</t>
        </is>
      </c>
      <c r="B5499" s="1" t="n">
        <v>45925.40063657407</v>
      </c>
      <c r="C5499" s="1" t="n">
        <v>46045</v>
      </c>
      <c r="D5499" t="inlineStr">
        <is>
          <t>JÄMTLANDS LÄN</t>
        </is>
      </c>
      <c r="E5499" t="inlineStr">
        <is>
          <t>STRÖMSUND</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8784-2025</t>
        </is>
      </c>
      <c r="B5500" s="1" t="n">
        <v>45712</v>
      </c>
      <c r="C5500" s="1" t="n">
        <v>46045</v>
      </c>
      <c r="D5500" t="inlineStr">
        <is>
          <t>JÄMTLANDS LÄN</t>
        </is>
      </c>
      <c r="E5500" t="inlineStr">
        <is>
          <t>KROKOM</t>
        </is>
      </c>
      <c r="G5500" t="n">
        <v>10.1</v>
      </c>
      <c r="H5500" t="n">
        <v>0</v>
      </c>
      <c r="I5500" t="n">
        <v>0</v>
      </c>
      <c r="J5500" t="n">
        <v>0</v>
      </c>
      <c r="K5500" t="n">
        <v>0</v>
      </c>
      <c r="L5500" t="n">
        <v>0</v>
      </c>
      <c r="M5500" t="n">
        <v>0</v>
      </c>
      <c r="N5500" t="n">
        <v>0</v>
      </c>
      <c r="O5500" t="n">
        <v>0</v>
      </c>
      <c r="P5500" t="n">
        <v>0</v>
      </c>
      <c r="Q5500" t="n">
        <v>0</v>
      </c>
      <c r="R5500" s="2" t="inlineStr"/>
    </row>
    <row r="5501" ht="15" customHeight="1">
      <c r="A5501" t="inlineStr">
        <is>
          <t>A 19652-2023</t>
        </is>
      </c>
      <c r="B5501" s="1" t="n">
        <v>45050</v>
      </c>
      <c r="C5501" s="1" t="n">
        <v>46045</v>
      </c>
      <c r="D5501" t="inlineStr">
        <is>
          <t>JÄMTLANDS LÄN</t>
        </is>
      </c>
      <c r="E5501" t="inlineStr">
        <is>
          <t>STRÖMSUND</t>
        </is>
      </c>
      <c r="F5501" t="inlineStr">
        <is>
          <t>Kommuner</t>
        </is>
      </c>
      <c r="G5501" t="n">
        <v>14.2</v>
      </c>
      <c r="H5501" t="n">
        <v>0</v>
      </c>
      <c r="I5501" t="n">
        <v>0</v>
      </c>
      <c r="J5501" t="n">
        <v>0</v>
      </c>
      <c r="K5501" t="n">
        <v>0</v>
      </c>
      <c r="L5501" t="n">
        <v>0</v>
      </c>
      <c r="M5501" t="n">
        <v>0</v>
      </c>
      <c r="N5501" t="n">
        <v>0</v>
      </c>
      <c r="O5501" t="n">
        <v>0</v>
      </c>
      <c r="P5501" t="n">
        <v>0</v>
      </c>
      <c r="Q5501" t="n">
        <v>0</v>
      </c>
      <c r="R5501" s="2" t="inlineStr"/>
    </row>
    <row r="5502" ht="15" customHeight="1">
      <c r="A5502" t="inlineStr">
        <is>
          <t>A 46546-2025</t>
        </is>
      </c>
      <c r="B5502" s="1" t="n">
        <v>45926.34518518519</v>
      </c>
      <c r="C5502" s="1" t="n">
        <v>46045</v>
      </c>
      <c r="D5502" t="inlineStr">
        <is>
          <t>JÄMTLANDS LÄN</t>
        </is>
      </c>
      <c r="E5502" t="inlineStr">
        <is>
          <t>STRÖMSUND</t>
        </is>
      </c>
      <c r="F5502" t="inlineStr">
        <is>
          <t>SCA</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46566-2025</t>
        </is>
      </c>
      <c r="B5503" s="1" t="n">
        <v>45926.365</v>
      </c>
      <c r="C5503" s="1" t="n">
        <v>46045</v>
      </c>
      <c r="D5503" t="inlineStr">
        <is>
          <t>JÄMTLANDS LÄN</t>
        </is>
      </c>
      <c r="E5503" t="inlineStr">
        <is>
          <t>STRÖMSUND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34873-2021</t>
        </is>
      </c>
      <c r="B5504" s="1" t="n">
        <v>44382</v>
      </c>
      <c r="C5504" s="1" t="n">
        <v>46045</v>
      </c>
      <c r="D5504" t="inlineStr">
        <is>
          <t>JÄMTLANDS LÄN</t>
        </is>
      </c>
      <c r="E5504" t="inlineStr">
        <is>
          <t>BRÄCKE</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42385-2024</t>
        </is>
      </c>
      <c r="B5505" s="1" t="n">
        <v>45562</v>
      </c>
      <c r="C5505" s="1" t="n">
        <v>46045</v>
      </c>
      <c r="D5505" t="inlineStr">
        <is>
          <t>JÄMTLANDS LÄN</t>
        </is>
      </c>
      <c r="E5505" t="inlineStr">
        <is>
          <t>STRÖMSUND</t>
        </is>
      </c>
      <c r="F5505" t="inlineStr">
        <is>
          <t>Övriga statliga verk och myndigheter</t>
        </is>
      </c>
      <c r="G5505" t="n">
        <v>4.1</v>
      </c>
      <c r="H5505" t="n">
        <v>0</v>
      </c>
      <c r="I5505" t="n">
        <v>0</v>
      </c>
      <c r="J5505" t="n">
        <v>0</v>
      </c>
      <c r="K5505" t="n">
        <v>0</v>
      </c>
      <c r="L5505" t="n">
        <v>0</v>
      </c>
      <c r="M5505" t="n">
        <v>0</v>
      </c>
      <c r="N5505" t="n">
        <v>0</v>
      </c>
      <c r="O5505" t="n">
        <v>0</v>
      </c>
      <c r="P5505" t="n">
        <v>0</v>
      </c>
      <c r="Q5505" t="n">
        <v>0</v>
      </c>
      <c r="R5505" s="2" t="inlineStr"/>
      <c r="T5505">
        <f>HYPERLINK("https://klasma.github.io/Logging_2313/kartor/A 42385-2024 karta.png", "A 42385-2024")</f>
        <v/>
      </c>
      <c r="V5505">
        <f>HYPERLINK("https://klasma.github.io/Logging_2313/klagomål/A 42385-2024 FSC-klagomål.docx", "A 42385-2024")</f>
        <v/>
      </c>
      <c r="W5505">
        <f>HYPERLINK("https://klasma.github.io/Logging_2313/klagomålsmail/A 42385-2024 FSC-klagomål mail.docx", "A 42385-2024")</f>
        <v/>
      </c>
      <c r="X5505">
        <f>HYPERLINK("https://klasma.github.io/Logging_2313/tillsyn/A 42385-2024 tillsynsbegäran.docx", "A 42385-2024")</f>
        <v/>
      </c>
      <c r="Y5505">
        <f>HYPERLINK("https://klasma.github.io/Logging_2313/tillsynsmail/A 42385-2024 tillsynsbegäran mail.docx", "A 42385-2024")</f>
        <v/>
      </c>
    </row>
    <row r="5506" ht="15" customHeight="1">
      <c r="A5506" t="inlineStr">
        <is>
          <t>A 14474-2025</t>
        </is>
      </c>
      <c r="B5506" s="1" t="n">
        <v>45741.57782407408</v>
      </c>
      <c r="C5506" s="1" t="n">
        <v>46045</v>
      </c>
      <c r="D5506" t="inlineStr">
        <is>
          <t>JÄMTLANDS LÄN</t>
        </is>
      </c>
      <c r="E5506" t="inlineStr">
        <is>
          <t>BRÄCKE</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20909-2025</t>
        </is>
      </c>
      <c r="B5507" s="1" t="n">
        <v>45777.40672453704</v>
      </c>
      <c r="C5507" s="1" t="n">
        <v>46045</v>
      </c>
      <c r="D5507" t="inlineStr">
        <is>
          <t>JÄMTLANDS LÄN</t>
        </is>
      </c>
      <c r="E5507" t="inlineStr">
        <is>
          <t>BRÄCKE</t>
        </is>
      </c>
      <c r="F5507" t="inlineStr">
        <is>
          <t>SCA</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37143-2023</t>
        </is>
      </c>
      <c r="B5508" s="1" t="n">
        <v>45155.58578703704</v>
      </c>
      <c r="C5508" s="1" t="n">
        <v>46045</v>
      </c>
      <c r="D5508" t="inlineStr">
        <is>
          <t>JÄMTLANDS LÄN</t>
        </is>
      </c>
      <c r="E5508" t="inlineStr">
        <is>
          <t>STRÖMSUND</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46308-2025</t>
        </is>
      </c>
      <c r="B5509" s="1" t="n">
        <v>45925.43271990741</v>
      </c>
      <c r="C5509" s="1" t="n">
        <v>46045</v>
      </c>
      <c r="D5509" t="inlineStr">
        <is>
          <t>JÄMTLANDS LÄN</t>
        </is>
      </c>
      <c r="E5509" t="inlineStr">
        <is>
          <t>KROKOM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46716-2025</t>
        </is>
      </c>
      <c r="B5510" s="1" t="n">
        <v>45926.57876157408</v>
      </c>
      <c r="C5510" s="1" t="n">
        <v>46045</v>
      </c>
      <c r="D5510" t="inlineStr">
        <is>
          <t>JÄMTLANDS LÄN</t>
        </is>
      </c>
      <c r="E5510" t="inlineStr">
        <is>
          <t>HÄRJEDALEN</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21027-2025</t>
        </is>
      </c>
      <c r="B5511" s="1" t="n">
        <v>45777</v>
      </c>
      <c r="C5511" s="1" t="n">
        <v>46045</v>
      </c>
      <c r="D5511" t="inlineStr">
        <is>
          <t>JÄMTLANDS LÄN</t>
        </is>
      </c>
      <c r="E5511" t="inlineStr">
        <is>
          <t>KROKOM</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28173-2024</t>
        </is>
      </c>
      <c r="B5512" s="1" t="n">
        <v>45476.94533564815</v>
      </c>
      <c r="C5512" s="1" t="n">
        <v>46045</v>
      </c>
      <c r="D5512" t="inlineStr">
        <is>
          <t>JÄMTLANDS LÄN</t>
        </is>
      </c>
      <c r="E5512" t="inlineStr">
        <is>
          <t>RAGUNDA</t>
        </is>
      </c>
      <c r="F5512" t="inlineStr">
        <is>
          <t>SCA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25052-2023</t>
        </is>
      </c>
      <c r="B5513" s="1" t="n">
        <v>45085.94605324074</v>
      </c>
      <c r="C5513" s="1" t="n">
        <v>46045</v>
      </c>
      <c r="D5513" t="inlineStr">
        <is>
          <t>JÄMTLANDS LÄN</t>
        </is>
      </c>
      <c r="E5513" t="inlineStr">
        <is>
          <t>STRÖMSUND</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25056-2023</t>
        </is>
      </c>
      <c r="B5514" s="1" t="n">
        <v>45085.94633101852</v>
      </c>
      <c r="C5514" s="1" t="n">
        <v>46045</v>
      </c>
      <c r="D5514" t="inlineStr">
        <is>
          <t>JÄMTLANDS LÄN</t>
        </is>
      </c>
      <c r="E5514" t="inlineStr">
        <is>
          <t>BRÄCKE</t>
        </is>
      </c>
      <c r="F5514" t="inlineStr">
        <is>
          <t>SCA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35-2023</t>
        </is>
      </c>
      <c r="B5515" s="1" t="n">
        <v>44928.36418981481</v>
      </c>
      <c r="C5515" s="1" t="n">
        <v>46045</v>
      </c>
      <c r="D5515" t="inlineStr">
        <is>
          <t>JÄMTLANDS LÄN</t>
        </is>
      </c>
      <c r="E5515" t="inlineStr">
        <is>
          <t>HÄRJEDALEN</t>
        </is>
      </c>
      <c r="F5515" t="inlineStr">
        <is>
          <t>Holmen skog AB</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46543-2025</t>
        </is>
      </c>
      <c r="B5516" s="1" t="n">
        <v>45926.34476851852</v>
      </c>
      <c r="C5516" s="1" t="n">
        <v>46045</v>
      </c>
      <c r="D5516" t="inlineStr">
        <is>
          <t>JÄMTLANDS LÄN</t>
        </is>
      </c>
      <c r="E5516" t="inlineStr">
        <is>
          <t>STRÖMSUND</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59478-2023</t>
        </is>
      </c>
      <c r="B5517" s="1" t="n">
        <v>45254</v>
      </c>
      <c r="C5517" s="1" t="n">
        <v>46045</v>
      </c>
      <c r="D5517" t="inlineStr">
        <is>
          <t>JÄMTLANDS LÄN</t>
        </is>
      </c>
      <c r="E5517" t="inlineStr">
        <is>
          <t>STRÖMSUND</t>
        </is>
      </c>
      <c r="F5517" t="inlineStr">
        <is>
          <t>Holmen skog AB</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51500-2024</t>
        </is>
      </c>
      <c r="B5518" s="1" t="n">
        <v>45604.54693287037</v>
      </c>
      <c r="C5518" s="1" t="n">
        <v>46045</v>
      </c>
      <c r="D5518" t="inlineStr">
        <is>
          <t>JÄMTLANDS LÄN</t>
        </is>
      </c>
      <c r="E5518" t="inlineStr">
        <is>
          <t>ÅRE</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58404-2024</t>
        </is>
      </c>
      <c r="B5519" s="1" t="n">
        <v>45634.65831018519</v>
      </c>
      <c r="C5519" s="1" t="n">
        <v>46045</v>
      </c>
      <c r="D5519" t="inlineStr">
        <is>
          <t>JÄMTLANDS LÄN</t>
        </is>
      </c>
      <c r="E5519" t="inlineStr">
        <is>
          <t>HÄRJEDALEN</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58407-2024</t>
        </is>
      </c>
      <c r="B5520" s="1" t="n">
        <v>45634.72633101852</v>
      </c>
      <c r="C5520" s="1" t="n">
        <v>46045</v>
      </c>
      <c r="D5520" t="inlineStr">
        <is>
          <t>JÄMTLANDS LÄN</t>
        </is>
      </c>
      <c r="E5520" t="inlineStr">
        <is>
          <t>ÖSTERSUND</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47319-2025</t>
        </is>
      </c>
      <c r="B5521" s="1" t="n">
        <v>45930.55253472222</v>
      </c>
      <c r="C5521" s="1" t="n">
        <v>46045</v>
      </c>
      <c r="D5521" t="inlineStr">
        <is>
          <t>JÄMTLANDS LÄN</t>
        </is>
      </c>
      <c r="E5521" t="inlineStr">
        <is>
          <t>BRÄCKE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20935-2023</t>
        </is>
      </c>
      <c r="B5522" s="1" t="n">
        <v>45061.36835648148</v>
      </c>
      <c r="C5522" s="1" t="n">
        <v>46045</v>
      </c>
      <c r="D5522" t="inlineStr">
        <is>
          <t>JÄMTLANDS LÄN</t>
        </is>
      </c>
      <c r="E5522" t="inlineStr">
        <is>
          <t>HÄRJEDALEN</t>
        </is>
      </c>
      <c r="G5522" t="n">
        <v>7.3</v>
      </c>
      <c r="H5522" t="n">
        <v>0</v>
      </c>
      <c r="I5522" t="n">
        <v>0</v>
      </c>
      <c r="J5522" t="n">
        <v>0</v>
      </c>
      <c r="K5522" t="n">
        <v>0</v>
      </c>
      <c r="L5522" t="n">
        <v>0</v>
      </c>
      <c r="M5522" t="n">
        <v>0</v>
      </c>
      <c r="N5522" t="n">
        <v>0</v>
      </c>
      <c r="O5522" t="n">
        <v>0</v>
      </c>
      <c r="P5522" t="n">
        <v>0</v>
      </c>
      <c r="Q5522" t="n">
        <v>0</v>
      </c>
      <c r="R5522" s="2" t="inlineStr"/>
    </row>
    <row r="5523" ht="15" customHeight="1">
      <c r="A5523" t="inlineStr">
        <is>
          <t>A 20953-2023</t>
        </is>
      </c>
      <c r="B5523" s="1" t="n">
        <v>45056</v>
      </c>
      <c r="C5523" s="1" t="n">
        <v>46045</v>
      </c>
      <c r="D5523" t="inlineStr">
        <is>
          <t>JÄMTLANDS LÄN</t>
        </is>
      </c>
      <c r="E5523" t="inlineStr">
        <is>
          <t>KROKOM</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20966-2023</t>
        </is>
      </c>
      <c r="B5524" s="1" t="n">
        <v>45056</v>
      </c>
      <c r="C5524" s="1" t="n">
        <v>46045</v>
      </c>
      <c r="D5524" t="inlineStr">
        <is>
          <t>JÄMTLANDS LÄN</t>
        </is>
      </c>
      <c r="E5524" t="inlineStr">
        <is>
          <t>KROKOM</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21129-2025</t>
        </is>
      </c>
      <c r="B5525" s="1" t="n">
        <v>45778.34454861111</v>
      </c>
      <c r="C5525" s="1" t="n">
        <v>46045</v>
      </c>
      <c r="D5525" t="inlineStr">
        <is>
          <t>JÄMTLANDS LÄN</t>
        </is>
      </c>
      <c r="E5525" t="inlineStr">
        <is>
          <t>STRÖMSUND</t>
        </is>
      </c>
      <c r="F5525" t="inlineStr">
        <is>
          <t>SCA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4311-2025</t>
        </is>
      </c>
      <c r="B5526" s="1" t="n">
        <v>45685.69267361111</v>
      </c>
      <c r="C5526" s="1" t="n">
        <v>46045</v>
      </c>
      <c r="D5526" t="inlineStr">
        <is>
          <t>JÄMTLANDS LÄN</t>
        </is>
      </c>
      <c r="E5526" t="inlineStr">
        <is>
          <t>ÖSTERSUND</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49399-2024</t>
        </is>
      </c>
      <c r="B5527" s="1" t="n">
        <v>45595.67138888889</v>
      </c>
      <c r="C5527" s="1" t="n">
        <v>46045</v>
      </c>
      <c r="D5527" t="inlineStr">
        <is>
          <t>JÄMTLANDS LÄN</t>
        </is>
      </c>
      <c r="E5527" t="inlineStr">
        <is>
          <t>BRÄCKE</t>
        </is>
      </c>
      <c r="F5527" t="inlineStr">
        <is>
          <t>SCA</t>
        </is>
      </c>
      <c r="G5527" t="n">
        <v>8.199999999999999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49400-2024</t>
        </is>
      </c>
      <c r="B5528" s="1" t="n">
        <v>45595.67152777778</v>
      </c>
      <c r="C5528" s="1" t="n">
        <v>46045</v>
      </c>
      <c r="D5528" t="inlineStr">
        <is>
          <t>JÄMTLANDS LÄN</t>
        </is>
      </c>
      <c r="E5528" t="inlineStr">
        <is>
          <t>BRÄCKE</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47145-2025</t>
        </is>
      </c>
      <c r="B5529" s="1" t="n">
        <v>45929.71310185185</v>
      </c>
      <c r="C5529" s="1" t="n">
        <v>46045</v>
      </c>
      <c r="D5529" t="inlineStr">
        <is>
          <t>JÄMTLANDS LÄN</t>
        </is>
      </c>
      <c r="E5529" t="inlineStr">
        <is>
          <t>BERG</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47407-2024</t>
        </is>
      </c>
      <c r="B5530" s="1" t="n">
        <v>45587.47828703704</v>
      </c>
      <c r="C5530" s="1" t="n">
        <v>46045</v>
      </c>
      <c r="D5530" t="inlineStr">
        <is>
          <t>JÄMTLANDS LÄN</t>
        </is>
      </c>
      <c r="E5530" t="inlineStr">
        <is>
          <t>BERG</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15013-2025</t>
        </is>
      </c>
      <c r="B5531" s="1" t="n">
        <v>45743.62734953704</v>
      </c>
      <c r="C5531" s="1" t="n">
        <v>46045</v>
      </c>
      <c r="D5531" t="inlineStr">
        <is>
          <t>JÄMTLANDS LÄN</t>
        </is>
      </c>
      <c r="E5531" t="inlineStr">
        <is>
          <t>BERG</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41175-2023</t>
        </is>
      </c>
      <c r="B5532" s="1" t="n">
        <v>45170</v>
      </c>
      <c r="C5532" s="1" t="n">
        <v>46045</v>
      </c>
      <c r="D5532" t="inlineStr">
        <is>
          <t>JÄMTLANDS LÄN</t>
        </is>
      </c>
      <c r="E5532" t="inlineStr">
        <is>
          <t>BRÄCKE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47075-2024</t>
        </is>
      </c>
      <c r="B5533" s="1" t="n">
        <v>45586.5008912037</v>
      </c>
      <c r="C5533" s="1" t="n">
        <v>46045</v>
      </c>
      <c r="D5533" t="inlineStr">
        <is>
          <t>JÄMTLANDS LÄN</t>
        </is>
      </c>
      <c r="E5533" t="inlineStr">
        <is>
          <t>ÅRE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47083-2024</t>
        </is>
      </c>
      <c r="B5534" s="1" t="n">
        <v>45586.50625</v>
      </c>
      <c r="C5534" s="1" t="n">
        <v>46045</v>
      </c>
      <c r="D5534" t="inlineStr">
        <is>
          <t>JÄMTLANDS LÄN</t>
        </is>
      </c>
      <c r="E5534" t="inlineStr">
        <is>
          <t>BERG</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21094-2025</t>
        </is>
      </c>
      <c r="B5535" s="1" t="n">
        <v>45777.62665509259</v>
      </c>
      <c r="C5535" s="1" t="n">
        <v>46045</v>
      </c>
      <c r="D5535" t="inlineStr">
        <is>
          <t>JÄMTLANDS LÄN</t>
        </is>
      </c>
      <c r="E5535" t="inlineStr">
        <is>
          <t>ÖSTERSUND</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47099-2024</t>
        </is>
      </c>
      <c r="B5536" s="1" t="n">
        <v>45586.53743055555</v>
      </c>
      <c r="C5536" s="1" t="n">
        <v>46045</v>
      </c>
      <c r="D5536" t="inlineStr">
        <is>
          <t>JÄMTLANDS LÄN</t>
        </is>
      </c>
      <c r="E5536" t="inlineStr">
        <is>
          <t>BERG</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21305-2025</t>
        </is>
      </c>
      <c r="B5537" s="1" t="n">
        <v>45781.40665509259</v>
      </c>
      <c r="C5537" s="1" t="n">
        <v>46045</v>
      </c>
      <c r="D5537" t="inlineStr">
        <is>
          <t>JÄMTLANDS LÄN</t>
        </is>
      </c>
      <c r="E5537" t="inlineStr">
        <is>
          <t>BRÄCKE</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21237-2025</t>
        </is>
      </c>
      <c r="B5538" s="1" t="n">
        <v>45779</v>
      </c>
      <c r="C5538" s="1" t="n">
        <v>46045</v>
      </c>
      <c r="D5538" t="inlineStr">
        <is>
          <t>JÄMTLANDS LÄN</t>
        </is>
      </c>
      <c r="E5538" t="inlineStr">
        <is>
          <t>ÖSTERSUND</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21239-2025</t>
        </is>
      </c>
      <c r="B5539" s="1" t="n">
        <v>45779.56659722222</v>
      </c>
      <c r="C5539" s="1" t="n">
        <v>46045</v>
      </c>
      <c r="D5539" t="inlineStr">
        <is>
          <t>JÄMTLANDS LÄN</t>
        </is>
      </c>
      <c r="E5539" t="inlineStr">
        <is>
          <t>KROKOM</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12677-2025</t>
        </is>
      </c>
      <c r="B5540" s="1" t="n">
        <v>45733.43663194445</v>
      </c>
      <c r="C5540" s="1" t="n">
        <v>46045</v>
      </c>
      <c r="D5540" t="inlineStr">
        <is>
          <t>JÄMTLANDS LÄN</t>
        </is>
      </c>
      <c r="E5540" t="inlineStr">
        <is>
          <t>HÄRJEDALEN</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47320-2025</t>
        </is>
      </c>
      <c r="B5541" s="1" t="n">
        <v>45930.55255787037</v>
      </c>
      <c r="C5541" s="1" t="n">
        <v>46045</v>
      </c>
      <c r="D5541" t="inlineStr">
        <is>
          <t>JÄMTLANDS LÄN</t>
        </is>
      </c>
      <c r="E5541" t="inlineStr">
        <is>
          <t>BRÄCKE</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21430-2025</t>
        </is>
      </c>
      <c r="B5542" s="1" t="n">
        <v>45782.51099537037</v>
      </c>
      <c r="C5542" s="1" t="n">
        <v>46045</v>
      </c>
      <c r="D5542" t="inlineStr">
        <is>
          <t>JÄMTLANDS LÄN</t>
        </is>
      </c>
      <c r="E5542" t="inlineStr">
        <is>
          <t>RAGUNDA</t>
        </is>
      </c>
      <c r="F5542" t="inlineStr">
        <is>
          <t>SCA</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60456-2023</t>
        </is>
      </c>
      <c r="B5543" s="1" t="n">
        <v>45258</v>
      </c>
      <c r="C5543" s="1" t="n">
        <v>46045</v>
      </c>
      <c r="D5543" t="inlineStr">
        <is>
          <t>JÄMTLANDS LÄN</t>
        </is>
      </c>
      <c r="E5543" t="inlineStr">
        <is>
          <t>RAGUNDA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21472-2025</t>
        </is>
      </c>
      <c r="B5544" s="1" t="n">
        <v>45782.59024305556</v>
      </c>
      <c r="C5544" s="1" t="n">
        <v>46045</v>
      </c>
      <c r="D5544" t="inlineStr">
        <is>
          <t>JÄMTLANDS LÄN</t>
        </is>
      </c>
      <c r="E5544" t="inlineStr">
        <is>
          <t>BERG</t>
        </is>
      </c>
      <c r="G5544" t="n">
        <v>21.9</v>
      </c>
      <c r="H5544" t="n">
        <v>0</v>
      </c>
      <c r="I5544" t="n">
        <v>0</v>
      </c>
      <c r="J5544" t="n">
        <v>0</v>
      </c>
      <c r="K5544" t="n">
        <v>0</v>
      </c>
      <c r="L5544" t="n">
        <v>0</v>
      </c>
      <c r="M5544" t="n">
        <v>0</v>
      </c>
      <c r="N5544" t="n">
        <v>0</v>
      </c>
      <c r="O5544" t="n">
        <v>0</v>
      </c>
      <c r="P5544" t="n">
        <v>0</v>
      </c>
      <c r="Q5544" t="n">
        <v>0</v>
      </c>
      <c r="R5544" s="2" t="inlineStr"/>
    </row>
    <row r="5545" ht="15" customHeight="1">
      <c r="A5545" t="inlineStr">
        <is>
          <t>A 13236-2024</t>
        </is>
      </c>
      <c r="B5545" s="1" t="n">
        <v>45386</v>
      </c>
      <c r="C5545" s="1" t="n">
        <v>46045</v>
      </c>
      <c r="D5545" t="inlineStr">
        <is>
          <t>JÄMTLANDS LÄN</t>
        </is>
      </c>
      <c r="E5545" t="inlineStr">
        <is>
          <t>STRÖMSUND</t>
        </is>
      </c>
      <c r="G5545" t="n">
        <v>12.1</v>
      </c>
      <c r="H5545" t="n">
        <v>0</v>
      </c>
      <c r="I5545" t="n">
        <v>0</v>
      </c>
      <c r="J5545" t="n">
        <v>0</v>
      </c>
      <c r="K5545" t="n">
        <v>0</v>
      </c>
      <c r="L5545" t="n">
        <v>0</v>
      </c>
      <c r="M5545" t="n">
        <v>0</v>
      </c>
      <c r="N5545" t="n">
        <v>0</v>
      </c>
      <c r="O5545" t="n">
        <v>0</v>
      </c>
      <c r="P5545" t="n">
        <v>0</v>
      </c>
      <c r="Q5545" t="n">
        <v>0</v>
      </c>
      <c r="R5545" s="2" t="inlineStr"/>
    </row>
    <row r="5546" ht="15" customHeight="1">
      <c r="A5546" t="inlineStr">
        <is>
          <t>A 14848-2025</t>
        </is>
      </c>
      <c r="B5546" s="1" t="n">
        <v>45743.39528935185</v>
      </c>
      <c r="C5546" s="1" t="n">
        <v>46045</v>
      </c>
      <c r="D5546" t="inlineStr">
        <is>
          <t>JÄMTLANDS LÄN</t>
        </is>
      </c>
      <c r="E5546" t="inlineStr">
        <is>
          <t>ÖSTERSUND</t>
        </is>
      </c>
      <c r="G5546" t="n">
        <v>12.1</v>
      </c>
      <c r="H5546" t="n">
        <v>0</v>
      </c>
      <c r="I5546" t="n">
        <v>0</v>
      </c>
      <c r="J5546" t="n">
        <v>0</v>
      </c>
      <c r="K5546" t="n">
        <v>0</v>
      </c>
      <c r="L5546" t="n">
        <v>0</v>
      </c>
      <c r="M5546" t="n">
        <v>0</v>
      </c>
      <c r="N5546" t="n">
        <v>0</v>
      </c>
      <c r="O5546" t="n">
        <v>0</v>
      </c>
      <c r="P5546" t="n">
        <v>0</v>
      </c>
      <c r="Q5546" t="n">
        <v>0</v>
      </c>
      <c r="R5546" s="2" t="inlineStr"/>
    </row>
    <row r="5547" ht="15" customHeight="1">
      <c r="A5547" t="inlineStr">
        <is>
          <t>A 46745-2025</t>
        </is>
      </c>
      <c r="B5547" s="1" t="n">
        <v>45926</v>
      </c>
      <c r="C5547" s="1" t="n">
        <v>46045</v>
      </c>
      <c r="D5547" t="inlineStr">
        <is>
          <t>JÄMTLANDS LÄN</t>
        </is>
      </c>
      <c r="E5547" t="inlineStr">
        <is>
          <t>STRÖMSUND</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8983-2021</t>
        </is>
      </c>
      <c r="B5548" s="1" t="n">
        <v>44231</v>
      </c>
      <c r="C5548" s="1" t="n">
        <v>46045</v>
      </c>
      <c r="D5548" t="inlineStr">
        <is>
          <t>JÄMTLANDS LÄN</t>
        </is>
      </c>
      <c r="E5548" t="inlineStr">
        <is>
          <t>ÅRE</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21368-2025</t>
        </is>
      </c>
      <c r="B5549" s="1" t="n">
        <v>45782.44824074074</v>
      </c>
      <c r="C5549" s="1" t="n">
        <v>46045</v>
      </c>
      <c r="D5549" t="inlineStr">
        <is>
          <t>JÄMTLANDS LÄN</t>
        </is>
      </c>
      <c r="E5549" t="inlineStr">
        <is>
          <t>BRÄCKE</t>
        </is>
      </c>
      <c r="F5549" t="inlineStr">
        <is>
          <t>SCA</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5693-2022</t>
        </is>
      </c>
      <c r="B5550" s="1" t="n">
        <v>44596</v>
      </c>
      <c r="C5550" s="1" t="n">
        <v>46045</v>
      </c>
      <c r="D5550" t="inlineStr">
        <is>
          <t>JÄMTLANDS LÄN</t>
        </is>
      </c>
      <c r="E5550" t="inlineStr">
        <is>
          <t>KROKOM</t>
        </is>
      </c>
      <c r="G5550" t="n">
        <v>40.8</v>
      </c>
      <c r="H5550" t="n">
        <v>0</v>
      </c>
      <c r="I5550" t="n">
        <v>0</v>
      </c>
      <c r="J5550" t="n">
        <v>0</v>
      </c>
      <c r="K5550" t="n">
        <v>0</v>
      </c>
      <c r="L5550" t="n">
        <v>0</v>
      </c>
      <c r="M5550" t="n">
        <v>0</v>
      </c>
      <c r="N5550" t="n">
        <v>0</v>
      </c>
      <c r="O5550" t="n">
        <v>0</v>
      </c>
      <c r="P5550" t="n">
        <v>0</v>
      </c>
      <c r="Q5550" t="n">
        <v>0</v>
      </c>
      <c r="R5550" s="2" t="inlineStr"/>
    </row>
    <row r="5551" ht="15" customHeight="1">
      <c r="A5551" t="inlineStr">
        <is>
          <t>A 21276-2025</t>
        </is>
      </c>
      <c r="B5551" s="1" t="n">
        <v>45779.63834490741</v>
      </c>
      <c r="C5551" s="1" t="n">
        <v>46045</v>
      </c>
      <c r="D5551" t="inlineStr">
        <is>
          <t>JÄMTLANDS LÄN</t>
        </is>
      </c>
      <c r="E5551" t="inlineStr">
        <is>
          <t>KROKOM</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47235-2025</t>
        </is>
      </c>
      <c r="B5552" s="1" t="n">
        <v>45930.40729166667</v>
      </c>
      <c r="C5552" s="1" t="n">
        <v>46045</v>
      </c>
      <c r="D5552" t="inlineStr">
        <is>
          <t>JÄMTLANDS LÄN</t>
        </is>
      </c>
      <c r="E5552" t="inlineStr">
        <is>
          <t>BRÄCKE</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34646-2024</t>
        </is>
      </c>
      <c r="B5553" s="1" t="n">
        <v>45526.4784375</v>
      </c>
      <c r="C5553" s="1" t="n">
        <v>46045</v>
      </c>
      <c r="D5553" t="inlineStr">
        <is>
          <t>JÄMTLANDS LÄN</t>
        </is>
      </c>
      <c r="E5553" t="inlineStr">
        <is>
          <t>BRÄCKE</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6414-2025</t>
        </is>
      </c>
      <c r="B5554" s="1" t="n">
        <v>45699.46289351852</v>
      </c>
      <c r="C5554" s="1" t="n">
        <v>46045</v>
      </c>
      <c r="D5554" t="inlineStr">
        <is>
          <t>JÄMTLANDS LÄN</t>
        </is>
      </c>
      <c r="E5554" t="inlineStr">
        <is>
          <t>STRÖMSUND</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9478-2024</t>
        </is>
      </c>
      <c r="B5555" s="1" t="n">
        <v>45359.5732175926</v>
      </c>
      <c r="C5555" s="1" t="n">
        <v>46045</v>
      </c>
      <c r="D5555" t="inlineStr">
        <is>
          <t>JÄMTLANDS LÄN</t>
        </is>
      </c>
      <c r="E5555" t="inlineStr">
        <is>
          <t>BERG</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29409-2024</t>
        </is>
      </c>
      <c r="B5556" s="1" t="n">
        <v>45483.67341435186</v>
      </c>
      <c r="C5556" s="1" t="n">
        <v>46045</v>
      </c>
      <c r="D5556" t="inlineStr">
        <is>
          <t>JÄMTLANDS LÄN</t>
        </is>
      </c>
      <c r="E5556" t="inlineStr">
        <is>
          <t>BRÄCKE</t>
        </is>
      </c>
      <c r="G5556" t="n">
        <v>9.6</v>
      </c>
      <c r="H5556" t="n">
        <v>0</v>
      </c>
      <c r="I5556" t="n">
        <v>0</v>
      </c>
      <c r="J5556" t="n">
        <v>0</v>
      </c>
      <c r="K5556" t="n">
        <v>0</v>
      </c>
      <c r="L5556" t="n">
        <v>0</v>
      </c>
      <c r="M5556" t="n">
        <v>0</v>
      </c>
      <c r="N5556" t="n">
        <v>0</v>
      </c>
      <c r="O5556" t="n">
        <v>0</v>
      </c>
      <c r="P5556" t="n">
        <v>0</v>
      </c>
      <c r="Q5556" t="n">
        <v>0</v>
      </c>
      <c r="R5556" s="2" t="inlineStr"/>
    </row>
    <row r="5557" ht="15" customHeight="1">
      <c r="A5557" t="inlineStr">
        <is>
          <t>A 15779-2025</t>
        </is>
      </c>
      <c r="B5557" s="1" t="n">
        <v>45748.60634259259</v>
      </c>
      <c r="C5557" s="1" t="n">
        <v>46045</v>
      </c>
      <c r="D5557" t="inlineStr">
        <is>
          <t>JÄMTLANDS LÄN</t>
        </is>
      </c>
      <c r="E5557" t="inlineStr">
        <is>
          <t>BRÄCKE</t>
        </is>
      </c>
      <c r="F5557" t="inlineStr">
        <is>
          <t>SCA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21551-2025</t>
        </is>
      </c>
      <c r="B5558" s="1" t="n">
        <v>45782.67771990741</v>
      </c>
      <c r="C5558" s="1" t="n">
        <v>46045</v>
      </c>
      <c r="D5558" t="inlineStr">
        <is>
          <t>JÄMTLANDS LÄN</t>
        </is>
      </c>
      <c r="E5558" t="inlineStr">
        <is>
          <t>BRÄCKE</t>
        </is>
      </c>
      <c r="F5558" t="inlineStr">
        <is>
          <t>SCA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21557-2025</t>
        </is>
      </c>
      <c r="B5559" s="1" t="n">
        <v>45782.67844907408</v>
      </c>
      <c r="C5559" s="1" t="n">
        <v>46045</v>
      </c>
      <c r="D5559" t="inlineStr">
        <is>
          <t>JÄMTLANDS LÄN</t>
        </is>
      </c>
      <c r="E5559" t="inlineStr">
        <is>
          <t>STRÖMSUND</t>
        </is>
      </c>
      <c r="F5559" t="inlineStr">
        <is>
          <t>SCA</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10015-2023</t>
        </is>
      </c>
      <c r="B5560" s="1" t="n">
        <v>44985</v>
      </c>
      <c r="C5560" s="1" t="n">
        <v>46045</v>
      </c>
      <c r="D5560" t="inlineStr">
        <is>
          <t>JÄMTLANDS LÄN</t>
        </is>
      </c>
      <c r="E5560" t="inlineStr">
        <is>
          <t>HÄRJEDALEN</t>
        </is>
      </c>
      <c r="F5560" t="inlineStr">
        <is>
          <t>Holmen skog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7714-2023</t>
        </is>
      </c>
      <c r="B5561" s="1" t="n">
        <v>44972</v>
      </c>
      <c r="C5561" s="1" t="n">
        <v>46045</v>
      </c>
      <c r="D5561" t="inlineStr">
        <is>
          <t>JÄMTLANDS LÄN</t>
        </is>
      </c>
      <c r="E5561" t="inlineStr">
        <is>
          <t>STRÖMSUND</t>
        </is>
      </c>
      <c r="G5561" t="n">
        <v>23.9</v>
      </c>
      <c r="H5561" t="n">
        <v>0</v>
      </c>
      <c r="I5561" t="n">
        <v>0</v>
      </c>
      <c r="J5561" t="n">
        <v>0</v>
      </c>
      <c r="K5561" t="n">
        <v>0</v>
      </c>
      <c r="L5561" t="n">
        <v>0</v>
      </c>
      <c r="M5561" t="n">
        <v>0</v>
      </c>
      <c r="N5561" t="n">
        <v>0</v>
      </c>
      <c r="O5561" t="n">
        <v>0</v>
      </c>
      <c r="P5561" t="n">
        <v>0</v>
      </c>
      <c r="Q5561" t="n">
        <v>0</v>
      </c>
      <c r="R5561" s="2" t="inlineStr"/>
    </row>
    <row r="5562" ht="15" customHeight="1">
      <c r="A5562" t="inlineStr">
        <is>
          <t>A 46853-2025</t>
        </is>
      </c>
      <c r="B5562" s="1" t="n">
        <v>45928.86563657408</v>
      </c>
      <c r="C5562" s="1" t="n">
        <v>46045</v>
      </c>
      <c r="D5562" t="inlineStr">
        <is>
          <t>JÄMTLANDS LÄN</t>
        </is>
      </c>
      <c r="E5562" t="inlineStr">
        <is>
          <t>BERG</t>
        </is>
      </c>
      <c r="F5562" t="inlineStr">
        <is>
          <t>Kyrkan</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41292-2024</t>
        </is>
      </c>
      <c r="B5563" s="1" t="n">
        <v>45559</v>
      </c>
      <c r="C5563" s="1" t="n">
        <v>46045</v>
      </c>
      <c r="D5563" t="inlineStr">
        <is>
          <t>JÄMTLANDS LÄN</t>
        </is>
      </c>
      <c r="E5563" t="inlineStr">
        <is>
          <t>STRÖMSUND</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16812-2025</t>
        </is>
      </c>
      <c r="B5564" s="1" t="n">
        <v>45754</v>
      </c>
      <c r="C5564" s="1" t="n">
        <v>46045</v>
      </c>
      <c r="D5564" t="inlineStr">
        <is>
          <t>JÄMTLANDS LÄN</t>
        </is>
      </c>
      <c r="E5564" t="inlineStr">
        <is>
          <t>ÖSTERSUND</t>
        </is>
      </c>
      <c r="F5564" t="inlineStr">
        <is>
          <t>Övriga statliga verk och myndigheter</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55219-2021</t>
        </is>
      </c>
      <c r="B5565" s="1" t="n">
        <v>44475</v>
      </c>
      <c r="C5565" s="1" t="n">
        <v>46045</v>
      </c>
      <c r="D5565" t="inlineStr">
        <is>
          <t>JÄMTLANDS LÄN</t>
        </is>
      </c>
      <c r="E5565" t="inlineStr">
        <is>
          <t>HÄRJEDALEN</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47228-2025</t>
        </is>
      </c>
      <c r="B5566" s="1" t="n">
        <v>45930.3990162037</v>
      </c>
      <c r="C5566" s="1" t="n">
        <v>46045</v>
      </c>
      <c r="D5566" t="inlineStr">
        <is>
          <t>JÄMTLANDS LÄN</t>
        </is>
      </c>
      <c r="E5566" t="inlineStr">
        <is>
          <t>RAGUNDA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47269-2025</t>
        </is>
      </c>
      <c r="B5567" s="1" t="n">
        <v>45930</v>
      </c>
      <c r="C5567" s="1" t="n">
        <v>46045</v>
      </c>
      <c r="D5567" t="inlineStr">
        <is>
          <t>JÄMTLANDS LÄN</t>
        </is>
      </c>
      <c r="E5567" t="inlineStr">
        <is>
          <t>STRÖMSUND</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47428-2025</t>
        </is>
      </c>
      <c r="B5568" s="1" t="n">
        <v>45930</v>
      </c>
      <c r="C5568" s="1" t="n">
        <v>46045</v>
      </c>
      <c r="D5568" t="inlineStr">
        <is>
          <t>JÄMTLANDS LÄN</t>
        </is>
      </c>
      <c r="E5568" t="inlineStr">
        <is>
          <t>BERG</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46974-2025</t>
        </is>
      </c>
      <c r="B5569" s="1" t="n">
        <v>45929.51104166666</v>
      </c>
      <c r="C5569" s="1" t="n">
        <v>46045</v>
      </c>
      <c r="D5569" t="inlineStr">
        <is>
          <t>JÄMTLANDS LÄN</t>
        </is>
      </c>
      <c r="E5569" t="inlineStr">
        <is>
          <t>RAGUNDA</t>
        </is>
      </c>
      <c r="F5569" t="inlineStr">
        <is>
          <t>SCA</t>
        </is>
      </c>
      <c r="G5569" t="n">
        <v>12.1</v>
      </c>
      <c r="H5569" t="n">
        <v>0</v>
      </c>
      <c r="I5569" t="n">
        <v>0</v>
      </c>
      <c r="J5569" t="n">
        <v>0</v>
      </c>
      <c r="K5569" t="n">
        <v>0</v>
      </c>
      <c r="L5569" t="n">
        <v>0</v>
      </c>
      <c r="M5569" t="n">
        <v>0</v>
      </c>
      <c r="N5569" t="n">
        <v>0</v>
      </c>
      <c r="O5569" t="n">
        <v>0</v>
      </c>
      <c r="P5569" t="n">
        <v>0</v>
      </c>
      <c r="Q5569" t="n">
        <v>0</v>
      </c>
      <c r="R5569" s="2" t="inlineStr"/>
    </row>
    <row r="5570" ht="15" customHeight="1">
      <c r="A5570" t="inlineStr">
        <is>
          <t>A 47037-2025</t>
        </is>
      </c>
      <c r="B5570" s="1" t="n">
        <v>45929.59456018519</v>
      </c>
      <c r="C5570" s="1" t="n">
        <v>46045</v>
      </c>
      <c r="D5570" t="inlineStr">
        <is>
          <t>JÄMTLANDS LÄN</t>
        </is>
      </c>
      <c r="E5570" t="inlineStr">
        <is>
          <t>RAGUNDA</t>
        </is>
      </c>
      <c r="F5570" t="inlineStr">
        <is>
          <t>SCA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47070-2025</t>
        </is>
      </c>
      <c r="B5571" s="1" t="n">
        <v>45929.63621527778</v>
      </c>
      <c r="C5571" s="1" t="n">
        <v>46045</v>
      </c>
      <c r="D5571" t="inlineStr">
        <is>
          <t>JÄMTLANDS LÄN</t>
        </is>
      </c>
      <c r="E5571" t="inlineStr">
        <is>
          <t>BRÄCKE</t>
        </is>
      </c>
      <c r="F5571" t="inlineStr">
        <is>
          <t>SCA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21292-2025</t>
        </is>
      </c>
      <c r="B5572" s="1" t="n">
        <v>45780.39354166666</v>
      </c>
      <c r="C5572" s="1" t="n">
        <v>46045</v>
      </c>
      <c r="D5572" t="inlineStr">
        <is>
          <t>JÄMTLANDS LÄN</t>
        </is>
      </c>
      <c r="E5572" t="inlineStr">
        <is>
          <t>BERG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55177-2023</t>
        </is>
      </c>
      <c r="B5573" s="1" t="n">
        <v>45237</v>
      </c>
      <c r="C5573" s="1" t="n">
        <v>46045</v>
      </c>
      <c r="D5573" t="inlineStr">
        <is>
          <t>JÄMTLANDS LÄN</t>
        </is>
      </c>
      <c r="E5573" t="inlineStr">
        <is>
          <t>STRÖMSUND</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47232-2025</t>
        </is>
      </c>
      <c r="B5574" s="1" t="n">
        <v>45930</v>
      </c>
      <c r="C5574" s="1" t="n">
        <v>46045</v>
      </c>
      <c r="D5574" t="inlineStr">
        <is>
          <t>JÄMTLANDS LÄN</t>
        </is>
      </c>
      <c r="E5574" t="inlineStr">
        <is>
          <t>HÄRJEDALEN</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8420-2024</t>
        </is>
      </c>
      <c r="B5575" s="1" t="n">
        <v>45352</v>
      </c>
      <c r="C5575" s="1" t="n">
        <v>46045</v>
      </c>
      <c r="D5575" t="inlineStr">
        <is>
          <t>JÄMTLANDS LÄN</t>
        </is>
      </c>
      <c r="E5575" t="inlineStr">
        <is>
          <t>STRÖMSUND</t>
        </is>
      </c>
      <c r="F5575" t="inlineStr">
        <is>
          <t>SCA</t>
        </is>
      </c>
      <c r="G5575" t="n">
        <v>9.800000000000001</v>
      </c>
      <c r="H5575" t="n">
        <v>0</v>
      </c>
      <c r="I5575" t="n">
        <v>0</v>
      </c>
      <c r="J5575" t="n">
        <v>0</v>
      </c>
      <c r="K5575" t="n">
        <v>0</v>
      </c>
      <c r="L5575" t="n">
        <v>0</v>
      </c>
      <c r="M5575" t="n">
        <v>0</v>
      </c>
      <c r="N5575" t="n">
        <v>0</v>
      </c>
      <c r="O5575" t="n">
        <v>0</v>
      </c>
      <c r="P5575" t="n">
        <v>0</v>
      </c>
      <c r="Q5575" t="n">
        <v>0</v>
      </c>
      <c r="R5575" s="2" t="inlineStr"/>
      <c r="U5575">
        <f>HYPERLINK("https://klasma.github.io/Logging_2313/knärot/A 8420-2024 karta knärot.png", "A 8420-2024")</f>
        <v/>
      </c>
      <c r="V5575">
        <f>HYPERLINK("https://klasma.github.io/Logging_2313/klagomål/A 8420-2024 FSC-klagomål.docx", "A 8420-2024")</f>
        <v/>
      </c>
      <c r="W5575">
        <f>HYPERLINK("https://klasma.github.io/Logging_2313/klagomålsmail/A 8420-2024 FSC-klagomål mail.docx", "A 8420-2024")</f>
        <v/>
      </c>
      <c r="X5575">
        <f>HYPERLINK("https://klasma.github.io/Logging_2313/tillsyn/A 8420-2024 tillsynsbegäran.docx", "A 8420-2024")</f>
        <v/>
      </c>
      <c r="Y5575">
        <f>HYPERLINK("https://klasma.github.io/Logging_2313/tillsynsmail/A 8420-2024 tillsynsbegäran mail.docx", "A 8420-2024")</f>
        <v/>
      </c>
    </row>
    <row r="5576" ht="15" customHeight="1">
      <c r="A5576" t="inlineStr">
        <is>
          <t>A 21254-2025</t>
        </is>
      </c>
      <c r="B5576" s="1" t="n">
        <v>45779.57626157408</v>
      </c>
      <c r="C5576" s="1" t="n">
        <v>46045</v>
      </c>
      <c r="D5576" t="inlineStr">
        <is>
          <t>JÄMTLANDS LÄN</t>
        </is>
      </c>
      <c r="E5576" t="inlineStr">
        <is>
          <t>KROKOM</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5993-2021</t>
        </is>
      </c>
      <c r="B5577" s="1" t="n">
        <v>44231</v>
      </c>
      <c r="C5577" s="1" t="n">
        <v>46045</v>
      </c>
      <c r="D5577" t="inlineStr">
        <is>
          <t>JÄMTLANDS LÄN</t>
        </is>
      </c>
      <c r="E5577" t="inlineStr">
        <is>
          <t>HÄRJEDALEN</t>
        </is>
      </c>
      <c r="F5577" t="inlineStr">
        <is>
          <t>Kyrkan</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8003-2025</t>
        </is>
      </c>
      <c r="B5578" s="1" t="n">
        <v>45707</v>
      </c>
      <c r="C5578" s="1" t="n">
        <v>46045</v>
      </c>
      <c r="D5578" t="inlineStr">
        <is>
          <t>JÄMTLANDS LÄN</t>
        </is>
      </c>
      <c r="E5578" t="inlineStr">
        <is>
          <t>ÖSTERSUND</t>
        </is>
      </c>
      <c r="F5578" t="inlineStr">
        <is>
          <t>Övriga Aktiebolag</t>
        </is>
      </c>
      <c r="G5578" t="n">
        <v>35.1</v>
      </c>
      <c r="H5578" t="n">
        <v>0</v>
      </c>
      <c r="I5578" t="n">
        <v>0</v>
      </c>
      <c r="J5578" t="n">
        <v>0</v>
      </c>
      <c r="K5578" t="n">
        <v>0</v>
      </c>
      <c r="L5578" t="n">
        <v>0</v>
      </c>
      <c r="M5578" t="n">
        <v>0</v>
      </c>
      <c r="N5578" t="n">
        <v>0</v>
      </c>
      <c r="O5578" t="n">
        <v>0</v>
      </c>
      <c r="P5578" t="n">
        <v>0</v>
      </c>
      <c r="Q5578" t="n">
        <v>0</v>
      </c>
      <c r="R5578" s="2" t="inlineStr"/>
    </row>
    <row r="5579" ht="15" customHeight="1">
      <c r="A5579" t="inlineStr">
        <is>
          <t>A 47314-2025</t>
        </is>
      </c>
      <c r="B5579" s="1" t="n">
        <v>45930.54700231482</v>
      </c>
      <c r="C5579" s="1" t="n">
        <v>46045</v>
      </c>
      <c r="D5579" t="inlineStr">
        <is>
          <t>JÄMTLANDS LÄN</t>
        </is>
      </c>
      <c r="E5579" t="inlineStr">
        <is>
          <t>HÄRJEDALEN</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47119-2025</t>
        </is>
      </c>
      <c r="B5580" s="1" t="n">
        <v>45929.67795138889</v>
      </c>
      <c r="C5580" s="1" t="n">
        <v>46045</v>
      </c>
      <c r="D5580" t="inlineStr">
        <is>
          <t>JÄMTLANDS LÄN</t>
        </is>
      </c>
      <c r="E5580" t="inlineStr">
        <is>
          <t>RAGUNDA</t>
        </is>
      </c>
      <c r="F5580" t="inlineStr">
        <is>
          <t>SCA</t>
        </is>
      </c>
      <c r="G5580" t="n">
        <v>22.7</v>
      </c>
      <c r="H5580" t="n">
        <v>0</v>
      </c>
      <c r="I5580" t="n">
        <v>0</v>
      </c>
      <c r="J5580" t="n">
        <v>0</v>
      </c>
      <c r="K5580" t="n">
        <v>0</v>
      </c>
      <c r="L5580" t="n">
        <v>0</v>
      </c>
      <c r="M5580" t="n">
        <v>0</v>
      </c>
      <c r="N5580" t="n">
        <v>0</v>
      </c>
      <c r="O5580" t="n">
        <v>0</v>
      </c>
      <c r="P5580" t="n">
        <v>0</v>
      </c>
      <c r="Q5580" t="n">
        <v>0</v>
      </c>
      <c r="R5580" s="2" t="inlineStr"/>
    </row>
    <row r="5581" ht="15" customHeight="1">
      <c r="A5581" t="inlineStr">
        <is>
          <t>A 47121-2025</t>
        </is>
      </c>
      <c r="B5581" s="1" t="n">
        <v>45929.67857638889</v>
      </c>
      <c r="C5581" s="1" t="n">
        <v>46045</v>
      </c>
      <c r="D5581" t="inlineStr">
        <is>
          <t>JÄMTLANDS LÄN</t>
        </is>
      </c>
      <c r="E5581" t="inlineStr">
        <is>
          <t>STRÖMSUND</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47122-2025</t>
        </is>
      </c>
      <c r="B5582" s="1" t="n">
        <v>45929.67878472222</v>
      </c>
      <c r="C5582" s="1" t="n">
        <v>46045</v>
      </c>
      <c r="D5582" t="inlineStr">
        <is>
          <t>JÄMTLANDS LÄN</t>
        </is>
      </c>
      <c r="E5582" t="inlineStr">
        <is>
          <t>RAGUNDA</t>
        </is>
      </c>
      <c r="F5582" t="inlineStr">
        <is>
          <t>SCA</t>
        </is>
      </c>
      <c r="G5582" t="n">
        <v>31.1</v>
      </c>
      <c r="H5582" t="n">
        <v>0</v>
      </c>
      <c r="I5582" t="n">
        <v>0</v>
      </c>
      <c r="J5582" t="n">
        <v>0</v>
      </c>
      <c r="K5582" t="n">
        <v>0</v>
      </c>
      <c r="L5582" t="n">
        <v>0</v>
      </c>
      <c r="M5582" t="n">
        <v>0</v>
      </c>
      <c r="N5582" t="n">
        <v>0</v>
      </c>
      <c r="O5582" t="n">
        <v>0</v>
      </c>
      <c r="P5582" t="n">
        <v>0</v>
      </c>
      <c r="Q5582" t="n">
        <v>0</v>
      </c>
      <c r="R5582" s="2" t="inlineStr"/>
    </row>
    <row r="5583" ht="15" customHeight="1">
      <c r="A5583" t="inlineStr">
        <is>
          <t>A 47136-2025</t>
        </is>
      </c>
      <c r="B5583" s="1" t="n">
        <v>45929.69844907407</v>
      </c>
      <c r="C5583" s="1" t="n">
        <v>46045</v>
      </c>
      <c r="D5583" t="inlineStr">
        <is>
          <t>JÄMTLANDS LÄN</t>
        </is>
      </c>
      <c r="E5583" t="inlineStr">
        <is>
          <t>KROKOM</t>
        </is>
      </c>
      <c r="F5583" t="inlineStr">
        <is>
          <t>SCA</t>
        </is>
      </c>
      <c r="G5583" t="n">
        <v>25.1</v>
      </c>
      <c r="H5583" t="n">
        <v>0</v>
      </c>
      <c r="I5583" t="n">
        <v>0</v>
      </c>
      <c r="J5583" t="n">
        <v>0</v>
      </c>
      <c r="K5583" t="n">
        <v>0</v>
      </c>
      <c r="L5583" t="n">
        <v>0</v>
      </c>
      <c r="M5583" t="n">
        <v>0</v>
      </c>
      <c r="N5583" t="n">
        <v>0</v>
      </c>
      <c r="O5583" t="n">
        <v>0</v>
      </c>
      <c r="P5583" t="n">
        <v>0</v>
      </c>
      <c r="Q5583" t="n">
        <v>0</v>
      </c>
      <c r="R5583" s="2" t="inlineStr"/>
    </row>
    <row r="5584" ht="15" customHeight="1">
      <c r="A5584" t="inlineStr">
        <is>
          <t>A 58438-2022</t>
        </is>
      </c>
      <c r="B5584" s="1" t="n">
        <v>44901</v>
      </c>
      <c r="C5584" s="1" t="n">
        <v>46045</v>
      </c>
      <c r="D5584" t="inlineStr">
        <is>
          <t>JÄMTLANDS LÄN</t>
        </is>
      </c>
      <c r="E5584" t="inlineStr">
        <is>
          <t>RAGUNDA</t>
        </is>
      </c>
      <c r="F5584" t="inlineStr">
        <is>
          <t>SCA</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58442-2022</t>
        </is>
      </c>
      <c r="B5585" s="1" t="n">
        <v>44901</v>
      </c>
      <c r="C5585" s="1" t="n">
        <v>46045</v>
      </c>
      <c r="D5585" t="inlineStr">
        <is>
          <t>JÄMTLANDS LÄN</t>
        </is>
      </c>
      <c r="E5585" t="inlineStr">
        <is>
          <t>RAGUNDA</t>
        </is>
      </c>
      <c r="F5585" t="inlineStr">
        <is>
          <t>SCA</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21337-2025</t>
        </is>
      </c>
      <c r="B5586" s="1" t="n">
        <v>45782.3819212963</v>
      </c>
      <c r="C5586" s="1" t="n">
        <v>46045</v>
      </c>
      <c r="D5586" t="inlineStr">
        <is>
          <t>JÄMTLANDS LÄN</t>
        </is>
      </c>
      <c r="E5586" t="inlineStr">
        <is>
          <t>STRÖMSUND</t>
        </is>
      </c>
      <c r="F5586" t="inlineStr">
        <is>
          <t>Holmen skog AB</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8091-2025</t>
        </is>
      </c>
      <c r="B5587" s="1" t="n">
        <v>45707</v>
      </c>
      <c r="C5587" s="1" t="n">
        <v>46045</v>
      </c>
      <c r="D5587" t="inlineStr">
        <is>
          <t>JÄMTLANDS LÄN</t>
        </is>
      </c>
      <c r="E5587" t="inlineStr">
        <is>
          <t>HÄRJEDALEN</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47120-2025</t>
        </is>
      </c>
      <c r="B5588" s="1" t="n">
        <v>45929.67829861111</v>
      </c>
      <c r="C5588" s="1" t="n">
        <v>46045</v>
      </c>
      <c r="D5588" t="inlineStr">
        <is>
          <t>JÄMTLANDS LÄN</t>
        </is>
      </c>
      <c r="E5588" t="inlineStr">
        <is>
          <t>BRÄCKE</t>
        </is>
      </c>
      <c r="F5588" t="inlineStr">
        <is>
          <t>SCA</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47141-2025</t>
        </is>
      </c>
      <c r="B5589" s="1" t="n">
        <v>45929.70355324074</v>
      </c>
      <c r="C5589" s="1" t="n">
        <v>46045</v>
      </c>
      <c r="D5589" t="inlineStr">
        <is>
          <t>JÄMTLANDS LÄN</t>
        </is>
      </c>
      <c r="E5589" t="inlineStr">
        <is>
          <t>BERG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30158-2022</t>
        </is>
      </c>
      <c r="B5590" s="1" t="n">
        <v>44757</v>
      </c>
      <c r="C5590" s="1" t="n">
        <v>46045</v>
      </c>
      <c r="D5590" t="inlineStr">
        <is>
          <t>JÄMTLANDS LÄN</t>
        </is>
      </c>
      <c r="E5590" t="inlineStr">
        <is>
          <t>KROKOM</t>
        </is>
      </c>
      <c r="F5590" t="inlineStr">
        <is>
          <t>SCA</t>
        </is>
      </c>
      <c r="G5590" t="n">
        <v>9.6</v>
      </c>
      <c r="H5590" t="n">
        <v>0</v>
      </c>
      <c r="I5590" t="n">
        <v>0</v>
      </c>
      <c r="J5590" t="n">
        <v>0</v>
      </c>
      <c r="K5590" t="n">
        <v>0</v>
      </c>
      <c r="L5590" t="n">
        <v>0</v>
      </c>
      <c r="M5590" t="n">
        <v>0</v>
      </c>
      <c r="N5590" t="n">
        <v>0</v>
      </c>
      <c r="O5590" t="n">
        <v>0</v>
      </c>
      <c r="P5590" t="n">
        <v>0</v>
      </c>
      <c r="Q5590" t="n">
        <v>0</v>
      </c>
      <c r="R5590" s="2" t="inlineStr"/>
    </row>
    <row r="5591" ht="15" customHeight="1">
      <c r="A5591" t="inlineStr">
        <is>
          <t>A 34627-2022</t>
        </is>
      </c>
      <c r="B5591" s="1" t="n">
        <v>44795</v>
      </c>
      <c r="C5591" s="1" t="n">
        <v>46045</v>
      </c>
      <c r="D5591" t="inlineStr">
        <is>
          <t>JÄMTLANDS LÄN</t>
        </is>
      </c>
      <c r="E5591" t="inlineStr">
        <is>
          <t>HÄRJEDALEN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23507-2024</t>
        </is>
      </c>
      <c r="B5592" s="1" t="n">
        <v>45453</v>
      </c>
      <c r="C5592" s="1" t="n">
        <v>46045</v>
      </c>
      <c r="D5592" t="inlineStr">
        <is>
          <t>JÄMTLANDS LÄN</t>
        </is>
      </c>
      <c r="E5592" t="inlineStr">
        <is>
          <t>KROKOM</t>
        </is>
      </c>
      <c r="F5592" t="inlineStr">
        <is>
          <t>SCA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47197-2025</t>
        </is>
      </c>
      <c r="B5593" s="1" t="n">
        <v>45930.34533564815</v>
      </c>
      <c r="C5593" s="1" t="n">
        <v>46045</v>
      </c>
      <c r="D5593" t="inlineStr">
        <is>
          <t>JÄMTLANDS LÄN</t>
        </is>
      </c>
      <c r="E5593" t="inlineStr">
        <is>
          <t>BERG</t>
        </is>
      </c>
      <c r="F5593" t="inlineStr">
        <is>
          <t>SCA</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21407-2025</t>
        </is>
      </c>
      <c r="B5594" s="1" t="n">
        <v>45782.49057870371</v>
      </c>
      <c r="C5594" s="1" t="n">
        <v>46045</v>
      </c>
      <c r="D5594" t="inlineStr">
        <is>
          <t>JÄMTLANDS LÄN</t>
        </is>
      </c>
      <c r="E5594" t="inlineStr">
        <is>
          <t>STRÖMSUND</t>
        </is>
      </c>
      <c r="G5594" t="n">
        <v>9.800000000000001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35537-2021</t>
        </is>
      </c>
      <c r="B5595" s="1" t="n">
        <v>44384</v>
      </c>
      <c r="C5595" s="1" t="n">
        <v>46045</v>
      </c>
      <c r="D5595" t="inlineStr">
        <is>
          <t>JÄMTLANDS LÄN</t>
        </is>
      </c>
      <c r="E5595" t="inlineStr">
        <is>
          <t>RAGUNDA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58449-2022</t>
        </is>
      </c>
      <c r="B5596" s="1" t="n">
        <v>44901.95508101852</v>
      </c>
      <c r="C5596" s="1" t="n">
        <v>46045</v>
      </c>
      <c r="D5596" t="inlineStr">
        <is>
          <t>JÄMTLANDS LÄN</t>
        </is>
      </c>
      <c r="E5596" t="inlineStr">
        <is>
          <t>STRÖMSUND</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21432-2025</t>
        </is>
      </c>
      <c r="B5597" s="1" t="n">
        <v>45782.51109953703</v>
      </c>
      <c r="C5597" s="1" t="n">
        <v>46045</v>
      </c>
      <c r="D5597" t="inlineStr">
        <is>
          <t>JÄMTLANDS LÄN</t>
        </is>
      </c>
      <c r="E5597" t="inlineStr">
        <is>
          <t>RAGUNDA</t>
        </is>
      </c>
      <c r="F5597" t="inlineStr">
        <is>
          <t>SCA</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45722-2024</t>
        </is>
      </c>
      <c r="B5598" s="1" t="n">
        <v>45579.59447916667</v>
      </c>
      <c r="C5598" s="1" t="n">
        <v>46045</v>
      </c>
      <c r="D5598" t="inlineStr">
        <is>
          <t>JÄMTLANDS LÄN</t>
        </is>
      </c>
      <c r="E5598" t="inlineStr">
        <is>
          <t>BRÄCKE</t>
        </is>
      </c>
      <c r="F5598" t="inlineStr">
        <is>
          <t>SCA</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53113-2022</t>
        </is>
      </c>
      <c r="B5599" s="1" t="n">
        <v>44873</v>
      </c>
      <c r="C5599" s="1" t="n">
        <v>46045</v>
      </c>
      <c r="D5599" t="inlineStr">
        <is>
          <t>JÄMTLANDS LÄN</t>
        </is>
      </c>
      <c r="E5599" t="inlineStr">
        <is>
          <t>BRÄCKE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47021-2025</t>
        </is>
      </c>
      <c r="B5600" s="1" t="n">
        <v>45929.57756944445</v>
      </c>
      <c r="C5600" s="1" t="n">
        <v>46045</v>
      </c>
      <c r="D5600" t="inlineStr">
        <is>
          <t>JÄMTLANDS LÄN</t>
        </is>
      </c>
      <c r="E5600" t="inlineStr">
        <is>
          <t>HÄRJEDALEN</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47430-2025</t>
        </is>
      </c>
      <c r="B5601" s="1" t="n">
        <v>45930.63619212963</v>
      </c>
      <c r="C5601" s="1" t="n">
        <v>46045</v>
      </c>
      <c r="D5601" t="inlineStr">
        <is>
          <t>JÄMTLANDS LÄN</t>
        </is>
      </c>
      <c r="E5601" t="inlineStr">
        <is>
          <t>BERG</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47431-2025</t>
        </is>
      </c>
      <c r="B5602" s="1" t="n">
        <v>45930.63626157407</v>
      </c>
      <c r="C5602" s="1" t="n">
        <v>46045</v>
      </c>
      <c r="D5602" t="inlineStr">
        <is>
          <t>JÄMTLANDS LÄN</t>
        </is>
      </c>
      <c r="E5602" t="inlineStr">
        <is>
          <t>BERG</t>
        </is>
      </c>
      <c r="F5602" t="inlineStr">
        <is>
          <t>SCA</t>
        </is>
      </c>
      <c r="G5602" t="n">
        <v>9.5</v>
      </c>
      <c r="H5602" t="n">
        <v>0</v>
      </c>
      <c r="I5602" t="n">
        <v>0</v>
      </c>
      <c r="J5602" t="n">
        <v>0</v>
      </c>
      <c r="K5602" t="n">
        <v>0</v>
      </c>
      <c r="L5602" t="n">
        <v>0</v>
      </c>
      <c r="M5602" t="n">
        <v>0</v>
      </c>
      <c r="N5602" t="n">
        <v>0</v>
      </c>
      <c r="O5602" t="n">
        <v>0</v>
      </c>
      <c r="P5602" t="n">
        <v>0</v>
      </c>
      <c r="Q5602" t="n">
        <v>0</v>
      </c>
      <c r="R5602" s="2" t="inlineStr"/>
    </row>
    <row r="5603" ht="15" customHeight="1">
      <c r="A5603" t="inlineStr">
        <is>
          <t>A 21161-2025</t>
        </is>
      </c>
      <c r="B5603" s="1" t="n">
        <v>45779.38211805555</v>
      </c>
      <c r="C5603" s="1" t="n">
        <v>46045</v>
      </c>
      <c r="D5603" t="inlineStr">
        <is>
          <t>JÄMTLANDS LÄN</t>
        </is>
      </c>
      <c r="E5603" t="inlineStr">
        <is>
          <t>HÄRJEDALEN</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21181-2025</t>
        </is>
      </c>
      <c r="B5604" s="1" t="n">
        <v>45779.43696759259</v>
      </c>
      <c r="C5604" s="1" t="n">
        <v>46045</v>
      </c>
      <c r="D5604" t="inlineStr">
        <is>
          <t>JÄMTLANDS LÄN</t>
        </is>
      </c>
      <c r="E5604" t="inlineStr">
        <is>
          <t>ÅRE</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49065-2025</t>
        </is>
      </c>
      <c r="B5605" s="1" t="n">
        <v>45937</v>
      </c>
      <c r="C5605" s="1" t="n">
        <v>46045</v>
      </c>
      <c r="D5605" t="inlineStr">
        <is>
          <t>JÄMTLANDS LÄN</t>
        </is>
      </c>
      <c r="E5605" t="inlineStr">
        <is>
          <t>STRÖMSUND</t>
        </is>
      </c>
      <c r="F5605" t="inlineStr">
        <is>
          <t>SCA</t>
        </is>
      </c>
      <c r="G5605" t="n">
        <v>42.6</v>
      </c>
      <c r="H5605" t="n">
        <v>0</v>
      </c>
      <c r="I5605" t="n">
        <v>0</v>
      </c>
      <c r="J5605" t="n">
        <v>0</v>
      </c>
      <c r="K5605" t="n">
        <v>0</v>
      </c>
      <c r="L5605" t="n">
        <v>0</v>
      </c>
      <c r="M5605" t="n">
        <v>0</v>
      </c>
      <c r="N5605" t="n">
        <v>0</v>
      </c>
      <c r="O5605" t="n">
        <v>0</v>
      </c>
      <c r="P5605" t="n">
        <v>0</v>
      </c>
      <c r="Q5605" t="n">
        <v>0</v>
      </c>
      <c r="R5605" s="2" t="inlineStr"/>
    </row>
    <row r="5606" ht="15" customHeight="1">
      <c r="A5606" t="inlineStr">
        <is>
          <t>A 46584-2025</t>
        </is>
      </c>
      <c r="B5606" s="1" t="n">
        <v>45926</v>
      </c>
      <c r="C5606" s="1" t="n">
        <v>46045</v>
      </c>
      <c r="D5606" t="inlineStr">
        <is>
          <t>JÄMTLANDS LÄN</t>
        </is>
      </c>
      <c r="E5606" t="inlineStr">
        <is>
          <t>BERG</t>
        </is>
      </c>
      <c r="G5606" t="n">
        <v>17.1</v>
      </c>
      <c r="H5606" t="n">
        <v>0</v>
      </c>
      <c r="I5606" t="n">
        <v>0</v>
      </c>
      <c r="J5606" t="n">
        <v>0</v>
      </c>
      <c r="K5606" t="n">
        <v>0</v>
      </c>
      <c r="L5606" t="n">
        <v>0</v>
      </c>
      <c r="M5606" t="n">
        <v>0</v>
      </c>
      <c r="N5606" t="n">
        <v>0</v>
      </c>
      <c r="O5606" t="n">
        <v>0</v>
      </c>
      <c r="P5606" t="n">
        <v>0</v>
      </c>
      <c r="Q5606" t="n">
        <v>0</v>
      </c>
      <c r="R5606" s="2" t="inlineStr"/>
    </row>
    <row r="5607" ht="15" customHeight="1">
      <c r="A5607" t="inlineStr">
        <is>
          <t>A 47236-2025</t>
        </is>
      </c>
      <c r="B5607" s="1" t="n">
        <v>45930</v>
      </c>
      <c r="C5607" s="1" t="n">
        <v>46045</v>
      </c>
      <c r="D5607" t="inlineStr">
        <is>
          <t>JÄMTLANDS LÄN</t>
        </is>
      </c>
      <c r="E5607" t="inlineStr">
        <is>
          <t>HÄRJEDALEN</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47474-2025</t>
        </is>
      </c>
      <c r="B5608" s="1" t="n">
        <v>45930.67776620371</v>
      </c>
      <c r="C5608" s="1" t="n">
        <v>46045</v>
      </c>
      <c r="D5608" t="inlineStr">
        <is>
          <t>JÄMTLANDS LÄN</t>
        </is>
      </c>
      <c r="E5608" t="inlineStr">
        <is>
          <t>BRÄCKE</t>
        </is>
      </c>
      <c r="F5608" t="inlineStr">
        <is>
          <t>SCA</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32153-2022</t>
        </is>
      </c>
      <c r="B5609" s="1" t="n">
        <v>44781</v>
      </c>
      <c r="C5609" s="1" t="n">
        <v>46045</v>
      </c>
      <c r="D5609" t="inlineStr">
        <is>
          <t>JÄMTLANDS LÄN</t>
        </is>
      </c>
      <c r="E5609" t="inlineStr">
        <is>
          <t>STRÖMSUND</t>
        </is>
      </c>
      <c r="G5609" t="n">
        <v>27.4</v>
      </c>
      <c r="H5609" t="n">
        <v>0</v>
      </c>
      <c r="I5609" t="n">
        <v>0</v>
      </c>
      <c r="J5609" t="n">
        <v>0</v>
      </c>
      <c r="K5609" t="n">
        <v>0</v>
      </c>
      <c r="L5609" t="n">
        <v>0</v>
      </c>
      <c r="M5609" t="n">
        <v>0</v>
      </c>
      <c r="N5609" t="n">
        <v>0</v>
      </c>
      <c r="O5609" t="n">
        <v>0</v>
      </c>
      <c r="P5609" t="n">
        <v>0</v>
      </c>
      <c r="Q5609" t="n">
        <v>0</v>
      </c>
      <c r="R5609" s="2" t="inlineStr"/>
    </row>
    <row r="5610" ht="15" customHeight="1">
      <c r="A5610" t="inlineStr">
        <is>
          <t>A 15064-2023</t>
        </is>
      </c>
      <c r="B5610" s="1" t="n">
        <v>45015</v>
      </c>
      <c r="C5610" s="1" t="n">
        <v>46045</v>
      </c>
      <c r="D5610" t="inlineStr">
        <is>
          <t>JÄMTLANDS LÄN</t>
        </is>
      </c>
      <c r="E5610" t="inlineStr">
        <is>
          <t>STRÖMSUND</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19261-2023</t>
        </is>
      </c>
      <c r="B5611" s="1" t="n">
        <v>45048</v>
      </c>
      <c r="C5611" s="1" t="n">
        <v>46045</v>
      </c>
      <c r="D5611" t="inlineStr">
        <is>
          <t>JÄMTLANDS LÄN</t>
        </is>
      </c>
      <c r="E5611" t="inlineStr">
        <is>
          <t>STRÖMSUND</t>
        </is>
      </c>
      <c r="G5611" t="n">
        <v>17.2</v>
      </c>
      <c r="H5611" t="n">
        <v>0</v>
      </c>
      <c r="I5611" t="n">
        <v>0</v>
      </c>
      <c r="J5611" t="n">
        <v>0</v>
      </c>
      <c r="K5611" t="n">
        <v>0</v>
      </c>
      <c r="L5611" t="n">
        <v>0</v>
      </c>
      <c r="M5611" t="n">
        <v>0</v>
      </c>
      <c r="N5611" t="n">
        <v>0</v>
      </c>
      <c r="O5611" t="n">
        <v>0</v>
      </c>
      <c r="P5611" t="n">
        <v>0</v>
      </c>
      <c r="Q5611" t="n">
        <v>0</v>
      </c>
      <c r="R5611" s="2" t="inlineStr"/>
    </row>
    <row r="5612" ht="15" customHeight="1">
      <c r="A5612" t="inlineStr">
        <is>
          <t>A 45123-2024</t>
        </is>
      </c>
      <c r="B5612" s="1" t="n">
        <v>45575.6125925926</v>
      </c>
      <c r="C5612" s="1" t="n">
        <v>46045</v>
      </c>
      <c r="D5612" t="inlineStr">
        <is>
          <t>JÄMTLANDS LÄN</t>
        </is>
      </c>
      <c r="E5612" t="inlineStr">
        <is>
          <t>HÄRJEDALEN</t>
        </is>
      </c>
      <c r="F5612" t="inlineStr">
        <is>
          <t>Holmen skog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45161-2024</t>
        </is>
      </c>
      <c r="B5613" s="1" t="n">
        <v>45575.64982638889</v>
      </c>
      <c r="C5613" s="1" t="n">
        <v>46045</v>
      </c>
      <c r="D5613" t="inlineStr">
        <is>
          <t>JÄMTLANDS LÄN</t>
        </is>
      </c>
      <c r="E5613" t="inlineStr">
        <is>
          <t>ÅRE</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46854-2025</t>
        </is>
      </c>
      <c r="B5614" s="1" t="n">
        <v>45928.87376157408</v>
      </c>
      <c r="C5614" s="1" t="n">
        <v>46045</v>
      </c>
      <c r="D5614" t="inlineStr">
        <is>
          <t>JÄMTLANDS LÄN</t>
        </is>
      </c>
      <c r="E5614" t="inlineStr">
        <is>
          <t>BERG</t>
        </is>
      </c>
      <c r="F5614" t="inlineStr">
        <is>
          <t>Kyrkan</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21221-2025</t>
        </is>
      </c>
      <c r="B5615" s="1" t="n">
        <v>45779.50052083333</v>
      </c>
      <c r="C5615" s="1" t="n">
        <v>46045</v>
      </c>
      <c r="D5615" t="inlineStr">
        <is>
          <t>JÄMTLANDS LÄN</t>
        </is>
      </c>
      <c r="E5615" t="inlineStr">
        <is>
          <t>HÄRJEDALEN</t>
        </is>
      </c>
      <c r="F5615" t="inlineStr">
        <is>
          <t>Holmen skog AB</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15480-2024</t>
        </is>
      </c>
      <c r="B5616" s="1" t="n">
        <v>45401.49065972222</v>
      </c>
      <c r="C5616" s="1" t="n">
        <v>46045</v>
      </c>
      <c r="D5616" t="inlineStr">
        <is>
          <t>JÄMTLANDS LÄN</t>
        </is>
      </c>
      <c r="E5616" t="inlineStr">
        <is>
          <t>ÅRE</t>
        </is>
      </c>
      <c r="G5616" t="n">
        <v>11.8</v>
      </c>
      <c r="H5616" t="n">
        <v>0</v>
      </c>
      <c r="I5616" t="n">
        <v>0</v>
      </c>
      <c r="J5616" t="n">
        <v>0</v>
      </c>
      <c r="K5616" t="n">
        <v>0</v>
      </c>
      <c r="L5616" t="n">
        <v>0</v>
      </c>
      <c r="M5616" t="n">
        <v>0</v>
      </c>
      <c r="N5616" t="n">
        <v>0</v>
      </c>
      <c r="O5616" t="n">
        <v>0</v>
      </c>
      <c r="P5616" t="n">
        <v>0</v>
      </c>
      <c r="Q5616" t="n">
        <v>0</v>
      </c>
      <c r="R5616" s="2" t="inlineStr"/>
    </row>
    <row r="5617" ht="15" customHeight="1">
      <c r="A5617" t="inlineStr">
        <is>
          <t>A 46908-2025</t>
        </is>
      </c>
      <c r="B5617" s="1" t="n">
        <v>45929.40664351852</v>
      </c>
      <c r="C5617" s="1" t="n">
        <v>46045</v>
      </c>
      <c r="D5617" t="inlineStr">
        <is>
          <t>JÄMTLANDS LÄN</t>
        </is>
      </c>
      <c r="E5617" t="inlineStr">
        <is>
          <t>BERG</t>
        </is>
      </c>
      <c r="F5617" t="inlineStr">
        <is>
          <t>SCA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46909-2025</t>
        </is>
      </c>
      <c r="B5618" s="1" t="n">
        <v>45929.40673611111</v>
      </c>
      <c r="C5618" s="1" t="n">
        <v>46045</v>
      </c>
      <c r="D5618" t="inlineStr">
        <is>
          <t>JÄMTLANDS LÄN</t>
        </is>
      </c>
      <c r="E5618" t="inlineStr">
        <is>
          <t>RAGUNDA</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21549-2025</t>
        </is>
      </c>
      <c r="B5619" s="1" t="n">
        <v>45782.67743055556</v>
      </c>
      <c r="C5619" s="1" t="n">
        <v>46045</v>
      </c>
      <c r="D5619" t="inlineStr">
        <is>
          <t>JÄMTLANDS LÄN</t>
        </is>
      </c>
      <c r="E5619" t="inlineStr">
        <is>
          <t>BRÄCKE</t>
        </is>
      </c>
      <c r="F5619" t="inlineStr">
        <is>
          <t>SCA</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21550-2025</t>
        </is>
      </c>
      <c r="B5620" s="1" t="n">
        <v>45782.67758101852</v>
      </c>
      <c r="C5620" s="1" t="n">
        <v>46045</v>
      </c>
      <c r="D5620" t="inlineStr">
        <is>
          <t>JÄMTLANDS LÄN</t>
        </is>
      </c>
      <c r="E5620" t="inlineStr">
        <is>
          <t>RAGUNDA</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21449-2025</t>
        </is>
      </c>
      <c r="B5621" s="1" t="n">
        <v>45782.55255787037</v>
      </c>
      <c r="C5621" s="1" t="n">
        <v>46045</v>
      </c>
      <c r="D5621" t="inlineStr">
        <is>
          <t>JÄMTLANDS LÄN</t>
        </is>
      </c>
      <c r="E5621" t="inlineStr">
        <is>
          <t>BRÄCKE</t>
        </is>
      </c>
      <c r="F5621" t="inlineStr">
        <is>
          <t>SCA</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21450-2025</t>
        </is>
      </c>
      <c r="B5622" s="1" t="n">
        <v>45782.55275462963</v>
      </c>
      <c r="C5622" s="1" t="n">
        <v>46045</v>
      </c>
      <c r="D5622" t="inlineStr">
        <is>
          <t>JÄMTLANDS LÄN</t>
        </is>
      </c>
      <c r="E5622" t="inlineStr">
        <is>
          <t>BRÄCKE</t>
        </is>
      </c>
      <c r="F5622" t="inlineStr">
        <is>
          <t>SCA</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21451-2025</t>
        </is>
      </c>
      <c r="B5623" s="1" t="n">
        <v>45782.55287037037</v>
      </c>
      <c r="C5623" s="1" t="n">
        <v>46045</v>
      </c>
      <c r="D5623" t="inlineStr">
        <is>
          <t>JÄMTLANDS LÄN</t>
        </is>
      </c>
      <c r="E5623" t="inlineStr">
        <is>
          <t>RAGUNDA</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47438-2025</t>
        </is>
      </c>
      <c r="B5624" s="1" t="n">
        <v>45930.63726851852</v>
      </c>
      <c r="C5624" s="1" t="n">
        <v>46045</v>
      </c>
      <c r="D5624" t="inlineStr">
        <is>
          <t>JÄMTLANDS LÄN</t>
        </is>
      </c>
      <c r="E5624" t="inlineStr">
        <is>
          <t>KROKOM</t>
        </is>
      </c>
      <c r="F5624" t="inlineStr">
        <is>
          <t>SCA</t>
        </is>
      </c>
      <c r="G5624" t="n">
        <v>35.4</v>
      </c>
      <c r="H5624" t="n">
        <v>0</v>
      </c>
      <c r="I5624" t="n">
        <v>0</v>
      </c>
      <c r="J5624" t="n">
        <v>0</v>
      </c>
      <c r="K5624" t="n">
        <v>0</v>
      </c>
      <c r="L5624" t="n">
        <v>0</v>
      </c>
      <c r="M5624" t="n">
        <v>0</v>
      </c>
      <c r="N5624" t="n">
        <v>0</v>
      </c>
      <c r="O5624" t="n">
        <v>0</v>
      </c>
      <c r="P5624" t="n">
        <v>0</v>
      </c>
      <c r="Q5624" t="n">
        <v>0</v>
      </c>
      <c r="R5624" s="2" t="inlineStr"/>
    </row>
    <row r="5625" ht="15" customHeight="1">
      <c r="A5625" t="inlineStr">
        <is>
          <t>A 16725-2025</t>
        </is>
      </c>
      <c r="B5625" s="1" t="n">
        <v>45754</v>
      </c>
      <c r="C5625" s="1" t="n">
        <v>46045</v>
      </c>
      <c r="D5625" t="inlineStr">
        <is>
          <t>JÄMTLANDS LÄN</t>
        </is>
      </c>
      <c r="E5625" t="inlineStr">
        <is>
          <t>ÖSTERSUND</t>
        </is>
      </c>
      <c r="F5625" t="inlineStr">
        <is>
          <t>Övriga statliga verk och myndigheter</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21150-2025</t>
        </is>
      </c>
      <c r="B5626" s="1" t="n">
        <v>45779.34417824074</v>
      </c>
      <c r="C5626" s="1" t="n">
        <v>46045</v>
      </c>
      <c r="D5626" t="inlineStr">
        <is>
          <t>JÄMTLANDS LÄN</t>
        </is>
      </c>
      <c r="E5626" t="inlineStr">
        <is>
          <t>RAGUNDA</t>
        </is>
      </c>
      <c r="F5626" t="inlineStr">
        <is>
          <t>SCA</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21167-2025</t>
        </is>
      </c>
      <c r="B5627" s="1" t="n">
        <v>45779.41253472222</v>
      </c>
      <c r="C5627" s="1" t="n">
        <v>46045</v>
      </c>
      <c r="D5627" t="inlineStr">
        <is>
          <t>JÄMTLANDS LÄN</t>
        </is>
      </c>
      <c r="E5627" t="inlineStr">
        <is>
          <t>ÅRE</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21169-2025</t>
        </is>
      </c>
      <c r="B5628" s="1" t="n">
        <v>45779.41844907407</v>
      </c>
      <c r="C5628" s="1" t="n">
        <v>46045</v>
      </c>
      <c r="D5628" t="inlineStr">
        <is>
          <t>JÄMTLANDS LÄN</t>
        </is>
      </c>
      <c r="E5628" t="inlineStr">
        <is>
          <t>HÄRJEDALEN</t>
        </is>
      </c>
      <c r="F5628" t="inlineStr">
        <is>
          <t>Holmen skog AB</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3419-2025</t>
        </is>
      </c>
      <c r="B5629" s="1" t="n">
        <v>45680.4165625</v>
      </c>
      <c r="C5629" s="1" t="n">
        <v>46045</v>
      </c>
      <c r="D5629" t="inlineStr">
        <is>
          <t>JÄMTLANDS LÄN</t>
        </is>
      </c>
      <c r="E5629" t="inlineStr">
        <is>
          <t>BERG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13783-2025</t>
        </is>
      </c>
      <c r="B5630" s="1" t="n">
        <v>45737</v>
      </c>
      <c r="C5630" s="1" t="n">
        <v>46045</v>
      </c>
      <c r="D5630" t="inlineStr">
        <is>
          <t>JÄMTLANDS LÄN</t>
        </is>
      </c>
      <c r="E5630" t="inlineStr">
        <is>
          <t>HÄRJEDALEN</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21322-2025</t>
        </is>
      </c>
      <c r="B5631" s="1" t="n">
        <v>45782.34524305556</v>
      </c>
      <c r="C5631" s="1" t="n">
        <v>46045</v>
      </c>
      <c r="D5631" t="inlineStr">
        <is>
          <t>JÄMTLANDS LÄN</t>
        </is>
      </c>
      <c r="E5631" t="inlineStr">
        <is>
          <t>STRÖMSUND</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21331-2025</t>
        </is>
      </c>
      <c r="B5632" s="1" t="n">
        <v>45782.36494212963</v>
      </c>
      <c r="C5632" s="1" t="n">
        <v>46045</v>
      </c>
      <c r="D5632" t="inlineStr">
        <is>
          <t>JÄMTLANDS LÄN</t>
        </is>
      </c>
      <c r="E5632" t="inlineStr">
        <is>
          <t>RAGUNDA</t>
        </is>
      </c>
      <c r="F5632" t="inlineStr">
        <is>
          <t>SCA</t>
        </is>
      </c>
      <c r="G5632" t="n">
        <v>23.1</v>
      </c>
      <c r="H5632" t="n">
        <v>0</v>
      </c>
      <c r="I5632" t="n">
        <v>0</v>
      </c>
      <c r="J5632" t="n">
        <v>0</v>
      </c>
      <c r="K5632" t="n">
        <v>0</v>
      </c>
      <c r="L5632" t="n">
        <v>0</v>
      </c>
      <c r="M5632" t="n">
        <v>0</v>
      </c>
      <c r="N5632" t="n">
        <v>0</v>
      </c>
      <c r="O5632" t="n">
        <v>0</v>
      </c>
      <c r="P5632" t="n">
        <v>0</v>
      </c>
      <c r="Q5632" t="n">
        <v>0</v>
      </c>
      <c r="R5632" s="2" t="inlineStr"/>
      <c r="U5632">
        <f>HYPERLINK("https://klasma.github.io/Logging_2303/knärot/A 21331-2025 karta knärot.png", "A 21331-2025")</f>
        <v/>
      </c>
      <c r="V5632">
        <f>HYPERLINK("https://klasma.github.io/Logging_2303/klagomål/A 21331-2025 FSC-klagomål.docx", "A 21331-2025")</f>
        <v/>
      </c>
      <c r="W5632">
        <f>HYPERLINK("https://klasma.github.io/Logging_2303/klagomålsmail/A 21331-2025 FSC-klagomål mail.docx", "A 21331-2025")</f>
        <v/>
      </c>
      <c r="X5632">
        <f>HYPERLINK("https://klasma.github.io/Logging_2303/tillsyn/A 21331-2025 tillsynsbegäran.docx", "A 21331-2025")</f>
        <v/>
      </c>
      <c r="Y5632">
        <f>HYPERLINK("https://klasma.github.io/Logging_2303/tillsynsmail/A 21331-2025 tillsynsbegäran mail.docx", "A 21331-2025")</f>
        <v/>
      </c>
    </row>
    <row r="5633" ht="15" customHeight="1">
      <c r="A5633" t="inlineStr">
        <is>
          <t>A 21353-2025</t>
        </is>
      </c>
      <c r="B5633" s="1" t="n">
        <v>45782.41182870371</v>
      </c>
      <c r="C5633" s="1" t="n">
        <v>46045</v>
      </c>
      <c r="D5633" t="inlineStr">
        <is>
          <t>JÄMTLANDS LÄN</t>
        </is>
      </c>
      <c r="E5633" t="inlineStr">
        <is>
          <t>STRÖMSUND</t>
        </is>
      </c>
      <c r="F5633" t="inlineStr">
        <is>
          <t>Holmen skog AB</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21355-2025</t>
        </is>
      </c>
      <c r="B5634" s="1" t="n">
        <v>45782.41581018519</v>
      </c>
      <c r="C5634" s="1" t="n">
        <v>46045</v>
      </c>
      <c r="D5634" t="inlineStr">
        <is>
          <t>JÄMTLANDS LÄN</t>
        </is>
      </c>
      <c r="E5634" t="inlineStr">
        <is>
          <t>HÄRJEDALEN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21214-2025</t>
        </is>
      </c>
      <c r="B5635" s="1" t="n">
        <v>45779.49025462963</v>
      </c>
      <c r="C5635" s="1" t="n">
        <v>46045</v>
      </c>
      <c r="D5635" t="inlineStr">
        <is>
          <t>JÄMTLANDS LÄN</t>
        </is>
      </c>
      <c r="E5635" t="inlineStr">
        <is>
          <t>RAGUNDA</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21223-2025</t>
        </is>
      </c>
      <c r="B5636" s="1" t="n">
        <v>45779.50886574074</v>
      </c>
      <c r="C5636" s="1" t="n">
        <v>46045</v>
      </c>
      <c r="D5636" t="inlineStr">
        <is>
          <t>JÄMTLANDS LÄN</t>
        </is>
      </c>
      <c r="E5636" t="inlineStr">
        <is>
          <t>HÄRJEDALEN</t>
        </is>
      </c>
      <c r="F5636" t="inlineStr">
        <is>
          <t>Holmen skog AB</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21226-2025</t>
        </is>
      </c>
      <c r="B5637" s="1" t="n">
        <v>45779.51943287037</v>
      </c>
      <c r="C5637" s="1" t="n">
        <v>46045</v>
      </c>
      <c r="D5637" t="inlineStr">
        <is>
          <t>JÄMTLANDS LÄN</t>
        </is>
      </c>
      <c r="E5637" t="inlineStr">
        <is>
          <t>HÄRJEDALEN</t>
        </is>
      </c>
      <c r="F5637" t="inlineStr">
        <is>
          <t>Holmen skog AB</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21559-2025</t>
        </is>
      </c>
      <c r="B5638" s="1" t="n">
        <v>45782.67873842592</v>
      </c>
      <c r="C5638" s="1" t="n">
        <v>46045</v>
      </c>
      <c r="D5638" t="inlineStr">
        <is>
          <t>JÄMTLANDS LÄN</t>
        </is>
      </c>
      <c r="E5638" t="inlineStr">
        <is>
          <t>STRÖMSUND</t>
        </is>
      </c>
      <c r="F5638" t="inlineStr">
        <is>
          <t>SCA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21486-2025</t>
        </is>
      </c>
      <c r="B5639" s="1" t="n">
        <v>45782.59521990741</v>
      </c>
      <c r="C5639" s="1" t="n">
        <v>46045</v>
      </c>
      <c r="D5639" t="inlineStr">
        <is>
          <t>JÄMTLANDS LÄN</t>
        </is>
      </c>
      <c r="E5639" t="inlineStr">
        <is>
          <t>BRÄCKE</t>
        </is>
      </c>
      <c r="F5639" t="inlineStr">
        <is>
          <t>SCA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38644-2021</t>
        </is>
      </c>
      <c r="B5640" s="1" t="n">
        <v>44410.35376157407</v>
      </c>
      <c r="C5640" s="1" t="n">
        <v>46045</v>
      </c>
      <c r="D5640" t="inlineStr">
        <is>
          <t>JÄMTLANDS LÄN</t>
        </is>
      </c>
      <c r="E5640" t="inlineStr">
        <is>
          <t>ÖSTERSUND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15889-2025</t>
        </is>
      </c>
      <c r="B5641" s="1" t="n">
        <v>45749.4075</v>
      </c>
      <c r="C5641" s="1" t="n">
        <v>46045</v>
      </c>
      <c r="D5641" t="inlineStr">
        <is>
          <t>JÄMTLANDS LÄN</t>
        </is>
      </c>
      <c r="E5641" t="inlineStr">
        <is>
          <t>ÅRE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47194-2025</t>
        </is>
      </c>
      <c r="B5642" s="1" t="n">
        <v>45930.34498842592</v>
      </c>
      <c r="C5642" s="1" t="n">
        <v>46045</v>
      </c>
      <c r="D5642" t="inlineStr">
        <is>
          <t>JÄMTLANDS LÄN</t>
        </is>
      </c>
      <c r="E5642" t="inlineStr">
        <is>
          <t>STRÖMSUND</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21180-2025</t>
        </is>
      </c>
      <c r="B5643" s="1" t="n">
        <v>45779.43546296296</v>
      </c>
      <c r="C5643" s="1" t="n">
        <v>46045</v>
      </c>
      <c r="D5643" t="inlineStr">
        <is>
          <t>JÄMTLANDS LÄN</t>
        </is>
      </c>
      <c r="E5643" t="inlineStr">
        <is>
          <t>STRÖMSUND</t>
        </is>
      </c>
      <c r="G5643" t="n">
        <v>14.5</v>
      </c>
      <c r="H5643" t="n">
        <v>0</v>
      </c>
      <c r="I5643" t="n">
        <v>0</v>
      </c>
      <c r="J5643" t="n">
        <v>0</v>
      </c>
      <c r="K5643" t="n">
        <v>0</v>
      </c>
      <c r="L5643" t="n">
        <v>0</v>
      </c>
      <c r="M5643" t="n">
        <v>0</v>
      </c>
      <c r="N5643" t="n">
        <v>0</v>
      </c>
      <c r="O5643" t="n">
        <v>0</v>
      </c>
      <c r="P5643" t="n">
        <v>0</v>
      </c>
      <c r="Q5643" t="n">
        <v>0</v>
      </c>
      <c r="R5643" s="2" t="inlineStr"/>
    </row>
    <row r="5644" ht="15" customHeight="1">
      <c r="A5644" t="inlineStr">
        <is>
          <t>A 46641-2025</t>
        </is>
      </c>
      <c r="B5644" s="1" t="n">
        <v>45926.47011574074</v>
      </c>
      <c r="C5644" s="1" t="n">
        <v>46045</v>
      </c>
      <c r="D5644" t="inlineStr">
        <is>
          <t>JÄMTLANDS LÄN</t>
        </is>
      </c>
      <c r="E5644" t="inlineStr">
        <is>
          <t>STRÖMSUND</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21227-2025</t>
        </is>
      </c>
      <c r="B5645" s="1" t="n">
        <v>45779.52488425926</v>
      </c>
      <c r="C5645" s="1" t="n">
        <v>46045</v>
      </c>
      <c r="D5645" t="inlineStr">
        <is>
          <t>JÄMTLANDS LÄN</t>
        </is>
      </c>
      <c r="E5645" t="inlineStr">
        <is>
          <t>HÄRJEDALEN</t>
        </is>
      </c>
      <c r="F5645" t="inlineStr">
        <is>
          <t>Holmen skog AB</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47435-2025</t>
        </is>
      </c>
      <c r="B5646" s="1" t="n">
        <v>45930.63673611111</v>
      </c>
      <c r="C5646" s="1" t="n">
        <v>46045</v>
      </c>
      <c r="D5646" t="inlineStr">
        <is>
          <t>JÄMTLANDS LÄN</t>
        </is>
      </c>
      <c r="E5646" t="inlineStr">
        <is>
          <t>KROKOM</t>
        </is>
      </c>
      <c r="F5646" t="inlineStr">
        <is>
          <t>SCA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47439-2025</t>
        </is>
      </c>
      <c r="B5647" s="1" t="n">
        <v>45930.63744212963</v>
      </c>
      <c r="C5647" s="1" t="n">
        <v>46045</v>
      </c>
      <c r="D5647" t="inlineStr">
        <is>
          <t>JÄMTLANDS LÄN</t>
        </is>
      </c>
      <c r="E5647" t="inlineStr">
        <is>
          <t>BRÄCKE</t>
        </is>
      </c>
      <c r="F5647" t="inlineStr">
        <is>
          <t>SCA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21280-2025</t>
        </is>
      </c>
      <c r="B5648" s="1" t="n">
        <v>45779.65980324074</v>
      </c>
      <c r="C5648" s="1" t="n">
        <v>46045</v>
      </c>
      <c r="D5648" t="inlineStr">
        <is>
          <t>JÄMTLANDS LÄN</t>
        </is>
      </c>
      <c r="E5648" t="inlineStr">
        <is>
          <t>KROKOM</t>
        </is>
      </c>
      <c r="G5648" t="n">
        <v>30.9</v>
      </c>
      <c r="H5648" t="n">
        <v>0</v>
      </c>
      <c r="I5648" t="n">
        <v>0</v>
      </c>
      <c r="J5648" t="n">
        <v>0</v>
      </c>
      <c r="K5648" t="n">
        <v>0</v>
      </c>
      <c r="L5648" t="n">
        <v>0</v>
      </c>
      <c r="M5648" t="n">
        <v>0</v>
      </c>
      <c r="N5648" t="n">
        <v>0</v>
      </c>
      <c r="O5648" t="n">
        <v>0</v>
      </c>
      <c r="P5648" t="n">
        <v>0</v>
      </c>
      <c r="Q5648" t="n">
        <v>0</v>
      </c>
      <c r="R5648" s="2" t="inlineStr"/>
    </row>
    <row r="5649" ht="15" customHeight="1">
      <c r="A5649" t="inlineStr">
        <is>
          <t>A 30979-2024</t>
        </is>
      </c>
      <c r="B5649" s="1" t="n">
        <v>45499.48672453704</v>
      </c>
      <c r="C5649" s="1" t="n">
        <v>46045</v>
      </c>
      <c r="D5649" t="inlineStr">
        <is>
          <t>JÄMTLANDS LÄN</t>
        </is>
      </c>
      <c r="E5649" t="inlineStr">
        <is>
          <t>KROKOM</t>
        </is>
      </c>
      <c r="G5649" t="n">
        <v>18.2</v>
      </c>
      <c r="H5649" t="n">
        <v>0</v>
      </c>
      <c r="I5649" t="n">
        <v>0</v>
      </c>
      <c r="J5649" t="n">
        <v>0</v>
      </c>
      <c r="K5649" t="n">
        <v>0</v>
      </c>
      <c r="L5649" t="n">
        <v>0</v>
      </c>
      <c r="M5649" t="n">
        <v>0</v>
      </c>
      <c r="N5649" t="n">
        <v>0</v>
      </c>
      <c r="O5649" t="n">
        <v>0</v>
      </c>
      <c r="P5649" t="n">
        <v>0</v>
      </c>
      <c r="Q5649" t="n">
        <v>0</v>
      </c>
      <c r="R5649" s="2" t="inlineStr"/>
    </row>
    <row r="5650" ht="15" customHeight="1">
      <c r="A5650" t="inlineStr">
        <is>
          <t>A 47462-2025</t>
        </is>
      </c>
      <c r="B5650" s="1" t="n">
        <v>45930.66175925926</v>
      </c>
      <c r="C5650" s="1" t="n">
        <v>46045</v>
      </c>
      <c r="D5650" t="inlineStr">
        <is>
          <t>JÄMTLANDS LÄN</t>
        </is>
      </c>
      <c r="E5650" t="inlineStr">
        <is>
          <t>KROKOM</t>
        </is>
      </c>
      <c r="F5650" t="inlineStr">
        <is>
          <t>Övriga Aktiebolag</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41927-2023</t>
        </is>
      </c>
      <c r="B5651" s="1" t="n">
        <v>45176</v>
      </c>
      <c r="C5651" s="1" t="n">
        <v>46045</v>
      </c>
      <c r="D5651" t="inlineStr">
        <is>
          <t>JÄMTLANDS LÄN</t>
        </is>
      </c>
      <c r="E5651" t="inlineStr">
        <is>
          <t>BERG</t>
        </is>
      </c>
      <c r="F5651" t="inlineStr">
        <is>
          <t>SCA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63713-2023</t>
        </is>
      </c>
      <c r="B5652" s="1" t="n">
        <v>45275</v>
      </c>
      <c r="C5652" s="1" t="n">
        <v>46045</v>
      </c>
      <c r="D5652" t="inlineStr">
        <is>
          <t>JÄMTLANDS LÄN</t>
        </is>
      </c>
      <c r="E5652" t="inlineStr">
        <is>
          <t>BRÄCKE</t>
        </is>
      </c>
      <c r="F5652" t="inlineStr">
        <is>
          <t>SCA</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47230-2025</t>
        </is>
      </c>
      <c r="B5653" s="1" t="n">
        <v>45930.40326388889</v>
      </c>
      <c r="C5653" s="1" t="n">
        <v>46045</v>
      </c>
      <c r="D5653" t="inlineStr">
        <is>
          <t>JÄMTLANDS LÄN</t>
        </is>
      </c>
      <c r="E5653" t="inlineStr">
        <is>
          <t>BRÄCKE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21172-2025</t>
        </is>
      </c>
      <c r="B5654" s="1" t="n">
        <v>45779.42630787037</v>
      </c>
      <c r="C5654" s="1" t="n">
        <v>46045</v>
      </c>
      <c r="D5654" t="inlineStr">
        <is>
          <t>JÄMTLANDS LÄN</t>
        </is>
      </c>
      <c r="E5654" t="inlineStr">
        <is>
          <t>KROKOM</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21358-2025</t>
        </is>
      </c>
      <c r="B5655" s="1" t="n">
        <v>45782.42744212963</v>
      </c>
      <c r="C5655" s="1" t="n">
        <v>46045</v>
      </c>
      <c r="D5655" t="inlineStr">
        <is>
          <t>JÄMTLANDS LÄN</t>
        </is>
      </c>
      <c r="E5655" t="inlineStr">
        <is>
          <t>HÄRJEDALEN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22941-2024</t>
        </is>
      </c>
      <c r="B5656" s="1" t="n">
        <v>45448.94520833333</v>
      </c>
      <c r="C5656" s="1" t="n">
        <v>46045</v>
      </c>
      <c r="D5656" t="inlineStr">
        <is>
          <t>JÄMTLANDS LÄN</t>
        </is>
      </c>
      <c r="E5656" t="inlineStr">
        <is>
          <t>RAGUNDA</t>
        </is>
      </c>
      <c r="F5656" t="inlineStr">
        <is>
          <t>SCA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26037-2024</t>
        </is>
      </c>
      <c r="B5657" s="1" t="n">
        <v>45467.96422453703</v>
      </c>
      <c r="C5657" s="1" t="n">
        <v>46045</v>
      </c>
      <c r="D5657" t="inlineStr">
        <is>
          <t>JÄMTLANDS LÄN</t>
        </is>
      </c>
      <c r="E5657" t="inlineStr">
        <is>
          <t>STRÖMSUND</t>
        </is>
      </c>
      <c r="F5657" t="inlineStr">
        <is>
          <t>SCA</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26919-2024</t>
        </is>
      </c>
      <c r="B5658" s="1" t="n">
        <v>45470.93050925926</v>
      </c>
      <c r="C5658" s="1" t="n">
        <v>46045</v>
      </c>
      <c r="D5658" t="inlineStr">
        <is>
          <t>JÄMTLANDS LÄN</t>
        </is>
      </c>
      <c r="E5658" t="inlineStr">
        <is>
          <t>BRÄCKE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37632-2024</t>
        </is>
      </c>
      <c r="B5659" s="1" t="n">
        <v>45541</v>
      </c>
      <c r="C5659" s="1" t="n">
        <v>46045</v>
      </c>
      <c r="D5659" t="inlineStr">
        <is>
          <t>JÄMTLANDS LÄN</t>
        </is>
      </c>
      <c r="E5659" t="inlineStr">
        <is>
          <t>STRÖMSUND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49229-2024</t>
        </is>
      </c>
      <c r="B5660" s="1" t="n">
        <v>45595.42738425926</v>
      </c>
      <c r="C5660" s="1" t="n">
        <v>46045</v>
      </c>
      <c r="D5660" t="inlineStr">
        <is>
          <t>JÄMTLANDS LÄN</t>
        </is>
      </c>
      <c r="E5660" t="inlineStr">
        <is>
          <t>RAGUNDA</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21156-2025</t>
        </is>
      </c>
      <c r="B5661" s="1" t="n">
        <v>45779.37599537037</v>
      </c>
      <c r="C5661" s="1" t="n">
        <v>46045</v>
      </c>
      <c r="D5661" t="inlineStr">
        <is>
          <t>JÄMTLANDS LÄN</t>
        </is>
      </c>
      <c r="E5661" t="inlineStr">
        <is>
          <t>BERG</t>
        </is>
      </c>
      <c r="F5661" t="inlineStr">
        <is>
          <t>Holmen skog AB</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21225-2025</t>
        </is>
      </c>
      <c r="B5662" s="1" t="n">
        <v>45779.51357638889</v>
      </c>
      <c r="C5662" s="1" t="n">
        <v>46045</v>
      </c>
      <c r="D5662" t="inlineStr">
        <is>
          <t>JÄMTLANDS LÄN</t>
        </is>
      </c>
      <c r="E5662" t="inlineStr">
        <is>
          <t>HÄRJEDALEN</t>
        </is>
      </c>
      <c r="F5662" t="inlineStr">
        <is>
          <t>Holmen skog AB</t>
        </is>
      </c>
      <c r="G5662" t="n">
        <v>8.699999999999999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21240-2025</t>
        </is>
      </c>
      <c r="B5663" s="1" t="n">
        <v>45779.5674074074</v>
      </c>
      <c r="C5663" s="1" t="n">
        <v>46045</v>
      </c>
      <c r="D5663" t="inlineStr">
        <is>
          <t>JÄMTLANDS LÄN</t>
        </is>
      </c>
      <c r="E5663" t="inlineStr">
        <is>
          <t>KROKOM</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49319-2024</t>
        </is>
      </c>
      <c r="B5664" s="1" t="n">
        <v>45595.5666550926</v>
      </c>
      <c r="C5664" s="1" t="n">
        <v>46045</v>
      </c>
      <c r="D5664" t="inlineStr">
        <is>
          <t>JÄMTLANDS LÄN</t>
        </is>
      </c>
      <c r="E5664" t="inlineStr">
        <is>
          <t>HÄRJEDALEN</t>
        </is>
      </c>
      <c r="G5664" t="n">
        <v>9.5</v>
      </c>
      <c r="H5664" t="n">
        <v>0</v>
      </c>
      <c r="I5664" t="n">
        <v>0</v>
      </c>
      <c r="J5664" t="n">
        <v>0</v>
      </c>
      <c r="K5664" t="n">
        <v>0</v>
      </c>
      <c r="L5664" t="n">
        <v>0</v>
      </c>
      <c r="M5664" t="n">
        <v>0</v>
      </c>
      <c r="N5664" t="n">
        <v>0</v>
      </c>
      <c r="O5664" t="n">
        <v>0</v>
      </c>
      <c r="P5664" t="n">
        <v>0</v>
      </c>
      <c r="Q5664" t="n">
        <v>0</v>
      </c>
      <c r="R5664" s="2" t="inlineStr"/>
    </row>
    <row r="5665" ht="15" customHeight="1">
      <c r="A5665" t="inlineStr">
        <is>
          <t>A 46946-2025</t>
        </is>
      </c>
      <c r="B5665" s="1" t="n">
        <v>45929.4609837963</v>
      </c>
      <c r="C5665" s="1" t="n">
        <v>46045</v>
      </c>
      <c r="D5665" t="inlineStr">
        <is>
          <t>JÄMTLANDS LÄN</t>
        </is>
      </c>
      <c r="E5665" t="inlineStr">
        <is>
          <t>HÄRJEDALEN</t>
        </is>
      </c>
      <c r="F5665" t="inlineStr">
        <is>
          <t>Bergvik skog öst AB</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47434-2025</t>
        </is>
      </c>
      <c r="B5666" s="1" t="n">
        <v>45930.63659722222</v>
      </c>
      <c r="C5666" s="1" t="n">
        <v>46045</v>
      </c>
      <c r="D5666" t="inlineStr">
        <is>
          <t>JÄMTLANDS LÄN</t>
        </is>
      </c>
      <c r="E5666" t="inlineStr">
        <is>
          <t>BERG</t>
        </is>
      </c>
      <c r="F5666" t="inlineStr">
        <is>
          <t>SCA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17732-2022</t>
        </is>
      </c>
      <c r="B5667" s="1" t="n">
        <v>44680.92873842592</v>
      </c>
      <c r="C5667" s="1" t="n">
        <v>46045</v>
      </c>
      <c r="D5667" t="inlineStr">
        <is>
          <t>JÄMTLANDS LÄN</t>
        </is>
      </c>
      <c r="E5667" t="inlineStr">
        <is>
          <t>ÖSTERSUND</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1642-2023</t>
        </is>
      </c>
      <c r="B5668" s="1" t="n">
        <v>44937.92461805556</v>
      </c>
      <c r="C5668" s="1" t="n">
        <v>46045</v>
      </c>
      <c r="D5668" t="inlineStr">
        <is>
          <t>JÄMTLANDS LÄN</t>
        </is>
      </c>
      <c r="E5668" t="inlineStr">
        <is>
          <t>STRÖMSUND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60847-2023</t>
        </is>
      </c>
      <c r="B5669" s="1" t="n">
        <v>45260</v>
      </c>
      <c r="C5669" s="1" t="n">
        <v>46045</v>
      </c>
      <c r="D5669" t="inlineStr">
        <is>
          <t>JÄMTLANDS LÄN</t>
        </is>
      </c>
      <c r="E5669" t="inlineStr">
        <is>
          <t>BERG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47135-2025</t>
        </is>
      </c>
      <c r="B5670" s="1" t="n">
        <v>45929.69799768519</v>
      </c>
      <c r="C5670" s="1" t="n">
        <v>46045</v>
      </c>
      <c r="D5670" t="inlineStr">
        <is>
          <t>JÄMTLANDS LÄN</t>
        </is>
      </c>
      <c r="E5670" t="inlineStr">
        <is>
          <t>BERG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21971-2025</t>
        </is>
      </c>
      <c r="B5671" s="1" t="n">
        <v>45784.63574074074</v>
      </c>
      <c r="C5671" s="1" t="n">
        <v>46045</v>
      </c>
      <c r="D5671" t="inlineStr">
        <is>
          <t>JÄMTLANDS LÄN</t>
        </is>
      </c>
      <c r="E5671" t="inlineStr">
        <is>
          <t>STRÖMSUND</t>
        </is>
      </c>
      <c r="F5671" t="inlineStr">
        <is>
          <t>SCA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47318-2025</t>
        </is>
      </c>
      <c r="B5672" s="1" t="n">
        <v>45930.55251157407</v>
      </c>
      <c r="C5672" s="1" t="n">
        <v>46045</v>
      </c>
      <c r="D5672" t="inlineStr">
        <is>
          <t>JÄMTLANDS LÄN</t>
        </is>
      </c>
      <c r="E5672" t="inlineStr">
        <is>
          <t>BRÄCKE</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14632-2025</t>
        </is>
      </c>
      <c r="B5673" s="1" t="n">
        <v>45742.42793981481</v>
      </c>
      <c r="C5673" s="1" t="n">
        <v>46045</v>
      </c>
      <c r="D5673" t="inlineStr">
        <is>
          <t>JÄMTLANDS LÄN</t>
        </is>
      </c>
      <c r="E5673" t="inlineStr">
        <is>
          <t>HÄRJEDALEN</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34647-2024</t>
        </is>
      </c>
      <c r="B5674" s="1" t="n">
        <v>45526.47844907407</v>
      </c>
      <c r="C5674" s="1" t="n">
        <v>46045</v>
      </c>
      <c r="D5674" t="inlineStr">
        <is>
          <t>JÄMTLANDS LÄN</t>
        </is>
      </c>
      <c r="E5674" t="inlineStr">
        <is>
          <t>BRÄCKE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46929-2025</t>
        </is>
      </c>
      <c r="B5675" s="1" t="n">
        <v>45929.44145833333</v>
      </c>
      <c r="C5675" s="1" t="n">
        <v>46045</v>
      </c>
      <c r="D5675" t="inlineStr">
        <is>
          <t>JÄMTLANDS LÄN</t>
        </is>
      </c>
      <c r="E5675" t="inlineStr">
        <is>
          <t>STRÖMSUND</t>
        </is>
      </c>
      <c r="G5675" t="n">
        <v>15.1</v>
      </c>
      <c r="H5675" t="n">
        <v>0</v>
      </c>
      <c r="I5675" t="n">
        <v>0</v>
      </c>
      <c r="J5675" t="n">
        <v>0</v>
      </c>
      <c r="K5675" t="n">
        <v>0</v>
      </c>
      <c r="L5675" t="n">
        <v>0</v>
      </c>
      <c r="M5675" t="n">
        <v>0</v>
      </c>
      <c r="N5675" t="n">
        <v>0</v>
      </c>
      <c r="O5675" t="n">
        <v>0</v>
      </c>
      <c r="P5675" t="n">
        <v>0</v>
      </c>
      <c r="Q5675" t="n">
        <v>0</v>
      </c>
      <c r="R5675" s="2" t="inlineStr"/>
    </row>
    <row r="5676" ht="15" customHeight="1">
      <c r="A5676" t="inlineStr">
        <is>
          <t>A 6068-2025</t>
        </is>
      </c>
      <c r="B5676" s="1" t="n">
        <v>45696</v>
      </c>
      <c r="C5676" s="1" t="n">
        <v>46045</v>
      </c>
      <c r="D5676" t="inlineStr">
        <is>
          <t>JÄMTLANDS LÄN</t>
        </is>
      </c>
      <c r="E5676" t="inlineStr">
        <is>
          <t>KROKOM</t>
        </is>
      </c>
      <c r="F5676" t="inlineStr">
        <is>
          <t>Övriga Aktiebolag</t>
        </is>
      </c>
      <c r="G5676" t="n">
        <v>17.2</v>
      </c>
      <c r="H5676" t="n">
        <v>0</v>
      </c>
      <c r="I5676" t="n">
        <v>0</v>
      </c>
      <c r="J5676" t="n">
        <v>0</v>
      </c>
      <c r="K5676" t="n">
        <v>0</v>
      </c>
      <c r="L5676" t="n">
        <v>0</v>
      </c>
      <c r="M5676" t="n">
        <v>0</v>
      </c>
      <c r="N5676" t="n">
        <v>0</v>
      </c>
      <c r="O5676" t="n">
        <v>0</v>
      </c>
      <c r="P5676" t="n">
        <v>0</v>
      </c>
      <c r="Q5676" t="n">
        <v>0</v>
      </c>
      <c r="R5676" s="2" t="inlineStr"/>
    </row>
    <row r="5677" ht="15" customHeight="1">
      <c r="A5677" t="inlineStr">
        <is>
          <t>A 4196-2023</t>
        </is>
      </c>
      <c r="B5677" s="1" t="n">
        <v>44953</v>
      </c>
      <c r="C5677" s="1" t="n">
        <v>46045</v>
      </c>
      <c r="D5677" t="inlineStr">
        <is>
          <t>JÄMTLANDS LÄN</t>
        </is>
      </c>
      <c r="E5677" t="inlineStr">
        <is>
          <t>HÄRJEDALEN</t>
        </is>
      </c>
      <c r="G5677" t="n">
        <v>9.800000000000001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46875-2025</t>
        </is>
      </c>
      <c r="B5678" s="1" t="n">
        <v>45929.34453703704</v>
      </c>
      <c r="C5678" s="1" t="n">
        <v>46045</v>
      </c>
      <c r="D5678" t="inlineStr">
        <is>
          <t>JÄMTLANDS LÄN</t>
        </is>
      </c>
      <c r="E5678" t="inlineStr">
        <is>
          <t>BRÄCKE</t>
        </is>
      </c>
      <c r="F5678" t="inlineStr">
        <is>
          <t>SCA</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7622-2025</t>
        </is>
      </c>
      <c r="B5679" s="1" t="n">
        <v>45705.72106481482</v>
      </c>
      <c r="C5679" s="1" t="n">
        <v>46045</v>
      </c>
      <c r="D5679" t="inlineStr">
        <is>
          <t>JÄMTLANDS LÄN</t>
        </is>
      </c>
      <c r="E5679" t="inlineStr">
        <is>
          <t>HÄRJEDALEN</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19581-2025</t>
        </is>
      </c>
      <c r="B5680" s="1" t="n">
        <v>45770.56363425926</v>
      </c>
      <c r="C5680" s="1" t="n">
        <v>46045</v>
      </c>
      <c r="D5680" t="inlineStr">
        <is>
          <t>JÄMTLANDS LÄN</t>
        </is>
      </c>
      <c r="E5680" t="inlineStr">
        <is>
          <t>ÖSTERSUND</t>
        </is>
      </c>
      <c r="G5680" t="n">
        <v>17.2</v>
      </c>
      <c r="H5680" t="n">
        <v>0</v>
      </c>
      <c r="I5680" t="n">
        <v>0</v>
      </c>
      <c r="J5680" t="n">
        <v>0</v>
      </c>
      <c r="K5680" t="n">
        <v>0</v>
      </c>
      <c r="L5680" t="n">
        <v>0</v>
      </c>
      <c r="M5680" t="n">
        <v>0</v>
      </c>
      <c r="N5680" t="n">
        <v>0</v>
      </c>
      <c r="O5680" t="n">
        <v>0</v>
      </c>
      <c r="P5680" t="n">
        <v>0</v>
      </c>
      <c r="Q5680" t="n">
        <v>0</v>
      </c>
      <c r="R5680" s="2" t="inlineStr"/>
    </row>
    <row r="5681" ht="15" customHeight="1">
      <c r="A5681" t="inlineStr">
        <is>
          <t>A 47229-2025</t>
        </is>
      </c>
      <c r="B5681" s="1" t="n">
        <v>45930.40166666666</v>
      </c>
      <c r="C5681" s="1" t="n">
        <v>46045</v>
      </c>
      <c r="D5681" t="inlineStr">
        <is>
          <t>JÄMTLANDS LÄN</t>
        </is>
      </c>
      <c r="E5681" t="inlineStr">
        <is>
          <t>RAGUNDA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47075-2025</t>
        </is>
      </c>
      <c r="B5682" s="1" t="n">
        <v>45929.63728009259</v>
      </c>
      <c r="C5682" s="1" t="n">
        <v>46045</v>
      </c>
      <c r="D5682" t="inlineStr">
        <is>
          <t>JÄMTLANDS LÄN</t>
        </is>
      </c>
      <c r="E5682" t="inlineStr">
        <is>
          <t>RAGUNDA</t>
        </is>
      </c>
      <c r="F5682" t="inlineStr">
        <is>
          <t>SCA</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47117-2025</t>
        </is>
      </c>
      <c r="B5683" s="1" t="n">
        <v>45929.67751157407</v>
      </c>
      <c r="C5683" s="1" t="n">
        <v>46045</v>
      </c>
      <c r="D5683" t="inlineStr">
        <is>
          <t>JÄMTLANDS LÄN</t>
        </is>
      </c>
      <c r="E5683" t="inlineStr">
        <is>
          <t>BRÄCKE</t>
        </is>
      </c>
      <c r="F5683" t="inlineStr">
        <is>
          <t>SCA</t>
        </is>
      </c>
      <c r="G5683" t="n">
        <v>7</v>
      </c>
      <c r="H5683" t="n">
        <v>0</v>
      </c>
      <c r="I5683" t="n">
        <v>0</v>
      </c>
      <c r="J5683" t="n">
        <v>0</v>
      </c>
      <c r="K5683" t="n">
        <v>0</v>
      </c>
      <c r="L5683" t="n">
        <v>0</v>
      </c>
      <c r="M5683" t="n">
        <v>0</v>
      </c>
      <c r="N5683" t="n">
        <v>0</v>
      </c>
      <c r="O5683" t="n">
        <v>0</v>
      </c>
      <c r="P5683" t="n">
        <v>0</v>
      </c>
      <c r="Q5683" t="n">
        <v>0</v>
      </c>
      <c r="R5683" s="2" t="inlineStr"/>
    </row>
    <row r="5684" ht="15" customHeight="1">
      <c r="A5684" t="inlineStr">
        <is>
          <t>A 4480-2025</t>
        </is>
      </c>
      <c r="B5684" s="1" t="n">
        <v>45686.64175925926</v>
      </c>
      <c r="C5684" s="1" t="n">
        <v>46045</v>
      </c>
      <c r="D5684" t="inlineStr">
        <is>
          <t>JÄMTLANDS LÄN</t>
        </is>
      </c>
      <c r="E5684" t="inlineStr">
        <is>
          <t>ÖSTERSUND</t>
        </is>
      </c>
      <c r="G5684" t="n">
        <v>27.7</v>
      </c>
      <c r="H5684" t="n">
        <v>0</v>
      </c>
      <c r="I5684" t="n">
        <v>0</v>
      </c>
      <c r="J5684" t="n">
        <v>0</v>
      </c>
      <c r="K5684" t="n">
        <v>0</v>
      </c>
      <c r="L5684" t="n">
        <v>0</v>
      </c>
      <c r="M5684" t="n">
        <v>0</v>
      </c>
      <c r="N5684" t="n">
        <v>0</v>
      </c>
      <c r="O5684" t="n">
        <v>0</v>
      </c>
      <c r="P5684" t="n">
        <v>0</v>
      </c>
      <c r="Q5684" t="n">
        <v>0</v>
      </c>
      <c r="R5684" s="2" t="inlineStr"/>
    </row>
    <row r="5685" ht="15" customHeight="1">
      <c r="A5685" t="inlineStr">
        <is>
          <t>A 46825-2025</t>
        </is>
      </c>
      <c r="B5685" s="1" t="n">
        <v>45926.92506944444</v>
      </c>
      <c r="C5685" s="1" t="n">
        <v>46045</v>
      </c>
      <c r="D5685" t="inlineStr">
        <is>
          <t>JÄMTLANDS LÄN</t>
        </is>
      </c>
      <c r="E5685" t="inlineStr">
        <is>
          <t>RAGUNDA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56732-2022</t>
        </is>
      </c>
      <c r="B5686" s="1" t="n">
        <v>44893.94966435185</v>
      </c>
      <c r="C5686" s="1" t="n">
        <v>46045</v>
      </c>
      <c r="D5686" t="inlineStr">
        <is>
          <t>JÄMTLANDS LÄN</t>
        </is>
      </c>
      <c r="E5686" t="inlineStr">
        <is>
          <t>BRÄCKE</t>
        </is>
      </c>
      <c r="F5686" t="inlineStr">
        <is>
          <t>SCA</t>
        </is>
      </c>
      <c r="G5686" t="n">
        <v>6.8</v>
      </c>
      <c r="H5686" t="n">
        <v>0</v>
      </c>
      <c r="I5686" t="n">
        <v>0</v>
      </c>
      <c r="J5686" t="n">
        <v>0</v>
      </c>
      <c r="K5686" t="n">
        <v>0</v>
      </c>
      <c r="L5686" t="n">
        <v>0</v>
      </c>
      <c r="M5686" t="n">
        <v>0</v>
      </c>
      <c r="N5686" t="n">
        <v>0</v>
      </c>
      <c r="O5686" t="n">
        <v>0</v>
      </c>
      <c r="P5686" t="n">
        <v>0</v>
      </c>
      <c r="Q5686" t="n">
        <v>0</v>
      </c>
      <c r="R5686" s="2" t="inlineStr"/>
    </row>
    <row r="5687" ht="15" customHeight="1">
      <c r="A5687" t="inlineStr">
        <is>
          <t>A 45251-2024</t>
        </is>
      </c>
      <c r="B5687" s="1" t="n">
        <v>45576.32583333334</v>
      </c>
      <c r="C5687" s="1" t="n">
        <v>46045</v>
      </c>
      <c r="D5687" t="inlineStr">
        <is>
          <t>JÄMTLANDS LÄN</t>
        </is>
      </c>
      <c r="E5687" t="inlineStr">
        <is>
          <t>STRÖMSUND</t>
        </is>
      </c>
      <c r="F5687" t="inlineStr">
        <is>
          <t>Sveaskog</t>
        </is>
      </c>
      <c r="G5687" t="n">
        <v>7.4</v>
      </c>
      <c r="H5687" t="n">
        <v>0</v>
      </c>
      <c r="I5687" t="n">
        <v>0</v>
      </c>
      <c r="J5687" t="n">
        <v>0</v>
      </c>
      <c r="K5687" t="n">
        <v>0</v>
      </c>
      <c r="L5687" t="n">
        <v>0</v>
      </c>
      <c r="M5687" t="n">
        <v>0</v>
      </c>
      <c r="N5687" t="n">
        <v>0</v>
      </c>
      <c r="O5687" t="n">
        <v>0</v>
      </c>
      <c r="P5687" t="n">
        <v>0</v>
      </c>
      <c r="Q5687" t="n">
        <v>0</v>
      </c>
      <c r="R5687" s="2" t="inlineStr"/>
    </row>
    <row r="5688" ht="15" customHeight="1">
      <c r="A5688" t="inlineStr">
        <is>
          <t>A 55524-2024</t>
        </is>
      </c>
      <c r="B5688" s="1" t="n">
        <v>45622.47435185185</v>
      </c>
      <c r="C5688" s="1" t="n">
        <v>46045</v>
      </c>
      <c r="D5688" t="inlineStr">
        <is>
          <t>JÄMTLANDS LÄN</t>
        </is>
      </c>
      <c r="E5688" t="inlineStr">
        <is>
          <t>RAGUNDA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19419-2024</t>
        </is>
      </c>
      <c r="B5689" s="1" t="n">
        <v>45429</v>
      </c>
      <c r="C5689" s="1" t="n">
        <v>46045</v>
      </c>
      <c r="D5689" t="inlineStr">
        <is>
          <t>JÄMTLANDS LÄN</t>
        </is>
      </c>
      <c r="E5689" t="inlineStr">
        <is>
          <t>RAGUNDA</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52913-2021</t>
        </is>
      </c>
      <c r="B5690" s="1" t="n">
        <v>44466</v>
      </c>
      <c r="C5690" s="1" t="n">
        <v>46045</v>
      </c>
      <c r="D5690" t="inlineStr">
        <is>
          <t>JÄMTLANDS LÄN</t>
        </is>
      </c>
      <c r="E5690" t="inlineStr">
        <is>
          <t>ÖSTERSUND</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47137-2025</t>
        </is>
      </c>
      <c r="B5691" s="1" t="n">
        <v>45929.69876157407</v>
      </c>
      <c r="C5691" s="1" t="n">
        <v>46045</v>
      </c>
      <c r="D5691" t="inlineStr">
        <is>
          <t>JÄMTLANDS LÄN</t>
        </is>
      </c>
      <c r="E5691" t="inlineStr">
        <is>
          <t>BERG</t>
        </is>
      </c>
      <c r="F5691" t="inlineStr">
        <is>
          <t>SCA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22000-2025</t>
        </is>
      </c>
      <c r="B5692" s="1" t="n">
        <v>45784.69851851852</v>
      </c>
      <c r="C5692" s="1" t="n">
        <v>46045</v>
      </c>
      <c r="D5692" t="inlineStr">
        <is>
          <t>JÄMTLANDS LÄN</t>
        </is>
      </c>
      <c r="E5692" t="inlineStr">
        <is>
          <t>BRÄCKE</t>
        </is>
      </c>
      <c r="F5692" t="inlineStr">
        <is>
          <t>SCA</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22001-2025</t>
        </is>
      </c>
      <c r="B5693" s="1" t="n">
        <v>45784.69862268519</v>
      </c>
      <c r="C5693" s="1" t="n">
        <v>46045</v>
      </c>
      <c r="D5693" t="inlineStr">
        <is>
          <t>JÄMTLANDS LÄN</t>
        </is>
      </c>
      <c r="E5693" t="inlineStr">
        <is>
          <t>STRÖMSUND</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47193-2025</t>
        </is>
      </c>
      <c r="B5694" s="1" t="n">
        <v>45930.34469907408</v>
      </c>
      <c r="C5694" s="1" t="n">
        <v>46045</v>
      </c>
      <c r="D5694" t="inlineStr">
        <is>
          <t>JÄMTLANDS LÄN</t>
        </is>
      </c>
      <c r="E5694" t="inlineStr">
        <is>
          <t>BERG</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47195-2025</t>
        </is>
      </c>
      <c r="B5695" s="1" t="n">
        <v>45930.34503472222</v>
      </c>
      <c r="C5695" s="1" t="n">
        <v>46045</v>
      </c>
      <c r="D5695" t="inlineStr">
        <is>
          <t>JÄMTLANDS LÄN</t>
        </is>
      </c>
      <c r="E5695" t="inlineStr">
        <is>
          <t>STRÖMSUND</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4914-2025</t>
        </is>
      </c>
      <c r="B5696" s="1" t="n">
        <v>45688.68173611111</v>
      </c>
      <c r="C5696" s="1" t="n">
        <v>46045</v>
      </c>
      <c r="D5696" t="inlineStr">
        <is>
          <t>JÄMTLANDS LÄN</t>
        </is>
      </c>
      <c r="E5696" t="inlineStr">
        <is>
          <t>BRÄCKE</t>
        </is>
      </c>
      <c r="F5696" t="inlineStr">
        <is>
          <t>SCA</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5621-2025</t>
        </is>
      </c>
      <c r="B5697" s="1" t="n">
        <v>45693.6357175926</v>
      </c>
      <c r="C5697" s="1" t="n">
        <v>46045</v>
      </c>
      <c r="D5697" t="inlineStr">
        <is>
          <t>JÄMTLANDS LÄN</t>
        </is>
      </c>
      <c r="E5697" t="inlineStr">
        <is>
          <t>BRÄCKE</t>
        </is>
      </c>
      <c r="F5697" t="inlineStr">
        <is>
          <t>SCA</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55754-2025</t>
        </is>
      </c>
      <c r="B5698" s="1" t="n">
        <v>45972</v>
      </c>
      <c r="C5698" s="1" t="n">
        <v>46045</v>
      </c>
      <c r="D5698" t="inlineStr">
        <is>
          <t>JÄMTLANDS LÄN</t>
        </is>
      </c>
      <c r="E5698" t="inlineStr">
        <is>
          <t>STRÖMSUND</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44855-2025</t>
        </is>
      </c>
      <c r="B5699" s="1" t="n">
        <v>45918</v>
      </c>
      <c r="C5699" s="1" t="n">
        <v>46045</v>
      </c>
      <c r="D5699" t="inlineStr">
        <is>
          <t>JÄMTLANDS LÄN</t>
        </is>
      </c>
      <c r="E5699" t="inlineStr">
        <is>
          <t>BRÄCKE</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22936-2024</t>
        </is>
      </c>
      <c r="B5700" s="1" t="n">
        <v>45448.94478009259</v>
      </c>
      <c r="C5700" s="1" t="n">
        <v>46045</v>
      </c>
      <c r="D5700" t="inlineStr">
        <is>
          <t>JÄMTLANDS LÄN</t>
        </is>
      </c>
      <c r="E5700" t="inlineStr">
        <is>
          <t>BRÄCKE</t>
        </is>
      </c>
      <c r="F5700" t="inlineStr">
        <is>
          <t>SCA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11856-2022</t>
        </is>
      </c>
      <c r="B5701" s="1" t="n">
        <v>44635</v>
      </c>
      <c r="C5701" s="1" t="n">
        <v>46045</v>
      </c>
      <c r="D5701" t="inlineStr">
        <is>
          <t>JÄMTLANDS LÄN</t>
        </is>
      </c>
      <c r="E5701" t="inlineStr">
        <is>
          <t>STRÖMSUND</t>
        </is>
      </c>
      <c r="G5701" t="n">
        <v>7.4</v>
      </c>
      <c r="H5701" t="n">
        <v>0</v>
      </c>
      <c r="I5701" t="n">
        <v>0</v>
      </c>
      <c r="J5701" t="n">
        <v>0</v>
      </c>
      <c r="K5701" t="n">
        <v>0</v>
      </c>
      <c r="L5701" t="n">
        <v>0</v>
      </c>
      <c r="M5701" t="n">
        <v>0</v>
      </c>
      <c r="N5701" t="n">
        <v>0</v>
      </c>
      <c r="O5701" t="n">
        <v>0</v>
      </c>
      <c r="P5701" t="n">
        <v>0</v>
      </c>
      <c r="Q5701" t="n">
        <v>0</v>
      </c>
      <c r="R5701" s="2" t="inlineStr"/>
    </row>
    <row r="5702" ht="15" customHeight="1">
      <c r="A5702" t="inlineStr">
        <is>
          <t>A 47701-2025</t>
        </is>
      </c>
      <c r="B5702" s="1" t="n">
        <v>45931.60657407407</v>
      </c>
      <c r="C5702" s="1" t="n">
        <v>46045</v>
      </c>
      <c r="D5702" t="inlineStr">
        <is>
          <t>JÄMTLANDS LÄN</t>
        </is>
      </c>
      <c r="E5702" t="inlineStr">
        <is>
          <t>HÄRJEDALEN</t>
        </is>
      </c>
      <c r="G5702" t="n">
        <v>17.2</v>
      </c>
      <c r="H5702" t="n">
        <v>0</v>
      </c>
      <c r="I5702" t="n">
        <v>0</v>
      </c>
      <c r="J5702" t="n">
        <v>0</v>
      </c>
      <c r="K5702" t="n">
        <v>0</v>
      </c>
      <c r="L5702" t="n">
        <v>0</v>
      </c>
      <c r="M5702" t="n">
        <v>0</v>
      </c>
      <c r="N5702" t="n">
        <v>0</v>
      </c>
      <c r="O5702" t="n">
        <v>0</v>
      </c>
      <c r="P5702" t="n">
        <v>0</v>
      </c>
      <c r="Q5702" t="n">
        <v>0</v>
      </c>
      <c r="R5702" s="2" t="inlineStr"/>
    </row>
    <row r="5703" ht="15" customHeight="1">
      <c r="A5703" t="inlineStr">
        <is>
          <t>A 43342-2024</t>
        </is>
      </c>
      <c r="B5703" s="1" t="n">
        <v>45568.55114583333</v>
      </c>
      <c r="C5703" s="1" t="n">
        <v>46045</v>
      </c>
      <c r="D5703" t="inlineStr">
        <is>
          <t>JÄMTLANDS LÄN</t>
        </is>
      </c>
      <c r="E5703" t="inlineStr">
        <is>
          <t>ÅRE</t>
        </is>
      </c>
      <c r="F5703" t="inlineStr">
        <is>
          <t>Övriga Aktiebolag</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44881-2023</t>
        </is>
      </c>
      <c r="B5704" s="1" t="n">
        <v>45187</v>
      </c>
      <c r="C5704" s="1" t="n">
        <v>46045</v>
      </c>
      <c r="D5704" t="inlineStr">
        <is>
          <t>JÄMTLANDS LÄN</t>
        </is>
      </c>
      <c r="E5704" t="inlineStr">
        <is>
          <t>RAGUNDA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47749-2025</t>
        </is>
      </c>
      <c r="B5705" s="1" t="n">
        <v>45931.65711805555</v>
      </c>
      <c r="C5705" s="1" t="n">
        <v>46045</v>
      </c>
      <c r="D5705" t="inlineStr">
        <is>
          <t>JÄMTLANDS LÄN</t>
        </is>
      </c>
      <c r="E5705" t="inlineStr">
        <is>
          <t>RAGUNDA</t>
        </is>
      </c>
      <c r="F5705" t="inlineStr">
        <is>
          <t>SCA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47818-2025</t>
        </is>
      </c>
      <c r="B5706" s="1" t="n">
        <v>45932.33578703704</v>
      </c>
      <c r="C5706" s="1" t="n">
        <v>46045</v>
      </c>
      <c r="D5706" t="inlineStr">
        <is>
          <t>JÄMTLANDS LÄN</t>
        </is>
      </c>
      <c r="E5706" t="inlineStr">
        <is>
          <t>STRÖMSUND</t>
        </is>
      </c>
      <c r="F5706" t="inlineStr">
        <is>
          <t>Holmen skog AB</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35532-2021</t>
        </is>
      </c>
      <c r="B5707" s="1" t="n">
        <v>44385</v>
      </c>
      <c r="C5707" s="1" t="n">
        <v>46045</v>
      </c>
      <c r="D5707" t="inlineStr">
        <is>
          <t>JÄMTLANDS LÄN</t>
        </is>
      </c>
      <c r="E5707" t="inlineStr">
        <is>
          <t>HÄRJEDALEN</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11331-2024</t>
        </is>
      </c>
      <c r="B5708" s="1" t="n">
        <v>45372.04696759259</v>
      </c>
      <c r="C5708" s="1" t="n">
        <v>46045</v>
      </c>
      <c r="D5708" t="inlineStr">
        <is>
          <t>JÄMTLANDS LÄN</t>
        </is>
      </c>
      <c r="E5708" t="inlineStr">
        <is>
          <t>BRÄCKE</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8739-2025</t>
        </is>
      </c>
      <c r="B5709" s="1" t="n">
        <v>45712.55239583334</v>
      </c>
      <c r="C5709" s="1" t="n">
        <v>46045</v>
      </c>
      <c r="D5709" t="inlineStr">
        <is>
          <t>JÄMTLANDS LÄN</t>
        </is>
      </c>
      <c r="E5709" t="inlineStr">
        <is>
          <t>BRÄCKE</t>
        </is>
      </c>
      <c r="F5709" t="inlineStr">
        <is>
          <t>SCA</t>
        </is>
      </c>
      <c r="G5709" t="n">
        <v>8.4</v>
      </c>
      <c r="H5709" t="n">
        <v>0</v>
      </c>
      <c r="I5709" t="n">
        <v>0</v>
      </c>
      <c r="J5709" t="n">
        <v>0</v>
      </c>
      <c r="K5709" t="n">
        <v>0</v>
      </c>
      <c r="L5709" t="n">
        <v>0</v>
      </c>
      <c r="M5709" t="n">
        <v>0</v>
      </c>
      <c r="N5709" t="n">
        <v>0</v>
      </c>
      <c r="O5709" t="n">
        <v>0</v>
      </c>
      <c r="P5709" t="n">
        <v>0</v>
      </c>
      <c r="Q5709" t="n">
        <v>0</v>
      </c>
      <c r="R5709" s="2" t="inlineStr"/>
    </row>
    <row r="5710" ht="15" customHeight="1">
      <c r="A5710" t="inlineStr">
        <is>
          <t>A 7952-2023</t>
        </is>
      </c>
      <c r="B5710" s="1" t="n">
        <v>44970</v>
      </c>
      <c r="C5710" s="1" t="n">
        <v>46045</v>
      </c>
      <c r="D5710" t="inlineStr">
        <is>
          <t>JÄMTLANDS LÄN</t>
        </is>
      </c>
      <c r="E5710" t="inlineStr">
        <is>
          <t>KROKOM</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44632-2025</t>
        </is>
      </c>
      <c r="B5711" s="1" t="n">
        <v>45917</v>
      </c>
      <c r="C5711" s="1" t="n">
        <v>46045</v>
      </c>
      <c r="D5711" t="inlineStr">
        <is>
          <t>JÄMTLANDS LÄN</t>
        </is>
      </c>
      <c r="E5711" t="inlineStr">
        <is>
          <t>HÄRJEDALEN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35564-2021</t>
        </is>
      </c>
      <c r="B5712" s="1" t="n">
        <v>44385.93597222222</v>
      </c>
      <c r="C5712" s="1" t="n">
        <v>46045</v>
      </c>
      <c r="D5712" t="inlineStr">
        <is>
          <t>JÄMTLANDS LÄN</t>
        </is>
      </c>
      <c r="E5712" t="inlineStr">
        <is>
          <t>BRÄCKE</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31558-2024</t>
        </is>
      </c>
      <c r="B5713" s="1" t="n">
        <v>45505</v>
      </c>
      <c r="C5713" s="1" t="n">
        <v>46045</v>
      </c>
      <c r="D5713" t="inlineStr">
        <is>
          <t>JÄMTLANDS LÄN</t>
        </is>
      </c>
      <c r="E5713" t="inlineStr">
        <is>
          <t>BRÄCKE</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47575-2025</t>
        </is>
      </c>
      <c r="B5714" s="1" t="n">
        <v>45931.40100694444</v>
      </c>
      <c r="C5714" s="1" t="n">
        <v>46045</v>
      </c>
      <c r="D5714" t="inlineStr">
        <is>
          <t>JÄMTLANDS LÄN</t>
        </is>
      </c>
      <c r="E5714" t="inlineStr">
        <is>
          <t>ÖSTERSUND</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54684-2024</t>
        </is>
      </c>
      <c r="B5715" s="1" t="n">
        <v>45618.35961805555</v>
      </c>
      <c r="C5715" s="1" t="n">
        <v>46045</v>
      </c>
      <c r="D5715" t="inlineStr">
        <is>
          <t>JÄMTLANDS LÄN</t>
        </is>
      </c>
      <c r="E5715" t="inlineStr">
        <is>
          <t>HÄRJEDALEN</t>
        </is>
      </c>
      <c r="G5715" t="n">
        <v>18.1</v>
      </c>
      <c r="H5715" t="n">
        <v>0</v>
      </c>
      <c r="I5715" t="n">
        <v>0</v>
      </c>
      <c r="J5715" t="n">
        <v>0</v>
      </c>
      <c r="K5715" t="n">
        <v>0</v>
      </c>
      <c r="L5715" t="n">
        <v>0</v>
      </c>
      <c r="M5715" t="n">
        <v>0</v>
      </c>
      <c r="N5715" t="n">
        <v>0</v>
      </c>
      <c r="O5715" t="n">
        <v>0</v>
      </c>
      <c r="P5715" t="n">
        <v>0</v>
      </c>
      <c r="Q5715" t="n">
        <v>0</v>
      </c>
      <c r="R5715" s="2" t="inlineStr"/>
    </row>
    <row r="5716" ht="15" customHeight="1">
      <c r="A5716" t="inlineStr">
        <is>
          <t>A 40602-2022</t>
        </is>
      </c>
      <c r="B5716" s="1" t="n">
        <v>44823</v>
      </c>
      <c r="C5716" s="1" t="n">
        <v>46045</v>
      </c>
      <c r="D5716" t="inlineStr">
        <is>
          <t>JÄMTLANDS LÄN</t>
        </is>
      </c>
      <c r="E5716" t="inlineStr">
        <is>
          <t>STRÖMSUND</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21851-2025</t>
        </is>
      </c>
      <c r="B5717" s="1" t="n">
        <v>45784.34417824074</v>
      </c>
      <c r="C5717" s="1" t="n">
        <v>46045</v>
      </c>
      <c r="D5717" t="inlineStr">
        <is>
          <t>JÄMTLANDS LÄN</t>
        </is>
      </c>
      <c r="E5717" t="inlineStr">
        <is>
          <t>BERG</t>
        </is>
      </c>
      <c r="F5717" t="inlineStr">
        <is>
          <t>SCA</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8011-2025</t>
        </is>
      </c>
      <c r="B5718" s="1" t="n">
        <v>45707.55246527777</v>
      </c>
      <c r="C5718" s="1" t="n">
        <v>46045</v>
      </c>
      <c r="D5718" t="inlineStr">
        <is>
          <t>JÄMTLANDS LÄN</t>
        </is>
      </c>
      <c r="E5718" t="inlineStr">
        <is>
          <t>KROKOM</t>
        </is>
      </c>
      <c r="F5718" t="inlineStr">
        <is>
          <t>Övriga Aktiebolag</t>
        </is>
      </c>
      <c r="G5718" t="n">
        <v>10.6</v>
      </c>
      <c r="H5718" t="n">
        <v>0</v>
      </c>
      <c r="I5718" t="n">
        <v>0</v>
      </c>
      <c r="J5718" t="n">
        <v>0</v>
      </c>
      <c r="K5718" t="n">
        <v>0</v>
      </c>
      <c r="L5718" t="n">
        <v>0</v>
      </c>
      <c r="M5718" t="n">
        <v>0</v>
      </c>
      <c r="N5718" t="n">
        <v>0</v>
      </c>
      <c r="O5718" t="n">
        <v>0</v>
      </c>
      <c r="P5718" t="n">
        <v>0</v>
      </c>
      <c r="Q5718" t="n">
        <v>0</v>
      </c>
      <c r="R5718" s="2" t="inlineStr"/>
    </row>
    <row r="5719" ht="15" customHeight="1">
      <c r="A5719" t="inlineStr">
        <is>
          <t>A 47714-2025</t>
        </is>
      </c>
      <c r="B5719" s="1" t="n">
        <v>45931.61553240741</v>
      </c>
      <c r="C5719" s="1" t="n">
        <v>46045</v>
      </c>
      <c r="D5719" t="inlineStr">
        <is>
          <t>JÄMTLANDS LÄN</t>
        </is>
      </c>
      <c r="E5719" t="inlineStr">
        <is>
          <t>BRÄCKE</t>
        </is>
      </c>
      <c r="F5719" t="inlineStr">
        <is>
          <t>SCA</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4570-2025</t>
        </is>
      </c>
      <c r="B5720" s="1" t="n">
        <v>45687</v>
      </c>
      <c r="C5720" s="1" t="n">
        <v>46045</v>
      </c>
      <c r="D5720" t="inlineStr">
        <is>
          <t>JÄMTLANDS LÄN</t>
        </is>
      </c>
      <c r="E5720" t="inlineStr">
        <is>
          <t>KROKOM</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10397-2025</t>
        </is>
      </c>
      <c r="B5721" s="1" t="n">
        <v>45720.60774305555</v>
      </c>
      <c r="C5721" s="1" t="n">
        <v>46045</v>
      </c>
      <c r="D5721" t="inlineStr">
        <is>
          <t>JÄMTLANDS LÄN</t>
        </is>
      </c>
      <c r="E5721" t="inlineStr">
        <is>
          <t>KROKOM</t>
        </is>
      </c>
      <c r="F5721" t="inlineStr">
        <is>
          <t>Övriga Aktiebolag</t>
        </is>
      </c>
      <c r="G5721" t="n">
        <v>32.9</v>
      </c>
      <c r="H5721" t="n">
        <v>0</v>
      </c>
      <c r="I5721" t="n">
        <v>0</v>
      </c>
      <c r="J5721" t="n">
        <v>0</v>
      </c>
      <c r="K5721" t="n">
        <v>0</v>
      </c>
      <c r="L5721" t="n">
        <v>0</v>
      </c>
      <c r="M5721" t="n">
        <v>0</v>
      </c>
      <c r="N5721" t="n">
        <v>0</v>
      </c>
      <c r="O5721" t="n">
        <v>0</v>
      </c>
      <c r="P5721" t="n">
        <v>0</v>
      </c>
      <c r="Q5721" t="n">
        <v>0</v>
      </c>
      <c r="R5721" s="2" t="inlineStr"/>
    </row>
    <row r="5722" ht="15" customHeight="1">
      <c r="A5722" t="inlineStr">
        <is>
          <t>A 53240-2024</t>
        </is>
      </c>
      <c r="B5722" s="1" t="n">
        <v>45613.86699074074</v>
      </c>
      <c r="C5722" s="1" t="n">
        <v>46045</v>
      </c>
      <c r="D5722" t="inlineStr">
        <is>
          <t>JÄMTLANDS LÄN</t>
        </is>
      </c>
      <c r="E5722" t="inlineStr">
        <is>
          <t>STRÖMSUND</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47873-2025</t>
        </is>
      </c>
      <c r="B5723" s="1" t="n">
        <v>45932.4528587963</v>
      </c>
      <c r="C5723" s="1" t="n">
        <v>46045</v>
      </c>
      <c r="D5723" t="inlineStr">
        <is>
          <t>JÄMTLANDS LÄN</t>
        </is>
      </c>
      <c r="E5723" t="inlineStr">
        <is>
          <t>BRÄCKE</t>
        </is>
      </c>
      <c r="F5723" t="inlineStr">
        <is>
          <t>Kyrkan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53827-2024</t>
        </is>
      </c>
      <c r="B5724" s="1" t="n">
        <v>45615.61302083333</v>
      </c>
      <c r="C5724" s="1" t="n">
        <v>46045</v>
      </c>
      <c r="D5724" t="inlineStr">
        <is>
          <t>JÄMTLANDS LÄN</t>
        </is>
      </c>
      <c r="E5724" t="inlineStr">
        <is>
          <t>KROKOM</t>
        </is>
      </c>
      <c r="F5724" t="inlineStr">
        <is>
          <t>Övriga Aktiebolag</t>
        </is>
      </c>
      <c r="G5724" t="n">
        <v>14.2</v>
      </c>
      <c r="H5724" t="n">
        <v>0</v>
      </c>
      <c r="I5724" t="n">
        <v>0</v>
      </c>
      <c r="J5724" t="n">
        <v>0</v>
      </c>
      <c r="K5724" t="n">
        <v>0</v>
      </c>
      <c r="L5724" t="n">
        <v>0</v>
      </c>
      <c r="M5724" t="n">
        <v>0</v>
      </c>
      <c r="N5724" t="n">
        <v>0</v>
      </c>
      <c r="O5724" t="n">
        <v>0</v>
      </c>
      <c r="P5724" t="n">
        <v>0</v>
      </c>
      <c r="Q5724" t="n">
        <v>0</v>
      </c>
      <c r="R5724" s="2" t="inlineStr"/>
    </row>
    <row r="5725" ht="15" customHeight="1">
      <c r="A5725" t="inlineStr">
        <is>
          <t>A 14184-2024</t>
        </is>
      </c>
      <c r="B5725" s="1" t="n">
        <v>45393</v>
      </c>
      <c r="C5725" s="1" t="n">
        <v>46045</v>
      </c>
      <c r="D5725" t="inlineStr">
        <is>
          <t>JÄMTLANDS LÄN</t>
        </is>
      </c>
      <c r="E5725" t="inlineStr">
        <is>
          <t>KROKOM</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53833-2024</t>
        </is>
      </c>
      <c r="B5726" s="1" t="n">
        <v>45615.61604166667</v>
      </c>
      <c r="C5726" s="1" t="n">
        <v>46045</v>
      </c>
      <c r="D5726" t="inlineStr">
        <is>
          <t>JÄMTLANDS LÄN</t>
        </is>
      </c>
      <c r="E5726" t="inlineStr">
        <is>
          <t>STRÖMSUND</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47534-2025</t>
        </is>
      </c>
      <c r="B5727" s="1" t="n">
        <v>45931.3466550926</v>
      </c>
      <c r="C5727" s="1" t="n">
        <v>46045</v>
      </c>
      <c r="D5727" t="inlineStr">
        <is>
          <t>JÄMTLANDS LÄN</t>
        </is>
      </c>
      <c r="E5727" t="inlineStr">
        <is>
          <t>BERG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47809-2025</t>
        </is>
      </c>
      <c r="B5728" s="1" t="n">
        <v>45931.98023148148</v>
      </c>
      <c r="C5728" s="1" t="n">
        <v>46045</v>
      </c>
      <c r="D5728" t="inlineStr">
        <is>
          <t>JÄMTLANDS LÄN</t>
        </is>
      </c>
      <c r="E5728" t="inlineStr">
        <is>
          <t>KROKOM</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47727-2025</t>
        </is>
      </c>
      <c r="B5729" s="1" t="n">
        <v>45931.63174768518</v>
      </c>
      <c r="C5729" s="1" t="n">
        <v>46045</v>
      </c>
      <c r="D5729" t="inlineStr">
        <is>
          <t>JÄMTLANDS LÄN</t>
        </is>
      </c>
      <c r="E5729" t="inlineStr">
        <is>
          <t>HÄRJEDALEN</t>
        </is>
      </c>
      <c r="F5729" t="inlineStr">
        <is>
          <t>Bergvik skog väst AB</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15761-2025</t>
        </is>
      </c>
      <c r="B5730" s="1" t="n">
        <v>45748.57269675926</v>
      </c>
      <c r="C5730" s="1" t="n">
        <v>46045</v>
      </c>
      <c r="D5730" t="inlineStr">
        <is>
          <t>JÄMTLANDS LÄN</t>
        </is>
      </c>
      <c r="E5730" t="inlineStr">
        <is>
          <t>KROKOM</t>
        </is>
      </c>
      <c r="G5730" t="n">
        <v>48.1</v>
      </c>
      <c r="H5730" t="n">
        <v>0</v>
      </c>
      <c r="I5730" t="n">
        <v>0</v>
      </c>
      <c r="J5730" t="n">
        <v>0</v>
      </c>
      <c r="K5730" t="n">
        <v>0</v>
      </c>
      <c r="L5730" t="n">
        <v>0</v>
      </c>
      <c r="M5730" t="n">
        <v>0</v>
      </c>
      <c r="N5730" t="n">
        <v>0</v>
      </c>
      <c r="O5730" t="n">
        <v>0</v>
      </c>
      <c r="P5730" t="n">
        <v>0</v>
      </c>
      <c r="Q5730" t="n">
        <v>0</v>
      </c>
      <c r="R5730" s="2" t="inlineStr"/>
    </row>
    <row r="5731" ht="15" customHeight="1">
      <c r="A5731" t="inlineStr">
        <is>
          <t>A 59634-2022</t>
        </is>
      </c>
      <c r="B5731" s="1" t="n">
        <v>44907.9645949074</v>
      </c>
      <c r="C5731" s="1" t="n">
        <v>46045</v>
      </c>
      <c r="D5731" t="inlineStr">
        <is>
          <t>JÄMTLANDS LÄN</t>
        </is>
      </c>
      <c r="E5731" t="inlineStr">
        <is>
          <t>BERG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21797-2025</t>
        </is>
      </c>
      <c r="B5732" s="1" t="n">
        <v>45783.68547453704</v>
      </c>
      <c r="C5732" s="1" t="n">
        <v>46045</v>
      </c>
      <c r="D5732" t="inlineStr">
        <is>
          <t>JÄMTLANDS LÄN</t>
        </is>
      </c>
      <c r="E5732" t="inlineStr">
        <is>
          <t>HÄRJEDALEN</t>
        </is>
      </c>
      <c r="F5732" t="inlineStr">
        <is>
          <t>Sveaskog</t>
        </is>
      </c>
      <c r="G5732" t="n">
        <v>15.1</v>
      </c>
      <c r="H5732" t="n">
        <v>0</v>
      </c>
      <c r="I5732" t="n">
        <v>0</v>
      </c>
      <c r="J5732" t="n">
        <v>0</v>
      </c>
      <c r="K5732" t="n">
        <v>0</v>
      </c>
      <c r="L5732" t="n">
        <v>0</v>
      </c>
      <c r="M5732" t="n">
        <v>0</v>
      </c>
      <c r="N5732" t="n">
        <v>0</v>
      </c>
      <c r="O5732" t="n">
        <v>0</v>
      </c>
      <c r="P5732" t="n">
        <v>0</v>
      </c>
      <c r="Q5732" t="n">
        <v>0</v>
      </c>
      <c r="R5732" s="2" t="inlineStr"/>
    </row>
    <row r="5733" ht="15" customHeight="1">
      <c r="A5733" t="inlineStr">
        <is>
          <t>A 69271-2021</t>
        </is>
      </c>
      <c r="B5733" s="1" t="n">
        <v>44531.43927083333</v>
      </c>
      <c r="C5733" s="1" t="n">
        <v>46045</v>
      </c>
      <c r="D5733" t="inlineStr">
        <is>
          <t>JÄMTLANDS LÄN</t>
        </is>
      </c>
      <c r="E5733" t="inlineStr">
        <is>
          <t>HÄRJEDALEN</t>
        </is>
      </c>
      <c r="F5733" t="inlineStr">
        <is>
          <t>Bergvik skog väst AB</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47826-2025</t>
        </is>
      </c>
      <c r="B5734" s="1" t="n">
        <v>45932.34487268519</v>
      </c>
      <c r="C5734" s="1" t="n">
        <v>46045</v>
      </c>
      <c r="D5734" t="inlineStr">
        <is>
          <t>JÄMTLANDS LÄN</t>
        </is>
      </c>
      <c r="E5734" t="inlineStr">
        <is>
          <t>BRÄCKE</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22005-2025</t>
        </is>
      </c>
      <c r="B5735" s="1" t="n">
        <v>45784</v>
      </c>
      <c r="C5735" s="1" t="n">
        <v>46045</v>
      </c>
      <c r="D5735" t="inlineStr">
        <is>
          <t>JÄMTLANDS LÄN</t>
        </is>
      </c>
      <c r="E5735" t="inlineStr">
        <is>
          <t>STRÖMSUND</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48049-2025</t>
        </is>
      </c>
      <c r="B5736" s="1" t="n">
        <v>45932.67771990741</v>
      </c>
      <c r="C5736" s="1" t="n">
        <v>46045</v>
      </c>
      <c r="D5736" t="inlineStr">
        <is>
          <t>JÄMTLANDS LÄN</t>
        </is>
      </c>
      <c r="E5736" t="inlineStr">
        <is>
          <t>KROKOM</t>
        </is>
      </c>
      <c r="F5736" t="inlineStr">
        <is>
          <t>SCA</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42992-2024</t>
        </is>
      </c>
      <c r="B5737" s="1" t="n">
        <v>45567.37559027778</v>
      </c>
      <c r="C5737" s="1" t="n">
        <v>46045</v>
      </c>
      <c r="D5737" t="inlineStr">
        <is>
          <t>JÄMTLANDS LÄN</t>
        </is>
      </c>
      <c r="E5737" t="inlineStr">
        <is>
          <t>STRÖMSUND</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48056-2025</t>
        </is>
      </c>
      <c r="B5738" s="1" t="n">
        <v>45932.67946759259</v>
      </c>
      <c r="C5738" s="1" t="n">
        <v>46045</v>
      </c>
      <c r="D5738" t="inlineStr">
        <is>
          <t>JÄMTLANDS LÄN</t>
        </is>
      </c>
      <c r="E5738" t="inlineStr">
        <is>
          <t>BERG</t>
        </is>
      </c>
      <c r="F5738" t="inlineStr">
        <is>
          <t>SCA</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19438-2023</t>
        </is>
      </c>
      <c r="B5739" s="1" t="n">
        <v>45049</v>
      </c>
      <c r="C5739" s="1" t="n">
        <v>46045</v>
      </c>
      <c r="D5739" t="inlineStr">
        <is>
          <t>JÄMTLANDS LÄN</t>
        </is>
      </c>
      <c r="E5739" t="inlineStr">
        <is>
          <t>RAGUNDA</t>
        </is>
      </c>
      <c r="F5739" t="inlineStr">
        <is>
          <t>SCA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50719-2024</t>
        </is>
      </c>
      <c r="B5740" s="1" t="n">
        <v>45602.38614583333</v>
      </c>
      <c r="C5740" s="1" t="n">
        <v>46045</v>
      </c>
      <c r="D5740" t="inlineStr">
        <is>
          <t>JÄMTLANDS LÄN</t>
        </is>
      </c>
      <c r="E5740" t="inlineStr">
        <is>
          <t>KROKOM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16349-2024</t>
        </is>
      </c>
      <c r="B5741" s="1" t="n">
        <v>45407</v>
      </c>
      <c r="C5741" s="1" t="n">
        <v>46045</v>
      </c>
      <c r="D5741" t="inlineStr">
        <is>
          <t>JÄMTLANDS LÄN</t>
        </is>
      </c>
      <c r="E5741" t="inlineStr">
        <is>
          <t>KROKOM</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47503-2025</t>
        </is>
      </c>
      <c r="B5742" s="1" t="n">
        <v>45930.85418981482</v>
      </c>
      <c r="C5742" s="1" t="n">
        <v>46045</v>
      </c>
      <c r="D5742" t="inlineStr">
        <is>
          <t>JÄMTLANDS LÄN</t>
        </is>
      </c>
      <c r="E5742" t="inlineStr">
        <is>
          <t>HÄRJEDALEN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21961-2025</t>
        </is>
      </c>
      <c r="B5743" s="1" t="n">
        <v>45784.61517361111</v>
      </c>
      <c r="C5743" s="1" t="n">
        <v>46045</v>
      </c>
      <c r="D5743" t="inlineStr">
        <is>
          <t>JÄMTLANDS LÄN</t>
        </is>
      </c>
      <c r="E5743" t="inlineStr">
        <is>
          <t>BRÄCKE</t>
        </is>
      </c>
      <c r="F5743" t="inlineStr">
        <is>
          <t>SCA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47525-2025</t>
        </is>
      </c>
      <c r="B5744" s="1" t="n">
        <v>45931.34449074074</v>
      </c>
      <c r="C5744" s="1" t="n">
        <v>46045</v>
      </c>
      <c r="D5744" t="inlineStr">
        <is>
          <t>JÄMTLANDS LÄN</t>
        </is>
      </c>
      <c r="E5744" t="inlineStr">
        <is>
          <t>STRÖMSUND</t>
        </is>
      </c>
      <c r="F5744" t="inlineStr">
        <is>
          <t>SCA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47526-2025</t>
        </is>
      </c>
      <c r="B5745" s="1" t="n">
        <v>45931.34471064815</v>
      </c>
      <c r="C5745" s="1" t="n">
        <v>46045</v>
      </c>
      <c r="D5745" t="inlineStr">
        <is>
          <t>JÄMTLANDS LÄN</t>
        </is>
      </c>
      <c r="E5745" t="inlineStr">
        <is>
          <t>STRÖMSUND</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32020-2023</t>
        </is>
      </c>
      <c r="B5746" s="1" t="n">
        <v>45119.49261574074</v>
      </c>
      <c r="C5746" s="1" t="n">
        <v>46045</v>
      </c>
      <c r="D5746" t="inlineStr">
        <is>
          <t>JÄMTLANDS LÄN</t>
        </is>
      </c>
      <c r="E5746" t="inlineStr">
        <is>
          <t>BERG</t>
        </is>
      </c>
      <c r="G5746" t="n">
        <v>10.3</v>
      </c>
      <c r="H5746" t="n">
        <v>0</v>
      </c>
      <c r="I5746" t="n">
        <v>0</v>
      </c>
      <c r="J5746" t="n">
        <v>0</v>
      </c>
      <c r="K5746" t="n">
        <v>0</v>
      </c>
      <c r="L5746" t="n">
        <v>0</v>
      </c>
      <c r="M5746" t="n">
        <v>0</v>
      </c>
      <c r="N5746" t="n">
        <v>0</v>
      </c>
      <c r="O5746" t="n">
        <v>0</v>
      </c>
      <c r="P5746" t="n">
        <v>0</v>
      </c>
      <c r="Q5746" t="n">
        <v>0</v>
      </c>
      <c r="R5746" s="2" t="inlineStr"/>
    </row>
    <row r="5747" ht="15" customHeight="1">
      <c r="A5747" t="inlineStr">
        <is>
          <t>A 61183-2023</t>
        </is>
      </c>
      <c r="B5747" s="1" t="n">
        <v>45263</v>
      </c>
      <c r="C5747" s="1" t="n">
        <v>46045</v>
      </c>
      <c r="D5747" t="inlineStr">
        <is>
          <t>JÄMTLANDS LÄN</t>
        </is>
      </c>
      <c r="E5747" t="inlineStr">
        <is>
          <t>ÅRE</t>
        </is>
      </c>
      <c r="G5747" t="n">
        <v>8.4</v>
      </c>
      <c r="H5747" t="n">
        <v>0</v>
      </c>
      <c r="I5747" t="n">
        <v>0</v>
      </c>
      <c r="J5747" t="n">
        <v>0</v>
      </c>
      <c r="K5747" t="n">
        <v>0</v>
      </c>
      <c r="L5747" t="n">
        <v>0</v>
      </c>
      <c r="M5747" t="n">
        <v>0</v>
      </c>
      <c r="N5747" t="n">
        <v>0</v>
      </c>
      <c r="O5747" t="n">
        <v>0</v>
      </c>
      <c r="P5747" t="n">
        <v>0</v>
      </c>
      <c r="Q5747" t="n">
        <v>0</v>
      </c>
      <c r="R5747" s="2" t="inlineStr"/>
    </row>
    <row r="5748" ht="15" customHeight="1">
      <c r="A5748" t="inlineStr">
        <is>
          <t>A 2245-2025</t>
        </is>
      </c>
      <c r="B5748" s="1" t="n">
        <v>45673.49019675926</v>
      </c>
      <c r="C5748" s="1" t="n">
        <v>46045</v>
      </c>
      <c r="D5748" t="inlineStr">
        <is>
          <t>JÄMTLANDS LÄN</t>
        </is>
      </c>
      <c r="E5748" t="inlineStr">
        <is>
          <t>BRÄCKE</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47805-2024</t>
        </is>
      </c>
      <c r="B5749" s="1" t="n">
        <v>45588.61512731481</v>
      </c>
      <c r="C5749" s="1" t="n">
        <v>46045</v>
      </c>
      <c r="D5749" t="inlineStr">
        <is>
          <t>JÄMTLANDS LÄN</t>
        </is>
      </c>
      <c r="E5749" t="inlineStr">
        <is>
          <t>ÖSTERSUND</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1187-2023</t>
        </is>
      </c>
      <c r="B5750" s="1" t="n">
        <v>44930</v>
      </c>
      <c r="C5750" s="1" t="n">
        <v>46045</v>
      </c>
      <c r="D5750" t="inlineStr">
        <is>
          <t>JÄMTLANDS LÄN</t>
        </is>
      </c>
      <c r="E5750" t="inlineStr">
        <is>
          <t>STRÖMSUND</t>
        </is>
      </c>
      <c r="G5750" t="n">
        <v>11.5</v>
      </c>
      <c r="H5750" t="n">
        <v>0</v>
      </c>
      <c r="I5750" t="n">
        <v>0</v>
      </c>
      <c r="J5750" t="n">
        <v>0</v>
      </c>
      <c r="K5750" t="n">
        <v>0</v>
      </c>
      <c r="L5750" t="n">
        <v>0</v>
      </c>
      <c r="M5750" t="n">
        <v>0</v>
      </c>
      <c r="N5750" t="n">
        <v>0</v>
      </c>
      <c r="O5750" t="n">
        <v>0</v>
      </c>
      <c r="P5750" t="n">
        <v>0</v>
      </c>
      <c r="Q5750" t="n">
        <v>0</v>
      </c>
      <c r="R5750" s="2" t="inlineStr"/>
    </row>
    <row r="5751" ht="15" customHeight="1">
      <c r="A5751" t="inlineStr">
        <is>
          <t>A 1878-2025</t>
        </is>
      </c>
      <c r="B5751" s="1" t="n">
        <v>45671.62234953704</v>
      </c>
      <c r="C5751" s="1" t="n">
        <v>46045</v>
      </c>
      <c r="D5751" t="inlineStr">
        <is>
          <t>JÄMTLANDS LÄN</t>
        </is>
      </c>
      <c r="E5751" t="inlineStr">
        <is>
          <t>STRÖMSUND</t>
        </is>
      </c>
      <c r="G5751" t="n">
        <v>11.7</v>
      </c>
      <c r="H5751" t="n">
        <v>0</v>
      </c>
      <c r="I5751" t="n">
        <v>0</v>
      </c>
      <c r="J5751" t="n">
        <v>0</v>
      </c>
      <c r="K5751" t="n">
        <v>0</v>
      </c>
      <c r="L5751" t="n">
        <v>0</v>
      </c>
      <c r="M5751" t="n">
        <v>0</v>
      </c>
      <c r="N5751" t="n">
        <v>0</v>
      </c>
      <c r="O5751" t="n">
        <v>0</v>
      </c>
      <c r="P5751" t="n">
        <v>0</v>
      </c>
      <c r="Q5751" t="n">
        <v>0</v>
      </c>
      <c r="R5751" s="2" t="inlineStr"/>
    </row>
    <row r="5752" ht="15" customHeight="1">
      <c r="A5752" t="inlineStr">
        <is>
          <t>A 62111-2024</t>
        </is>
      </c>
      <c r="B5752" s="1" t="n">
        <v>45656.53215277778</v>
      </c>
      <c r="C5752" s="1" t="n">
        <v>46045</v>
      </c>
      <c r="D5752" t="inlineStr">
        <is>
          <t>JÄMTLANDS LÄN</t>
        </is>
      </c>
      <c r="E5752" t="inlineStr">
        <is>
          <t>ÖSTERSUND</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48708-2023</t>
        </is>
      </c>
      <c r="B5753" s="1" t="n">
        <v>45208</v>
      </c>
      <c r="C5753" s="1" t="n">
        <v>46045</v>
      </c>
      <c r="D5753" t="inlineStr">
        <is>
          <t>JÄMTLANDS LÄN</t>
        </is>
      </c>
      <c r="E5753" t="inlineStr">
        <is>
          <t>HÄRJEDALEN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18036-2025</t>
        </is>
      </c>
      <c r="B5754" s="1" t="n">
        <v>45761.45518518519</v>
      </c>
      <c r="C5754" s="1" t="n">
        <v>46045</v>
      </c>
      <c r="D5754" t="inlineStr">
        <is>
          <t>JÄMTLANDS LÄN</t>
        </is>
      </c>
      <c r="E5754" t="inlineStr">
        <is>
          <t>BRÄCKE</t>
        </is>
      </c>
      <c r="G5754" t="n">
        <v>19.5</v>
      </c>
      <c r="H5754" t="n">
        <v>0</v>
      </c>
      <c r="I5754" t="n">
        <v>0</v>
      </c>
      <c r="J5754" t="n">
        <v>0</v>
      </c>
      <c r="K5754" t="n">
        <v>0</v>
      </c>
      <c r="L5754" t="n">
        <v>0</v>
      </c>
      <c r="M5754" t="n">
        <v>0</v>
      </c>
      <c r="N5754" t="n">
        <v>0</v>
      </c>
      <c r="O5754" t="n">
        <v>0</v>
      </c>
      <c r="P5754" t="n">
        <v>0</v>
      </c>
      <c r="Q5754" t="n">
        <v>0</v>
      </c>
      <c r="R5754" s="2" t="inlineStr"/>
    </row>
    <row r="5755" ht="15" customHeight="1">
      <c r="A5755" t="inlineStr">
        <is>
          <t>A 61742-2024</t>
        </is>
      </c>
      <c r="B5755" s="1" t="n">
        <v>45649.38149305555</v>
      </c>
      <c r="C5755" s="1" t="n">
        <v>46045</v>
      </c>
      <c r="D5755" t="inlineStr">
        <is>
          <t>JÄMTLANDS LÄN</t>
        </is>
      </c>
      <c r="E5755" t="inlineStr">
        <is>
          <t>KROKOM</t>
        </is>
      </c>
      <c r="G5755" t="n">
        <v>13.3</v>
      </c>
      <c r="H5755" t="n">
        <v>0</v>
      </c>
      <c r="I5755" t="n">
        <v>0</v>
      </c>
      <c r="J5755" t="n">
        <v>0</v>
      </c>
      <c r="K5755" t="n">
        <v>0</v>
      </c>
      <c r="L5755" t="n">
        <v>0</v>
      </c>
      <c r="M5755" t="n">
        <v>0</v>
      </c>
      <c r="N5755" t="n">
        <v>0</v>
      </c>
      <c r="O5755" t="n">
        <v>0</v>
      </c>
      <c r="P5755" t="n">
        <v>0</v>
      </c>
      <c r="Q5755" t="n">
        <v>0</v>
      </c>
      <c r="R5755" s="2" t="inlineStr"/>
    </row>
    <row r="5756" ht="15" customHeight="1">
      <c r="A5756" t="inlineStr">
        <is>
          <t>A 20103-2025</t>
        </is>
      </c>
      <c r="B5756" s="1" t="n">
        <v>45772.46951388889</v>
      </c>
      <c r="C5756" s="1" t="n">
        <v>46045</v>
      </c>
      <c r="D5756" t="inlineStr">
        <is>
          <t>JÄMTLANDS LÄN</t>
        </is>
      </c>
      <c r="E5756" t="inlineStr">
        <is>
          <t>HÄRJEDALEN</t>
        </is>
      </c>
      <c r="F5756" t="inlineStr">
        <is>
          <t>SCA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32963-2022</t>
        </is>
      </c>
      <c r="B5757" s="1" t="n">
        <v>44784.92496527778</v>
      </c>
      <c r="C5757" s="1" t="n">
        <v>46045</v>
      </c>
      <c r="D5757" t="inlineStr">
        <is>
          <t>JÄMTLANDS LÄN</t>
        </is>
      </c>
      <c r="E5757" t="inlineStr">
        <is>
          <t>BRÄCKE</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12452-2025</t>
        </is>
      </c>
      <c r="B5758" s="1" t="n">
        <v>45730.51483796296</v>
      </c>
      <c r="C5758" s="1" t="n">
        <v>46045</v>
      </c>
      <c r="D5758" t="inlineStr">
        <is>
          <t>JÄMTLANDS LÄN</t>
        </is>
      </c>
      <c r="E5758" t="inlineStr">
        <is>
          <t>BRÄCKE</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9482-2024</t>
        </is>
      </c>
      <c r="B5759" s="1" t="n">
        <v>45359.57847222222</v>
      </c>
      <c r="C5759" s="1" t="n">
        <v>46045</v>
      </c>
      <c r="D5759" t="inlineStr">
        <is>
          <t>JÄMTLANDS LÄN</t>
        </is>
      </c>
      <c r="E5759" t="inlineStr">
        <is>
          <t>BERG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47985-2025</t>
        </is>
      </c>
      <c r="B5760" s="1" t="n">
        <v>45932</v>
      </c>
      <c r="C5760" s="1" t="n">
        <v>46045</v>
      </c>
      <c r="D5760" t="inlineStr">
        <is>
          <t>JÄMTLANDS LÄN</t>
        </is>
      </c>
      <c r="E5760" t="inlineStr">
        <is>
          <t>STRÖMSUND</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58341-2024</t>
        </is>
      </c>
      <c r="B5761" s="1" t="n">
        <v>45632.64078703704</v>
      </c>
      <c r="C5761" s="1" t="n">
        <v>46045</v>
      </c>
      <c r="D5761" t="inlineStr">
        <is>
          <t>JÄMTLANDS LÄN</t>
        </is>
      </c>
      <c r="E5761" t="inlineStr">
        <is>
          <t>HÄRJEDALEN</t>
        </is>
      </c>
      <c r="G5761" t="n">
        <v>7.9</v>
      </c>
      <c r="H5761" t="n">
        <v>0</v>
      </c>
      <c r="I5761" t="n">
        <v>0</v>
      </c>
      <c r="J5761" t="n">
        <v>0</v>
      </c>
      <c r="K5761" t="n">
        <v>0</v>
      </c>
      <c r="L5761" t="n">
        <v>0</v>
      </c>
      <c r="M5761" t="n">
        <v>0</v>
      </c>
      <c r="N5761" t="n">
        <v>0</v>
      </c>
      <c r="O5761" t="n">
        <v>0</v>
      </c>
      <c r="P5761" t="n">
        <v>0</v>
      </c>
      <c r="Q5761" t="n">
        <v>0</v>
      </c>
      <c r="R5761" s="2" t="inlineStr"/>
    </row>
    <row r="5762" ht="15" customHeight="1">
      <c r="A5762" t="inlineStr">
        <is>
          <t>A 22082-2022</t>
        </is>
      </c>
      <c r="B5762" s="1" t="n">
        <v>44711.9403587963</v>
      </c>
      <c r="C5762" s="1" t="n">
        <v>46045</v>
      </c>
      <c r="D5762" t="inlineStr">
        <is>
          <t>JÄMTLANDS LÄN</t>
        </is>
      </c>
      <c r="E5762" t="inlineStr">
        <is>
          <t>ÖSTERSUND</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48060-2025</t>
        </is>
      </c>
      <c r="B5763" s="1" t="n">
        <v>45932.67990740741</v>
      </c>
      <c r="C5763" s="1" t="n">
        <v>46045</v>
      </c>
      <c r="D5763" t="inlineStr">
        <is>
          <t>JÄMTLANDS LÄN</t>
        </is>
      </c>
      <c r="E5763" t="inlineStr">
        <is>
          <t>STRÖMSUND</t>
        </is>
      </c>
      <c r="G5763" t="n">
        <v>23.2</v>
      </c>
      <c r="H5763" t="n">
        <v>0</v>
      </c>
      <c r="I5763" t="n">
        <v>0</v>
      </c>
      <c r="J5763" t="n">
        <v>0</v>
      </c>
      <c r="K5763" t="n">
        <v>0</v>
      </c>
      <c r="L5763" t="n">
        <v>0</v>
      </c>
      <c r="M5763" t="n">
        <v>0</v>
      </c>
      <c r="N5763" t="n">
        <v>0</v>
      </c>
      <c r="O5763" t="n">
        <v>0</v>
      </c>
      <c r="P5763" t="n">
        <v>0</v>
      </c>
      <c r="Q5763" t="n">
        <v>0</v>
      </c>
      <c r="R5763" s="2" t="inlineStr"/>
    </row>
    <row r="5764" ht="15" customHeight="1">
      <c r="A5764" t="inlineStr">
        <is>
          <t>A 48068-2025</t>
        </is>
      </c>
      <c r="B5764" s="1" t="n">
        <v>45932.6984837963</v>
      </c>
      <c r="C5764" s="1" t="n">
        <v>46045</v>
      </c>
      <c r="D5764" t="inlineStr">
        <is>
          <t>JÄMTLANDS LÄN</t>
        </is>
      </c>
      <c r="E5764" t="inlineStr">
        <is>
          <t>STRÖMSUND</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48211-2025</t>
        </is>
      </c>
      <c r="B5765" s="1" t="n">
        <v>45931</v>
      </c>
      <c r="C5765" s="1" t="n">
        <v>46045</v>
      </c>
      <c r="D5765" t="inlineStr">
        <is>
          <t>JÄMTLANDS LÄN</t>
        </is>
      </c>
      <c r="E5765" t="inlineStr">
        <is>
          <t>ÅRE</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2774-2025</t>
        </is>
      </c>
      <c r="B5766" s="1" t="n">
        <v>45677.51086805556</v>
      </c>
      <c r="C5766" s="1" t="n">
        <v>46045</v>
      </c>
      <c r="D5766" t="inlineStr">
        <is>
          <t>JÄMTLANDS LÄN</t>
        </is>
      </c>
      <c r="E5766" t="inlineStr">
        <is>
          <t>BRÄCKE</t>
        </is>
      </c>
      <c r="F5766" t="inlineStr">
        <is>
          <t>SCA</t>
        </is>
      </c>
      <c r="G5766" t="n">
        <v>11.4</v>
      </c>
      <c r="H5766" t="n">
        <v>0</v>
      </c>
      <c r="I5766" t="n">
        <v>0</v>
      </c>
      <c r="J5766" t="n">
        <v>0</v>
      </c>
      <c r="K5766" t="n">
        <v>0</v>
      </c>
      <c r="L5766" t="n">
        <v>0</v>
      </c>
      <c r="M5766" t="n">
        <v>0</v>
      </c>
      <c r="N5766" t="n">
        <v>0</v>
      </c>
      <c r="O5766" t="n">
        <v>0</v>
      </c>
      <c r="P5766" t="n">
        <v>0</v>
      </c>
      <c r="Q5766" t="n">
        <v>0</v>
      </c>
      <c r="R5766" s="2" t="inlineStr"/>
      <c r="U5766">
        <f>HYPERLINK("https://klasma.github.io/Logging_2305/knärot/A 2774-2025 karta knärot.png", "A 2774-2025")</f>
        <v/>
      </c>
      <c r="V5766">
        <f>HYPERLINK("https://klasma.github.io/Logging_2305/klagomål/A 2774-2025 FSC-klagomål.docx", "A 2774-2025")</f>
        <v/>
      </c>
      <c r="W5766">
        <f>HYPERLINK("https://klasma.github.io/Logging_2305/klagomålsmail/A 2774-2025 FSC-klagomål mail.docx", "A 2774-2025")</f>
        <v/>
      </c>
      <c r="X5766">
        <f>HYPERLINK("https://klasma.github.io/Logging_2305/tillsyn/A 2774-2025 tillsynsbegäran.docx", "A 2774-2025")</f>
        <v/>
      </c>
      <c r="Y5766">
        <f>HYPERLINK("https://klasma.github.io/Logging_2305/tillsynsmail/A 2774-2025 tillsynsbegäran mail.docx", "A 2774-2025")</f>
        <v/>
      </c>
    </row>
    <row r="5767" ht="15" customHeight="1">
      <c r="A5767" t="inlineStr">
        <is>
          <t>A 5618-2025</t>
        </is>
      </c>
      <c r="B5767" s="1" t="n">
        <v>45693.61509259259</v>
      </c>
      <c r="C5767" s="1" t="n">
        <v>46045</v>
      </c>
      <c r="D5767" t="inlineStr">
        <is>
          <t>JÄMTLANDS LÄN</t>
        </is>
      </c>
      <c r="E5767" t="inlineStr">
        <is>
          <t>BRÄCKE</t>
        </is>
      </c>
      <c r="F5767" t="inlineStr">
        <is>
          <t>SCA</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21634-2025</t>
        </is>
      </c>
      <c r="B5768" s="1" t="n">
        <v>45783.42775462963</v>
      </c>
      <c r="C5768" s="1" t="n">
        <v>46045</v>
      </c>
      <c r="D5768" t="inlineStr">
        <is>
          <t>JÄMTLANDS LÄN</t>
        </is>
      </c>
      <c r="E5768" t="inlineStr">
        <is>
          <t>BRÄCKE</t>
        </is>
      </c>
      <c r="F5768" t="inlineStr">
        <is>
          <t>SCA</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21654-2025</t>
        </is>
      </c>
      <c r="B5769" s="1" t="n">
        <v>45783.45121527778</v>
      </c>
      <c r="C5769" s="1" t="n">
        <v>46045</v>
      </c>
      <c r="D5769" t="inlineStr">
        <is>
          <t>JÄMTLANDS LÄN</t>
        </is>
      </c>
      <c r="E5769" t="inlineStr">
        <is>
          <t>KROKOM</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47501-2025</t>
        </is>
      </c>
      <c r="B5770" s="1" t="n">
        <v>45930.85032407408</v>
      </c>
      <c r="C5770" s="1" t="n">
        <v>46045</v>
      </c>
      <c r="D5770" t="inlineStr">
        <is>
          <t>JÄMTLANDS LÄN</t>
        </is>
      </c>
      <c r="E5770" t="inlineStr">
        <is>
          <t>HÄRJEDALEN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11059-2024</t>
        </is>
      </c>
      <c r="B5771" s="1" t="n">
        <v>45370</v>
      </c>
      <c r="C5771" s="1" t="n">
        <v>46045</v>
      </c>
      <c r="D5771" t="inlineStr">
        <is>
          <t>JÄMTLANDS LÄN</t>
        </is>
      </c>
      <c r="E5771" t="inlineStr">
        <is>
          <t>KROKOM</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38748-2024</t>
        </is>
      </c>
      <c r="B5772" s="1" t="n">
        <v>45547.42736111111</v>
      </c>
      <c r="C5772" s="1" t="n">
        <v>46045</v>
      </c>
      <c r="D5772" t="inlineStr">
        <is>
          <t>JÄMTLANDS LÄN</t>
        </is>
      </c>
      <c r="E5772" t="inlineStr">
        <is>
          <t>KROKOM</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21682-2025</t>
        </is>
      </c>
      <c r="B5773" s="1" t="n">
        <v>45783.49026620371</v>
      </c>
      <c r="C5773" s="1" t="n">
        <v>46045</v>
      </c>
      <c r="D5773" t="inlineStr">
        <is>
          <t>JÄMTLANDS LÄN</t>
        </is>
      </c>
      <c r="E5773" t="inlineStr">
        <is>
          <t>STRÖMSUND</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30082-2022</t>
        </is>
      </c>
      <c r="B5774" s="1" t="n">
        <v>44757.37524305555</v>
      </c>
      <c r="C5774" s="1" t="n">
        <v>46045</v>
      </c>
      <c r="D5774" t="inlineStr">
        <is>
          <t>JÄMTLANDS LÄN</t>
        </is>
      </c>
      <c r="E5774" t="inlineStr">
        <is>
          <t>HÄRJEDALEN</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15663-2025</t>
        </is>
      </c>
      <c r="B5775" s="1" t="n">
        <v>45748</v>
      </c>
      <c r="C5775" s="1" t="n">
        <v>46045</v>
      </c>
      <c r="D5775" t="inlineStr">
        <is>
          <t>JÄMTLANDS LÄN</t>
        </is>
      </c>
      <c r="E5775" t="inlineStr">
        <is>
          <t>KROKOM</t>
        </is>
      </c>
      <c r="F5775" t="inlineStr">
        <is>
          <t>Övriga Aktiebolag</t>
        </is>
      </c>
      <c r="G5775" t="n">
        <v>11.5</v>
      </c>
      <c r="H5775" t="n">
        <v>0</v>
      </c>
      <c r="I5775" t="n">
        <v>0</v>
      </c>
      <c r="J5775" t="n">
        <v>0</v>
      </c>
      <c r="K5775" t="n">
        <v>0</v>
      </c>
      <c r="L5775" t="n">
        <v>0</v>
      </c>
      <c r="M5775" t="n">
        <v>0</v>
      </c>
      <c r="N5775" t="n">
        <v>0</v>
      </c>
      <c r="O5775" t="n">
        <v>0</v>
      </c>
      <c r="P5775" t="n">
        <v>0</v>
      </c>
      <c r="Q5775" t="n">
        <v>0</v>
      </c>
      <c r="R5775" s="2" t="inlineStr"/>
    </row>
    <row r="5776" ht="15" customHeight="1">
      <c r="A5776" t="inlineStr">
        <is>
          <t>A 54986-2023</t>
        </is>
      </c>
      <c r="B5776" s="1" t="n">
        <v>45236.96729166667</v>
      </c>
      <c r="C5776" s="1" t="n">
        <v>46045</v>
      </c>
      <c r="D5776" t="inlineStr">
        <is>
          <t>JÄMTLANDS LÄN</t>
        </is>
      </c>
      <c r="E5776" t="inlineStr">
        <is>
          <t>BRÄCKE</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31526-2024</t>
        </is>
      </c>
      <c r="B5777" s="1" t="n">
        <v>45505.95956018518</v>
      </c>
      <c r="C5777" s="1" t="n">
        <v>46045</v>
      </c>
      <c r="D5777" t="inlineStr">
        <is>
          <t>JÄMTLANDS LÄN</t>
        </is>
      </c>
      <c r="E5777" t="inlineStr">
        <is>
          <t>BRÄCKE</t>
        </is>
      </c>
      <c r="F5777" t="inlineStr">
        <is>
          <t>SCA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46693-2025</t>
        </is>
      </c>
      <c r="B5778" s="1" t="n">
        <v>45926</v>
      </c>
      <c r="C5778" s="1" t="n">
        <v>46045</v>
      </c>
      <c r="D5778" t="inlineStr">
        <is>
          <t>JÄMTLANDS LÄN</t>
        </is>
      </c>
      <c r="E5778" t="inlineStr">
        <is>
          <t>HÄRJEDALEN</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18984-2022</t>
        </is>
      </c>
      <c r="B5779" s="1" t="n">
        <v>44690</v>
      </c>
      <c r="C5779" s="1" t="n">
        <v>46045</v>
      </c>
      <c r="D5779" t="inlineStr">
        <is>
          <t>JÄMTLANDS LÄN</t>
        </is>
      </c>
      <c r="E5779" t="inlineStr">
        <is>
          <t>BRÄCKE</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21633-2025</t>
        </is>
      </c>
      <c r="B5780" s="1" t="n">
        <v>45783.42767361111</v>
      </c>
      <c r="C5780" s="1" t="n">
        <v>46045</v>
      </c>
      <c r="D5780" t="inlineStr">
        <is>
          <t>JÄMTLANDS LÄN</t>
        </is>
      </c>
      <c r="E5780" t="inlineStr">
        <is>
          <t>STRÖMSUND</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21643-2025</t>
        </is>
      </c>
      <c r="B5781" s="1" t="n">
        <v>45783.43409722222</v>
      </c>
      <c r="C5781" s="1" t="n">
        <v>46045</v>
      </c>
      <c r="D5781" t="inlineStr">
        <is>
          <t>JÄMTLANDS LÄN</t>
        </is>
      </c>
      <c r="E5781" t="inlineStr">
        <is>
          <t>KROKOM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47547-2025</t>
        </is>
      </c>
      <c r="B5782" s="1" t="n">
        <v>45931.36510416667</v>
      </c>
      <c r="C5782" s="1" t="n">
        <v>46045</v>
      </c>
      <c r="D5782" t="inlineStr">
        <is>
          <t>JÄMTLANDS LÄN</t>
        </is>
      </c>
      <c r="E5782" t="inlineStr">
        <is>
          <t>STRÖMSUND</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45691-2022</t>
        </is>
      </c>
      <c r="B5783" s="1" t="n">
        <v>44845.95319444445</v>
      </c>
      <c r="C5783" s="1" t="n">
        <v>46045</v>
      </c>
      <c r="D5783" t="inlineStr">
        <is>
          <t>JÄMTLANDS LÄN</t>
        </is>
      </c>
      <c r="E5783" t="inlineStr">
        <is>
          <t>BRÄCKE</t>
        </is>
      </c>
      <c r="F5783" t="inlineStr">
        <is>
          <t>SCA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46623-2022</t>
        </is>
      </c>
      <c r="B5784" s="1" t="n">
        <v>44848.95137731481</v>
      </c>
      <c r="C5784" s="1" t="n">
        <v>46045</v>
      </c>
      <c r="D5784" t="inlineStr">
        <is>
          <t>JÄMTLANDS LÄN</t>
        </is>
      </c>
      <c r="E5784" t="inlineStr">
        <is>
          <t>BRÄCKE</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26373-2025</t>
        </is>
      </c>
      <c r="B5785" s="1" t="n">
        <v>45806.40677083333</v>
      </c>
      <c r="C5785" s="1" t="n">
        <v>46045</v>
      </c>
      <c r="D5785" t="inlineStr">
        <is>
          <t>JÄMTLANDS LÄN</t>
        </is>
      </c>
      <c r="E5785" t="inlineStr">
        <is>
          <t>ÖSTERSUND</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2763-2022</t>
        </is>
      </c>
      <c r="B5786" s="1" t="n">
        <v>44580</v>
      </c>
      <c r="C5786" s="1" t="n">
        <v>46045</v>
      </c>
      <c r="D5786" t="inlineStr">
        <is>
          <t>JÄMTLANDS LÄN</t>
        </is>
      </c>
      <c r="E5786" t="inlineStr">
        <is>
          <t>ÖSTERSUND</t>
        </is>
      </c>
      <c r="F5786" t="inlineStr">
        <is>
          <t>SCA</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8872-2025</t>
        </is>
      </c>
      <c r="B5787" s="1" t="n">
        <v>45713.37111111111</v>
      </c>
      <c r="C5787" s="1" t="n">
        <v>46045</v>
      </c>
      <c r="D5787" t="inlineStr">
        <is>
          <t>JÄMTLANDS LÄN</t>
        </is>
      </c>
      <c r="E5787" t="inlineStr">
        <is>
          <t>KROKOM</t>
        </is>
      </c>
      <c r="F5787" t="inlineStr">
        <is>
          <t>Övriga Aktiebolag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18248-2023</t>
        </is>
      </c>
      <c r="B5788" s="1" t="n">
        <v>45040</v>
      </c>
      <c r="C5788" s="1" t="n">
        <v>46045</v>
      </c>
      <c r="D5788" t="inlineStr">
        <is>
          <t>JÄMTLANDS LÄN</t>
        </is>
      </c>
      <c r="E5788" t="inlineStr">
        <is>
          <t>RAGUNDA</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4707-2025</t>
        </is>
      </c>
      <c r="B5789" s="1" t="n">
        <v>45688.38393518519</v>
      </c>
      <c r="C5789" s="1" t="n">
        <v>46045</v>
      </c>
      <c r="D5789" t="inlineStr">
        <is>
          <t>JÄMTLANDS LÄN</t>
        </is>
      </c>
      <c r="E5789" t="inlineStr">
        <is>
          <t>KROKOM</t>
        </is>
      </c>
      <c r="G5789" t="n">
        <v>8.9</v>
      </c>
      <c r="H5789" t="n">
        <v>0</v>
      </c>
      <c r="I5789" t="n">
        <v>0</v>
      </c>
      <c r="J5789" t="n">
        <v>0</v>
      </c>
      <c r="K5789" t="n">
        <v>0</v>
      </c>
      <c r="L5789" t="n">
        <v>0</v>
      </c>
      <c r="M5789" t="n">
        <v>0</v>
      </c>
      <c r="N5789" t="n">
        <v>0</v>
      </c>
      <c r="O5789" t="n">
        <v>0</v>
      </c>
      <c r="P5789" t="n">
        <v>0</v>
      </c>
      <c r="Q5789" t="n">
        <v>0</v>
      </c>
      <c r="R5789" s="2" t="inlineStr"/>
    </row>
    <row r="5790" ht="15" customHeight="1">
      <c r="A5790" t="inlineStr">
        <is>
          <t>A 18841-2025</t>
        </is>
      </c>
      <c r="B5790" s="1" t="n">
        <v>45764.40834490741</v>
      </c>
      <c r="C5790" s="1" t="n">
        <v>46045</v>
      </c>
      <c r="D5790" t="inlineStr">
        <is>
          <t>JÄMTLANDS LÄN</t>
        </is>
      </c>
      <c r="E5790" t="inlineStr">
        <is>
          <t>KROKOM</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48051-2025</t>
        </is>
      </c>
      <c r="B5791" s="1" t="n">
        <v>45932.678125</v>
      </c>
      <c r="C5791" s="1" t="n">
        <v>46045</v>
      </c>
      <c r="D5791" t="inlineStr">
        <is>
          <t>JÄMTLANDS LÄN</t>
        </is>
      </c>
      <c r="E5791" t="inlineStr">
        <is>
          <t>STRÖMSUND</t>
        </is>
      </c>
      <c r="F5791" t="inlineStr">
        <is>
          <t>SCA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22093-2025</t>
        </is>
      </c>
      <c r="B5792" s="1" t="n">
        <v>45784</v>
      </c>
      <c r="C5792" s="1" t="n">
        <v>46045</v>
      </c>
      <c r="D5792" t="inlineStr">
        <is>
          <t>JÄMTLANDS LÄN</t>
        </is>
      </c>
      <c r="E5792" t="inlineStr">
        <is>
          <t>STRÖMSUND</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48067-2025</t>
        </is>
      </c>
      <c r="B5793" s="1" t="n">
        <v>45932.69829861111</v>
      </c>
      <c r="C5793" s="1" t="n">
        <v>46045</v>
      </c>
      <c r="D5793" t="inlineStr">
        <is>
          <t>JÄMTLANDS LÄN</t>
        </is>
      </c>
      <c r="E5793" t="inlineStr">
        <is>
          <t>BRÄCKE</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18264-2023</t>
        </is>
      </c>
      <c r="B5794" s="1" t="n">
        <v>45041</v>
      </c>
      <c r="C5794" s="1" t="n">
        <v>46045</v>
      </c>
      <c r="D5794" t="inlineStr">
        <is>
          <t>JÄMTLANDS LÄN</t>
        </is>
      </c>
      <c r="E5794" t="inlineStr">
        <is>
          <t>ÅRE</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9970-2025</t>
        </is>
      </c>
      <c r="B5795" s="1" t="n">
        <v>45719.38614583333</v>
      </c>
      <c r="C5795" s="1" t="n">
        <v>46045</v>
      </c>
      <c r="D5795" t="inlineStr">
        <is>
          <t>JÄMTLANDS LÄN</t>
        </is>
      </c>
      <c r="E5795" t="inlineStr">
        <is>
          <t>BRÄCKE</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48071-2025</t>
        </is>
      </c>
      <c r="B5796" s="1" t="n">
        <v>45932.6990625</v>
      </c>
      <c r="C5796" s="1" t="n">
        <v>46045</v>
      </c>
      <c r="D5796" t="inlineStr">
        <is>
          <t>JÄMTLANDS LÄN</t>
        </is>
      </c>
      <c r="E5796" t="inlineStr">
        <is>
          <t>STRÖMSUND</t>
        </is>
      </c>
      <c r="F5796" t="inlineStr">
        <is>
          <t>SCA</t>
        </is>
      </c>
      <c r="G5796" t="n">
        <v>6.5</v>
      </c>
      <c r="H5796" t="n">
        <v>0</v>
      </c>
      <c r="I5796" t="n">
        <v>0</v>
      </c>
      <c r="J5796" t="n">
        <v>0</v>
      </c>
      <c r="K5796" t="n">
        <v>0</v>
      </c>
      <c r="L5796" t="n">
        <v>0</v>
      </c>
      <c r="M5796" t="n">
        <v>0</v>
      </c>
      <c r="N5796" t="n">
        <v>0</v>
      </c>
      <c r="O5796" t="n">
        <v>0</v>
      </c>
      <c r="P5796" t="n">
        <v>0</v>
      </c>
      <c r="Q5796" t="n">
        <v>0</v>
      </c>
      <c r="R5796" s="2" t="inlineStr"/>
    </row>
    <row r="5797" ht="15" customHeight="1">
      <c r="A5797" t="inlineStr">
        <is>
          <t>A 18893-2025</t>
        </is>
      </c>
      <c r="B5797" s="1" t="n">
        <v>45764.44825231482</v>
      </c>
      <c r="C5797" s="1" t="n">
        <v>46045</v>
      </c>
      <c r="D5797" t="inlineStr">
        <is>
          <t>JÄMTLANDS LÄN</t>
        </is>
      </c>
      <c r="E5797" t="inlineStr">
        <is>
          <t>HÄRJEDALEN</t>
        </is>
      </c>
      <c r="F5797" t="inlineStr">
        <is>
          <t>SCA</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7962-2023</t>
        </is>
      </c>
      <c r="B5798" s="1" t="n">
        <v>44970</v>
      </c>
      <c r="C5798" s="1" t="n">
        <v>46045</v>
      </c>
      <c r="D5798" t="inlineStr">
        <is>
          <t>JÄMTLANDS LÄN</t>
        </is>
      </c>
      <c r="E5798" t="inlineStr">
        <is>
          <t>KROKOM</t>
        </is>
      </c>
      <c r="G5798" t="n">
        <v>12.2</v>
      </c>
      <c r="H5798" t="n">
        <v>0</v>
      </c>
      <c r="I5798" t="n">
        <v>0</v>
      </c>
      <c r="J5798" t="n">
        <v>0</v>
      </c>
      <c r="K5798" t="n">
        <v>0</v>
      </c>
      <c r="L5798" t="n">
        <v>0</v>
      </c>
      <c r="M5798" t="n">
        <v>0</v>
      </c>
      <c r="N5798" t="n">
        <v>0</v>
      </c>
      <c r="O5798" t="n">
        <v>0</v>
      </c>
      <c r="P5798" t="n">
        <v>0</v>
      </c>
      <c r="Q5798" t="n">
        <v>0</v>
      </c>
      <c r="R5798" s="2" t="inlineStr"/>
    </row>
    <row r="5799" ht="15" customHeight="1">
      <c r="A5799" t="inlineStr">
        <is>
          <t>A 9438-2025</t>
        </is>
      </c>
      <c r="B5799" s="1" t="n">
        <v>45715.41347222222</v>
      </c>
      <c r="C5799" s="1" t="n">
        <v>46045</v>
      </c>
      <c r="D5799" t="inlineStr">
        <is>
          <t>JÄMTLANDS LÄN</t>
        </is>
      </c>
      <c r="E5799" t="inlineStr">
        <is>
          <t>BRÄCKE</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29347-2024</t>
        </is>
      </c>
      <c r="B5800" s="1" t="n">
        <v>45483.47572916667</v>
      </c>
      <c r="C5800" s="1" t="n">
        <v>46045</v>
      </c>
      <c r="D5800" t="inlineStr">
        <is>
          <t>JÄMTLANDS LÄN</t>
        </is>
      </c>
      <c r="E5800" t="inlineStr">
        <is>
          <t>HÄRJEDALEN</t>
        </is>
      </c>
      <c r="G5800" t="n">
        <v>35.8</v>
      </c>
      <c r="H5800" t="n">
        <v>0</v>
      </c>
      <c r="I5800" t="n">
        <v>0</v>
      </c>
      <c r="J5800" t="n">
        <v>0</v>
      </c>
      <c r="K5800" t="n">
        <v>0</v>
      </c>
      <c r="L5800" t="n">
        <v>0</v>
      </c>
      <c r="M5800" t="n">
        <v>0</v>
      </c>
      <c r="N5800" t="n">
        <v>0</v>
      </c>
      <c r="O5800" t="n">
        <v>0</v>
      </c>
      <c r="P5800" t="n">
        <v>0</v>
      </c>
      <c r="Q5800" t="n">
        <v>0</v>
      </c>
      <c r="R5800" s="2" t="inlineStr"/>
    </row>
    <row r="5801" ht="15" customHeight="1">
      <c r="A5801" t="inlineStr">
        <is>
          <t>A 5187-2025</t>
        </is>
      </c>
      <c r="B5801" s="1" t="n">
        <v>45691.64266203704</v>
      </c>
      <c r="C5801" s="1" t="n">
        <v>46045</v>
      </c>
      <c r="D5801" t="inlineStr">
        <is>
          <t>JÄMTLANDS LÄN</t>
        </is>
      </c>
      <c r="E5801" t="inlineStr">
        <is>
          <t>BERG</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47563-2025</t>
        </is>
      </c>
      <c r="B5802" s="1" t="n">
        <v>45931.38956018518</v>
      </c>
      <c r="C5802" s="1" t="n">
        <v>46045</v>
      </c>
      <c r="D5802" t="inlineStr">
        <is>
          <t>JÄMTLANDS LÄN</t>
        </is>
      </c>
      <c r="E5802" t="inlineStr">
        <is>
          <t>ÖSTERSUND</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9963-2025</t>
        </is>
      </c>
      <c r="B5803" s="1" t="n">
        <v>45719.37307870371</v>
      </c>
      <c r="C5803" s="1" t="n">
        <v>46045</v>
      </c>
      <c r="D5803" t="inlineStr">
        <is>
          <t>JÄMTLANDS LÄN</t>
        </is>
      </c>
      <c r="E5803" t="inlineStr">
        <is>
          <t>KROKOM</t>
        </is>
      </c>
      <c r="F5803" t="inlineStr">
        <is>
          <t>Övriga Aktiebolag</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45438-2022</t>
        </is>
      </c>
      <c r="B5804" s="1" t="n">
        <v>44844.95368055555</v>
      </c>
      <c r="C5804" s="1" t="n">
        <v>46045</v>
      </c>
      <c r="D5804" t="inlineStr">
        <is>
          <t>JÄMTLANDS LÄN</t>
        </is>
      </c>
      <c r="E5804" t="inlineStr">
        <is>
          <t>RAGUNDA</t>
        </is>
      </c>
      <c r="F5804" t="inlineStr">
        <is>
          <t>SCA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48936-2024</t>
        </is>
      </c>
      <c r="B5805" s="1" t="n">
        <v>45594</v>
      </c>
      <c r="C5805" s="1" t="n">
        <v>46045</v>
      </c>
      <c r="D5805" t="inlineStr">
        <is>
          <t>JÄMTLANDS LÄN</t>
        </is>
      </c>
      <c r="E5805" t="inlineStr">
        <is>
          <t>STRÖMSUND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56426-2024</t>
        </is>
      </c>
      <c r="B5806" s="1" t="n">
        <v>45624</v>
      </c>
      <c r="C5806" s="1" t="n">
        <v>46045</v>
      </c>
      <c r="D5806" t="inlineStr">
        <is>
          <t>JÄMTLANDS LÄN</t>
        </is>
      </c>
      <c r="E5806" t="inlineStr">
        <is>
          <t>STRÖMSUND</t>
        </is>
      </c>
      <c r="G5806" t="n">
        <v>16.2</v>
      </c>
      <c r="H5806" t="n">
        <v>0</v>
      </c>
      <c r="I5806" t="n">
        <v>0</v>
      </c>
      <c r="J5806" t="n">
        <v>0</v>
      </c>
      <c r="K5806" t="n">
        <v>0</v>
      </c>
      <c r="L5806" t="n">
        <v>0</v>
      </c>
      <c r="M5806" t="n">
        <v>0</v>
      </c>
      <c r="N5806" t="n">
        <v>0</v>
      </c>
      <c r="O5806" t="n">
        <v>0</v>
      </c>
      <c r="P5806" t="n">
        <v>0</v>
      </c>
      <c r="Q5806" t="n">
        <v>0</v>
      </c>
      <c r="R5806" s="2" t="inlineStr"/>
    </row>
    <row r="5807" ht="15" customHeight="1">
      <c r="A5807" t="inlineStr">
        <is>
          <t>A 293-2025</t>
        </is>
      </c>
      <c r="B5807" s="1" t="n">
        <v>45660.53192129629</v>
      </c>
      <c r="C5807" s="1" t="n">
        <v>46045</v>
      </c>
      <c r="D5807" t="inlineStr">
        <is>
          <t>JÄMTLANDS LÄN</t>
        </is>
      </c>
      <c r="E5807" t="inlineStr">
        <is>
          <t>STRÖMSUND</t>
        </is>
      </c>
      <c r="F5807" t="inlineStr">
        <is>
          <t>SCA</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294-2025</t>
        </is>
      </c>
      <c r="B5808" s="1" t="n">
        <v>45660.53195601852</v>
      </c>
      <c r="C5808" s="1" t="n">
        <v>46045</v>
      </c>
      <c r="D5808" t="inlineStr">
        <is>
          <t>JÄMTLANDS LÄN</t>
        </is>
      </c>
      <c r="E5808" t="inlineStr">
        <is>
          <t>STRÖMSUND</t>
        </is>
      </c>
      <c r="F5808" t="inlineStr">
        <is>
          <t>SCA</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46329-2025</t>
        </is>
      </c>
      <c r="B5809" s="1" t="n">
        <v>45925</v>
      </c>
      <c r="C5809" s="1" t="n">
        <v>46045</v>
      </c>
      <c r="D5809" t="inlineStr">
        <is>
          <t>JÄMTLANDS LÄN</t>
        </is>
      </c>
      <c r="E5809" t="inlineStr">
        <is>
          <t>STRÖMSUND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21332-2025</t>
        </is>
      </c>
      <c r="B5810" s="1" t="n">
        <v>45782.36506944444</v>
      </c>
      <c r="C5810" s="1" t="n">
        <v>46045</v>
      </c>
      <c r="D5810" t="inlineStr">
        <is>
          <t>JÄMTLANDS LÄN</t>
        </is>
      </c>
      <c r="E5810" t="inlineStr">
        <is>
          <t>RAGUNDA</t>
        </is>
      </c>
      <c r="F5810" t="inlineStr">
        <is>
          <t>SCA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47748-2025</t>
        </is>
      </c>
      <c r="B5811" s="1" t="n">
        <v>45931.65693287037</v>
      </c>
      <c r="C5811" s="1" t="n">
        <v>46045</v>
      </c>
      <c r="D5811" t="inlineStr">
        <is>
          <t>JÄMTLANDS LÄN</t>
        </is>
      </c>
      <c r="E5811" t="inlineStr">
        <is>
          <t>RAGUNDA</t>
        </is>
      </c>
      <c r="F5811" t="inlineStr">
        <is>
          <t>SCA</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47759-2025</t>
        </is>
      </c>
      <c r="B5812" s="1" t="n">
        <v>45931.67381944445</v>
      </c>
      <c r="C5812" s="1" t="n">
        <v>46045</v>
      </c>
      <c r="D5812" t="inlineStr">
        <is>
          <t>JÄMTLANDS LÄN</t>
        </is>
      </c>
      <c r="E5812" t="inlineStr">
        <is>
          <t>ÖSTERSUND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22288-2025</t>
        </is>
      </c>
      <c r="B5813" s="1" t="n">
        <v>45786.34425925926</v>
      </c>
      <c r="C5813" s="1" t="n">
        <v>46045</v>
      </c>
      <c r="D5813" t="inlineStr">
        <is>
          <t>JÄMTLANDS LÄN</t>
        </is>
      </c>
      <c r="E5813" t="inlineStr">
        <is>
          <t>STRÖMSUND</t>
        </is>
      </c>
      <c r="F5813" t="inlineStr">
        <is>
          <t>SCA</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47821-2025</t>
        </is>
      </c>
      <c r="B5814" s="1" t="n">
        <v>45932.34421296296</v>
      </c>
      <c r="C5814" s="1" t="n">
        <v>46045</v>
      </c>
      <c r="D5814" t="inlineStr">
        <is>
          <t>JÄMTLANDS LÄN</t>
        </is>
      </c>
      <c r="E5814" t="inlineStr">
        <is>
          <t>BERG</t>
        </is>
      </c>
      <c r="F5814" t="inlineStr">
        <is>
          <t>SCA</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24588-2025</t>
        </is>
      </c>
      <c r="B5815" s="1" t="n">
        <v>45798.53157407408</v>
      </c>
      <c r="C5815" s="1" t="n">
        <v>46045</v>
      </c>
      <c r="D5815" t="inlineStr">
        <is>
          <t>JÄMTLANDS LÄN</t>
        </is>
      </c>
      <c r="E5815" t="inlineStr">
        <is>
          <t>BRÄCKE</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46732-2024</t>
        </is>
      </c>
      <c r="B5816" s="1" t="n">
        <v>45583.46936342592</v>
      </c>
      <c r="C5816" s="1" t="n">
        <v>46045</v>
      </c>
      <c r="D5816" t="inlineStr">
        <is>
          <t>JÄMTLANDS LÄN</t>
        </is>
      </c>
      <c r="E5816" t="inlineStr">
        <is>
          <t>ÖSTERSUND</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32244-2024</t>
        </is>
      </c>
      <c r="B5817" s="1" t="n">
        <v>45511.95109953704</v>
      </c>
      <c r="C5817" s="1" t="n">
        <v>46045</v>
      </c>
      <c r="D5817" t="inlineStr">
        <is>
          <t>JÄMTLANDS LÄN</t>
        </is>
      </c>
      <c r="E5817" t="inlineStr">
        <is>
          <t>KROKOM</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53055-2023</t>
        </is>
      </c>
      <c r="B5818" s="1" t="n">
        <v>45226</v>
      </c>
      <c r="C5818" s="1" t="n">
        <v>46045</v>
      </c>
      <c r="D5818" t="inlineStr">
        <is>
          <t>JÄMTLANDS LÄN</t>
        </is>
      </c>
      <c r="E5818" t="inlineStr">
        <is>
          <t>KROKOM</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47533-2025</t>
        </is>
      </c>
      <c r="B5819" s="1" t="n">
        <v>45931.34659722223</v>
      </c>
      <c r="C5819" s="1" t="n">
        <v>46045</v>
      </c>
      <c r="D5819" t="inlineStr">
        <is>
          <t>JÄMTLANDS LÄN</t>
        </is>
      </c>
      <c r="E5819" t="inlineStr">
        <is>
          <t>BERG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47535-2025</t>
        </is>
      </c>
      <c r="B5820" s="1" t="n">
        <v>45931.34679398148</v>
      </c>
      <c r="C5820" s="1" t="n">
        <v>46045</v>
      </c>
      <c r="D5820" t="inlineStr">
        <is>
          <t>JÄMTLANDS LÄN</t>
        </is>
      </c>
      <c r="E5820" t="inlineStr">
        <is>
          <t>STRÖMSUND</t>
        </is>
      </c>
      <c r="F5820" t="inlineStr">
        <is>
          <t>SCA</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30459-2021</t>
        </is>
      </c>
      <c r="B5821" s="1" t="n">
        <v>44362</v>
      </c>
      <c r="C5821" s="1" t="n">
        <v>46045</v>
      </c>
      <c r="D5821" t="inlineStr">
        <is>
          <t>JÄMTLANDS LÄN</t>
        </is>
      </c>
      <c r="E5821" t="inlineStr">
        <is>
          <t>RAGUNDA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22238-2025</t>
        </is>
      </c>
      <c r="B5822" s="1" t="n">
        <v>45785.67763888889</v>
      </c>
      <c r="C5822" s="1" t="n">
        <v>46045</v>
      </c>
      <c r="D5822" t="inlineStr">
        <is>
          <t>JÄMTLANDS LÄN</t>
        </is>
      </c>
      <c r="E5822" t="inlineStr">
        <is>
          <t>STRÖMSUND</t>
        </is>
      </c>
      <c r="F5822" t="inlineStr">
        <is>
          <t>SCA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47517-2025</t>
        </is>
      </c>
      <c r="B5823" s="1" t="n">
        <v>45931.28456018519</v>
      </c>
      <c r="C5823" s="1" t="n">
        <v>46045</v>
      </c>
      <c r="D5823" t="inlineStr">
        <is>
          <t>JÄMTLANDS LÄN</t>
        </is>
      </c>
      <c r="E5823" t="inlineStr">
        <is>
          <t>KROKOM</t>
        </is>
      </c>
      <c r="F5823" t="inlineStr">
        <is>
          <t>Övriga Aktiebolag</t>
        </is>
      </c>
      <c r="G5823" t="n">
        <v>18.4</v>
      </c>
      <c r="H5823" t="n">
        <v>0</v>
      </c>
      <c r="I5823" t="n">
        <v>0</v>
      </c>
      <c r="J5823" t="n">
        <v>0</v>
      </c>
      <c r="K5823" t="n">
        <v>0</v>
      </c>
      <c r="L5823" t="n">
        <v>0</v>
      </c>
      <c r="M5823" t="n">
        <v>0</v>
      </c>
      <c r="N5823" t="n">
        <v>0</v>
      </c>
      <c r="O5823" t="n">
        <v>0</v>
      </c>
      <c r="P5823" t="n">
        <v>0</v>
      </c>
      <c r="Q5823" t="n">
        <v>0</v>
      </c>
      <c r="R5823" s="2" t="inlineStr"/>
    </row>
    <row r="5824" ht="15" customHeight="1">
      <c r="A5824" t="inlineStr">
        <is>
          <t>A 47528-2025</t>
        </is>
      </c>
      <c r="B5824" s="1" t="n">
        <v>45931.34568287037</v>
      </c>
      <c r="C5824" s="1" t="n">
        <v>46045</v>
      </c>
      <c r="D5824" t="inlineStr">
        <is>
          <t>JÄMTLANDS LÄN</t>
        </is>
      </c>
      <c r="E5824" t="inlineStr">
        <is>
          <t>STRÖMSUND</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19859-2025</t>
        </is>
      </c>
      <c r="B5825" s="1" t="n">
        <v>45771.53158564815</v>
      </c>
      <c r="C5825" s="1" t="n">
        <v>46045</v>
      </c>
      <c r="D5825" t="inlineStr">
        <is>
          <t>JÄMTLANDS LÄN</t>
        </is>
      </c>
      <c r="E5825" t="inlineStr">
        <is>
          <t>STRÖMSUND</t>
        </is>
      </c>
      <c r="F5825" t="inlineStr">
        <is>
          <t>SCA</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19891-2025</t>
        </is>
      </c>
      <c r="B5826" s="1" t="n">
        <v>45771.5743287037</v>
      </c>
      <c r="C5826" s="1" t="n">
        <v>46045</v>
      </c>
      <c r="D5826" t="inlineStr">
        <is>
          <t>JÄMTLANDS LÄN</t>
        </is>
      </c>
      <c r="E5826" t="inlineStr">
        <is>
          <t>BERG</t>
        </is>
      </c>
      <c r="F5826" t="inlineStr">
        <is>
          <t>SCA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38747-2024</t>
        </is>
      </c>
      <c r="B5827" s="1" t="n">
        <v>45547.42732638889</v>
      </c>
      <c r="C5827" s="1" t="n">
        <v>46045</v>
      </c>
      <c r="D5827" t="inlineStr">
        <is>
          <t>JÄMTLANDS LÄN</t>
        </is>
      </c>
      <c r="E5827" t="inlineStr">
        <is>
          <t>KROKOM</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47699-2025</t>
        </is>
      </c>
      <c r="B5828" s="1" t="n">
        <v>45931.60063657408</v>
      </c>
      <c r="C5828" s="1" t="n">
        <v>46045</v>
      </c>
      <c r="D5828" t="inlineStr">
        <is>
          <t>JÄMTLANDS LÄN</t>
        </is>
      </c>
      <c r="E5828" t="inlineStr">
        <is>
          <t>HÄRJEDALEN</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27197-2025</t>
        </is>
      </c>
      <c r="B5829" s="1" t="n">
        <v>45812.38596064815</v>
      </c>
      <c r="C5829" s="1" t="n">
        <v>46045</v>
      </c>
      <c r="D5829" t="inlineStr">
        <is>
          <t>JÄMTLANDS LÄN</t>
        </is>
      </c>
      <c r="E5829" t="inlineStr">
        <is>
          <t>BRÄCKE</t>
        </is>
      </c>
      <c r="F5829" t="inlineStr">
        <is>
          <t>SCA</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29263-2024</t>
        </is>
      </c>
      <c r="B5830" s="1" t="n">
        <v>45482.94891203703</v>
      </c>
      <c r="C5830" s="1" t="n">
        <v>46045</v>
      </c>
      <c r="D5830" t="inlineStr">
        <is>
          <t>JÄMTLANDS LÄN</t>
        </is>
      </c>
      <c r="E5830" t="inlineStr">
        <is>
          <t>RAGUNDA</t>
        </is>
      </c>
      <c r="F5830" t="inlineStr">
        <is>
          <t>SCA</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29265-2024</t>
        </is>
      </c>
      <c r="B5831" s="1" t="n">
        <v>45482.9491087963</v>
      </c>
      <c r="C5831" s="1" t="n">
        <v>46045</v>
      </c>
      <c r="D5831" t="inlineStr">
        <is>
          <t>JÄMTLANDS LÄN</t>
        </is>
      </c>
      <c r="E5831" t="inlineStr">
        <is>
          <t>RAGUNDA</t>
        </is>
      </c>
      <c r="F5831" t="inlineStr">
        <is>
          <t>SCA</t>
        </is>
      </c>
      <c r="G5831" t="n">
        <v>11.6</v>
      </c>
      <c r="H5831" t="n">
        <v>0</v>
      </c>
      <c r="I5831" t="n">
        <v>0</v>
      </c>
      <c r="J5831" t="n">
        <v>0</v>
      </c>
      <c r="K5831" t="n">
        <v>0</v>
      </c>
      <c r="L5831" t="n">
        <v>0</v>
      </c>
      <c r="M5831" t="n">
        <v>0</v>
      </c>
      <c r="N5831" t="n">
        <v>0</v>
      </c>
      <c r="O5831" t="n">
        <v>0</v>
      </c>
      <c r="P5831" t="n">
        <v>0</v>
      </c>
      <c r="Q5831" t="n">
        <v>0</v>
      </c>
      <c r="R5831" s="2" t="inlineStr"/>
    </row>
    <row r="5832" ht="15" customHeight="1">
      <c r="A5832" t="inlineStr">
        <is>
          <t>A 47579-2025</t>
        </is>
      </c>
      <c r="B5832" s="1" t="n">
        <v>45931.40671296296</v>
      </c>
      <c r="C5832" s="1" t="n">
        <v>46045</v>
      </c>
      <c r="D5832" t="inlineStr">
        <is>
          <t>JÄMTLANDS LÄN</t>
        </is>
      </c>
      <c r="E5832" t="inlineStr">
        <is>
          <t>ÖSTERSUND</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32472-2021</t>
        </is>
      </c>
      <c r="B5833" s="1" t="n">
        <v>44371</v>
      </c>
      <c r="C5833" s="1" t="n">
        <v>46045</v>
      </c>
      <c r="D5833" t="inlineStr">
        <is>
          <t>JÄMTLANDS LÄN</t>
        </is>
      </c>
      <c r="E5833" t="inlineStr">
        <is>
          <t>KROKOM</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47868-2025</t>
        </is>
      </c>
      <c r="B5834" s="1" t="n">
        <v>45932.44094907407</v>
      </c>
      <c r="C5834" s="1" t="n">
        <v>46045</v>
      </c>
      <c r="D5834" t="inlineStr">
        <is>
          <t>JÄMTLANDS LÄN</t>
        </is>
      </c>
      <c r="E5834" t="inlineStr">
        <is>
          <t>BRÄCKE</t>
        </is>
      </c>
      <c r="F5834" t="inlineStr">
        <is>
          <t>Kyrkan</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34794-2022</t>
        </is>
      </c>
      <c r="B5835" s="1" t="n">
        <v>44795</v>
      </c>
      <c r="C5835" s="1" t="n">
        <v>46045</v>
      </c>
      <c r="D5835" t="inlineStr">
        <is>
          <t>JÄMTLANDS LÄN</t>
        </is>
      </c>
      <c r="E5835" t="inlineStr">
        <is>
          <t>KROKOM</t>
        </is>
      </c>
      <c r="F5835" t="inlineStr">
        <is>
          <t>SCA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45338-2024</t>
        </is>
      </c>
      <c r="B5836" s="1" t="n">
        <v>45576.46905092592</v>
      </c>
      <c r="C5836" s="1" t="n">
        <v>46045</v>
      </c>
      <c r="D5836" t="inlineStr">
        <is>
          <t>JÄMTLANDS LÄN</t>
        </is>
      </c>
      <c r="E5836" t="inlineStr">
        <is>
          <t>ÖSTERSUND</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45895-2024</t>
        </is>
      </c>
      <c r="B5837" s="1" t="n">
        <v>45580.42736111111</v>
      </c>
      <c r="C5837" s="1" t="n">
        <v>46045</v>
      </c>
      <c r="D5837" t="inlineStr">
        <is>
          <t>JÄMTLANDS LÄN</t>
        </is>
      </c>
      <c r="E5837" t="inlineStr">
        <is>
          <t>ÖSTERSUND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47663-2025</t>
        </is>
      </c>
      <c r="B5838" s="1" t="n">
        <v>45931.56105324074</v>
      </c>
      <c r="C5838" s="1" t="n">
        <v>46045</v>
      </c>
      <c r="D5838" t="inlineStr">
        <is>
          <t>JÄMTLANDS LÄN</t>
        </is>
      </c>
      <c r="E5838" t="inlineStr">
        <is>
          <t>STRÖMSUND</t>
        </is>
      </c>
      <c r="F5838" t="inlineStr">
        <is>
          <t>Holmen skog AB</t>
        </is>
      </c>
      <c r="G5838" t="n">
        <v>8.699999999999999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22164-2025</t>
        </is>
      </c>
      <c r="B5839" s="1" t="n">
        <v>45785.59428240741</v>
      </c>
      <c r="C5839" s="1" t="n">
        <v>46045</v>
      </c>
      <c r="D5839" t="inlineStr">
        <is>
          <t>JÄMTLANDS LÄN</t>
        </is>
      </c>
      <c r="E5839" t="inlineStr">
        <is>
          <t>BRÄCKE</t>
        </is>
      </c>
      <c r="F5839" t="inlineStr">
        <is>
          <t>SCA</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22167-2025</t>
        </is>
      </c>
      <c r="B5840" s="1" t="n">
        <v>45785.59498842592</v>
      </c>
      <c r="C5840" s="1" t="n">
        <v>46045</v>
      </c>
      <c r="D5840" t="inlineStr">
        <is>
          <t>JÄMTLANDS LÄN</t>
        </is>
      </c>
      <c r="E5840" t="inlineStr">
        <is>
          <t>BRÄCKE</t>
        </is>
      </c>
      <c r="F5840" t="inlineStr">
        <is>
          <t>SCA</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14240-2025</t>
        </is>
      </c>
      <c r="B5841" s="1" t="n">
        <v>45740</v>
      </c>
      <c r="C5841" s="1" t="n">
        <v>46045</v>
      </c>
      <c r="D5841" t="inlineStr">
        <is>
          <t>JÄMTLANDS LÄN</t>
        </is>
      </c>
      <c r="E5841" t="inlineStr">
        <is>
          <t>KROKOM</t>
        </is>
      </c>
      <c r="G5841" t="n">
        <v>30.3</v>
      </c>
      <c r="H5841" t="n">
        <v>0</v>
      </c>
      <c r="I5841" t="n">
        <v>0</v>
      </c>
      <c r="J5841" t="n">
        <v>0</v>
      </c>
      <c r="K5841" t="n">
        <v>0</v>
      </c>
      <c r="L5841" t="n">
        <v>0</v>
      </c>
      <c r="M5841" t="n">
        <v>0</v>
      </c>
      <c r="N5841" t="n">
        <v>0</v>
      </c>
      <c r="O5841" t="n">
        <v>0</v>
      </c>
      <c r="P5841" t="n">
        <v>0</v>
      </c>
      <c r="Q5841" t="n">
        <v>0</v>
      </c>
      <c r="R5841" s="2" t="inlineStr"/>
    </row>
    <row r="5842" ht="15" customHeight="1">
      <c r="A5842" t="inlineStr">
        <is>
          <t>A 41802-2021</t>
        </is>
      </c>
      <c r="B5842" s="1" t="n">
        <v>44425</v>
      </c>
      <c r="C5842" s="1" t="n">
        <v>46045</v>
      </c>
      <c r="D5842" t="inlineStr">
        <is>
          <t>JÄMTLANDS LÄN</t>
        </is>
      </c>
      <c r="E5842" t="inlineStr">
        <is>
          <t>ÖSTERSUND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30081-2024</t>
        </is>
      </c>
      <c r="B5843" s="1" t="n">
        <v>45485</v>
      </c>
      <c r="C5843" s="1" t="n">
        <v>46045</v>
      </c>
      <c r="D5843" t="inlineStr">
        <is>
          <t>JÄMTLANDS LÄN</t>
        </is>
      </c>
      <c r="E5843" t="inlineStr">
        <is>
          <t>ÅRE</t>
        </is>
      </c>
      <c r="G5843" t="n">
        <v>17.8</v>
      </c>
      <c r="H5843" t="n">
        <v>0</v>
      </c>
      <c r="I5843" t="n">
        <v>0</v>
      </c>
      <c r="J5843" t="n">
        <v>0</v>
      </c>
      <c r="K5843" t="n">
        <v>0</v>
      </c>
      <c r="L5843" t="n">
        <v>0</v>
      </c>
      <c r="M5843" t="n">
        <v>0</v>
      </c>
      <c r="N5843" t="n">
        <v>0</v>
      </c>
      <c r="O5843" t="n">
        <v>0</v>
      </c>
      <c r="P5843" t="n">
        <v>0</v>
      </c>
      <c r="Q5843" t="n">
        <v>0</v>
      </c>
      <c r="R5843" s="2" t="inlineStr"/>
    </row>
    <row r="5844" ht="15" customHeight="1">
      <c r="A5844" t="inlineStr">
        <is>
          <t>A 29379-2024</t>
        </is>
      </c>
      <c r="B5844" s="1" t="n">
        <v>45483</v>
      </c>
      <c r="C5844" s="1" t="n">
        <v>46045</v>
      </c>
      <c r="D5844" t="inlineStr">
        <is>
          <t>JÄMTLANDS LÄN</t>
        </is>
      </c>
      <c r="E5844" t="inlineStr">
        <is>
          <t>KROKOM</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25960-2021</t>
        </is>
      </c>
      <c r="B5845" s="1" t="n">
        <v>44344.52144675926</v>
      </c>
      <c r="C5845" s="1" t="n">
        <v>46045</v>
      </c>
      <c r="D5845" t="inlineStr">
        <is>
          <t>JÄMTLANDS LÄN</t>
        </is>
      </c>
      <c r="E5845" t="inlineStr">
        <is>
          <t>STRÖMSUND</t>
        </is>
      </c>
      <c r="F5845" t="inlineStr">
        <is>
          <t>Sveaskog</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48706-2025</t>
        </is>
      </c>
      <c r="B5846" s="1" t="n">
        <v>45936.62423611111</v>
      </c>
      <c r="C5846" s="1" t="n">
        <v>46045</v>
      </c>
      <c r="D5846" t="inlineStr">
        <is>
          <t>JÄMTLANDS LÄN</t>
        </is>
      </c>
      <c r="E5846" t="inlineStr">
        <is>
          <t>BRÄCKE</t>
        </is>
      </c>
      <c r="F5846" t="inlineStr">
        <is>
          <t>Övriga Aktiebolag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48133-2025</t>
        </is>
      </c>
      <c r="B5847" s="1" t="n">
        <v>45933.37028935185</v>
      </c>
      <c r="C5847" s="1" t="n">
        <v>46045</v>
      </c>
      <c r="D5847" t="inlineStr">
        <is>
          <t>JÄMTLANDS LÄN</t>
        </is>
      </c>
      <c r="E5847" t="inlineStr">
        <is>
          <t>STRÖMSUND</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50591-2024</t>
        </is>
      </c>
      <c r="B5848" s="1" t="n">
        <v>45601.6190625</v>
      </c>
      <c r="C5848" s="1" t="n">
        <v>46045</v>
      </c>
      <c r="D5848" t="inlineStr">
        <is>
          <t>JÄMTLANDS LÄN</t>
        </is>
      </c>
      <c r="E5848" t="inlineStr">
        <is>
          <t>BRÄCKE</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22612-2025</t>
        </is>
      </c>
      <c r="B5849" s="1" t="n">
        <v>45789.42538194444</v>
      </c>
      <c r="C5849" s="1" t="n">
        <v>46045</v>
      </c>
      <c r="D5849" t="inlineStr">
        <is>
          <t>JÄMTLANDS LÄN</t>
        </is>
      </c>
      <c r="E5849" t="inlineStr">
        <is>
          <t>ÖSTERSUND</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48474-2025</t>
        </is>
      </c>
      <c r="B5850" s="1" t="n">
        <v>45936.34571759259</v>
      </c>
      <c r="C5850" s="1" t="n">
        <v>46045</v>
      </c>
      <c r="D5850" t="inlineStr">
        <is>
          <t>JÄMTLANDS LÄN</t>
        </is>
      </c>
      <c r="E5850" t="inlineStr">
        <is>
          <t>STRÖMSUND</t>
        </is>
      </c>
      <c r="F5850" t="inlineStr">
        <is>
          <t>SCA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13898-2023</t>
        </is>
      </c>
      <c r="B5851" s="1" t="n">
        <v>45008.01408564814</v>
      </c>
      <c r="C5851" s="1" t="n">
        <v>46045</v>
      </c>
      <c r="D5851" t="inlineStr">
        <is>
          <t>JÄMTLANDS LÄN</t>
        </is>
      </c>
      <c r="E5851" t="inlineStr">
        <is>
          <t>RAGUNDA</t>
        </is>
      </c>
      <c r="F5851" t="inlineStr">
        <is>
          <t>SCA</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41693-2023</t>
        </is>
      </c>
      <c r="B5852" s="1" t="n">
        <v>45176</v>
      </c>
      <c r="C5852" s="1" t="n">
        <v>46045</v>
      </c>
      <c r="D5852" t="inlineStr">
        <is>
          <t>JÄMTLANDS LÄN</t>
        </is>
      </c>
      <c r="E5852" t="inlineStr">
        <is>
          <t>RAGUNDA</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41722-2023</t>
        </is>
      </c>
      <c r="B5853" s="1" t="n">
        <v>45176.4012037037</v>
      </c>
      <c r="C5853" s="1" t="n">
        <v>46045</v>
      </c>
      <c r="D5853" t="inlineStr">
        <is>
          <t>JÄMTLANDS LÄN</t>
        </is>
      </c>
      <c r="E5853" t="inlineStr">
        <is>
          <t>BRÄCKE</t>
        </is>
      </c>
      <c r="G5853" t="n">
        <v>21.3</v>
      </c>
      <c r="H5853" t="n">
        <v>0</v>
      </c>
      <c r="I5853" t="n">
        <v>0</v>
      </c>
      <c r="J5853" t="n">
        <v>0</v>
      </c>
      <c r="K5853" t="n">
        <v>0</v>
      </c>
      <c r="L5853" t="n">
        <v>0</v>
      </c>
      <c r="M5853" t="n">
        <v>0</v>
      </c>
      <c r="N5853" t="n">
        <v>0</v>
      </c>
      <c r="O5853" t="n">
        <v>0</v>
      </c>
      <c r="P5853" t="n">
        <v>0</v>
      </c>
      <c r="Q5853" t="n">
        <v>0</v>
      </c>
      <c r="R5853" s="2" t="inlineStr"/>
    </row>
    <row r="5854" ht="15" customHeight="1">
      <c r="A5854" t="inlineStr">
        <is>
          <t>A 48525-2025</t>
        </is>
      </c>
      <c r="B5854" s="1" t="n">
        <v>45936.40680555555</v>
      </c>
      <c r="C5854" s="1" t="n">
        <v>46045</v>
      </c>
      <c r="D5854" t="inlineStr">
        <is>
          <t>JÄMTLANDS LÄN</t>
        </is>
      </c>
      <c r="E5854" t="inlineStr">
        <is>
          <t>STRÖMSUND</t>
        </is>
      </c>
      <c r="F5854" t="inlineStr">
        <is>
          <t>SCA</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48527-2025</t>
        </is>
      </c>
      <c r="B5855" s="1" t="n">
        <v>45936.40741898148</v>
      </c>
      <c r="C5855" s="1" t="n">
        <v>46045</v>
      </c>
      <c r="D5855" t="inlineStr">
        <is>
          <t>JÄMTLANDS LÄN</t>
        </is>
      </c>
      <c r="E5855" t="inlineStr">
        <is>
          <t>STRÖMSUND</t>
        </is>
      </c>
      <c r="F5855" t="inlineStr">
        <is>
          <t>SCA</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48528-2025</t>
        </is>
      </c>
      <c r="B5856" s="1" t="n">
        <v>45936.40758101852</v>
      </c>
      <c r="C5856" s="1" t="n">
        <v>46045</v>
      </c>
      <c r="D5856" t="inlineStr">
        <is>
          <t>JÄMTLANDS LÄN</t>
        </is>
      </c>
      <c r="E5856" t="inlineStr">
        <is>
          <t>RAGUNDA</t>
        </is>
      </c>
      <c r="F5856" t="inlineStr">
        <is>
          <t>SCA</t>
        </is>
      </c>
      <c r="G5856" t="n">
        <v>6.8</v>
      </c>
      <c r="H5856" t="n">
        <v>0</v>
      </c>
      <c r="I5856" t="n">
        <v>0</v>
      </c>
      <c r="J5856" t="n">
        <v>0</v>
      </c>
      <c r="K5856" t="n">
        <v>0</v>
      </c>
      <c r="L5856" t="n">
        <v>0</v>
      </c>
      <c r="M5856" t="n">
        <v>0</v>
      </c>
      <c r="N5856" t="n">
        <v>0</v>
      </c>
      <c r="O5856" t="n">
        <v>0</v>
      </c>
      <c r="P5856" t="n">
        <v>0</v>
      </c>
      <c r="Q5856" t="n">
        <v>0</v>
      </c>
      <c r="R5856" s="2" t="inlineStr"/>
    </row>
    <row r="5857" ht="15" customHeight="1">
      <c r="A5857" t="inlineStr">
        <is>
          <t>A 48482-2023</t>
        </is>
      </c>
      <c r="B5857" s="1" t="n">
        <v>45206.95846064815</v>
      </c>
      <c r="C5857" s="1" t="n">
        <v>46045</v>
      </c>
      <c r="D5857" t="inlineStr">
        <is>
          <t>JÄMTLANDS LÄN</t>
        </is>
      </c>
      <c r="E5857" t="inlineStr">
        <is>
          <t>BRÄCKE</t>
        </is>
      </c>
      <c r="F5857" t="inlineStr">
        <is>
          <t>SCA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48553-2025</t>
        </is>
      </c>
      <c r="B5858" s="1" t="n">
        <v>45936.42771990741</v>
      </c>
      <c r="C5858" s="1" t="n">
        <v>46045</v>
      </c>
      <c r="D5858" t="inlineStr">
        <is>
          <t>JÄMTLANDS LÄN</t>
        </is>
      </c>
      <c r="E5858" t="inlineStr">
        <is>
          <t>STRÖMSUND</t>
        </is>
      </c>
      <c r="F5858" t="inlineStr">
        <is>
          <t>SCA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48288-2025</t>
        </is>
      </c>
      <c r="B5859" s="1" t="n">
        <v>45933.59466435185</v>
      </c>
      <c r="C5859" s="1" t="n">
        <v>46045</v>
      </c>
      <c r="D5859" t="inlineStr">
        <is>
          <t>JÄMTLANDS LÄN</t>
        </is>
      </c>
      <c r="E5859" t="inlineStr">
        <is>
          <t>STRÖMSUND</t>
        </is>
      </c>
      <c r="F5859" t="inlineStr">
        <is>
          <t>SCA</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56811-2025</t>
        </is>
      </c>
      <c r="B5860" s="1" t="n">
        <v>45978.45540509259</v>
      </c>
      <c r="C5860" s="1" t="n">
        <v>46045</v>
      </c>
      <c r="D5860" t="inlineStr">
        <is>
          <t>JÄMTLANDS LÄN</t>
        </is>
      </c>
      <c r="E5860" t="inlineStr">
        <is>
          <t>ÖSTERSUND</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60054-2024</t>
        </is>
      </c>
      <c r="B5861" s="1" t="n">
        <v>45642</v>
      </c>
      <c r="C5861" s="1" t="n">
        <v>46045</v>
      </c>
      <c r="D5861" t="inlineStr">
        <is>
          <t>JÄMTLANDS LÄN</t>
        </is>
      </c>
      <c r="E5861" t="inlineStr">
        <is>
          <t>HÄRJEDALEN</t>
        </is>
      </c>
      <c r="G5861" t="n">
        <v>8.699999999999999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41827-2022</t>
        </is>
      </c>
      <c r="B5862" s="1" t="n">
        <v>44827.94630787037</v>
      </c>
      <c r="C5862" s="1" t="n">
        <v>46045</v>
      </c>
      <c r="D5862" t="inlineStr">
        <is>
          <t>JÄMTLANDS LÄN</t>
        </is>
      </c>
      <c r="E5862" t="inlineStr">
        <is>
          <t>STRÖMSUND</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1824-2025</t>
        </is>
      </c>
      <c r="B5863" s="1" t="n">
        <v>45671.53179398148</v>
      </c>
      <c r="C5863" s="1" t="n">
        <v>46045</v>
      </c>
      <c r="D5863" t="inlineStr">
        <is>
          <t>JÄMTLANDS LÄN</t>
        </is>
      </c>
      <c r="E5863" t="inlineStr">
        <is>
          <t>STRÖMSUND</t>
        </is>
      </c>
      <c r="F5863" t="inlineStr">
        <is>
          <t>SCA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21637-2021</t>
        </is>
      </c>
      <c r="B5864" s="1" t="n">
        <v>44321</v>
      </c>
      <c r="C5864" s="1" t="n">
        <v>46045</v>
      </c>
      <c r="D5864" t="inlineStr">
        <is>
          <t>JÄMTLANDS LÄN</t>
        </is>
      </c>
      <c r="E5864" t="inlineStr">
        <is>
          <t>BRÄCKE</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65096-2023</t>
        </is>
      </c>
      <c r="B5865" s="1" t="n">
        <v>45288</v>
      </c>
      <c r="C5865" s="1" t="n">
        <v>46045</v>
      </c>
      <c r="D5865" t="inlineStr">
        <is>
          <t>JÄMTLANDS LÄN</t>
        </is>
      </c>
      <c r="E5865" t="inlineStr">
        <is>
          <t>BRÄCKE</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20256-2025</t>
        </is>
      </c>
      <c r="B5866" s="1" t="n">
        <v>45772.93064814815</v>
      </c>
      <c r="C5866" s="1" t="n">
        <v>46045</v>
      </c>
      <c r="D5866" t="inlineStr">
        <is>
          <t>JÄMTLANDS LÄN</t>
        </is>
      </c>
      <c r="E5866" t="inlineStr">
        <is>
          <t>STRÖMSUND</t>
        </is>
      </c>
      <c r="G5866" t="n">
        <v>7.9</v>
      </c>
      <c r="H5866" t="n">
        <v>0</v>
      </c>
      <c r="I5866" t="n">
        <v>0</v>
      </c>
      <c r="J5866" t="n">
        <v>0</v>
      </c>
      <c r="K5866" t="n">
        <v>0</v>
      </c>
      <c r="L5866" t="n">
        <v>0</v>
      </c>
      <c r="M5866" t="n">
        <v>0</v>
      </c>
      <c r="N5866" t="n">
        <v>0</v>
      </c>
      <c r="O5866" t="n">
        <v>0</v>
      </c>
      <c r="P5866" t="n">
        <v>0</v>
      </c>
      <c r="Q5866" t="n">
        <v>0</v>
      </c>
      <c r="R5866" s="2" t="inlineStr"/>
    </row>
    <row r="5867" ht="15" customHeight="1">
      <c r="A5867" t="inlineStr">
        <is>
          <t>A 20262-2025</t>
        </is>
      </c>
      <c r="B5867" s="1" t="n">
        <v>45773.38086805555</v>
      </c>
      <c r="C5867" s="1" t="n">
        <v>46045</v>
      </c>
      <c r="D5867" t="inlineStr">
        <is>
          <t>JÄMTLANDS LÄN</t>
        </is>
      </c>
      <c r="E5867" t="inlineStr">
        <is>
          <t>STRÖMSUND</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43760-2024</t>
        </is>
      </c>
      <c r="B5868" s="1" t="n">
        <v>45569.6909837963</v>
      </c>
      <c r="C5868" s="1" t="n">
        <v>46045</v>
      </c>
      <c r="D5868" t="inlineStr">
        <is>
          <t>JÄMTLANDS LÄN</t>
        </is>
      </c>
      <c r="E5868" t="inlineStr">
        <is>
          <t>HÄRJEDALEN</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48272-2025</t>
        </is>
      </c>
      <c r="B5869" s="1" t="n">
        <v>45933.57362268519</v>
      </c>
      <c r="C5869" s="1" t="n">
        <v>46045</v>
      </c>
      <c r="D5869" t="inlineStr">
        <is>
          <t>JÄMTLANDS LÄN</t>
        </is>
      </c>
      <c r="E5869" t="inlineStr">
        <is>
          <t>KROKOM</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48284-2025</t>
        </is>
      </c>
      <c r="B5870" s="1" t="n">
        <v>45933</v>
      </c>
      <c r="C5870" s="1" t="n">
        <v>46045</v>
      </c>
      <c r="D5870" t="inlineStr">
        <is>
          <t>JÄMTLANDS LÄN</t>
        </is>
      </c>
      <c r="E5870" t="inlineStr">
        <is>
          <t>HÄRJEDALEN</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48512-2025</t>
        </is>
      </c>
      <c r="B5871" s="1" t="n">
        <v>45936.38666666667</v>
      </c>
      <c r="C5871" s="1" t="n">
        <v>46045</v>
      </c>
      <c r="D5871" t="inlineStr">
        <is>
          <t>JÄMTLANDS LÄN</t>
        </is>
      </c>
      <c r="E5871" t="inlineStr">
        <is>
          <t>STRÖMSUND</t>
        </is>
      </c>
      <c r="F5871" t="inlineStr">
        <is>
          <t>SCA</t>
        </is>
      </c>
      <c r="G5871" t="n">
        <v>23.2</v>
      </c>
      <c r="H5871" t="n">
        <v>0</v>
      </c>
      <c r="I5871" t="n">
        <v>0</v>
      </c>
      <c r="J5871" t="n">
        <v>0</v>
      </c>
      <c r="K5871" t="n">
        <v>0</v>
      </c>
      <c r="L5871" t="n">
        <v>0</v>
      </c>
      <c r="M5871" t="n">
        <v>0</v>
      </c>
      <c r="N5871" t="n">
        <v>0</v>
      </c>
      <c r="O5871" t="n">
        <v>0</v>
      </c>
      <c r="P5871" t="n">
        <v>0</v>
      </c>
      <c r="Q5871" t="n">
        <v>0</v>
      </c>
      <c r="R5871" s="2" t="inlineStr"/>
    </row>
    <row r="5872" ht="15" customHeight="1">
      <c r="A5872" t="inlineStr">
        <is>
          <t>A 30080-2024</t>
        </is>
      </c>
      <c r="B5872" s="1" t="n">
        <v>45485</v>
      </c>
      <c r="C5872" s="1" t="n">
        <v>46045</v>
      </c>
      <c r="D5872" t="inlineStr">
        <is>
          <t>JÄMTLANDS LÄN</t>
        </is>
      </c>
      <c r="E5872" t="inlineStr">
        <is>
          <t>ÅRE</t>
        </is>
      </c>
      <c r="G5872" t="n">
        <v>24.6</v>
      </c>
      <c r="H5872" t="n">
        <v>0</v>
      </c>
      <c r="I5872" t="n">
        <v>0</v>
      </c>
      <c r="J5872" t="n">
        <v>0</v>
      </c>
      <c r="K5872" t="n">
        <v>0</v>
      </c>
      <c r="L5872" t="n">
        <v>0</v>
      </c>
      <c r="M5872" t="n">
        <v>0</v>
      </c>
      <c r="N5872" t="n">
        <v>0</v>
      </c>
      <c r="O5872" t="n">
        <v>0</v>
      </c>
      <c r="P5872" t="n">
        <v>0</v>
      </c>
      <c r="Q5872" t="n">
        <v>0</v>
      </c>
      <c r="R5872" s="2" t="inlineStr"/>
    </row>
    <row r="5873" ht="15" customHeight="1">
      <c r="A5873" t="inlineStr">
        <is>
          <t>A 40272-2022</t>
        </is>
      </c>
      <c r="B5873" s="1" t="n">
        <v>44820</v>
      </c>
      <c r="C5873" s="1" t="n">
        <v>46045</v>
      </c>
      <c r="D5873" t="inlineStr">
        <is>
          <t>JÄMTLANDS LÄN</t>
        </is>
      </c>
      <c r="E5873" t="inlineStr">
        <is>
          <t>STRÖMSUND</t>
        </is>
      </c>
      <c r="F5873" t="inlineStr">
        <is>
          <t>SCA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22297-2025</t>
        </is>
      </c>
      <c r="B5874" s="1" t="n">
        <v>45786.35219907408</v>
      </c>
      <c r="C5874" s="1" t="n">
        <v>46045</v>
      </c>
      <c r="D5874" t="inlineStr">
        <is>
          <t>JÄMTLANDS LÄN</t>
        </is>
      </c>
      <c r="E5874" t="inlineStr">
        <is>
          <t>KROKOM</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34289-2021</t>
        </is>
      </c>
      <c r="B5875" s="1" t="n">
        <v>44379.59675925926</v>
      </c>
      <c r="C5875" s="1" t="n">
        <v>46045</v>
      </c>
      <c r="D5875" t="inlineStr">
        <is>
          <t>JÄMTLANDS LÄN</t>
        </is>
      </c>
      <c r="E5875" t="inlineStr">
        <is>
          <t>KROKOM</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60629-2023</t>
        </is>
      </c>
      <c r="B5876" s="1" t="n">
        <v>45259</v>
      </c>
      <c r="C5876" s="1" t="n">
        <v>46045</v>
      </c>
      <c r="D5876" t="inlineStr">
        <is>
          <t>JÄMTLANDS LÄN</t>
        </is>
      </c>
      <c r="E5876" t="inlineStr">
        <is>
          <t>RAGUNDA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48704-2025</t>
        </is>
      </c>
      <c r="B5877" s="1" t="n">
        <v>45936.6222337963</v>
      </c>
      <c r="C5877" s="1" t="n">
        <v>46045</v>
      </c>
      <c r="D5877" t="inlineStr">
        <is>
          <t>JÄMTLANDS LÄN</t>
        </is>
      </c>
      <c r="E5877" t="inlineStr">
        <is>
          <t>BERG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48438-2025</t>
        </is>
      </c>
      <c r="B5878" s="1" t="n">
        <v>45935.4812962963</v>
      </c>
      <c r="C5878" s="1" t="n">
        <v>46045</v>
      </c>
      <c r="D5878" t="inlineStr">
        <is>
          <t>JÄMTLANDS LÄN</t>
        </is>
      </c>
      <c r="E5878" t="inlineStr">
        <is>
          <t>KROKOM</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48742-2025</t>
        </is>
      </c>
      <c r="B5879" s="1" t="n">
        <v>45936.67810185185</v>
      </c>
      <c r="C5879" s="1" t="n">
        <v>46045</v>
      </c>
      <c r="D5879" t="inlineStr">
        <is>
          <t>JÄMTLANDS LÄN</t>
        </is>
      </c>
      <c r="E5879" t="inlineStr">
        <is>
          <t>RAGUNDA</t>
        </is>
      </c>
      <c r="F5879" t="inlineStr">
        <is>
          <t>SCA</t>
        </is>
      </c>
      <c r="G5879" t="n">
        <v>8.9</v>
      </c>
      <c r="H5879" t="n">
        <v>0</v>
      </c>
      <c r="I5879" t="n">
        <v>0</v>
      </c>
      <c r="J5879" t="n">
        <v>0</v>
      </c>
      <c r="K5879" t="n">
        <v>0</v>
      </c>
      <c r="L5879" t="n">
        <v>0</v>
      </c>
      <c r="M5879" t="n">
        <v>0</v>
      </c>
      <c r="N5879" t="n">
        <v>0</v>
      </c>
      <c r="O5879" t="n">
        <v>0</v>
      </c>
      <c r="P5879" t="n">
        <v>0</v>
      </c>
      <c r="Q5879" t="n">
        <v>0</v>
      </c>
      <c r="R5879" s="2" t="inlineStr"/>
    </row>
    <row r="5880" ht="15" customHeight="1">
      <c r="A5880" t="inlineStr">
        <is>
          <t>A 54883-2023</t>
        </is>
      </c>
      <c r="B5880" s="1" t="n">
        <v>45236.62300925926</v>
      </c>
      <c r="C5880" s="1" t="n">
        <v>46045</v>
      </c>
      <c r="D5880" t="inlineStr">
        <is>
          <t>JÄMTLANDS LÄN</t>
        </is>
      </c>
      <c r="E5880" t="inlineStr">
        <is>
          <t>ÖSTERSUND</t>
        </is>
      </c>
      <c r="F5880" t="inlineStr">
        <is>
          <t>Övriga Aktiebolag</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22180-2025</t>
        </is>
      </c>
      <c r="B5881" s="1" t="n">
        <v>45785</v>
      </c>
      <c r="C5881" s="1" t="n">
        <v>46045</v>
      </c>
      <c r="D5881" t="inlineStr">
        <is>
          <t>JÄMTLANDS LÄN</t>
        </is>
      </c>
      <c r="E5881" t="inlineStr">
        <is>
          <t>BERG</t>
        </is>
      </c>
      <c r="F5881" t="inlineStr">
        <is>
          <t>SCA</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22070-2025</t>
        </is>
      </c>
      <c r="B5882" s="1" t="n">
        <v>45785.40671296296</v>
      </c>
      <c r="C5882" s="1" t="n">
        <v>46045</v>
      </c>
      <c r="D5882" t="inlineStr">
        <is>
          <t>JÄMTLANDS LÄN</t>
        </is>
      </c>
      <c r="E5882" t="inlineStr">
        <is>
          <t>STRÖMSUND</t>
        </is>
      </c>
      <c r="F5882" t="inlineStr">
        <is>
          <t>SCA</t>
        </is>
      </c>
      <c r="G5882" t="n">
        <v>22.7</v>
      </c>
      <c r="H5882" t="n">
        <v>0</v>
      </c>
      <c r="I5882" t="n">
        <v>0</v>
      </c>
      <c r="J5882" t="n">
        <v>0</v>
      </c>
      <c r="K5882" t="n">
        <v>0</v>
      </c>
      <c r="L5882" t="n">
        <v>0</v>
      </c>
      <c r="M5882" t="n">
        <v>0</v>
      </c>
      <c r="N5882" t="n">
        <v>0</v>
      </c>
      <c r="O5882" t="n">
        <v>0</v>
      </c>
      <c r="P5882" t="n">
        <v>0</v>
      </c>
      <c r="Q5882" t="n">
        <v>0</v>
      </c>
      <c r="R5882" s="2" t="inlineStr"/>
    </row>
    <row r="5883" ht="15" customHeight="1">
      <c r="A5883" t="inlineStr">
        <is>
          <t>A 52023-2022</t>
        </is>
      </c>
      <c r="B5883" s="1" t="n">
        <v>44872.95675925926</v>
      </c>
      <c r="C5883" s="1" t="n">
        <v>46045</v>
      </c>
      <c r="D5883" t="inlineStr">
        <is>
          <t>JÄMTLANDS LÄN</t>
        </is>
      </c>
      <c r="E5883" t="inlineStr">
        <is>
          <t>BRÄCKE</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48513-2025</t>
        </is>
      </c>
      <c r="B5884" s="1" t="n">
        <v>45936.38680555556</v>
      </c>
      <c r="C5884" s="1" t="n">
        <v>46045</v>
      </c>
      <c r="D5884" t="inlineStr">
        <is>
          <t>JÄMTLANDS LÄN</t>
        </is>
      </c>
      <c r="E5884" t="inlineStr">
        <is>
          <t>STRÖMSUND</t>
        </is>
      </c>
      <c r="F5884" t="inlineStr">
        <is>
          <t>SCA</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22239-2025</t>
        </is>
      </c>
      <c r="B5885" s="1" t="n">
        <v>45785.67766203704</v>
      </c>
      <c r="C5885" s="1" t="n">
        <v>46045</v>
      </c>
      <c r="D5885" t="inlineStr">
        <is>
          <t>JÄMTLANDS LÄN</t>
        </is>
      </c>
      <c r="E5885" t="inlineStr">
        <is>
          <t>STRÖMSUND</t>
        </is>
      </c>
      <c r="F5885" t="inlineStr">
        <is>
          <t>SCA</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26959-2022</t>
        </is>
      </c>
      <c r="B5886" s="1" t="n">
        <v>44740.66048611111</v>
      </c>
      <c r="C5886" s="1" t="n">
        <v>46045</v>
      </c>
      <c r="D5886" t="inlineStr">
        <is>
          <t>JÄMTLANDS LÄN</t>
        </is>
      </c>
      <c r="E5886" t="inlineStr">
        <is>
          <t>BERG</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40970-2024</t>
        </is>
      </c>
      <c r="B5887" s="1" t="n">
        <v>45558.67643518518</v>
      </c>
      <c r="C5887" s="1" t="n">
        <v>46045</v>
      </c>
      <c r="D5887" t="inlineStr">
        <is>
          <t>JÄMTLANDS LÄN</t>
        </is>
      </c>
      <c r="E5887" t="inlineStr">
        <is>
          <t>STRÖMSUND</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6399-2021</t>
        </is>
      </c>
      <c r="B5888" s="1" t="n">
        <v>44232</v>
      </c>
      <c r="C5888" s="1" t="n">
        <v>46045</v>
      </c>
      <c r="D5888" t="inlineStr">
        <is>
          <t>JÄMTLANDS LÄN</t>
        </is>
      </c>
      <c r="E5888" t="inlineStr">
        <is>
          <t>BRÄCKE</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48190-2025</t>
        </is>
      </c>
      <c r="B5889" s="1" t="n">
        <v>45933.46930555555</v>
      </c>
      <c r="C5889" s="1" t="n">
        <v>46045</v>
      </c>
      <c r="D5889" t="inlineStr">
        <is>
          <t>JÄMTLANDS LÄN</t>
        </is>
      </c>
      <c r="E5889" t="inlineStr">
        <is>
          <t>BERG</t>
        </is>
      </c>
      <c r="F5889" t="inlineStr">
        <is>
          <t>SCA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25379-2024</t>
        </is>
      </c>
      <c r="B5890" s="1" t="n">
        <v>45462</v>
      </c>
      <c r="C5890" s="1" t="n">
        <v>46045</v>
      </c>
      <c r="D5890" t="inlineStr">
        <is>
          <t>JÄMTLANDS LÄN</t>
        </is>
      </c>
      <c r="E5890" t="inlineStr">
        <is>
          <t>ÅRE</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10323-2022</t>
        </is>
      </c>
      <c r="B5891" s="1" t="n">
        <v>44622.94203703704</v>
      </c>
      <c r="C5891" s="1" t="n">
        <v>46045</v>
      </c>
      <c r="D5891" t="inlineStr">
        <is>
          <t>JÄMTLANDS LÄN</t>
        </is>
      </c>
      <c r="E5891" t="inlineStr">
        <is>
          <t>STRÖMSUND</t>
        </is>
      </c>
      <c r="F5891" t="inlineStr">
        <is>
          <t>SCA</t>
        </is>
      </c>
      <c r="G5891" t="n">
        <v>6.2</v>
      </c>
      <c r="H5891" t="n">
        <v>0</v>
      </c>
      <c r="I5891" t="n">
        <v>0</v>
      </c>
      <c r="J5891" t="n">
        <v>0</v>
      </c>
      <c r="K5891" t="n">
        <v>0</v>
      </c>
      <c r="L5891" t="n">
        <v>0</v>
      </c>
      <c r="M5891" t="n">
        <v>0</v>
      </c>
      <c r="N5891" t="n">
        <v>0</v>
      </c>
      <c r="O5891" t="n">
        <v>0</v>
      </c>
      <c r="P5891" t="n">
        <v>0</v>
      </c>
      <c r="Q5891" t="n">
        <v>0</v>
      </c>
      <c r="R5891" s="2" t="inlineStr"/>
      <c r="U5891">
        <f>HYPERLINK("https://klasma.github.io/Logging_2313/knärot/A 10323-2022 karta knärot.png", "A 10323-2022")</f>
        <v/>
      </c>
      <c r="V5891">
        <f>HYPERLINK("https://klasma.github.io/Logging_2313/klagomål/A 10323-2022 FSC-klagomål.docx", "A 10323-2022")</f>
        <v/>
      </c>
      <c r="W5891">
        <f>HYPERLINK("https://klasma.github.io/Logging_2313/klagomålsmail/A 10323-2022 FSC-klagomål mail.docx", "A 10323-2022")</f>
        <v/>
      </c>
      <c r="X5891">
        <f>HYPERLINK("https://klasma.github.io/Logging_2313/tillsyn/A 10323-2022 tillsynsbegäran.docx", "A 10323-2022")</f>
        <v/>
      </c>
      <c r="Y5891">
        <f>HYPERLINK("https://klasma.github.io/Logging_2313/tillsynsmail/A 10323-2022 tillsynsbegäran mail.docx", "A 10323-2022")</f>
        <v/>
      </c>
    </row>
    <row r="5892" ht="15" customHeight="1">
      <c r="A5892" t="inlineStr">
        <is>
          <t>A 3122-2025</t>
        </is>
      </c>
      <c r="B5892" s="1" t="n">
        <v>45678</v>
      </c>
      <c r="C5892" s="1" t="n">
        <v>46045</v>
      </c>
      <c r="D5892" t="inlineStr">
        <is>
          <t>JÄMTLANDS LÄN</t>
        </is>
      </c>
      <c r="E5892" t="inlineStr">
        <is>
          <t>ÖSTERSUND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3697-2025</t>
        </is>
      </c>
      <c r="B5893" s="1" t="n">
        <v>45681.46973379629</v>
      </c>
      <c r="C5893" s="1" t="n">
        <v>46045</v>
      </c>
      <c r="D5893" t="inlineStr">
        <is>
          <t>JÄMTLANDS LÄN</t>
        </is>
      </c>
      <c r="E5893" t="inlineStr">
        <is>
          <t>BRÄCKE</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3173-2025</t>
        </is>
      </c>
      <c r="B5894" s="1" t="n">
        <v>45679.38309027778</v>
      </c>
      <c r="C5894" s="1" t="n">
        <v>46045</v>
      </c>
      <c r="D5894" t="inlineStr">
        <is>
          <t>JÄMTLANDS LÄN</t>
        </is>
      </c>
      <c r="E5894" t="inlineStr">
        <is>
          <t>BERG</t>
        </is>
      </c>
      <c r="G5894" t="n">
        <v>8.9</v>
      </c>
      <c r="H5894" t="n">
        <v>0</v>
      </c>
      <c r="I5894" t="n">
        <v>0</v>
      </c>
      <c r="J5894" t="n">
        <v>0</v>
      </c>
      <c r="K5894" t="n">
        <v>0</v>
      </c>
      <c r="L5894" t="n">
        <v>0</v>
      </c>
      <c r="M5894" t="n">
        <v>0</v>
      </c>
      <c r="N5894" t="n">
        <v>0</v>
      </c>
      <c r="O5894" t="n">
        <v>0</v>
      </c>
      <c r="P5894" t="n">
        <v>0</v>
      </c>
      <c r="Q5894" t="n">
        <v>0</v>
      </c>
      <c r="R5894" s="2" t="inlineStr"/>
    </row>
    <row r="5895" ht="15" customHeight="1">
      <c r="A5895" t="inlineStr">
        <is>
          <t>A 44519-2021</t>
        </is>
      </c>
      <c r="B5895" s="1" t="n">
        <v>44435</v>
      </c>
      <c r="C5895" s="1" t="n">
        <v>46045</v>
      </c>
      <c r="D5895" t="inlineStr">
        <is>
          <t>JÄMTLANDS LÄN</t>
        </is>
      </c>
      <c r="E5895" t="inlineStr">
        <is>
          <t>HÄRJEDALEN</t>
        </is>
      </c>
      <c r="F5895" t="inlineStr">
        <is>
          <t>Kyrkan</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3770-2025</t>
        </is>
      </c>
      <c r="B5896" s="1" t="n">
        <v>45681.6050925926</v>
      </c>
      <c r="C5896" s="1" t="n">
        <v>46045</v>
      </c>
      <c r="D5896" t="inlineStr">
        <is>
          <t>JÄMTLANDS LÄN</t>
        </is>
      </c>
      <c r="E5896" t="inlineStr">
        <is>
          <t>RAGUNDA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48177-2025</t>
        </is>
      </c>
      <c r="B5897" s="1" t="n">
        <v>45933.44846064815</v>
      </c>
      <c r="C5897" s="1" t="n">
        <v>46045</v>
      </c>
      <c r="D5897" t="inlineStr">
        <is>
          <t>JÄMTLANDS LÄN</t>
        </is>
      </c>
      <c r="E5897" t="inlineStr">
        <is>
          <t>BRÄCKE</t>
        </is>
      </c>
      <c r="F5897" t="inlineStr">
        <is>
          <t>SCA</t>
        </is>
      </c>
      <c r="G5897" t="n">
        <v>13.9</v>
      </c>
      <c r="H5897" t="n">
        <v>0</v>
      </c>
      <c r="I5897" t="n">
        <v>0</v>
      </c>
      <c r="J5897" t="n">
        <v>0</v>
      </c>
      <c r="K5897" t="n">
        <v>0</v>
      </c>
      <c r="L5897" t="n">
        <v>0</v>
      </c>
      <c r="M5897" t="n">
        <v>0</v>
      </c>
      <c r="N5897" t="n">
        <v>0</v>
      </c>
      <c r="O5897" t="n">
        <v>0</v>
      </c>
      <c r="P5897" t="n">
        <v>0</v>
      </c>
      <c r="Q5897" t="n">
        <v>0</v>
      </c>
      <c r="R5897" s="2" t="inlineStr"/>
    </row>
    <row r="5898" ht="15" customHeight="1">
      <c r="A5898" t="inlineStr">
        <is>
          <t>A 3862-2025</t>
        </is>
      </c>
      <c r="B5898" s="1" t="n">
        <v>45684.31023148148</v>
      </c>
      <c r="C5898" s="1" t="n">
        <v>46045</v>
      </c>
      <c r="D5898" t="inlineStr">
        <is>
          <t>JÄMTLANDS LÄN</t>
        </is>
      </c>
      <c r="E5898" t="inlineStr">
        <is>
          <t>BRÄCKE</t>
        </is>
      </c>
      <c r="G5898" t="n">
        <v>7</v>
      </c>
      <c r="H5898" t="n">
        <v>0</v>
      </c>
      <c r="I5898" t="n">
        <v>0</v>
      </c>
      <c r="J5898" t="n">
        <v>0</v>
      </c>
      <c r="K5898" t="n">
        <v>0</v>
      </c>
      <c r="L5898" t="n">
        <v>0</v>
      </c>
      <c r="M5898" t="n">
        <v>0</v>
      </c>
      <c r="N5898" t="n">
        <v>0</v>
      </c>
      <c r="O5898" t="n">
        <v>0</v>
      </c>
      <c r="P5898" t="n">
        <v>0</v>
      </c>
      <c r="Q5898" t="n">
        <v>0</v>
      </c>
      <c r="R5898" s="2" t="inlineStr"/>
    </row>
    <row r="5899" ht="15" customHeight="1">
      <c r="A5899" t="inlineStr">
        <is>
          <t>A 22478-2025</t>
        </is>
      </c>
      <c r="B5899" s="1" t="n">
        <v>45786.6349537037</v>
      </c>
      <c r="C5899" s="1" t="n">
        <v>46045</v>
      </c>
      <c r="D5899" t="inlineStr">
        <is>
          <t>JÄMTLANDS LÄN</t>
        </is>
      </c>
      <c r="E5899" t="inlineStr">
        <is>
          <t>BERG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48257-2025</t>
        </is>
      </c>
      <c r="B5900" s="1" t="n">
        <v>45933.55483796296</v>
      </c>
      <c r="C5900" s="1" t="n">
        <v>46045</v>
      </c>
      <c r="D5900" t="inlineStr">
        <is>
          <t>JÄMTLANDS LÄN</t>
        </is>
      </c>
      <c r="E5900" t="inlineStr">
        <is>
          <t>KROKOM</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22502-2025</t>
        </is>
      </c>
      <c r="B5901" s="1" t="n">
        <v>45786.66032407407</v>
      </c>
      <c r="C5901" s="1" t="n">
        <v>46045</v>
      </c>
      <c r="D5901" t="inlineStr">
        <is>
          <t>JÄMTLANDS LÄN</t>
        </is>
      </c>
      <c r="E5901" t="inlineStr">
        <is>
          <t>HÄRJEDALEN</t>
        </is>
      </c>
      <c r="F5901" t="inlineStr">
        <is>
          <t>Sveaskog</t>
        </is>
      </c>
      <c r="G5901" t="n">
        <v>20.1</v>
      </c>
      <c r="H5901" t="n">
        <v>0</v>
      </c>
      <c r="I5901" t="n">
        <v>0</v>
      </c>
      <c r="J5901" t="n">
        <v>0</v>
      </c>
      <c r="K5901" t="n">
        <v>0</v>
      </c>
      <c r="L5901" t="n">
        <v>0</v>
      </c>
      <c r="M5901" t="n">
        <v>0</v>
      </c>
      <c r="N5901" t="n">
        <v>0</v>
      </c>
      <c r="O5901" t="n">
        <v>0</v>
      </c>
      <c r="P5901" t="n">
        <v>0</v>
      </c>
      <c r="Q5901" t="n">
        <v>0</v>
      </c>
      <c r="R5901" s="2" t="inlineStr"/>
    </row>
    <row r="5902" ht="15" customHeight="1">
      <c r="A5902" t="inlineStr">
        <is>
          <t>A 22509-2025</t>
        </is>
      </c>
      <c r="B5902" s="1" t="n">
        <v>45786.66853009259</v>
      </c>
      <c r="C5902" s="1" t="n">
        <v>46045</v>
      </c>
      <c r="D5902" t="inlineStr">
        <is>
          <t>JÄMTLANDS LÄN</t>
        </is>
      </c>
      <c r="E5902" t="inlineStr">
        <is>
          <t>HÄRJEDALEN</t>
        </is>
      </c>
      <c r="F5902" t="inlineStr">
        <is>
          <t>Sveaskog</t>
        </is>
      </c>
      <c r="G5902" t="n">
        <v>9.4</v>
      </c>
      <c r="H5902" t="n">
        <v>0</v>
      </c>
      <c r="I5902" t="n">
        <v>0</v>
      </c>
      <c r="J5902" t="n">
        <v>0</v>
      </c>
      <c r="K5902" t="n">
        <v>0</v>
      </c>
      <c r="L5902" t="n">
        <v>0</v>
      </c>
      <c r="M5902" t="n">
        <v>0</v>
      </c>
      <c r="N5902" t="n">
        <v>0</v>
      </c>
      <c r="O5902" t="n">
        <v>0</v>
      </c>
      <c r="P5902" t="n">
        <v>0</v>
      </c>
      <c r="Q5902" t="n">
        <v>0</v>
      </c>
      <c r="R5902" s="2" t="inlineStr"/>
    </row>
    <row r="5903" ht="15" customHeight="1">
      <c r="A5903" t="inlineStr">
        <is>
          <t>A 56895-2021</t>
        </is>
      </c>
      <c r="B5903" s="1" t="n">
        <v>44481.92086805555</v>
      </c>
      <c r="C5903" s="1" t="n">
        <v>46045</v>
      </c>
      <c r="D5903" t="inlineStr">
        <is>
          <t>JÄMTLANDS LÄN</t>
        </is>
      </c>
      <c r="E5903" t="inlineStr">
        <is>
          <t>BRÄCKE</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57889-2024</t>
        </is>
      </c>
      <c r="B5904" s="1" t="n">
        <v>45631.46665509259</v>
      </c>
      <c r="C5904" s="1" t="n">
        <v>46045</v>
      </c>
      <c r="D5904" t="inlineStr">
        <is>
          <t>JÄMTLANDS LÄN</t>
        </is>
      </c>
      <c r="E5904" t="inlineStr">
        <is>
          <t>RAGUNDA</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59461-2022</t>
        </is>
      </c>
      <c r="B5905" s="1" t="n">
        <v>44907</v>
      </c>
      <c r="C5905" s="1" t="n">
        <v>46045</v>
      </c>
      <c r="D5905" t="inlineStr">
        <is>
          <t>JÄMTLANDS LÄN</t>
        </is>
      </c>
      <c r="E5905" t="inlineStr">
        <is>
          <t>STRÖMSUND</t>
        </is>
      </c>
      <c r="G5905" t="n">
        <v>10.7</v>
      </c>
      <c r="H5905" t="n">
        <v>0</v>
      </c>
      <c r="I5905" t="n">
        <v>0</v>
      </c>
      <c r="J5905" t="n">
        <v>0</v>
      </c>
      <c r="K5905" t="n">
        <v>0</v>
      </c>
      <c r="L5905" t="n">
        <v>0</v>
      </c>
      <c r="M5905" t="n">
        <v>0</v>
      </c>
      <c r="N5905" t="n">
        <v>0</v>
      </c>
      <c r="O5905" t="n">
        <v>0</v>
      </c>
      <c r="P5905" t="n">
        <v>0</v>
      </c>
      <c r="Q5905" t="n">
        <v>0</v>
      </c>
      <c r="R5905" s="2" t="inlineStr"/>
    </row>
    <row r="5906" ht="15" customHeight="1">
      <c r="A5906" t="inlineStr">
        <is>
          <t>A 44997-2021</t>
        </is>
      </c>
      <c r="B5906" s="1" t="n">
        <v>44438</v>
      </c>
      <c r="C5906" s="1" t="n">
        <v>46045</v>
      </c>
      <c r="D5906" t="inlineStr">
        <is>
          <t>JÄMTLANDS LÄN</t>
        </is>
      </c>
      <c r="E5906" t="inlineStr">
        <is>
          <t>BERG</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48529-2025</t>
        </is>
      </c>
      <c r="B5907" s="1" t="n">
        <v>45936.40775462963</v>
      </c>
      <c r="C5907" s="1" t="n">
        <v>46045</v>
      </c>
      <c r="D5907" t="inlineStr">
        <is>
          <t>JÄMTLANDS LÄN</t>
        </is>
      </c>
      <c r="E5907" t="inlineStr">
        <is>
          <t>STRÖMSUND</t>
        </is>
      </c>
      <c r="F5907" t="inlineStr">
        <is>
          <t>SCA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48562-2025</t>
        </is>
      </c>
      <c r="B5908" s="1" t="n">
        <v>45936.43636574074</v>
      </c>
      <c r="C5908" s="1" t="n">
        <v>46045</v>
      </c>
      <c r="D5908" t="inlineStr">
        <is>
          <t>JÄMTLANDS LÄN</t>
        </is>
      </c>
      <c r="E5908" t="inlineStr">
        <is>
          <t>BRÄCKE</t>
        </is>
      </c>
      <c r="F5908" t="inlineStr">
        <is>
          <t>Övriga Aktiebolag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48571-2025</t>
        </is>
      </c>
      <c r="B5909" s="1" t="n">
        <v>45936.44934027778</v>
      </c>
      <c r="C5909" s="1" t="n">
        <v>46045</v>
      </c>
      <c r="D5909" t="inlineStr">
        <is>
          <t>JÄMTLANDS LÄN</t>
        </is>
      </c>
      <c r="E5909" t="inlineStr">
        <is>
          <t>ÅRE</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22388-2025</t>
        </is>
      </c>
      <c r="B5910" s="1" t="n">
        <v>45786.51077546296</v>
      </c>
      <c r="C5910" s="1" t="n">
        <v>46045</v>
      </c>
      <c r="D5910" t="inlineStr">
        <is>
          <t>JÄMTLANDS LÄN</t>
        </is>
      </c>
      <c r="E5910" t="inlineStr">
        <is>
          <t>RAGUNDA</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48639-2025</t>
        </is>
      </c>
      <c r="B5911" s="1" t="n">
        <v>45936.53175925926</v>
      </c>
      <c r="C5911" s="1" t="n">
        <v>46045</v>
      </c>
      <c r="D5911" t="inlineStr">
        <is>
          <t>JÄMTLANDS LÄN</t>
        </is>
      </c>
      <c r="E5911" t="inlineStr">
        <is>
          <t>STRÖMSUND</t>
        </is>
      </c>
      <c r="F5911" t="inlineStr">
        <is>
          <t>SCA</t>
        </is>
      </c>
      <c r="G5911" t="n">
        <v>14.4</v>
      </c>
      <c r="H5911" t="n">
        <v>0</v>
      </c>
      <c r="I5911" t="n">
        <v>0</v>
      </c>
      <c r="J5911" t="n">
        <v>0</v>
      </c>
      <c r="K5911" t="n">
        <v>0</v>
      </c>
      <c r="L5911" t="n">
        <v>0</v>
      </c>
      <c r="M5911" t="n">
        <v>0</v>
      </c>
      <c r="N5911" t="n">
        <v>0</v>
      </c>
      <c r="O5911" t="n">
        <v>0</v>
      </c>
      <c r="P5911" t="n">
        <v>0</v>
      </c>
      <c r="Q5911" t="n">
        <v>0</v>
      </c>
      <c r="R5911" s="2" t="inlineStr"/>
    </row>
    <row r="5912" ht="15" customHeight="1">
      <c r="A5912" t="inlineStr">
        <is>
          <t>A 22122-2025</t>
        </is>
      </c>
      <c r="B5912" s="1" t="n">
        <v>45785.52112268518</v>
      </c>
      <c r="C5912" s="1" t="n">
        <v>46045</v>
      </c>
      <c r="D5912" t="inlineStr">
        <is>
          <t>JÄMTLANDS LÄN</t>
        </is>
      </c>
      <c r="E5912" t="inlineStr">
        <is>
          <t>KROKOM</t>
        </is>
      </c>
      <c r="G5912" t="n">
        <v>9.6</v>
      </c>
      <c r="H5912" t="n">
        <v>0</v>
      </c>
      <c r="I5912" t="n">
        <v>0</v>
      </c>
      <c r="J5912" t="n">
        <v>0</v>
      </c>
      <c r="K5912" t="n">
        <v>0</v>
      </c>
      <c r="L5912" t="n">
        <v>0</v>
      </c>
      <c r="M5912" t="n">
        <v>0</v>
      </c>
      <c r="N5912" t="n">
        <v>0</v>
      </c>
      <c r="O5912" t="n">
        <v>0</v>
      </c>
      <c r="P5912" t="n">
        <v>0</v>
      </c>
      <c r="Q5912" t="n">
        <v>0</v>
      </c>
      <c r="R5912" s="2" t="inlineStr"/>
    </row>
    <row r="5913" ht="15" customHeight="1">
      <c r="A5913" t="inlineStr">
        <is>
          <t>A 48124-2025</t>
        </is>
      </c>
      <c r="B5913" s="1" t="n">
        <v>45933.36506944444</v>
      </c>
      <c r="C5913" s="1" t="n">
        <v>46045</v>
      </c>
      <c r="D5913" t="inlineStr">
        <is>
          <t>JÄMTLANDS LÄN</t>
        </is>
      </c>
      <c r="E5913" t="inlineStr">
        <is>
          <t>STRÖMSUND</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48139-2025</t>
        </is>
      </c>
      <c r="B5914" s="1" t="n">
        <v>45933.38321759259</v>
      </c>
      <c r="C5914" s="1" t="n">
        <v>46045</v>
      </c>
      <c r="D5914" t="inlineStr">
        <is>
          <t>JÄMTLANDS LÄN</t>
        </is>
      </c>
      <c r="E5914" t="inlineStr">
        <is>
          <t>STRÖMSUND</t>
        </is>
      </c>
      <c r="F5914" t="inlineStr">
        <is>
          <t>SCA</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48144-2025</t>
        </is>
      </c>
      <c r="B5915" s="1" t="n">
        <v>45933.38697916667</v>
      </c>
      <c r="C5915" s="1" t="n">
        <v>46045</v>
      </c>
      <c r="D5915" t="inlineStr">
        <is>
          <t>JÄMTLANDS LÄN</t>
        </is>
      </c>
      <c r="E5915" t="inlineStr">
        <is>
          <t>STRÖMSUND</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48508-2025</t>
        </is>
      </c>
      <c r="B5916" s="1" t="n">
        <v>45936.3859837963</v>
      </c>
      <c r="C5916" s="1" t="n">
        <v>46045</v>
      </c>
      <c r="D5916" t="inlineStr">
        <is>
          <t>JÄMTLANDS LÄN</t>
        </is>
      </c>
      <c r="E5916" t="inlineStr">
        <is>
          <t>BERG</t>
        </is>
      </c>
      <c r="F5916" t="inlineStr">
        <is>
          <t>SCA</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48255-2025</t>
        </is>
      </c>
      <c r="B5917" s="1" t="n">
        <v>45933.55407407408</v>
      </c>
      <c r="C5917" s="1" t="n">
        <v>46045</v>
      </c>
      <c r="D5917" t="inlineStr">
        <is>
          <t>JÄMTLANDS LÄN</t>
        </is>
      </c>
      <c r="E5917" t="inlineStr">
        <is>
          <t>KROKOM</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22132-2025</t>
        </is>
      </c>
      <c r="B5918" s="1" t="n">
        <v>45785.5403125</v>
      </c>
      <c r="C5918" s="1" t="n">
        <v>46045</v>
      </c>
      <c r="D5918" t="inlineStr">
        <is>
          <t>JÄMTLANDS LÄN</t>
        </is>
      </c>
      <c r="E5918" t="inlineStr">
        <is>
          <t>KROKOM</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4491-2024</t>
        </is>
      </c>
      <c r="B5919" s="1" t="n">
        <v>45327</v>
      </c>
      <c r="C5919" s="1" t="n">
        <v>46045</v>
      </c>
      <c r="D5919" t="inlineStr">
        <is>
          <t>JÄMTLANDS LÄN</t>
        </is>
      </c>
      <c r="E5919" t="inlineStr">
        <is>
          <t>BRÄCKE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48469-2025</t>
        </is>
      </c>
      <c r="B5920" s="1" t="n">
        <v>45936.34489583333</v>
      </c>
      <c r="C5920" s="1" t="n">
        <v>46045</v>
      </c>
      <c r="D5920" t="inlineStr">
        <is>
          <t>JÄMTLANDS LÄN</t>
        </is>
      </c>
      <c r="E5920" t="inlineStr">
        <is>
          <t>KROKOM</t>
        </is>
      </c>
      <c r="F5920" t="inlineStr">
        <is>
          <t>SCA</t>
        </is>
      </c>
      <c r="G5920" t="n">
        <v>15.2</v>
      </c>
      <c r="H5920" t="n">
        <v>0</v>
      </c>
      <c r="I5920" t="n">
        <v>0</v>
      </c>
      <c r="J5920" t="n">
        <v>0</v>
      </c>
      <c r="K5920" t="n">
        <v>0</v>
      </c>
      <c r="L5920" t="n">
        <v>0</v>
      </c>
      <c r="M5920" t="n">
        <v>0</v>
      </c>
      <c r="N5920" t="n">
        <v>0</v>
      </c>
      <c r="O5920" t="n">
        <v>0</v>
      </c>
      <c r="P5920" t="n">
        <v>0</v>
      </c>
      <c r="Q5920" t="n">
        <v>0</v>
      </c>
      <c r="R5920" s="2" t="inlineStr"/>
    </row>
    <row r="5921" ht="15" customHeight="1">
      <c r="A5921" t="inlineStr">
        <is>
          <t>A 48470-2025</t>
        </is>
      </c>
      <c r="B5921" s="1" t="n">
        <v>45936.34504629629</v>
      </c>
      <c r="C5921" s="1" t="n">
        <v>46045</v>
      </c>
      <c r="D5921" t="inlineStr">
        <is>
          <t>JÄMTLANDS LÄN</t>
        </is>
      </c>
      <c r="E5921" t="inlineStr">
        <is>
          <t>KROKOM</t>
        </is>
      </c>
      <c r="F5921" t="inlineStr">
        <is>
          <t>SCA</t>
        </is>
      </c>
      <c r="G5921" t="n">
        <v>8.300000000000001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23467-2024</t>
        </is>
      </c>
      <c r="B5922" s="1" t="n">
        <v>45453.6619212963</v>
      </c>
      <c r="C5922" s="1" t="n">
        <v>46045</v>
      </c>
      <c r="D5922" t="inlineStr">
        <is>
          <t>JÄMTLANDS LÄN</t>
        </is>
      </c>
      <c r="E5922" t="inlineStr">
        <is>
          <t>HÄRJEDALEN</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48323-2025</t>
        </is>
      </c>
      <c r="B5923" s="1" t="n">
        <v>45933.62793981482</v>
      </c>
      <c r="C5923" s="1" t="n">
        <v>46045</v>
      </c>
      <c r="D5923" t="inlineStr">
        <is>
          <t>JÄMTLANDS LÄN</t>
        </is>
      </c>
      <c r="E5923" t="inlineStr">
        <is>
          <t>KROKOM</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61481-2022</t>
        </is>
      </c>
      <c r="B5924" s="1" t="n">
        <v>44910</v>
      </c>
      <c r="C5924" s="1" t="n">
        <v>46045</v>
      </c>
      <c r="D5924" t="inlineStr">
        <is>
          <t>JÄMTLANDS LÄN</t>
        </is>
      </c>
      <c r="E5924" t="inlineStr">
        <is>
          <t>ÅRE</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62222-2022</t>
        </is>
      </c>
      <c r="B5925" s="1" t="n">
        <v>44922</v>
      </c>
      <c r="C5925" s="1" t="n">
        <v>46045</v>
      </c>
      <c r="D5925" t="inlineStr">
        <is>
          <t>JÄMTLANDS LÄN</t>
        </is>
      </c>
      <c r="E5925" t="inlineStr">
        <is>
          <t>ÖSTERSUND</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48468-2025</t>
        </is>
      </c>
      <c r="B5926" s="1" t="n">
        <v>45936.34469907408</v>
      </c>
      <c r="C5926" s="1" t="n">
        <v>46045</v>
      </c>
      <c r="D5926" t="inlineStr">
        <is>
          <t>JÄMTLANDS LÄN</t>
        </is>
      </c>
      <c r="E5926" t="inlineStr">
        <is>
          <t>KROKOM</t>
        </is>
      </c>
      <c r="F5926" t="inlineStr">
        <is>
          <t>SCA</t>
        </is>
      </c>
      <c r="G5926" t="n">
        <v>14.3</v>
      </c>
      <c r="H5926" t="n">
        <v>0</v>
      </c>
      <c r="I5926" t="n">
        <v>0</v>
      </c>
      <c r="J5926" t="n">
        <v>0</v>
      </c>
      <c r="K5926" t="n">
        <v>0</v>
      </c>
      <c r="L5926" t="n">
        <v>0</v>
      </c>
      <c r="M5926" t="n">
        <v>0</v>
      </c>
      <c r="N5926" t="n">
        <v>0</v>
      </c>
      <c r="O5926" t="n">
        <v>0</v>
      </c>
      <c r="P5926" t="n">
        <v>0</v>
      </c>
      <c r="Q5926" t="n">
        <v>0</v>
      </c>
      <c r="R5926" s="2" t="inlineStr"/>
    </row>
    <row r="5927" ht="15" customHeight="1">
      <c r="A5927" t="inlineStr">
        <is>
          <t>A 22980-2024</t>
        </is>
      </c>
      <c r="B5927" s="1" t="n">
        <v>45449.90008101852</v>
      </c>
      <c r="C5927" s="1" t="n">
        <v>46045</v>
      </c>
      <c r="D5927" t="inlineStr">
        <is>
          <t>JÄMTLANDS LÄN</t>
        </is>
      </c>
      <c r="E5927" t="inlineStr">
        <is>
          <t>BRÄCKE</t>
        </is>
      </c>
      <c r="G5927" t="n">
        <v>8.800000000000001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22136-2025</t>
        </is>
      </c>
      <c r="B5928" s="1" t="n">
        <v>45785.54635416667</v>
      </c>
      <c r="C5928" s="1" t="n">
        <v>46045</v>
      </c>
      <c r="D5928" t="inlineStr">
        <is>
          <t>JÄMTLANDS LÄN</t>
        </is>
      </c>
      <c r="E5928" t="inlineStr">
        <is>
          <t>KROKOM</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22504-2025</t>
        </is>
      </c>
      <c r="B5929" s="1" t="n">
        <v>45786.66209490741</v>
      </c>
      <c r="C5929" s="1" t="n">
        <v>46045</v>
      </c>
      <c r="D5929" t="inlineStr">
        <is>
          <t>JÄMTLANDS LÄN</t>
        </is>
      </c>
      <c r="E5929" t="inlineStr">
        <is>
          <t>HÄRJEDALEN</t>
        </is>
      </c>
      <c r="F5929" t="inlineStr">
        <is>
          <t>Sveaskog</t>
        </is>
      </c>
      <c r="G5929" t="n">
        <v>9.4</v>
      </c>
      <c r="H5929" t="n">
        <v>0</v>
      </c>
      <c r="I5929" t="n">
        <v>0</v>
      </c>
      <c r="J5929" t="n">
        <v>0</v>
      </c>
      <c r="K5929" t="n">
        <v>0</v>
      </c>
      <c r="L5929" t="n">
        <v>0</v>
      </c>
      <c r="M5929" t="n">
        <v>0</v>
      </c>
      <c r="N5929" t="n">
        <v>0</v>
      </c>
      <c r="O5929" t="n">
        <v>0</v>
      </c>
      <c r="P5929" t="n">
        <v>0</v>
      </c>
      <c r="Q5929" t="n">
        <v>0</v>
      </c>
      <c r="R5929" s="2" t="inlineStr"/>
    </row>
    <row r="5930" ht="15" customHeight="1">
      <c r="A5930" t="inlineStr">
        <is>
          <t>A 48116-2025</t>
        </is>
      </c>
      <c r="B5930" s="1" t="n">
        <v>45933.35678240741</v>
      </c>
      <c r="C5930" s="1" t="n">
        <v>46045</v>
      </c>
      <c r="D5930" t="inlineStr">
        <is>
          <t>JÄMTLANDS LÄN</t>
        </is>
      </c>
      <c r="E5930" t="inlineStr">
        <is>
          <t>STRÖMSUND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22304-2025</t>
        </is>
      </c>
      <c r="B5931" s="1" t="n">
        <v>45786</v>
      </c>
      <c r="C5931" s="1" t="n">
        <v>46045</v>
      </c>
      <c r="D5931" t="inlineStr">
        <is>
          <t>JÄMTLANDS LÄN</t>
        </is>
      </c>
      <c r="E5931" t="inlineStr">
        <is>
          <t>KROKOM</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3020-2023</t>
        </is>
      </c>
      <c r="B5932" s="1" t="n">
        <v>44945.9396412037</v>
      </c>
      <c r="C5932" s="1" t="n">
        <v>46045</v>
      </c>
      <c r="D5932" t="inlineStr">
        <is>
          <t>JÄMTLANDS LÄN</t>
        </is>
      </c>
      <c r="E5932" t="inlineStr">
        <is>
          <t>BRÄCKE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48168-2025</t>
        </is>
      </c>
      <c r="B5933" s="1" t="n">
        <v>45933.43004629629</v>
      </c>
      <c r="C5933" s="1" t="n">
        <v>46045</v>
      </c>
      <c r="D5933" t="inlineStr">
        <is>
          <t>JÄMTLANDS LÄN</t>
        </is>
      </c>
      <c r="E5933" t="inlineStr">
        <is>
          <t>BERG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1459-2025</t>
        </is>
      </c>
      <c r="B5934" s="1" t="n">
        <v>45670.34313657408</v>
      </c>
      <c r="C5934" s="1" t="n">
        <v>46045</v>
      </c>
      <c r="D5934" t="inlineStr">
        <is>
          <t>JÄMTLANDS LÄN</t>
        </is>
      </c>
      <c r="E5934" t="inlineStr">
        <is>
          <t>HÄRJEDALEN</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22499-2025</t>
        </is>
      </c>
      <c r="B5935" s="1" t="n">
        <v>45786.65702546296</v>
      </c>
      <c r="C5935" s="1" t="n">
        <v>46045</v>
      </c>
      <c r="D5935" t="inlineStr">
        <is>
          <t>JÄMTLANDS LÄN</t>
        </is>
      </c>
      <c r="E5935" t="inlineStr">
        <is>
          <t>KROKOM</t>
        </is>
      </c>
      <c r="G5935" t="n">
        <v>6.6</v>
      </c>
      <c r="H5935" t="n">
        <v>0</v>
      </c>
      <c r="I5935" t="n">
        <v>0</v>
      </c>
      <c r="J5935" t="n">
        <v>0</v>
      </c>
      <c r="K5935" t="n">
        <v>0</v>
      </c>
      <c r="L5935" t="n">
        <v>0</v>
      </c>
      <c r="M5935" t="n">
        <v>0</v>
      </c>
      <c r="N5935" t="n">
        <v>0</v>
      </c>
      <c r="O5935" t="n">
        <v>0</v>
      </c>
      <c r="P5935" t="n">
        <v>0</v>
      </c>
      <c r="Q5935" t="n">
        <v>0</v>
      </c>
      <c r="R5935" s="2" t="inlineStr"/>
    </row>
    <row r="5936" ht="15" customHeight="1">
      <c r="A5936" t="inlineStr">
        <is>
          <t>A 18982-2025</t>
        </is>
      </c>
      <c r="B5936" s="1" t="n">
        <v>45764.55288194444</v>
      </c>
      <c r="C5936" s="1" t="n">
        <v>46045</v>
      </c>
      <c r="D5936" t="inlineStr">
        <is>
          <t>JÄMTLANDS LÄN</t>
        </is>
      </c>
      <c r="E5936" t="inlineStr">
        <is>
          <t>BRÄCKE</t>
        </is>
      </c>
      <c r="F5936" t="inlineStr">
        <is>
          <t>SCA</t>
        </is>
      </c>
      <c r="G5936" t="n">
        <v>10.3</v>
      </c>
      <c r="H5936" t="n">
        <v>0</v>
      </c>
      <c r="I5936" t="n">
        <v>0</v>
      </c>
      <c r="J5936" t="n">
        <v>0</v>
      </c>
      <c r="K5936" t="n">
        <v>0</v>
      </c>
      <c r="L5936" t="n">
        <v>0</v>
      </c>
      <c r="M5936" t="n">
        <v>0</v>
      </c>
      <c r="N5936" t="n">
        <v>0</v>
      </c>
      <c r="O5936" t="n">
        <v>0</v>
      </c>
      <c r="P5936" t="n">
        <v>0</v>
      </c>
      <c r="Q5936" t="n">
        <v>0</v>
      </c>
      <c r="R5936" s="2" t="inlineStr"/>
    </row>
    <row r="5937" ht="15" customHeight="1">
      <c r="A5937" t="inlineStr">
        <is>
          <t>A 19429-2025</t>
        </is>
      </c>
      <c r="B5937" s="1" t="n">
        <v>45769.8025462963</v>
      </c>
      <c r="C5937" s="1" t="n">
        <v>46045</v>
      </c>
      <c r="D5937" t="inlineStr">
        <is>
          <t>JÄMTLANDS LÄN</t>
        </is>
      </c>
      <c r="E5937" t="inlineStr">
        <is>
          <t>BERG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3032-2023</t>
        </is>
      </c>
      <c r="B5938" s="1" t="n">
        <v>44945.9412962963</v>
      </c>
      <c r="C5938" s="1" t="n">
        <v>46045</v>
      </c>
      <c r="D5938" t="inlineStr">
        <is>
          <t>JÄMTLANDS LÄN</t>
        </is>
      </c>
      <c r="E5938" t="inlineStr">
        <is>
          <t>BRÄCKE</t>
        </is>
      </c>
      <c r="F5938" t="inlineStr">
        <is>
          <t>SCA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48748-2025</t>
        </is>
      </c>
      <c r="B5939" s="1" t="n">
        <v>45936.67912037037</v>
      </c>
      <c r="C5939" s="1" t="n">
        <v>46045</v>
      </c>
      <c r="D5939" t="inlineStr">
        <is>
          <t>JÄMTLANDS LÄN</t>
        </is>
      </c>
      <c r="E5939" t="inlineStr">
        <is>
          <t>RAGUNDA</t>
        </is>
      </c>
      <c r="F5939" t="inlineStr">
        <is>
          <t>SCA</t>
        </is>
      </c>
      <c r="G5939" t="n">
        <v>11.1</v>
      </c>
      <c r="H5939" t="n">
        <v>0</v>
      </c>
      <c r="I5939" t="n">
        <v>0</v>
      </c>
      <c r="J5939" t="n">
        <v>0</v>
      </c>
      <c r="K5939" t="n">
        <v>0</v>
      </c>
      <c r="L5939" t="n">
        <v>0</v>
      </c>
      <c r="M5939" t="n">
        <v>0</v>
      </c>
      <c r="N5939" t="n">
        <v>0</v>
      </c>
      <c r="O5939" t="n">
        <v>0</v>
      </c>
      <c r="P5939" t="n">
        <v>0</v>
      </c>
      <c r="Q5939" t="n">
        <v>0</v>
      </c>
      <c r="R5939" s="2" t="inlineStr"/>
    </row>
    <row r="5940" ht="15" customHeight="1">
      <c r="A5940" t="inlineStr">
        <is>
          <t>A 7111-2024</t>
        </is>
      </c>
      <c r="B5940" s="1" t="n">
        <v>45343.95162037037</v>
      </c>
      <c r="C5940" s="1" t="n">
        <v>46045</v>
      </c>
      <c r="D5940" t="inlineStr">
        <is>
          <t>JÄMTLANDS LÄN</t>
        </is>
      </c>
      <c r="E5940" t="inlineStr">
        <is>
          <t>KROKOM</t>
        </is>
      </c>
      <c r="F5940" t="inlineStr">
        <is>
          <t>SCA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41280-2024</t>
        </is>
      </c>
      <c r="B5941" s="1" t="n">
        <v>45559.59476851852</v>
      </c>
      <c r="C5941" s="1" t="n">
        <v>46045</v>
      </c>
      <c r="D5941" t="inlineStr">
        <is>
          <t>JÄMTLANDS LÄN</t>
        </is>
      </c>
      <c r="E5941" t="inlineStr">
        <is>
          <t>ÖSTERSUND</t>
        </is>
      </c>
      <c r="F5941" t="inlineStr">
        <is>
          <t>SCA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48900-2023</t>
        </is>
      </c>
      <c r="B5942" s="1" t="n">
        <v>45209</v>
      </c>
      <c r="C5942" s="1" t="n">
        <v>46045</v>
      </c>
      <c r="D5942" t="inlineStr">
        <is>
          <t>JÄMTLANDS LÄN</t>
        </is>
      </c>
      <c r="E5942" t="inlineStr">
        <is>
          <t>BRÄCKE</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7224-2024</t>
        </is>
      </c>
      <c r="B5943" s="1" t="n">
        <v>45344</v>
      </c>
      <c r="C5943" s="1" t="n">
        <v>46045</v>
      </c>
      <c r="D5943" t="inlineStr">
        <is>
          <t>JÄMTLANDS LÄN</t>
        </is>
      </c>
      <c r="E5943" t="inlineStr">
        <is>
          <t>ÖSTERSUND</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22256-2025</t>
        </is>
      </c>
      <c r="B5944" s="1" t="n">
        <v>45785.71936342592</v>
      </c>
      <c r="C5944" s="1" t="n">
        <v>46045</v>
      </c>
      <c r="D5944" t="inlineStr">
        <is>
          <t>JÄMTLANDS LÄN</t>
        </is>
      </c>
      <c r="E5944" t="inlineStr">
        <is>
          <t>STRÖMSUND</t>
        </is>
      </c>
      <c r="F5944" t="inlineStr">
        <is>
          <t>SCA</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48552-2025</t>
        </is>
      </c>
      <c r="B5945" s="1" t="n">
        <v>45936.42752314815</v>
      </c>
      <c r="C5945" s="1" t="n">
        <v>46045</v>
      </c>
      <c r="D5945" t="inlineStr">
        <is>
          <t>JÄMTLANDS LÄN</t>
        </is>
      </c>
      <c r="E5945" t="inlineStr">
        <is>
          <t>STRÖMSUND</t>
        </is>
      </c>
      <c r="F5945" t="inlineStr">
        <is>
          <t>SCA</t>
        </is>
      </c>
      <c r="G5945" t="n">
        <v>20.4</v>
      </c>
      <c r="H5945" t="n">
        <v>0</v>
      </c>
      <c r="I5945" t="n">
        <v>0</v>
      </c>
      <c r="J5945" t="n">
        <v>0</v>
      </c>
      <c r="K5945" t="n">
        <v>0</v>
      </c>
      <c r="L5945" t="n">
        <v>0</v>
      </c>
      <c r="M5945" t="n">
        <v>0</v>
      </c>
      <c r="N5945" t="n">
        <v>0</v>
      </c>
      <c r="O5945" t="n">
        <v>0</v>
      </c>
      <c r="P5945" t="n">
        <v>0</v>
      </c>
      <c r="Q5945" t="n">
        <v>0</v>
      </c>
      <c r="R5945" s="2" t="inlineStr"/>
    </row>
    <row r="5946" ht="15" customHeight="1">
      <c r="A5946" t="inlineStr">
        <is>
          <t>A 22073-2025</t>
        </is>
      </c>
      <c r="B5946" s="1" t="n">
        <v>45785.40710648148</v>
      </c>
      <c r="C5946" s="1" t="n">
        <v>46045</v>
      </c>
      <c r="D5946" t="inlineStr">
        <is>
          <t>JÄMTLANDS LÄN</t>
        </is>
      </c>
      <c r="E5946" t="inlineStr">
        <is>
          <t>STRÖMSUND</t>
        </is>
      </c>
      <c r="F5946" t="inlineStr">
        <is>
          <t>SCA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46457-2025</t>
        </is>
      </c>
      <c r="B5947" s="1" t="n">
        <v>45925.66126157407</v>
      </c>
      <c r="C5947" s="1" t="n">
        <v>46045</v>
      </c>
      <c r="D5947" t="inlineStr">
        <is>
          <t>JÄMTLANDS LÄN</t>
        </is>
      </c>
      <c r="E5947" t="inlineStr">
        <is>
          <t>ÅRE</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48660-2025</t>
        </is>
      </c>
      <c r="B5948" s="1" t="n">
        <v>45936.56836805555</v>
      </c>
      <c r="C5948" s="1" t="n">
        <v>46045</v>
      </c>
      <c r="D5948" t="inlineStr">
        <is>
          <t>JÄMTLANDS LÄN</t>
        </is>
      </c>
      <c r="E5948" t="inlineStr">
        <is>
          <t>BRÄCKE</t>
        </is>
      </c>
      <c r="F5948" t="inlineStr">
        <is>
          <t>Övriga Aktiebolag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48666-2025</t>
        </is>
      </c>
      <c r="B5949" s="1" t="n">
        <v>45936.57368055556</v>
      </c>
      <c r="C5949" s="1" t="n">
        <v>46045</v>
      </c>
      <c r="D5949" t="inlineStr">
        <is>
          <t>JÄMTLANDS LÄN</t>
        </is>
      </c>
      <c r="E5949" t="inlineStr">
        <is>
          <t>KROKOM</t>
        </is>
      </c>
      <c r="F5949" t="inlineStr">
        <is>
          <t>SCA</t>
        </is>
      </c>
      <c r="G5949" t="n">
        <v>12.9</v>
      </c>
      <c r="H5949" t="n">
        <v>0</v>
      </c>
      <c r="I5949" t="n">
        <v>0</v>
      </c>
      <c r="J5949" t="n">
        <v>0</v>
      </c>
      <c r="K5949" t="n">
        <v>0</v>
      </c>
      <c r="L5949" t="n">
        <v>0</v>
      </c>
      <c r="M5949" t="n">
        <v>0</v>
      </c>
      <c r="N5949" t="n">
        <v>0</v>
      </c>
      <c r="O5949" t="n">
        <v>0</v>
      </c>
      <c r="P5949" t="n">
        <v>0</v>
      </c>
      <c r="Q5949" t="n">
        <v>0</v>
      </c>
      <c r="R5949" s="2" t="inlineStr"/>
    </row>
    <row r="5950" ht="15" customHeight="1">
      <c r="A5950" t="inlineStr">
        <is>
          <t>A 43307-2024</t>
        </is>
      </c>
      <c r="B5950" s="1" t="n">
        <v>45568.44303240741</v>
      </c>
      <c r="C5950" s="1" t="n">
        <v>46045</v>
      </c>
      <c r="D5950" t="inlineStr">
        <is>
          <t>JÄMTLANDS LÄN</t>
        </is>
      </c>
      <c r="E5950" t="inlineStr">
        <is>
          <t>ÅRE</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22503-2025</t>
        </is>
      </c>
      <c r="B5951" s="1" t="n">
        <v>45786.66140046297</v>
      </c>
      <c r="C5951" s="1" t="n">
        <v>46045</v>
      </c>
      <c r="D5951" t="inlineStr">
        <is>
          <t>JÄMTLANDS LÄN</t>
        </is>
      </c>
      <c r="E5951" t="inlineStr">
        <is>
          <t>KROKOM</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22505-2025</t>
        </is>
      </c>
      <c r="B5952" s="1" t="n">
        <v>45786.66425925926</v>
      </c>
      <c r="C5952" s="1" t="n">
        <v>46045</v>
      </c>
      <c r="D5952" t="inlineStr">
        <is>
          <t>JÄMTLANDS LÄN</t>
        </is>
      </c>
      <c r="E5952" t="inlineStr">
        <is>
          <t>HÄRJEDALEN</t>
        </is>
      </c>
      <c r="F5952" t="inlineStr">
        <is>
          <t>Sveaskog</t>
        </is>
      </c>
      <c r="G5952" t="n">
        <v>9.4</v>
      </c>
      <c r="H5952" t="n">
        <v>0</v>
      </c>
      <c r="I5952" t="n">
        <v>0</v>
      </c>
      <c r="J5952" t="n">
        <v>0</v>
      </c>
      <c r="K5952" t="n">
        <v>0</v>
      </c>
      <c r="L5952" t="n">
        <v>0</v>
      </c>
      <c r="M5952" t="n">
        <v>0</v>
      </c>
      <c r="N5952" t="n">
        <v>0</v>
      </c>
      <c r="O5952" t="n">
        <v>0</v>
      </c>
      <c r="P5952" t="n">
        <v>0</v>
      </c>
      <c r="Q5952" t="n">
        <v>0</v>
      </c>
      <c r="R5952" s="2" t="inlineStr"/>
    </row>
    <row r="5953" ht="15" customHeight="1">
      <c r="A5953" t="inlineStr">
        <is>
          <t>A 22384-2025</t>
        </is>
      </c>
      <c r="B5953" s="1" t="n">
        <v>45786</v>
      </c>
      <c r="C5953" s="1" t="n">
        <v>46045</v>
      </c>
      <c r="D5953" t="inlineStr">
        <is>
          <t>JÄMTLANDS LÄN</t>
        </is>
      </c>
      <c r="E5953" t="inlineStr">
        <is>
          <t>ÖSTERSUND</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48250-2025</t>
        </is>
      </c>
      <c r="B5954" s="1" t="n">
        <v>45933.55259259259</v>
      </c>
      <c r="C5954" s="1" t="n">
        <v>46045</v>
      </c>
      <c r="D5954" t="inlineStr">
        <is>
          <t>JÄMTLANDS LÄN</t>
        </is>
      </c>
      <c r="E5954" t="inlineStr">
        <is>
          <t>BERG</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9388-2025</t>
        </is>
      </c>
      <c r="B5955" s="1" t="n">
        <v>45715</v>
      </c>
      <c r="C5955" s="1" t="n">
        <v>46045</v>
      </c>
      <c r="D5955" t="inlineStr">
        <is>
          <t>JÄMTLANDS LÄN</t>
        </is>
      </c>
      <c r="E5955" t="inlineStr">
        <is>
          <t>KROKOM</t>
        </is>
      </c>
      <c r="F5955" t="inlineStr">
        <is>
          <t>Övriga Aktiebolag</t>
        </is>
      </c>
      <c r="G5955" t="n">
        <v>8.699999999999999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37960-2024</t>
        </is>
      </c>
      <c r="B5956" s="1" t="n">
        <v>45544.53925925926</v>
      </c>
      <c r="C5956" s="1" t="n">
        <v>46045</v>
      </c>
      <c r="D5956" t="inlineStr">
        <is>
          <t>JÄMTLANDS LÄN</t>
        </is>
      </c>
      <c r="E5956" t="inlineStr">
        <is>
          <t>BRÄCKE</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46211-2024</t>
        </is>
      </c>
      <c r="B5957" s="1" t="n">
        <v>45581.55260416667</v>
      </c>
      <c r="C5957" s="1" t="n">
        <v>46045</v>
      </c>
      <c r="D5957" t="inlineStr">
        <is>
          <t>JÄMTLANDS LÄN</t>
        </is>
      </c>
      <c r="E5957" t="inlineStr">
        <is>
          <t>RAGUNDA</t>
        </is>
      </c>
      <c r="G5957" t="n">
        <v>7.3</v>
      </c>
      <c r="H5957" t="n">
        <v>0</v>
      </c>
      <c r="I5957" t="n">
        <v>0</v>
      </c>
      <c r="J5957" t="n">
        <v>0</v>
      </c>
      <c r="K5957" t="n">
        <v>0</v>
      </c>
      <c r="L5957" t="n">
        <v>0</v>
      </c>
      <c r="M5957" t="n">
        <v>0</v>
      </c>
      <c r="N5957" t="n">
        <v>0</v>
      </c>
      <c r="O5957" t="n">
        <v>0</v>
      </c>
      <c r="P5957" t="n">
        <v>0</v>
      </c>
      <c r="Q5957" t="n">
        <v>0</v>
      </c>
      <c r="R5957" s="2" t="inlineStr"/>
    </row>
    <row r="5958" ht="15" customHeight="1">
      <c r="A5958" t="inlineStr">
        <is>
          <t>A 46366-2024</t>
        </is>
      </c>
      <c r="B5958" s="1" t="n">
        <v>45582.36490740741</v>
      </c>
      <c r="C5958" s="1" t="n">
        <v>46045</v>
      </c>
      <c r="D5958" t="inlineStr">
        <is>
          <t>JÄMTLANDS LÄN</t>
        </is>
      </c>
      <c r="E5958" t="inlineStr">
        <is>
          <t>BERG</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48113-2025</t>
        </is>
      </c>
      <c r="B5959" s="1" t="n">
        <v>45933.35113425926</v>
      </c>
      <c r="C5959" s="1" t="n">
        <v>46045</v>
      </c>
      <c r="D5959" t="inlineStr">
        <is>
          <t>JÄMTLANDS LÄN</t>
        </is>
      </c>
      <c r="E5959" t="inlineStr">
        <is>
          <t>STRÖMSUND</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31566-2024</t>
        </is>
      </c>
      <c r="B5960" s="1" t="n">
        <v>45505.96675925926</v>
      </c>
      <c r="C5960" s="1" t="n">
        <v>46045</v>
      </c>
      <c r="D5960" t="inlineStr">
        <is>
          <t>JÄMTLANDS LÄN</t>
        </is>
      </c>
      <c r="E5960" t="inlineStr">
        <is>
          <t>BRÄCKE</t>
        </is>
      </c>
      <c r="F5960" t="inlineStr">
        <is>
          <t>SCA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17948-2025</t>
        </is>
      </c>
      <c r="B5961" s="1" t="n">
        <v>45760.66995370371</v>
      </c>
      <c r="C5961" s="1" t="n">
        <v>46045</v>
      </c>
      <c r="D5961" t="inlineStr">
        <is>
          <t>JÄMTLANDS LÄN</t>
        </is>
      </c>
      <c r="E5961" t="inlineStr">
        <is>
          <t>ÖSTERSUND</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48164-2025</t>
        </is>
      </c>
      <c r="B5962" s="1" t="n">
        <v>45933.42774305555</v>
      </c>
      <c r="C5962" s="1" t="n">
        <v>46045</v>
      </c>
      <c r="D5962" t="inlineStr">
        <is>
          <t>JÄMTLANDS LÄN</t>
        </is>
      </c>
      <c r="E5962" t="inlineStr">
        <is>
          <t>STRÖMSUND</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48178-2025</t>
        </is>
      </c>
      <c r="B5963" s="1" t="n">
        <v>45933.44865740741</v>
      </c>
      <c r="C5963" s="1" t="n">
        <v>46045</v>
      </c>
      <c r="D5963" t="inlineStr">
        <is>
          <t>JÄMTLANDS LÄN</t>
        </is>
      </c>
      <c r="E5963" t="inlineStr">
        <is>
          <t>ÅRE</t>
        </is>
      </c>
      <c r="F5963" t="inlineStr">
        <is>
          <t>Övriga Aktiebolag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48146-2025</t>
        </is>
      </c>
      <c r="B5964" s="1" t="n">
        <v>45933.39275462963</v>
      </c>
      <c r="C5964" s="1" t="n">
        <v>46045</v>
      </c>
      <c r="D5964" t="inlineStr">
        <is>
          <t>JÄMTLANDS LÄN</t>
        </is>
      </c>
      <c r="E5964" t="inlineStr">
        <is>
          <t>STRÖMSUND</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34807-2024</t>
        </is>
      </c>
      <c r="B5965" s="1" t="n">
        <v>45526.69046296296</v>
      </c>
      <c r="C5965" s="1" t="n">
        <v>46045</v>
      </c>
      <c r="D5965" t="inlineStr">
        <is>
          <t>JÄMTLANDS LÄN</t>
        </is>
      </c>
      <c r="E5965" t="inlineStr">
        <is>
          <t>BRÄCKE</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48243-2025</t>
        </is>
      </c>
      <c r="B5966" s="1" t="n">
        <v>45933.53942129629</v>
      </c>
      <c r="C5966" s="1" t="n">
        <v>46045</v>
      </c>
      <c r="D5966" t="inlineStr">
        <is>
          <t>JÄMTLANDS LÄN</t>
        </is>
      </c>
      <c r="E5966" t="inlineStr">
        <is>
          <t>HÄRJEDALEN</t>
        </is>
      </c>
      <c r="G5966" t="n">
        <v>10.6</v>
      </c>
      <c r="H5966" t="n">
        <v>0</v>
      </c>
      <c r="I5966" t="n">
        <v>0</v>
      </c>
      <c r="J5966" t="n">
        <v>0</v>
      </c>
      <c r="K5966" t="n">
        <v>0</v>
      </c>
      <c r="L5966" t="n">
        <v>0</v>
      </c>
      <c r="M5966" t="n">
        <v>0</v>
      </c>
      <c r="N5966" t="n">
        <v>0</v>
      </c>
      <c r="O5966" t="n">
        <v>0</v>
      </c>
      <c r="P5966" t="n">
        <v>0</v>
      </c>
      <c r="Q5966" t="n">
        <v>0</v>
      </c>
      <c r="R5966" s="2" t="inlineStr"/>
    </row>
    <row r="5967" ht="15" customHeight="1">
      <c r="A5967" t="inlineStr">
        <is>
          <t>A 34817-2024</t>
        </is>
      </c>
      <c r="B5967" s="1" t="n">
        <v>45526.70909722222</v>
      </c>
      <c r="C5967" s="1" t="n">
        <v>46045</v>
      </c>
      <c r="D5967" t="inlineStr">
        <is>
          <t>JÄMTLANDS LÄN</t>
        </is>
      </c>
      <c r="E5967" t="inlineStr">
        <is>
          <t>STRÖMSUND</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45618-2025</t>
        </is>
      </c>
      <c r="B5968" s="1" t="n">
        <v>45922</v>
      </c>
      <c r="C5968" s="1" t="n">
        <v>46045</v>
      </c>
      <c r="D5968" t="inlineStr">
        <is>
          <t>JÄMTLANDS LÄN</t>
        </is>
      </c>
      <c r="E5968" t="inlineStr">
        <is>
          <t>STRÖMSUND</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46452-2025</t>
        </is>
      </c>
      <c r="B5969" s="1" t="n">
        <v>45925.65625</v>
      </c>
      <c r="C5969" s="1" t="n">
        <v>46045</v>
      </c>
      <c r="D5969" t="inlineStr">
        <is>
          <t>JÄMTLANDS LÄN</t>
        </is>
      </c>
      <c r="E5969" t="inlineStr">
        <is>
          <t>ÅRE</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44009-2024</t>
        </is>
      </c>
      <c r="B5970" s="1" t="n">
        <v>45572.55314814814</v>
      </c>
      <c r="C5970" s="1" t="n">
        <v>46045</v>
      </c>
      <c r="D5970" t="inlineStr">
        <is>
          <t>JÄMTLANDS LÄN</t>
        </is>
      </c>
      <c r="E5970" t="inlineStr">
        <is>
          <t>STRÖMSUND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48209-2025</t>
        </is>
      </c>
      <c r="B5971" s="1" t="n">
        <v>45933.4900462963</v>
      </c>
      <c r="C5971" s="1" t="n">
        <v>46045</v>
      </c>
      <c r="D5971" t="inlineStr">
        <is>
          <t>JÄMTLANDS LÄN</t>
        </is>
      </c>
      <c r="E5971" t="inlineStr">
        <is>
          <t>BERG</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13543-2024</t>
        </is>
      </c>
      <c r="B5972" s="1" t="n">
        <v>45387</v>
      </c>
      <c r="C5972" s="1" t="n">
        <v>46045</v>
      </c>
      <c r="D5972" t="inlineStr">
        <is>
          <t>JÄMTLANDS LÄN</t>
        </is>
      </c>
      <c r="E5972" t="inlineStr">
        <is>
          <t>HÄRJEDALEN</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24425-2024</t>
        </is>
      </c>
      <c r="B5973" s="1" t="n">
        <v>45457.92854166667</v>
      </c>
      <c r="C5973" s="1" t="n">
        <v>46045</v>
      </c>
      <c r="D5973" t="inlineStr">
        <is>
          <t>JÄMTLANDS LÄN</t>
        </is>
      </c>
      <c r="E5973" t="inlineStr">
        <is>
          <t>HÄRJEDALEN</t>
        </is>
      </c>
      <c r="G5973" t="n">
        <v>15.8</v>
      </c>
      <c r="H5973" t="n">
        <v>0</v>
      </c>
      <c r="I5973" t="n">
        <v>0</v>
      </c>
      <c r="J5973" t="n">
        <v>0</v>
      </c>
      <c r="K5973" t="n">
        <v>0</v>
      </c>
      <c r="L5973" t="n">
        <v>0</v>
      </c>
      <c r="M5973" t="n">
        <v>0</v>
      </c>
      <c r="N5973" t="n">
        <v>0</v>
      </c>
      <c r="O5973" t="n">
        <v>0</v>
      </c>
      <c r="P5973" t="n">
        <v>0</v>
      </c>
      <c r="Q5973" t="n">
        <v>0</v>
      </c>
      <c r="R5973" s="2" t="inlineStr"/>
    </row>
    <row r="5974" ht="15" customHeight="1">
      <c r="A5974" t="inlineStr">
        <is>
          <t>A 36097-2024</t>
        </is>
      </c>
      <c r="B5974" s="1" t="n">
        <v>45533.75398148148</v>
      </c>
      <c r="C5974" s="1" t="n">
        <v>46045</v>
      </c>
      <c r="D5974" t="inlineStr">
        <is>
          <t>JÄMTLANDS LÄN</t>
        </is>
      </c>
      <c r="E5974" t="inlineStr">
        <is>
          <t>HÄRJEDALEN</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37589-2021</t>
        </is>
      </c>
      <c r="B5975" s="1" t="n">
        <v>44399</v>
      </c>
      <c r="C5975" s="1" t="n">
        <v>46045</v>
      </c>
      <c r="D5975" t="inlineStr">
        <is>
          <t>JÄMTLANDS LÄN</t>
        </is>
      </c>
      <c r="E5975" t="inlineStr">
        <is>
          <t>BERG</t>
        </is>
      </c>
      <c r="G5975" t="n">
        <v>8.6</v>
      </c>
      <c r="H5975" t="n">
        <v>0</v>
      </c>
      <c r="I5975" t="n">
        <v>0</v>
      </c>
      <c r="J5975" t="n">
        <v>0</v>
      </c>
      <c r="K5975" t="n">
        <v>0</v>
      </c>
      <c r="L5975" t="n">
        <v>0</v>
      </c>
      <c r="M5975" t="n">
        <v>0</v>
      </c>
      <c r="N5975" t="n">
        <v>0</v>
      </c>
      <c r="O5975" t="n">
        <v>0</v>
      </c>
      <c r="P5975" t="n">
        <v>0</v>
      </c>
      <c r="Q5975" t="n">
        <v>0</v>
      </c>
      <c r="R5975" s="2" t="inlineStr"/>
    </row>
    <row r="5976" ht="15" customHeight="1">
      <c r="A5976" t="inlineStr">
        <is>
          <t>A 48746-2025</t>
        </is>
      </c>
      <c r="B5976" s="1" t="n">
        <v>45936.67878472222</v>
      </c>
      <c r="C5976" s="1" t="n">
        <v>46045</v>
      </c>
      <c r="D5976" t="inlineStr">
        <is>
          <t>JÄMTLANDS LÄN</t>
        </is>
      </c>
      <c r="E5976" t="inlineStr">
        <is>
          <t>RAGUNDA</t>
        </is>
      </c>
      <c r="F5976" t="inlineStr">
        <is>
          <t>SCA</t>
        </is>
      </c>
      <c r="G5976" t="n">
        <v>6.5</v>
      </c>
      <c r="H5976" t="n">
        <v>0</v>
      </c>
      <c r="I5976" t="n">
        <v>0</v>
      </c>
      <c r="J5976" t="n">
        <v>0</v>
      </c>
      <c r="K5976" t="n">
        <v>0</v>
      </c>
      <c r="L5976" t="n">
        <v>0</v>
      </c>
      <c r="M5976" t="n">
        <v>0</v>
      </c>
      <c r="N5976" t="n">
        <v>0</v>
      </c>
      <c r="O5976" t="n">
        <v>0</v>
      </c>
      <c r="P5976" t="n">
        <v>0</v>
      </c>
      <c r="Q5976" t="n">
        <v>0</v>
      </c>
      <c r="R5976" s="2" t="inlineStr"/>
    </row>
    <row r="5977" ht="15" customHeight="1">
      <c r="A5977" t="inlineStr">
        <is>
          <t>A 48509-2025</t>
        </is>
      </c>
      <c r="B5977" s="1" t="n">
        <v>45936.38618055556</v>
      </c>
      <c r="C5977" s="1" t="n">
        <v>46045</v>
      </c>
      <c r="D5977" t="inlineStr">
        <is>
          <t>JÄMTLANDS LÄN</t>
        </is>
      </c>
      <c r="E5977" t="inlineStr">
        <is>
          <t>STRÖMSUND</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48511-2025</t>
        </is>
      </c>
      <c r="B5978" s="1" t="n">
        <v>45936.3865162037</v>
      </c>
      <c r="C5978" s="1" t="n">
        <v>46045</v>
      </c>
      <c r="D5978" t="inlineStr">
        <is>
          <t>JÄMTLANDS LÄN</t>
        </is>
      </c>
      <c r="E5978" t="inlineStr">
        <is>
          <t>BERG</t>
        </is>
      </c>
      <c r="F5978" t="inlineStr">
        <is>
          <t>SCA</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25710-2024</t>
        </is>
      </c>
      <c r="B5979" s="1" t="n">
        <v>45463</v>
      </c>
      <c r="C5979" s="1" t="n">
        <v>46045</v>
      </c>
      <c r="D5979" t="inlineStr">
        <is>
          <t>JÄMTLANDS LÄN</t>
        </is>
      </c>
      <c r="E5979" t="inlineStr">
        <is>
          <t>ÅRE</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8675-2023</t>
        </is>
      </c>
      <c r="B5980" s="1" t="n">
        <v>44977.98629629629</v>
      </c>
      <c r="C5980" s="1" t="n">
        <v>46045</v>
      </c>
      <c r="D5980" t="inlineStr">
        <is>
          <t>JÄMTLANDS LÄN</t>
        </is>
      </c>
      <c r="E5980" t="inlineStr">
        <is>
          <t>ÖSTERSUND</t>
        </is>
      </c>
      <c r="F5980" t="inlineStr">
        <is>
          <t>SCA</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8679-2023</t>
        </is>
      </c>
      <c r="B5981" s="1" t="n">
        <v>44977.98670138889</v>
      </c>
      <c r="C5981" s="1" t="n">
        <v>46045</v>
      </c>
      <c r="D5981" t="inlineStr">
        <is>
          <t>JÄMTLANDS LÄN</t>
        </is>
      </c>
      <c r="E5981" t="inlineStr">
        <is>
          <t>RAGUNDA</t>
        </is>
      </c>
      <c r="F5981" t="inlineStr">
        <is>
          <t>SCA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48902-2025</t>
        </is>
      </c>
      <c r="B5982" s="1" t="n">
        <v>45937.48152777777</v>
      </c>
      <c r="C5982" s="1" t="n">
        <v>46045</v>
      </c>
      <c r="D5982" t="inlineStr">
        <is>
          <t>JÄMTLANDS LÄN</t>
        </is>
      </c>
      <c r="E5982" t="inlineStr">
        <is>
          <t>STRÖMSUND</t>
        </is>
      </c>
      <c r="F5982" t="inlineStr">
        <is>
          <t>Sveaskog</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34410-2021</t>
        </is>
      </c>
      <c r="B5983" s="1" t="n">
        <v>44379.94194444444</v>
      </c>
      <c r="C5983" s="1" t="n">
        <v>46045</v>
      </c>
      <c r="D5983" t="inlineStr">
        <is>
          <t>JÄMTLANDS LÄN</t>
        </is>
      </c>
      <c r="E5983" t="inlineStr">
        <is>
          <t>BRÄCKE</t>
        </is>
      </c>
      <c r="F5983" t="inlineStr">
        <is>
          <t>SCA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4520-2025</t>
        </is>
      </c>
      <c r="B5984" s="1" t="n">
        <v>45686.92384259259</v>
      </c>
      <c r="C5984" s="1" t="n">
        <v>46045</v>
      </c>
      <c r="D5984" t="inlineStr">
        <is>
          <t>JÄMTLANDS LÄN</t>
        </is>
      </c>
      <c r="E5984" t="inlineStr">
        <is>
          <t>ÖSTERSUND</t>
        </is>
      </c>
      <c r="G5984" t="n">
        <v>15.2</v>
      </c>
      <c r="H5984" t="n">
        <v>0</v>
      </c>
      <c r="I5984" t="n">
        <v>0</v>
      </c>
      <c r="J5984" t="n">
        <v>0</v>
      </c>
      <c r="K5984" t="n">
        <v>0</v>
      </c>
      <c r="L5984" t="n">
        <v>0</v>
      </c>
      <c r="M5984" t="n">
        <v>0</v>
      </c>
      <c r="N5984" t="n">
        <v>0</v>
      </c>
      <c r="O5984" t="n">
        <v>0</v>
      </c>
      <c r="P5984" t="n">
        <v>0</v>
      </c>
      <c r="Q5984" t="n">
        <v>0</v>
      </c>
      <c r="R5984" s="2" t="inlineStr"/>
    </row>
    <row r="5985" ht="15" customHeight="1">
      <c r="A5985" t="inlineStr">
        <is>
          <t>A 30874-2024</t>
        </is>
      </c>
      <c r="B5985" s="1" t="n">
        <v>45498.3091087963</v>
      </c>
      <c r="C5985" s="1" t="n">
        <v>46045</v>
      </c>
      <c r="D5985" t="inlineStr">
        <is>
          <t>JÄMTLANDS LÄN</t>
        </is>
      </c>
      <c r="E5985" t="inlineStr">
        <is>
          <t>BRÄCKE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48889-2025</t>
        </is>
      </c>
      <c r="B5986" s="1" t="n">
        <v>45937.46951388889</v>
      </c>
      <c r="C5986" s="1" t="n">
        <v>46045</v>
      </c>
      <c r="D5986" t="inlineStr">
        <is>
          <t>JÄMTLANDS LÄN</t>
        </is>
      </c>
      <c r="E5986" t="inlineStr">
        <is>
          <t>STRÖMSUND</t>
        </is>
      </c>
      <c r="F5986" t="inlineStr">
        <is>
          <t>SCA</t>
        </is>
      </c>
      <c r="G5986" t="n">
        <v>7.5</v>
      </c>
      <c r="H5986" t="n">
        <v>0</v>
      </c>
      <c r="I5986" t="n">
        <v>0</v>
      </c>
      <c r="J5986" t="n">
        <v>0</v>
      </c>
      <c r="K5986" t="n">
        <v>0</v>
      </c>
      <c r="L5986" t="n">
        <v>0</v>
      </c>
      <c r="M5986" t="n">
        <v>0</v>
      </c>
      <c r="N5986" t="n">
        <v>0</v>
      </c>
      <c r="O5986" t="n">
        <v>0</v>
      </c>
      <c r="P5986" t="n">
        <v>0</v>
      </c>
      <c r="Q5986" t="n">
        <v>0</v>
      </c>
      <c r="R5986" s="2" t="inlineStr"/>
    </row>
    <row r="5987" ht="15" customHeight="1">
      <c r="A5987" t="inlineStr">
        <is>
          <t>A 47723-2024</t>
        </is>
      </c>
      <c r="B5987" s="1" t="n">
        <v>45588</v>
      </c>
      <c r="C5987" s="1" t="n">
        <v>46045</v>
      </c>
      <c r="D5987" t="inlineStr">
        <is>
          <t>JÄMTLANDS LÄN</t>
        </is>
      </c>
      <c r="E5987" t="inlineStr">
        <is>
          <t>KROKOM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4523-2025</t>
        </is>
      </c>
      <c r="B5988" s="1" t="n">
        <v>45686.92864583333</v>
      </c>
      <c r="C5988" s="1" t="n">
        <v>46045</v>
      </c>
      <c r="D5988" t="inlineStr">
        <is>
          <t>JÄMTLANDS LÄN</t>
        </is>
      </c>
      <c r="E5988" t="inlineStr">
        <is>
          <t>ÖSTERSUND</t>
        </is>
      </c>
      <c r="G5988" t="n">
        <v>15.2</v>
      </c>
      <c r="H5988" t="n">
        <v>0</v>
      </c>
      <c r="I5988" t="n">
        <v>0</v>
      </c>
      <c r="J5988" t="n">
        <v>0</v>
      </c>
      <c r="K5988" t="n">
        <v>0</v>
      </c>
      <c r="L5988" t="n">
        <v>0</v>
      </c>
      <c r="M5988" t="n">
        <v>0</v>
      </c>
      <c r="N5988" t="n">
        <v>0</v>
      </c>
      <c r="O5988" t="n">
        <v>0</v>
      </c>
      <c r="P5988" t="n">
        <v>0</v>
      </c>
      <c r="Q5988" t="n">
        <v>0</v>
      </c>
      <c r="R5988" s="2" t="inlineStr"/>
    </row>
    <row r="5989" ht="15" customHeight="1">
      <c r="A5989" t="inlineStr">
        <is>
          <t>A 49407-2025</t>
        </is>
      </c>
      <c r="B5989" s="1" t="n">
        <v>45938.6778587963</v>
      </c>
      <c r="C5989" s="1" t="n">
        <v>46045</v>
      </c>
      <c r="D5989" t="inlineStr">
        <is>
          <t>JÄMTLANDS LÄN</t>
        </is>
      </c>
      <c r="E5989" t="inlineStr">
        <is>
          <t>STRÖMSUND</t>
        </is>
      </c>
      <c r="F5989" t="inlineStr">
        <is>
          <t>SCA</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22045-2025</t>
        </is>
      </c>
      <c r="B5990" s="1" t="n">
        <v>45785.34165509259</v>
      </c>
      <c r="C5990" s="1" t="n">
        <v>46045</v>
      </c>
      <c r="D5990" t="inlineStr">
        <is>
          <t>JÄMTLANDS LÄN</t>
        </is>
      </c>
      <c r="E5990" t="inlineStr">
        <is>
          <t>HÄRJEDALEN</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22681-2025</t>
        </is>
      </c>
      <c r="B5991" s="1" t="n">
        <v>45786</v>
      </c>
      <c r="C5991" s="1" t="n">
        <v>46045</v>
      </c>
      <c r="D5991" t="inlineStr">
        <is>
          <t>JÄMTLANDS LÄN</t>
        </is>
      </c>
      <c r="E5991" t="inlineStr">
        <is>
          <t>KROKOM</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22452-2024</t>
        </is>
      </c>
      <c r="B5992" s="1" t="n">
        <v>45446.94908564815</v>
      </c>
      <c r="C5992" s="1" t="n">
        <v>46045</v>
      </c>
      <c r="D5992" t="inlineStr">
        <is>
          <t>JÄMTLANDS LÄN</t>
        </is>
      </c>
      <c r="E5992" t="inlineStr">
        <is>
          <t>STRÖMSUND</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22040-2025</t>
        </is>
      </c>
      <c r="B5993" s="1" t="n">
        <v>45785.33164351852</v>
      </c>
      <c r="C5993" s="1" t="n">
        <v>46045</v>
      </c>
      <c r="D5993" t="inlineStr">
        <is>
          <t>JÄMTLANDS LÄN</t>
        </is>
      </c>
      <c r="E5993" t="inlineStr">
        <is>
          <t>HÄRJEDALEN</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22071-2025</t>
        </is>
      </c>
      <c r="B5994" s="1" t="n">
        <v>45785.40689814815</v>
      </c>
      <c r="C5994" s="1" t="n">
        <v>46045</v>
      </c>
      <c r="D5994" t="inlineStr">
        <is>
          <t>JÄMTLANDS LÄN</t>
        </is>
      </c>
      <c r="E5994" t="inlineStr">
        <is>
          <t>STRÖMSUND</t>
        </is>
      </c>
      <c r="F5994" t="inlineStr">
        <is>
          <t>SCA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48798-2025</t>
        </is>
      </c>
      <c r="B5995" s="1" t="n">
        <v>45937.34465277778</v>
      </c>
      <c r="C5995" s="1" t="n">
        <v>46045</v>
      </c>
      <c r="D5995" t="inlineStr">
        <is>
          <t>JÄMTLANDS LÄN</t>
        </is>
      </c>
      <c r="E5995" t="inlineStr">
        <is>
          <t>KROKOM</t>
        </is>
      </c>
      <c r="F5995" t="inlineStr">
        <is>
          <t>SCA</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22115-2025</t>
        </is>
      </c>
      <c r="B5996" s="1" t="n">
        <v>45785.51092592593</v>
      </c>
      <c r="C5996" s="1" t="n">
        <v>46045</v>
      </c>
      <c r="D5996" t="inlineStr">
        <is>
          <t>JÄMTLANDS LÄN</t>
        </is>
      </c>
      <c r="E5996" t="inlineStr">
        <is>
          <t>KROKOM</t>
        </is>
      </c>
      <c r="F5996" t="inlineStr">
        <is>
          <t>SCA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48851-2025</t>
        </is>
      </c>
      <c r="B5997" s="1" t="n">
        <v>45937.42969907408</v>
      </c>
      <c r="C5997" s="1" t="n">
        <v>46045</v>
      </c>
      <c r="D5997" t="inlineStr">
        <is>
          <t>JÄMTLANDS LÄN</t>
        </is>
      </c>
      <c r="E5997" t="inlineStr">
        <is>
          <t>BRÄCKE</t>
        </is>
      </c>
      <c r="F5997" t="inlineStr">
        <is>
          <t>SCA</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22841-2025</t>
        </is>
      </c>
      <c r="B5998" s="1" t="n">
        <v>45789</v>
      </c>
      <c r="C5998" s="1" t="n">
        <v>46045</v>
      </c>
      <c r="D5998" t="inlineStr">
        <is>
          <t>JÄMTLANDS LÄN</t>
        </is>
      </c>
      <c r="E5998" t="inlineStr">
        <is>
          <t>BRÄCKE</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12-2023</t>
        </is>
      </c>
      <c r="B5999" s="1" t="n">
        <v>44927.88021990741</v>
      </c>
      <c r="C5999" s="1" t="n">
        <v>46045</v>
      </c>
      <c r="D5999" t="inlineStr">
        <is>
          <t>JÄMTLANDS LÄN</t>
        </is>
      </c>
      <c r="E5999" t="inlineStr">
        <is>
          <t>ÖSTERSUND</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49163-2025</t>
        </is>
      </c>
      <c r="B6000" s="1" t="n">
        <v>45938.35490740741</v>
      </c>
      <c r="C6000" s="1" t="n">
        <v>46045</v>
      </c>
      <c r="D6000" t="inlineStr">
        <is>
          <t>JÄMTLANDS LÄN</t>
        </is>
      </c>
      <c r="E6000" t="inlineStr">
        <is>
          <t>HÄRJEDALEN</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49358-2025</t>
        </is>
      </c>
      <c r="B6001" s="1" t="n">
        <v>45938.61628472222</v>
      </c>
      <c r="C6001" s="1" t="n">
        <v>46045</v>
      </c>
      <c r="D6001" t="inlineStr">
        <is>
          <t>JÄMTLANDS LÄN</t>
        </is>
      </c>
      <c r="E6001" t="inlineStr">
        <is>
          <t>STRÖMSUND</t>
        </is>
      </c>
      <c r="F6001" t="inlineStr">
        <is>
          <t>SCA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22713-2025</t>
        </is>
      </c>
      <c r="B6002" s="1" t="n">
        <v>45789.56414351852</v>
      </c>
      <c r="C6002" s="1" t="n">
        <v>46045</v>
      </c>
      <c r="D6002" t="inlineStr">
        <is>
          <t>JÄMTLANDS LÄN</t>
        </is>
      </c>
      <c r="E6002" t="inlineStr">
        <is>
          <t>ÖSTERSUND</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22724-2025</t>
        </is>
      </c>
      <c r="B6003" s="1" t="n">
        <v>45789.57361111111</v>
      </c>
      <c r="C6003" s="1" t="n">
        <v>46045</v>
      </c>
      <c r="D6003" t="inlineStr">
        <is>
          <t>JÄMTLANDS LÄN</t>
        </is>
      </c>
      <c r="E6003" t="inlineStr">
        <is>
          <t>BERG</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14158-2024</t>
        </is>
      </c>
      <c r="B6004" s="1" t="n">
        <v>45392</v>
      </c>
      <c r="C6004" s="1" t="n">
        <v>46045</v>
      </c>
      <c r="D6004" t="inlineStr">
        <is>
          <t>JÄMTLANDS LÄN</t>
        </is>
      </c>
      <c r="E6004" t="inlineStr">
        <is>
          <t>RAGUNDA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22864-2025</t>
        </is>
      </c>
      <c r="B6005" s="1" t="n">
        <v>45790.36502314815</v>
      </c>
      <c r="C6005" s="1" t="n">
        <v>46045</v>
      </c>
      <c r="D6005" t="inlineStr">
        <is>
          <t>JÄMTLANDS LÄN</t>
        </is>
      </c>
      <c r="E6005" t="inlineStr">
        <is>
          <t>STRÖMSUND</t>
        </is>
      </c>
      <c r="F6005" t="inlineStr">
        <is>
          <t>SCA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15259-2022</t>
        </is>
      </c>
      <c r="B6006" s="1" t="n">
        <v>44659</v>
      </c>
      <c r="C6006" s="1" t="n">
        <v>46045</v>
      </c>
      <c r="D6006" t="inlineStr">
        <is>
          <t>JÄMTLANDS LÄN</t>
        </is>
      </c>
      <c r="E6006" t="inlineStr">
        <is>
          <t>STRÖMSUND</t>
        </is>
      </c>
      <c r="G6006" t="n">
        <v>52.4</v>
      </c>
      <c r="H6006" t="n">
        <v>0</v>
      </c>
      <c r="I6006" t="n">
        <v>0</v>
      </c>
      <c r="J6006" t="n">
        <v>0</v>
      </c>
      <c r="K6006" t="n">
        <v>0</v>
      </c>
      <c r="L6006" t="n">
        <v>0</v>
      </c>
      <c r="M6006" t="n">
        <v>0</v>
      </c>
      <c r="N6006" t="n">
        <v>0</v>
      </c>
      <c r="O6006" t="n">
        <v>0</v>
      </c>
      <c r="P6006" t="n">
        <v>0</v>
      </c>
      <c r="Q6006" t="n">
        <v>0</v>
      </c>
      <c r="R6006" s="2" t="inlineStr"/>
    </row>
    <row r="6007" ht="15" customHeight="1">
      <c r="A6007" t="inlineStr">
        <is>
          <t>A 15273-2022</t>
        </is>
      </c>
      <c r="B6007" s="1" t="n">
        <v>44659</v>
      </c>
      <c r="C6007" s="1" t="n">
        <v>46045</v>
      </c>
      <c r="D6007" t="inlineStr">
        <is>
          <t>JÄMTLANDS LÄN</t>
        </is>
      </c>
      <c r="E6007" t="inlineStr">
        <is>
          <t>STRÖMSUND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55649-2023</t>
        </is>
      </c>
      <c r="B6008" s="1" t="n">
        <v>45238</v>
      </c>
      <c r="C6008" s="1" t="n">
        <v>46045</v>
      </c>
      <c r="D6008" t="inlineStr">
        <is>
          <t>JÄMTLANDS LÄN</t>
        </is>
      </c>
      <c r="E6008" t="inlineStr">
        <is>
          <t>RAGUNDA</t>
        </is>
      </c>
      <c r="F6008" t="inlineStr">
        <is>
          <t>SCA</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22898-2025</t>
        </is>
      </c>
      <c r="B6009" s="1" t="n">
        <v>45790.40670138889</v>
      </c>
      <c r="C6009" s="1" t="n">
        <v>46045</v>
      </c>
      <c r="D6009" t="inlineStr">
        <is>
          <t>JÄMTLANDS LÄN</t>
        </is>
      </c>
      <c r="E6009" t="inlineStr">
        <is>
          <t>RAGUNDA</t>
        </is>
      </c>
      <c r="F6009" t="inlineStr">
        <is>
          <t>SCA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55662-2023</t>
        </is>
      </c>
      <c r="B6010" s="1" t="n">
        <v>45238.96730324074</v>
      </c>
      <c r="C6010" s="1" t="n">
        <v>46045</v>
      </c>
      <c r="D6010" t="inlineStr">
        <is>
          <t>JÄMTLANDS LÄN</t>
        </is>
      </c>
      <c r="E6010" t="inlineStr">
        <is>
          <t>BRÄCKE</t>
        </is>
      </c>
      <c r="F6010" t="inlineStr">
        <is>
          <t>SCA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55666-2023</t>
        </is>
      </c>
      <c r="B6011" s="1" t="n">
        <v>45238.96770833333</v>
      </c>
      <c r="C6011" s="1" t="n">
        <v>46045</v>
      </c>
      <c r="D6011" t="inlineStr">
        <is>
          <t>JÄMTLANDS LÄN</t>
        </is>
      </c>
      <c r="E6011" t="inlineStr">
        <is>
          <t>ÖSTERSUND</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49063-2025</t>
        </is>
      </c>
      <c r="B6012" s="1" t="n">
        <v>45937.64388888889</v>
      </c>
      <c r="C6012" s="1" t="n">
        <v>46045</v>
      </c>
      <c r="D6012" t="inlineStr">
        <is>
          <t>JÄMTLANDS LÄN</t>
        </is>
      </c>
      <c r="E6012" t="inlineStr">
        <is>
          <t>KROKOM</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22915-2025</t>
        </is>
      </c>
      <c r="B6013" s="1" t="n">
        <v>45790.43</v>
      </c>
      <c r="C6013" s="1" t="n">
        <v>46045</v>
      </c>
      <c r="D6013" t="inlineStr">
        <is>
          <t>JÄMTLANDS LÄN</t>
        </is>
      </c>
      <c r="E6013" t="inlineStr">
        <is>
          <t>HÄRJEDALEN</t>
        </is>
      </c>
      <c r="F6013" t="inlineStr">
        <is>
          <t>Sveaskog</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49391-2025</t>
        </is>
      </c>
      <c r="B6014" s="1" t="n">
        <v>45938.65011574074</v>
      </c>
      <c r="C6014" s="1" t="n">
        <v>46045</v>
      </c>
      <c r="D6014" t="inlineStr">
        <is>
          <t>JÄMTLANDS LÄN</t>
        </is>
      </c>
      <c r="E6014" t="inlineStr">
        <is>
          <t>BERG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49046-2025</t>
        </is>
      </c>
      <c r="B6015" s="1" t="n">
        <v>45937.63693287037</v>
      </c>
      <c r="C6015" s="1" t="n">
        <v>46045</v>
      </c>
      <c r="D6015" t="inlineStr">
        <is>
          <t>JÄMTLANDS LÄN</t>
        </is>
      </c>
      <c r="E6015" t="inlineStr">
        <is>
          <t>BRÄCKE</t>
        </is>
      </c>
      <c r="F6015" t="inlineStr">
        <is>
          <t>SCA</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48771-2025</t>
        </is>
      </c>
      <c r="B6016" s="1" t="n">
        <v>45936.92728009259</v>
      </c>
      <c r="C6016" s="1" t="n">
        <v>46045</v>
      </c>
      <c r="D6016" t="inlineStr">
        <is>
          <t>JÄMTLANDS LÄN</t>
        </is>
      </c>
      <c r="E6016" t="inlineStr">
        <is>
          <t>HÄRJEDALEN</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11252-2025</t>
        </is>
      </c>
      <c r="B6017" s="1" t="n">
        <v>45726.38615740741</v>
      </c>
      <c r="C6017" s="1" t="n">
        <v>46045</v>
      </c>
      <c r="D6017" t="inlineStr">
        <is>
          <t>JÄMTLANDS LÄN</t>
        </is>
      </c>
      <c r="E6017" t="inlineStr">
        <is>
          <t>RAGUNDA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22731-2025</t>
        </is>
      </c>
      <c r="B6018" s="1" t="n">
        <v>45789.58238425926</v>
      </c>
      <c r="C6018" s="1" t="n">
        <v>46045</v>
      </c>
      <c r="D6018" t="inlineStr">
        <is>
          <t>JÄMTLANDS LÄN</t>
        </is>
      </c>
      <c r="E6018" t="inlineStr">
        <is>
          <t>KROKOM</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22751-2025</t>
        </is>
      </c>
      <c r="B6019" s="1" t="n">
        <v>45789.61349537037</v>
      </c>
      <c r="C6019" s="1" t="n">
        <v>46045</v>
      </c>
      <c r="D6019" t="inlineStr">
        <is>
          <t>JÄMTLANDS LÄN</t>
        </is>
      </c>
      <c r="E6019" t="inlineStr">
        <is>
          <t>KROKOM</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53769-2023</t>
        </is>
      </c>
      <c r="B6020" s="1" t="n">
        <v>45230</v>
      </c>
      <c r="C6020" s="1" t="n">
        <v>46045</v>
      </c>
      <c r="D6020" t="inlineStr">
        <is>
          <t>JÄMTLANDS LÄN</t>
        </is>
      </c>
      <c r="E6020" t="inlineStr">
        <is>
          <t>RAGUNDA</t>
        </is>
      </c>
      <c r="F6020" t="inlineStr">
        <is>
          <t>SCA</t>
        </is>
      </c>
      <c r="G6020" t="n">
        <v>11.6</v>
      </c>
      <c r="H6020" t="n">
        <v>0</v>
      </c>
      <c r="I6020" t="n">
        <v>0</v>
      </c>
      <c r="J6020" t="n">
        <v>0</v>
      </c>
      <c r="K6020" t="n">
        <v>0</v>
      </c>
      <c r="L6020" t="n">
        <v>0</v>
      </c>
      <c r="M6020" t="n">
        <v>0</v>
      </c>
      <c r="N6020" t="n">
        <v>0</v>
      </c>
      <c r="O6020" t="n">
        <v>0</v>
      </c>
      <c r="P6020" t="n">
        <v>0</v>
      </c>
      <c r="Q6020" t="n">
        <v>0</v>
      </c>
      <c r="R6020" s="2" t="inlineStr"/>
    </row>
    <row r="6021" ht="15" customHeight="1">
      <c r="A6021" t="inlineStr">
        <is>
          <t>A 22822-2025</t>
        </is>
      </c>
      <c r="B6021" s="1" t="n">
        <v>45789</v>
      </c>
      <c r="C6021" s="1" t="n">
        <v>46045</v>
      </c>
      <c r="D6021" t="inlineStr">
        <is>
          <t>JÄMTLANDS LÄN</t>
        </is>
      </c>
      <c r="E6021" t="inlineStr">
        <is>
          <t>ÖSTERSUND</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7384-2025</t>
        </is>
      </c>
      <c r="B6022" s="1" t="n">
        <v>45705.32456018519</v>
      </c>
      <c r="C6022" s="1" t="n">
        <v>46045</v>
      </c>
      <c r="D6022" t="inlineStr">
        <is>
          <t>JÄMTLANDS LÄN</t>
        </is>
      </c>
      <c r="E6022" t="inlineStr">
        <is>
          <t>HÄRJEDALEN</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29835-2022</t>
        </is>
      </c>
      <c r="B6023" s="1" t="n">
        <v>44755.94592592592</v>
      </c>
      <c r="C6023" s="1" t="n">
        <v>46045</v>
      </c>
      <c r="D6023" t="inlineStr">
        <is>
          <t>JÄMTLANDS LÄN</t>
        </is>
      </c>
      <c r="E6023" t="inlineStr">
        <is>
          <t>BRÄCKE</t>
        </is>
      </c>
      <c r="F6023" t="inlineStr">
        <is>
          <t>SCA</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47877-2024</t>
        </is>
      </c>
      <c r="B6024" s="1" t="n">
        <v>45588</v>
      </c>
      <c r="C6024" s="1" t="n">
        <v>46045</v>
      </c>
      <c r="D6024" t="inlineStr">
        <is>
          <t>JÄMTLANDS LÄN</t>
        </is>
      </c>
      <c r="E6024" t="inlineStr">
        <is>
          <t>STRÖMSUND</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51481-2023</t>
        </is>
      </c>
      <c r="B6025" s="1" t="n">
        <v>45221.92440972223</v>
      </c>
      <c r="C6025" s="1" t="n">
        <v>46045</v>
      </c>
      <c r="D6025" t="inlineStr">
        <is>
          <t>JÄMTLANDS LÄN</t>
        </is>
      </c>
      <c r="E6025" t="inlineStr">
        <is>
          <t>ÖSTERSUND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53795-2024</t>
        </is>
      </c>
      <c r="B6026" s="1" t="n">
        <v>45615</v>
      </c>
      <c r="C6026" s="1" t="n">
        <v>46045</v>
      </c>
      <c r="D6026" t="inlineStr">
        <is>
          <t>JÄMTLANDS LÄN</t>
        </is>
      </c>
      <c r="E6026" t="inlineStr">
        <is>
          <t>STRÖMSUND</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43309-2024</t>
        </is>
      </c>
      <c r="B6027" s="1" t="n">
        <v>45568</v>
      </c>
      <c r="C6027" s="1" t="n">
        <v>46045</v>
      </c>
      <c r="D6027" t="inlineStr">
        <is>
          <t>JÄMTLANDS LÄN</t>
        </is>
      </c>
      <c r="E6027" t="inlineStr">
        <is>
          <t>HÄRJEDALEN</t>
        </is>
      </c>
      <c r="F6027" t="inlineStr">
        <is>
          <t>Bergvik skog väst AB</t>
        </is>
      </c>
      <c r="G6027" t="n">
        <v>79.8</v>
      </c>
      <c r="H6027" t="n">
        <v>0</v>
      </c>
      <c r="I6027" t="n">
        <v>0</v>
      </c>
      <c r="J6027" t="n">
        <v>0</v>
      </c>
      <c r="K6027" t="n">
        <v>0</v>
      </c>
      <c r="L6027" t="n">
        <v>0</v>
      </c>
      <c r="M6027" t="n">
        <v>0</v>
      </c>
      <c r="N6027" t="n">
        <v>0</v>
      </c>
      <c r="O6027" t="n">
        <v>0</v>
      </c>
      <c r="P6027" t="n">
        <v>0</v>
      </c>
      <c r="Q6027" t="n">
        <v>0</v>
      </c>
      <c r="R6027" s="2" t="inlineStr"/>
    </row>
    <row r="6028" ht="15" customHeight="1">
      <c r="A6028" t="inlineStr">
        <is>
          <t>A 48770-2025</t>
        </is>
      </c>
      <c r="B6028" s="1" t="n">
        <v>45936.91108796297</v>
      </c>
      <c r="C6028" s="1" t="n">
        <v>46045</v>
      </c>
      <c r="D6028" t="inlineStr">
        <is>
          <t>JÄMTLANDS LÄN</t>
        </is>
      </c>
      <c r="E6028" t="inlineStr">
        <is>
          <t>BERG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10632-2025</t>
        </is>
      </c>
      <c r="B6029" s="1" t="n">
        <v>45721</v>
      </c>
      <c r="C6029" s="1" t="n">
        <v>46045</v>
      </c>
      <c r="D6029" t="inlineStr">
        <is>
          <t>JÄMTLANDS LÄN</t>
        </is>
      </c>
      <c r="E6029" t="inlineStr">
        <is>
          <t>KROKOM</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19674-2025</t>
        </is>
      </c>
      <c r="B6030" s="1" t="n">
        <v>45770</v>
      </c>
      <c r="C6030" s="1" t="n">
        <v>46045</v>
      </c>
      <c r="D6030" t="inlineStr">
        <is>
          <t>JÄMTLANDS LÄN</t>
        </is>
      </c>
      <c r="E6030" t="inlineStr">
        <is>
          <t>STRÖMSUND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61362-2024</t>
        </is>
      </c>
      <c r="B6031" s="1" t="n">
        <v>45646.3857175926</v>
      </c>
      <c r="C6031" s="1" t="n">
        <v>46045</v>
      </c>
      <c r="D6031" t="inlineStr">
        <is>
          <t>JÄMTLANDS LÄN</t>
        </is>
      </c>
      <c r="E6031" t="inlineStr">
        <is>
          <t>BRÄCKE</t>
        </is>
      </c>
      <c r="F6031" t="inlineStr">
        <is>
          <t>SCA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18751-2022</t>
        </is>
      </c>
      <c r="B6032" s="1" t="n">
        <v>44687.94190972222</v>
      </c>
      <c r="C6032" s="1" t="n">
        <v>46045</v>
      </c>
      <c r="D6032" t="inlineStr">
        <is>
          <t>JÄMTLANDS LÄN</t>
        </is>
      </c>
      <c r="E6032" t="inlineStr">
        <is>
          <t>STRÖMSUND</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54479-2023</t>
        </is>
      </c>
      <c r="B6033" s="1" t="n">
        <v>45233</v>
      </c>
      <c r="C6033" s="1" t="n">
        <v>46045</v>
      </c>
      <c r="D6033" t="inlineStr">
        <is>
          <t>JÄMTLANDS LÄN</t>
        </is>
      </c>
      <c r="E6033" t="inlineStr">
        <is>
          <t>STRÖMSUND</t>
        </is>
      </c>
      <c r="F6033" t="inlineStr">
        <is>
          <t>Holmen skog AB</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37238-2023</t>
        </is>
      </c>
      <c r="B6034" s="1" t="n">
        <v>45155.95366898148</v>
      </c>
      <c r="C6034" s="1" t="n">
        <v>46045</v>
      </c>
      <c r="D6034" t="inlineStr">
        <is>
          <t>JÄMTLANDS LÄN</t>
        </is>
      </c>
      <c r="E6034" t="inlineStr">
        <is>
          <t>BRÄCKE</t>
        </is>
      </c>
      <c r="F6034" t="inlineStr">
        <is>
          <t>SCA</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49041-2025</t>
        </is>
      </c>
      <c r="B6035" s="1" t="n">
        <v>45937.63592592593</v>
      </c>
      <c r="C6035" s="1" t="n">
        <v>46045</v>
      </c>
      <c r="D6035" t="inlineStr">
        <is>
          <t>JÄMTLANDS LÄN</t>
        </is>
      </c>
      <c r="E6035" t="inlineStr">
        <is>
          <t>BERG</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49059-2025</t>
        </is>
      </c>
      <c r="B6036" s="1" t="n">
        <v>45937.64123842592</v>
      </c>
      <c r="C6036" s="1" t="n">
        <v>46045</v>
      </c>
      <c r="D6036" t="inlineStr">
        <is>
          <t>JÄMTLANDS LÄN</t>
        </is>
      </c>
      <c r="E6036" t="inlineStr">
        <is>
          <t>RAGUNDA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5948-2025</t>
        </is>
      </c>
      <c r="B6037" s="1" t="n">
        <v>45695</v>
      </c>
      <c r="C6037" s="1" t="n">
        <v>46045</v>
      </c>
      <c r="D6037" t="inlineStr">
        <is>
          <t>JÄMTLANDS LÄN</t>
        </is>
      </c>
      <c r="E6037" t="inlineStr">
        <is>
          <t>STRÖMSUND</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49618-2025</t>
        </is>
      </c>
      <c r="B6038" s="1" t="n">
        <v>45938</v>
      </c>
      <c r="C6038" s="1" t="n">
        <v>46045</v>
      </c>
      <c r="D6038" t="inlineStr">
        <is>
          <t>JÄMTLANDS LÄN</t>
        </is>
      </c>
      <c r="E6038" t="inlineStr">
        <is>
          <t>STRÖMSUND</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911-2022</t>
        </is>
      </c>
      <c r="B6039" s="1" t="n">
        <v>44570</v>
      </c>
      <c r="C6039" s="1" t="n">
        <v>46045</v>
      </c>
      <c r="D6039" t="inlineStr">
        <is>
          <t>JÄMTLANDS LÄN</t>
        </is>
      </c>
      <c r="E6039" t="inlineStr">
        <is>
          <t>ÅRE</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7668-2025</t>
        </is>
      </c>
      <c r="B6040" s="1" t="n">
        <v>45706.34450231482</v>
      </c>
      <c r="C6040" s="1" t="n">
        <v>46045</v>
      </c>
      <c r="D6040" t="inlineStr">
        <is>
          <t>JÄMTLANDS LÄN</t>
        </is>
      </c>
      <c r="E6040" t="inlineStr">
        <is>
          <t>RAGUNDA</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49092-2025</t>
        </is>
      </c>
      <c r="B6041" s="1" t="n">
        <v>45937.67792824074</v>
      </c>
      <c r="C6041" s="1" t="n">
        <v>46045</v>
      </c>
      <c r="D6041" t="inlineStr">
        <is>
          <t>JÄMTLANDS LÄN</t>
        </is>
      </c>
      <c r="E6041" t="inlineStr">
        <is>
          <t>RAGUNDA</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49009-2025</t>
        </is>
      </c>
      <c r="B6042" s="1" t="n">
        <v>45937.60777777778</v>
      </c>
      <c r="C6042" s="1" t="n">
        <v>46045</v>
      </c>
      <c r="D6042" t="inlineStr">
        <is>
          <t>JÄMTLANDS LÄN</t>
        </is>
      </c>
      <c r="E6042" t="inlineStr">
        <is>
          <t>KROKOM</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49193-2025</t>
        </is>
      </c>
      <c r="B6043" s="1" t="n">
        <v>45938.40831018519</v>
      </c>
      <c r="C6043" s="1" t="n">
        <v>46045</v>
      </c>
      <c r="D6043" t="inlineStr">
        <is>
          <t>JÄMTLANDS LÄN</t>
        </is>
      </c>
      <c r="E6043" t="inlineStr">
        <is>
          <t>RAGUNDA</t>
        </is>
      </c>
      <c r="F6043" t="inlineStr">
        <is>
          <t>SCA</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40410-2023</t>
        </is>
      </c>
      <c r="B6044" s="1" t="n">
        <v>45169</v>
      </c>
      <c r="C6044" s="1" t="n">
        <v>46045</v>
      </c>
      <c r="D6044" t="inlineStr">
        <is>
          <t>JÄMTLANDS LÄN</t>
        </is>
      </c>
      <c r="E6044" t="inlineStr">
        <is>
          <t>BRÄCKE</t>
        </is>
      </c>
      <c r="F6044" t="inlineStr">
        <is>
          <t>SCA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62356-2023</t>
        </is>
      </c>
      <c r="B6045" s="1" t="n">
        <v>45267</v>
      </c>
      <c r="C6045" s="1" t="n">
        <v>46045</v>
      </c>
      <c r="D6045" t="inlineStr">
        <is>
          <t>JÄMTLANDS LÄN</t>
        </is>
      </c>
      <c r="E6045" t="inlineStr">
        <is>
          <t>STRÖMSUND</t>
        </is>
      </c>
      <c r="F6045" t="inlineStr">
        <is>
          <t>SCA</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62360-2023</t>
        </is>
      </c>
      <c r="B6046" s="1" t="n">
        <v>45267</v>
      </c>
      <c r="C6046" s="1" t="n">
        <v>46045</v>
      </c>
      <c r="D6046" t="inlineStr">
        <is>
          <t>JÄMTLANDS LÄN</t>
        </is>
      </c>
      <c r="E6046" t="inlineStr">
        <is>
          <t>BERG</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22940-2025</t>
        </is>
      </c>
      <c r="B6047" s="1" t="n">
        <v>45790.46918981482</v>
      </c>
      <c r="C6047" s="1" t="n">
        <v>46045</v>
      </c>
      <c r="D6047" t="inlineStr">
        <is>
          <t>JÄMTLANDS LÄN</t>
        </is>
      </c>
      <c r="E6047" t="inlineStr">
        <is>
          <t>BRÄCKE</t>
        </is>
      </c>
      <c r="F6047" t="inlineStr">
        <is>
          <t>SCA</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21701-2022</t>
        </is>
      </c>
      <c r="B6048" s="1" t="n">
        <v>44707.93929398148</v>
      </c>
      <c r="C6048" s="1" t="n">
        <v>46045</v>
      </c>
      <c r="D6048" t="inlineStr">
        <is>
          <t>JÄMTLANDS LÄN</t>
        </is>
      </c>
      <c r="E6048" t="inlineStr">
        <is>
          <t>STRÖMSUND</t>
        </is>
      </c>
      <c r="F6048" t="inlineStr">
        <is>
          <t>SCA</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49321-2025</t>
        </is>
      </c>
      <c r="B6049" s="1" t="n">
        <v>45938.57334490741</v>
      </c>
      <c r="C6049" s="1" t="n">
        <v>46045</v>
      </c>
      <c r="D6049" t="inlineStr">
        <is>
          <t>JÄMTLANDS LÄN</t>
        </is>
      </c>
      <c r="E6049" t="inlineStr">
        <is>
          <t>STRÖMSUND</t>
        </is>
      </c>
      <c r="F6049" t="inlineStr">
        <is>
          <t>SCA</t>
        </is>
      </c>
      <c r="G6049" t="n">
        <v>25.5</v>
      </c>
      <c r="H6049" t="n">
        <v>0</v>
      </c>
      <c r="I6049" t="n">
        <v>0</v>
      </c>
      <c r="J6049" t="n">
        <v>0</v>
      </c>
      <c r="K6049" t="n">
        <v>0</v>
      </c>
      <c r="L6049" t="n">
        <v>0</v>
      </c>
      <c r="M6049" t="n">
        <v>0</v>
      </c>
      <c r="N6049" t="n">
        <v>0</v>
      </c>
      <c r="O6049" t="n">
        <v>0</v>
      </c>
      <c r="P6049" t="n">
        <v>0</v>
      </c>
      <c r="Q6049" t="n">
        <v>0</v>
      </c>
      <c r="R6049" s="2" t="inlineStr"/>
    </row>
    <row r="6050" ht="15" customHeight="1">
      <c r="A6050" t="inlineStr">
        <is>
          <t>A 49354-2025</t>
        </is>
      </c>
      <c r="B6050" s="1" t="n">
        <v>45938.61516203704</v>
      </c>
      <c r="C6050" s="1" t="n">
        <v>46045</v>
      </c>
      <c r="D6050" t="inlineStr">
        <is>
          <t>JÄMTLANDS LÄN</t>
        </is>
      </c>
      <c r="E6050" t="inlineStr">
        <is>
          <t>STRÖMSUND</t>
        </is>
      </c>
      <c r="F6050" t="inlineStr">
        <is>
          <t>SCA</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55140-2023</t>
        </is>
      </c>
      <c r="B6051" s="1" t="n">
        <v>45237.50966435186</v>
      </c>
      <c r="C6051" s="1" t="n">
        <v>46045</v>
      </c>
      <c r="D6051" t="inlineStr">
        <is>
          <t>JÄMTLANDS LÄN</t>
        </is>
      </c>
      <c r="E6051" t="inlineStr">
        <is>
          <t>ÖSTERSUND</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49253-2025</t>
        </is>
      </c>
      <c r="B6052" s="1" t="n">
        <v>45938.49127314815</v>
      </c>
      <c r="C6052" s="1" t="n">
        <v>46045</v>
      </c>
      <c r="D6052" t="inlineStr">
        <is>
          <t>JÄMTLANDS LÄN</t>
        </is>
      </c>
      <c r="E6052" t="inlineStr">
        <is>
          <t>STRÖMSUND</t>
        </is>
      </c>
      <c r="F6052" t="inlineStr">
        <is>
          <t>SCA</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49168-2025</t>
        </is>
      </c>
      <c r="B6053" s="1" t="n">
        <v>45938.36853009259</v>
      </c>
      <c r="C6053" s="1" t="n">
        <v>46045</v>
      </c>
      <c r="D6053" t="inlineStr">
        <is>
          <t>JÄMTLANDS LÄN</t>
        </is>
      </c>
      <c r="E6053" t="inlineStr">
        <is>
          <t>HÄRJEDALEN</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51161-2023</t>
        </is>
      </c>
      <c r="B6054" s="1" t="n">
        <v>45219.38019675926</v>
      </c>
      <c r="C6054" s="1" t="n">
        <v>46045</v>
      </c>
      <c r="D6054" t="inlineStr">
        <is>
          <t>JÄMTLANDS LÄN</t>
        </is>
      </c>
      <c r="E6054" t="inlineStr">
        <is>
          <t>BRÄCKE</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43316-2024</t>
        </is>
      </c>
      <c r="B6055" s="1" t="n">
        <v>45568</v>
      </c>
      <c r="C6055" s="1" t="n">
        <v>46045</v>
      </c>
      <c r="D6055" t="inlineStr">
        <is>
          <t>JÄMTLANDS LÄN</t>
        </is>
      </c>
      <c r="E6055" t="inlineStr">
        <is>
          <t>HÄRJEDALEN</t>
        </is>
      </c>
      <c r="F6055" t="inlineStr">
        <is>
          <t>Bergvik skog väst AB</t>
        </is>
      </c>
      <c r="G6055" t="n">
        <v>79.90000000000001</v>
      </c>
      <c r="H6055" t="n">
        <v>0</v>
      </c>
      <c r="I6055" t="n">
        <v>0</v>
      </c>
      <c r="J6055" t="n">
        <v>0</v>
      </c>
      <c r="K6055" t="n">
        <v>0</v>
      </c>
      <c r="L6055" t="n">
        <v>0</v>
      </c>
      <c r="M6055" t="n">
        <v>0</v>
      </c>
      <c r="N6055" t="n">
        <v>0</v>
      </c>
      <c r="O6055" t="n">
        <v>0</v>
      </c>
      <c r="P6055" t="n">
        <v>0</v>
      </c>
      <c r="Q6055" t="n">
        <v>0</v>
      </c>
      <c r="R6055" s="2" t="inlineStr"/>
    </row>
    <row r="6056" ht="15" customHeight="1">
      <c r="A6056" t="inlineStr">
        <is>
          <t>A 354-2025</t>
        </is>
      </c>
      <c r="B6056" s="1" t="n">
        <v>45659</v>
      </c>
      <c r="C6056" s="1" t="n">
        <v>46045</v>
      </c>
      <c r="D6056" t="inlineStr">
        <is>
          <t>JÄMTLANDS LÄN</t>
        </is>
      </c>
      <c r="E6056" t="inlineStr">
        <is>
          <t>STRÖMSUND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355-2025</t>
        </is>
      </c>
      <c r="B6057" s="1" t="n">
        <v>45659</v>
      </c>
      <c r="C6057" s="1" t="n">
        <v>46045</v>
      </c>
      <c r="D6057" t="inlineStr">
        <is>
          <t>JÄMTLANDS LÄN</t>
        </is>
      </c>
      <c r="E6057" t="inlineStr">
        <is>
          <t>STRÖMSUND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53873-2024</t>
        </is>
      </c>
      <c r="B6058" s="1" t="n">
        <v>45615.65570601852</v>
      </c>
      <c r="C6058" s="1" t="n">
        <v>46045</v>
      </c>
      <c r="D6058" t="inlineStr">
        <is>
          <t>JÄMTLANDS LÄN</t>
        </is>
      </c>
      <c r="E6058" t="inlineStr">
        <is>
          <t>STRÖMSUND</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49292-2025</t>
        </is>
      </c>
      <c r="B6059" s="1" t="n">
        <v>45938.53203703704</v>
      </c>
      <c r="C6059" s="1" t="n">
        <v>46045</v>
      </c>
      <c r="D6059" t="inlineStr">
        <is>
          <t>JÄMTLANDS LÄN</t>
        </is>
      </c>
      <c r="E6059" t="inlineStr">
        <is>
          <t>BRÄCKE</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22670-2025</t>
        </is>
      </c>
      <c r="B6060" s="1" t="n">
        <v>45789.49024305555</v>
      </c>
      <c r="C6060" s="1" t="n">
        <v>46045</v>
      </c>
      <c r="D6060" t="inlineStr">
        <is>
          <t>JÄMTLANDS LÄN</t>
        </is>
      </c>
      <c r="E6060" t="inlineStr">
        <is>
          <t>BRÄCKE</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22672-2025</t>
        </is>
      </c>
      <c r="B6061" s="1" t="n">
        <v>45789.4903587963</v>
      </c>
      <c r="C6061" s="1" t="n">
        <v>46045</v>
      </c>
      <c r="D6061" t="inlineStr">
        <is>
          <t>JÄMTLANDS LÄN</t>
        </is>
      </c>
      <c r="E6061" t="inlineStr">
        <is>
          <t>BERG</t>
        </is>
      </c>
      <c r="F6061" t="inlineStr">
        <is>
          <t>SCA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49325-2025</t>
        </is>
      </c>
      <c r="B6062" s="1" t="n">
        <v>45938.57407407407</v>
      </c>
      <c r="C6062" s="1" t="n">
        <v>46045</v>
      </c>
      <c r="D6062" t="inlineStr">
        <is>
          <t>JÄMTLANDS LÄN</t>
        </is>
      </c>
      <c r="E6062" t="inlineStr">
        <is>
          <t>HÄRJEDALEN</t>
        </is>
      </c>
      <c r="F6062" t="inlineStr">
        <is>
          <t>Bergvik skog väst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22958-2025</t>
        </is>
      </c>
      <c r="B6063" s="1" t="n">
        <v>45790.53184027778</v>
      </c>
      <c r="C6063" s="1" t="n">
        <v>46045</v>
      </c>
      <c r="D6063" t="inlineStr">
        <is>
          <t>JÄMTLANDS LÄN</t>
        </is>
      </c>
      <c r="E6063" t="inlineStr">
        <is>
          <t>BRÄCKE</t>
        </is>
      </c>
      <c r="F6063" t="inlineStr">
        <is>
          <t>SCA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49375-2025</t>
        </is>
      </c>
      <c r="B6064" s="1" t="n">
        <v>45938.63584490741</v>
      </c>
      <c r="C6064" s="1" t="n">
        <v>46045</v>
      </c>
      <c r="D6064" t="inlineStr">
        <is>
          <t>JÄMTLANDS LÄN</t>
        </is>
      </c>
      <c r="E6064" t="inlineStr">
        <is>
          <t>STRÖMSUND</t>
        </is>
      </c>
      <c r="F6064" t="inlineStr">
        <is>
          <t>SCA</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49389-2025</t>
        </is>
      </c>
      <c r="B6065" s="1" t="n">
        <v>45938.64905092592</v>
      </c>
      <c r="C6065" s="1" t="n">
        <v>46045</v>
      </c>
      <c r="D6065" t="inlineStr">
        <is>
          <t>JÄMTLANDS LÄN</t>
        </is>
      </c>
      <c r="E6065" t="inlineStr">
        <is>
          <t>HÄRJEDALEN</t>
        </is>
      </c>
      <c r="G6065" t="n">
        <v>14.9</v>
      </c>
      <c r="H6065" t="n">
        <v>0</v>
      </c>
      <c r="I6065" t="n">
        <v>0</v>
      </c>
      <c r="J6065" t="n">
        <v>0</v>
      </c>
      <c r="K6065" t="n">
        <v>0</v>
      </c>
      <c r="L6065" t="n">
        <v>0</v>
      </c>
      <c r="M6065" t="n">
        <v>0</v>
      </c>
      <c r="N6065" t="n">
        <v>0</v>
      </c>
      <c r="O6065" t="n">
        <v>0</v>
      </c>
      <c r="P6065" t="n">
        <v>0</v>
      </c>
      <c r="Q6065" t="n">
        <v>0</v>
      </c>
      <c r="R6065" s="2" t="inlineStr"/>
    </row>
    <row r="6066" ht="15" customHeight="1">
      <c r="A6066" t="inlineStr">
        <is>
          <t>A 13685-2023</t>
        </is>
      </c>
      <c r="B6066" s="1" t="n">
        <v>45006</v>
      </c>
      <c r="C6066" s="1" t="n">
        <v>46045</v>
      </c>
      <c r="D6066" t="inlineStr">
        <is>
          <t>JÄMTLANDS LÄN</t>
        </is>
      </c>
      <c r="E6066" t="inlineStr">
        <is>
          <t>STRÖMSUND</t>
        </is>
      </c>
      <c r="G6066" t="n">
        <v>11.4</v>
      </c>
      <c r="H6066" t="n">
        <v>0</v>
      </c>
      <c r="I6066" t="n">
        <v>0</v>
      </c>
      <c r="J6066" t="n">
        <v>0</v>
      </c>
      <c r="K6066" t="n">
        <v>0</v>
      </c>
      <c r="L6066" t="n">
        <v>0</v>
      </c>
      <c r="M6066" t="n">
        <v>0</v>
      </c>
      <c r="N6066" t="n">
        <v>0</v>
      </c>
      <c r="O6066" t="n">
        <v>0</v>
      </c>
      <c r="P6066" t="n">
        <v>0</v>
      </c>
      <c r="Q6066" t="n">
        <v>0</v>
      </c>
      <c r="R6066" s="2" t="inlineStr"/>
    </row>
    <row r="6067" ht="15" customHeight="1">
      <c r="A6067" t="inlineStr">
        <is>
          <t>A 49426-2025</t>
        </is>
      </c>
      <c r="B6067" s="1" t="n">
        <v>45938.74932870371</v>
      </c>
      <c r="C6067" s="1" t="n">
        <v>46045</v>
      </c>
      <c r="D6067" t="inlineStr">
        <is>
          <t>JÄMTLANDS LÄN</t>
        </is>
      </c>
      <c r="E6067" t="inlineStr">
        <is>
          <t>HÄRJEDALEN</t>
        </is>
      </c>
      <c r="G6067" t="n">
        <v>8.4</v>
      </c>
      <c r="H6067" t="n">
        <v>0</v>
      </c>
      <c r="I6067" t="n">
        <v>0</v>
      </c>
      <c r="J6067" t="n">
        <v>0</v>
      </c>
      <c r="K6067" t="n">
        <v>0</v>
      </c>
      <c r="L6067" t="n">
        <v>0</v>
      </c>
      <c r="M6067" t="n">
        <v>0</v>
      </c>
      <c r="N6067" t="n">
        <v>0</v>
      </c>
      <c r="O6067" t="n">
        <v>0</v>
      </c>
      <c r="P6067" t="n">
        <v>0</v>
      </c>
      <c r="Q6067" t="n">
        <v>0</v>
      </c>
      <c r="R6067" s="2" t="inlineStr"/>
    </row>
    <row r="6068" ht="15" customHeight="1">
      <c r="A6068" t="inlineStr">
        <is>
          <t>A 22920-2025</t>
        </is>
      </c>
      <c r="B6068" s="1" t="n">
        <v>45790.43905092592</v>
      </c>
      <c r="C6068" s="1" t="n">
        <v>46045</v>
      </c>
      <c r="D6068" t="inlineStr">
        <is>
          <t>JÄMTLANDS LÄN</t>
        </is>
      </c>
      <c r="E6068" t="inlineStr">
        <is>
          <t>ÖSTERSUND</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18685-2024</t>
        </is>
      </c>
      <c r="B6069" s="1" t="n">
        <v>45426.38322916667</v>
      </c>
      <c r="C6069" s="1" t="n">
        <v>46045</v>
      </c>
      <c r="D6069" t="inlineStr">
        <is>
          <t>JÄMTLANDS LÄN</t>
        </is>
      </c>
      <c r="E6069" t="inlineStr">
        <is>
          <t>BERG</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22957-2025</t>
        </is>
      </c>
      <c r="B6070" s="1" t="n">
        <v>45790.53179398148</v>
      </c>
      <c r="C6070" s="1" t="n">
        <v>46045</v>
      </c>
      <c r="D6070" t="inlineStr">
        <is>
          <t>JÄMTLANDS LÄN</t>
        </is>
      </c>
      <c r="E6070" t="inlineStr">
        <is>
          <t>BRÄCKE</t>
        </is>
      </c>
      <c r="F6070" t="inlineStr">
        <is>
          <t>SCA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45342-2023</t>
        </is>
      </c>
      <c r="B6071" s="1" t="n">
        <v>45191.93817129629</v>
      </c>
      <c r="C6071" s="1" t="n">
        <v>46045</v>
      </c>
      <c r="D6071" t="inlineStr">
        <is>
          <t>JÄMTLANDS LÄN</t>
        </is>
      </c>
      <c r="E6071" t="inlineStr">
        <is>
          <t>BRÄCKE</t>
        </is>
      </c>
      <c r="F6071" t="inlineStr">
        <is>
          <t>SCA</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49223-2025</t>
        </is>
      </c>
      <c r="B6072" s="1" t="n">
        <v>45938</v>
      </c>
      <c r="C6072" s="1" t="n">
        <v>46045</v>
      </c>
      <c r="D6072" t="inlineStr">
        <is>
          <t>JÄMTLANDS LÄN</t>
        </is>
      </c>
      <c r="E6072" t="inlineStr">
        <is>
          <t>STRÖMSUND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49255-2025</t>
        </is>
      </c>
      <c r="B6073" s="1" t="n">
        <v>45938.49164351852</v>
      </c>
      <c r="C6073" s="1" t="n">
        <v>46045</v>
      </c>
      <c r="D6073" t="inlineStr">
        <is>
          <t>JÄMTLANDS LÄN</t>
        </is>
      </c>
      <c r="E6073" t="inlineStr">
        <is>
          <t>BRÄCKE</t>
        </is>
      </c>
      <c r="F6073" t="inlineStr">
        <is>
          <t>SCA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49260-2025</t>
        </is>
      </c>
      <c r="B6074" s="1" t="n">
        <v>45938.49702546297</v>
      </c>
      <c r="C6074" s="1" t="n">
        <v>46045</v>
      </c>
      <c r="D6074" t="inlineStr">
        <is>
          <t>JÄMTLANDS LÄN</t>
        </is>
      </c>
      <c r="E6074" t="inlineStr">
        <is>
          <t>BRÄCKE</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49039-2025</t>
        </is>
      </c>
      <c r="B6075" s="1" t="n">
        <v>45937.63275462963</v>
      </c>
      <c r="C6075" s="1" t="n">
        <v>46045</v>
      </c>
      <c r="D6075" t="inlineStr">
        <is>
          <t>JÄMTLANDS LÄN</t>
        </is>
      </c>
      <c r="E6075" t="inlineStr">
        <is>
          <t>ÖSTERSUND</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22985-2023</t>
        </is>
      </c>
      <c r="B6076" s="1" t="n">
        <v>45072</v>
      </c>
      <c r="C6076" s="1" t="n">
        <v>46045</v>
      </c>
      <c r="D6076" t="inlineStr">
        <is>
          <t>JÄMTLANDS LÄN</t>
        </is>
      </c>
      <c r="E6076" t="inlineStr">
        <is>
          <t>BRÄCKE</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18645-2024</t>
        </is>
      </c>
      <c r="B6077" s="1" t="n">
        <v>45425.96738425926</v>
      </c>
      <c r="C6077" s="1" t="n">
        <v>46045</v>
      </c>
      <c r="D6077" t="inlineStr">
        <is>
          <t>JÄMTLANDS LÄN</t>
        </is>
      </c>
      <c r="E6077" t="inlineStr">
        <is>
          <t>BRÄCKE</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48867-2023</t>
        </is>
      </c>
      <c r="B6078" s="1" t="n">
        <v>45209.45420138889</v>
      </c>
      <c r="C6078" s="1" t="n">
        <v>46045</v>
      </c>
      <c r="D6078" t="inlineStr">
        <is>
          <t>JÄMTLANDS LÄN</t>
        </is>
      </c>
      <c r="E6078" t="inlineStr">
        <is>
          <t>HÄRJEDALEN</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49049-2025</t>
        </is>
      </c>
      <c r="B6079" s="1" t="n">
        <v>45937.63725694444</v>
      </c>
      <c r="C6079" s="1" t="n">
        <v>46045</v>
      </c>
      <c r="D6079" t="inlineStr">
        <is>
          <t>JÄMTLANDS LÄN</t>
        </is>
      </c>
      <c r="E6079" t="inlineStr">
        <is>
          <t>STRÖMSUND</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49051-2025</t>
        </is>
      </c>
      <c r="B6080" s="1" t="n">
        <v>45937.63782407407</v>
      </c>
      <c r="C6080" s="1" t="n">
        <v>46045</v>
      </c>
      <c r="D6080" t="inlineStr">
        <is>
          <t>JÄMTLANDS LÄN</t>
        </is>
      </c>
      <c r="E6080" t="inlineStr">
        <is>
          <t>STRÖMSUND</t>
        </is>
      </c>
      <c r="F6080" t="inlineStr">
        <is>
          <t>SCA</t>
        </is>
      </c>
      <c r="G6080" t="n">
        <v>8.699999999999999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44082-2024</t>
        </is>
      </c>
      <c r="B6081" s="1" t="n">
        <v>45572.61549768518</v>
      </c>
      <c r="C6081" s="1" t="n">
        <v>46045</v>
      </c>
      <c r="D6081" t="inlineStr">
        <is>
          <t>JÄMTLANDS LÄN</t>
        </is>
      </c>
      <c r="E6081" t="inlineStr">
        <is>
          <t>BRÄCKE</t>
        </is>
      </c>
      <c r="F6081" t="inlineStr">
        <is>
          <t>SCA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48968-2025</t>
        </is>
      </c>
      <c r="B6082" s="1" t="n">
        <v>45937.56285879629</v>
      </c>
      <c r="C6082" s="1" t="n">
        <v>46045</v>
      </c>
      <c r="D6082" t="inlineStr">
        <is>
          <t>JÄMTLANDS LÄN</t>
        </is>
      </c>
      <c r="E6082" t="inlineStr">
        <is>
          <t>BERG</t>
        </is>
      </c>
      <c r="G6082" t="n">
        <v>20</v>
      </c>
      <c r="H6082" t="n">
        <v>0</v>
      </c>
      <c r="I6082" t="n">
        <v>0</v>
      </c>
      <c r="J6082" t="n">
        <v>0</v>
      </c>
      <c r="K6082" t="n">
        <v>0</v>
      </c>
      <c r="L6082" t="n">
        <v>0</v>
      </c>
      <c r="M6082" t="n">
        <v>0</v>
      </c>
      <c r="N6082" t="n">
        <v>0</v>
      </c>
      <c r="O6082" t="n">
        <v>0</v>
      </c>
      <c r="P6082" t="n">
        <v>0</v>
      </c>
      <c r="Q6082" t="n">
        <v>0</v>
      </c>
      <c r="R6082" s="2" t="inlineStr"/>
    </row>
    <row r="6083" ht="15" customHeight="1">
      <c r="A6083" t="inlineStr">
        <is>
          <t>A 22653-2025</t>
        </is>
      </c>
      <c r="B6083" s="1" t="n">
        <v>45789.46931712963</v>
      </c>
      <c r="C6083" s="1" t="n">
        <v>46045</v>
      </c>
      <c r="D6083" t="inlineStr">
        <is>
          <t>JÄMTLANDS LÄN</t>
        </is>
      </c>
      <c r="E6083" t="inlineStr">
        <is>
          <t>BERG</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5277-2021</t>
        </is>
      </c>
      <c r="B6084" s="1" t="n">
        <v>44225</v>
      </c>
      <c r="C6084" s="1" t="n">
        <v>46045</v>
      </c>
      <c r="D6084" t="inlineStr">
        <is>
          <t>JÄMTLANDS LÄN</t>
        </is>
      </c>
      <c r="E6084" t="inlineStr">
        <is>
          <t>HÄRJEDALEN</t>
        </is>
      </c>
      <c r="G6084" t="n">
        <v>20</v>
      </c>
      <c r="H6084" t="n">
        <v>0</v>
      </c>
      <c r="I6084" t="n">
        <v>0</v>
      </c>
      <c r="J6084" t="n">
        <v>0</v>
      </c>
      <c r="K6084" t="n">
        <v>0</v>
      </c>
      <c r="L6084" t="n">
        <v>0</v>
      </c>
      <c r="M6084" t="n">
        <v>0</v>
      </c>
      <c r="N6084" t="n">
        <v>0</v>
      </c>
      <c r="O6084" t="n">
        <v>0</v>
      </c>
      <c r="P6084" t="n">
        <v>0</v>
      </c>
      <c r="Q6084" t="n">
        <v>0</v>
      </c>
      <c r="R6084" s="2" t="inlineStr"/>
    </row>
    <row r="6085" ht="15" customHeight="1">
      <c r="A6085" t="inlineStr">
        <is>
          <t>A 12857-2021</t>
        </is>
      </c>
      <c r="B6085" s="1" t="n">
        <v>44270</v>
      </c>
      <c r="C6085" s="1" t="n">
        <v>46045</v>
      </c>
      <c r="D6085" t="inlineStr">
        <is>
          <t>JÄMTLANDS LÄN</t>
        </is>
      </c>
      <c r="E6085" t="inlineStr">
        <is>
          <t>ÅRE</t>
        </is>
      </c>
      <c r="F6085" t="inlineStr">
        <is>
          <t>Kommuner</t>
        </is>
      </c>
      <c r="G6085" t="n">
        <v>17.2</v>
      </c>
      <c r="H6085" t="n">
        <v>0</v>
      </c>
      <c r="I6085" t="n">
        <v>0</v>
      </c>
      <c r="J6085" t="n">
        <v>0</v>
      </c>
      <c r="K6085" t="n">
        <v>0</v>
      </c>
      <c r="L6085" t="n">
        <v>0</v>
      </c>
      <c r="M6085" t="n">
        <v>0</v>
      </c>
      <c r="N6085" t="n">
        <v>0</v>
      </c>
      <c r="O6085" t="n">
        <v>0</v>
      </c>
      <c r="P6085" t="n">
        <v>0</v>
      </c>
      <c r="Q6085" t="n">
        <v>0</v>
      </c>
      <c r="R6085" s="2" t="inlineStr"/>
    </row>
    <row r="6086" ht="15" customHeight="1">
      <c r="A6086" t="inlineStr">
        <is>
          <t>A 49290-2025</t>
        </is>
      </c>
      <c r="B6086" s="1" t="n">
        <v>45938.53168981482</v>
      </c>
      <c r="C6086" s="1" t="n">
        <v>46045</v>
      </c>
      <c r="D6086" t="inlineStr">
        <is>
          <t>JÄMTLANDS LÄN</t>
        </is>
      </c>
      <c r="E6086" t="inlineStr">
        <is>
          <t>RAGUNDA</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22313-2025</t>
        </is>
      </c>
      <c r="B6087" s="1" t="n">
        <v>45786.38583333333</v>
      </c>
      <c r="C6087" s="1" t="n">
        <v>46045</v>
      </c>
      <c r="D6087" t="inlineStr">
        <is>
          <t>JÄMTLANDS LÄN</t>
        </is>
      </c>
      <c r="E6087" t="inlineStr">
        <is>
          <t>BRÄCKE</t>
        </is>
      </c>
      <c r="F6087" t="inlineStr">
        <is>
          <t>SCA</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58136-2024</t>
        </is>
      </c>
      <c r="B6088" s="1" t="n">
        <v>45632</v>
      </c>
      <c r="C6088" s="1" t="n">
        <v>46045</v>
      </c>
      <c r="D6088" t="inlineStr">
        <is>
          <t>JÄMTLANDS LÄN</t>
        </is>
      </c>
      <c r="E6088" t="inlineStr">
        <is>
          <t>KROKOM</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48830-2025</t>
        </is>
      </c>
      <c r="B6089" s="1" t="n">
        <v>45937.38608796296</v>
      </c>
      <c r="C6089" s="1" t="n">
        <v>46045</v>
      </c>
      <c r="D6089" t="inlineStr">
        <is>
          <t>JÄMTLANDS LÄN</t>
        </is>
      </c>
      <c r="E6089" t="inlineStr">
        <is>
          <t>STRÖMSUND</t>
        </is>
      </c>
      <c r="F6089" t="inlineStr">
        <is>
          <t>SCA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22741-2025</t>
        </is>
      </c>
      <c r="B6090" s="1" t="n">
        <v>45789.59423611111</v>
      </c>
      <c r="C6090" s="1" t="n">
        <v>46045</v>
      </c>
      <c r="D6090" t="inlineStr">
        <is>
          <t>JÄMTLANDS LÄN</t>
        </is>
      </c>
      <c r="E6090" t="inlineStr">
        <is>
          <t>STRÖMSUND</t>
        </is>
      </c>
      <c r="F6090" t="inlineStr">
        <is>
          <t>SCA</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22519-2025</t>
        </is>
      </c>
      <c r="B6091" s="1" t="n">
        <v>45786.67841435185</v>
      </c>
      <c r="C6091" s="1" t="n">
        <v>46045</v>
      </c>
      <c r="D6091" t="inlineStr">
        <is>
          <t>JÄMTLANDS LÄN</t>
        </is>
      </c>
      <c r="E6091" t="inlineStr">
        <is>
          <t>STRÖMSUND</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48865-2025</t>
        </is>
      </c>
      <c r="B6092" s="1" t="n">
        <v>45937.44760416666</v>
      </c>
      <c r="C6092" s="1" t="n">
        <v>46045</v>
      </c>
      <c r="D6092" t="inlineStr">
        <is>
          <t>JÄMTLANDS LÄN</t>
        </is>
      </c>
      <c r="E6092" t="inlineStr">
        <is>
          <t>BERG</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9755-2024</t>
        </is>
      </c>
      <c r="B6093" s="1" t="n">
        <v>45362</v>
      </c>
      <c r="C6093" s="1" t="n">
        <v>46045</v>
      </c>
      <c r="D6093" t="inlineStr">
        <is>
          <t>JÄMTLANDS LÄN</t>
        </is>
      </c>
      <c r="E6093" t="inlineStr">
        <is>
          <t>KROKOM</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57268-2025</t>
        </is>
      </c>
      <c r="B6094" s="1" t="n">
        <v>45979.6756712963</v>
      </c>
      <c r="C6094" s="1" t="n">
        <v>46045</v>
      </c>
      <c r="D6094" t="inlineStr">
        <is>
          <t>JÄMTLANDS LÄN</t>
        </is>
      </c>
      <c r="E6094" t="inlineStr">
        <is>
          <t>ÖSTERSUND</t>
        </is>
      </c>
      <c r="F6094" t="inlineStr">
        <is>
          <t>Kommuner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48801-2025</t>
        </is>
      </c>
      <c r="B6095" s="1" t="n">
        <v>45937.34515046296</v>
      </c>
      <c r="C6095" s="1" t="n">
        <v>46045</v>
      </c>
      <c r="D6095" t="inlineStr">
        <is>
          <t>JÄMTLANDS LÄN</t>
        </is>
      </c>
      <c r="E6095" t="inlineStr">
        <is>
          <t>KROKOM</t>
        </is>
      </c>
      <c r="F6095" t="inlineStr">
        <is>
          <t>SCA</t>
        </is>
      </c>
      <c r="G6095" t="n">
        <v>15.3</v>
      </c>
      <c r="H6095" t="n">
        <v>0</v>
      </c>
      <c r="I6095" t="n">
        <v>0</v>
      </c>
      <c r="J6095" t="n">
        <v>0</v>
      </c>
      <c r="K6095" t="n">
        <v>0</v>
      </c>
      <c r="L6095" t="n">
        <v>0</v>
      </c>
      <c r="M6095" t="n">
        <v>0</v>
      </c>
      <c r="N6095" t="n">
        <v>0</v>
      </c>
      <c r="O6095" t="n">
        <v>0</v>
      </c>
      <c r="P6095" t="n">
        <v>0</v>
      </c>
      <c r="Q6095" t="n">
        <v>0</v>
      </c>
      <c r="R6095" s="2" t="inlineStr"/>
    </row>
    <row r="6096" ht="15" customHeight="1">
      <c r="A6096" t="inlineStr">
        <is>
          <t>A 48804-2025</t>
        </is>
      </c>
      <c r="B6096" s="1" t="n">
        <v>45937.35050925926</v>
      </c>
      <c r="C6096" s="1" t="n">
        <v>46045</v>
      </c>
      <c r="D6096" t="inlineStr">
        <is>
          <t>JÄMTLANDS LÄN</t>
        </is>
      </c>
      <c r="E6096" t="inlineStr">
        <is>
          <t>HÄRJEDALEN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47966-2025</t>
        </is>
      </c>
      <c r="B6097" s="1" t="n">
        <v>45932</v>
      </c>
      <c r="C6097" s="1" t="n">
        <v>46045</v>
      </c>
      <c r="D6097" t="inlineStr">
        <is>
          <t>JÄMTLANDS LÄN</t>
        </is>
      </c>
      <c r="E6097" t="inlineStr">
        <is>
          <t>STRÖMSUND</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48982-2025</t>
        </is>
      </c>
      <c r="B6098" s="1" t="n">
        <v>45937.57377314815</v>
      </c>
      <c r="C6098" s="1" t="n">
        <v>46045</v>
      </c>
      <c r="D6098" t="inlineStr">
        <is>
          <t>JÄMTLANDS LÄN</t>
        </is>
      </c>
      <c r="E6098" t="inlineStr">
        <is>
          <t>BRÄCKE</t>
        </is>
      </c>
      <c r="F6098" t="inlineStr">
        <is>
          <t>SCA</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49067-2025</t>
        </is>
      </c>
      <c r="B6099" s="1" t="n">
        <v>45937.64741898148</v>
      </c>
      <c r="C6099" s="1" t="n">
        <v>46045</v>
      </c>
      <c r="D6099" t="inlineStr">
        <is>
          <t>JÄMTLANDS LÄN</t>
        </is>
      </c>
      <c r="E6099" t="inlineStr">
        <is>
          <t>KROKOM</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54063-2023</t>
        </is>
      </c>
      <c r="B6100" s="1" t="n">
        <v>45231</v>
      </c>
      <c r="C6100" s="1" t="n">
        <v>46045</v>
      </c>
      <c r="D6100" t="inlineStr">
        <is>
          <t>JÄMTLANDS LÄN</t>
        </is>
      </c>
      <c r="E6100" t="inlineStr">
        <is>
          <t>STRÖMSUND</t>
        </is>
      </c>
      <c r="F6100" t="inlineStr">
        <is>
          <t>SCA</t>
        </is>
      </c>
      <c r="G6100" t="n">
        <v>10.6</v>
      </c>
      <c r="H6100" t="n">
        <v>0</v>
      </c>
      <c r="I6100" t="n">
        <v>0</v>
      </c>
      <c r="J6100" t="n">
        <v>0</v>
      </c>
      <c r="K6100" t="n">
        <v>0</v>
      </c>
      <c r="L6100" t="n">
        <v>0</v>
      </c>
      <c r="M6100" t="n">
        <v>0</v>
      </c>
      <c r="N6100" t="n">
        <v>0</v>
      </c>
      <c r="O6100" t="n">
        <v>0</v>
      </c>
      <c r="P6100" t="n">
        <v>0</v>
      </c>
      <c r="Q6100" t="n">
        <v>0</v>
      </c>
      <c r="R6100" s="2" t="inlineStr"/>
    </row>
    <row r="6101" ht="15" customHeight="1">
      <c r="A6101" t="inlineStr">
        <is>
          <t>A 27358-2025</t>
        </is>
      </c>
      <c r="B6101" s="1" t="n">
        <v>45812</v>
      </c>
      <c r="C6101" s="1" t="n">
        <v>46045</v>
      </c>
      <c r="D6101" t="inlineStr">
        <is>
          <t>JÄMTLANDS LÄN</t>
        </is>
      </c>
      <c r="E6101" t="inlineStr">
        <is>
          <t>STRÖMSUND</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14233-2025</t>
        </is>
      </c>
      <c r="B6102" s="1" t="n">
        <v>45740</v>
      </c>
      <c r="C6102" s="1" t="n">
        <v>46045</v>
      </c>
      <c r="D6102" t="inlineStr">
        <is>
          <t>JÄMTLANDS LÄN</t>
        </is>
      </c>
      <c r="E6102" t="inlineStr">
        <is>
          <t>KROKOM</t>
        </is>
      </c>
      <c r="F6102" t="inlineStr">
        <is>
          <t>Övriga statliga verk och myndigheter</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40919-2024</t>
        </is>
      </c>
      <c r="B6103" s="1" t="n">
        <v>45558.63575231482</v>
      </c>
      <c r="C6103" s="1" t="n">
        <v>46045</v>
      </c>
      <c r="D6103" t="inlineStr">
        <is>
          <t>JÄMTLANDS LÄN</t>
        </is>
      </c>
      <c r="E6103" t="inlineStr">
        <is>
          <t>RAGUNDA</t>
        </is>
      </c>
      <c r="F6103" t="inlineStr">
        <is>
          <t>SCA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22772-2025</t>
        </is>
      </c>
      <c r="B6104" s="1" t="n">
        <v>45789.63618055556</v>
      </c>
      <c r="C6104" s="1" t="n">
        <v>46045</v>
      </c>
      <c r="D6104" t="inlineStr">
        <is>
          <t>JÄMTLANDS LÄN</t>
        </is>
      </c>
      <c r="E6104" t="inlineStr">
        <is>
          <t>BRÄCKE</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60122-2024</t>
        </is>
      </c>
      <c r="B6105" s="1" t="n">
        <v>45639</v>
      </c>
      <c r="C6105" s="1" t="n">
        <v>46045</v>
      </c>
      <c r="D6105" t="inlineStr">
        <is>
          <t>JÄMTLANDS LÄN</t>
        </is>
      </c>
      <c r="E6105" t="inlineStr">
        <is>
          <t>KROKOM</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48888-2025</t>
        </is>
      </c>
      <c r="B6106" s="1" t="n">
        <v>45937</v>
      </c>
      <c r="C6106" s="1" t="n">
        <v>46045</v>
      </c>
      <c r="D6106" t="inlineStr">
        <is>
          <t>JÄMTLANDS LÄN</t>
        </is>
      </c>
      <c r="E6106" t="inlineStr">
        <is>
          <t>STRÖMSUND</t>
        </is>
      </c>
      <c r="F6106" t="inlineStr">
        <is>
          <t>SCA</t>
        </is>
      </c>
      <c r="G6106" t="n">
        <v>32.2</v>
      </c>
      <c r="H6106" t="n">
        <v>0</v>
      </c>
      <c r="I6106" t="n">
        <v>0</v>
      </c>
      <c r="J6106" t="n">
        <v>0</v>
      </c>
      <c r="K6106" t="n">
        <v>0</v>
      </c>
      <c r="L6106" t="n">
        <v>0</v>
      </c>
      <c r="M6106" t="n">
        <v>0</v>
      </c>
      <c r="N6106" t="n">
        <v>0</v>
      </c>
      <c r="O6106" t="n">
        <v>0</v>
      </c>
      <c r="P6106" t="n">
        <v>0</v>
      </c>
      <c r="Q6106" t="n">
        <v>0</v>
      </c>
      <c r="R6106" s="2" t="inlineStr"/>
    </row>
    <row r="6107" ht="15" customHeight="1">
      <c r="A6107" t="inlineStr">
        <is>
          <t>A 22792-2025</t>
        </is>
      </c>
      <c r="B6107" s="1" t="n">
        <v>45789.65681712963</v>
      </c>
      <c r="C6107" s="1" t="n">
        <v>46045</v>
      </c>
      <c r="D6107" t="inlineStr">
        <is>
          <t>JÄMTLANDS LÄN</t>
        </is>
      </c>
      <c r="E6107" t="inlineStr">
        <is>
          <t>BRÄCKE</t>
        </is>
      </c>
      <c r="F6107" t="inlineStr">
        <is>
          <t>SCA</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60623-2022</t>
        </is>
      </c>
      <c r="B6108" s="1" t="n">
        <v>44911.6459837963</v>
      </c>
      <c r="C6108" s="1" t="n">
        <v>46045</v>
      </c>
      <c r="D6108" t="inlineStr">
        <is>
          <t>JÄMTLANDS LÄN</t>
        </is>
      </c>
      <c r="E6108" t="inlineStr">
        <is>
          <t>ÖSTERSUND</t>
        </is>
      </c>
      <c r="G6108" t="n">
        <v>10.9</v>
      </c>
      <c r="H6108" t="n">
        <v>0</v>
      </c>
      <c r="I6108" t="n">
        <v>0</v>
      </c>
      <c r="J6108" t="n">
        <v>0</v>
      </c>
      <c r="K6108" t="n">
        <v>0</v>
      </c>
      <c r="L6108" t="n">
        <v>0</v>
      </c>
      <c r="M6108" t="n">
        <v>0</v>
      </c>
      <c r="N6108" t="n">
        <v>0</v>
      </c>
      <c r="O6108" t="n">
        <v>0</v>
      </c>
      <c r="P6108" t="n">
        <v>0</v>
      </c>
      <c r="Q6108" t="n">
        <v>0</v>
      </c>
      <c r="R6108" s="2" t="inlineStr"/>
    </row>
    <row r="6109" ht="15" customHeight="1">
      <c r="A6109" t="inlineStr">
        <is>
          <t>A 7953-2025</t>
        </is>
      </c>
      <c r="B6109" s="1" t="n">
        <v>45707.42392361111</v>
      </c>
      <c r="C6109" s="1" t="n">
        <v>46045</v>
      </c>
      <c r="D6109" t="inlineStr">
        <is>
          <t>JÄMTLANDS LÄN</t>
        </is>
      </c>
      <c r="E6109" t="inlineStr">
        <is>
          <t>ÖSTERSUND</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22865-2025</t>
        </is>
      </c>
      <c r="B6110" s="1" t="n">
        <v>45790.3650462963</v>
      </c>
      <c r="C6110" s="1" t="n">
        <v>46045</v>
      </c>
      <c r="D6110" t="inlineStr">
        <is>
          <t>JÄMTLANDS LÄN</t>
        </is>
      </c>
      <c r="E6110" t="inlineStr">
        <is>
          <t>STRÖMSUND</t>
        </is>
      </c>
      <c r="F6110" t="inlineStr">
        <is>
          <t>SCA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22995-2025</t>
        </is>
      </c>
      <c r="B6111" s="1" t="n">
        <v>45790.58265046297</v>
      </c>
      <c r="C6111" s="1" t="n">
        <v>46045</v>
      </c>
      <c r="D6111" t="inlineStr">
        <is>
          <t>JÄMTLANDS LÄN</t>
        </is>
      </c>
      <c r="E6111" t="inlineStr">
        <is>
          <t>BERG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48893-2025</t>
        </is>
      </c>
      <c r="B6112" s="1" t="n">
        <v>45937.47302083333</v>
      </c>
      <c r="C6112" s="1" t="n">
        <v>46045</v>
      </c>
      <c r="D6112" t="inlineStr">
        <is>
          <t>JÄMTLANDS LÄN</t>
        </is>
      </c>
      <c r="E6112" t="inlineStr">
        <is>
          <t>ÖSTERSUND</t>
        </is>
      </c>
      <c r="F6112" t="inlineStr">
        <is>
          <t>Sveaskog</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49238-2025</t>
        </is>
      </c>
      <c r="B6113" s="1" t="n">
        <v>45938.48231481481</v>
      </c>
      <c r="C6113" s="1" t="n">
        <v>46045</v>
      </c>
      <c r="D6113" t="inlineStr">
        <is>
          <t>JÄMTLANDS LÄN</t>
        </is>
      </c>
      <c r="E6113" t="inlineStr">
        <is>
          <t>RAGUNDA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49252-2025</t>
        </is>
      </c>
      <c r="B6114" s="1" t="n">
        <v>45938.49119212963</v>
      </c>
      <c r="C6114" s="1" t="n">
        <v>46045</v>
      </c>
      <c r="D6114" t="inlineStr">
        <is>
          <t>JÄMTLANDS LÄN</t>
        </is>
      </c>
      <c r="E6114" t="inlineStr">
        <is>
          <t>STRÖMSUND</t>
        </is>
      </c>
      <c r="F6114" t="inlineStr">
        <is>
          <t>SCA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44060-2024</t>
        </is>
      </c>
      <c r="B6115" s="1" t="n">
        <v>45572.60001157408</v>
      </c>
      <c r="C6115" s="1" t="n">
        <v>46045</v>
      </c>
      <c r="D6115" t="inlineStr">
        <is>
          <t>JÄMTLANDS LÄN</t>
        </is>
      </c>
      <c r="E6115" t="inlineStr">
        <is>
          <t>HÄRJEDALEN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49349-2025</t>
        </is>
      </c>
      <c r="B6116" s="1" t="n">
        <v>45938.61060185185</v>
      </c>
      <c r="C6116" s="1" t="n">
        <v>46045</v>
      </c>
      <c r="D6116" t="inlineStr">
        <is>
          <t>JÄMTLANDS LÄN</t>
        </is>
      </c>
      <c r="E6116" t="inlineStr">
        <is>
          <t>BERG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15024-2022</t>
        </is>
      </c>
      <c r="B6117" s="1" t="n">
        <v>44657</v>
      </c>
      <c r="C6117" s="1" t="n">
        <v>46045</v>
      </c>
      <c r="D6117" t="inlineStr">
        <is>
          <t>JÄMTLANDS LÄN</t>
        </is>
      </c>
      <c r="E6117" t="inlineStr">
        <is>
          <t>RAGUNDA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12731-2023</t>
        </is>
      </c>
      <c r="B6118" s="1" t="n">
        <v>45000.92390046296</v>
      </c>
      <c r="C6118" s="1" t="n">
        <v>46045</v>
      </c>
      <c r="D6118" t="inlineStr">
        <is>
          <t>JÄMTLANDS LÄN</t>
        </is>
      </c>
      <c r="E6118" t="inlineStr">
        <is>
          <t>STRÖMSUND</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9750-2024</t>
        </is>
      </c>
      <c r="B6119" s="1" t="n">
        <v>45362</v>
      </c>
      <c r="C6119" s="1" t="n">
        <v>46045</v>
      </c>
      <c r="D6119" t="inlineStr">
        <is>
          <t>JÄMTLANDS LÄN</t>
        </is>
      </c>
      <c r="E6119" t="inlineStr">
        <is>
          <t>KROKOM</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49195-2025</t>
        </is>
      </c>
      <c r="B6120" s="1" t="n">
        <v>45938.40972222222</v>
      </c>
      <c r="C6120" s="1" t="n">
        <v>46045</v>
      </c>
      <c r="D6120" t="inlineStr">
        <is>
          <t>JÄMTLANDS LÄN</t>
        </is>
      </c>
      <c r="E6120" t="inlineStr">
        <is>
          <t>STRÖMSUND</t>
        </is>
      </c>
      <c r="F6120" t="inlineStr">
        <is>
          <t>SCA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49276-2025</t>
        </is>
      </c>
      <c r="B6121" s="1" t="n">
        <v>45938.50738425926</v>
      </c>
      <c r="C6121" s="1" t="n">
        <v>46045</v>
      </c>
      <c r="D6121" t="inlineStr">
        <is>
          <t>JÄMTLANDS LÄN</t>
        </is>
      </c>
      <c r="E6121" t="inlineStr">
        <is>
          <t>BRÄCKE</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11704-2023</t>
        </is>
      </c>
      <c r="B6122" s="1" t="n">
        <v>44994.54274305556</v>
      </c>
      <c r="C6122" s="1" t="n">
        <v>46045</v>
      </c>
      <c r="D6122" t="inlineStr">
        <is>
          <t>JÄMTLANDS LÄN</t>
        </is>
      </c>
      <c r="E6122" t="inlineStr">
        <is>
          <t>BERG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22652-2025</t>
        </is>
      </c>
      <c r="B6123" s="1" t="n">
        <v>45789.46920138889</v>
      </c>
      <c r="C6123" s="1" t="n">
        <v>46045</v>
      </c>
      <c r="D6123" t="inlineStr">
        <is>
          <t>JÄMTLANDS LÄN</t>
        </is>
      </c>
      <c r="E6123" t="inlineStr">
        <is>
          <t>BRÄCKE</t>
        </is>
      </c>
      <c r="F6123" t="inlineStr">
        <is>
          <t>SCA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48847-2025</t>
        </is>
      </c>
      <c r="B6124" s="1" t="n">
        <v>45937.42866898148</v>
      </c>
      <c r="C6124" s="1" t="n">
        <v>46045</v>
      </c>
      <c r="D6124" t="inlineStr">
        <is>
          <t>JÄMTLANDS LÄN</t>
        </is>
      </c>
      <c r="E6124" t="inlineStr">
        <is>
          <t>STRÖMSUND</t>
        </is>
      </c>
      <c r="F6124" t="inlineStr">
        <is>
          <t>SCA</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48939-2025</t>
        </is>
      </c>
      <c r="B6125" s="1" t="n">
        <v>45937.53171296296</v>
      </c>
      <c r="C6125" s="1" t="n">
        <v>46045</v>
      </c>
      <c r="D6125" t="inlineStr">
        <is>
          <t>JÄMTLANDS LÄN</t>
        </is>
      </c>
      <c r="E6125" t="inlineStr">
        <is>
          <t>STRÖMSUND</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22497-2025</t>
        </is>
      </c>
      <c r="B6126" s="1" t="n">
        <v>45786.6568287037</v>
      </c>
      <c r="C6126" s="1" t="n">
        <v>46045</v>
      </c>
      <c r="D6126" t="inlineStr">
        <is>
          <t>JÄMTLANDS LÄN</t>
        </is>
      </c>
      <c r="E6126" t="inlineStr">
        <is>
          <t>STRÖMSUND</t>
        </is>
      </c>
      <c r="F6126" t="inlineStr">
        <is>
          <t>SCA</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49796-2025</t>
        </is>
      </c>
      <c r="B6127" s="1" t="n">
        <v>45940.40790509259</v>
      </c>
      <c r="C6127" s="1" t="n">
        <v>46045</v>
      </c>
      <c r="D6127" t="inlineStr">
        <is>
          <t>JÄMTLANDS LÄN</t>
        </is>
      </c>
      <c r="E6127" t="inlineStr">
        <is>
          <t>STRÖMSUND</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49639-2025</t>
        </is>
      </c>
      <c r="B6128" s="1" t="n">
        <v>45939.61253472222</v>
      </c>
      <c r="C6128" s="1" t="n">
        <v>46045</v>
      </c>
      <c r="D6128" t="inlineStr">
        <is>
          <t>JÄMTLANDS LÄN</t>
        </is>
      </c>
      <c r="E6128" t="inlineStr">
        <is>
          <t>RAGUNDA</t>
        </is>
      </c>
      <c r="F6128" t="inlineStr">
        <is>
          <t>Kommuner</t>
        </is>
      </c>
      <c r="G6128" t="n">
        <v>13.6</v>
      </c>
      <c r="H6128" t="n">
        <v>0</v>
      </c>
      <c r="I6128" t="n">
        <v>0</v>
      </c>
      <c r="J6128" t="n">
        <v>0</v>
      </c>
      <c r="K6128" t="n">
        <v>0</v>
      </c>
      <c r="L6128" t="n">
        <v>0</v>
      </c>
      <c r="M6128" t="n">
        <v>0</v>
      </c>
      <c r="N6128" t="n">
        <v>0</v>
      </c>
      <c r="O6128" t="n">
        <v>0</v>
      </c>
      <c r="P6128" t="n">
        <v>0</v>
      </c>
      <c r="Q6128" t="n">
        <v>0</v>
      </c>
      <c r="R6128" s="2" t="inlineStr"/>
    </row>
    <row r="6129" ht="15" customHeight="1">
      <c r="A6129" t="inlineStr">
        <is>
          <t>A 23026-2025</t>
        </is>
      </c>
      <c r="B6129" s="1" t="n">
        <v>45790.65690972222</v>
      </c>
      <c r="C6129" s="1" t="n">
        <v>46045</v>
      </c>
      <c r="D6129" t="inlineStr">
        <is>
          <t>JÄMTLANDS LÄN</t>
        </is>
      </c>
      <c r="E6129" t="inlineStr">
        <is>
          <t>BERG</t>
        </is>
      </c>
      <c r="F6129" t="inlineStr">
        <is>
          <t>SCA</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49666-2025</t>
        </is>
      </c>
      <c r="B6130" s="1" t="n">
        <v>45939.63657407407</v>
      </c>
      <c r="C6130" s="1" t="n">
        <v>46045</v>
      </c>
      <c r="D6130" t="inlineStr">
        <is>
          <t>JÄMTLANDS LÄN</t>
        </is>
      </c>
      <c r="E6130" t="inlineStr">
        <is>
          <t>BRÄCKE</t>
        </is>
      </c>
      <c r="F6130" t="inlineStr">
        <is>
          <t>SCA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22991-2025</t>
        </is>
      </c>
      <c r="B6131" s="1" t="n">
        <v>45790.57836805555</v>
      </c>
      <c r="C6131" s="1" t="n">
        <v>46045</v>
      </c>
      <c r="D6131" t="inlineStr">
        <is>
          <t>JÄMTLANDS LÄN</t>
        </is>
      </c>
      <c r="E6131" t="inlineStr">
        <is>
          <t>BERG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49826-2025</t>
        </is>
      </c>
      <c r="B6132" s="1" t="n">
        <v>45940.44829861111</v>
      </c>
      <c r="C6132" s="1" t="n">
        <v>46045</v>
      </c>
      <c r="D6132" t="inlineStr">
        <is>
          <t>JÄMTLANDS LÄN</t>
        </is>
      </c>
      <c r="E6132" t="inlineStr">
        <is>
          <t>BRÄCKE</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49792-2025</t>
        </is>
      </c>
      <c r="B6133" s="1" t="n">
        <v>45940.40760416666</v>
      </c>
      <c r="C6133" s="1" t="n">
        <v>46045</v>
      </c>
      <c r="D6133" t="inlineStr">
        <is>
          <t>JÄMTLANDS LÄN</t>
        </is>
      </c>
      <c r="E6133" t="inlineStr">
        <is>
          <t>STRÖMSUND</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49838-2025</t>
        </is>
      </c>
      <c r="B6134" s="1" t="n">
        <v>45940.46920138889</v>
      </c>
      <c r="C6134" s="1" t="n">
        <v>46045</v>
      </c>
      <c r="D6134" t="inlineStr">
        <is>
          <t>JÄMTLANDS LÄN</t>
        </is>
      </c>
      <c r="E6134" t="inlineStr">
        <is>
          <t>KROKOM</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22723-2025</t>
        </is>
      </c>
      <c r="B6135" s="1" t="n">
        <v>45789.5733912037</v>
      </c>
      <c r="C6135" s="1" t="n">
        <v>46045</v>
      </c>
      <c r="D6135" t="inlineStr">
        <is>
          <t>JÄMTLANDS LÄN</t>
        </is>
      </c>
      <c r="E6135" t="inlineStr">
        <is>
          <t>STRÖMSUND</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13383-2022</t>
        </is>
      </c>
      <c r="B6136" s="1" t="n">
        <v>44637</v>
      </c>
      <c r="C6136" s="1" t="n">
        <v>46045</v>
      </c>
      <c r="D6136" t="inlineStr">
        <is>
          <t>JÄMTLANDS LÄN</t>
        </is>
      </c>
      <c r="E6136" t="inlineStr">
        <is>
          <t>ÅRE</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22816-2025</t>
        </is>
      </c>
      <c r="B6137" s="1" t="n">
        <v>45789.69841435185</v>
      </c>
      <c r="C6137" s="1" t="n">
        <v>46045</v>
      </c>
      <c r="D6137" t="inlineStr">
        <is>
          <t>JÄMTLANDS LÄN</t>
        </is>
      </c>
      <c r="E6137" t="inlineStr">
        <is>
          <t>BRÄCKE</t>
        </is>
      </c>
      <c r="F6137" t="inlineStr">
        <is>
          <t>SCA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53807-2024</t>
        </is>
      </c>
      <c r="B6138" s="1" t="n">
        <v>45615.59521990741</v>
      </c>
      <c r="C6138" s="1" t="n">
        <v>46045</v>
      </c>
      <c r="D6138" t="inlineStr">
        <is>
          <t>JÄMTLANDS LÄN</t>
        </is>
      </c>
      <c r="E6138" t="inlineStr">
        <is>
          <t>KROKOM</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49427-2025</t>
        </is>
      </c>
      <c r="B6139" s="1" t="n">
        <v>45938.76107638889</v>
      </c>
      <c r="C6139" s="1" t="n">
        <v>46045</v>
      </c>
      <c r="D6139" t="inlineStr">
        <is>
          <t>JÄMTLANDS LÄN</t>
        </is>
      </c>
      <c r="E6139" t="inlineStr">
        <is>
          <t>HÄRJEDALEN</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49534-2025</t>
        </is>
      </c>
      <c r="B6140" s="1" t="n">
        <v>45939.41162037037</v>
      </c>
      <c r="C6140" s="1" t="n">
        <v>46045</v>
      </c>
      <c r="D6140" t="inlineStr">
        <is>
          <t>JÄMTLANDS LÄN</t>
        </is>
      </c>
      <c r="E6140" t="inlineStr">
        <is>
          <t>KROKOM</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49717-2025</t>
        </is>
      </c>
      <c r="B6141" s="1" t="n">
        <v>45939.74859953704</v>
      </c>
      <c r="C6141" s="1" t="n">
        <v>46045</v>
      </c>
      <c r="D6141" t="inlineStr">
        <is>
          <t>JÄMTLANDS LÄN</t>
        </is>
      </c>
      <c r="E6141" t="inlineStr">
        <is>
          <t>HÄRJEDALEN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51818-2024</t>
        </is>
      </c>
      <c r="B6142" s="1" t="n">
        <v>45607.49265046296</v>
      </c>
      <c r="C6142" s="1" t="n">
        <v>46045</v>
      </c>
      <c r="D6142" t="inlineStr">
        <is>
          <t>JÄMTLANDS LÄN</t>
        </is>
      </c>
      <c r="E6142" t="inlineStr">
        <is>
          <t>ÖSTERSUND</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49537-2025</t>
        </is>
      </c>
      <c r="B6143" s="1" t="n">
        <v>45939.42302083333</v>
      </c>
      <c r="C6143" s="1" t="n">
        <v>46045</v>
      </c>
      <c r="D6143" t="inlineStr">
        <is>
          <t>JÄMTLANDS LÄN</t>
        </is>
      </c>
      <c r="E6143" t="inlineStr">
        <is>
          <t>HÄRJEDALEN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49790-2025</t>
        </is>
      </c>
      <c r="B6144" s="1" t="n">
        <v>45940.40688657408</v>
      </c>
      <c r="C6144" s="1" t="n">
        <v>46045</v>
      </c>
      <c r="D6144" t="inlineStr">
        <is>
          <t>JÄMTLANDS LÄN</t>
        </is>
      </c>
      <c r="E6144" t="inlineStr">
        <is>
          <t>STRÖMSUND</t>
        </is>
      </c>
      <c r="F6144" t="inlineStr">
        <is>
          <t>SCA</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49807-2025</t>
        </is>
      </c>
      <c r="B6145" s="1" t="n">
        <v>45940.41766203703</v>
      </c>
      <c r="C6145" s="1" t="n">
        <v>46045</v>
      </c>
      <c r="D6145" t="inlineStr">
        <is>
          <t>JÄMTLANDS LÄN</t>
        </is>
      </c>
      <c r="E6145" t="inlineStr">
        <is>
          <t>STRÖMSUND</t>
        </is>
      </c>
      <c r="F6145" t="inlineStr">
        <is>
          <t>Holmen skog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49569-2025</t>
        </is>
      </c>
      <c r="B6146" s="1" t="n">
        <v>45939.47834490741</v>
      </c>
      <c r="C6146" s="1" t="n">
        <v>46045</v>
      </c>
      <c r="D6146" t="inlineStr">
        <is>
          <t>JÄMTLANDS LÄN</t>
        </is>
      </c>
      <c r="E6146" t="inlineStr">
        <is>
          <t>HÄRJEDALEN</t>
        </is>
      </c>
      <c r="F6146" t="inlineStr">
        <is>
          <t>Sveaskog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23211-2025</t>
        </is>
      </c>
      <c r="B6147" s="1" t="n">
        <v>45791.46956018519</v>
      </c>
      <c r="C6147" s="1" t="n">
        <v>46045</v>
      </c>
      <c r="D6147" t="inlineStr">
        <is>
          <t>JÄMTLANDS LÄN</t>
        </is>
      </c>
      <c r="E6147" t="inlineStr">
        <is>
          <t>BRÄCKE</t>
        </is>
      </c>
      <c r="F6147" t="inlineStr">
        <is>
          <t>SCA</t>
        </is>
      </c>
      <c r="G6147" t="n">
        <v>8</v>
      </c>
      <c r="H6147" t="n">
        <v>0</v>
      </c>
      <c r="I6147" t="n">
        <v>0</v>
      </c>
      <c r="J6147" t="n">
        <v>0</v>
      </c>
      <c r="K6147" t="n">
        <v>0</v>
      </c>
      <c r="L6147" t="n">
        <v>0</v>
      </c>
      <c r="M6147" t="n">
        <v>0</v>
      </c>
      <c r="N6147" t="n">
        <v>0</v>
      </c>
      <c r="O6147" t="n">
        <v>0</v>
      </c>
      <c r="P6147" t="n">
        <v>0</v>
      </c>
      <c r="Q6147" t="n">
        <v>0</v>
      </c>
      <c r="R6147" s="2" t="inlineStr"/>
    </row>
    <row r="6148" ht="15" customHeight="1">
      <c r="A6148" t="inlineStr">
        <is>
          <t>A 49576-2025</t>
        </is>
      </c>
      <c r="B6148" s="1" t="n">
        <v>45939</v>
      </c>
      <c r="C6148" s="1" t="n">
        <v>46045</v>
      </c>
      <c r="D6148" t="inlineStr">
        <is>
          <t>JÄMTLANDS LÄN</t>
        </is>
      </c>
      <c r="E6148" t="inlineStr">
        <is>
          <t>ÖSTERSUND</t>
        </is>
      </c>
      <c r="F6148" t="inlineStr">
        <is>
          <t>SCA</t>
        </is>
      </c>
      <c r="G6148" t="n">
        <v>17.1</v>
      </c>
      <c r="H6148" t="n">
        <v>0</v>
      </c>
      <c r="I6148" t="n">
        <v>0</v>
      </c>
      <c r="J6148" t="n">
        <v>0</v>
      </c>
      <c r="K6148" t="n">
        <v>0</v>
      </c>
      <c r="L6148" t="n">
        <v>0</v>
      </c>
      <c r="M6148" t="n">
        <v>0</v>
      </c>
      <c r="N6148" t="n">
        <v>0</v>
      </c>
      <c r="O6148" t="n">
        <v>0</v>
      </c>
      <c r="P6148" t="n">
        <v>0</v>
      </c>
      <c r="Q6148" t="n">
        <v>0</v>
      </c>
      <c r="R6148" s="2" t="inlineStr"/>
    </row>
    <row r="6149" ht="15" customHeight="1">
      <c r="A6149" t="inlineStr">
        <is>
          <t>A 49573-2025</t>
        </is>
      </c>
      <c r="B6149" s="1" t="n">
        <v>45939.49037037037</v>
      </c>
      <c r="C6149" s="1" t="n">
        <v>46045</v>
      </c>
      <c r="D6149" t="inlineStr">
        <is>
          <t>JÄMTLANDS LÄN</t>
        </is>
      </c>
      <c r="E6149" t="inlineStr">
        <is>
          <t>BERG</t>
        </is>
      </c>
      <c r="F6149" t="inlineStr">
        <is>
          <t>SCA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23249-2025</t>
        </is>
      </c>
      <c r="B6150" s="1" t="n">
        <v>45791</v>
      </c>
      <c r="C6150" s="1" t="n">
        <v>46045</v>
      </c>
      <c r="D6150" t="inlineStr">
        <is>
          <t>JÄMTLANDS LÄN</t>
        </is>
      </c>
      <c r="E6150" t="inlineStr">
        <is>
          <t>ÖSTERSUND</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49749-2025</t>
        </is>
      </c>
      <c r="B6151" s="1" t="n">
        <v>45940.34486111111</v>
      </c>
      <c r="C6151" s="1" t="n">
        <v>46045</v>
      </c>
      <c r="D6151" t="inlineStr">
        <is>
          <t>JÄMTLANDS LÄN</t>
        </is>
      </c>
      <c r="E6151" t="inlineStr">
        <is>
          <t>BERG</t>
        </is>
      </c>
      <c r="F6151" t="inlineStr">
        <is>
          <t>SCA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23298-2025</t>
        </is>
      </c>
      <c r="B6152" s="1" t="n">
        <v>45791.59456018519</v>
      </c>
      <c r="C6152" s="1" t="n">
        <v>46045</v>
      </c>
      <c r="D6152" t="inlineStr">
        <is>
          <t>JÄMTLANDS LÄN</t>
        </is>
      </c>
      <c r="E6152" t="inlineStr">
        <is>
          <t>BRÄCKE</t>
        </is>
      </c>
      <c r="F6152" t="inlineStr">
        <is>
          <t>SCA</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23344-2025</t>
        </is>
      </c>
      <c r="B6153" s="1" t="n">
        <v>45791.65712962963</v>
      </c>
      <c r="C6153" s="1" t="n">
        <v>46045</v>
      </c>
      <c r="D6153" t="inlineStr">
        <is>
          <t>JÄMTLANDS LÄN</t>
        </is>
      </c>
      <c r="E6153" t="inlineStr">
        <is>
          <t>BRÄCKE</t>
        </is>
      </c>
      <c r="F6153" t="inlineStr">
        <is>
          <t>SCA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49798-2025</t>
        </is>
      </c>
      <c r="B6154" s="1" t="n">
        <v>45940.40819444445</v>
      </c>
      <c r="C6154" s="1" t="n">
        <v>46045</v>
      </c>
      <c r="D6154" t="inlineStr">
        <is>
          <t>JÄMTLANDS LÄN</t>
        </is>
      </c>
      <c r="E6154" t="inlineStr">
        <is>
          <t>STRÖMSUND</t>
        </is>
      </c>
      <c r="F6154" t="inlineStr">
        <is>
          <t>SCA</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11093-2022</t>
        </is>
      </c>
      <c r="B6155" s="1" t="n">
        <v>44628</v>
      </c>
      <c r="C6155" s="1" t="n">
        <v>46045</v>
      </c>
      <c r="D6155" t="inlineStr">
        <is>
          <t>JÄMTLANDS LÄN</t>
        </is>
      </c>
      <c r="E6155" t="inlineStr">
        <is>
          <t>BRÄCKE</t>
        </is>
      </c>
      <c r="G6155" t="n">
        <v>16.4</v>
      </c>
      <c r="H6155" t="n">
        <v>0</v>
      </c>
      <c r="I6155" t="n">
        <v>0</v>
      </c>
      <c r="J6155" t="n">
        <v>0</v>
      </c>
      <c r="K6155" t="n">
        <v>0</v>
      </c>
      <c r="L6155" t="n">
        <v>0</v>
      </c>
      <c r="M6155" t="n">
        <v>0</v>
      </c>
      <c r="N6155" t="n">
        <v>0</v>
      </c>
      <c r="O6155" t="n">
        <v>0</v>
      </c>
      <c r="P6155" t="n">
        <v>0</v>
      </c>
      <c r="Q6155" t="n">
        <v>0</v>
      </c>
      <c r="R6155" s="2" t="inlineStr"/>
    </row>
    <row r="6156" ht="15" customHeight="1">
      <c r="A6156" t="inlineStr">
        <is>
          <t>A 49493-2025</t>
        </is>
      </c>
      <c r="B6156" s="1" t="n">
        <v>45939.36626157408</v>
      </c>
      <c r="C6156" s="1" t="n">
        <v>46045</v>
      </c>
      <c r="D6156" t="inlineStr">
        <is>
          <t>JÄMTLANDS LÄN</t>
        </is>
      </c>
      <c r="E6156" t="inlineStr">
        <is>
          <t>ÅRE</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23596-2025</t>
        </is>
      </c>
      <c r="B6157" s="1" t="n">
        <v>45792.64795138889</v>
      </c>
      <c r="C6157" s="1" t="n">
        <v>46045</v>
      </c>
      <c r="D6157" t="inlineStr">
        <is>
          <t>JÄMTLANDS LÄN</t>
        </is>
      </c>
      <c r="E6157" t="inlineStr">
        <is>
          <t>HÄRJEDALEN</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49918-2025</t>
        </is>
      </c>
      <c r="B6158" s="1" t="n">
        <v>45940.6290625</v>
      </c>
      <c r="C6158" s="1" t="n">
        <v>46045</v>
      </c>
      <c r="D6158" t="inlineStr">
        <is>
          <t>JÄMTLANDS LÄN</t>
        </is>
      </c>
      <c r="E6158" t="inlineStr">
        <is>
          <t>BERG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37104-2022</t>
        </is>
      </c>
      <c r="B6159" s="1" t="n">
        <v>44806</v>
      </c>
      <c r="C6159" s="1" t="n">
        <v>46045</v>
      </c>
      <c r="D6159" t="inlineStr">
        <is>
          <t>JÄMTLANDS LÄN</t>
        </is>
      </c>
      <c r="E6159" t="inlineStr">
        <is>
          <t>STRÖMSUND</t>
        </is>
      </c>
      <c r="F6159" t="inlineStr">
        <is>
          <t>Kommuner</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31655-2025</t>
        </is>
      </c>
      <c r="B6160" s="1" t="n">
        <v>45834.34737268519</v>
      </c>
      <c r="C6160" s="1" t="n">
        <v>46045</v>
      </c>
      <c r="D6160" t="inlineStr">
        <is>
          <t>JÄMTLANDS LÄN</t>
        </is>
      </c>
      <c r="E6160" t="inlineStr">
        <is>
          <t>KROKOM</t>
        </is>
      </c>
      <c r="F6160" t="inlineStr">
        <is>
          <t>SCA</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49716-2025</t>
        </is>
      </c>
      <c r="B6161" s="1" t="n">
        <v>45939.73686342593</v>
      </c>
      <c r="C6161" s="1" t="n">
        <v>46045</v>
      </c>
      <c r="D6161" t="inlineStr">
        <is>
          <t>JÄMTLANDS LÄN</t>
        </is>
      </c>
      <c r="E6161" t="inlineStr">
        <is>
          <t>HÄRJEDALEN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49472-2025</t>
        </is>
      </c>
      <c r="B6162" s="1" t="n">
        <v>45939.34438657408</v>
      </c>
      <c r="C6162" s="1" t="n">
        <v>46045</v>
      </c>
      <c r="D6162" t="inlineStr">
        <is>
          <t>JÄMTLANDS LÄN</t>
        </is>
      </c>
      <c r="E6162" t="inlineStr">
        <is>
          <t>STRÖMSUND</t>
        </is>
      </c>
      <c r="F6162" t="inlineStr">
        <is>
          <t>SCA</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49557-2025</t>
        </is>
      </c>
      <c r="B6163" s="1" t="n">
        <v>45939.45077546296</v>
      </c>
      <c r="C6163" s="1" t="n">
        <v>46045</v>
      </c>
      <c r="D6163" t="inlineStr">
        <is>
          <t>JÄMTLANDS LÄN</t>
        </is>
      </c>
      <c r="E6163" t="inlineStr">
        <is>
          <t>KROKOM</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49593-2025</t>
        </is>
      </c>
      <c r="B6164" s="1" t="n">
        <v>45939.53186342592</v>
      </c>
      <c r="C6164" s="1" t="n">
        <v>46045</v>
      </c>
      <c r="D6164" t="inlineStr">
        <is>
          <t>JÄMTLANDS LÄN</t>
        </is>
      </c>
      <c r="E6164" t="inlineStr">
        <is>
          <t>ÅRE</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49644-2025</t>
        </is>
      </c>
      <c r="B6165" s="1" t="n">
        <v>45939.61568287037</v>
      </c>
      <c r="C6165" s="1" t="n">
        <v>46045</v>
      </c>
      <c r="D6165" t="inlineStr">
        <is>
          <t>JÄMTLANDS LÄN</t>
        </is>
      </c>
      <c r="E6165" t="inlineStr">
        <is>
          <t>KROKOM</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46559-2024</t>
        </is>
      </c>
      <c r="B6166" s="1" t="n">
        <v>45582</v>
      </c>
      <c r="C6166" s="1" t="n">
        <v>46045</v>
      </c>
      <c r="D6166" t="inlineStr">
        <is>
          <t>JÄMTLANDS LÄN</t>
        </is>
      </c>
      <c r="E6166" t="inlineStr">
        <is>
          <t>ÅRE</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23100-2025</t>
        </is>
      </c>
      <c r="B6167" s="1" t="n">
        <v>45791.35212962963</v>
      </c>
      <c r="C6167" s="1" t="n">
        <v>46045</v>
      </c>
      <c r="D6167" t="inlineStr">
        <is>
          <t>JÄMTLANDS LÄN</t>
        </is>
      </c>
      <c r="E6167" t="inlineStr">
        <is>
          <t>ÖSTERSUND</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23362-2025</t>
        </is>
      </c>
      <c r="B6168" s="1" t="n">
        <v>45791.67763888889</v>
      </c>
      <c r="C6168" s="1" t="n">
        <v>46045</v>
      </c>
      <c r="D6168" t="inlineStr">
        <is>
          <t>JÄMTLANDS LÄN</t>
        </is>
      </c>
      <c r="E6168" t="inlineStr">
        <is>
          <t>STRÖMSUND</t>
        </is>
      </c>
      <c r="F6168" t="inlineStr">
        <is>
          <t>SCA</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23363-2025</t>
        </is>
      </c>
      <c r="B6169" s="1" t="n">
        <v>45791.67775462963</v>
      </c>
      <c r="C6169" s="1" t="n">
        <v>46045</v>
      </c>
      <c r="D6169" t="inlineStr">
        <is>
          <t>JÄMTLANDS LÄN</t>
        </is>
      </c>
      <c r="E6169" t="inlineStr">
        <is>
          <t>BRÄCKE</t>
        </is>
      </c>
      <c r="F6169" t="inlineStr">
        <is>
          <t>SCA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49515-2025</t>
        </is>
      </c>
      <c r="B6170" s="1" t="n">
        <v>45939.38605324074</v>
      </c>
      <c r="C6170" s="1" t="n">
        <v>46045</v>
      </c>
      <c r="D6170" t="inlineStr">
        <is>
          <t>JÄMTLANDS LÄN</t>
        </is>
      </c>
      <c r="E6170" t="inlineStr">
        <is>
          <t>HÄRJEDALEN</t>
        </is>
      </c>
      <c r="F6170" t="inlineStr">
        <is>
          <t>SCA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23405-2025</t>
        </is>
      </c>
      <c r="B6171" s="1" t="n">
        <v>45792.34527777778</v>
      </c>
      <c r="C6171" s="1" t="n">
        <v>46045</v>
      </c>
      <c r="D6171" t="inlineStr">
        <is>
          <t>JÄMTLANDS LÄN</t>
        </is>
      </c>
      <c r="E6171" t="inlineStr">
        <is>
          <t>RAGUNDA</t>
        </is>
      </c>
      <c r="F6171" t="inlineStr">
        <is>
          <t>SCA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23093-2025</t>
        </is>
      </c>
      <c r="B6172" s="1" t="n">
        <v>45791.34475694445</v>
      </c>
      <c r="C6172" s="1" t="n">
        <v>46045</v>
      </c>
      <c r="D6172" t="inlineStr">
        <is>
          <t>JÄMTLANDS LÄN</t>
        </is>
      </c>
      <c r="E6172" t="inlineStr">
        <is>
          <t>STRÖMSUND</t>
        </is>
      </c>
      <c r="F6172" t="inlineStr">
        <is>
          <t>SCA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49572-2025</t>
        </is>
      </c>
      <c r="B6173" s="1" t="n">
        <v>45939.49018518518</v>
      </c>
      <c r="C6173" s="1" t="n">
        <v>46045</v>
      </c>
      <c r="D6173" t="inlineStr">
        <is>
          <t>JÄMTLANDS LÄN</t>
        </is>
      </c>
      <c r="E6173" t="inlineStr">
        <is>
          <t>ÖSTERSUND</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49609-2025</t>
        </is>
      </c>
      <c r="B6174" s="1" t="n">
        <v>45939.57329861111</v>
      </c>
      <c r="C6174" s="1" t="n">
        <v>46045</v>
      </c>
      <c r="D6174" t="inlineStr">
        <is>
          <t>JÄMTLANDS LÄN</t>
        </is>
      </c>
      <c r="E6174" t="inlineStr">
        <is>
          <t>STRÖMSUND</t>
        </is>
      </c>
      <c r="F6174" t="inlineStr">
        <is>
          <t>SCA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13738-2025</t>
        </is>
      </c>
      <c r="B6175" s="1" t="n">
        <v>45737.40131944444</v>
      </c>
      <c r="C6175" s="1" t="n">
        <v>46045</v>
      </c>
      <c r="D6175" t="inlineStr">
        <is>
          <t>JÄMTLANDS LÄN</t>
        </is>
      </c>
      <c r="E6175" t="inlineStr">
        <is>
          <t>ÖSTERSUND</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12175-2025</t>
        </is>
      </c>
      <c r="B6176" s="1" t="n">
        <v>45729.4483912037</v>
      </c>
      <c r="C6176" s="1" t="n">
        <v>46045</v>
      </c>
      <c r="D6176" t="inlineStr">
        <is>
          <t>JÄMTLANDS LÄN</t>
        </is>
      </c>
      <c r="E6176" t="inlineStr">
        <is>
          <t>STRÖMSUND</t>
        </is>
      </c>
      <c r="F6176" t="inlineStr">
        <is>
          <t>SCA</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49571-2025</t>
        </is>
      </c>
      <c r="B6177" s="1" t="n">
        <v>45939.48998842593</v>
      </c>
      <c r="C6177" s="1" t="n">
        <v>46045</v>
      </c>
      <c r="D6177" t="inlineStr">
        <is>
          <t>JÄMTLANDS LÄN</t>
        </is>
      </c>
      <c r="E6177" t="inlineStr">
        <is>
          <t>ÅRE</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28766-2023</t>
        </is>
      </c>
      <c r="B6178" s="1" t="n">
        <v>45103.94268518518</v>
      </c>
      <c r="C6178" s="1" t="n">
        <v>46045</v>
      </c>
      <c r="D6178" t="inlineStr">
        <is>
          <t>JÄMTLANDS LÄN</t>
        </is>
      </c>
      <c r="E6178" t="inlineStr">
        <is>
          <t>STRÖMSUND</t>
        </is>
      </c>
      <c r="F6178" t="inlineStr">
        <is>
          <t>SCA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49514-2025</t>
        </is>
      </c>
      <c r="B6179" s="1" t="n">
        <v>45939.38530092593</v>
      </c>
      <c r="C6179" s="1" t="n">
        <v>46045</v>
      </c>
      <c r="D6179" t="inlineStr">
        <is>
          <t>JÄMTLANDS LÄN</t>
        </is>
      </c>
      <c r="E6179" t="inlineStr">
        <is>
          <t>KROKOM</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49581-2025</t>
        </is>
      </c>
      <c r="B6180" s="1" t="n">
        <v>45939.49783564815</v>
      </c>
      <c r="C6180" s="1" t="n">
        <v>46045</v>
      </c>
      <c r="D6180" t="inlineStr">
        <is>
          <t>JÄMTLANDS LÄN</t>
        </is>
      </c>
      <c r="E6180" t="inlineStr">
        <is>
          <t>STRÖMSUND</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49604-2025</t>
        </is>
      </c>
      <c r="B6181" s="1" t="n">
        <v>45939.55241898148</v>
      </c>
      <c r="C6181" s="1" t="n">
        <v>46045</v>
      </c>
      <c r="D6181" t="inlineStr">
        <is>
          <t>JÄMTLANDS LÄN</t>
        </is>
      </c>
      <c r="E6181" t="inlineStr">
        <is>
          <t>BERG</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23654-2025</t>
        </is>
      </c>
      <c r="B6182" s="1" t="n">
        <v>45792.71905092592</v>
      </c>
      <c r="C6182" s="1" t="n">
        <v>46045</v>
      </c>
      <c r="D6182" t="inlineStr">
        <is>
          <t>JÄMTLANDS LÄN</t>
        </is>
      </c>
      <c r="E6182" t="inlineStr">
        <is>
          <t>RAGUNDA</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23507-2025</t>
        </is>
      </c>
      <c r="B6183" s="1" t="n">
        <v>45792.49023148148</v>
      </c>
      <c r="C6183" s="1" t="n">
        <v>46045</v>
      </c>
      <c r="D6183" t="inlineStr">
        <is>
          <t>JÄMTLANDS LÄN</t>
        </is>
      </c>
      <c r="E6183" t="inlineStr">
        <is>
          <t>RAGUNDA</t>
        </is>
      </c>
      <c r="F6183" t="inlineStr">
        <is>
          <t>SCA</t>
        </is>
      </c>
      <c r="G6183" t="n">
        <v>16.4</v>
      </c>
      <c r="H6183" t="n">
        <v>0</v>
      </c>
      <c r="I6183" t="n">
        <v>0</v>
      </c>
      <c r="J6183" t="n">
        <v>0</v>
      </c>
      <c r="K6183" t="n">
        <v>0</v>
      </c>
      <c r="L6183" t="n">
        <v>0</v>
      </c>
      <c r="M6183" t="n">
        <v>0</v>
      </c>
      <c r="N6183" t="n">
        <v>0</v>
      </c>
      <c r="O6183" t="n">
        <v>0</v>
      </c>
      <c r="P6183" t="n">
        <v>0</v>
      </c>
      <c r="Q6183" t="n">
        <v>0</v>
      </c>
      <c r="R6183" s="2" t="inlineStr"/>
    </row>
    <row r="6184" ht="15" customHeight="1">
      <c r="A6184" t="inlineStr">
        <is>
          <t>A 49715-2025</t>
        </is>
      </c>
      <c r="B6184" s="1" t="n">
        <v>45939.7344212963</v>
      </c>
      <c r="C6184" s="1" t="n">
        <v>46045</v>
      </c>
      <c r="D6184" t="inlineStr">
        <is>
          <t>JÄMTLANDS LÄN</t>
        </is>
      </c>
      <c r="E6184" t="inlineStr">
        <is>
          <t>HÄRJEDALEN</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58395-2025</t>
        </is>
      </c>
      <c r="B6185" s="1" t="n">
        <v>45985.55648148148</v>
      </c>
      <c r="C6185" s="1" t="n">
        <v>46045</v>
      </c>
      <c r="D6185" t="inlineStr">
        <is>
          <t>JÄMTLANDS LÄN</t>
        </is>
      </c>
      <c r="E6185" t="inlineStr">
        <is>
          <t>ÅRE</t>
        </is>
      </c>
      <c r="F6185" t="inlineStr">
        <is>
          <t>Övriga Aktiebolag</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50168-2025</t>
        </is>
      </c>
      <c r="B6186" s="1" t="n">
        <v>45943.59442129629</v>
      </c>
      <c r="C6186" s="1" t="n">
        <v>46045</v>
      </c>
      <c r="D6186" t="inlineStr">
        <is>
          <t>JÄMTLANDS LÄN</t>
        </is>
      </c>
      <c r="E6186" t="inlineStr">
        <is>
          <t>ÖSTERSUND</t>
        </is>
      </c>
      <c r="F6186" t="inlineStr">
        <is>
          <t>SCA</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50423-2025</t>
        </is>
      </c>
      <c r="B6187" s="1" t="n">
        <v>45944.66243055555</v>
      </c>
      <c r="C6187" s="1" t="n">
        <v>46045</v>
      </c>
      <c r="D6187" t="inlineStr">
        <is>
          <t>JÄMTLANDS LÄN</t>
        </is>
      </c>
      <c r="E6187" t="inlineStr">
        <is>
          <t>HÄRJEDALEN</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50424-2025</t>
        </is>
      </c>
      <c r="B6188" s="1" t="n">
        <v>45944.66541666666</v>
      </c>
      <c r="C6188" s="1" t="n">
        <v>46045</v>
      </c>
      <c r="D6188" t="inlineStr">
        <is>
          <t>JÄMTLANDS LÄN</t>
        </is>
      </c>
      <c r="E6188" t="inlineStr">
        <is>
          <t>HÄRJEDALEN</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34088-2025</t>
        </is>
      </c>
      <c r="B6189" s="1" t="n">
        <v>45845</v>
      </c>
      <c r="C6189" s="1" t="n">
        <v>46045</v>
      </c>
      <c r="D6189" t="inlineStr">
        <is>
          <t>JÄMTLANDS LÄN</t>
        </is>
      </c>
      <c r="E6189" t="inlineStr">
        <is>
          <t>RAGUNDA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28968-2025</t>
        </is>
      </c>
      <c r="B6190" s="1" t="n">
        <v>45821.34444444445</v>
      </c>
      <c r="C6190" s="1" t="n">
        <v>46045</v>
      </c>
      <c r="D6190" t="inlineStr">
        <is>
          <t>JÄMTLANDS LÄN</t>
        </is>
      </c>
      <c r="E6190" t="inlineStr">
        <is>
          <t>STRÖMSUND</t>
        </is>
      </c>
      <c r="F6190" t="inlineStr">
        <is>
          <t>SCA</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45822-2023</t>
        </is>
      </c>
      <c r="B6191" s="1" t="n">
        <v>45195</v>
      </c>
      <c r="C6191" s="1" t="n">
        <v>46045</v>
      </c>
      <c r="D6191" t="inlineStr">
        <is>
          <t>JÄMTLANDS LÄN</t>
        </is>
      </c>
      <c r="E6191" t="inlineStr">
        <is>
          <t>KROKOM</t>
        </is>
      </c>
      <c r="F6191" t="inlineStr">
        <is>
          <t>Övriga Aktiebolag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10504-2025</t>
        </is>
      </c>
      <c r="B6192" s="1" t="n">
        <v>45721.3862037037</v>
      </c>
      <c r="C6192" s="1" t="n">
        <v>46045</v>
      </c>
      <c r="D6192" t="inlineStr">
        <is>
          <t>JÄMTLANDS LÄN</t>
        </is>
      </c>
      <c r="E6192" t="inlineStr">
        <is>
          <t>STRÖMSUND</t>
        </is>
      </c>
      <c r="F6192" t="inlineStr">
        <is>
          <t>SCA</t>
        </is>
      </c>
      <c r="G6192" t="n">
        <v>13.2</v>
      </c>
      <c r="H6192" t="n">
        <v>0</v>
      </c>
      <c r="I6192" t="n">
        <v>0</v>
      </c>
      <c r="J6192" t="n">
        <v>0</v>
      </c>
      <c r="K6192" t="n">
        <v>0</v>
      </c>
      <c r="L6192" t="n">
        <v>0</v>
      </c>
      <c r="M6192" t="n">
        <v>0</v>
      </c>
      <c r="N6192" t="n">
        <v>0</v>
      </c>
      <c r="O6192" t="n">
        <v>0</v>
      </c>
      <c r="P6192" t="n">
        <v>0</v>
      </c>
      <c r="Q6192" t="n">
        <v>0</v>
      </c>
      <c r="R6192" s="2" t="inlineStr"/>
    </row>
    <row r="6193" ht="15" customHeight="1">
      <c r="A6193" t="inlineStr">
        <is>
          <t>A 50256-2025</t>
        </is>
      </c>
      <c r="B6193" s="1" t="n">
        <v>45944.34435185185</v>
      </c>
      <c r="C6193" s="1" t="n">
        <v>46045</v>
      </c>
      <c r="D6193" t="inlineStr">
        <is>
          <t>JÄMTLANDS LÄN</t>
        </is>
      </c>
      <c r="E6193" t="inlineStr">
        <is>
          <t>BRÄCKE</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50263-2025</t>
        </is>
      </c>
      <c r="B6194" s="1" t="n">
        <v>45944.34545138889</v>
      </c>
      <c r="C6194" s="1" t="n">
        <v>46045</v>
      </c>
      <c r="D6194" t="inlineStr">
        <is>
          <t>JÄMTLANDS LÄN</t>
        </is>
      </c>
      <c r="E6194" t="inlineStr">
        <is>
          <t>BRÄCKE</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50280-2025</t>
        </is>
      </c>
      <c r="B6195" s="1" t="n">
        <v>45944.38351851852</v>
      </c>
      <c r="C6195" s="1" t="n">
        <v>46045</v>
      </c>
      <c r="D6195" t="inlineStr">
        <is>
          <t>JÄMTLANDS LÄN</t>
        </is>
      </c>
      <c r="E6195" t="inlineStr">
        <is>
          <t>STRÖMSUND</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23458-2025</t>
        </is>
      </c>
      <c r="B6196" s="1" t="n">
        <v>45792.42756944444</v>
      </c>
      <c r="C6196" s="1" t="n">
        <v>46045</v>
      </c>
      <c r="D6196" t="inlineStr">
        <is>
          <t>JÄMTLANDS LÄN</t>
        </is>
      </c>
      <c r="E6196" t="inlineStr">
        <is>
          <t>BRÄCKE</t>
        </is>
      </c>
      <c r="F6196" t="inlineStr">
        <is>
          <t>SCA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23068-2025</t>
        </is>
      </c>
      <c r="B6197" s="1" t="n">
        <v>45790.87653935186</v>
      </c>
      <c r="C6197" s="1" t="n">
        <v>46045</v>
      </c>
      <c r="D6197" t="inlineStr">
        <is>
          <t>JÄMTLANDS LÄN</t>
        </is>
      </c>
      <c r="E6197" t="inlineStr">
        <is>
          <t>HÄRJEDALEN</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23078-2025</t>
        </is>
      </c>
      <c r="B6198" s="1" t="n">
        <v>45791.27984953704</v>
      </c>
      <c r="C6198" s="1" t="n">
        <v>46045</v>
      </c>
      <c r="D6198" t="inlineStr">
        <is>
          <t>JÄMTLANDS LÄN</t>
        </is>
      </c>
      <c r="E6198" t="inlineStr">
        <is>
          <t>ÖSTERSUND</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57985-2024</t>
        </is>
      </c>
      <c r="B6199" s="1" t="n">
        <v>45631.61869212963</v>
      </c>
      <c r="C6199" s="1" t="n">
        <v>46045</v>
      </c>
      <c r="D6199" t="inlineStr">
        <is>
          <t>JÄMTLANDS LÄN</t>
        </is>
      </c>
      <c r="E6199" t="inlineStr">
        <is>
          <t>KROKOM</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50094-2025</t>
        </is>
      </c>
      <c r="B6200" s="1" t="n">
        <v>45943.49340277778</v>
      </c>
      <c r="C6200" s="1" t="n">
        <v>46045</v>
      </c>
      <c r="D6200" t="inlineStr">
        <is>
          <t>JÄMTLANDS LÄN</t>
        </is>
      </c>
      <c r="E6200" t="inlineStr">
        <is>
          <t>BERG</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9548-2025</t>
        </is>
      </c>
      <c r="B6201" s="1" t="n">
        <v>45715.59405092592</v>
      </c>
      <c r="C6201" s="1" t="n">
        <v>46045</v>
      </c>
      <c r="D6201" t="inlineStr">
        <is>
          <t>JÄMTLANDS LÄN</t>
        </is>
      </c>
      <c r="E6201" t="inlineStr">
        <is>
          <t>RAGUNDA</t>
        </is>
      </c>
      <c r="F6201" t="inlineStr">
        <is>
          <t>SCA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20532-2025</t>
        </is>
      </c>
      <c r="B6202" s="1" t="n">
        <v>45775.61515046296</v>
      </c>
      <c r="C6202" s="1" t="n">
        <v>46045</v>
      </c>
      <c r="D6202" t="inlineStr">
        <is>
          <t>JÄMTLANDS LÄN</t>
        </is>
      </c>
      <c r="E6202" t="inlineStr">
        <is>
          <t>BRÄCKE</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23110-2025</t>
        </is>
      </c>
      <c r="B6203" s="1" t="n">
        <v>45791.36526620371</v>
      </c>
      <c r="C6203" s="1" t="n">
        <v>46045</v>
      </c>
      <c r="D6203" t="inlineStr">
        <is>
          <t>JÄMTLANDS LÄN</t>
        </is>
      </c>
      <c r="E6203" t="inlineStr">
        <is>
          <t>ÖSTERSUND</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46268-2023</t>
        </is>
      </c>
      <c r="B6204" s="1" t="n">
        <v>45196</v>
      </c>
      <c r="C6204" s="1" t="n">
        <v>46045</v>
      </c>
      <c r="D6204" t="inlineStr">
        <is>
          <t>JÄMTLANDS LÄN</t>
        </is>
      </c>
      <c r="E6204" t="inlineStr">
        <is>
          <t>BERG</t>
        </is>
      </c>
      <c r="F6204" t="inlineStr">
        <is>
          <t>SCA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23583-2025</t>
        </is>
      </c>
      <c r="B6205" s="1" t="n">
        <v>45792.63043981481</v>
      </c>
      <c r="C6205" s="1" t="n">
        <v>46045</v>
      </c>
      <c r="D6205" t="inlineStr">
        <is>
          <t>JÄMTLANDS LÄN</t>
        </is>
      </c>
      <c r="E6205" t="inlineStr">
        <is>
          <t>BRÄCKE</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23586-2025</t>
        </is>
      </c>
      <c r="B6206" s="1" t="n">
        <v>45792.63584490741</v>
      </c>
      <c r="C6206" s="1" t="n">
        <v>46045</v>
      </c>
      <c r="D6206" t="inlineStr">
        <is>
          <t>JÄMTLANDS LÄN</t>
        </is>
      </c>
      <c r="E6206" t="inlineStr">
        <is>
          <t>RAGUNDA</t>
        </is>
      </c>
      <c r="F6206" t="inlineStr">
        <is>
          <t>SCA</t>
        </is>
      </c>
      <c r="G6206" t="n">
        <v>9.699999999999999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50011-2025</t>
        </is>
      </c>
      <c r="B6207" s="1" t="n">
        <v>45943.34561342592</v>
      </c>
      <c r="C6207" s="1" t="n">
        <v>46045</v>
      </c>
      <c r="D6207" t="inlineStr">
        <is>
          <t>JÄMTLANDS LÄN</t>
        </is>
      </c>
      <c r="E6207" t="inlineStr">
        <is>
          <t>KROKOM</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50287-2025</t>
        </is>
      </c>
      <c r="B6208" s="1" t="n">
        <v>45944.39659722222</v>
      </c>
      <c r="C6208" s="1" t="n">
        <v>46045</v>
      </c>
      <c r="D6208" t="inlineStr">
        <is>
          <t>JÄMTLANDS LÄN</t>
        </is>
      </c>
      <c r="E6208" t="inlineStr">
        <is>
          <t>STRÖMSUND</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30285-2023</t>
        </is>
      </c>
      <c r="B6209" s="1" t="n">
        <v>45110</v>
      </c>
      <c r="C6209" s="1" t="n">
        <v>46045</v>
      </c>
      <c r="D6209" t="inlineStr">
        <is>
          <t>JÄMTLANDS LÄN</t>
        </is>
      </c>
      <c r="E6209" t="inlineStr">
        <is>
          <t>STRÖMSUND</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50203-2025</t>
        </is>
      </c>
      <c r="B6210" s="1" t="n">
        <v>45943.65641203704</v>
      </c>
      <c r="C6210" s="1" t="n">
        <v>46045</v>
      </c>
      <c r="D6210" t="inlineStr">
        <is>
          <t>JÄMTLANDS LÄN</t>
        </is>
      </c>
      <c r="E6210" t="inlineStr">
        <is>
          <t>ÅRE</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50231-2025</t>
        </is>
      </c>
      <c r="B6211" s="1" t="n">
        <v>45943.70643518519</v>
      </c>
      <c r="C6211" s="1" t="n">
        <v>46045</v>
      </c>
      <c r="D6211" t="inlineStr">
        <is>
          <t>JÄMTLANDS LÄN</t>
        </is>
      </c>
      <c r="E6211" t="inlineStr">
        <is>
          <t>BERG</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50233-2025</t>
        </is>
      </c>
      <c r="B6212" s="1" t="n">
        <v>45943.71228009259</v>
      </c>
      <c r="C6212" s="1" t="n">
        <v>46045</v>
      </c>
      <c r="D6212" t="inlineStr">
        <is>
          <t>JÄMTLANDS LÄN</t>
        </is>
      </c>
      <c r="E6212" t="inlineStr">
        <is>
          <t>BERG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23413-2025</t>
        </is>
      </c>
      <c r="B6213" s="1" t="n">
        <v>45792.34606481482</v>
      </c>
      <c r="C6213" s="1" t="n">
        <v>46045</v>
      </c>
      <c r="D6213" t="inlineStr">
        <is>
          <t>JÄMTLANDS LÄN</t>
        </is>
      </c>
      <c r="E6213" t="inlineStr">
        <is>
          <t>RAGUNDA</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49994-2025</t>
        </is>
      </c>
      <c r="B6214" s="1" t="n">
        <v>45942.96922453704</v>
      </c>
      <c r="C6214" s="1" t="n">
        <v>46045</v>
      </c>
      <c r="D6214" t="inlineStr">
        <is>
          <t>JÄMTLANDS LÄN</t>
        </is>
      </c>
      <c r="E6214" t="inlineStr">
        <is>
          <t>RAGUNDA</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49995-2025</t>
        </is>
      </c>
      <c r="B6215" s="1" t="n">
        <v>45943.00986111111</v>
      </c>
      <c r="C6215" s="1" t="n">
        <v>46045</v>
      </c>
      <c r="D6215" t="inlineStr">
        <is>
          <t>JÄMTLANDS LÄN</t>
        </is>
      </c>
      <c r="E6215" t="inlineStr">
        <is>
          <t>RAGUNDA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50598-2025</t>
        </is>
      </c>
      <c r="B6216" s="1" t="n">
        <v>45944</v>
      </c>
      <c r="C6216" s="1" t="n">
        <v>46045</v>
      </c>
      <c r="D6216" t="inlineStr">
        <is>
          <t>JÄMTLANDS LÄN</t>
        </is>
      </c>
      <c r="E6216" t="inlineStr">
        <is>
          <t>STRÖMSUND</t>
        </is>
      </c>
      <c r="G6216" t="n">
        <v>9.699999999999999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50274-2025</t>
        </is>
      </c>
      <c r="B6217" s="1" t="n">
        <v>45944.36866898148</v>
      </c>
      <c r="C6217" s="1" t="n">
        <v>46045</v>
      </c>
      <c r="D6217" t="inlineStr">
        <is>
          <t>JÄMTLANDS LÄN</t>
        </is>
      </c>
      <c r="E6217" t="inlineStr">
        <is>
          <t>STRÖMSUND</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50121-2025</t>
        </is>
      </c>
      <c r="B6218" s="1" t="n">
        <v>45943.54938657407</v>
      </c>
      <c r="C6218" s="1" t="n">
        <v>46045</v>
      </c>
      <c r="D6218" t="inlineStr">
        <is>
          <t>JÄMTLANDS LÄN</t>
        </is>
      </c>
      <c r="E6218" t="inlineStr">
        <is>
          <t>STRÖMSUND</t>
        </is>
      </c>
      <c r="F6218" t="inlineStr">
        <is>
          <t>Holmen skog AB</t>
        </is>
      </c>
      <c r="G6218" t="n">
        <v>7.7</v>
      </c>
      <c r="H6218" t="n">
        <v>0</v>
      </c>
      <c r="I6218" t="n">
        <v>0</v>
      </c>
      <c r="J6218" t="n">
        <v>0</v>
      </c>
      <c r="K6218" t="n">
        <v>0</v>
      </c>
      <c r="L6218" t="n">
        <v>0</v>
      </c>
      <c r="M6218" t="n">
        <v>0</v>
      </c>
      <c r="N6218" t="n">
        <v>0</v>
      </c>
      <c r="O6218" t="n">
        <v>0</v>
      </c>
      <c r="P6218" t="n">
        <v>0</v>
      </c>
      <c r="Q6218" t="n">
        <v>0</v>
      </c>
      <c r="R6218" s="2" t="inlineStr"/>
    </row>
    <row r="6219" ht="15" customHeight="1">
      <c r="A6219" t="inlineStr">
        <is>
          <t>A 50098-2025</t>
        </is>
      </c>
      <c r="B6219" s="1" t="n">
        <v>45943.51086805556</v>
      </c>
      <c r="C6219" s="1" t="n">
        <v>46045</v>
      </c>
      <c r="D6219" t="inlineStr">
        <is>
          <t>JÄMTLANDS LÄN</t>
        </is>
      </c>
      <c r="E6219" t="inlineStr">
        <is>
          <t>RAGUNDA</t>
        </is>
      </c>
      <c r="F6219" t="inlineStr">
        <is>
          <t>SCA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50126-2025</t>
        </is>
      </c>
      <c r="B6220" s="1" t="n">
        <v>45943.55271990741</v>
      </c>
      <c r="C6220" s="1" t="n">
        <v>46045</v>
      </c>
      <c r="D6220" t="inlineStr">
        <is>
          <t>JÄMTLANDS LÄN</t>
        </is>
      </c>
      <c r="E6220" t="inlineStr">
        <is>
          <t>RAGUNDA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28970-2025</t>
        </is>
      </c>
      <c r="B6221" s="1" t="n">
        <v>45821.34480324074</v>
      </c>
      <c r="C6221" s="1" t="n">
        <v>46045</v>
      </c>
      <c r="D6221" t="inlineStr">
        <is>
          <t>JÄMTLANDS LÄN</t>
        </is>
      </c>
      <c r="E6221" t="inlineStr">
        <is>
          <t>STRÖMSUND</t>
        </is>
      </c>
      <c r="F6221" t="inlineStr">
        <is>
          <t>SCA</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23600-2025</t>
        </is>
      </c>
      <c r="B6222" s="1" t="n">
        <v>45792.65047453704</v>
      </c>
      <c r="C6222" s="1" t="n">
        <v>46045</v>
      </c>
      <c r="D6222" t="inlineStr">
        <is>
          <t>JÄMTLANDS LÄN</t>
        </is>
      </c>
      <c r="E6222" t="inlineStr">
        <is>
          <t>HÄRJEDALEN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6015-2025</t>
        </is>
      </c>
      <c r="B6223" s="1" t="n">
        <v>45695.60015046296</v>
      </c>
      <c r="C6223" s="1" t="n">
        <v>46045</v>
      </c>
      <c r="D6223" t="inlineStr">
        <is>
          <t>JÄMTLANDS LÄN</t>
        </is>
      </c>
      <c r="E6223" t="inlineStr">
        <is>
          <t>KROKOM</t>
        </is>
      </c>
      <c r="F6223" t="inlineStr">
        <is>
          <t>Övriga Aktiebolag</t>
        </is>
      </c>
      <c r="G6223" t="n">
        <v>15.5</v>
      </c>
      <c r="H6223" t="n">
        <v>0</v>
      </c>
      <c r="I6223" t="n">
        <v>0</v>
      </c>
      <c r="J6223" t="n">
        <v>0</v>
      </c>
      <c r="K6223" t="n">
        <v>0</v>
      </c>
      <c r="L6223" t="n">
        <v>0</v>
      </c>
      <c r="M6223" t="n">
        <v>0</v>
      </c>
      <c r="N6223" t="n">
        <v>0</v>
      </c>
      <c r="O6223" t="n">
        <v>0</v>
      </c>
      <c r="P6223" t="n">
        <v>0</v>
      </c>
      <c r="Q6223" t="n">
        <v>0</v>
      </c>
      <c r="R6223" s="2" t="inlineStr"/>
    </row>
    <row r="6224" ht="15" customHeight="1">
      <c r="A6224" t="inlineStr">
        <is>
          <t>A 28967-2025</t>
        </is>
      </c>
      <c r="B6224" s="1" t="n">
        <v>45821.34440972222</v>
      </c>
      <c r="C6224" s="1" t="n">
        <v>46045</v>
      </c>
      <c r="D6224" t="inlineStr">
        <is>
          <t>JÄMTLANDS LÄN</t>
        </is>
      </c>
      <c r="E6224" t="inlineStr">
        <is>
          <t>STRÖMSUND</t>
        </is>
      </c>
      <c r="F6224" t="inlineStr">
        <is>
          <t>SCA</t>
        </is>
      </c>
      <c r="G6224" t="n">
        <v>24.3</v>
      </c>
      <c r="H6224" t="n">
        <v>0</v>
      </c>
      <c r="I6224" t="n">
        <v>0</v>
      </c>
      <c r="J6224" t="n">
        <v>0</v>
      </c>
      <c r="K6224" t="n">
        <v>0</v>
      </c>
      <c r="L6224" t="n">
        <v>0</v>
      </c>
      <c r="M6224" t="n">
        <v>0</v>
      </c>
      <c r="N6224" t="n">
        <v>0</v>
      </c>
      <c r="O6224" t="n">
        <v>0</v>
      </c>
      <c r="P6224" t="n">
        <v>0</v>
      </c>
      <c r="Q6224" t="n">
        <v>0</v>
      </c>
      <c r="R6224" s="2" t="inlineStr"/>
    </row>
    <row r="6225" ht="15" customHeight="1">
      <c r="A6225" t="inlineStr">
        <is>
          <t>A 28969-2025</t>
        </is>
      </c>
      <c r="B6225" s="1" t="n">
        <v>45821.34475694445</v>
      </c>
      <c r="C6225" s="1" t="n">
        <v>46045</v>
      </c>
      <c r="D6225" t="inlineStr">
        <is>
          <t>JÄMTLANDS LÄN</t>
        </is>
      </c>
      <c r="E6225" t="inlineStr">
        <is>
          <t>STRÖMSUND</t>
        </is>
      </c>
      <c r="F6225" t="inlineStr">
        <is>
          <t>SCA</t>
        </is>
      </c>
      <c r="G6225" t="n">
        <v>24.3</v>
      </c>
      <c r="H6225" t="n">
        <v>0</v>
      </c>
      <c r="I6225" t="n">
        <v>0</v>
      </c>
      <c r="J6225" t="n">
        <v>0</v>
      </c>
      <c r="K6225" t="n">
        <v>0</v>
      </c>
      <c r="L6225" t="n">
        <v>0</v>
      </c>
      <c r="M6225" t="n">
        <v>0</v>
      </c>
      <c r="N6225" t="n">
        <v>0</v>
      </c>
      <c r="O6225" t="n">
        <v>0</v>
      </c>
      <c r="P6225" t="n">
        <v>0</v>
      </c>
      <c r="Q6225" t="n">
        <v>0</v>
      </c>
      <c r="R6225" s="2" t="inlineStr"/>
    </row>
    <row r="6226" ht="15" customHeight="1">
      <c r="A6226" t="inlineStr">
        <is>
          <t>A 55365-2024</t>
        </is>
      </c>
      <c r="B6226" s="1" t="n">
        <v>45621.86827546296</v>
      </c>
      <c r="C6226" s="1" t="n">
        <v>46045</v>
      </c>
      <c r="D6226" t="inlineStr">
        <is>
          <t>JÄMTLANDS LÄN</t>
        </is>
      </c>
      <c r="E6226" t="inlineStr">
        <is>
          <t>ÖSTERSUND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50227-2025</t>
        </is>
      </c>
      <c r="B6227" s="1" t="n">
        <v>45943.69686342592</v>
      </c>
      <c r="C6227" s="1" t="n">
        <v>46045</v>
      </c>
      <c r="D6227" t="inlineStr">
        <is>
          <t>JÄMTLANDS LÄN</t>
        </is>
      </c>
      <c r="E6227" t="inlineStr">
        <is>
          <t>BERG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43458-2025</t>
        </is>
      </c>
      <c r="B6228" s="1" t="n">
        <v>45911.46315972223</v>
      </c>
      <c r="C6228" s="1" t="n">
        <v>46045</v>
      </c>
      <c r="D6228" t="inlineStr">
        <is>
          <t>JÄMTLANDS LÄN</t>
        </is>
      </c>
      <c r="E6228" t="inlineStr">
        <is>
          <t>BERG</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49979-2025</t>
        </is>
      </c>
      <c r="B6229" s="1" t="n">
        <v>45942.62457175926</v>
      </c>
      <c r="C6229" s="1" t="n">
        <v>46045</v>
      </c>
      <c r="D6229" t="inlineStr">
        <is>
          <t>JÄMTLANDS LÄN</t>
        </is>
      </c>
      <c r="E6229" t="inlineStr">
        <is>
          <t>HÄRJEDALEN</t>
        </is>
      </c>
      <c r="F6229" t="inlineStr">
        <is>
          <t>Kyrkan</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50010-2025</t>
        </is>
      </c>
      <c r="B6230" s="1" t="n">
        <v>45943.34546296296</v>
      </c>
      <c r="C6230" s="1" t="n">
        <v>46045</v>
      </c>
      <c r="D6230" t="inlineStr">
        <is>
          <t>JÄMTLANDS LÄN</t>
        </is>
      </c>
      <c r="E6230" t="inlineStr">
        <is>
          <t>KROKOM</t>
        </is>
      </c>
      <c r="F6230" t="inlineStr">
        <is>
          <t>SCA</t>
        </is>
      </c>
      <c r="G6230" t="n">
        <v>35.8</v>
      </c>
      <c r="H6230" t="n">
        <v>0</v>
      </c>
      <c r="I6230" t="n">
        <v>0</v>
      </c>
      <c r="J6230" t="n">
        <v>0</v>
      </c>
      <c r="K6230" t="n">
        <v>0</v>
      </c>
      <c r="L6230" t="n">
        <v>0</v>
      </c>
      <c r="M6230" t="n">
        <v>0</v>
      </c>
      <c r="N6230" t="n">
        <v>0</v>
      </c>
      <c r="O6230" t="n">
        <v>0</v>
      </c>
      <c r="P6230" t="n">
        <v>0</v>
      </c>
      <c r="Q6230" t="n">
        <v>0</v>
      </c>
      <c r="R6230" s="2" t="inlineStr"/>
    </row>
    <row r="6231" ht="15" customHeight="1">
      <c r="A6231" t="inlineStr">
        <is>
          <t>A 50024-2025</t>
        </is>
      </c>
      <c r="B6231" s="1" t="n">
        <v>45943.37563657408</v>
      </c>
      <c r="C6231" s="1" t="n">
        <v>46045</v>
      </c>
      <c r="D6231" t="inlineStr">
        <is>
          <t>JÄMTLANDS LÄN</t>
        </is>
      </c>
      <c r="E6231" t="inlineStr">
        <is>
          <t>BERG</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60349-2024</t>
        </is>
      </c>
      <c r="B6232" s="1" t="n">
        <v>45643.42986111111</v>
      </c>
      <c r="C6232" s="1" t="n">
        <v>46045</v>
      </c>
      <c r="D6232" t="inlineStr">
        <is>
          <t>JÄMTLANDS LÄN</t>
        </is>
      </c>
      <c r="E6232" t="inlineStr">
        <is>
          <t>ÖSTERSUND</t>
        </is>
      </c>
      <c r="F6232" t="inlineStr">
        <is>
          <t>Sveaskog</t>
        </is>
      </c>
      <c r="G6232" t="n">
        <v>16.6</v>
      </c>
      <c r="H6232" t="n">
        <v>0</v>
      </c>
      <c r="I6232" t="n">
        <v>0</v>
      </c>
      <c r="J6232" t="n">
        <v>0</v>
      </c>
      <c r="K6232" t="n">
        <v>0</v>
      </c>
      <c r="L6232" t="n">
        <v>0</v>
      </c>
      <c r="M6232" t="n">
        <v>0</v>
      </c>
      <c r="N6232" t="n">
        <v>0</v>
      </c>
      <c r="O6232" t="n">
        <v>0</v>
      </c>
      <c r="P6232" t="n">
        <v>0</v>
      </c>
      <c r="Q6232" t="n">
        <v>0</v>
      </c>
      <c r="R6232" s="2" t="inlineStr"/>
    </row>
    <row r="6233" ht="15" customHeight="1">
      <c r="A6233" t="inlineStr">
        <is>
          <t>A 50002-2025</t>
        </is>
      </c>
      <c r="B6233" s="1" t="n">
        <v>45943.34451388889</v>
      </c>
      <c r="C6233" s="1" t="n">
        <v>46045</v>
      </c>
      <c r="D6233" t="inlineStr">
        <is>
          <t>JÄMTLANDS LÄN</t>
        </is>
      </c>
      <c r="E6233" t="inlineStr">
        <is>
          <t>KROKOM</t>
        </is>
      </c>
      <c r="F6233" t="inlineStr">
        <is>
          <t>SCA</t>
        </is>
      </c>
      <c r="G6233" t="n">
        <v>12.3</v>
      </c>
      <c r="H6233" t="n">
        <v>0</v>
      </c>
      <c r="I6233" t="n">
        <v>0</v>
      </c>
      <c r="J6233" t="n">
        <v>0</v>
      </c>
      <c r="K6233" t="n">
        <v>0</v>
      </c>
      <c r="L6233" t="n">
        <v>0</v>
      </c>
      <c r="M6233" t="n">
        <v>0</v>
      </c>
      <c r="N6233" t="n">
        <v>0</v>
      </c>
      <c r="O6233" t="n">
        <v>0</v>
      </c>
      <c r="P6233" t="n">
        <v>0</v>
      </c>
      <c r="Q6233" t="n">
        <v>0</v>
      </c>
      <c r="R6233" s="2" t="inlineStr"/>
    </row>
    <row r="6234" ht="15" customHeight="1">
      <c r="A6234" t="inlineStr">
        <is>
          <t>A 23628-2025</t>
        </is>
      </c>
      <c r="B6234" s="1" t="n">
        <v>45792.67740740741</v>
      </c>
      <c r="C6234" s="1" t="n">
        <v>46045</v>
      </c>
      <c r="D6234" t="inlineStr">
        <is>
          <t>JÄMTLANDS LÄN</t>
        </is>
      </c>
      <c r="E6234" t="inlineStr">
        <is>
          <t>STRÖMSUND</t>
        </is>
      </c>
      <c r="F6234" t="inlineStr">
        <is>
          <t>SCA</t>
        </is>
      </c>
      <c r="G6234" t="n">
        <v>13.6</v>
      </c>
      <c r="H6234" t="n">
        <v>0</v>
      </c>
      <c r="I6234" t="n">
        <v>0</v>
      </c>
      <c r="J6234" t="n">
        <v>0</v>
      </c>
      <c r="K6234" t="n">
        <v>0</v>
      </c>
      <c r="L6234" t="n">
        <v>0</v>
      </c>
      <c r="M6234" t="n">
        <v>0</v>
      </c>
      <c r="N6234" t="n">
        <v>0</v>
      </c>
      <c r="O6234" t="n">
        <v>0</v>
      </c>
      <c r="P6234" t="n">
        <v>0</v>
      </c>
      <c r="Q6234" t="n">
        <v>0</v>
      </c>
      <c r="R6234" s="2" t="inlineStr"/>
    </row>
    <row r="6235" ht="15" customHeight="1">
      <c r="A6235" t="inlineStr">
        <is>
          <t>A 45436-2022</t>
        </is>
      </c>
      <c r="B6235" s="1" t="n">
        <v>44844.95355324074</v>
      </c>
      <c r="C6235" s="1" t="n">
        <v>46045</v>
      </c>
      <c r="D6235" t="inlineStr">
        <is>
          <t>JÄMTLANDS LÄN</t>
        </is>
      </c>
      <c r="E6235" t="inlineStr">
        <is>
          <t>BRÄCKE</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32964-2024</t>
        </is>
      </c>
      <c r="B6236" s="1" t="n">
        <v>45517.39274305556</v>
      </c>
      <c r="C6236" s="1" t="n">
        <v>46045</v>
      </c>
      <c r="D6236" t="inlineStr">
        <is>
          <t>JÄMTLANDS LÄN</t>
        </is>
      </c>
      <c r="E6236" t="inlineStr">
        <is>
          <t>HÄRJEDALEN</t>
        </is>
      </c>
      <c r="F6236" t="inlineStr">
        <is>
          <t>Kommuner</t>
        </is>
      </c>
      <c r="G6236" t="n">
        <v>30.3</v>
      </c>
      <c r="H6236" t="n">
        <v>0</v>
      </c>
      <c r="I6236" t="n">
        <v>0</v>
      </c>
      <c r="J6236" t="n">
        <v>0</v>
      </c>
      <c r="K6236" t="n">
        <v>0</v>
      </c>
      <c r="L6236" t="n">
        <v>0</v>
      </c>
      <c r="M6236" t="n">
        <v>0</v>
      </c>
      <c r="N6236" t="n">
        <v>0</v>
      </c>
      <c r="O6236" t="n">
        <v>0</v>
      </c>
      <c r="P6236" t="n">
        <v>0</v>
      </c>
      <c r="Q6236" t="n">
        <v>0</v>
      </c>
      <c r="R6236" s="2" t="inlineStr"/>
    </row>
    <row r="6237" ht="15" customHeight="1">
      <c r="A6237" t="inlineStr">
        <is>
          <t>A 28705-2022</t>
        </is>
      </c>
      <c r="B6237" s="1" t="n">
        <v>44748.90450231481</v>
      </c>
      <c r="C6237" s="1" t="n">
        <v>46045</v>
      </c>
      <c r="D6237" t="inlineStr">
        <is>
          <t>JÄMTLANDS LÄN</t>
        </is>
      </c>
      <c r="E6237" t="inlineStr">
        <is>
          <t>STRÖMSUND</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50003-2025</t>
        </is>
      </c>
      <c r="B6238" s="1" t="n">
        <v>45943.34457175926</v>
      </c>
      <c r="C6238" s="1" t="n">
        <v>46045</v>
      </c>
      <c r="D6238" t="inlineStr">
        <is>
          <t>JÄMTLANDS LÄN</t>
        </is>
      </c>
      <c r="E6238" t="inlineStr">
        <is>
          <t>KROKOM</t>
        </is>
      </c>
      <c r="F6238" t="inlineStr">
        <is>
          <t>SCA</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50004-2025</t>
        </is>
      </c>
      <c r="B6239" s="1" t="n">
        <v>45943.34472222222</v>
      </c>
      <c r="C6239" s="1" t="n">
        <v>46045</v>
      </c>
      <c r="D6239" t="inlineStr">
        <is>
          <t>JÄMTLANDS LÄN</t>
        </is>
      </c>
      <c r="E6239" t="inlineStr">
        <is>
          <t>KROKOM</t>
        </is>
      </c>
      <c r="F6239" t="inlineStr">
        <is>
          <t>SCA</t>
        </is>
      </c>
      <c r="G6239" t="n">
        <v>13.9</v>
      </c>
      <c r="H6239" t="n">
        <v>0</v>
      </c>
      <c r="I6239" t="n">
        <v>0</v>
      </c>
      <c r="J6239" t="n">
        <v>0</v>
      </c>
      <c r="K6239" t="n">
        <v>0</v>
      </c>
      <c r="L6239" t="n">
        <v>0</v>
      </c>
      <c r="M6239" t="n">
        <v>0</v>
      </c>
      <c r="N6239" t="n">
        <v>0</v>
      </c>
      <c r="O6239" t="n">
        <v>0</v>
      </c>
      <c r="P6239" t="n">
        <v>0</v>
      </c>
      <c r="Q6239" t="n">
        <v>0</v>
      </c>
      <c r="R6239" s="2" t="inlineStr"/>
    </row>
    <row r="6240" ht="15" customHeight="1">
      <c r="A6240" t="inlineStr">
        <is>
          <t>A 50016-2025</t>
        </is>
      </c>
      <c r="B6240" s="1" t="n">
        <v>45943.35318287037</v>
      </c>
      <c r="C6240" s="1" t="n">
        <v>46045</v>
      </c>
      <c r="D6240" t="inlineStr">
        <is>
          <t>JÄMTLANDS LÄN</t>
        </is>
      </c>
      <c r="E6240" t="inlineStr">
        <is>
          <t>BRÄCKE</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50020-2025</t>
        </is>
      </c>
      <c r="B6241" s="1" t="n">
        <v>45943.36899305556</v>
      </c>
      <c r="C6241" s="1" t="n">
        <v>46045</v>
      </c>
      <c r="D6241" t="inlineStr">
        <is>
          <t>JÄMTLANDS LÄN</t>
        </is>
      </c>
      <c r="E6241" t="inlineStr">
        <is>
          <t>BERG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23518-2025</t>
        </is>
      </c>
      <c r="B6242" s="1" t="n">
        <v>45792.50942129629</v>
      </c>
      <c r="C6242" s="1" t="n">
        <v>46045</v>
      </c>
      <c r="D6242" t="inlineStr">
        <is>
          <t>JÄMTLANDS LÄN</t>
        </is>
      </c>
      <c r="E6242" t="inlineStr">
        <is>
          <t>HÄRJEDALEN</t>
        </is>
      </c>
      <c r="F6242" t="inlineStr">
        <is>
          <t>Sveaskog</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50079-2025</t>
        </is>
      </c>
      <c r="B6243" s="1" t="n">
        <v>45943.46916666667</v>
      </c>
      <c r="C6243" s="1" t="n">
        <v>46045</v>
      </c>
      <c r="D6243" t="inlineStr">
        <is>
          <t>JÄMTLANDS LÄN</t>
        </is>
      </c>
      <c r="E6243" t="inlineStr">
        <is>
          <t>BRÄCKE</t>
        </is>
      </c>
      <c r="F6243" t="inlineStr">
        <is>
          <t>SCA</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50081-2025</t>
        </is>
      </c>
      <c r="B6244" s="1" t="n">
        <v>45943.46954861111</v>
      </c>
      <c r="C6244" s="1" t="n">
        <v>46045</v>
      </c>
      <c r="D6244" t="inlineStr">
        <is>
          <t>JÄMTLANDS LÄN</t>
        </is>
      </c>
      <c r="E6244" t="inlineStr">
        <is>
          <t>RAGUNDA</t>
        </is>
      </c>
      <c r="F6244" t="inlineStr">
        <is>
          <t>SCA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52249-2023</t>
        </is>
      </c>
      <c r="B6245" s="1" t="n">
        <v>45217</v>
      </c>
      <c r="C6245" s="1" t="n">
        <v>46045</v>
      </c>
      <c r="D6245" t="inlineStr">
        <is>
          <t>JÄMTLANDS LÄN</t>
        </is>
      </c>
      <c r="E6245" t="inlineStr">
        <is>
          <t>BRÄCKE</t>
        </is>
      </c>
      <c r="F6245" t="inlineStr">
        <is>
          <t>SCA</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18750-2022</t>
        </is>
      </c>
      <c r="B6246" s="1" t="n">
        <v>44687.94185185185</v>
      </c>
      <c r="C6246" s="1" t="n">
        <v>46045</v>
      </c>
      <c r="D6246" t="inlineStr">
        <is>
          <t>JÄMTLANDS LÄN</t>
        </is>
      </c>
      <c r="E6246" t="inlineStr">
        <is>
          <t>STRÖMSUND</t>
        </is>
      </c>
      <c r="F6246" t="inlineStr">
        <is>
          <t>SCA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7938-2025</t>
        </is>
      </c>
      <c r="B6247" s="1" t="n">
        <v>45707</v>
      </c>
      <c r="C6247" s="1" t="n">
        <v>46045</v>
      </c>
      <c r="D6247" t="inlineStr">
        <is>
          <t>JÄMTLANDS LÄN</t>
        </is>
      </c>
      <c r="E6247" t="inlineStr">
        <is>
          <t>ÖSTERSUND</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50051-2025</t>
        </is>
      </c>
      <c r="B6248" s="1" t="n">
        <v>45943.420625</v>
      </c>
      <c r="C6248" s="1" t="n">
        <v>46045</v>
      </c>
      <c r="D6248" t="inlineStr">
        <is>
          <t>JÄMTLANDS LÄN</t>
        </is>
      </c>
      <c r="E6248" t="inlineStr">
        <is>
          <t>HÄRJEDALEN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50272-2025</t>
        </is>
      </c>
      <c r="B6249" s="1" t="n">
        <v>45944.365</v>
      </c>
      <c r="C6249" s="1" t="n">
        <v>46045</v>
      </c>
      <c r="D6249" t="inlineStr">
        <is>
          <t>JÄMTLANDS LÄN</t>
        </is>
      </c>
      <c r="E6249" t="inlineStr">
        <is>
          <t>BRÄCKE</t>
        </is>
      </c>
      <c r="F6249" t="inlineStr">
        <is>
          <t>SCA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39169-2023</t>
        </is>
      </c>
      <c r="B6250" s="1" t="n">
        <v>45166</v>
      </c>
      <c r="C6250" s="1" t="n">
        <v>46045</v>
      </c>
      <c r="D6250" t="inlineStr">
        <is>
          <t>JÄMTLANDS LÄN</t>
        </is>
      </c>
      <c r="E6250" t="inlineStr">
        <is>
          <t>KROKOM</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50088-2025</t>
        </is>
      </c>
      <c r="B6251" s="1" t="n">
        <v>45943.47976851852</v>
      </c>
      <c r="C6251" s="1" t="n">
        <v>46045</v>
      </c>
      <c r="D6251" t="inlineStr">
        <is>
          <t>JÄMTLANDS LÄN</t>
        </is>
      </c>
      <c r="E6251" t="inlineStr">
        <is>
          <t>STRÖMSUND</t>
        </is>
      </c>
      <c r="F6251" t="inlineStr">
        <is>
          <t>Holmen skog AB</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50230-2025</t>
        </is>
      </c>
      <c r="B6252" s="1" t="n">
        <v>45943.70216435185</v>
      </c>
      <c r="C6252" s="1" t="n">
        <v>46045</v>
      </c>
      <c r="D6252" t="inlineStr">
        <is>
          <t>JÄMTLANDS LÄN</t>
        </is>
      </c>
      <c r="E6252" t="inlineStr">
        <is>
          <t>BERG</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50257-2025</t>
        </is>
      </c>
      <c r="B6253" s="1" t="n">
        <v>45944.34462962963</v>
      </c>
      <c r="C6253" s="1" t="n">
        <v>46045</v>
      </c>
      <c r="D6253" t="inlineStr">
        <is>
          <t>JÄMTLANDS LÄN</t>
        </is>
      </c>
      <c r="E6253" t="inlineStr">
        <is>
          <t>BRÄCKE</t>
        </is>
      </c>
      <c r="F6253" t="inlineStr">
        <is>
          <t>SCA</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50260-2025</t>
        </is>
      </c>
      <c r="B6254" s="1" t="n">
        <v>45944.34515046296</v>
      </c>
      <c r="C6254" s="1" t="n">
        <v>46045</v>
      </c>
      <c r="D6254" t="inlineStr">
        <is>
          <t>JÄMTLANDS LÄN</t>
        </is>
      </c>
      <c r="E6254" t="inlineStr">
        <is>
          <t>RAGUNDA</t>
        </is>
      </c>
      <c r="F6254" t="inlineStr">
        <is>
          <t>SCA</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50273-2025</t>
        </is>
      </c>
      <c r="B6255" s="1" t="n">
        <v>45944.36600694444</v>
      </c>
      <c r="C6255" s="1" t="n">
        <v>46045</v>
      </c>
      <c r="D6255" t="inlineStr">
        <is>
          <t>JÄMTLANDS LÄN</t>
        </is>
      </c>
      <c r="E6255" t="inlineStr">
        <is>
          <t>BERG</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50214-2025</t>
        </is>
      </c>
      <c r="B6256" s="1" t="n">
        <v>45943.67826388889</v>
      </c>
      <c r="C6256" s="1" t="n">
        <v>46045</v>
      </c>
      <c r="D6256" t="inlineStr">
        <is>
          <t>JÄMTLANDS LÄN</t>
        </is>
      </c>
      <c r="E6256" t="inlineStr">
        <is>
          <t>BRÄCKE</t>
        </is>
      </c>
      <c r="F6256" t="inlineStr">
        <is>
          <t>SCA</t>
        </is>
      </c>
      <c r="G6256" t="n">
        <v>15.7</v>
      </c>
      <c r="H6256" t="n">
        <v>0</v>
      </c>
      <c r="I6256" t="n">
        <v>0</v>
      </c>
      <c r="J6256" t="n">
        <v>0</v>
      </c>
      <c r="K6256" t="n">
        <v>0</v>
      </c>
      <c r="L6256" t="n">
        <v>0</v>
      </c>
      <c r="M6256" t="n">
        <v>0</v>
      </c>
      <c r="N6256" t="n">
        <v>0</v>
      </c>
      <c r="O6256" t="n">
        <v>0</v>
      </c>
      <c r="P6256" t="n">
        <v>0</v>
      </c>
      <c r="Q6256" t="n">
        <v>0</v>
      </c>
      <c r="R6256" s="2" t="inlineStr"/>
    </row>
    <row r="6257" ht="15" customHeight="1">
      <c r="A6257" t="inlineStr">
        <is>
          <t>A 50215-2025</t>
        </is>
      </c>
      <c r="B6257" s="1" t="n">
        <v>45943.67842592593</v>
      </c>
      <c r="C6257" s="1" t="n">
        <v>46045</v>
      </c>
      <c r="D6257" t="inlineStr">
        <is>
          <t>JÄMTLANDS LÄN</t>
        </is>
      </c>
      <c r="E6257" t="inlineStr">
        <is>
          <t>RAGUNDA</t>
        </is>
      </c>
      <c r="F6257" t="inlineStr">
        <is>
          <t>SCA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50216-2025</t>
        </is>
      </c>
      <c r="B6258" s="1" t="n">
        <v>45943.67859953704</v>
      </c>
      <c r="C6258" s="1" t="n">
        <v>46045</v>
      </c>
      <c r="D6258" t="inlineStr">
        <is>
          <t>JÄMTLANDS LÄN</t>
        </is>
      </c>
      <c r="E6258" t="inlineStr">
        <is>
          <t>BRÄCKE</t>
        </is>
      </c>
      <c r="F6258" t="inlineStr">
        <is>
          <t>SCA</t>
        </is>
      </c>
      <c r="G6258" t="n">
        <v>15.7</v>
      </c>
      <c r="H6258" t="n">
        <v>0</v>
      </c>
      <c r="I6258" t="n">
        <v>0</v>
      </c>
      <c r="J6258" t="n">
        <v>0</v>
      </c>
      <c r="K6258" t="n">
        <v>0</v>
      </c>
      <c r="L6258" t="n">
        <v>0</v>
      </c>
      <c r="M6258" t="n">
        <v>0</v>
      </c>
      <c r="N6258" t="n">
        <v>0</v>
      </c>
      <c r="O6258" t="n">
        <v>0</v>
      </c>
      <c r="P6258" t="n">
        <v>0</v>
      </c>
      <c r="Q6258" t="n">
        <v>0</v>
      </c>
      <c r="R6258" s="2" t="inlineStr"/>
    </row>
    <row r="6259" ht="15" customHeight="1">
      <c r="A6259" t="inlineStr">
        <is>
          <t>A 49991-2025</t>
        </is>
      </c>
      <c r="B6259" s="1" t="n">
        <v>45942.91568287037</v>
      </c>
      <c r="C6259" s="1" t="n">
        <v>46045</v>
      </c>
      <c r="D6259" t="inlineStr">
        <is>
          <t>JÄMTLANDS LÄN</t>
        </is>
      </c>
      <c r="E6259" t="inlineStr">
        <is>
          <t>RAGUNDA</t>
        </is>
      </c>
      <c r="G6259" t="n">
        <v>9</v>
      </c>
      <c r="H6259" t="n">
        <v>0</v>
      </c>
      <c r="I6259" t="n">
        <v>0</v>
      </c>
      <c r="J6259" t="n">
        <v>0</v>
      </c>
      <c r="K6259" t="n">
        <v>0</v>
      </c>
      <c r="L6259" t="n">
        <v>0</v>
      </c>
      <c r="M6259" t="n">
        <v>0</v>
      </c>
      <c r="N6259" t="n">
        <v>0</v>
      </c>
      <c r="O6259" t="n">
        <v>0</v>
      </c>
      <c r="P6259" t="n">
        <v>0</v>
      </c>
      <c r="Q6259" t="n">
        <v>0</v>
      </c>
      <c r="R6259" s="2" t="inlineStr"/>
    </row>
    <row r="6260" ht="15" customHeight="1">
      <c r="A6260" t="inlineStr">
        <is>
          <t>A 49993-2025</t>
        </is>
      </c>
      <c r="B6260" s="1" t="n">
        <v>45942.94371527778</v>
      </c>
      <c r="C6260" s="1" t="n">
        <v>46045</v>
      </c>
      <c r="D6260" t="inlineStr">
        <is>
          <t>JÄMTLANDS LÄN</t>
        </is>
      </c>
      <c r="E6260" t="inlineStr">
        <is>
          <t>RAGUNDA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34650-2024</t>
        </is>
      </c>
      <c r="B6261" s="1" t="n">
        <v>45526.48329861111</v>
      </c>
      <c r="C6261" s="1" t="n">
        <v>46045</v>
      </c>
      <c r="D6261" t="inlineStr">
        <is>
          <t>JÄMTLANDS LÄN</t>
        </is>
      </c>
      <c r="E6261" t="inlineStr">
        <is>
          <t>BERG</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36577-2021</t>
        </is>
      </c>
      <c r="B6262" s="1" t="n">
        <v>44391</v>
      </c>
      <c r="C6262" s="1" t="n">
        <v>46045</v>
      </c>
      <c r="D6262" t="inlineStr">
        <is>
          <t>JÄMTLANDS LÄN</t>
        </is>
      </c>
      <c r="E6262" t="inlineStr">
        <is>
          <t>KROKOM</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23288-2025</t>
        </is>
      </c>
      <c r="B6263" s="1" t="n">
        <v>45791</v>
      </c>
      <c r="C6263" s="1" t="n">
        <v>46045</v>
      </c>
      <c r="D6263" t="inlineStr">
        <is>
          <t>JÄMTLANDS LÄN</t>
        </is>
      </c>
      <c r="E6263" t="inlineStr">
        <is>
          <t>KROKOM</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50270-2025</t>
        </is>
      </c>
      <c r="B6264" s="1" t="n">
        <v>45944.3533912037</v>
      </c>
      <c r="C6264" s="1" t="n">
        <v>46045</v>
      </c>
      <c r="D6264" t="inlineStr">
        <is>
          <t>JÄMTLANDS LÄN</t>
        </is>
      </c>
      <c r="E6264" t="inlineStr">
        <is>
          <t>STRÖMSUND</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50271-2025</t>
        </is>
      </c>
      <c r="B6265" s="1" t="n">
        <v>45944.35690972222</v>
      </c>
      <c r="C6265" s="1" t="n">
        <v>46045</v>
      </c>
      <c r="D6265" t="inlineStr">
        <is>
          <t>JÄMTLANDS LÄN</t>
        </is>
      </c>
      <c r="E6265" t="inlineStr">
        <is>
          <t>BRÄCKE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50276-2025</t>
        </is>
      </c>
      <c r="B6266" s="1" t="n">
        <v>45944.37359953704</v>
      </c>
      <c r="C6266" s="1" t="n">
        <v>46045</v>
      </c>
      <c r="D6266" t="inlineStr">
        <is>
          <t>JÄMTLANDS LÄN</t>
        </is>
      </c>
      <c r="E6266" t="inlineStr">
        <is>
          <t>STRÖMSUND</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19664-2025</t>
        </is>
      </c>
      <c r="B6267" s="1" t="n">
        <v>45770.6925462963</v>
      </c>
      <c r="C6267" s="1" t="n">
        <v>46045</v>
      </c>
      <c r="D6267" t="inlineStr">
        <is>
          <t>JÄMTLANDS LÄN</t>
        </is>
      </c>
      <c r="E6267" t="inlineStr">
        <is>
          <t>ÖSTERSUND</t>
        </is>
      </c>
      <c r="G6267" t="n">
        <v>8.6</v>
      </c>
      <c r="H6267" t="n">
        <v>0</v>
      </c>
      <c r="I6267" t="n">
        <v>0</v>
      </c>
      <c r="J6267" t="n">
        <v>0</v>
      </c>
      <c r="K6267" t="n">
        <v>0</v>
      </c>
      <c r="L6267" t="n">
        <v>0</v>
      </c>
      <c r="M6267" t="n">
        <v>0</v>
      </c>
      <c r="N6267" t="n">
        <v>0</v>
      </c>
      <c r="O6267" t="n">
        <v>0</v>
      </c>
      <c r="P6267" t="n">
        <v>0</v>
      </c>
      <c r="Q6267" t="n">
        <v>0</v>
      </c>
      <c r="R6267" s="2" t="inlineStr"/>
    </row>
    <row r="6268" ht="15" customHeight="1">
      <c r="A6268" t="inlineStr">
        <is>
          <t>A 41387-2021</t>
        </is>
      </c>
      <c r="B6268" s="1" t="n">
        <v>44424</v>
      </c>
      <c r="C6268" s="1" t="n">
        <v>46045</v>
      </c>
      <c r="D6268" t="inlineStr">
        <is>
          <t>JÄMTLANDS LÄN</t>
        </is>
      </c>
      <c r="E6268" t="inlineStr">
        <is>
          <t>HÄRJEDALEN</t>
        </is>
      </c>
      <c r="G6268" t="n">
        <v>9.5</v>
      </c>
      <c r="H6268" t="n">
        <v>0</v>
      </c>
      <c r="I6268" t="n">
        <v>0</v>
      </c>
      <c r="J6268" t="n">
        <v>0</v>
      </c>
      <c r="K6268" t="n">
        <v>0</v>
      </c>
      <c r="L6268" t="n">
        <v>0</v>
      </c>
      <c r="M6268" t="n">
        <v>0</v>
      </c>
      <c r="N6268" t="n">
        <v>0</v>
      </c>
      <c r="O6268" t="n">
        <v>0</v>
      </c>
      <c r="P6268" t="n">
        <v>0</v>
      </c>
      <c r="Q6268" t="n">
        <v>0</v>
      </c>
      <c r="R6268" s="2" t="inlineStr"/>
    </row>
    <row r="6269" ht="15" customHeight="1">
      <c r="A6269" t="inlineStr">
        <is>
          <t>A 23253-2025</t>
        </is>
      </c>
      <c r="B6269" s="1" t="n">
        <v>45791.53238425926</v>
      </c>
      <c r="C6269" s="1" t="n">
        <v>46045</v>
      </c>
      <c r="D6269" t="inlineStr">
        <is>
          <t>JÄMTLANDS LÄN</t>
        </is>
      </c>
      <c r="E6269" t="inlineStr">
        <is>
          <t>RAGUNDA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49296-2024</t>
        </is>
      </c>
      <c r="B6270" s="1" t="n">
        <v>45595</v>
      </c>
      <c r="C6270" s="1" t="n">
        <v>46045</v>
      </c>
      <c r="D6270" t="inlineStr">
        <is>
          <t>JÄMTLANDS LÄN</t>
        </is>
      </c>
      <c r="E6270" t="inlineStr">
        <is>
          <t>ÅRE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19146-2025</t>
        </is>
      </c>
      <c r="B6271" s="1" t="n">
        <v>45769.34462962963</v>
      </c>
      <c r="C6271" s="1" t="n">
        <v>46045</v>
      </c>
      <c r="D6271" t="inlineStr">
        <is>
          <t>JÄMTLANDS LÄN</t>
        </is>
      </c>
      <c r="E6271" t="inlineStr">
        <is>
          <t>STRÖMSUND</t>
        </is>
      </c>
      <c r="F6271" t="inlineStr">
        <is>
          <t>SCA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23080-2025</t>
        </is>
      </c>
      <c r="B6272" s="1" t="n">
        <v>45791.3162037037</v>
      </c>
      <c r="C6272" s="1" t="n">
        <v>46045</v>
      </c>
      <c r="D6272" t="inlineStr">
        <is>
          <t>JÄMTLANDS LÄN</t>
        </is>
      </c>
      <c r="E6272" t="inlineStr">
        <is>
          <t>KROKOM</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50428-2025</t>
        </is>
      </c>
      <c r="B6273" s="1" t="n">
        <v>45944.67787037037</v>
      </c>
      <c r="C6273" s="1" t="n">
        <v>46045</v>
      </c>
      <c r="D6273" t="inlineStr">
        <is>
          <t>JÄMTLANDS LÄN</t>
        </is>
      </c>
      <c r="E6273" t="inlineStr">
        <is>
          <t>ÖSTERSUND</t>
        </is>
      </c>
      <c r="F6273" t="inlineStr">
        <is>
          <t>SCA</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40140-2024</t>
        </is>
      </c>
      <c r="B6274" s="1" t="n">
        <v>45554</v>
      </c>
      <c r="C6274" s="1" t="n">
        <v>46045</v>
      </c>
      <c r="D6274" t="inlineStr">
        <is>
          <t>JÄMTLANDS LÄN</t>
        </is>
      </c>
      <c r="E6274" t="inlineStr">
        <is>
          <t>STRÖMSUND</t>
        </is>
      </c>
      <c r="F6274" t="inlineStr">
        <is>
          <t>Kyrkan</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50408-2025</t>
        </is>
      </c>
      <c r="B6275" s="1" t="n">
        <v>45944.64006944445</v>
      </c>
      <c r="C6275" s="1" t="n">
        <v>46045</v>
      </c>
      <c r="D6275" t="inlineStr">
        <is>
          <t>JÄMTLANDS LÄN</t>
        </is>
      </c>
      <c r="E6275" t="inlineStr">
        <is>
          <t>BERG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50006-2025</t>
        </is>
      </c>
      <c r="B6276" s="1" t="n">
        <v>45943.34502314815</v>
      </c>
      <c r="C6276" s="1" t="n">
        <v>46045</v>
      </c>
      <c r="D6276" t="inlineStr">
        <is>
          <t>JÄMTLANDS LÄN</t>
        </is>
      </c>
      <c r="E6276" t="inlineStr">
        <is>
          <t>KROKOM</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50435-2025</t>
        </is>
      </c>
      <c r="B6277" s="1" t="n">
        <v>45944.6984837963</v>
      </c>
      <c r="C6277" s="1" t="n">
        <v>46045</v>
      </c>
      <c r="D6277" t="inlineStr">
        <is>
          <t>JÄMTLANDS LÄN</t>
        </is>
      </c>
      <c r="E6277" t="inlineStr">
        <is>
          <t>BERG</t>
        </is>
      </c>
      <c r="F6277" t="inlineStr">
        <is>
          <t>SCA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50116-2025</t>
        </is>
      </c>
      <c r="B6278" s="1" t="n">
        <v>45943.54677083333</v>
      </c>
      <c r="C6278" s="1" t="n">
        <v>46045</v>
      </c>
      <c r="D6278" t="inlineStr">
        <is>
          <t>JÄMTLANDS LÄN</t>
        </is>
      </c>
      <c r="E6278" t="inlineStr">
        <is>
          <t>STRÖMSUND</t>
        </is>
      </c>
      <c r="G6278" t="n">
        <v>11.6</v>
      </c>
      <c r="H6278" t="n">
        <v>0</v>
      </c>
      <c r="I6278" t="n">
        <v>0</v>
      </c>
      <c r="J6278" t="n">
        <v>0</v>
      </c>
      <c r="K6278" t="n">
        <v>0</v>
      </c>
      <c r="L6278" t="n">
        <v>0</v>
      </c>
      <c r="M6278" t="n">
        <v>0</v>
      </c>
      <c r="N6278" t="n">
        <v>0</v>
      </c>
      <c r="O6278" t="n">
        <v>0</v>
      </c>
      <c r="P6278" t="n">
        <v>0</v>
      </c>
      <c r="Q6278" t="n">
        <v>0</v>
      </c>
      <c r="R6278" s="2" t="inlineStr"/>
    </row>
    <row r="6279" ht="15" customHeight="1">
      <c r="A6279" t="inlineStr">
        <is>
          <t>A 32465-2024</t>
        </is>
      </c>
      <c r="B6279" s="1" t="n">
        <v>45512.96096064815</v>
      </c>
      <c r="C6279" s="1" t="n">
        <v>46045</v>
      </c>
      <c r="D6279" t="inlineStr">
        <is>
          <t>JÄMTLANDS LÄN</t>
        </is>
      </c>
      <c r="E6279" t="inlineStr">
        <is>
          <t>BERG</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50125-2025</t>
        </is>
      </c>
      <c r="B6280" s="1" t="n">
        <v>45943.55262731481</v>
      </c>
      <c r="C6280" s="1" t="n">
        <v>46045</v>
      </c>
      <c r="D6280" t="inlineStr">
        <is>
          <t>JÄMTLANDS LÄN</t>
        </is>
      </c>
      <c r="E6280" t="inlineStr">
        <is>
          <t>RAGUNDA</t>
        </is>
      </c>
      <c r="F6280" t="inlineStr">
        <is>
          <t>Sveaskog</t>
        </is>
      </c>
      <c r="G6280" t="n">
        <v>23.2</v>
      </c>
      <c r="H6280" t="n">
        <v>0</v>
      </c>
      <c r="I6280" t="n">
        <v>0</v>
      </c>
      <c r="J6280" t="n">
        <v>0</v>
      </c>
      <c r="K6280" t="n">
        <v>0</v>
      </c>
      <c r="L6280" t="n">
        <v>0</v>
      </c>
      <c r="M6280" t="n">
        <v>0</v>
      </c>
      <c r="N6280" t="n">
        <v>0</v>
      </c>
      <c r="O6280" t="n">
        <v>0</v>
      </c>
      <c r="P6280" t="n">
        <v>0</v>
      </c>
      <c r="Q6280" t="n">
        <v>0</v>
      </c>
      <c r="R6280" s="2" t="inlineStr"/>
    </row>
    <row r="6281" ht="15" customHeight="1">
      <c r="A6281" t="inlineStr">
        <is>
          <t>A 50080-2025</t>
        </is>
      </c>
      <c r="B6281" s="1" t="n">
        <v>45943.469375</v>
      </c>
      <c r="C6281" s="1" t="n">
        <v>46045</v>
      </c>
      <c r="D6281" t="inlineStr">
        <is>
          <t>JÄMTLANDS LÄN</t>
        </is>
      </c>
      <c r="E6281" t="inlineStr">
        <is>
          <t>RAGUNDA</t>
        </is>
      </c>
      <c r="F6281" t="inlineStr">
        <is>
          <t>Naturvårdsverket</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50262-2025</t>
        </is>
      </c>
      <c r="B6282" s="1" t="n">
        <v>45944.34542824074</v>
      </c>
      <c r="C6282" s="1" t="n">
        <v>46045</v>
      </c>
      <c r="D6282" t="inlineStr">
        <is>
          <t>JÄMTLANDS LÄN</t>
        </is>
      </c>
      <c r="E6282" t="inlineStr">
        <is>
          <t>BRÄCKE</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50055-2025</t>
        </is>
      </c>
      <c r="B6283" s="1" t="n">
        <v>45943.43287037037</v>
      </c>
      <c r="C6283" s="1" t="n">
        <v>46045</v>
      </c>
      <c r="D6283" t="inlineStr">
        <is>
          <t>JÄMTLANDS LÄN</t>
        </is>
      </c>
      <c r="E6283" t="inlineStr">
        <is>
          <t>RAGUNDA</t>
        </is>
      </c>
      <c r="G6283" t="n">
        <v>17.6</v>
      </c>
      <c r="H6283" t="n">
        <v>0</v>
      </c>
      <c r="I6283" t="n">
        <v>0</v>
      </c>
      <c r="J6283" t="n">
        <v>0</v>
      </c>
      <c r="K6283" t="n">
        <v>0</v>
      </c>
      <c r="L6283" t="n">
        <v>0</v>
      </c>
      <c r="M6283" t="n">
        <v>0</v>
      </c>
      <c r="N6283" t="n">
        <v>0</v>
      </c>
      <c r="O6283" t="n">
        <v>0</v>
      </c>
      <c r="P6283" t="n">
        <v>0</v>
      </c>
      <c r="Q6283" t="n">
        <v>0</v>
      </c>
      <c r="R6283" s="2" t="inlineStr"/>
    </row>
    <row r="6284" ht="15" customHeight="1">
      <c r="A6284" t="inlineStr">
        <is>
          <t>A 23155-2025</t>
        </is>
      </c>
      <c r="B6284" s="1" t="n">
        <v>45791.40679398148</v>
      </c>
      <c r="C6284" s="1" t="n">
        <v>46045</v>
      </c>
      <c r="D6284" t="inlineStr">
        <is>
          <t>JÄMTLANDS LÄN</t>
        </is>
      </c>
      <c r="E6284" t="inlineStr">
        <is>
          <t>STRÖMSUND</t>
        </is>
      </c>
      <c r="F6284" t="inlineStr">
        <is>
          <t>SCA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50488-2025</t>
        </is>
      </c>
      <c r="B6285" s="1" t="n">
        <v>45945.39144675926</v>
      </c>
      <c r="C6285" s="1" t="n">
        <v>46045</v>
      </c>
      <c r="D6285" t="inlineStr">
        <is>
          <t>JÄMTLANDS LÄN</t>
        </is>
      </c>
      <c r="E6285" t="inlineStr">
        <is>
          <t>ÅRE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50764-2025</t>
        </is>
      </c>
      <c r="B6286" s="1" t="n">
        <v>45946.43961805556</v>
      </c>
      <c r="C6286" s="1" t="n">
        <v>46045</v>
      </c>
      <c r="D6286" t="inlineStr">
        <is>
          <t>JÄMTLANDS LÄN</t>
        </is>
      </c>
      <c r="E6286" t="inlineStr">
        <is>
          <t>HÄRJEDALEN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19063-2025</t>
        </is>
      </c>
      <c r="B6287" s="1" t="n">
        <v>45765.34429398148</v>
      </c>
      <c r="C6287" s="1" t="n">
        <v>46045</v>
      </c>
      <c r="D6287" t="inlineStr">
        <is>
          <t>JÄMTLANDS LÄN</t>
        </is>
      </c>
      <c r="E6287" t="inlineStr">
        <is>
          <t>STRÖMSUND</t>
        </is>
      </c>
      <c r="F6287" t="inlineStr">
        <is>
          <t>SCA</t>
        </is>
      </c>
      <c r="G6287" t="n">
        <v>10.8</v>
      </c>
      <c r="H6287" t="n">
        <v>0</v>
      </c>
      <c r="I6287" t="n">
        <v>0</v>
      </c>
      <c r="J6287" t="n">
        <v>0</v>
      </c>
      <c r="K6287" t="n">
        <v>0</v>
      </c>
      <c r="L6287" t="n">
        <v>0</v>
      </c>
      <c r="M6287" t="n">
        <v>0</v>
      </c>
      <c r="N6287" t="n">
        <v>0</v>
      </c>
      <c r="O6287" t="n">
        <v>0</v>
      </c>
      <c r="P6287" t="n">
        <v>0</v>
      </c>
      <c r="Q6287" t="n">
        <v>0</v>
      </c>
      <c r="R6287" s="2" t="inlineStr"/>
    </row>
    <row r="6288" ht="15" customHeight="1">
      <c r="A6288" t="inlineStr">
        <is>
          <t>A 23320-2025</t>
        </is>
      </c>
      <c r="B6288" s="1" t="n">
        <v>45791.61528935185</v>
      </c>
      <c r="C6288" s="1" t="n">
        <v>46045</v>
      </c>
      <c r="D6288" t="inlineStr">
        <is>
          <t>JÄMTLANDS LÄN</t>
        </is>
      </c>
      <c r="E6288" t="inlineStr">
        <is>
          <t>BRÄCKE</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31464-2024</t>
        </is>
      </c>
      <c r="B6289" s="1" t="n">
        <v>45505.95078703704</v>
      </c>
      <c r="C6289" s="1" t="n">
        <v>46045</v>
      </c>
      <c r="D6289" t="inlineStr">
        <is>
          <t>JÄMTLANDS LÄN</t>
        </is>
      </c>
      <c r="E6289" t="inlineStr">
        <is>
          <t>ÖSTERSUND</t>
        </is>
      </c>
      <c r="F6289" t="inlineStr">
        <is>
          <t>SCA</t>
        </is>
      </c>
      <c r="G6289" t="n">
        <v>8.1</v>
      </c>
      <c r="H6289" t="n">
        <v>0</v>
      </c>
      <c r="I6289" t="n">
        <v>0</v>
      </c>
      <c r="J6289" t="n">
        <v>0</v>
      </c>
      <c r="K6289" t="n">
        <v>0</v>
      </c>
      <c r="L6289" t="n">
        <v>0</v>
      </c>
      <c r="M6289" t="n">
        <v>0</v>
      </c>
      <c r="N6289" t="n">
        <v>0</v>
      </c>
      <c r="O6289" t="n">
        <v>0</v>
      </c>
      <c r="P6289" t="n">
        <v>0</v>
      </c>
      <c r="Q6289" t="n">
        <v>0</v>
      </c>
      <c r="R6289" s="2" t="inlineStr"/>
    </row>
    <row r="6290" ht="15" customHeight="1">
      <c r="A6290" t="inlineStr">
        <is>
          <t>A 33650-2025</t>
        </is>
      </c>
      <c r="B6290" s="1" t="n">
        <v>45841</v>
      </c>
      <c r="C6290" s="1" t="n">
        <v>46045</v>
      </c>
      <c r="D6290" t="inlineStr">
        <is>
          <t>JÄMTLANDS LÄN</t>
        </is>
      </c>
      <c r="E6290" t="inlineStr">
        <is>
          <t>RAGUNDA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50941-2025</t>
        </is>
      </c>
      <c r="B6291" s="1" t="n">
        <v>45946.71487268519</v>
      </c>
      <c r="C6291" s="1" t="n">
        <v>46045</v>
      </c>
      <c r="D6291" t="inlineStr">
        <is>
          <t>JÄMTLANDS LÄN</t>
        </is>
      </c>
      <c r="E6291" t="inlineStr">
        <is>
          <t>STRÖMSUND</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50643-2025</t>
        </is>
      </c>
      <c r="B6292" s="1" t="n">
        <v>45945.65666666667</v>
      </c>
      <c r="C6292" s="1" t="n">
        <v>46045</v>
      </c>
      <c r="D6292" t="inlineStr">
        <is>
          <t>JÄMTLANDS LÄN</t>
        </is>
      </c>
      <c r="E6292" t="inlineStr">
        <is>
          <t>STRÖMSUND</t>
        </is>
      </c>
      <c r="F6292" t="inlineStr">
        <is>
          <t>SCA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19099-2025</t>
        </is>
      </c>
      <c r="B6293" s="1" t="n">
        <v>45768.29469907407</v>
      </c>
      <c r="C6293" s="1" t="n">
        <v>46045</v>
      </c>
      <c r="D6293" t="inlineStr">
        <is>
          <t>JÄMTLANDS LÄN</t>
        </is>
      </c>
      <c r="E6293" t="inlineStr">
        <is>
          <t>HÄRJEDALEN</t>
        </is>
      </c>
      <c r="F6293" t="inlineStr">
        <is>
          <t>Sveaskog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19102-2025</t>
        </is>
      </c>
      <c r="B6294" s="1" t="n">
        <v>45768.30260416667</v>
      </c>
      <c r="C6294" s="1" t="n">
        <v>46045</v>
      </c>
      <c r="D6294" t="inlineStr">
        <is>
          <t>JÄMTLANDS LÄN</t>
        </is>
      </c>
      <c r="E6294" t="inlineStr">
        <is>
          <t>HÄRJEDALEN</t>
        </is>
      </c>
      <c r="F6294" t="inlineStr">
        <is>
          <t>Sveaskog</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19103-2025</t>
        </is>
      </c>
      <c r="B6295" s="1" t="n">
        <v>45768.30388888889</v>
      </c>
      <c r="C6295" s="1" t="n">
        <v>46045</v>
      </c>
      <c r="D6295" t="inlineStr">
        <is>
          <t>JÄMTLANDS LÄN</t>
        </is>
      </c>
      <c r="E6295" t="inlineStr">
        <is>
          <t>HÄRJEDALEN</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32671-2024</t>
        </is>
      </c>
      <c r="B6296" s="1" t="n">
        <v>45514.59587962963</v>
      </c>
      <c r="C6296" s="1" t="n">
        <v>46045</v>
      </c>
      <c r="D6296" t="inlineStr">
        <is>
          <t>JÄMTLANDS LÄN</t>
        </is>
      </c>
      <c r="E6296" t="inlineStr">
        <is>
          <t>BRÄCKE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23689-2025</t>
        </is>
      </c>
      <c r="B6297" s="1" t="n">
        <v>45793.34449074074</v>
      </c>
      <c r="C6297" s="1" t="n">
        <v>46045</v>
      </c>
      <c r="D6297" t="inlineStr">
        <is>
          <t>JÄMTLANDS LÄN</t>
        </is>
      </c>
      <c r="E6297" t="inlineStr">
        <is>
          <t>STRÖMSUND</t>
        </is>
      </c>
      <c r="F6297" t="inlineStr">
        <is>
          <t>SCA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50887-2025</t>
        </is>
      </c>
      <c r="B6298" s="1" t="n">
        <v>45946.63635416667</v>
      </c>
      <c r="C6298" s="1" t="n">
        <v>46045</v>
      </c>
      <c r="D6298" t="inlineStr">
        <is>
          <t>JÄMTLANDS LÄN</t>
        </is>
      </c>
      <c r="E6298" t="inlineStr">
        <is>
          <t>STRÖMSUND</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54678-2024</t>
        </is>
      </c>
      <c r="B6299" s="1" t="n">
        <v>45618.35097222222</v>
      </c>
      <c r="C6299" s="1" t="n">
        <v>46045</v>
      </c>
      <c r="D6299" t="inlineStr">
        <is>
          <t>JÄMTLANDS LÄN</t>
        </is>
      </c>
      <c r="E6299" t="inlineStr">
        <is>
          <t>HÄRJEDALEN</t>
        </is>
      </c>
      <c r="G6299" t="n">
        <v>16.9</v>
      </c>
      <c r="H6299" t="n">
        <v>0</v>
      </c>
      <c r="I6299" t="n">
        <v>0</v>
      </c>
      <c r="J6299" t="n">
        <v>0</v>
      </c>
      <c r="K6299" t="n">
        <v>0</v>
      </c>
      <c r="L6299" t="n">
        <v>0</v>
      </c>
      <c r="M6299" t="n">
        <v>0</v>
      </c>
      <c r="N6299" t="n">
        <v>0</v>
      </c>
      <c r="O6299" t="n">
        <v>0</v>
      </c>
      <c r="P6299" t="n">
        <v>0</v>
      </c>
      <c r="Q6299" t="n">
        <v>0</v>
      </c>
      <c r="R6299" s="2" t="inlineStr"/>
    </row>
    <row r="6300" ht="15" customHeight="1">
      <c r="A6300" t="inlineStr">
        <is>
          <t>A 18284-2025</t>
        </is>
      </c>
      <c r="B6300" s="1" t="n">
        <v>45762.39876157408</v>
      </c>
      <c r="C6300" s="1" t="n">
        <v>46045</v>
      </c>
      <c r="D6300" t="inlineStr">
        <is>
          <t>JÄMTLANDS LÄN</t>
        </is>
      </c>
      <c r="E6300" t="inlineStr">
        <is>
          <t>RAGUNDA</t>
        </is>
      </c>
      <c r="G6300" t="n">
        <v>0.2</v>
      </c>
      <c r="H6300" t="n">
        <v>0</v>
      </c>
      <c r="I6300" t="n">
        <v>0</v>
      </c>
      <c r="J6300" t="n">
        <v>0</v>
      </c>
      <c r="K6300" t="n">
        <v>0</v>
      </c>
      <c r="L6300" t="n">
        <v>0</v>
      </c>
      <c r="M6300" t="n">
        <v>0</v>
      </c>
      <c r="N6300" t="n">
        <v>0</v>
      </c>
      <c r="O6300" t="n">
        <v>0</v>
      </c>
      <c r="P6300" t="n">
        <v>0</v>
      </c>
      <c r="Q6300" t="n">
        <v>0</v>
      </c>
      <c r="R6300" s="2" t="inlineStr"/>
      <c r="U6300">
        <f>HYPERLINK("https://klasma.github.io/Logging_2303/knärot/A 18284-2025 karta knärot.png", "A 18284-2025")</f>
        <v/>
      </c>
      <c r="V6300">
        <f>HYPERLINK("https://klasma.github.io/Logging_2303/klagomål/A 18284-2025 FSC-klagomål.docx", "A 18284-2025")</f>
        <v/>
      </c>
      <c r="W6300">
        <f>HYPERLINK("https://klasma.github.io/Logging_2303/klagomålsmail/A 18284-2025 FSC-klagomål mail.docx", "A 18284-2025")</f>
        <v/>
      </c>
      <c r="X6300">
        <f>HYPERLINK("https://klasma.github.io/Logging_2303/tillsyn/A 18284-2025 tillsynsbegäran.docx", "A 18284-2025")</f>
        <v/>
      </c>
      <c r="Y6300">
        <f>HYPERLINK("https://klasma.github.io/Logging_2303/tillsynsmail/A 18284-2025 tillsynsbegäran mail.docx", "A 18284-2025")</f>
        <v/>
      </c>
    </row>
    <row r="6301" ht="15" customHeight="1">
      <c r="A6301" t="inlineStr">
        <is>
          <t>A 17840-2025</t>
        </is>
      </c>
      <c r="B6301" s="1" t="n">
        <v>45758.58943287037</v>
      </c>
      <c r="C6301" s="1" t="n">
        <v>46045</v>
      </c>
      <c r="D6301" t="inlineStr">
        <is>
          <t>JÄMTLANDS LÄN</t>
        </is>
      </c>
      <c r="E6301" t="inlineStr">
        <is>
          <t>KROKOM</t>
        </is>
      </c>
      <c r="F6301" t="inlineStr">
        <is>
          <t>Övriga Aktiebolag</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59218-2025</t>
        </is>
      </c>
      <c r="B6302" s="1" t="n">
        <v>45988.6171875</v>
      </c>
      <c r="C6302" s="1" t="n">
        <v>46045</v>
      </c>
      <c r="D6302" t="inlineStr">
        <is>
          <t>JÄMTLANDS LÄN</t>
        </is>
      </c>
      <c r="E6302" t="inlineStr">
        <is>
          <t>STRÖMSUND</t>
        </is>
      </c>
      <c r="F6302" t="inlineStr">
        <is>
          <t>SCA</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23902-2025</t>
        </is>
      </c>
      <c r="B6303" s="1" t="n">
        <v>45794.34447916667</v>
      </c>
      <c r="C6303" s="1" t="n">
        <v>46045</v>
      </c>
      <c r="D6303" t="inlineStr">
        <is>
          <t>JÄMTLANDS LÄN</t>
        </is>
      </c>
      <c r="E6303" t="inlineStr">
        <is>
          <t>BERG</t>
        </is>
      </c>
      <c r="F6303" t="inlineStr">
        <is>
          <t>SCA</t>
        </is>
      </c>
      <c r="G6303" t="n">
        <v>14.3</v>
      </c>
      <c r="H6303" t="n">
        <v>0</v>
      </c>
      <c r="I6303" t="n">
        <v>0</v>
      </c>
      <c r="J6303" t="n">
        <v>0</v>
      </c>
      <c r="K6303" t="n">
        <v>0</v>
      </c>
      <c r="L6303" t="n">
        <v>0</v>
      </c>
      <c r="M6303" t="n">
        <v>0</v>
      </c>
      <c r="N6303" t="n">
        <v>0</v>
      </c>
      <c r="O6303" t="n">
        <v>0</v>
      </c>
      <c r="P6303" t="n">
        <v>0</v>
      </c>
      <c r="Q6303" t="n">
        <v>0</v>
      </c>
      <c r="R6303" s="2" t="inlineStr"/>
    </row>
    <row r="6304" ht="15" customHeight="1">
      <c r="A6304" t="inlineStr">
        <is>
          <t>A 23913-2025</t>
        </is>
      </c>
      <c r="B6304" s="1" t="n">
        <v>45795.34442129629</v>
      </c>
      <c r="C6304" s="1" t="n">
        <v>46045</v>
      </c>
      <c r="D6304" t="inlineStr">
        <is>
          <t>JÄMTLANDS LÄN</t>
        </is>
      </c>
      <c r="E6304" t="inlineStr">
        <is>
          <t>BERG</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50464-2025</t>
        </is>
      </c>
      <c r="B6305" s="1" t="n">
        <v>45945.34971064814</v>
      </c>
      <c r="C6305" s="1" t="n">
        <v>46045</v>
      </c>
      <c r="D6305" t="inlineStr">
        <is>
          <t>JÄMTLANDS LÄN</t>
        </is>
      </c>
      <c r="E6305" t="inlineStr">
        <is>
          <t>HÄRJEDALEN</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50504-2025</t>
        </is>
      </c>
      <c r="B6306" s="1" t="n">
        <v>45945.4284837963</v>
      </c>
      <c r="C6306" s="1" t="n">
        <v>46045</v>
      </c>
      <c r="D6306" t="inlineStr">
        <is>
          <t>JÄMTLANDS LÄN</t>
        </is>
      </c>
      <c r="E6306" t="inlineStr">
        <is>
          <t>RAGUNDA</t>
        </is>
      </c>
      <c r="F6306" t="inlineStr">
        <is>
          <t>SCA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13762-2024</t>
        </is>
      </c>
      <c r="B6307" s="1" t="n">
        <v>45390</v>
      </c>
      <c r="C6307" s="1" t="n">
        <v>46045</v>
      </c>
      <c r="D6307" t="inlineStr">
        <is>
          <t>JÄMTLANDS LÄN</t>
        </is>
      </c>
      <c r="E6307" t="inlineStr">
        <is>
          <t>BRÄCKE</t>
        </is>
      </c>
      <c r="F6307" t="inlineStr">
        <is>
          <t>SCA</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24062-2025</t>
        </is>
      </c>
      <c r="B6308" s="1" t="n">
        <v>45796.52836805556</v>
      </c>
      <c r="C6308" s="1" t="n">
        <v>46045</v>
      </c>
      <c r="D6308" t="inlineStr">
        <is>
          <t>JÄMTLANDS LÄN</t>
        </is>
      </c>
      <c r="E6308" t="inlineStr">
        <is>
          <t>KROKOM</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24077-2025</t>
        </is>
      </c>
      <c r="B6309" s="1" t="n">
        <v>45796.55240740741</v>
      </c>
      <c r="C6309" s="1" t="n">
        <v>46045</v>
      </c>
      <c r="D6309" t="inlineStr">
        <is>
          <t>JÄMTLANDS LÄN</t>
        </is>
      </c>
      <c r="E6309" t="inlineStr">
        <is>
          <t>BRÄCKE</t>
        </is>
      </c>
      <c r="G6309" t="n">
        <v>5.9</v>
      </c>
      <c r="H6309" t="n">
        <v>0</v>
      </c>
      <c r="I6309" t="n">
        <v>0</v>
      </c>
      <c r="J6309" t="n">
        <v>0</v>
      </c>
      <c r="K6309" t="n">
        <v>0</v>
      </c>
      <c r="L6309" t="n">
        <v>0</v>
      </c>
      <c r="M6309" t="n">
        <v>0</v>
      </c>
      <c r="N6309" t="n">
        <v>0</v>
      </c>
      <c r="O6309" t="n">
        <v>0</v>
      </c>
      <c r="P6309" t="n">
        <v>0</v>
      </c>
      <c r="Q6309" t="n">
        <v>0</v>
      </c>
      <c r="R6309" s="2" t="inlineStr"/>
    </row>
    <row r="6310" ht="15" customHeight="1">
      <c r="A6310" t="inlineStr">
        <is>
          <t>A 58996-2025</t>
        </is>
      </c>
      <c r="B6310" s="1" t="n">
        <v>45987.67032407408</v>
      </c>
      <c r="C6310" s="1" t="n">
        <v>46045</v>
      </c>
      <c r="D6310" t="inlineStr">
        <is>
          <t>JÄMTLANDS LÄN</t>
        </is>
      </c>
      <c r="E6310" t="inlineStr">
        <is>
          <t>ÖSTERSUND</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50803-2025</t>
        </is>
      </c>
      <c r="B6311" s="1" t="n">
        <v>45946.49534722222</v>
      </c>
      <c r="C6311" s="1" t="n">
        <v>46045</v>
      </c>
      <c r="D6311" t="inlineStr">
        <is>
          <t>JÄMTLANDS LÄN</t>
        </is>
      </c>
      <c r="E6311" t="inlineStr">
        <is>
          <t>HÄRJEDALEN</t>
        </is>
      </c>
      <c r="F6311" t="inlineStr">
        <is>
          <t>Holmen skog AB</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50806-2025</t>
        </is>
      </c>
      <c r="B6312" s="1" t="n">
        <v>45946.50797453704</v>
      </c>
      <c r="C6312" s="1" t="n">
        <v>46045</v>
      </c>
      <c r="D6312" t="inlineStr">
        <is>
          <t>JÄMTLANDS LÄN</t>
        </is>
      </c>
      <c r="E6312" t="inlineStr">
        <is>
          <t>KROKOM</t>
        </is>
      </c>
      <c r="F6312" t="inlineStr">
        <is>
          <t>Övriga Aktiebolag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50473-2025</t>
        </is>
      </c>
      <c r="B6313" s="1" t="n">
        <v>45945.36520833334</v>
      </c>
      <c r="C6313" s="1" t="n">
        <v>46045</v>
      </c>
      <c r="D6313" t="inlineStr">
        <is>
          <t>JÄMTLANDS LÄN</t>
        </is>
      </c>
      <c r="E6313" t="inlineStr">
        <is>
          <t>RAGUNDA</t>
        </is>
      </c>
      <c r="F6313" t="inlineStr">
        <is>
          <t>SCA</t>
        </is>
      </c>
      <c r="G6313" t="n">
        <v>11.2</v>
      </c>
      <c r="H6313" t="n">
        <v>0</v>
      </c>
      <c r="I6313" t="n">
        <v>0</v>
      </c>
      <c r="J6313" t="n">
        <v>0</v>
      </c>
      <c r="K6313" t="n">
        <v>0</v>
      </c>
      <c r="L6313" t="n">
        <v>0</v>
      </c>
      <c r="M6313" t="n">
        <v>0</v>
      </c>
      <c r="N6313" t="n">
        <v>0</v>
      </c>
      <c r="O6313" t="n">
        <v>0</v>
      </c>
      <c r="P6313" t="n">
        <v>0</v>
      </c>
      <c r="Q6313" t="n">
        <v>0</v>
      </c>
      <c r="R6313" s="2" t="inlineStr"/>
    </row>
    <row r="6314" ht="15" customHeight="1">
      <c r="A6314" t="inlineStr">
        <is>
          <t>A 50639-2025</t>
        </is>
      </c>
      <c r="B6314" s="1" t="n">
        <v>45945.65363425926</v>
      </c>
      <c r="C6314" s="1" t="n">
        <v>46045</v>
      </c>
      <c r="D6314" t="inlineStr">
        <is>
          <t>JÄMTLANDS LÄN</t>
        </is>
      </c>
      <c r="E6314" t="inlineStr">
        <is>
          <t>HÄRJEDALEN</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50722-2025</t>
        </is>
      </c>
      <c r="B6315" s="1" t="n">
        <v>45946.34673611111</v>
      </c>
      <c r="C6315" s="1" t="n">
        <v>46045</v>
      </c>
      <c r="D6315" t="inlineStr">
        <is>
          <t>JÄMTLANDS LÄN</t>
        </is>
      </c>
      <c r="E6315" t="inlineStr">
        <is>
          <t>BRÄCKE</t>
        </is>
      </c>
      <c r="F6315" t="inlineStr">
        <is>
          <t>SCA</t>
        </is>
      </c>
      <c r="G6315" t="n">
        <v>22.7</v>
      </c>
      <c r="H6315" t="n">
        <v>0</v>
      </c>
      <c r="I6315" t="n">
        <v>0</v>
      </c>
      <c r="J6315" t="n">
        <v>0</v>
      </c>
      <c r="K6315" t="n">
        <v>0</v>
      </c>
      <c r="L6315" t="n">
        <v>0</v>
      </c>
      <c r="M6315" t="n">
        <v>0</v>
      </c>
      <c r="N6315" t="n">
        <v>0</v>
      </c>
      <c r="O6315" t="n">
        <v>0</v>
      </c>
      <c r="P6315" t="n">
        <v>0</v>
      </c>
      <c r="Q6315" t="n">
        <v>0</v>
      </c>
      <c r="R6315" s="2" t="inlineStr"/>
    </row>
    <row r="6316" ht="15" customHeight="1">
      <c r="A6316" t="inlineStr">
        <is>
          <t>A 56910-2022</t>
        </is>
      </c>
      <c r="B6316" s="1" t="n">
        <v>44894.59936342593</v>
      </c>
      <c r="C6316" s="1" t="n">
        <v>46045</v>
      </c>
      <c r="D6316" t="inlineStr">
        <is>
          <t>JÄMTLANDS LÄN</t>
        </is>
      </c>
      <c r="E6316" t="inlineStr">
        <is>
          <t>ÅRE</t>
        </is>
      </c>
      <c r="F6316" t="inlineStr">
        <is>
          <t>Övriga Aktiebolag</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49555-2023</t>
        </is>
      </c>
      <c r="B6317" s="1" t="n">
        <v>45205</v>
      </c>
      <c r="C6317" s="1" t="n">
        <v>46045</v>
      </c>
      <c r="D6317" t="inlineStr">
        <is>
          <t>JÄMTLANDS LÄN</t>
        </is>
      </c>
      <c r="E6317" t="inlineStr">
        <is>
          <t>BERG</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50631-2025</t>
        </is>
      </c>
      <c r="B6318" s="1" t="n">
        <v>45945.64795138889</v>
      </c>
      <c r="C6318" s="1" t="n">
        <v>46045</v>
      </c>
      <c r="D6318" t="inlineStr">
        <is>
          <t>JÄMTLANDS LÄN</t>
        </is>
      </c>
      <c r="E6318" t="inlineStr">
        <is>
          <t>HÄRJEDALEN</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22026-2022</t>
        </is>
      </c>
      <c r="B6319" s="1" t="n">
        <v>44711</v>
      </c>
      <c r="C6319" s="1" t="n">
        <v>46045</v>
      </c>
      <c r="D6319" t="inlineStr">
        <is>
          <t>JÄMTLANDS LÄN</t>
        </is>
      </c>
      <c r="E6319" t="inlineStr">
        <is>
          <t>STRÖMSUND</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51498-2024</t>
        </is>
      </c>
      <c r="B6320" s="1" t="n">
        <v>45604</v>
      </c>
      <c r="C6320" s="1" t="n">
        <v>46045</v>
      </c>
      <c r="D6320" t="inlineStr">
        <is>
          <t>JÄMTLANDS LÄN</t>
        </is>
      </c>
      <c r="E6320" t="inlineStr">
        <is>
          <t>STRÖMSUND</t>
        </is>
      </c>
      <c r="F6320" t="inlineStr">
        <is>
          <t>Kommuner</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31156-2023</t>
        </is>
      </c>
      <c r="B6321" s="1" t="n">
        <v>45103</v>
      </c>
      <c r="C6321" s="1" t="n">
        <v>46045</v>
      </c>
      <c r="D6321" t="inlineStr">
        <is>
          <t>JÄMTLANDS LÄN</t>
        </is>
      </c>
      <c r="E6321" t="inlineStr">
        <is>
          <t>STRÖMSUND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12412-2024</t>
        </is>
      </c>
      <c r="B6322" s="1" t="n">
        <v>45378</v>
      </c>
      <c r="C6322" s="1" t="n">
        <v>46045</v>
      </c>
      <c r="D6322" t="inlineStr">
        <is>
          <t>JÄMTLANDS LÄN</t>
        </is>
      </c>
      <c r="E6322" t="inlineStr">
        <is>
          <t>KROKOM</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23303-2025</t>
        </is>
      </c>
      <c r="B6323" s="1" t="n">
        <v>45791</v>
      </c>
      <c r="C6323" s="1" t="n">
        <v>46045</v>
      </c>
      <c r="D6323" t="inlineStr">
        <is>
          <t>JÄMTLANDS LÄN</t>
        </is>
      </c>
      <c r="E6323" t="inlineStr">
        <is>
          <t>BRÄCKE</t>
        </is>
      </c>
      <c r="G6323" t="n">
        <v>22.2</v>
      </c>
      <c r="H6323" t="n">
        <v>0</v>
      </c>
      <c r="I6323" t="n">
        <v>0</v>
      </c>
      <c r="J6323" t="n">
        <v>0</v>
      </c>
      <c r="K6323" t="n">
        <v>0</v>
      </c>
      <c r="L6323" t="n">
        <v>0</v>
      </c>
      <c r="M6323" t="n">
        <v>0</v>
      </c>
      <c r="N6323" t="n">
        <v>0</v>
      </c>
      <c r="O6323" t="n">
        <v>0</v>
      </c>
      <c r="P6323" t="n">
        <v>0</v>
      </c>
      <c r="Q6323" t="n">
        <v>0</v>
      </c>
      <c r="R6323" s="2" t="inlineStr"/>
    </row>
    <row r="6324" ht="15" customHeight="1">
      <c r="A6324" t="inlineStr">
        <is>
          <t>A 50503-2025</t>
        </is>
      </c>
      <c r="B6324" s="1" t="n">
        <v>45945.42746527777</v>
      </c>
      <c r="C6324" s="1" t="n">
        <v>46045</v>
      </c>
      <c r="D6324" t="inlineStr">
        <is>
          <t>JÄMTLANDS LÄN</t>
        </is>
      </c>
      <c r="E6324" t="inlineStr">
        <is>
          <t>RAGUNDA</t>
        </is>
      </c>
      <c r="F6324" t="inlineStr">
        <is>
          <t>SCA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50531-2025</t>
        </is>
      </c>
      <c r="B6325" s="1" t="n">
        <v>45945.47693287037</v>
      </c>
      <c r="C6325" s="1" t="n">
        <v>46045</v>
      </c>
      <c r="D6325" t="inlineStr">
        <is>
          <t>JÄMTLANDS LÄN</t>
        </is>
      </c>
      <c r="E6325" t="inlineStr">
        <is>
          <t>BERG</t>
        </is>
      </c>
      <c r="G6325" t="n">
        <v>13.9</v>
      </c>
      <c r="H6325" t="n">
        <v>0</v>
      </c>
      <c r="I6325" t="n">
        <v>0</v>
      </c>
      <c r="J6325" t="n">
        <v>0</v>
      </c>
      <c r="K6325" t="n">
        <v>0</v>
      </c>
      <c r="L6325" t="n">
        <v>0</v>
      </c>
      <c r="M6325" t="n">
        <v>0</v>
      </c>
      <c r="N6325" t="n">
        <v>0</v>
      </c>
      <c r="O6325" t="n">
        <v>0</v>
      </c>
      <c r="P6325" t="n">
        <v>0</v>
      </c>
      <c r="Q6325" t="n">
        <v>0</v>
      </c>
      <c r="R6325" s="2" t="inlineStr"/>
    </row>
    <row r="6326" ht="15" customHeight="1">
      <c r="A6326" t="inlineStr">
        <is>
          <t>A 27460-2024</t>
        </is>
      </c>
      <c r="B6326" s="1" t="n">
        <v>45474.44785879629</v>
      </c>
      <c r="C6326" s="1" t="n">
        <v>46045</v>
      </c>
      <c r="D6326" t="inlineStr">
        <is>
          <t>JÄMTLANDS LÄN</t>
        </is>
      </c>
      <c r="E6326" t="inlineStr">
        <is>
          <t>BRÄCKE</t>
        </is>
      </c>
      <c r="G6326" t="n">
        <v>11.5</v>
      </c>
      <c r="H6326" t="n">
        <v>0</v>
      </c>
      <c r="I6326" t="n">
        <v>0</v>
      </c>
      <c r="J6326" t="n">
        <v>0</v>
      </c>
      <c r="K6326" t="n">
        <v>0</v>
      </c>
      <c r="L6326" t="n">
        <v>0</v>
      </c>
      <c r="M6326" t="n">
        <v>0</v>
      </c>
      <c r="N6326" t="n">
        <v>0</v>
      </c>
      <c r="O6326" t="n">
        <v>0</v>
      </c>
      <c r="P6326" t="n">
        <v>0</v>
      </c>
      <c r="Q6326" t="n">
        <v>0</v>
      </c>
      <c r="R6326" s="2" t="inlineStr"/>
    </row>
    <row r="6327" ht="15" customHeight="1">
      <c r="A6327" t="inlineStr">
        <is>
          <t>A 24043-2025</t>
        </is>
      </c>
      <c r="B6327" s="1" t="n">
        <v>45796.49002314815</v>
      </c>
      <c r="C6327" s="1" t="n">
        <v>46045</v>
      </c>
      <c r="D6327" t="inlineStr">
        <is>
          <t>JÄMTLANDS LÄN</t>
        </is>
      </c>
      <c r="E6327" t="inlineStr">
        <is>
          <t>BRÄCKE</t>
        </is>
      </c>
      <c r="F6327" t="inlineStr">
        <is>
          <t>SCA</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50547-2025</t>
        </is>
      </c>
      <c r="B6328" s="1" t="n">
        <v>45945.51104166666</v>
      </c>
      <c r="C6328" s="1" t="n">
        <v>46045</v>
      </c>
      <c r="D6328" t="inlineStr">
        <is>
          <t>JÄMTLANDS LÄN</t>
        </is>
      </c>
      <c r="E6328" t="inlineStr">
        <is>
          <t>BERG</t>
        </is>
      </c>
      <c r="F6328" t="inlineStr">
        <is>
          <t>SCA</t>
        </is>
      </c>
      <c r="G6328" t="n">
        <v>12.6</v>
      </c>
      <c r="H6328" t="n">
        <v>0</v>
      </c>
      <c r="I6328" t="n">
        <v>0</v>
      </c>
      <c r="J6328" t="n">
        <v>0</v>
      </c>
      <c r="K6328" t="n">
        <v>0</v>
      </c>
      <c r="L6328" t="n">
        <v>0</v>
      </c>
      <c r="M6328" t="n">
        <v>0</v>
      </c>
      <c r="N6328" t="n">
        <v>0</v>
      </c>
      <c r="O6328" t="n">
        <v>0</v>
      </c>
      <c r="P6328" t="n">
        <v>0</v>
      </c>
      <c r="Q6328" t="n">
        <v>0</v>
      </c>
      <c r="R6328" s="2" t="inlineStr"/>
    </row>
    <row r="6329" ht="15" customHeight="1">
      <c r="A6329" t="inlineStr">
        <is>
          <t>A 50570-2025</t>
        </is>
      </c>
      <c r="B6329" s="1" t="n">
        <v>45945.57354166666</v>
      </c>
      <c r="C6329" s="1" t="n">
        <v>46045</v>
      </c>
      <c r="D6329" t="inlineStr">
        <is>
          <t>JÄMTLANDS LÄN</t>
        </is>
      </c>
      <c r="E6329" t="inlineStr">
        <is>
          <t>HÄRJEDALEN</t>
        </is>
      </c>
      <c r="F6329" t="inlineStr">
        <is>
          <t>SCA</t>
        </is>
      </c>
      <c r="G6329" t="n">
        <v>8.300000000000001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50585-2025</t>
        </is>
      </c>
      <c r="B6330" s="1" t="n">
        <v>45945.59418981482</v>
      </c>
      <c r="C6330" s="1" t="n">
        <v>46045</v>
      </c>
      <c r="D6330" t="inlineStr">
        <is>
          <t>JÄMTLANDS LÄN</t>
        </is>
      </c>
      <c r="E6330" t="inlineStr">
        <is>
          <t>STRÖMSUND</t>
        </is>
      </c>
      <c r="F6330" t="inlineStr">
        <is>
          <t>SCA</t>
        </is>
      </c>
      <c r="G6330" t="n">
        <v>31.8</v>
      </c>
      <c r="H6330" t="n">
        <v>0</v>
      </c>
      <c r="I6330" t="n">
        <v>0</v>
      </c>
      <c r="J6330" t="n">
        <v>0</v>
      </c>
      <c r="K6330" t="n">
        <v>0</v>
      </c>
      <c r="L6330" t="n">
        <v>0</v>
      </c>
      <c r="M6330" t="n">
        <v>0</v>
      </c>
      <c r="N6330" t="n">
        <v>0</v>
      </c>
      <c r="O6330" t="n">
        <v>0</v>
      </c>
      <c r="P6330" t="n">
        <v>0</v>
      </c>
      <c r="Q6330" t="n">
        <v>0</v>
      </c>
      <c r="R6330" s="2" t="inlineStr"/>
    </row>
    <row r="6331" ht="15" customHeight="1">
      <c r="A6331" t="inlineStr">
        <is>
          <t>A 23900-2025</t>
        </is>
      </c>
      <c r="B6331" s="1" t="n">
        <v>45794.34425925926</v>
      </c>
      <c r="C6331" s="1" t="n">
        <v>46045</v>
      </c>
      <c r="D6331" t="inlineStr">
        <is>
          <t>JÄMTLANDS LÄN</t>
        </is>
      </c>
      <c r="E6331" t="inlineStr">
        <is>
          <t>BERG</t>
        </is>
      </c>
      <c r="F6331" t="inlineStr">
        <is>
          <t>SCA</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23915-2025</t>
        </is>
      </c>
      <c r="B6332" s="1" t="n">
        <v>45795.3446412037</v>
      </c>
      <c r="C6332" s="1" t="n">
        <v>46045</v>
      </c>
      <c r="D6332" t="inlineStr">
        <is>
          <t>JÄMTLANDS LÄN</t>
        </is>
      </c>
      <c r="E6332" t="inlineStr">
        <is>
          <t>BERG</t>
        </is>
      </c>
      <c r="F6332" t="inlineStr">
        <is>
          <t>SCA</t>
        </is>
      </c>
      <c r="G6332" t="n">
        <v>16.7</v>
      </c>
      <c r="H6332" t="n">
        <v>0</v>
      </c>
      <c r="I6332" t="n">
        <v>0</v>
      </c>
      <c r="J6332" t="n">
        <v>0</v>
      </c>
      <c r="K6332" t="n">
        <v>0</v>
      </c>
      <c r="L6332" t="n">
        <v>0</v>
      </c>
      <c r="M6332" t="n">
        <v>0</v>
      </c>
      <c r="N6332" t="n">
        <v>0</v>
      </c>
      <c r="O6332" t="n">
        <v>0</v>
      </c>
      <c r="P6332" t="n">
        <v>0</v>
      </c>
      <c r="Q6332" t="n">
        <v>0</v>
      </c>
      <c r="R6332" s="2" t="inlineStr"/>
    </row>
    <row r="6333" ht="15" customHeight="1">
      <c r="A6333" t="inlineStr">
        <is>
          <t>A 23916-2025</t>
        </is>
      </c>
      <c r="B6333" s="1" t="n">
        <v>45795.34472222222</v>
      </c>
      <c r="C6333" s="1" t="n">
        <v>46045</v>
      </c>
      <c r="D6333" t="inlineStr">
        <is>
          <t>JÄMTLANDS LÄN</t>
        </is>
      </c>
      <c r="E6333" t="inlineStr">
        <is>
          <t>BERG</t>
        </is>
      </c>
      <c r="F6333" t="inlineStr">
        <is>
          <t>SCA</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4217-2025</t>
        </is>
      </c>
      <c r="B6334" s="1" t="n">
        <v>45685.50063657408</v>
      </c>
      <c r="C6334" s="1" t="n">
        <v>46045</v>
      </c>
      <c r="D6334" t="inlineStr">
        <is>
          <t>JÄMTLANDS LÄN</t>
        </is>
      </c>
      <c r="E6334" t="inlineStr">
        <is>
          <t>HÄRJEDALEN</t>
        </is>
      </c>
      <c r="F6334" t="inlineStr">
        <is>
          <t>Bergvik skog väst AB</t>
        </is>
      </c>
      <c r="G6334" t="n">
        <v>24.6</v>
      </c>
      <c r="H6334" t="n">
        <v>0</v>
      </c>
      <c r="I6334" t="n">
        <v>0</v>
      </c>
      <c r="J6334" t="n">
        <v>0</v>
      </c>
      <c r="K6334" t="n">
        <v>0</v>
      </c>
      <c r="L6334" t="n">
        <v>0</v>
      </c>
      <c r="M6334" t="n">
        <v>0</v>
      </c>
      <c r="N6334" t="n">
        <v>0</v>
      </c>
      <c r="O6334" t="n">
        <v>0</v>
      </c>
      <c r="P6334" t="n">
        <v>0</v>
      </c>
      <c r="Q6334" t="n">
        <v>0</v>
      </c>
      <c r="R6334" s="2" t="inlineStr"/>
    </row>
    <row r="6335" ht="15" customHeight="1">
      <c r="A6335" t="inlineStr">
        <is>
          <t>A 9434-2025</t>
        </is>
      </c>
      <c r="B6335" s="1" t="n">
        <v>45715.41209490741</v>
      </c>
      <c r="C6335" s="1" t="n">
        <v>46045</v>
      </c>
      <c r="D6335" t="inlineStr">
        <is>
          <t>JÄMTLANDS LÄN</t>
        </is>
      </c>
      <c r="E6335" t="inlineStr">
        <is>
          <t>BRÄCKE</t>
        </is>
      </c>
      <c r="G6335" t="n">
        <v>8.9</v>
      </c>
      <c r="H6335" t="n">
        <v>0</v>
      </c>
      <c r="I6335" t="n">
        <v>0</v>
      </c>
      <c r="J6335" t="n">
        <v>0</v>
      </c>
      <c r="K6335" t="n">
        <v>0</v>
      </c>
      <c r="L6335" t="n">
        <v>0</v>
      </c>
      <c r="M6335" t="n">
        <v>0</v>
      </c>
      <c r="N6335" t="n">
        <v>0</v>
      </c>
      <c r="O6335" t="n">
        <v>0</v>
      </c>
      <c r="P6335" t="n">
        <v>0</v>
      </c>
      <c r="Q6335" t="n">
        <v>0</v>
      </c>
      <c r="R6335" s="2" t="inlineStr"/>
    </row>
    <row r="6336" ht="15" customHeight="1">
      <c r="A6336" t="inlineStr">
        <is>
          <t>A 50458-2025</t>
        </is>
      </c>
      <c r="B6336" s="1" t="n">
        <v>45945</v>
      </c>
      <c r="C6336" s="1" t="n">
        <v>46045</v>
      </c>
      <c r="D6336" t="inlineStr">
        <is>
          <t>JÄMTLANDS LÄN</t>
        </is>
      </c>
      <c r="E6336" t="inlineStr">
        <is>
          <t>BERG</t>
        </is>
      </c>
      <c r="F6336" t="inlineStr">
        <is>
          <t>SCA</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58846-2025</t>
        </is>
      </c>
      <c r="B6337" s="1" t="n">
        <v>45987.38628472222</v>
      </c>
      <c r="C6337" s="1" t="n">
        <v>46045</v>
      </c>
      <c r="D6337" t="inlineStr">
        <is>
          <t>JÄMTLANDS LÄN</t>
        </is>
      </c>
      <c r="E6337" t="inlineStr">
        <is>
          <t>STRÖMSUND</t>
        </is>
      </c>
      <c r="F6337" t="inlineStr">
        <is>
          <t>SCA</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4361-2025</t>
        </is>
      </c>
      <c r="B6338" s="1" t="n">
        <v>45686.33310185185</v>
      </c>
      <c r="C6338" s="1" t="n">
        <v>46045</v>
      </c>
      <c r="D6338" t="inlineStr">
        <is>
          <t>JÄMTLANDS LÄN</t>
        </is>
      </c>
      <c r="E6338" t="inlineStr">
        <is>
          <t>KROKOM</t>
        </is>
      </c>
      <c r="F6338" t="inlineStr">
        <is>
          <t>SCA</t>
        </is>
      </c>
      <c r="G6338" t="n">
        <v>13.7</v>
      </c>
      <c r="H6338" t="n">
        <v>0</v>
      </c>
      <c r="I6338" t="n">
        <v>0</v>
      </c>
      <c r="J6338" t="n">
        <v>0</v>
      </c>
      <c r="K6338" t="n">
        <v>0</v>
      </c>
      <c r="L6338" t="n">
        <v>0</v>
      </c>
      <c r="M6338" t="n">
        <v>0</v>
      </c>
      <c r="N6338" t="n">
        <v>0</v>
      </c>
      <c r="O6338" t="n">
        <v>0</v>
      </c>
      <c r="P6338" t="n">
        <v>0</v>
      </c>
      <c r="Q6338" t="n">
        <v>0</v>
      </c>
      <c r="R6338" s="2" t="inlineStr"/>
    </row>
    <row r="6339" ht="15" customHeight="1">
      <c r="A6339" t="inlineStr">
        <is>
          <t>A 50669-2025</t>
        </is>
      </c>
      <c r="B6339" s="1" t="n">
        <v>45945.70633101852</v>
      </c>
      <c r="C6339" s="1" t="n">
        <v>46045</v>
      </c>
      <c r="D6339" t="inlineStr">
        <is>
          <t>JÄMTLANDS LÄN</t>
        </is>
      </c>
      <c r="E6339" t="inlineStr">
        <is>
          <t>BRÄCKE</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41780-2024</t>
        </is>
      </c>
      <c r="B6340" s="1" t="n">
        <v>45561.34908564815</v>
      </c>
      <c r="C6340" s="1" t="n">
        <v>46045</v>
      </c>
      <c r="D6340" t="inlineStr">
        <is>
          <t>JÄMTLANDS LÄN</t>
        </is>
      </c>
      <c r="E6340" t="inlineStr">
        <is>
          <t>ÖSTERSUND</t>
        </is>
      </c>
      <c r="F6340" t="inlineStr">
        <is>
          <t>SCA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27455-2024</t>
        </is>
      </c>
      <c r="B6341" s="1" t="n">
        <v>45474.43834490741</v>
      </c>
      <c r="C6341" s="1" t="n">
        <v>46045</v>
      </c>
      <c r="D6341" t="inlineStr">
        <is>
          <t>JÄMTLANDS LÄN</t>
        </is>
      </c>
      <c r="E6341" t="inlineStr">
        <is>
          <t>BRÄCKE</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50698-2025</t>
        </is>
      </c>
      <c r="B6342" s="1" t="n">
        <v>45945.91894675926</v>
      </c>
      <c r="C6342" s="1" t="n">
        <v>46045</v>
      </c>
      <c r="D6342" t="inlineStr">
        <is>
          <t>JÄMTLANDS LÄN</t>
        </is>
      </c>
      <c r="E6342" t="inlineStr">
        <is>
          <t>BERG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23986-2025</t>
        </is>
      </c>
      <c r="B6343" s="1" t="n">
        <v>45796.39770833333</v>
      </c>
      <c r="C6343" s="1" t="n">
        <v>46045</v>
      </c>
      <c r="D6343" t="inlineStr">
        <is>
          <t>JÄMTLANDS LÄN</t>
        </is>
      </c>
      <c r="E6343" t="inlineStr">
        <is>
          <t>HÄRJEDALEN</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50719-2025</t>
        </is>
      </c>
      <c r="B6344" s="1" t="n">
        <v>45946.34642361111</v>
      </c>
      <c r="C6344" s="1" t="n">
        <v>46045</v>
      </c>
      <c r="D6344" t="inlineStr">
        <is>
          <t>JÄMTLANDS LÄN</t>
        </is>
      </c>
      <c r="E6344" t="inlineStr">
        <is>
          <t>RAGUNDA</t>
        </is>
      </c>
      <c r="F6344" t="inlineStr">
        <is>
          <t>SCA</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6291-2025</t>
        </is>
      </c>
      <c r="B6345" s="1" t="n">
        <v>45698.65653935185</v>
      </c>
      <c r="C6345" s="1" t="n">
        <v>46045</v>
      </c>
      <c r="D6345" t="inlineStr">
        <is>
          <t>JÄMTLANDS LÄN</t>
        </is>
      </c>
      <c r="E6345" t="inlineStr">
        <is>
          <t>BRÄCKE</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56976-2023</t>
        </is>
      </c>
      <c r="B6346" s="1" t="n">
        <v>45244.64202546296</v>
      </c>
      <c r="C6346" s="1" t="n">
        <v>46045</v>
      </c>
      <c r="D6346" t="inlineStr">
        <is>
          <t>JÄMTLANDS LÄN</t>
        </is>
      </c>
      <c r="E6346" t="inlineStr">
        <is>
          <t>ÅRE</t>
        </is>
      </c>
      <c r="F6346" t="inlineStr">
        <is>
          <t>Övriga Aktiebolag</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50459-2025</t>
        </is>
      </c>
      <c r="B6347" s="1" t="n">
        <v>45945.34473379629</v>
      </c>
      <c r="C6347" s="1" t="n">
        <v>46045</v>
      </c>
      <c r="D6347" t="inlineStr">
        <is>
          <t>JÄMTLANDS LÄN</t>
        </is>
      </c>
      <c r="E6347" t="inlineStr">
        <is>
          <t>STRÖMSUND</t>
        </is>
      </c>
      <c r="F6347" t="inlineStr">
        <is>
          <t>SCA</t>
        </is>
      </c>
      <c r="G6347" t="n">
        <v>9.199999999999999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50528-2025</t>
        </is>
      </c>
      <c r="B6348" s="1" t="n">
        <v>45945.47097222223</v>
      </c>
      <c r="C6348" s="1" t="n">
        <v>46045</v>
      </c>
      <c r="D6348" t="inlineStr">
        <is>
          <t>JÄMTLANDS LÄN</t>
        </is>
      </c>
      <c r="E6348" t="inlineStr">
        <is>
          <t>ÖSTERSUND</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50546-2025</t>
        </is>
      </c>
      <c r="B6349" s="1" t="n">
        <v>45945.51087962963</v>
      </c>
      <c r="C6349" s="1" t="n">
        <v>46045</v>
      </c>
      <c r="D6349" t="inlineStr">
        <is>
          <t>JÄMTLANDS LÄN</t>
        </is>
      </c>
      <c r="E6349" t="inlineStr">
        <is>
          <t>STRÖMSUND</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50562-2025</t>
        </is>
      </c>
      <c r="B6350" s="1" t="n">
        <v>45945.55256944444</v>
      </c>
      <c r="C6350" s="1" t="n">
        <v>46045</v>
      </c>
      <c r="D6350" t="inlineStr">
        <is>
          <t>JÄMTLANDS LÄN</t>
        </is>
      </c>
      <c r="E6350" t="inlineStr">
        <is>
          <t>BERG</t>
        </is>
      </c>
      <c r="F6350" t="inlineStr">
        <is>
          <t>SCA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50588-2025</t>
        </is>
      </c>
      <c r="B6351" s="1" t="n">
        <v>45945.59920138889</v>
      </c>
      <c r="C6351" s="1" t="n">
        <v>46045</v>
      </c>
      <c r="D6351" t="inlineStr">
        <is>
          <t>JÄMTLANDS LÄN</t>
        </is>
      </c>
      <c r="E6351" t="inlineStr">
        <is>
          <t>HÄRJEDALEN</t>
        </is>
      </c>
      <c r="F6351" t="inlineStr">
        <is>
          <t>Bergvik skog väst AB</t>
        </is>
      </c>
      <c r="G6351" t="n">
        <v>17.9</v>
      </c>
      <c r="H6351" t="n">
        <v>0</v>
      </c>
      <c r="I6351" t="n">
        <v>0</v>
      </c>
      <c r="J6351" t="n">
        <v>0</v>
      </c>
      <c r="K6351" t="n">
        <v>0</v>
      </c>
      <c r="L6351" t="n">
        <v>0</v>
      </c>
      <c r="M6351" t="n">
        <v>0</v>
      </c>
      <c r="N6351" t="n">
        <v>0</v>
      </c>
      <c r="O6351" t="n">
        <v>0</v>
      </c>
      <c r="P6351" t="n">
        <v>0</v>
      </c>
      <c r="Q6351" t="n">
        <v>0</v>
      </c>
      <c r="R6351" s="2" t="inlineStr"/>
    </row>
    <row r="6352" ht="15" customHeight="1">
      <c r="A6352" t="inlineStr">
        <is>
          <t>A 50711-2025</t>
        </is>
      </c>
      <c r="B6352" s="1" t="n">
        <v>45946.34431712963</v>
      </c>
      <c r="C6352" s="1" t="n">
        <v>46045</v>
      </c>
      <c r="D6352" t="inlineStr">
        <is>
          <t>JÄMTLANDS LÄN</t>
        </is>
      </c>
      <c r="E6352" t="inlineStr">
        <is>
          <t>RAGUNDA</t>
        </is>
      </c>
      <c r="F6352" t="inlineStr">
        <is>
          <t>SCA</t>
        </is>
      </c>
      <c r="G6352" t="n">
        <v>8</v>
      </c>
      <c r="H6352" t="n">
        <v>0</v>
      </c>
      <c r="I6352" t="n">
        <v>0</v>
      </c>
      <c r="J6352" t="n">
        <v>0</v>
      </c>
      <c r="K6352" t="n">
        <v>0</v>
      </c>
      <c r="L6352" t="n">
        <v>0</v>
      </c>
      <c r="M6352" t="n">
        <v>0</v>
      </c>
      <c r="N6352" t="n">
        <v>0</v>
      </c>
      <c r="O6352" t="n">
        <v>0</v>
      </c>
      <c r="P6352" t="n">
        <v>0</v>
      </c>
      <c r="Q6352" t="n">
        <v>0</v>
      </c>
      <c r="R6352" s="2" t="inlineStr"/>
    </row>
    <row r="6353" ht="15" customHeight="1">
      <c r="A6353" t="inlineStr">
        <is>
          <t>A 19263-2025</t>
        </is>
      </c>
      <c r="B6353" s="1" t="n">
        <v>45769.51075231482</v>
      </c>
      <c r="C6353" s="1" t="n">
        <v>46045</v>
      </c>
      <c r="D6353" t="inlineStr">
        <is>
          <t>JÄMTLANDS LÄN</t>
        </is>
      </c>
      <c r="E6353" t="inlineStr">
        <is>
          <t>RAGUNDA</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50724-2025</t>
        </is>
      </c>
      <c r="B6354" s="1" t="n">
        <v>45946.34708333333</v>
      </c>
      <c r="C6354" s="1" t="n">
        <v>46045</v>
      </c>
      <c r="D6354" t="inlineStr">
        <is>
          <t>JÄMTLANDS LÄN</t>
        </is>
      </c>
      <c r="E6354" t="inlineStr">
        <is>
          <t>STRÖMSUND</t>
        </is>
      </c>
      <c r="F6354" t="inlineStr">
        <is>
          <t>SCA</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50455-2025</t>
        </is>
      </c>
      <c r="B6355" s="1" t="n">
        <v>45945.33297453704</v>
      </c>
      <c r="C6355" s="1" t="n">
        <v>46045</v>
      </c>
      <c r="D6355" t="inlineStr">
        <is>
          <t>JÄMTLANDS LÄN</t>
        </is>
      </c>
      <c r="E6355" t="inlineStr">
        <is>
          <t>KROKOM</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60122-2021</t>
        </is>
      </c>
      <c r="B6356" s="1" t="n">
        <v>44495</v>
      </c>
      <c r="C6356" s="1" t="n">
        <v>46045</v>
      </c>
      <c r="D6356" t="inlineStr">
        <is>
          <t>JÄMTLANDS LÄN</t>
        </is>
      </c>
      <c r="E6356" t="inlineStr">
        <is>
          <t>ÅRE</t>
        </is>
      </c>
      <c r="G6356" t="n">
        <v>46.7</v>
      </c>
      <c r="H6356" t="n">
        <v>0</v>
      </c>
      <c r="I6356" t="n">
        <v>0</v>
      </c>
      <c r="J6356" t="n">
        <v>0</v>
      </c>
      <c r="K6356" t="n">
        <v>0</v>
      </c>
      <c r="L6356" t="n">
        <v>0</v>
      </c>
      <c r="M6356" t="n">
        <v>0</v>
      </c>
      <c r="N6356" t="n">
        <v>0</v>
      </c>
      <c r="O6356" t="n">
        <v>0</v>
      </c>
      <c r="P6356" t="n">
        <v>0</v>
      </c>
      <c r="Q6356" t="n">
        <v>0</v>
      </c>
      <c r="R6356" s="2" t="inlineStr"/>
    </row>
    <row r="6357" ht="15" customHeight="1">
      <c r="A6357" t="inlineStr">
        <is>
          <t>A 6347-2025</t>
        </is>
      </c>
      <c r="B6357" s="1" t="n">
        <v>45699.34438657408</v>
      </c>
      <c r="C6357" s="1" t="n">
        <v>46045</v>
      </c>
      <c r="D6357" t="inlineStr">
        <is>
          <t>JÄMTLANDS LÄN</t>
        </is>
      </c>
      <c r="E6357" t="inlineStr">
        <is>
          <t>STRÖMSUND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23840-2025</t>
        </is>
      </c>
      <c r="B6358" s="1" t="n">
        <v>45793</v>
      </c>
      <c r="C6358" s="1" t="n">
        <v>46045</v>
      </c>
      <c r="D6358" t="inlineStr">
        <is>
          <t>JÄMTLANDS LÄN</t>
        </is>
      </c>
      <c r="E6358" t="inlineStr">
        <is>
          <t>RAGUNDA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23842-2025</t>
        </is>
      </c>
      <c r="B6359" s="1" t="n">
        <v>45793.61534722222</v>
      </c>
      <c r="C6359" s="1" t="n">
        <v>46045</v>
      </c>
      <c r="D6359" t="inlineStr">
        <is>
          <t>JÄMTLANDS LÄN</t>
        </is>
      </c>
      <c r="E6359" t="inlineStr">
        <is>
          <t>BRÄCKE</t>
        </is>
      </c>
      <c r="F6359" t="inlineStr">
        <is>
          <t>SCA</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23920-2025</t>
        </is>
      </c>
      <c r="B6360" s="1" t="n">
        <v>45795.34505787037</v>
      </c>
      <c r="C6360" s="1" t="n">
        <v>46045</v>
      </c>
      <c r="D6360" t="inlineStr">
        <is>
          <t>JÄMTLANDS LÄN</t>
        </is>
      </c>
      <c r="E6360" t="inlineStr">
        <is>
          <t>BERG</t>
        </is>
      </c>
      <c r="F6360" t="inlineStr">
        <is>
          <t>SCA</t>
        </is>
      </c>
      <c r="G6360" t="n">
        <v>8.5</v>
      </c>
      <c r="H6360" t="n">
        <v>0</v>
      </c>
      <c r="I6360" t="n">
        <v>0</v>
      </c>
      <c r="J6360" t="n">
        <v>0</v>
      </c>
      <c r="K6360" t="n">
        <v>0</v>
      </c>
      <c r="L6360" t="n">
        <v>0</v>
      </c>
      <c r="M6360" t="n">
        <v>0</v>
      </c>
      <c r="N6360" t="n">
        <v>0</v>
      </c>
      <c r="O6360" t="n">
        <v>0</v>
      </c>
      <c r="P6360" t="n">
        <v>0</v>
      </c>
      <c r="Q6360" t="n">
        <v>0</v>
      </c>
      <c r="R6360" s="2" t="inlineStr"/>
    </row>
    <row r="6361" ht="15" customHeight="1">
      <c r="A6361" t="inlineStr">
        <is>
          <t>A 4593-2025</t>
        </is>
      </c>
      <c r="B6361" s="1" t="n">
        <v>45687.54329861111</v>
      </c>
      <c r="C6361" s="1" t="n">
        <v>46045</v>
      </c>
      <c r="D6361" t="inlineStr">
        <is>
          <t>JÄMTLANDS LÄN</t>
        </is>
      </c>
      <c r="E6361" t="inlineStr">
        <is>
          <t>HÄRJEDALEN</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57237-2022</t>
        </is>
      </c>
      <c r="B6362" s="1" t="n">
        <v>44889</v>
      </c>
      <c r="C6362" s="1" t="n">
        <v>46045</v>
      </c>
      <c r="D6362" t="inlineStr">
        <is>
          <t>JÄMTLANDS LÄN</t>
        </is>
      </c>
      <c r="E6362" t="inlineStr">
        <is>
          <t>RAGUNDA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50716-2025</t>
        </is>
      </c>
      <c r="B6363" s="1" t="n">
        <v>45946.34572916666</v>
      </c>
      <c r="C6363" s="1" t="n">
        <v>46045</v>
      </c>
      <c r="D6363" t="inlineStr">
        <is>
          <t>JÄMTLANDS LÄN</t>
        </is>
      </c>
      <c r="E6363" t="inlineStr">
        <is>
          <t>RAGUNDA</t>
        </is>
      </c>
      <c r="F6363" t="inlineStr">
        <is>
          <t>SCA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50718-2025</t>
        </is>
      </c>
      <c r="B6364" s="1" t="n">
        <v>45946.34625</v>
      </c>
      <c r="C6364" s="1" t="n">
        <v>46045</v>
      </c>
      <c r="D6364" t="inlineStr">
        <is>
          <t>JÄMTLANDS LÄN</t>
        </is>
      </c>
      <c r="E6364" t="inlineStr">
        <is>
          <t>STRÖMSUND</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47934-2021</t>
        </is>
      </c>
      <c r="B6365" s="1" t="n">
        <v>44448</v>
      </c>
      <c r="C6365" s="1" t="n">
        <v>46045</v>
      </c>
      <c r="D6365" t="inlineStr">
        <is>
          <t>JÄMTLANDS LÄN</t>
        </is>
      </c>
      <c r="E6365" t="inlineStr">
        <is>
          <t>STRÖMSUND</t>
        </is>
      </c>
      <c r="F6365" t="inlineStr">
        <is>
          <t>SCA</t>
        </is>
      </c>
      <c r="G6365" t="n">
        <v>6.4</v>
      </c>
      <c r="H6365" t="n">
        <v>0</v>
      </c>
      <c r="I6365" t="n">
        <v>0</v>
      </c>
      <c r="J6365" t="n">
        <v>0</v>
      </c>
      <c r="K6365" t="n">
        <v>0</v>
      </c>
      <c r="L6365" t="n">
        <v>0</v>
      </c>
      <c r="M6365" t="n">
        <v>0</v>
      </c>
      <c r="N6365" t="n">
        <v>0</v>
      </c>
      <c r="O6365" t="n">
        <v>0</v>
      </c>
      <c r="P6365" t="n">
        <v>0</v>
      </c>
      <c r="Q6365" t="n">
        <v>0</v>
      </c>
      <c r="R6365" s="2" t="inlineStr"/>
    </row>
    <row r="6366" ht="15" customHeight="1">
      <c r="A6366" t="inlineStr">
        <is>
          <t>A 47941-2021</t>
        </is>
      </c>
      <c r="B6366" s="1" t="n">
        <v>44448.94142361111</v>
      </c>
      <c r="C6366" s="1" t="n">
        <v>46045</v>
      </c>
      <c r="D6366" t="inlineStr">
        <is>
          <t>JÄMTLANDS LÄN</t>
        </is>
      </c>
      <c r="E6366" t="inlineStr">
        <is>
          <t>STRÖMSUND</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51338-2025</t>
        </is>
      </c>
      <c r="B6367" s="1" t="n">
        <v>45947</v>
      </c>
      <c r="C6367" s="1" t="n">
        <v>46045</v>
      </c>
      <c r="D6367" t="inlineStr">
        <is>
          <t>JÄMTLANDS LÄN</t>
        </is>
      </c>
      <c r="E6367" t="inlineStr">
        <is>
          <t>STRÖMSUND</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51357-2025</t>
        </is>
      </c>
      <c r="B6368" s="1" t="n">
        <v>45947</v>
      </c>
      <c r="C6368" s="1" t="n">
        <v>46045</v>
      </c>
      <c r="D6368" t="inlineStr">
        <is>
          <t>JÄMTLANDS LÄN</t>
        </is>
      </c>
      <c r="E6368" t="inlineStr">
        <is>
          <t>STRÖMSUND</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51395-2025</t>
        </is>
      </c>
      <c r="B6369" s="1" t="n">
        <v>45950.46989583333</v>
      </c>
      <c r="C6369" s="1" t="n">
        <v>46045</v>
      </c>
      <c r="D6369" t="inlineStr">
        <is>
          <t>JÄMTLANDS LÄN</t>
        </is>
      </c>
      <c r="E6369" t="inlineStr">
        <is>
          <t>RAGUNDA</t>
        </is>
      </c>
      <c r="F6369" t="inlineStr">
        <is>
          <t>SCA</t>
        </is>
      </c>
      <c r="G6369" t="n">
        <v>30.7</v>
      </c>
      <c r="H6369" t="n">
        <v>0</v>
      </c>
      <c r="I6369" t="n">
        <v>0</v>
      </c>
      <c r="J6369" t="n">
        <v>0</v>
      </c>
      <c r="K6369" t="n">
        <v>0</v>
      </c>
      <c r="L6369" t="n">
        <v>0</v>
      </c>
      <c r="M6369" t="n">
        <v>0</v>
      </c>
      <c r="N6369" t="n">
        <v>0</v>
      </c>
      <c r="O6369" t="n">
        <v>0</v>
      </c>
      <c r="P6369" t="n">
        <v>0</v>
      </c>
      <c r="Q6369" t="n">
        <v>0</v>
      </c>
      <c r="R6369" s="2" t="inlineStr"/>
    </row>
    <row r="6370" ht="15" customHeight="1">
      <c r="A6370" t="inlineStr">
        <is>
          <t>A 23901-2025</t>
        </is>
      </c>
      <c r="B6370" s="1" t="n">
        <v>45794.34436342592</v>
      </c>
      <c r="C6370" s="1" t="n">
        <v>46045</v>
      </c>
      <c r="D6370" t="inlineStr">
        <is>
          <t>JÄMTLANDS LÄN</t>
        </is>
      </c>
      <c r="E6370" t="inlineStr">
        <is>
          <t>BERG</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23919-2025</t>
        </is>
      </c>
      <c r="B6371" s="1" t="n">
        <v>45795.34497685185</v>
      </c>
      <c r="C6371" s="1" t="n">
        <v>46045</v>
      </c>
      <c r="D6371" t="inlineStr">
        <is>
          <t>JÄMTLANDS LÄN</t>
        </is>
      </c>
      <c r="E6371" t="inlineStr">
        <is>
          <t>BERG</t>
        </is>
      </c>
      <c r="F6371" t="inlineStr">
        <is>
          <t>SCA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18057-2025</t>
        </is>
      </c>
      <c r="B6372" s="1" t="n">
        <v>45761.47681712963</v>
      </c>
      <c r="C6372" s="1" t="n">
        <v>46045</v>
      </c>
      <c r="D6372" t="inlineStr">
        <is>
          <t>JÄMTLANDS LÄN</t>
        </is>
      </c>
      <c r="E6372" t="inlineStr">
        <is>
          <t>BRÄCKE</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18065-2025</t>
        </is>
      </c>
      <c r="B6373" s="1" t="n">
        <v>45761.48989583334</v>
      </c>
      <c r="C6373" s="1" t="n">
        <v>46045</v>
      </c>
      <c r="D6373" t="inlineStr">
        <is>
          <t>JÄMTLANDS LÄN</t>
        </is>
      </c>
      <c r="E6373" t="inlineStr">
        <is>
          <t>BRÄCKE</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28767-2023</t>
        </is>
      </c>
      <c r="B6374" s="1" t="n">
        <v>45103.94275462963</v>
      </c>
      <c r="C6374" s="1" t="n">
        <v>46045</v>
      </c>
      <c r="D6374" t="inlineStr">
        <is>
          <t>JÄMTLANDS LÄN</t>
        </is>
      </c>
      <c r="E6374" t="inlineStr">
        <is>
          <t>STRÖMSUND</t>
        </is>
      </c>
      <c r="F6374" t="inlineStr">
        <is>
          <t>SCA</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51317-2025</t>
        </is>
      </c>
      <c r="B6375" s="1" t="n">
        <v>45950.38090277778</v>
      </c>
      <c r="C6375" s="1" t="n">
        <v>46045</v>
      </c>
      <c r="D6375" t="inlineStr">
        <is>
          <t>JÄMTLANDS LÄN</t>
        </is>
      </c>
      <c r="E6375" t="inlineStr">
        <is>
          <t>KROKOM</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32318-2025</t>
        </is>
      </c>
      <c r="B6376" s="1" t="n">
        <v>45836.34413194445</v>
      </c>
      <c r="C6376" s="1" t="n">
        <v>46045</v>
      </c>
      <c r="D6376" t="inlineStr">
        <is>
          <t>JÄMTLANDS LÄN</t>
        </is>
      </c>
      <c r="E6376" t="inlineStr">
        <is>
          <t>KROKOM</t>
        </is>
      </c>
      <c r="F6376" t="inlineStr">
        <is>
          <t>SCA</t>
        </is>
      </c>
      <c r="G6376" t="n">
        <v>13.8</v>
      </c>
      <c r="H6376" t="n">
        <v>0</v>
      </c>
      <c r="I6376" t="n">
        <v>0</v>
      </c>
      <c r="J6376" t="n">
        <v>0</v>
      </c>
      <c r="K6376" t="n">
        <v>0</v>
      </c>
      <c r="L6376" t="n">
        <v>0</v>
      </c>
      <c r="M6376" t="n">
        <v>0</v>
      </c>
      <c r="N6376" t="n">
        <v>0</v>
      </c>
      <c r="O6376" t="n">
        <v>0</v>
      </c>
      <c r="P6376" t="n">
        <v>0</v>
      </c>
      <c r="Q6376" t="n">
        <v>0</v>
      </c>
      <c r="R6376" s="2" t="inlineStr"/>
    </row>
    <row r="6377" ht="15" customHeight="1">
      <c r="A6377" t="inlineStr">
        <is>
          <t>A 21531-2023</t>
        </is>
      </c>
      <c r="B6377" s="1" t="n">
        <v>45063</v>
      </c>
      <c r="C6377" s="1" t="n">
        <v>46045</v>
      </c>
      <c r="D6377" t="inlineStr">
        <is>
          <t>JÄMTLANDS LÄN</t>
        </is>
      </c>
      <c r="E6377" t="inlineStr">
        <is>
          <t>HÄRJEDALEN</t>
        </is>
      </c>
      <c r="G6377" t="n">
        <v>14.6</v>
      </c>
      <c r="H6377" t="n">
        <v>0</v>
      </c>
      <c r="I6377" t="n">
        <v>0</v>
      </c>
      <c r="J6377" t="n">
        <v>0</v>
      </c>
      <c r="K6377" t="n">
        <v>0</v>
      </c>
      <c r="L6377" t="n">
        <v>0</v>
      </c>
      <c r="M6377" t="n">
        <v>0</v>
      </c>
      <c r="N6377" t="n">
        <v>0</v>
      </c>
      <c r="O6377" t="n">
        <v>0</v>
      </c>
      <c r="P6377" t="n">
        <v>0</v>
      </c>
      <c r="Q6377" t="n">
        <v>0</v>
      </c>
      <c r="R6377" s="2" t="inlineStr"/>
    </row>
    <row r="6378" ht="15" customHeight="1">
      <c r="A6378" t="inlineStr">
        <is>
          <t>A 50985-2025</t>
        </is>
      </c>
      <c r="B6378" s="1" t="n">
        <v>45947.34506944445</v>
      </c>
      <c r="C6378" s="1" t="n">
        <v>46045</v>
      </c>
      <c r="D6378" t="inlineStr">
        <is>
          <t>JÄMTLANDS LÄN</t>
        </is>
      </c>
      <c r="E6378" t="inlineStr">
        <is>
          <t>RAGUNDA</t>
        </is>
      </c>
      <c r="F6378" t="inlineStr">
        <is>
          <t>SCA</t>
        </is>
      </c>
      <c r="G6378" t="n">
        <v>8</v>
      </c>
      <c r="H6378" t="n">
        <v>0</v>
      </c>
      <c r="I6378" t="n">
        <v>0</v>
      </c>
      <c r="J6378" t="n">
        <v>0</v>
      </c>
      <c r="K6378" t="n">
        <v>0</v>
      </c>
      <c r="L6378" t="n">
        <v>0</v>
      </c>
      <c r="M6378" t="n">
        <v>0</v>
      </c>
      <c r="N6378" t="n">
        <v>0</v>
      </c>
      <c r="O6378" t="n">
        <v>0</v>
      </c>
      <c r="P6378" t="n">
        <v>0</v>
      </c>
      <c r="Q6378" t="n">
        <v>0</v>
      </c>
      <c r="R6378" s="2" t="inlineStr"/>
    </row>
    <row r="6379" ht="15" customHeight="1">
      <c r="A6379" t="inlineStr">
        <is>
          <t>A 23731-2025</t>
        </is>
      </c>
      <c r="B6379" s="1" t="n">
        <v>45793.41994212963</v>
      </c>
      <c r="C6379" s="1" t="n">
        <v>46045</v>
      </c>
      <c r="D6379" t="inlineStr">
        <is>
          <t>JÄMTLANDS LÄN</t>
        </is>
      </c>
      <c r="E6379" t="inlineStr">
        <is>
          <t>HÄRJEDALEN</t>
        </is>
      </c>
      <c r="F6379" t="inlineStr">
        <is>
          <t>Sveaskog</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1477-2025</t>
        </is>
      </c>
      <c r="B6380" s="1" t="n">
        <v>45670</v>
      </c>
      <c r="C6380" s="1" t="n">
        <v>46045</v>
      </c>
      <c r="D6380" t="inlineStr">
        <is>
          <t>JÄMTLANDS LÄN</t>
        </is>
      </c>
      <c r="E6380" t="inlineStr">
        <is>
          <t>KROKOM</t>
        </is>
      </c>
      <c r="G6380" t="n">
        <v>7.3</v>
      </c>
      <c r="H6380" t="n">
        <v>0</v>
      </c>
      <c r="I6380" t="n">
        <v>0</v>
      </c>
      <c r="J6380" t="n">
        <v>0</v>
      </c>
      <c r="K6380" t="n">
        <v>0</v>
      </c>
      <c r="L6380" t="n">
        <v>0</v>
      </c>
      <c r="M6380" t="n">
        <v>0</v>
      </c>
      <c r="N6380" t="n">
        <v>0</v>
      </c>
      <c r="O6380" t="n">
        <v>0</v>
      </c>
      <c r="P6380" t="n">
        <v>0</v>
      </c>
      <c r="Q6380" t="n">
        <v>0</v>
      </c>
      <c r="R6380" s="2" t="inlineStr"/>
    </row>
    <row r="6381" ht="15" customHeight="1">
      <c r="A6381" t="inlineStr">
        <is>
          <t>A 24158-2025</t>
        </is>
      </c>
      <c r="B6381" s="1" t="n">
        <v>45796</v>
      </c>
      <c r="C6381" s="1" t="n">
        <v>46045</v>
      </c>
      <c r="D6381" t="inlineStr">
        <is>
          <t>JÄMTLANDS LÄN</t>
        </is>
      </c>
      <c r="E6381" t="inlineStr">
        <is>
          <t>RAGUNDA</t>
        </is>
      </c>
      <c r="G6381" t="n">
        <v>2.9</v>
      </c>
      <c r="H6381" t="n">
        <v>0</v>
      </c>
      <c r="I6381" t="n">
        <v>0</v>
      </c>
      <c r="J6381" t="n">
        <v>0</v>
      </c>
      <c r="K6381" t="n">
        <v>0</v>
      </c>
      <c r="L6381" t="n">
        <v>0</v>
      </c>
      <c r="M6381" t="n">
        <v>0</v>
      </c>
      <c r="N6381" t="n">
        <v>0</v>
      </c>
      <c r="O6381" t="n">
        <v>0</v>
      </c>
      <c r="P6381" t="n">
        <v>0</v>
      </c>
      <c r="Q6381" t="n">
        <v>0</v>
      </c>
      <c r="R6381" s="2" t="inlineStr"/>
      <c r="U6381">
        <f>HYPERLINK("https://klasma.github.io/Logging_2303/knärot/A 24158-2025 karta knärot.png", "A 24158-2025")</f>
        <v/>
      </c>
      <c r="V6381">
        <f>HYPERLINK("https://klasma.github.io/Logging_2303/klagomål/A 24158-2025 FSC-klagomål.docx", "A 24158-2025")</f>
        <v/>
      </c>
      <c r="W6381">
        <f>HYPERLINK("https://klasma.github.io/Logging_2303/klagomålsmail/A 24158-2025 FSC-klagomål mail.docx", "A 24158-2025")</f>
        <v/>
      </c>
      <c r="X6381">
        <f>HYPERLINK("https://klasma.github.io/Logging_2303/tillsyn/A 24158-2025 tillsynsbegäran.docx", "A 24158-2025")</f>
        <v/>
      </c>
      <c r="Y6381">
        <f>HYPERLINK("https://klasma.github.io/Logging_2303/tillsynsmail/A 24158-2025 tillsynsbegäran mail.docx", "A 24158-2025")</f>
        <v/>
      </c>
    </row>
    <row r="6382" ht="15" customHeight="1">
      <c r="A6382" t="inlineStr">
        <is>
          <t>A 24161-2025</t>
        </is>
      </c>
      <c r="B6382" s="1" t="n">
        <v>45796</v>
      </c>
      <c r="C6382" s="1" t="n">
        <v>46045</v>
      </c>
      <c r="D6382" t="inlineStr">
        <is>
          <t>JÄMTLANDS LÄN</t>
        </is>
      </c>
      <c r="E6382" t="inlineStr">
        <is>
          <t>RAGUNDA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55327-2024</t>
        </is>
      </c>
      <c r="B6383" s="1" t="n">
        <v>45621</v>
      </c>
      <c r="C6383" s="1" t="n">
        <v>46045</v>
      </c>
      <c r="D6383" t="inlineStr">
        <is>
          <t>JÄMTLANDS LÄN</t>
        </is>
      </c>
      <c r="E6383" t="inlineStr">
        <is>
          <t>STRÖMSUND</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52086-2024</t>
        </is>
      </c>
      <c r="B6384" s="1" t="n">
        <v>45608</v>
      </c>
      <c r="C6384" s="1" t="n">
        <v>46045</v>
      </c>
      <c r="D6384" t="inlineStr">
        <is>
          <t>JÄMTLANDS LÄN</t>
        </is>
      </c>
      <c r="E6384" t="inlineStr">
        <is>
          <t>KROKOM</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51079-2025</t>
        </is>
      </c>
      <c r="B6385" s="1" t="n">
        <v>45947.465</v>
      </c>
      <c r="C6385" s="1" t="n">
        <v>46045</v>
      </c>
      <c r="D6385" t="inlineStr">
        <is>
          <t>JÄMTLANDS LÄN</t>
        </is>
      </c>
      <c r="E6385" t="inlineStr">
        <is>
          <t>BERG</t>
        </is>
      </c>
      <c r="F6385" t="inlineStr">
        <is>
          <t>Övriga Aktiebolag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1499-2025</t>
        </is>
      </c>
      <c r="B6386" s="1" t="n">
        <v>45670.41112268518</v>
      </c>
      <c r="C6386" s="1" t="n">
        <v>46045</v>
      </c>
      <c r="D6386" t="inlineStr">
        <is>
          <t>JÄMTLANDS LÄN</t>
        </is>
      </c>
      <c r="E6386" t="inlineStr">
        <is>
          <t>BERG</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51495-2025</t>
        </is>
      </c>
      <c r="B6387" s="1" t="n">
        <v>45950.6366550926</v>
      </c>
      <c r="C6387" s="1" t="n">
        <v>46045</v>
      </c>
      <c r="D6387" t="inlineStr">
        <is>
          <t>JÄMTLANDS LÄN</t>
        </is>
      </c>
      <c r="E6387" t="inlineStr">
        <is>
          <t>BERG</t>
        </is>
      </c>
      <c r="F6387" t="inlineStr">
        <is>
          <t>SCA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60850-2023</t>
        </is>
      </c>
      <c r="B6388" s="1" t="n">
        <v>45260</v>
      </c>
      <c r="C6388" s="1" t="n">
        <v>46045</v>
      </c>
      <c r="D6388" t="inlineStr">
        <is>
          <t>JÄMTLANDS LÄN</t>
        </is>
      </c>
      <c r="E6388" t="inlineStr">
        <is>
          <t>STRÖMSUND</t>
        </is>
      </c>
      <c r="G6388" t="n">
        <v>11.8</v>
      </c>
      <c r="H6388" t="n">
        <v>0</v>
      </c>
      <c r="I6388" t="n">
        <v>0</v>
      </c>
      <c r="J6388" t="n">
        <v>0</v>
      </c>
      <c r="K6388" t="n">
        <v>0</v>
      </c>
      <c r="L6388" t="n">
        <v>0</v>
      </c>
      <c r="M6388" t="n">
        <v>0</v>
      </c>
      <c r="N6388" t="n">
        <v>0</v>
      </c>
      <c r="O6388" t="n">
        <v>0</v>
      </c>
      <c r="P6388" t="n">
        <v>0</v>
      </c>
      <c r="Q6388" t="n">
        <v>0</v>
      </c>
      <c r="R6388" s="2" t="inlineStr"/>
    </row>
    <row r="6389" ht="15" customHeight="1">
      <c r="A6389" t="inlineStr">
        <is>
          <t>A 24060-2025</t>
        </is>
      </c>
      <c r="B6389" s="1" t="n">
        <v>45796.5216087963</v>
      </c>
      <c r="C6389" s="1" t="n">
        <v>46045</v>
      </c>
      <c r="D6389" t="inlineStr">
        <is>
          <t>JÄMTLANDS LÄN</t>
        </is>
      </c>
      <c r="E6389" t="inlineStr">
        <is>
          <t>BERG</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7542-2025</t>
        </is>
      </c>
      <c r="B6390" s="1" t="n">
        <v>45705.57324074074</v>
      </c>
      <c r="C6390" s="1" t="n">
        <v>46045</v>
      </c>
      <c r="D6390" t="inlineStr">
        <is>
          <t>JÄMTLANDS LÄN</t>
        </is>
      </c>
      <c r="E6390" t="inlineStr">
        <is>
          <t>STRÖMSUND</t>
        </is>
      </c>
      <c r="F6390" t="inlineStr">
        <is>
          <t>SCA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7546-2025</t>
        </is>
      </c>
      <c r="B6391" s="1" t="n">
        <v>45705.57405092593</v>
      </c>
      <c r="C6391" s="1" t="n">
        <v>46045</v>
      </c>
      <c r="D6391" t="inlineStr">
        <is>
          <t>JÄMTLANDS LÄN</t>
        </is>
      </c>
      <c r="E6391" t="inlineStr">
        <is>
          <t>STRÖMSUND</t>
        </is>
      </c>
      <c r="F6391" t="inlineStr">
        <is>
          <t>SCA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60870-2023</t>
        </is>
      </c>
      <c r="B6392" s="1" t="n">
        <v>45260.96667824074</v>
      </c>
      <c r="C6392" s="1" t="n">
        <v>46045</v>
      </c>
      <c r="D6392" t="inlineStr">
        <is>
          <t>JÄMTLANDS LÄN</t>
        </is>
      </c>
      <c r="E6392" t="inlineStr">
        <is>
          <t>BRÄCKE</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51034-2025</t>
        </is>
      </c>
      <c r="B6393" s="1" t="n">
        <v>45947.40670138889</v>
      </c>
      <c r="C6393" s="1" t="n">
        <v>46045</v>
      </c>
      <c r="D6393" t="inlineStr">
        <is>
          <t>JÄMTLANDS LÄN</t>
        </is>
      </c>
      <c r="E6393" t="inlineStr">
        <is>
          <t>RAGUNDA</t>
        </is>
      </c>
      <c r="F6393" t="inlineStr">
        <is>
          <t>SCA</t>
        </is>
      </c>
      <c r="G6393" t="n">
        <v>44.1</v>
      </c>
      <c r="H6393" t="n">
        <v>0</v>
      </c>
      <c r="I6393" t="n">
        <v>0</v>
      </c>
      <c r="J6393" t="n">
        <v>0</v>
      </c>
      <c r="K6393" t="n">
        <v>0</v>
      </c>
      <c r="L6393" t="n">
        <v>0</v>
      </c>
      <c r="M6393" t="n">
        <v>0</v>
      </c>
      <c r="N6393" t="n">
        <v>0</v>
      </c>
      <c r="O6393" t="n">
        <v>0</v>
      </c>
      <c r="P6393" t="n">
        <v>0</v>
      </c>
      <c r="Q6393" t="n">
        <v>0</v>
      </c>
      <c r="R6393" s="2" t="inlineStr"/>
    </row>
    <row r="6394" ht="15" customHeight="1">
      <c r="A6394" t="inlineStr">
        <is>
          <t>A 51035-2025</t>
        </is>
      </c>
      <c r="B6394" s="1" t="n">
        <v>45947.40688657408</v>
      </c>
      <c r="C6394" s="1" t="n">
        <v>46045</v>
      </c>
      <c r="D6394" t="inlineStr">
        <is>
          <t>JÄMTLANDS LÄN</t>
        </is>
      </c>
      <c r="E6394" t="inlineStr">
        <is>
          <t>STRÖMSUND</t>
        </is>
      </c>
      <c r="F6394" t="inlineStr">
        <is>
          <t>SCA</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6148-2025</t>
        </is>
      </c>
      <c r="B6395" s="1" t="n">
        <v>45698.40146990741</v>
      </c>
      <c r="C6395" s="1" t="n">
        <v>46045</v>
      </c>
      <c r="D6395" t="inlineStr">
        <is>
          <t>JÄMTLANDS LÄN</t>
        </is>
      </c>
      <c r="E6395" t="inlineStr">
        <is>
          <t>KROKOM</t>
        </is>
      </c>
      <c r="G6395" t="n">
        <v>43.6</v>
      </c>
      <c r="H6395" t="n">
        <v>0</v>
      </c>
      <c r="I6395" t="n">
        <v>0</v>
      </c>
      <c r="J6395" t="n">
        <v>0</v>
      </c>
      <c r="K6395" t="n">
        <v>0</v>
      </c>
      <c r="L6395" t="n">
        <v>0</v>
      </c>
      <c r="M6395" t="n">
        <v>0</v>
      </c>
      <c r="N6395" t="n">
        <v>0</v>
      </c>
      <c r="O6395" t="n">
        <v>0</v>
      </c>
      <c r="P6395" t="n">
        <v>0</v>
      </c>
      <c r="Q6395" t="n">
        <v>0</v>
      </c>
      <c r="R6395" s="2" t="inlineStr"/>
    </row>
    <row r="6396" ht="15" customHeight="1">
      <c r="A6396" t="inlineStr">
        <is>
          <t>A 55029-2021</t>
        </is>
      </c>
      <c r="B6396" s="1" t="n">
        <v>44474.59423611111</v>
      </c>
      <c r="C6396" s="1" t="n">
        <v>46045</v>
      </c>
      <c r="D6396" t="inlineStr">
        <is>
          <t>JÄMTLANDS LÄN</t>
        </is>
      </c>
      <c r="E6396" t="inlineStr">
        <is>
          <t>HÄRJEDALEN</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51452-2025</t>
        </is>
      </c>
      <c r="B6397" s="1" t="n">
        <v>45950.59430555555</v>
      </c>
      <c r="C6397" s="1" t="n">
        <v>46045</v>
      </c>
      <c r="D6397" t="inlineStr">
        <is>
          <t>JÄMTLANDS LÄN</t>
        </is>
      </c>
      <c r="E6397" t="inlineStr">
        <is>
          <t>BRÄCKE</t>
        </is>
      </c>
      <c r="F6397" t="inlineStr">
        <is>
          <t>SCA</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33451-2025</t>
        </is>
      </c>
      <c r="B6398" s="1" t="n">
        <v>45841.46925925926</v>
      </c>
      <c r="C6398" s="1" t="n">
        <v>46045</v>
      </c>
      <c r="D6398" t="inlineStr">
        <is>
          <t>JÄMTLANDS LÄN</t>
        </is>
      </c>
      <c r="E6398" t="inlineStr">
        <is>
          <t>KROKOM</t>
        </is>
      </c>
      <c r="F6398" t="inlineStr">
        <is>
          <t>SCA</t>
        </is>
      </c>
      <c r="G6398" t="n">
        <v>17.5</v>
      </c>
      <c r="H6398" t="n">
        <v>0</v>
      </c>
      <c r="I6398" t="n">
        <v>0</v>
      </c>
      <c r="J6398" t="n">
        <v>0</v>
      </c>
      <c r="K6398" t="n">
        <v>0</v>
      </c>
      <c r="L6398" t="n">
        <v>0</v>
      </c>
      <c r="M6398" t="n">
        <v>0</v>
      </c>
      <c r="N6398" t="n">
        <v>0</v>
      </c>
      <c r="O6398" t="n">
        <v>0</v>
      </c>
      <c r="P6398" t="n">
        <v>0</v>
      </c>
      <c r="Q6398" t="n">
        <v>0</v>
      </c>
      <c r="R6398" s="2" t="inlineStr"/>
    </row>
    <row r="6399" ht="15" customHeight="1">
      <c r="A6399" t="inlineStr">
        <is>
          <t>A 50953-2025</t>
        </is>
      </c>
      <c r="B6399" s="1" t="n">
        <v>45946.77162037037</v>
      </c>
      <c r="C6399" s="1" t="n">
        <v>46045</v>
      </c>
      <c r="D6399" t="inlineStr">
        <is>
          <t>JÄMTLANDS LÄN</t>
        </is>
      </c>
      <c r="E6399" t="inlineStr">
        <is>
          <t>STRÖMSUND</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33773-2024</t>
        </is>
      </c>
      <c r="B6400" s="1" t="n">
        <v>45520</v>
      </c>
      <c r="C6400" s="1" t="n">
        <v>46045</v>
      </c>
      <c r="D6400" t="inlineStr">
        <is>
          <t>JÄMTLANDS LÄN</t>
        </is>
      </c>
      <c r="E6400" t="inlineStr">
        <is>
          <t>BRÄCKE</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33774-2024</t>
        </is>
      </c>
      <c r="B6401" s="1" t="n">
        <v>45520</v>
      </c>
      <c r="C6401" s="1" t="n">
        <v>46045</v>
      </c>
      <c r="D6401" t="inlineStr">
        <is>
          <t>JÄMTLANDS LÄN</t>
        </is>
      </c>
      <c r="E6401" t="inlineStr">
        <is>
          <t>BRÄCKE</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29873-2024</t>
        </is>
      </c>
      <c r="B6402" s="1" t="n">
        <v>45485.94542824074</v>
      </c>
      <c r="C6402" s="1" t="n">
        <v>46045</v>
      </c>
      <c r="D6402" t="inlineStr">
        <is>
          <t>JÄMTLANDS LÄN</t>
        </is>
      </c>
      <c r="E6402" t="inlineStr">
        <is>
          <t>BRÄCKE</t>
        </is>
      </c>
      <c r="F6402" t="inlineStr">
        <is>
          <t>SCA</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51016-2025</t>
        </is>
      </c>
      <c r="B6403" s="1" t="n">
        <v>45947.3843287037</v>
      </c>
      <c r="C6403" s="1" t="n">
        <v>46045</v>
      </c>
      <c r="D6403" t="inlineStr">
        <is>
          <t>JÄMTLANDS LÄN</t>
        </is>
      </c>
      <c r="E6403" t="inlineStr">
        <is>
          <t>HÄRJEDALEN</t>
        </is>
      </c>
      <c r="F6403" t="inlineStr">
        <is>
          <t>Bergvik skog väst AB</t>
        </is>
      </c>
      <c r="G6403" t="n">
        <v>19.1</v>
      </c>
      <c r="H6403" t="n">
        <v>0</v>
      </c>
      <c r="I6403" t="n">
        <v>0</v>
      </c>
      <c r="J6403" t="n">
        <v>0</v>
      </c>
      <c r="K6403" t="n">
        <v>0</v>
      </c>
      <c r="L6403" t="n">
        <v>0</v>
      </c>
      <c r="M6403" t="n">
        <v>0</v>
      </c>
      <c r="N6403" t="n">
        <v>0</v>
      </c>
      <c r="O6403" t="n">
        <v>0</v>
      </c>
      <c r="P6403" t="n">
        <v>0</v>
      </c>
      <c r="Q6403" t="n">
        <v>0</v>
      </c>
      <c r="R6403" s="2" t="inlineStr"/>
    </row>
    <row r="6404" ht="15" customHeight="1">
      <c r="A6404" t="inlineStr">
        <is>
          <t>A 31277-2025</t>
        </is>
      </c>
      <c r="B6404" s="1" t="n">
        <v>45833.34490740741</v>
      </c>
      <c r="C6404" s="1" t="n">
        <v>46045</v>
      </c>
      <c r="D6404" t="inlineStr">
        <is>
          <t>JÄMTLANDS LÄN</t>
        </is>
      </c>
      <c r="E6404" t="inlineStr">
        <is>
          <t>KROKOM</t>
        </is>
      </c>
      <c r="F6404" t="inlineStr">
        <is>
          <t>SCA</t>
        </is>
      </c>
      <c r="G6404" t="n">
        <v>9</v>
      </c>
      <c r="H6404" t="n">
        <v>0</v>
      </c>
      <c r="I6404" t="n">
        <v>0</v>
      </c>
      <c r="J6404" t="n">
        <v>0</v>
      </c>
      <c r="K6404" t="n">
        <v>0</v>
      </c>
      <c r="L6404" t="n">
        <v>0</v>
      </c>
      <c r="M6404" t="n">
        <v>0</v>
      </c>
      <c r="N6404" t="n">
        <v>0</v>
      </c>
      <c r="O6404" t="n">
        <v>0</v>
      </c>
      <c r="P6404" t="n">
        <v>0</v>
      </c>
      <c r="Q6404" t="n">
        <v>0</v>
      </c>
      <c r="R6404" s="2" t="inlineStr"/>
    </row>
    <row r="6405" ht="15" customHeight="1">
      <c r="A6405" t="inlineStr">
        <is>
          <t>A 48747-2025</t>
        </is>
      </c>
      <c r="B6405" s="1" t="n">
        <v>45936.67894675926</v>
      </c>
      <c r="C6405" s="1" t="n">
        <v>46045</v>
      </c>
      <c r="D6405" t="inlineStr">
        <is>
          <t>JÄMTLANDS LÄN</t>
        </is>
      </c>
      <c r="E6405" t="inlineStr">
        <is>
          <t>STRÖMSUND</t>
        </is>
      </c>
      <c r="F6405" t="inlineStr">
        <is>
          <t>SCA</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51270-2025</t>
        </is>
      </c>
      <c r="B6406" s="1" t="n">
        <v>45949.84528935186</v>
      </c>
      <c r="C6406" s="1" t="n">
        <v>46045</v>
      </c>
      <c r="D6406" t="inlineStr">
        <is>
          <t>JÄMTLANDS LÄN</t>
        </is>
      </c>
      <c r="E6406" t="inlineStr">
        <is>
          <t>HÄRJEDALEN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45195-2025</t>
        </is>
      </c>
      <c r="B6407" s="1" t="n">
        <v>45919</v>
      </c>
      <c r="C6407" s="1" t="n">
        <v>46045</v>
      </c>
      <c r="D6407" t="inlineStr">
        <is>
          <t>JÄMTLANDS LÄN</t>
        </is>
      </c>
      <c r="E6407" t="inlineStr">
        <is>
          <t>HÄRJEDALEN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51006-2025</t>
        </is>
      </c>
      <c r="B6408" s="1" t="n">
        <v>45947.36521990741</v>
      </c>
      <c r="C6408" s="1" t="n">
        <v>46045</v>
      </c>
      <c r="D6408" t="inlineStr">
        <is>
          <t>JÄMTLANDS LÄN</t>
        </is>
      </c>
      <c r="E6408" t="inlineStr">
        <is>
          <t>STRÖMSUND</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15144-2024</t>
        </is>
      </c>
      <c r="B6409" s="1" t="n">
        <v>45399.94340277778</v>
      </c>
      <c r="C6409" s="1" t="n">
        <v>46045</v>
      </c>
      <c r="D6409" t="inlineStr">
        <is>
          <t>JÄMTLANDS LÄN</t>
        </is>
      </c>
      <c r="E6409" t="inlineStr">
        <is>
          <t>BRÄCKE</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51019-2025</t>
        </is>
      </c>
      <c r="B6410" s="1" t="n">
        <v>45947.38623842593</v>
      </c>
      <c r="C6410" s="1" t="n">
        <v>46045</v>
      </c>
      <c r="D6410" t="inlineStr">
        <is>
          <t>JÄMTLANDS LÄN</t>
        </is>
      </c>
      <c r="E6410" t="inlineStr">
        <is>
          <t>RAGUNDA</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14928-2025</t>
        </is>
      </c>
      <c r="B6411" s="1" t="n">
        <v>45743.55309027778</v>
      </c>
      <c r="C6411" s="1" t="n">
        <v>46045</v>
      </c>
      <c r="D6411" t="inlineStr">
        <is>
          <t>JÄMTLANDS LÄN</t>
        </is>
      </c>
      <c r="E6411" t="inlineStr">
        <is>
          <t>STRÖMSUND</t>
        </is>
      </c>
      <c r="F6411" t="inlineStr">
        <is>
          <t>SCA</t>
        </is>
      </c>
      <c r="G6411" t="n">
        <v>12.2</v>
      </c>
      <c r="H6411" t="n">
        <v>0</v>
      </c>
      <c r="I6411" t="n">
        <v>0</v>
      </c>
      <c r="J6411" t="n">
        <v>0</v>
      </c>
      <c r="K6411" t="n">
        <v>0</v>
      </c>
      <c r="L6411" t="n">
        <v>0</v>
      </c>
      <c r="M6411" t="n">
        <v>0</v>
      </c>
      <c r="N6411" t="n">
        <v>0</v>
      </c>
      <c r="O6411" t="n">
        <v>0</v>
      </c>
      <c r="P6411" t="n">
        <v>0</v>
      </c>
      <c r="Q6411" t="n">
        <v>0</v>
      </c>
      <c r="R6411" s="2" t="inlineStr"/>
    </row>
    <row r="6412" ht="15" customHeight="1">
      <c r="A6412" t="inlineStr">
        <is>
          <t>A 15003-2025</t>
        </is>
      </c>
      <c r="B6412" s="1" t="n">
        <v>45743.61899305556</v>
      </c>
      <c r="C6412" s="1" t="n">
        <v>46045</v>
      </c>
      <c r="D6412" t="inlineStr">
        <is>
          <t>JÄMTLANDS LÄN</t>
        </is>
      </c>
      <c r="E6412" t="inlineStr">
        <is>
          <t>HÄRJEDALEN</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15004-2025</t>
        </is>
      </c>
      <c r="B6413" s="1" t="n">
        <v>45743.62116898148</v>
      </c>
      <c r="C6413" s="1" t="n">
        <v>46045</v>
      </c>
      <c r="D6413" t="inlineStr">
        <is>
          <t>JÄMTLANDS LÄN</t>
        </is>
      </c>
      <c r="E6413" t="inlineStr">
        <is>
          <t>HÄRJEDALEN</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23841-2025</t>
        </is>
      </c>
      <c r="B6414" s="1" t="n">
        <v>45793.61523148148</v>
      </c>
      <c r="C6414" s="1" t="n">
        <v>46045</v>
      </c>
      <c r="D6414" t="inlineStr">
        <is>
          <t>JÄMTLANDS LÄN</t>
        </is>
      </c>
      <c r="E6414" t="inlineStr">
        <is>
          <t>RAGUNDA</t>
        </is>
      </c>
      <c r="F6414" t="inlineStr">
        <is>
          <t>SCA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51394-2025</t>
        </is>
      </c>
      <c r="B6415" s="1" t="n">
        <v>45950.46972222222</v>
      </c>
      <c r="C6415" s="1" t="n">
        <v>46045</v>
      </c>
      <c r="D6415" t="inlineStr">
        <is>
          <t>JÄMTLANDS LÄN</t>
        </is>
      </c>
      <c r="E6415" t="inlineStr">
        <is>
          <t>RAGUNDA</t>
        </is>
      </c>
      <c r="F6415" t="inlineStr">
        <is>
          <t>SCA</t>
        </is>
      </c>
      <c r="G6415" t="n">
        <v>36.5</v>
      </c>
      <c r="H6415" t="n">
        <v>0</v>
      </c>
      <c r="I6415" t="n">
        <v>0</v>
      </c>
      <c r="J6415" t="n">
        <v>0</v>
      </c>
      <c r="K6415" t="n">
        <v>0</v>
      </c>
      <c r="L6415" t="n">
        <v>0</v>
      </c>
      <c r="M6415" t="n">
        <v>0</v>
      </c>
      <c r="N6415" t="n">
        <v>0</v>
      </c>
      <c r="O6415" t="n">
        <v>0</v>
      </c>
      <c r="P6415" t="n">
        <v>0</v>
      </c>
      <c r="Q6415" t="n">
        <v>0</v>
      </c>
      <c r="R6415" s="2" t="inlineStr"/>
    </row>
    <row r="6416" ht="15" customHeight="1">
      <c r="A6416" t="inlineStr">
        <is>
          <t>A 51470-2025</t>
        </is>
      </c>
      <c r="B6416" s="1" t="n">
        <v>45950.61659722222</v>
      </c>
      <c r="C6416" s="1" t="n">
        <v>46045</v>
      </c>
      <c r="D6416" t="inlineStr">
        <is>
          <t>JÄMTLANDS LÄN</t>
        </is>
      </c>
      <c r="E6416" t="inlineStr">
        <is>
          <t>KROKOM</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51471-2025</t>
        </is>
      </c>
      <c r="B6417" s="1" t="n">
        <v>45950.61703703704</v>
      </c>
      <c r="C6417" s="1" t="n">
        <v>46045</v>
      </c>
      <c r="D6417" t="inlineStr">
        <is>
          <t>JÄMTLANDS LÄN</t>
        </is>
      </c>
      <c r="E6417" t="inlineStr">
        <is>
          <t>KROKOM</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34723-2024</t>
        </is>
      </c>
      <c r="B6418" s="1" t="n">
        <v>45526.56865740741</v>
      </c>
      <c r="C6418" s="1" t="n">
        <v>46045</v>
      </c>
      <c r="D6418" t="inlineStr">
        <is>
          <t>JÄMTLANDS LÄN</t>
        </is>
      </c>
      <c r="E6418" t="inlineStr">
        <is>
          <t>STRÖMSUND</t>
        </is>
      </c>
      <c r="F6418" t="inlineStr">
        <is>
          <t>SCA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7767-2025</t>
        </is>
      </c>
      <c r="B6419" s="1" t="n">
        <v>45706.55993055556</v>
      </c>
      <c r="C6419" s="1" t="n">
        <v>46045</v>
      </c>
      <c r="D6419" t="inlineStr">
        <is>
          <t>JÄMTLANDS LÄN</t>
        </is>
      </c>
      <c r="E6419" t="inlineStr">
        <is>
          <t>KROKOM</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23539-2025</t>
        </is>
      </c>
      <c r="B6420" s="1" t="n">
        <v>45792</v>
      </c>
      <c r="C6420" s="1" t="n">
        <v>46045</v>
      </c>
      <c r="D6420" t="inlineStr">
        <is>
          <t>JÄMTLANDS LÄN</t>
        </is>
      </c>
      <c r="E6420" t="inlineStr">
        <is>
          <t>BRÄCKE</t>
        </is>
      </c>
      <c r="G6420" t="n">
        <v>14.9</v>
      </c>
      <c r="H6420" t="n">
        <v>0</v>
      </c>
      <c r="I6420" t="n">
        <v>0</v>
      </c>
      <c r="J6420" t="n">
        <v>0</v>
      </c>
      <c r="K6420" t="n">
        <v>0</v>
      </c>
      <c r="L6420" t="n">
        <v>0</v>
      </c>
      <c r="M6420" t="n">
        <v>0</v>
      </c>
      <c r="N6420" t="n">
        <v>0</v>
      </c>
      <c r="O6420" t="n">
        <v>0</v>
      </c>
      <c r="P6420" t="n">
        <v>0</v>
      </c>
      <c r="Q6420" t="n">
        <v>0</v>
      </c>
      <c r="R6420" s="2" t="inlineStr"/>
    </row>
    <row r="6421" ht="15" customHeight="1">
      <c r="A6421" t="inlineStr">
        <is>
          <t>A 50169-2023</t>
        </is>
      </c>
      <c r="B6421" s="1" t="n">
        <v>45208</v>
      </c>
      <c r="C6421" s="1" t="n">
        <v>46045</v>
      </c>
      <c r="D6421" t="inlineStr">
        <is>
          <t>JÄMTLANDS LÄN</t>
        </is>
      </c>
      <c r="E6421" t="inlineStr">
        <is>
          <t>BERG</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51203-2025</t>
        </is>
      </c>
      <c r="B6422" s="1" t="n">
        <v>45947.63592592593</v>
      </c>
      <c r="C6422" s="1" t="n">
        <v>46045</v>
      </c>
      <c r="D6422" t="inlineStr">
        <is>
          <t>JÄMTLANDS LÄN</t>
        </is>
      </c>
      <c r="E6422" t="inlineStr">
        <is>
          <t>BERG</t>
        </is>
      </c>
      <c r="F6422" t="inlineStr">
        <is>
          <t>SCA</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51204-2025</t>
        </is>
      </c>
      <c r="B6423" s="1" t="n">
        <v>45947.63607638889</v>
      </c>
      <c r="C6423" s="1" t="n">
        <v>46045</v>
      </c>
      <c r="D6423" t="inlineStr">
        <is>
          <t>JÄMTLANDS LÄN</t>
        </is>
      </c>
      <c r="E6423" t="inlineStr">
        <is>
          <t>BRÄCKE</t>
        </is>
      </c>
      <c r="G6423" t="n">
        <v>7.5</v>
      </c>
      <c r="H6423" t="n">
        <v>0</v>
      </c>
      <c r="I6423" t="n">
        <v>0</v>
      </c>
      <c r="J6423" t="n">
        <v>0</v>
      </c>
      <c r="K6423" t="n">
        <v>0</v>
      </c>
      <c r="L6423" t="n">
        <v>0</v>
      </c>
      <c r="M6423" t="n">
        <v>0</v>
      </c>
      <c r="N6423" t="n">
        <v>0</v>
      </c>
      <c r="O6423" t="n">
        <v>0</v>
      </c>
      <c r="P6423" t="n">
        <v>0</v>
      </c>
      <c r="Q6423" t="n">
        <v>0</v>
      </c>
      <c r="R6423" s="2" t="inlineStr"/>
    </row>
    <row r="6424" ht="15" customHeight="1">
      <c r="A6424" t="inlineStr">
        <is>
          <t>A 51205-2025</t>
        </is>
      </c>
      <c r="B6424" s="1" t="n">
        <v>45947.63615740741</v>
      </c>
      <c r="C6424" s="1" t="n">
        <v>46045</v>
      </c>
      <c r="D6424" t="inlineStr">
        <is>
          <t>JÄMTLANDS LÄN</t>
        </is>
      </c>
      <c r="E6424" t="inlineStr">
        <is>
          <t>BRÄCKE</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51484-2025</t>
        </is>
      </c>
      <c r="B6425" s="1" t="n">
        <v>45950.62196759259</v>
      </c>
      <c r="C6425" s="1" t="n">
        <v>46045</v>
      </c>
      <c r="D6425" t="inlineStr">
        <is>
          <t>JÄMTLANDS LÄN</t>
        </is>
      </c>
      <c r="E6425" t="inlineStr">
        <is>
          <t>RAGUNDA</t>
        </is>
      </c>
      <c r="F6425" t="inlineStr">
        <is>
          <t>SCA</t>
        </is>
      </c>
      <c r="G6425" t="n">
        <v>23.1</v>
      </c>
      <c r="H6425" t="n">
        <v>0</v>
      </c>
      <c r="I6425" t="n">
        <v>0</v>
      </c>
      <c r="J6425" t="n">
        <v>0</v>
      </c>
      <c r="K6425" t="n">
        <v>0</v>
      </c>
      <c r="L6425" t="n">
        <v>0</v>
      </c>
      <c r="M6425" t="n">
        <v>0</v>
      </c>
      <c r="N6425" t="n">
        <v>0</v>
      </c>
      <c r="O6425" t="n">
        <v>0</v>
      </c>
      <c r="P6425" t="n">
        <v>0</v>
      </c>
      <c r="Q6425" t="n">
        <v>0</v>
      </c>
      <c r="R6425" s="2" t="inlineStr"/>
    </row>
    <row r="6426" ht="15" customHeight="1">
      <c r="A6426" t="inlineStr">
        <is>
          <t>A 51491-2025</t>
        </is>
      </c>
      <c r="B6426" s="1" t="n">
        <v>45950.63362268519</v>
      </c>
      <c r="C6426" s="1" t="n">
        <v>46045</v>
      </c>
      <c r="D6426" t="inlineStr">
        <is>
          <t>JÄMTLANDS LÄN</t>
        </is>
      </c>
      <c r="E6426" t="inlineStr">
        <is>
          <t>RAGUNDA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1174-2025</t>
        </is>
      </c>
      <c r="B6427" s="1" t="n">
        <v>45667.34418981482</v>
      </c>
      <c r="C6427" s="1" t="n">
        <v>46045</v>
      </c>
      <c r="D6427" t="inlineStr">
        <is>
          <t>JÄMTLANDS LÄN</t>
        </is>
      </c>
      <c r="E6427" t="inlineStr">
        <is>
          <t>BRÄCKE</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51472-2025</t>
        </is>
      </c>
      <c r="B6428" s="1" t="n">
        <v>45950.61744212963</v>
      </c>
      <c r="C6428" s="1" t="n">
        <v>46045</v>
      </c>
      <c r="D6428" t="inlineStr">
        <is>
          <t>JÄMTLANDS LÄN</t>
        </is>
      </c>
      <c r="E6428" t="inlineStr">
        <is>
          <t>KROKOM</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13262-2025</t>
        </is>
      </c>
      <c r="B6429" s="1" t="n">
        <v>45735.53160879629</v>
      </c>
      <c r="C6429" s="1" t="n">
        <v>46045</v>
      </c>
      <c r="D6429" t="inlineStr">
        <is>
          <t>JÄMTLANDS LÄN</t>
        </is>
      </c>
      <c r="E6429" t="inlineStr">
        <is>
          <t>STRÖMSUND</t>
        </is>
      </c>
      <c r="F6429" t="inlineStr">
        <is>
          <t>SCA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13263-2025</t>
        </is>
      </c>
      <c r="B6430" s="1" t="n">
        <v>45735.53177083333</v>
      </c>
      <c r="C6430" s="1" t="n">
        <v>46045</v>
      </c>
      <c r="D6430" t="inlineStr">
        <is>
          <t>JÄMTLANDS LÄN</t>
        </is>
      </c>
      <c r="E6430" t="inlineStr">
        <is>
          <t>RAGUNDA</t>
        </is>
      </c>
      <c r="F6430" t="inlineStr">
        <is>
          <t>SCA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47022-2024</t>
        </is>
      </c>
      <c r="B6431" s="1" t="n">
        <v>45586.40660879629</v>
      </c>
      <c r="C6431" s="1" t="n">
        <v>46045</v>
      </c>
      <c r="D6431" t="inlineStr">
        <is>
          <t>JÄMTLANDS LÄN</t>
        </is>
      </c>
      <c r="E6431" t="inlineStr">
        <is>
          <t>ÖSTERSUND</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23877-2025</t>
        </is>
      </c>
      <c r="B6432" s="1" t="n">
        <v>45793.68469907407</v>
      </c>
      <c r="C6432" s="1" t="n">
        <v>46045</v>
      </c>
      <c r="D6432" t="inlineStr">
        <is>
          <t>JÄMTLANDS LÄN</t>
        </is>
      </c>
      <c r="E6432" t="inlineStr">
        <is>
          <t>ÖSTERSUND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51301-2025</t>
        </is>
      </c>
      <c r="B6433" s="1" t="n">
        <v>45950.36480324074</v>
      </c>
      <c r="C6433" s="1" t="n">
        <v>46045</v>
      </c>
      <c r="D6433" t="inlineStr">
        <is>
          <t>JÄMTLANDS LÄN</t>
        </is>
      </c>
      <c r="E6433" t="inlineStr">
        <is>
          <t>BERG</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37615-2025</t>
        </is>
      </c>
      <c r="B6434" s="1" t="n">
        <v>45880</v>
      </c>
      <c r="C6434" s="1" t="n">
        <v>46045</v>
      </c>
      <c r="D6434" t="inlineStr">
        <is>
          <t>JÄMTLANDS LÄN</t>
        </is>
      </c>
      <c r="E6434" t="inlineStr">
        <is>
          <t>KROKOM</t>
        </is>
      </c>
      <c r="G6434" t="n">
        <v>33.6</v>
      </c>
      <c r="H6434" t="n">
        <v>0</v>
      </c>
      <c r="I6434" t="n">
        <v>0</v>
      </c>
      <c r="J6434" t="n">
        <v>0</v>
      </c>
      <c r="K6434" t="n">
        <v>0</v>
      </c>
      <c r="L6434" t="n">
        <v>0</v>
      </c>
      <c r="M6434" t="n">
        <v>0</v>
      </c>
      <c r="N6434" t="n">
        <v>0</v>
      </c>
      <c r="O6434" t="n">
        <v>0</v>
      </c>
      <c r="P6434" t="n">
        <v>0</v>
      </c>
      <c r="Q6434" t="n">
        <v>0</v>
      </c>
      <c r="R6434" s="2" t="inlineStr"/>
    </row>
    <row r="6435" ht="15" customHeight="1">
      <c r="A6435" t="inlineStr">
        <is>
          <t>A 13276-2025</t>
        </is>
      </c>
      <c r="B6435" s="1" t="n">
        <v>45735.5517824074</v>
      </c>
      <c r="C6435" s="1" t="n">
        <v>46045</v>
      </c>
      <c r="D6435" t="inlineStr">
        <is>
          <t>JÄMTLANDS LÄN</t>
        </is>
      </c>
      <c r="E6435" t="inlineStr">
        <is>
          <t>RAGUNDA</t>
        </is>
      </c>
      <c r="G6435" t="n">
        <v>16.6</v>
      </c>
      <c r="H6435" t="n">
        <v>0</v>
      </c>
      <c r="I6435" t="n">
        <v>0</v>
      </c>
      <c r="J6435" t="n">
        <v>0</v>
      </c>
      <c r="K6435" t="n">
        <v>0</v>
      </c>
      <c r="L6435" t="n">
        <v>0</v>
      </c>
      <c r="M6435" t="n">
        <v>0</v>
      </c>
      <c r="N6435" t="n">
        <v>0</v>
      </c>
      <c r="O6435" t="n">
        <v>0</v>
      </c>
      <c r="P6435" t="n">
        <v>0</v>
      </c>
      <c r="Q6435" t="n">
        <v>0</v>
      </c>
      <c r="R6435" s="2" t="inlineStr"/>
    </row>
    <row r="6436" ht="15" customHeight="1">
      <c r="A6436" t="inlineStr">
        <is>
          <t>A 47069-2024</t>
        </is>
      </c>
      <c r="B6436" s="1" t="n">
        <v>45586.48003472222</v>
      </c>
      <c r="C6436" s="1" t="n">
        <v>46045</v>
      </c>
      <c r="D6436" t="inlineStr">
        <is>
          <t>JÄMTLANDS LÄN</t>
        </is>
      </c>
      <c r="E6436" t="inlineStr">
        <is>
          <t>ÅRE</t>
        </is>
      </c>
      <c r="G6436" t="n">
        <v>7.1</v>
      </c>
      <c r="H6436" t="n">
        <v>0</v>
      </c>
      <c r="I6436" t="n">
        <v>0</v>
      </c>
      <c r="J6436" t="n">
        <v>0</v>
      </c>
      <c r="K6436" t="n">
        <v>0</v>
      </c>
      <c r="L6436" t="n">
        <v>0</v>
      </c>
      <c r="M6436" t="n">
        <v>0</v>
      </c>
      <c r="N6436" t="n">
        <v>0</v>
      </c>
      <c r="O6436" t="n">
        <v>0</v>
      </c>
      <c r="P6436" t="n">
        <v>0</v>
      </c>
      <c r="Q6436" t="n">
        <v>0</v>
      </c>
      <c r="R6436" s="2" t="inlineStr"/>
    </row>
    <row r="6437" ht="15" customHeight="1">
      <c r="A6437" t="inlineStr">
        <is>
          <t>A 24154-2025</t>
        </is>
      </c>
      <c r="B6437" s="1" t="n">
        <v>45796.65685185185</v>
      </c>
      <c r="C6437" s="1" t="n">
        <v>46045</v>
      </c>
      <c r="D6437" t="inlineStr">
        <is>
          <t>JÄMTLANDS LÄN</t>
        </is>
      </c>
      <c r="E6437" t="inlineStr">
        <is>
          <t>BRÄCKE</t>
        </is>
      </c>
      <c r="F6437" t="inlineStr">
        <is>
          <t>SCA</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50994-2025</t>
        </is>
      </c>
      <c r="B6438" s="1" t="n">
        <v>45947.34699074074</v>
      </c>
      <c r="C6438" s="1" t="n">
        <v>46045</v>
      </c>
      <c r="D6438" t="inlineStr">
        <is>
          <t>JÄMTLANDS LÄN</t>
        </is>
      </c>
      <c r="E6438" t="inlineStr">
        <is>
          <t>STRÖMSUND</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23766-2025</t>
        </is>
      </c>
      <c r="B6439" s="1" t="n">
        <v>45793.46954861111</v>
      </c>
      <c r="C6439" s="1" t="n">
        <v>46045</v>
      </c>
      <c r="D6439" t="inlineStr">
        <is>
          <t>JÄMTLANDS LÄN</t>
        </is>
      </c>
      <c r="E6439" t="inlineStr">
        <is>
          <t>BERG</t>
        </is>
      </c>
      <c r="F6439" t="inlineStr">
        <is>
          <t>Sveaskog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51005-2025</t>
        </is>
      </c>
      <c r="B6440" s="1" t="n">
        <v>45947.36519675926</v>
      </c>
      <c r="C6440" s="1" t="n">
        <v>46045</v>
      </c>
      <c r="D6440" t="inlineStr">
        <is>
          <t>JÄMTLANDS LÄN</t>
        </is>
      </c>
      <c r="E6440" t="inlineStr">
        <is>
          <t>STRÖMSUND</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29323-2023</t>
        </is>
      </c>
      <c r="B6441" s="1" t="n">
        <v>45105</v>
      </c>
      <c r="C6441" s="1" t="n">
        <v>46045</v>
      </c>
      <c r="D6441" t="inlineStr">
        <is>
          <t>JÄMTLANDS LÄN</t>
        </is>
      </c>
      <c r="E6441" t="inlineStr">
        <is>
          <t>BRÄCKE</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51083-2025</t>
        </is>
      </c>
      <c r="B6442" s="1" t="n">
        <v>45947.4678587963</v>
      </c>
      <c r="C6442" s="1" t="n">
        <v>46045</v>
      </c>
      <c r="D6442" t="inlineStr">
        <is>
          <t>JÄMTLANDS LÄN</t>
        </is>
      </c>
      <c r="E6442" t="inlineStr">
        <is>
          <t>BERG</t>
        </is>
      </c>
      <c r="F6442" t="inlineStr">
        <is>
          <t>Övriga Aktiebolag</t>
        </is>
      </c>
      <c r="G6442" t="n">
        <v>10.4</v>
      </c>
      <c r="H6442" t="n">
        <v>0</v>
      </c>
      <c r="I6442" t="n">
        <v>0</v>
      </c>
      <c r="J6442" t="n">
        <v>0</v>
      </c>
      <c r="K6442" t="n">
        <v>0</v>
      </c>
      <c r="L6442" t="n">
        <v>0</v>
      </c>
      <c r="M6442" t="n">
        <v>0</v>
      </c>
      <c r="N6442" t="n">
        <v>0</v>
      </c>
      <c r="O6442" t="n">
        <v>0</v>
      </c>
      <c r="P6442" t="n">
        <v>0</v>
      </c>
      <c r="Q6442" t="n">
        <v>0</v>
      </c>
      <c r="R6442" s="2" t="inlineStr"/>
    </row>
    <row r="6443" ht="15" customHeight="1">
      <c r="A6443" t="inlineStr">
        <is>
          <t>A 51373-2025</t>
        </is>
      </c>
      <c r="B6443" s="1" t="n">
        <v>45950.44868055556</v>
      </c>
      <c r="C6443" s="1" t="n">
        <v>46045</v>
      </c>
      <c r="D6443" t="inlineStr">
        <is>
          <t>JÄMTLANDS LÄN</t>
        </is>
      </c>
      <c r="E6443" t="inlineStr">
        <is>
          <t>STRÖMSUND</t>
        </is>
      </c>
      <c r="F6443" t="inlineStr">
        <is>
          <t>SCA</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30175-2025</t>
        </is>
      </c>
      <c r="B6444" s="1" t="n">
        <v>45827.34488425926</v>
      </c>
      <c r="C6444" s="1" t="n">
        <v>46045</v>
      </c>
      <c r="D6444" t="inlineStr">
        <is>
          <t>JÄMTLANDS LÄN</t>
        </is>
      </c>
      <c r="E6444" t="inlineStr">
        <is>
          <t>KROKOM</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5998-2025</t>
        </is>
      </c>
      <c r="B6445" s="1" t="n">
        <v>45695.57171296296</v>
      </c>
      <c r="C6445" s="1" t="n">
        <v>46045</v>
      </c>
      <c r="D6445" t="inlineStr">
        <is>
          <t>JÄMTLANDS LÄN</t>
        </is>
      </c>
      <c r="E6445" t="inlineStr">
        <is>
          <t>KROKOM</t>
        </is>
      </c>
      <c r="F6445" t="inlineStr">
        <is>
          <t>Övriga Aktiebolag</t>
        </is>
      </c>
      <c r="G6445" t="n">
        <v>8.800000000000001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24159-2025</t>
        </is>
      </c>
      <c r="B6446" s="1" t="n">
        <v>45796</v>
      </c>
      <c r="C6446" s="1" t="n">
        <v>46045</v>
      </c>
      <c r="D6446" t="inlineStr">
        <is>
          <t>JÄMTLANDS LÄN</t>
        </is>
      </c>
      <c r="E6446" t="inlineStr">
        <is>
          <t>RAGUNDA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23474-2024</t>
        </is>
      </c>
      <c r="B6447" s="1" t="n">
        <v>45453.6672800926</v>
      </c>
      <c r="C6447" s="1" t="n">
        <v>46045</v>
      </c>
      <c r="D6447" t="inlineStr">
        <is>
          <t>JÄMTLANDS LÄN</t>
        </is>
      </c>
      <c r="E6447" t="inlineStr">
        <is>
          <t>HÄRJEDALEN</t>
        </is>
      </c>
      <c r="G6447" t="n">
        <v>8.5</v>
      </c>
      <c r="H6447" t="n">
        <v>0</v>
      </c>
      <c r="I6447" t="n">
        <v>0</v>
      </c>
      <c r="J6447" t="n">
        <v>0</v>
      </c>
      <c r="K6447" t="n">
        <v>0</v>
      </c>
      <c r="L6447" t="n">
        <v>0</v>
      </c>
      <c r="M6447" t="n">
        <v>0</v>
      </c>
      <c r="N6447" t="n">
        <v>0</v>
      </c>
      <c r="O6447" t="n">
        <v>0</v>
      </c>
      <c r="P6447" t="n">
        <v>0</v>
      </c>
      <c r="Q6447" t="n">
        <v>0</v>
      </c>
      <c r="R6447" s="2" t="inlineStr"/>
    </row>
    <row r="6448" ht="15" customHeight="1">
      <c r="A6448" t="inlineStr">
        <is>
          <t>A 22477-2023</t>
        </is>
      </c>
      <c r="B6448" s="1" t="n">
        <v>45070</v>
      </c>
      <c r="C6448" s="1" t="n">
        <v>46045</v>
      </c>
      <c r="D6448" t="inlineStr">
        <is>
          <t>JÄMTLANDS LÄN</t>
        </is>
      </c>
      <c r="E6448" t="inlineStr">
        <is>
          <t>STRÖMSUND</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51080-2025</t>
        </is>
      </c>
      <c r="B6449" s="1" t="n">
        <v>45947.46655092593</v>
      </c>
      <c r="C6449" s="1" t="n">
        <v>46045</v>
      </c>
      <c r="D6449" t="inlineStr">
        <is>
          <t>JÄMTLANDS LÄN</t>
        </is>
      </c>
      <c r="E6449" t="inlineStr">
        <is>
          <t>BERG</t>
        </is>
      </c>
      <c r="F6449" t="inlineStr">
        <is>
          <t>Övriga Aktiebolag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13898-2025</t>
        </is>
      </c>
      <c r="B6450" s="1" t="n">
        <v>45737</v>
      </c>
      <c r="C6450" s="1" t="n">
        <v>46045</v>
      </c>
      <c r="D6450" t="inlineStr">
        <is>
          <t>JÄMTLANDS LÄN</t>
        </is>
      </c>
      <c r="E6450" t="inlineStr">
        <is>
          <t>STRÖMSUND</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21524-2024</t>
        </is>
      </c>
      <c r="B6451" s="1" t="n">
        <v>45441</v>
      </c>
      <c r="C6451" s="1" t="n">
        <v>46045</v>
      </c>
      <c r="D6451" t="inlineStr">
        <is>
          <t>JÄMTLANDS LÄN</t>
        </is>
      </c>
      <c r="E6451" t="inlineStr">
        <is>
          <t>RAGUNDA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59698-2025</t>
        </is>
      </c>
      <c r="B6452" s="1" t="n">
        <v>45992.49357638889</v>
      </c>
      <c r="C6452" s="1" t="n">
        <v>46045</v>
      </c>
      <c r="D6452" t="inlineStr">
        <is>
          <t>JÄMTLANDS LÄN</t>
        </is>
      </c>
      <c r="E6452" t="inlineStr">
        <is>
          <t>ÅRE</t>
        </is>
      </c>
      <c r="F6452" t="inlineStr">
        <is>
          <t>Övriga Aktiebolag</t>
        </is>
      </c>
      <c r="G6452" t="n">
        <v>9.800000000000001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6049-2025</t>
        </is>
      </c>
      <c r="B6453" s="1" t="n">
        <v>45695</v>
      </c>
      <c r="C6453" s="1" t="n">
        <v>46045</v>
      </c>
      <c r="D6453" t="inlineStr">
        <is>
          <t>JÄMTLANDS LÄN</t>
        </is>
      </c>
      <c r="E6453" t="inlineStr">
        <is>
          <t>ÅRE</t>
        </is>
      </c>
      <c r="G6453" t="n">
        <v>58.3</v>
      </c>
      <c r="H6453" t="n">
        <v>0</v>
      </c>
      <c r="I6453" t="n">
        <v>0</v>
      </c>
      <c r="J6453" t="n">
        <v>0</v>
      </c>
      <c r="K6453" t="n">
        <v>0</v>
      </c>
      <c r="L6453" t="n">
        <v>0</v>
      </c>
      <c r="M6453" t="n">
        <v>0</v>
      </c>
      <c r="N6453" t="n">
        <v>0</v>
      </c>
      <c r="O6453" t="n">
        <v>0</v>
      </c>
      <c r="P6453" t="n">
        <v>0</v>
      </c>
      <c r="Q6453" t="n">
        <v>0</v>
      </c>
      <c r="R6453" s="2" t="inlineStr"/>
    </row>
    <row r="6454" ht="15" customHeight="1">
      <c r="A6454" t="inlineStr">
        <is>
          <t>A 13301-2024</t>
        </is>
      </c>
      <c r="B6454" s="1" t="n">
        <v>45386</v>
      </c>
      <c r="C6454" s="1" t="n">
        <v>46045</v>
      </c>
      <c r="D6454" t="inlineStr">
        <is>
          <t>JÄMTLANDS LÄN</t>
        </is>
      </c>
      <c r="E6454" t="inlineStr">
        <is>
          <t>ÅRE</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18775-2024</t>
        </is>
      </c>
      <c r="B6455" s="1" t="n">
        <v>45426</v>
      </c>
      <c r="C6455" s="1" t="n">
        <v>46045</v>
      </c>
      <c r="D6455" t="inlineStr">
        <is>
          <t>JÄMTLANDS LÄN</t>
        </is>
      </c>
      <c r="E6455" t="inlineStr">
        <is>
          <t>BERG</t>
        </is>
      </c>
      <c r="G6455" t="n">
        <v>13.9</v>
      </c>
      <c r="H6455" t="n">
        <v>0</v>
      </c>
      <c r="I6455" t="n">
        <v>0</v>
      </c>
      <c r="J6455" t="n">
        <v>0</v>
      </c>
      <c r="K6455" t="n">
        <v>0</v>
      </c>
      <c r="L6455" t="n">
        <v>0</v>
      </c>
      <c r="M6455" t="n">
        <v>0</v>
      </c>
      <c r="N6455" t="n">
        <v>0</v>
      </c>
      <c r="O6455" t="n">
        <v>0</v>
      </c>
      <c r="P6455" t="n">
        <v>0</v>
      </c>
      <c r="Q6455" t="n">
        <v>0</v>
      </c>
      <c r="R6455" s="2" t="inlineStr"/>
    </row>
    <row r="6456" ht="15" customHeight="1">
      <c r="A6456" t="inlineStr">
        <is>
          <t>A 50990-2025</t>
        </is>
      </c>
      <c r="B6456" s="1" t="n">
        <v>45947.34591435185</v>
      </c>
      <c r="C6456" s="1" t="n">
        <v>46045</v>
      </c>
      <c r="D6456" t="inlineStr">
        <is>
          <t>JÄMTLANDS LÄN</t>
        </is>
      </c>
      <c r="E6456" t="inlineStr">
        <is>
          <t>KROKOM</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51260-2025</t>
        </is>
      </c>
      <c r="B6457" s="1" t="n">
        <v>45949.4590625</v>
      </c>
      <c r="C6457" s="1" t="n">
        <v>46045</v>
      </c>
      <c r="D6457" t="inlineStr">
        <is>
          <t>JÄMTLANDS LÄN</t>
        </is>
      </c>
      <c r="E6457" t="inlineStr">
        <is>
          <t>STRÖMSUND</t>
        </is>
      </c>
      <c r="F6457" t="inlineStr">
        <is>
          <t>Holmen skog AB</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22346-2023</t>
        </is>
      </c>
      <c r="B6458" s="1" t="n">
        <v>45070.57097222222</v>
      </c>
      <c r="C6458" s="1" t="n">
        <v>46045</v>
      </c>
      <c r="D6458" t="inlineStr">
        <is>
          <t>JÄMTLANDS LÄN</t>
        </is>
      </c>
      <c r="E6458" t="inlineStr">
        <is>
          <t>STRÖMSUND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24307-2023</t>
        </is>
      </c>
      <c r="B6459" s="1" t="n">
        <v>45079.94229166667</v>
      </c>
      <c r="C6459" s="1" t="n">
        <v>46045</v>
      </c>
      <c r="D6459" t="inlineStr">
        <is>
          <t>JÄMTLANDS LÄN</t>
        </is>
      </c>
      <c r="E6459" t="inlineStr">
        <is>
          <t>BERG</t>
        </is>
      </c>
      <c r="F6459" t="inlineStr">
        <is>
          <t>SCA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57149-2023</t>
        </is>
      </c>
      <c r="B6460" s="1" t="n">
        <v>45245</v>
      </c>
      <c r="C6460" s="1" t="n">
        <v>46045</v>
      </c>
      <c r="D6460" t="inlineStr">
        <is>
          <t>JÄMTLANDS LÄN</t>
        </is>
      </c>
      <c r="E6460" t="inlineStr">
        <is>
          <t>KROKOM</t>
        </is>
      </c>
      <c r="F6460" t="inlineStr">
        <is>
          <t>Övriga Aktiebolag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51082-2025</t>
        </is>
      </c>
      <c r="B6461" s="1" t="n">
        <v>45947</v>
      </c>
      <c r="C6461" s="1" t="n">
        <v>46045</v>
      </c>
      <c r="D6461" t="inlineStr">
        <is>
          <t>JÄMTLANDS LÄN</t>
        </is>
      </c>
      <c r="E6461" t="inlineStr">
        <is>
          <t>HÄRJEDALEN</t>
        </is>
      </c>
      <c r="F6461" t="inlineStr">
        <is>
          <t>Bergvik skog väst AB</t>
        </is>
      </c>
      <c r="G6461" t="n">
        <v>26.4</v>
      </c>
      <c r="H6461" t="n">
        <v>0</v>
      </c>
      <c r="I6461" t="n">
        <v>0</v>
      </c>
      <c r="J6461" t="n">
        <v>0</v>
      </c>
      <c r="K6461" t="n">
        <v>0</v>
      </c>
      <c r="L6461" t="n">
        <v>0</v>
      </c>
      <c r="M6461" t="n">
        <v>0</v>
      </c>
      <c r="N6461" t="n">
        <v>0</v>
      </c>
      <c r="O6461" t="n">
        <v>0</v>
      </c>
      <c r="P6461" t="n">
        <v>0</v>
      </c>
      <c r="Q6461" t="n">
        <v>0</v>
      </c>
      <c r="R6461" s="2" t="inlineStr"/>
    </row>
    <row r="6462" ht="15" customHeight="1">
      <c r="A6462" t="inlineStr">
        <is>
          <t>A 24456-2025</t>
        </is>
      </c>
      <c r="B6462" s="1" t="n">
        <v>45798.34450231482</v>
      </c>
      <c r="C6462" s="1" t="n">
        <v>46045</v>
      </c>
      <c r="D6462" t="inlineStr">
        <is>
          <t>JÄMTLANDS LÄN</t>
        </is>
      </c>
      <c r="E6462" t="inlineStr">
        <is>
          <t>BRÄCKE</t>
        </is>
      </c>
      <c r="F6462" t="inlineStr">
        <is>
          <t>SCA</t>
        </is>
      </c>
      <c r="G6462" t="n">
        <v>9.300000000000001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24436-2025</t>
        </is>
      </c>
      <c r="B6463" s="1" t="n">
        <v>45797.7922337963</v>
      </c>
      <c r="C6463" s="1" t="n">
        <v>46045</v>
      </c>
      <c r="D6463" t="inlineStr">
        <is>
          <t>JÄMTLANDS LÄN</t>
        </is>
      </c>
      <c r="E6463" t="inlineStr">
        <is>
          <t>BRÄCKE</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12392-2025</t>
        </is>
      </c>
      <c r="B6464" s="1" t="n">
        <v>45730.40104166666</v>
      </c>
      <c r="C6464" s="1" t="n">
        <v>46045</v>
      </c>
      <c r="D6464" t="inlineStr">
        <is>
          <t>JÄMTLANDS LÄN</t>
        </is>
      </c>
      <c r="E6464" t="inlineStr">
        <is>
          <t>BERG</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12405-2025</t>
        </is>
      </c>
      <c r="B6465" s="1" t="n">
        <v>45730.42738425926</v>
      </c>
      <c r="C6465" s="1" t="n">
        <v>46045</v>
      </c>
      <c r="D6465" t="inlineStr">
        <is>
          <t>JÄMTLANDS LÄN</t>
        </is>
      </c>
      <c r="E6465" t="inlineStr">
        <is>
          <t>RAGUNDA</t>
        </is>
      </c>
      <c r="F6465" t="inlineStr">
        <is>
          <t>SCA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12808-2025</t>
        </is>
      </c>
      <c r="B6466" s="1" t="n">
        <v>45733.61554398148</v>
      </c>
      <c r="C6466" s="1" t="n">
        <v>46045</v>
      </c>
      <c r="D6466" t="inlineStr">
        <is>
          <t>JÄMTLANDS LÄN</t>
        </is>
      </c>
      <c r="E6466" t="inlineStr">
        <is>
          <t>RAGUNDA</t>
        </is>
      </c>
      <c r="F6466" t="inlineStr">
        <is>
          <t>SCA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18953-2025</t>
        </is>
      </c>
      <c r="B6467" s="1" t="n">
        <v>45764</v>
      </c>
      <c r="C6467" s="1" t="n">
        <v>46045</v>
      </c>
      <c r="D6467" t="inlineStr">
        <is>
          <t>JÄMTLANDS LÄN</t>
        </is>
      </c>
      <c r="E6467" t="inlineStr">
        <is>
          <t>HÄRJEDALEN</t>
        </is>
      </c>
      <c r="G6467" t="n">
        <v>14.3</v>
      </c>
      <c r="H6467" t="n">
        <v>0</v>
      </c>
      <c r="I6467" t="n">
        <v>0</v>
      </c>
      <c r="J6467" t="n">
        <v>0</v>
      </c>
      <c r="K6467" t="n">
        <v>0</v>
      </c>
      <c r="L6467" t="n">
        <v>0</v>
      </c>
      <c r="M6467" t="n">
        <v>0</v>
      </c>
      <c r="N6467" t="n">
        <v>0</v>
      </c>
      <c r="O6467" t="n">
        <v>0</v>
      </c>
      <c r="P6467" t="n">
        <v>0</v>
      </c>
      <c r="Q6467" t="n">
        <v>0</v>
      </c>
      <c r="R6467" s="2" t="inlineStr"/>
    </row>
    <row r="6468" ht="15" customHeight="1">
      <c r="A6468" t="inlineStr">
        <is>
          <t>A 24360-2025</t>
        </is>
      </c>
      <c r="B6468" s="1" t="n">
        <v>45797.59502314815</v>
      </c>
      <c r="C6468" s="1" t="n">
        <v>46045</v>
      </c>
      <c r="D6468" t="inlineStr">
        <is>
          <t>JÄMTLANDS LÄN</t>
        </is>
      </c>
      <c r="E6468" t="inlineStr">
        <is>
          <t>BERG</t>
        </is>
      </c>
      <c r="F6468" t="inlineStr">
        <is>
          <t>SCA</t>
        </is>
      </c>
      <c r="G6468" t="n">
        <v>10.5</v>
      </c>
      <c r="H6468" t="n">
        <v>0</v>
      </c>
      <c r="I6468" t="n">
        <v>0</v>
      </c>
      <c r="J6468" t="n">
        <v>0</v>
      </c>
      <c r="K6468" t="n">
        <v>0</v>
      </c>
      <c r="L6468" t="n">
        <v>0</v>
      </c>
      <c r="M6468" t="n">
        <v>0</v>
      </c>
      <c r="N6468" t="n">
        <v>0</v>
      </c>
      <c r="O6468" t="n">
        <v>0</v>
      </c>
      <c r="P6468" t="n">
        <v>0</v>
      </c>
      <c r="Q6468" t="n">
        <v>0</v>
      </c>
      <c r="R6468" s="2" t="inlineStr"/>
    </row>
    <row r="6469" ht="15" customHeight="1">
      <c r="A6469" t="inlineStr">
        <is>
          <t>A 24236-2025</t>
        </is>
      </c>
      <c r="B6469" s="1" t="n">
        <v>45797.38586805556</v>
      </c>
      <c r="C6469" s="1" t="n">
        <v>46045</v>
      </c>
      <c r="D6469" t="inlineStr">
        <is>
          <t>JÄMTLANDS LÄN</t>
        </is>
      </c>
      <c r="E6469" t="inlineStr">
        <is>
          <t>BRÄCKE</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51346-2025</t>
        </is>
      </c>
      <c r="B6470" s="1" t="n">
        <v>45947</v>
      </c>
      <c r="C6470" s="1" t="n">
        <v>46045</v>
      </c>
      <c r="D6470" t="inlineStr">
        <is>
          <t>JÄMTLANDS LÄN</t>
        </is>
      </c>
      <c r="E6470" t="inlineStr">
        <is>
          <t>STRÖMSUND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24324-2025</t>
        </is>
      </c>
      <c r="B6471" s="1" t="n">
        <v>45797.56049768518</v>
      </c>
      <c r="C6471" s="1" t="n">
        <v>46045</v>
      </c>
      <c r="D6471" t="inlineStr">
        <is>
          <t>JÄMTLANDS LÄN</t>
        </is>
      </c>
      <c r="E6471" t="inlineStr">
        <is>
          <t>BERG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24390-2025</t>
        </is>
      </c>
      <c r="B6472" s="1" t="n">
        <v>45797.63576388889</v>
      </c>
      <c r="C6472" s="1" t="n">
        <v>46045</v>
      </c>
      <c r="D6472" t="inlineStr">
        <is>
          <t>JÄMTLANDS LÄN</t>
        </is>
      </c>
      <c r="E6472" t="inlineStr">
        <is>
          <t>BERG</t>
        </is>
      </c>
      <c r="F6472" t="inlineStr">
        <is>
          <t>SCA</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24403-2025</t>
        </is>
      </c>
      <c r="B6473" s="1" t="n">
        <v>45797.65025462963</v>
      </c>
      <c r="C6473" s="1" t="n">
        <v>46045</v>
      </c>
      <c r="D6473" t="inlineStr">
        <is>
          <t>JÄMTLANDS LÄN</t>
        </is>
      </c>
      <c r="E6473" t="inlineStr">
        <is>
          <t>ÖSTERSUND</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24316-2025</t>
        </is>
      </c>
      <c r="B6474" s="1" t="n">
        <v>45797.53180555555</v>
      </c>
      <c r="C6474" s="1" t="n">
        <v>46045</v>
      </c>
      <c r="D6474" t="inlineStr">
        <is>
          <t>JÄMTLANDS LÄN</t>
        </is>
      </c>
      <c r="E6474" t="inlineStr">
        <is>
          <t>STRÖMSUND</t>
        </is>
      </c>
      <c r="F6474" t="inlineStr">
        <is>
          <t>SCA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33223-2021</t>
        </is>
      </c>
      <c r="B6475" s="1" t="n">
        <v>44376.93822916667</v>
      </c>
      <c r="C6475" s="1" t="n">
        <v>46045</v>
      </c>
      <c r="D6475" t="inlineStr">
        <is>
          <t>JÄMTLANDS LÄN</t>
        </is>
      </c>
      <c r="E6475" t="inlineStr">
        <is>
          <t>STRÖMSUND</t>
        </is>
      </c>
      <c r="F6475" t="inlineStr">
        <is>
          <t>SCA</t>
        </is>
      </c>
      <c r="G6475" t="n">
        <v>17.8</v>
      </c>
      <c r="H6475" t="n">
        <v>0</v>
      </c>
      <c r="I6475" t="n">
        <v>0</v>
      </c>
      <c r="J6475" t="n">
        <v>0</v>
      </c>
      <c r="K6475" t="n">
        <v>0</v>
      </c>
      <c r="L6475" t="n">
        <v>0</v>
      </c>
      <c r="M6475" t="n">
        <v>0</v>
      </c>
      <c r="N6475" t="n">
        <v>0</v>
      </c>
      <c r="O6475" t="n">
        <v>0</v>
      </c>
      <c r="P6475" t="n">
        <v>0</v>
      </c>
      <c r="Q6475" t="n">
        <v>0</v>
      </c>
      <c r="R6475" s="2" t="inlineStr"/>
    </row>
    <row r="6476" ht="15" customHeight="1">
      <c r="A6476" t="inlineStr">
        <is>
          <t>A 24336-2025</t>
        </is>
      </c>
      <c r="B6476" s="1" t="n">
        <v>45797.57349537037</v>
      </c>
      <c r="C6476" s="1" t="n">
        <v>46045</v>
      </c>
      <c r="D6476" t="inlineStr">
        <is>
          <t>JÄMTLANDS LÄN</t>
        </is>
      </c>
      <c r="E6476" t="inlineStr">
        <is>
          <t>STRÖMSUND</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24454-2025</t>
        </is>
      </c>
      <c r="B6477" s="1" t="n">
        <v>45798.34436342592</v>
      </c>
      <c r="C6477" s="1" t="n">
        <v>46045</v>
      </c>
      <c r="D6477" t="inlineStr">
        <is>
          <t>JÄMTLANDS LÄN</t>
        </is>
      </c>
      <c r="E6477" t="inlineStr">
        <is>
          <t>BRÄCKE</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51702-2025</t>
        </is>
      </c>
      <c r="B6478" s="1" t="n">
        <v>45951.55305555555</v>
      </c>
      <c r="C6478" s="1" t="n">
        <v>46045</v>
      </c>
      <c r="D6478" t="inlineStr">
        <is>
          <t>JÄMTLANDS LÄN</t>
        </is>
      </c>
      <c r="E6478" t="inlineStr">
        <is>
          <t>RAGUNDA</t>
        </is>
      </c>
      <c r="G6478" t="n">
        <v>11.4</v>
      </c>
      <c r="H6478" t="n">
        <v>0</v>
      </c>
      <c r="I6478" t="n">
        <v>0</v>
      </c>
      <c r="J6478" t="n">
        <v>0</v>
      </c>
      <c r="K6478" t="n">
        <v>0</v>
      </c>
      <c r="L6478" t="n">
        <v>0</v>
      </c>
      <c r="M6478" t="n">
        <v>0</v>
      </c>
      <c r="N6478" t="n">
        <v>0</v>
      </c>
      <c r="O6478" t="n">
        <v>0</v>
      </c>
      <c r="P6478" t="n">
        <v>0</v>
      </c>
      <c r="Q6478" t="n">
        <v>0</v>
      </c>
      <c r="R6478" s="2" t="inlineStr"/>
    </row>
    <row r="6479" ht="15" customHeight="1">
      <c r="A6479" t="inlineStr">
        <is>
          <t>A 46546-2023</t>
        </is>
      </c>
      <c r="B6479" s="1" t="n">
        <v>45197.94152777778</v>
      </c>
      <c r="C6479" s="1" t="n">
        <v>46045</v>
      </c>
      <c r="D6479" t="inlineStr">
        <is>
          <t>JÄMTLANDS LÄN</t>
        </is>
      </c>
      <c r="E6479" t="inlineStr">
        <is>
          <t>RAGUNDA</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51619-2025</t>
        </is>
      </c>
      <c r="B6480" s="1" t="n">
        <v>45951.41025462963</v>
      </c>
      <c r="C6480" s="1" t="n">
        <v>46045</v>
      </c>
      <c r="D6480" t="inlineStr">
        <is>
          <t>JÄMTLANDS LÄN</t>
        </is>
      </c>
      <c r="E6480" t="inlineStr">
        <is>
          <t>BRÄCKE</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51625-2025</t>
        </is>
      </c>
      <c r="B6481" s="1" t="n">
        <v>45951.41704861111</v>
      </c>
      <c r="C6481" s="1" t="n">
        <v>46045</v>
      </c>
      <c r="D6481" t="inlineStr">
        <is>
          <t>JÄMTLANDS LÄN</t>
        </is>
      </c>
      <c r="E6481" t="inlineStr">
        <is>
          <t>BRÄCKE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23752-2023</t>
        </is>
      </c>
      <c r="B6482" s="1" t="n">
        <v>45077.92935185185</v>
      </c>
      <c r="C6482" s="1" t="n">
        <v>46045</v>
      </c>
      <c r="D6482" t="inlineStr">
        <is>
          <t>JÄMTLANDS LÄN</t>
        </is>
      </c>
      <c r="E6482" t="inlineStr">
        <is>
          <t>BRÄCKE</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2510-2025</t>
        </is>
      </c>
      <c r="B6483" s="1" t="n">
        <v>45674.57393518519</v>
      </c>
      <c r="C6483" s="1" t="n">
        <v>46045</v>
      </c>
      <c r="D6483" t="inlineStr">
        <is>
          <t>JÄMTLANDS LÄN</t>
        </is>
      </c>
      <c r="E6483" t="inlineStr">
        <is>
          <t>HÄRJEDALEN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6716-2025</t>
        </is>
      </c>
      <c r="B6484" s="1" t="n">
        <v>45700.57324074074</v>
      </c>
      <c r="C6484" s="1" t="n">
        <v>46045</v>
      </c>
      <c r="D6484" t="inlineStr">
        <is>
          <t>JÄMTLANDS LÄN</t>
        </is>
      </c>
      <c r="E6484" t="inlineStr">
        <is>
          <t>RAGUNDA</t>
        </is>
      </c>
      <c r="F6484" t="inlineStr">
        <is>
          <t>SCA</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24523-2025</t>
        </is>
      </c>
      <c r="B6485" s="1" t="n">
        <v>45798.42108796296</v>
      </c>
      <c r="C6485" s="1" t="n">
        <v>46045</v>
      </c>
      <c r="D6485" t="inlineStr">
        <is>
          <t>JÄMTLANDS LÄN</t>
        </is>
      </c>
      <c r="E6485" t="inlineStr">
        <is>
          <t>ÖSTERSUND</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7941-2025</t>
        </is>
      </c>
      <c r="B6486" s="1" t="n">
        <v>45707</v>
      </c>
      <c r="C6486" s="1" t="n">
        <v>46045</v>
      </c>
      <c r="D6486" t="inlineStr">
        <is>
          <t>JÄMTLANDS LÄN</t>
        </is>
      </c>
      <c r="E6486" t="inlineStr">
        <is>
          <t>ÖSTERSUND</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51678-2025</t>
        </is>
      </c>
      <c r="B6487" s="1" t="n">
        <v>45951.51106481482</v>
      </c>
      <c r="C6487" s="1" t="n">
        <v>46045</v>
      </c>
      <c r="D6487" t="inlineStr">
        <is>
          <t>JÄMTLANDS LÄN</t>
        </is>
      </c>
      <c r="E6487" t="inlineStr">
        <is>
          <t>RAGUNDA</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62225-2022</t>
        </is>
      </c>
      <c r="B6488" s="1" t="n">
        <v>44922</v>
      </c>
      <c r="C6488" s="1" t="n">
        <v>46045</v>
      </c>
      <c r="D6488" t="inlineStr">
        <is>
          <t>JÄMTLANDS LÄN</t>
        </is>
      </c>
      <c r="E6488" t="inlineStr">
        <is>
          <t>ÖSTERSUND</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51869-2025</t>
        </is>
      </c>
      <c r="B6489" s="1" t="n">
        <v>45952.38428240741</v>
      </c>
      <c r="C6489" s="1" t="n">
        <v>46045</v>
      </c>
      <c r="D6489" t="inlineStr">
        <is>
          <t>JÄMTLANDS LÄN</t>
        </is>
      </c>
      <c r="E6489" t="inlineStr">
        <is>
          <t>STRÖMSUND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52128-2025</t>
        </is>
      </c>
      <c r="B6490" s="1" t="n">
        <v>45952.72754629629</v>
      </c>
      <c r="C6490" s="1" t="n">
        <v>46045</v>
      </c>
      <c r="D6490" t="inlineStr">
        <is>
          <t>JÄMTLANDS LÄN</t>
        </is>
      </c>
      <c r="E6490" t="inlineStr">
        <is>
          <t>BERG</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30823-2023</t>
        </is>
      </c>
      <c r="B6491" s="1" t="n">
        <v>45112</v>
      </c>
      <c r="C6491" s="1" t="n">
        <v>46045</v>
      </c>
      <c r="D6491" t="inlineStr">
        <is>
          <t>JÄMTLANDS LÄN</t>
        </is>
      </c>
      <c r="E6491" t="inlineStr">
        <is>
          <t>RAGUNDA</t>
        </is>
      </c>
      <c r="F6491" t="inlineStr">
        <is>
          <t>SCA</t>
        </is>
      </c>
      <c r="G6491" t="n">
        <v>9</v>
      </c>
      <c r="H6491" t="n">
        <v>0</v>
      </c>
      <c r="I6491" t="n">
        <v>0</v>
      </c>
      <c r="J6491" t="n">
        <v>0</v>
      </c>
      <c r="K6491" t="n">
        <v>0</v>
      </c>
      <c r="L6491" t="n">
        <v>0</v>
      </c>
      <c r="M6491" t="n">
        <v>0</v>
      </c>
      <c r="N6491" t="n">
        <v>0</v>
      </c>
      <c r="O6491" t="n">
        <v>0</v>
      </c>
      <c r="P6491" t="n">
        <v>0</v>
      </c>
      <c r="Q6491" t="n">
        <v>0</v>
      </c>
      <c r="R6491" s="2" t="inlineStr"/>
    </row>
    <row r="6492" ht="15" customHeight="1">
      <c r="A6492" t="inlineStr">
        <is>
          <t>A 30832-2023</t>
        </is>
      </c>
      <c r="B6492" s="1" t="n">
        <v>45112</v>
      </c>
      <c r="C6492" s="1" t="n">
        <v>46045</v>
      </c>
      <c r="D6492" t="inlineStr">
        <is>
          <t>JÄMTLANDS LÄN</t>
        </is>
      </c>
      <c r="E6492" t="inlineStr">
        <is>
          <t>STRÖMSUND</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51906-2025</t>
        </is>
      </c>
      <c r="B6493" s="1" t="n">
        <v>45952.4615162037</v>
      </c>
      <c r="C6493" s="1" t="n">
        <v>46045</v>
      </c>
      <c r="D6493" t="inlineStr">
        <is>
          <t>JÄMTLANDS LÄN</t>
        </is>
      </c>
      <c r="E6493" t="inlineStr">
        <is>
          <t>RAGUNDA</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52003-2025</t>
        </is>
      </c>
      <c r="B6494" s="1" t="n">
        <v>45952.5909375</v>
      </c>
      <c r="C6494" s="1" t="n">
        <v>46045</v>
      </c>
      <c r="D6494" t="inlineStr">
        <is>
          <t>JÄMTLANDS LÄN</t>
        </is>
      </c>
      <c r="E6494" t="inlineStr">
        <is>
          <t>ÖSTERSUND</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52015-2025</t>
        </is>
      </c>
      <c r="B6495" s="1" t="n">
        <v>45952.59693287037</v>
      </c>
      <c r="C6495" s="1" t="n">
        <v>46045</v>
      </c>
      <c r="D6495" t="inlineStr">
        <is>
          <t>JÄMTLANDS LÄN</t>
        </is>
      </c>
      <c r="E6495" t="inlineStr">
        <is>
          <t>HÄRJEDALEN</t>
        </is>
      </c>
      <c r="F6495" t="inlineStr">
        <is>
          <t>Holmen skog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16626-2025</t>
        </is>
      </c>
      <c r="B6496" s="1" t="n">
        <v>45754.35055555555</v>
      </c>
      <c r="C6496" s="1" t="n">
        <v>46045</v>
      </c>
      <c r="D6496" t="inlineStr">
        <is>
          <t>JÄMTLANDS LÄN</t>
        </is>
      </c>
      <c r="E6496" t="inlineStr">
        <is>
          <t>HÄRJEDALEN</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44444-2022</t>
        </is>
      </c>
      <c r="B6497" s="1" t="n">
        <v>44839.95474537037</v>
      </c>
      <c r="C6497" s="1" t="n">
        <v>46045</v>
      </c>
      <c r="D6497" t="inlineStr">
        <is>
          <t>JÄMTLANDS LÄN</t>
        </is>
      </c>
      <c r="E6497" t="inlineStr">
        <is>
          <t>BRÄCKE</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6185-2025</t>
        </is>
      </c>
      <c r="B6498" s="1" t="n">
        <v>45698.45653935185</v>
      </c>
      <c r="C6498" s="1" t="n">
        <v>46045</v>
      </c>
      <c r="D6498" t="inlineStr">
        <is>
          <t>JÄMTLANDS LÄN</t>
        </is>
      </c>
      <c r="E6498" t="inlineStr">
        <is>
          <t>KROKOM</t>
        </is>
      </c>
      <c r="G6498" t="n">
        <v>14.7</v>
      </c>
      <c r="H6498" t="n">
        <v>0</v>
      </c>
      <c r="I6498" t="n">
        <v>0</v>
      </c>
      <c r="J6498" t="n">
        <v>0</v>
      </c>
      <c r="K6498" t="n">
        <v>0</v>
      </c>
      <c r="L6498" t="n">
        <v>0</v>
      </c>
      <c r="M6498" t="n">
        <v>0</v>
      </c>
      <c r="N6498" t="n">
        <v>0</v>
      </c>
      <c r="O6498" t="n">
        <v>0</v>
      </c>
      <c r="P6498" t="n">
        <v>0</v>
      </c>
      <c r="Q6498" t="n">
        <v>0</v>
      </c>
      <c r="R6498" s="2" t="inlineStr"/>
    </row>
    <row r="6499" ht="15" customHeight="1">
      <c r="A6499" t="inlineStr">
        <is>
          <t>A 24502-2025</t>
        </is>
      </c>
      <c r="B6499" s="1" t="n">
        <v>45798.39761574074</v>
      </c>
      <c r="C6499" s="1" t="n">
        <v>46045</v>
      </c>
      <c r="D6499" t="inlineStr">
        <is>
          <t>JÄMTLANDS LÄN</t>
        </is>
      </c>
      <c r="E6499" t="inlineStr">
        <is>
          <t>BRÄCKE</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1473-2025</t>
        </is>
      </c>
      <c r="B6500" s="1" t="n">
        <v>45670</v>
      </c>
      <c r="C6500" s="1" t="n">
        <v>46045</v>
      </c>
      <c r="D6500" t="inlineStr">
        <is>
          <t>JÄMTLANDS LÄN</t>
        </is>
      </c>
      <c r="E6500" t="inlineStr">
        <is>
          <t>KROKOM</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2480-2025</t>
        </is>
      </c>
      <c r="B6501" s="1" t="n">
        <v>45674</v>
      </c>
      <c r="C6501" s="1" t="n">
        <v>46045</v>
      </c>
      <c r="D6501" t="inlineStr">
        <is>
          <t>JÄMTLANDS LÄN</t>
        </is>
      </c>
      <c r="E6501" t="inlineStr">
        <is>
          <t>KROKOM</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51734-2025</t>
        </is>
      </c>
      <c r="B6502" s="1" t="n">
        <v>45951.59497685185</v>
      </c>
      <c r="C6502" s="1" t="n">
        <v>46045</v>
      </c>
      <c r="D6502" t="inlineStr">
        <is>
          <t>JÄMTLANDS LÄN</t>
        </is>
      </c>
      <c r="E6502" t="inlineStr">
        <is>
          <t>STRÖMSUND</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24437-2025</t>
        </is>
      </c>
      <c r="B6503" s="1" t="n">
        <v>45797.79256944444</v>
      </c>
      <c r="C6503" s="1" t="n">
        <v>46045</v>
      </c>
      <c r="D6503" t="inlineStr">
        <is>
          <t>JÄMTLANDS LÄN</t>
        </is>
      </c>
      <c r="E6503" t="inlineStr">
        <is>
          <t>BRÄCKE</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24442-2025</t>
        </is>
      </c>
      <c r="B6504" s="1" t="n">
        <v>45797.96236111111</v>
      </c>
      <c r="C6504" s="1" t="n">
        <v>46045</v>
      </c>
      <c r="D6504" t="inlineStr">
        <is>
          <t>JÄMTLANDS LÄN</t>
        </is>
      </c>
      <c r="E6504" t="inlineStr">
        <is>
          <t>BERG</t>
        </is>
      </c>
      <c r="G6504" t="n">
        <v>9</v>
      </c>
      <c r="H6504" t="n">
        <v>0</v>
      </c>
      <c r="I6504" t="n">
        <v>0</v>
      </c>
      <c r="J6504" t="n">
        <v>0</v>
      </c>
      <c r="K6504" t="n">
        <v>0</v>
      </c>
      <c r="L6504" t="n">
        <v>0</v>
      </c>
      <c r="M6504" t="n">
        <v>0</v>
      </c>
      <c r="N6504" t="n">
        <v>0</v>
      </c>
      <c r="O6504" t="n">
        <v>0</v>
      </c>
      <c r="P6504" t="n">
        <v>0</v>
      </c>
      <c r="Q6504" t="n">
        <v>0</v>
      </c>
      <c r="R6504" s="2" t="inlineStr"/>
    </row>
    <row r="6505" ht="15" customHeight="1">
      <c r="A6505" t="inlineStr">
        <is>
          <t>A 9552-2025</t>
        </is>
      </c>
      <c r="B6505" s="1" t="n">
        <v>45715.59545138889</v>
      </c>
      <c r="C6505" s="1" t="n">
        <v>46045</v>
      </c>
      <c r="D6505" t="inlineStr">
        <is>
          <t>JÄMTLANDS LÄN</t>
        </is>
      </c>
      <c r="E6505" t="inlineStr">
        <is>
          <t>ÖSTERSUND</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51735-2025</t>
        </is>
      </c>
      <c r="B6506" s="1" t="n">
        <v>45951.59516203704</v>
      </c>
      <c r="C6506" s="1" t="n">
        <v>46045</v>
      </c>
      <c r="D6506" t="inlineStr">
        <is>
          <t>JÄMTLANDS LÄN</t>
        </is>
      </c>
      <c r="E6506" t="inlineStr">
        <is>
          <t>KROKOM</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51791-2025</t>
        </is>
      </c>
      <c r="B6507" s="1" t="n">
        <v>45951.69833333333</v>
      </c>
      <c r="C6507" s="1" t="n">
        <v>46045</v>
      </c>
      <c r="D6507" t="inlineStr">
        <is>
          <t>JÄMTLANDS LÄN</t>
        </is>
      </c>
      <c r="E6507" t="inlineStr">
        <is>
          <t>RAGUNDA</t>
        </is>
      </c>
      <c r="F6507" t="inlineStr">
        <is>
          <t>SCA</t>
        </is>
      </c>
      <c r="G6507" t="n">
        <v>43.3</v>
      </c>
      <c r="H6507" t="n">
        <v>0</v>
      </c>
      <c r="I6507" t="n">
        <v>0</v>
      </c>
      <c r="J6507" t="n">
        <v>0</v>
      </c>
      <c r="K6507" t="n">
        <v>0</v>
      </c>
      <c r="L6507" t="n">
        <v>0</v>
      </c>
      <c r="M6507" t="n">
        <v>0</v>
      </c>
      <c r="N6507" t="n">
        <v>0</v>
      </c>
      <c r="O6507" t="n">
        <v>0</v>
      </c>
      <c r="P6507" t="n">
        <v>0</v>
      </c>
      <c r="Q6507" t="n">
        <v>0</v>
      </c>
      <c r="R6507" s="2" t="inlineStr"/>
    </row>
    <row r="6508" ht="15" customHeight="1">
      <c r="A6508" t="inlineStr">
        <is>
          <t>A 24636-2025</t>
        </is>
      </c>
      <c r="B6508" s="1" t="n">
        <v>45798.61528935185</v>
      </c>
      <c r="C6508" s="1" t="n">
        <v>46045</v>
      </c>
      <c r="D6508" t="inlineStr">
        <is>
          <t>JÄMTLANDS LÄN</t>
        </is>
      </c>
      <c r="E6508" t="inlineStr">
        <is>
          <t>BRÄCKE</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37054-2024</t>
        </is>
      </c>
      <c r="B6509" s="1" t="n">
        <v>45539.43545138889</v>
      </c>
      <c r="C6509" s="1" t="n">
        <v>46045</v>
      </c>
      <c r="D6509" t="inlineStr">
        <is>
          <t>JÄMTLANDS LÄN</t>
        </is>
      </c>
      <c r="E6509" t="inlineStr">
        <is>
          <t>HÄRJEDALEN</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37093-2024</t>
        </is>
      </c>
      <c r="B6510" s="1" t="n">
        <v>45539.50018518518</v>
      </c>
      <c r="C6510" s="1" t="n">
        <v>46045</v>
      </c>
      <c r="D6510" t="inlineStr">
        <is>
          <t>JÄMTLANDS LÄN</t>
        </is>
      </c>
      <c r="E6510" t="inlineStr">
        <is>
          <t>BERG</t>
        </is>
      </c>
      <c r="F6510" t="inlineStr">
        <is>
          <t>Övriga Aktiebolag</t>
        </is>
      </c>
      <c r="G6510" t="n">
        <v>15.4</v>
      </c>
      <c r="H6510" t="n">
        <v>0</v>
      </c>
      <c r="I6510" t="n">
        <v>0</v>
      </c>
      <c r="J6510" t="n">
        <v>0</v>
      </c>
      <c r="K6510" t="n">
        <v>0</v>
      </c>
      <c r="L6510" t="n">
        <v>0</v>
      </c>
      <c r="M6510" t="n">
        <v>0</v>
      </c>
      <c r="N6510" t="n">
        <v>0</v>
      </c>
      <c r="O6510" t="n">
        <v>0</v>
      </c>
      <c r="P6510" t="n">
        <v>0</v>
      </c>
      <c r="Q6510" t="n">
        <v>0</v>
      </c>
      <c r="R6510" s="2" t="inlineStr"/>
    </row>
    <row r="6511" ht="15" customHeight="1">
      <c r="A6511" t="inlineStr">
        <is>
          <t>A 24341-2025</t>
        </is>
      </c>
      <c r="B6511" s="1" t="n">
        <v>45797.57416666667</v>
      </c>
      <c r="C6511" s="1" t="n">
        <v>46045</v>
      </c>
      <c r="D6511" t="inlineStr">
        <is>
          <t>JÄMTLANDS LÄN</t>
        </is>
      </c>
      <c r="E6511" t="inlineStr">
        <is>
          <t>STRÖMSUND</t>
        </is>
      </c>
      <c r="F6511" t="inlineStr">
        <is>
          <t>SCA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62407-2023</t>
        </is>
      </c>
      <c r="B6512" s="1" t="n">
        <v>45266</v>
      </c>
      <c r="C6512" s="1" t="n">
        <v>46045</v>
      </c>
      <c r="D6512" t="inlineStr">
        <is>
          <t>JÄMTLANDS LÄN</t>
        </is>
      </c>
      <c r="E6512" t="inlineStr">
        <is>
          <t>RAGUNDA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38191-2024</t>
        </is>
      </c>
      <c r="B6513" s="1" t="n">
        <v>45545.49078703704</v>
      </c>
      <c r="C6513" s="1" t="n">
        <v>46045</v>
      </c>
      <c r="D6513" t="inlineStr">
        <is>
          <t>JÄMTLANDS LÄN</t>
        </is>
      </c>
      <c r="E6513" t="inlineStr">
        <is>
          <t>RAGUNDA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51592-2025</t>
        </is>
      </c>
      <c r="B6514" s="1" t="n">
        <v>45951.36541666667</v>
      </c>
      <c r="C6514" s="1" t="n">
        <v>46045</v>
      </c>
      <c r="D6514" t="inlineStr">
        <is>
          <t>JÄMTLANDS LÄN</t>
        </is>
      </c>
      <c r="E6514" t="inlineStr">
        <is>
          <t>RAGUNDA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51612-2025</t>
        </is>
      </c>
      <c r="B6515" s="1" t="n">
        <v>45951.39751157408</v>
      </c>
      <c r="C6515" s="1" t="n">
        <v>46045</v>
      </c>
      <c r="D6515" t="inlineStr">
        <is>
          <t>JÄMTLANDS LÄN</t>
        </is>
      </c>
      <c r="E6515" t="inlineStr">
        <is>
          <t>BRÄCKE</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24343-2025</t>
        </is>
      </c>
      <c r="B6516" s="1" t="n">
        <v>45797.57434027778</v>
      </c>
      <c r="C6516" s="1" t="n">
        <v>46045</v>
      </c>
      <c r="D6516" t="inlineStr">
        <is>
          <t>JÄMTLANDS LÄN</t>
        </is>
      </c>
      <c r="E6516" t="inlineStr">
        <is>
          <t>STRÖMSUND</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51616-2025</t>
        </is>
      </c>
      <c r="B6517" s="1" t="n">
        <v>45951.40637731482</v>
      </c>
      <c r="C6517" s="1" t="n">
        <v>46045</v>
      </c>
      <c r="D6517" t="inlineStr">
        <is>
          <t>JÄMTLANDS LÄN</t>
        </is>
      </c>
      <c r="E6517" t="inlineStr">
        <is>
          <t>BRÄCKE</t>
        </is>
      </c>
      <c r="G6517" t="n">
        <v>18.9</v>
      </c>
      <c r="H6517" t="n">
        <v>0</v>
      </c>
      <c r="I6517" t="n">
        <v>0</v>
      </c>
      <c r="J6517" t="n">
        <v>0</v>
      </c>
      <c r="K6517" t="n">
        <v>0</v>
      </c>
      <c r="L6517" t="n">
        <v>0</v>
      </c>
      <c r="M6517" t="n">
        <v>0</v>
      </c>
      <c r="N6517" t="n">
        <v>0</v>
      </c>
      <c r="O6517" t="n">
        <v>0</v>
      </c>
      <c r="P6517" t="n">
        <v>0</v>
      </c>
      <c r="Q6517" t="n">
        <v>0</v>
      </c>
      <c r="R6517" s="2" t="inlineStr"/>
    </row>
    <row r="6518" ht="15" customHeight="1">
      <c r="A6518" t="inlineStr">
        <is>
          <t>A 59987-2025</t>
        </is>
      </c>
      <c r="B6518" s="1" t="n">
        <v>45993.55253472222</v>
      </c>
      <c r="C6518" s="1" t="n">
        <v>46045</v>
      </c>
      <c r="D6518" t="inlineStr">
        <is>
          <t>JÄMTLANDS LÄN</t>
        </is>
      </c>
      <c r="E6518" t="inlineStr">
        <is>
          <t>STRÖMSUND</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30484-2024</t>
        </is>
      </c>
      <c r="B6519" s="1" t="n">
        <v>45491</v>
      </c>
      <c r="C6519" s="1" t="n">
        <v>46045</v>
      </c>
      <c r="D6519" t="inlineStr">
        <is>
          <t>JÄMTLANDS LÄN</t>
        </is>
      </c>
      <c r="E6519" t="inlineStr">
        <is>
          <t>RAGUNDA</t>
        </is>
      </c>
      <c r="F6519" t="inlineStr">
        <is>
          <t>SCA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30487-2024</t>
        </is>
      </c>
      <c r="B6520" s="1" t="n">
        <v>45491.95027777777</v>
      </c>
      <c r="C6520" s="1" t="n">
        <v>46045</v>
      </c>
      <c r="D6520" t="inlineStr">
        <is>
          <t>JÄMTLANDS LÄN</t>
        </is>
      </c>
      <c r="E6520" t="inlineStr">
        <is>
          <t>BRÄCKE</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41970-2023</t>
        </is>
      </c>
      <c r="B6521" s="1" t="n">
        <v>45174</v>
      </c>
      <c r="C6521" s="1" t="n">
        <v>46045</v>
      </c>
      <c r="D6521" t="inlineStr">
        <is>
          <t>JÄMTLANDS LÄN</t>
        </is>
      </c>
      <c r="E6521" t="inlineStr">
        <is>
          <t>STRÖMSUND</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24649-2025</t>
        </is>
      </c>
      <c r="B6522" s="1" t="n">
        <v>45798.63611111111</v>
      </c>
      <c r="C6522" s="1" t="n">
        <v>46045</v>
      </c>
      <c r="D6522" t="inlineStr">
        <is>
          <t>JÄMTLANDS LÄN</t>
        </is>
      </c>
      <c r="E6522" t="inlineStr">
        <is>
          <t>KROKOM</t>
        </is>
      </c>
      <c r="F6522" t="inlineStr">
        <is>
          <t>SCA</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24338-2025</t>
        </is>
      </c>
      <c r="B6523" s="1" t="n">
        <v>45797.57383101852</v>
      </c>
      <c r="C6523" s="1" t="n">
        <v>46045</v>
      </c>
      <c r="D6523" t="inlineStr">
        <is>
          <t>JÄMTLANDS LÄN</t>
        </is>
      </c>
      <c r="E6523" t="inlineStr">
        <is>
          <t>STRÖMSUND</t>
        </is>
      </c>
      <c r="F6523" t="inlineStr">
        <is>
          <t>SCA</t>
        </is>
      </c>
      <c r="G6523" t="n">
        <v>19.1</v>
      </c>
      <c r="H6523" t="n">
        <v>0</v>
      </c>
      <c r="I6523" t="n">
        <v>0</v>
      </c>
      <c r="J6523" t="n">
        <v>0</v>
      </c>
      <c r="K6523" t="n">
        <v>0</v>
      </c>
      <c r="L6523" t="n">
        <v>0</v>
      </c>
      <c r="M6523" t="n">
        <v>0</v>
      </c>
      <c r="N6523" t="n">
        <v>0</v>
      </c>
      <c r="O6523" t="n">
        <v>0</v>
      </c>
      <c r="P6523" t="n">
        <v>0</v>
      </c>
      <c r="Q6523" t="n">
        <v>0</v>
      </c>
      <c r="R6523" s="2" t="inlineStr"/>
    </row>
    <row r="6524" ht="15" customHeight="1">
      <c r="A6524" t="inlineStr">
        <is>
          <t>A 51653-2025</t>
        </is>
      </c>
      <c r="B6524" s="1" t="n">
        <v>45951.46152777778</v>
      </c>
      <c r="C6524" s="1" t="n">
        <v>46045</v>
      </c>
      <c r="D6524" t="inlineStr">
        <is>
          <t>JÄMTLANDS LÄN</t>
        </is>
      </c>
      <c r="E6524" t="inlineStr">
        <is>
          <t>HÄRJEDALEN</t>
        </is>
      </c>
      <c r="F6524" t="inlineStr">
        <is>
          <t>Holmen skog AB</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52014-2025</t>
        </is>
      </c>
      <c r="B6525" s="1" t="n">
        <v>45952</v>
      </c>
      <c r="C6525" s="1" t="n">
        <v>46045</v>
      </c>
      <c r="D6525" t="inlineStr">
        <is>
          <t>JÄMTLANDS LÄN</t>
        </is>
      </c>
      <c r="E6525" t="inlineStr">
        <is>
          <t>KROKOM</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4500-2025</t>
        </is>
      </c>
      <c r="B6526" s="1" t="n">
        <v>45686.6859375</v>
      </c>
      <c r="C6526" s="1" t="n">
        <v>46045</v>
      </c>
      <c r="D6526" t="inlineStr">
        <is>
          <t>JÄMTLANDS LÄN</t>
        </is>
      </c>
      <c r="E6526" t="inlineStr">
        <is>
          <t>ÖSTERSUND</t>
        </is>
      </c>
      <c r="G6526" t="n">
        <v>28.4</v>
      </c>
      <c r="H6526" t="n">
        <v>0</v>
      </c>
      <c r="I6526" t="n">
        <v>0</v>
      </c>
      <c r="J6526" t="n">
        <v>0</v>
      </c>
      <c r="K6526" t="n">
        <v>0</v>
      </c>
      <c r="L6526" t="n">
        <v>0</v>
      </c>
      <c r="M6526" t="n">
        <v>0</v>
      </c>
      <c r="N6526" t="n">
        <v>0</v>
      </c>
      <c r="O6526" t="n">
        <v>0</v>
      </c>
      <c r="P6526" t="n">
        <v>0</v>
      </c>
      <c r="Q6526" t="n">
        <v>0</v>
      </c>
      <c r="R6526" s="2" t="inlineStr"/>
    </row>
    <row r="6527" ht="15" customHeight="1">
      <c r="A6527" t="inlineStr">
        <is>
          <t>A 24263-2025</t>
        </is>
      </c>
      <c r="B6527" s="1" t="n">
        <v>45797.42107638889</v>
      </c>
      <c r="C6527" s="1" t="n">
        <v>46045</v>
      </c>
      <c r="D6527" t="inlineStr">
        <is>
          <t>JÄMTLANDS LÄN</t>
        </is>
      </c>
      <c r="E6527" t="inlineStr">
        <is>
          <t>STRÖMSUND</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24299-2025</t>
        </is>
      </c>
      <c r="B6528" s="1" t="n">
        <v>45797.47692129629</v>
      </c>
      <c r="C6528" s="1" t="n">
        <v>46045</v>
      </c>
      <c r="D6528" t="inlineStr">
        <is>
          <t>JÄMTLANDS LÄN</t>
        </is>
      </c>
      <c r="E6528" t="inlineStr">
        <is>
          <t>STRÖMSUND</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4527-2025</t>
        </is>
      </c>
      <c r="B6529" s="1" t="n">
        <v>45686</v>
      </c>
      <c r="C6529" s="1" t="n">
        <v>46045</v>
      </c>
      <c r="D6529" t="inlineStr">
        <is>
          <t>JÄMTLANDS LÄN</t>
        </is>
      </c>
      <c r="E6529" t="inlineStr">
        <is>
          <t>BERG</t>
        </is>
      </c>
      <c r="G6529" t="n">
        <v>17.8</v>
      </c>
      <c r="H6529" t="n">
        <v>0</v>
      </c>
      <c r="I6529" t="n">
        <v>0</v>
      </c>
      <c r="J6529" t="n">
        <v>0</v>
      </c>
      <c r="K6529" t="n">
        <v>0</v>
      </c>
      <c r="L6529" t="n">
        <v>0</v>
      </c>
      <c r="M6529" t="n">
        <v>0</v>
      </c>
      <c r="N6529" t="n">
        <v>0</v>
      </c>
      <c r="O6529" t="n">
        <v>0</v>
      </c>
      <c r="P6529" t="n">
        <v>0</v>
      </c>
      <c r="Q6529" t="n">
        <v>0</v>
      </c>
      <c r="R6529" s="2" t="inlineStr"/>
    </row>
    <row r="6530" ht="15" customHeight="1">
      <c r="A6530" t="inlineStr">
        <is>
          <t>A 5005-2025</t>
        </is>
      </c>
      <c r="B6530" s="1" t="n">
        <v>45691.36862268519</v>
      </c>
      <c r="C6530" s="1" t="n">
        <v>46045</v>
      </c>
      <c r="D6530" t="inlineStr">
        <is>
          <t>JÄMTLANDS LÄN</t>
        </is>
      </c>
      <c r="E6530" t="inlineStr">
        <is>
          <t>BRÄCKE</t>
        </is>
      </c>
      <c r="G6530" t="n">
        <v>9.5</v>
      </c>
      <c r="H6530" t="n">
        <v>0</v>
      </c>
      <c r="I6530" t="n">
        <v>0</v>
      </c>
      <c r="J6530" t="n">
        <v>0</v>
      </c>
      <c r="K6530" t="n">
        <v>0</v>
      </c>
      <c r="L6530" t="n">
        <v>0</v>
      </c>
      <c r="M6530" t="n">
        <v>0</v>
      </c>
      <c r="N6530" t="n">
        <v>0</v>
      </c>
      <c r="O6530" t="n">
        <v>0</v>
      </c>
      <c r="P6530" t="n">
        <v>0</v>
      </c>
      <c r="Q6530" t="n">
        <v>0</v>
      </c>
      <c r="R6530" s="2" t="inlineStr"/>
    </row>
    <row r="6531" ht="15" customHeight="1">
      <c r="A6531" t="inlineStr">
        <is>
          <t>A 38709-2025</t>
        </is>
      </c>
      <c r="B6531" s="1" t="n">
        <v>45885</v>
      </c>
      <c r="C6531" s="1" t="n">
        <v>46045</v>
      </c>
      <c r="D6531" t="inlineStr">
        <is>
          <t>JÄMTLANDS LÄN</t>
        </is>
      </c>
      <c r="E6531" t="inlineStr">
        <is>
          <t>HÄRJEDALEN</t>
        </is>
      </c>
      <c r="G6531" t="n">
        <v>70</v>
      </c>
      <c r="H6531" t="n">
        <v>0</v>
      </c>
      <c r="I6531" t="n">
        <v>0</v>
      </c>
      <c r="J6531" t="n">
        <v>0</v>
      </c>
      <c r="K6531" t="n">
        <v>0</v>
      </c>
      <c r="L6531" t="n">
        <v>0</v>
      </c>
      <c r="M6531" t="n">
        <v>0</v>
      </c>
      <c r="N6531" t="n">
        <v>0</v>
      </c>
      <c r="O6531" t="n">
        <v>0</v>
      </c>
      <c r="P6531" t="n">
        <v>0</v>
      </c>
      <c r="Q6531" t="n">
        <v>0</v>
      </c>
      <c r="R6531" s="2" t="inlineStr"/>
    </row>
    <row r="6532" ht="15" customHeight="1">
      <c r="A6532" t="inlineStr">
        <is>
          <t>A 51858-2025</t>
        </is>
      </c>
      <c r="B6532" s="1" t="n">
        <v>45952.36511574074</v>
      </c>
      <c r="C6532" s="1" t="n">
        <v>46045</v>
      </c>
      <c r="D6532" t="inlineStr">
        <is>
          <t>JÄMTLANDS LÄN</t>
        </is>
      </c>
      <c r="E6532" t="inlineStr">
        <is>
          <t>BRÄCKE</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51883-2025</t>
        </is>
      </c>
      <c r="B6533" s="1" t="n">
        <v>45952.40701388889</v>
      </c>
      <c r="C6533" s="1" t="n">
        <v>46045</v>
      </c>
      <c r="D6533" t="inlineStr">
        <is>
          <t>JÄMTLANDS LÄN</t>
        </is>
      </c>
      <c r="E6533" t="inlineStr">
        <is>
          <t>BERG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51964-2025</t>
        </is>
      </c>
      <c r="B6534" s="1" t="n">
        <v>45952.55321759259</v>
      </c>
      <c r="C6534" s="1" t="n">
        <v>46045</v>
      </c>
      <c r="D6534" t="inlineStr">
        <is>
          <t>JÄMTLANDS LÄN</t>
        </is>
      </c>
      <c r="E6534" t="inlineStr">
        <is>
          <t>BRÄCKE</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51965-2025</t>
        </is>
      </c>
      <c r="B6535" s="1" t="n">
        <v>45952.55327546296</v>
      </c>
      <c r="C6535" s="1" t="n">
        <v>46045</v>
      </c>
      <c r="D6535" t="inlineStr">
        <is>
          <t>JÄMTLANDS LÄN</t>
        </is>
      </c>
      <c r="E6535" t="inlineStr">
        <is>
          <t>BRÄCKE</t>
        </is>
      </c>
      <c r="F6535" t="inlineStr">
        <is>
          <t>SCA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8167-2025</t>
        </is>
      </c>
      <c r="B6536" s="1" t="n">
        <v>45708</v>
      </c>
      <c r="C6536" s="1" t="n">
        <v>46045</v>
      </c>
      <c r="D6536" t="inlineStr">
        <is>
          <t>JÄMTLANDS LÄN</t>
        </is>
      </c>
      <c r="E6536" t="inlineStr">
        <is>
          <t>KROKOM</t>
        </is>
      </c>
      <c r="F6536" t="inlineStr">
        <is>
          <t>SCA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11838-2025</t>
        </is>
      </c>
      <c r="B6537" s="1" t="n">
        <v>45728.36494212963</v>
      </c>
      <c r="C6537" s="1" t="n">
        <v>46045</v>
      </c>
      <c r="D6537" t="inlineStr">
        <is>
          <t>JÄMTLANDS LÄN</t>
        </is>
      </c>
      <c r="E6537" t="inlineStr">
        <is>
          <t>STRÖMSUND</t>
        </is>
      </c>
      <c r="F6537" t="inlineStr">
        <is>
          <t>SCA</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51593-2025</t>
        </is>
      </c>
      <c r="B6538" s="1" t="n">
        <v>45951.36548611111</v>
      </c>
      <c r="C6538" s="1" t="n">
        <v>46045</v>
      </c>
      <c r="D6538" t="inlineStr">
        <is>
          <t>JÄMTLANDS LÄN</t>
        </is>
      </c>
      <c r="E6538" t="inlineStr">
        <is>
          <t>RAGUNDA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51620-2025</t>
        </is>
      </c>
      <c r="B6539" s="1" t="n">
        <v>45951.4128125</v>
      </c>
      <c r="C6539" s="1" t="n">
        <v>46045</v>
      </c>
      <c r="D6539" t="inlineStr">
        <is>
          <t>JÄMTLANDS LÄN</t>
        </is>
      </c>
      <c r="E6539" t="inlineStr">
        <is>
          <t>BRÄCKE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51623-2025</t>
        </is>
      </c>
      <c r="B6540" s="1" t="n">
        <v>45951.41578703704</v>
      </c>
      <c r="C6540" s="1" t="n">
        <v>46045</v>
      </c>
      <c r="D6540" t="inlineStr">
        <is>
          <t>JÄMTLANDS LÄN</t>
        </is>
      </c>
      <c r="E6540" t="inlineStr">
        <is>
          <t>BRÄCKE</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24647-2025</t>
        </is>
      </c>
      <c r="B6541" s="1" t="n">
        <v>45798.63575231482</v>
      </c>
      <c r="C6541" s="1" t="n">
        <v>46045</v>
      </c>
      <c r="D6541" t="inlineStr">
        <is>
          <t>JÄMTLANDS LÄN</t>
        </is>
      </c>
      <c r="E6541" t="inlineStr">
        <is>
          <t>BRÄCKE</t>
        </is>
      </c>
      <c r="F6541" t="inlineStr">
        <is>
          <t>SCA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24419-2025</t>
        </is>
      </c>
      <c r="B6542" s="1" t="n">
        <v>45797.67760416667</v>
      </c>
      <c r="C6542" s="1" t="n">
        <v>46045</v>
      </c>
      <c r="D6542" t="inlineStr">
        <is>
          <t>JÄMTLANDS LÄN</t>
        </is>
      </c>
      <c r="E6542" t="inlineStr">
        <is>
          <t>STRÖMSUND</t>
        </is>
      </c>
      <c r="F6542" t="inlineStr">
        <is>
          <t>SCA</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48042-2023</t>
        </is>
      </c>
      <c r="B6543" s="1" t="n">
        <v>45204.82206018519</v>
      </c>
      <c r="C6543" s="1" t="n">
        <v>46045</v>
      </c>
      <c r="D6543" t="inlineStr">
        <is>
          <t>JÄMTLANDS LÄN</t>
        </is>
      </c>
      <c r="E6543" t="inlineStr">
        <is>
          <t>STRÖMSUND</t>
        </is>
      </c>
      <c r="F6543" t="inlineStr">
        <is>
          <t>Holmen skog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48051-2023</t>
        </is>
      </c>
      <c r="B6544" s="1" t="n">
        <v>45204</v>
      </c>
      <c r="C6544" s="1" t="n">
        <v>46045</v>
      </c>
      <c r="D6544" t="inlineStr">
        <is>
          <t>JÄMTLANDS LÄN</t>
        </is>
      </c>
      <c r="E6544" t="inlineStr">
        <is>
          <t>HÄRJEDALEN</t>
        </is>
      </c>
      <c r="G6544" t="n">
        <v>9.699999999999999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51614-2025</t>
        </is>
      </c>
      <c r="B6545" s="1" t="n">
        <v>45951.40204861111</v>
      </c>
      <c r="C6545" s="1" t="n">
        <v>46045</v>
      </c>
      <c r="D6545" t="inlineStr">
        <is>
          <t>JÄMTLANDS LÄN</t>
        </is>
      </c>
      <c r="E6545" t="inlineStr">
        <is>
          <t>BRÄCKE</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24427-2025</t>
        </is>
      </c>
      <c r="B6546" s="1" t="n">
        <v>45797.69851851852</v>
      </c>
      <c r="C6546" s="1" t="n">
        <v>46045</v>
      </c>
      <c r="D6546" t="inlineStr">
        <is>
          <t>JÄMTLANDS LÄN</t>
        </is>
      </c>
      <c r="E6546" t="inlineStr">
        <is>
          <t>BRÄCKE</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24433-2025</t>
        </is>
      </c>
      <c r="B6547" s="1" t="n">
        <v>45797.75547453704</v>
      </c>
      <c r="C6547" s="1" t="n">
        <v>46045</v>
      </c>
      <c r="D6547" t="inlineStr">
        <is>
          <t>JÄMTLANDS LÄN</t>
        </is>
      </c>
      <c r="E6547" t="inlineStr">
        <is>
          <t>BRÄCKE</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52032-2025</t>
        </is>
      </c>
      <c r="B6548" s="1" t="n">
        <v>45952.61193287037</v>
      </c>
      <c r="C6548" s="1" t="n">
        <v>46045</v>
      </c>
      <c r="D6548" t="inlineStr">
        <is>
          <t>JÄMTLANDS LÄN</t>
        </is>
      </c>
      <c r="E6548" t="inlineStr">
        <is>
          <t>KROKOM</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52062-2025</t>
        </is>
      </c>
      <c r="B6549" s="1" t="n">
        <v>45952.63679398148</v>
      </c>
      <c r="C6549" s="1" t="n">
        <v>46045</v>
      </c>
      <c r="D6549" t="inlineStr">
        <is>
          <t>JÄMTLANDS LÄN</t>
        </is>
      </c>
      <c r="E6549" t="inlineStr">
        <is>
          <t>BERG</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52063-2025</t>
        </is>
      </c>
      <c r="B6550" s="1" t="n">
        <v>45952.6369212963</v>
      </c>
      <c r="C6550" s="1" t="n">
        <v>46045</v>
      </c>
      <c r="D6550" t="inlineStr">
        <is>
          <t>JÄMTLANDS LÄN</t>
        </is>
      </c>
      <c r="E6550" t="inlineStr">
        <is>
          <t>STRÖMSUND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4862-2025</t>
        </is>
      </c>
      <c r="B6551" s="1" t="n">
        <v>45688.6749537037</v>
      </c>
      <c r="C6551" s="1" t="n">
        <v>46045</v>
      </c>
      <c r="D6551" t="inlineStr">
        <is>
          <t>JÄMTLANDS LÄN</t>
        </is>
      </c>
      <c r="E6551" t="inlineStr">
        <is>
          <t>HÄRJEDALEN</t>
        </is>
      </c>
      <c r="F6551" t="inlineStr">
        <is>
          <t>SCA</t>
        </is>
      </c>
      <c r="G6551" t="n">
        <v>10.6</v>
      </c>
      <c r="H6551" t="n">
        <v>0</v>
      </c>
      <c r="I6551" t="n">
        <v>0</v>
      </c>
      <c r="J6551" t="n">
        <v>0</v>
      </c>
      <c r="K6551" t="n">
        <v>0</v>
      </c>
      <c r="L6551" t="n">
        <v>0</v>
      </c>
      <c r="M6551" t="n">
        <v>0</v>
      </c>
      <c r="N6551" t="n">
        <v>0</v>
      </c>
      <c r="O6551" t="n">
        <v>0</v>
      </c>
      <c r="P6551" t="n">
        <v>0</v>
      </c>
      <c r="Q6551" t="n">
        <v>0</v>
      </c>
      <c r="R6551" s="2" t="inlineStr"/>
    </row>
    <row r="6552" ht="15" customHeight="1">
      <c r="A6552" t="inlineStr">
        <is>
          <t>A 24334-2025</t>
        </is>
      </c>
      <c r="B6552" s="1" t="n">
        <v>45797.57329861111</v>
      </c>
      <c r="C6552" s="1" t="n">
        <v>46045</v>
      </c>
      <c r="D6552" t="inlineStr">
        <is>
          <t>JÄMTLANDS LÄN</t>
        </is>
      </c>
      <c r="E6552" t="inlineStr">
        <is>
          <t>STRÖMSUND</t>
        </is>
      </c>
      <c r="F6552" t="inlineStr">
        <is>
          <t>SCA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24337-2025</t>
        </is>
      </c>
      <c r="B6553" s="1" t="n">
        <v>45797.57368055556</v>
      </c>
      <c r="C6553" s="1" t="n">
        <v>46045</v>
      </c>
      <c r="D6553" t="inlineStr">
        <is>
          <t>JÄMTLANDS LÄN</t>
        </is>
      </c>
      <c r="E6553" t="inlineStr">
        <is>
          <t>STRÖMSUND</t>
        </is>
      </c>
      <c r="F6553" t="inlineStr">
        <is>
          <t>SCA</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51876-2025</t>
        </is>
      </c>
      <c r="B6554" s="1" t="n">
        <v>45952.39850694445</v>
      </c>
      <c r="C6554" s="1" t="n">
        <v>46045</v>
      </c>
      <c r="D6554" t="inlineStr">
        <is>
          <t>JÄMTLANDS LÄN</t>
        </is>
      </c>
      <c r="E6554" t="inlineStr">
        <is>
          <t>ÅRE</t>
        </is>
      </c>
      <c r="F6554" t="inlineStr">
        <is>
          <t>Övriga Aktiebolag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6042-2025</t>
        </is>
      </c>
      <c r="B6555" s="1" t="n">
        <v>45695</v>
      </c>
      <c r="C6555" s="1" t="n">
        <v>46045</v>
      </c>
      <c r="D6555" t="inlineStr">
        <is>
          <t>JÄMTLANDS LÄN</t>
        </is>
      </c>
      <c r="E6555" t="inlineStr">
        <is>
          <t>KROKOM</t>
        </is>
      </c>
      <c r="F6555" t="inlineStr">
        <is>
          <t>Övriga Aktiebolag</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24550-2025</t>
        </is>
      </c>
      <c r="B6556" s="1" t="n">
        <v>45798.44836805556</v>
      </c>
      <c r="C6556" s="1" t="n">
        <v>46045</v>
      </c>
      <c r="D6556" t="inlineStr">
        <is>
          <t>JÄMTLANDS LÄN</t>
        </is>
      </c>
      <c r="E6556" t="inlineStr">
        <is>
          <t>BRÄCKE</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52093-2025</t>
        </is>
      </c>
      <c r="B6557" s="1" t="n">
        <v>45952.67865740741</v>
      </c>
      <c r="C6557" s="1" t="n">
        <v>46045</v>
      </c>
      <c r="D6557" t="inlineStr">
        <is>
          <t>JÄMTLANDS LÄN</t>
        </is>
      </c>
      <c r="E6557" t="inlineStr">
        <is>
          <t>RAGUNDA</t>
        </is>
      </c>
      <c r="F6557" t="inlineStr">
        <is>
          <t>SCA</t>
        </is>
      </c>
      <c r="G6557" t="n">
        <v>22.7</v>
      </c>
      <c r="H6557" t="n">
        <v>0</v>
      </c>
      <c r="I6557" t="n">
        <v>0</v>
      </c>
      <c r="J6557" t="n">
        <v>0</v>
      </c>
      <c r="K6557" t="n">
        <v>0</v>
      </c>
      <c r="L6557" t="n">
        <v>0</v>
      </c>
      <c r="M6557" t="n">
        <v>0</v>
      </c>
      <c r="N6557" t="n">
        <v>0</v>
      </c>
      <c r="O6557" t="n">
        <v>0</v>
      </c>
      <c r="P6557" t="n">
        <v>0</v>
      </c>
      <c r="Q6557" t="n">
        <v>0</v>
      </c>
      <c r="R6557" s="2" t="inlineStr"/>
    </row>
    <row r="6558" ht="15" customHeight="1">
      <c r="A6558" t="inlineStr">
        <is>
          <t>A 23303-2023</t>
        </is>
      </c>
      <c r="B6558" s="1" t="n">
        <v>45075.94493055555</v>
      </c>
      <c r="C6558" s="1" t="n">
        <v>46045</v>
      </c>
      <c r="D6558" t="inlineStr">
        <is>
          <t>JÄMTLANDS LÄN</t>
        </is>
      </c>
      <c r="E6558" t="inlineStr">
        <is>
          <t>STRÖMSUND</t>
        </is>
      </c>
      <c r="F6558" t="inlineStr">
        <is>
          <t>SCA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23311-2023</t>
        </is>
      </c>
      <c r="B6559" s="1" t="n">
        <v>45075</v>
      </c>
      <c r="C6559" s="1" t="n">
        <v>46045</v>
      </c>
      <c r="D6559" t="inlineStr">
        <is>
          <t>JÄMTLANDS LÄN</t>
        </is>
      </c>
      <c r="E6559" t="inlineStr">
        <is>
          <t>STRÖMSUND</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51675-2025</t>
        </is>
      </c>
      <c r="B6560" s="1" t="n">
        <v>45951.50565972222</v>
      </c>
      <c r="C6560" s="1" t="n">
        <v>46045</v>
      </c>
      <c r="D6560" t="inlineStr">
        <is>
          <t>JÄMTLANDS LÄN</t>
        </is>
      </c>
      <c r="E6560" t="inlineStr">
        <is>
          <t>BERG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24568-2025</t>
        </is>
      </c>
      <c r="B6561" s="1" t="n">
        <v>45798.46913194445</v>
      </c>
      <c r="C6561" s="1" t="n">
        <v>46045</v>
      </c>
      <c r="D6561" t="inlineStr">
        <is>
          <t>JÄMTLANDS LÄN</t>
        </is>
      </c>
      <c r="E6561" t="inlineStr">
        <is>
          <t>ÖSTERSUND</t>
        </is>
      </c>
      <c r="F6561" t="inlineStr">
        <is>
          <t>SCA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51777-2025</t>
        </is>
      </c>
      <c r="B6562" s="1" t="n">
        <v>45951.65680555555</v>
      </c>
      <c r="C6562" s="1" t="n">
        <v>46045</v>
      </c>
      <c r="D6562" t="inlineStr">
        <is>
          <t>JÄMTLANDS LÄN</t>
        </is>
      </c>
      <c r="E6562" t="inlineStr">
        <is>
          <t>BRÄCKE</t>
        </is>
      </c>
      <c r="F6562" t="inlineStr">
        <is>
          <t>SCA</t>
        </is>
      </c>
      <c r="G6562" t="n">
        <v>12.9</v>
      </c>
      <c r="H6562" t="n">
        <v>0</v>
      </c>
      <c r="I6562" t="n">
        <v>0</v>
      </c>
      <c r="J6562" t="n">
        <v>0</v>
      </c>
      <c r="K6562" t="n">
        <v>0</v>
      </c>
      <c r="L6562" t="n">
        <v>0</v>
      </c>
      <c r="M6562" t="n">
        <v>0</v>
      </c>
      <c r="N6562" t="n">
        <v>0</v>
      </c>
      <c r="O6562" t="n">
        <v>0</v>
      </c>
      <c r="P6562" t="n">
        <v>0</v>
      </c>
      <c r="Q6562" t="n">
        <v>0</v>
      </c>
      <c r="R6562" s="2" t="inlineStr"/>
    </row>
    <row r="6563" ht="15" customHeight="1">
      <c r="A6563" t="inlineStr">
        <is>
          <t>A 23351-2025</t>
        </is>
      </c>
      <c r="B6563" s="1" t="n">
        <v>45791</v>
      </c>
      <c r="C6563" s="1" t="n">
        <v>46045</v>
      </c>
      <c r="D6563" t="inlineStr">
        <is>
          <t>JÄMTLANDS LÄN</t>
        </is>
      </c>
      <c r="E6563" t="inlineStr">
        <is>
          <t>HÄRJEDALEN</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58741-2023</t>
        </is>
      </c>
      <c r="B6564" s="1" t="n">
        <v>45251.92894675926</v>
      </c>
      <c r="C6564" s="1" t="n">
        <v>46045</v>
      </c>
      <c r="D6564" t="inlineStr">
        <is>
          <t>JÄMTLANDS LÄN</t>
        </is>
      </c>
      <c r="E6564" t="inlineStr">
        <is>
          <t>BRÄCKE</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52059-2025</t>
        </is>
      </c>
      <c r="B6565" s="1" t="n">
        <v>45952.6362037037</v>
      </c>
      <c r="C6565" s="1" t="n">
        <v>46045</v>
      </c>
      <c r="D6565" t="inlineStr">
        <is>
          <t>JÄMTLANDS LÄN</t>
        </is>
      </c>
      <c r="E6565" t="inlineStr">
        <is>
          <t>STRÖMSUND</t>
        </is>
      </c>
      <c r="F6565" t="inlineStr">
        <is>
          <t>SCA</t>
        </is>
      </c>
      <c r="G6565" t="n">
        <v>12.4</v>
      </c>
      <c r="H6565" t="n">
        <v>0</v>
      </c>
      <c r="I6565" t="n">
        <v>0</v>
      </c>
      <c r="J6565" t="n">
        <v>0</v>
      </c>
      <c r="K6565" t="n">
        <v>0</v>
      </c>
      <c r="L6565" t="n">
        <v>0</v>
      </c>
      <c r="M6565" t="n">
        <v>0</v>
      </c>
      <c r="N6565" t="n">
        <v>0</v>
      </c>
      <c r="O6565" t="n">
        <v>0</v>
      </c>
      <c r="P6565" t="n">
        <v>0</v>
      </c>
      <c r="Q6565" t="n">
        <v>0</v>
      </c>
      <c r="R6565" s="2" t="inlineStr"/>
    </row>
    <row r="6566" ht="15" customHeight="1">
      <c r="A6566" t="inlineStr">
        <is>
          <t>A 7079-2025</t>
        </is>
      </c>
      <c r="B6566" s="1" t="n">
        <v>45701</v>
      </c>
      <c r="C6566" s="1" t="n">
        <v>46045</v>
      </c>
      <c r="D6566" t="inlineStr">
        <is>
          <t>JÄMTLANDS LÄN</t>
        </is>
      </c>
      <c r="E6566" t="inlineStr">
        <is>
          <t>KROKOM</t>
        </is>
      </c>
      <c r="F6566" t="inlineStr">
        <is>
          <t>SCA</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8168-2025</t>
        </is>
      </c>
      <c r="B6567" s="1" t="n">
        <v>45708</v>
      </c>
      <c r="C6567" s="1" t="n">
        <v>46045</v>
      </c>
      <c r="D6567" t="inlineStr">
        <is>
          <t>JÄMTLANDS LÄN</t>
        </is>
      </c>
      <c r="E6567" t="inlineStr">
        <is>
          <t>KROKOM</t>
        </is>
      </c>
      <c r="F6567" t="inlineStr">
        <is>
          <t>SCA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52122-2025</t>
        </is>
      </c>
      <c r="B6568" s="1" t="n">
        <v>45952.71946759259</v>
      </c>
      <c r="C6568" s="1" t="n">
        <v>46045</v>
      </c>
      <c r="D6568" t="inlineStr">
        <is>
          <t>JÄMTLANDS LÄN</t>
        </is>
      </c>
      <c r="E6568" t="inlineStr">
        <is>
          <t>RAGUNDA</t>
        </is>
      </c>
      <c r="F6568" t="inlineStr">
        <is>
          <t>SCA</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51882-2025</t>
        </is>
      </c>
      <c r="B6569" s="1" t="n">
        <v>45952.40685185185</v>
      </c>
      <c r="C6569" s="1" t="n">
        <v>46045</v>
      </c>
      <c r="D6569" t="inlineStr">
        <is>
          <t>JÄMTLANDS LÄN</t>
        </is>
      </c>
      <c r="E6569" t="inlineStr">
        <is>
          <t>RAGUNDA</t>
        </is>
      </c>
      <c r="F6569" t="inlineStr">
        <is>
          <t>SCA</t>
        </is>
      </c>
      <c r="G6569" t="n">
        <v>11.9</v>
      </c>
      <c r="H6569" t="n">
        <v>0</v>
      </c>
      <c r="I6569" t="n">
        <v>0</v>
      </c>
      <c r="J6569" t="n">
        <v>0</v>
      </c>
      <c r="K6569" t="n">
        <v>0</v>
      </c>
      <c r="L6569" t="n">
        <v>0</v>
      </c>
      <c r="M6569" t="n">
        <v>0</v>
      </c>
      <c r="N6569" t="n">
        <v>0</v>
      </c>
      <c r="O6569" t="n">
        <v>0</v>
      </c>
      <c r="P6569" t="n">
        <v>0</v>
      </c>
      <c r="Q6569" t="n">
        <v>0</v>
      </c>
      <c r="R6569" s="2" t="inlineStr"/>
    </row>
    <row r="6570" ht="15" customHeight="1">
      <c r="A6570" t="inlineStr">
        <is>
          <t>A 53176-2024</t>
        </is>
      </c>
      <c r="B6570" s="1" t="n">
        <v>45611.66655092593</v>
      </c>
      <c r="C6570" s="1" t="n">
        <v>46045</v>
      </c>
      <c r="D6570" t="inlineStr">
        <is>
          <t>JÄMTLANDS LÄN</t>
        </is>
      </c>
      <c r="E6570" t="inlineStr">
        <is>
          <t>ÖSTERSUND</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51903-2025</t>
        </is>
      </c>
      <c r="B6571" s="1" t="n">
        <v>45952.44857638889</v>
      </c>
      <c r="C6571" s="1" t="n">
        <v>46045</v>
      </c>
      <c r="D6571" t="inlineStr">
        <is>
          <t>JÄMTLANDS LÄN</t>
        </is>
      </c>
      <c r="E6571" t="inlineStr">
        <is>
          <t>RAGUNDA</t>
        </is>
      </c>
      <c r="F6571" t="inlineStr">
        <is>
          <t>SCA</t>
        </is>
      </c>
      <c r="G6571" t="n">
        <v>20.8</v>
      </c>
      <c r="H6571" t="n">
        <v>0</v>
      </c>
      <c r="I6571" t="n">
        <v>0</v>
      </c>
      <c r="J6571" t="n">
        <v>0</v>
      </c>
      <c r="K6571" t="n">
        <v>0</v>
      </c>
      <c r="L6571" t="n">
        <v>0</v>
      </c>
      <c r="M6571" t="n">
        <v>0</v>
      </c>
      <c r="N6571" t="n">
        <v>0</v>
      </c>
      <c r="O6571" t="n">
        <v>0</v>
      </c>
      <c r="P6571" t="n">
        <v>0</v>
      </c>
      <c r="Q6571" t="n">
        <v>0</v>
      </c>
      <c r="R6571" s="2" t="inlineStr"/>
    </row>
    <row r="6572" ht="15" customHeight="1">
      <c r="A6572" t="inlineStr">
        <is>
          <t>A 51574-2025</t>
        </is>
      </c>
      <c r="B6572" s="1" t="n">
        <v>45951.34423611111</v>
      </c>
      <c r="C6572" s="1" t="n">
        <v>46045</v>
      </c>
      <c r="D6572" t="inlineStr">
        <is>
          <t>JÄMTLANDS LÄN</t>
        </is>
      </c>
      <c r="E6572" t="inlineStr">
        <is>
          <t>BRÄCKE</t>
        </is>
      </c>
      <c r="F6572" t="inlineStr">
        <is>
          <t>SCA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24604-2025</t>
        </is>
      </c>
      <c r="B6573" s="1" t="n">
        <v>45798.5734375</v>
      </c>
      <c r="C6573" s="1" t="n">
        <v>46045</v>
      </c>
      <c r="D6573" t="inlineStr">
        <is>
          <t>JÄMTLANDS LÄN</t>
        </is>
      </c>
      <c r="E6573" t="inlineStr">
        <is>
          <t>BRÄCKE</t>
        </is>
      </c>
      <c r="F6573" t="inlineStr">
        <is>
          <t>SCA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51732-2025</t>
        </is>
      </c>
      <c r="B6574" s="1" t="n">
        <v>45951.59487268519</v>
      </c>
      <c r="C6574" s="1" t="n">
        <v>46045</v>
      </c>
      <c r="D6574" t="inlineStr">
        <is>
          <t>JÄMTLANDS LÄN</t>
        </is>
      </c>
      <c r="E6574" t="inlineStr">
        <is>
          <t>STRÖMSUND</t>
        </is>
      </c>
      <c r="F6574" t="inlineStr">
        <is>
          <t>SCA</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11288-2022</t>
        </is>
      </c>
      <c r="B6575" s="1" t="n">
        <v>44629</v>
      </c>
      <c r="C6575" s="1" t="n">
        <v>46045</v>
      </c>
      <c r="D6575" t="inlineStr">
        <is>
          <t>JÄMTLANDS LÄN</t>
        </is>
      </c>
      <c r="E6575" t="inlineStr">
        <is>
          <t>RAGUNDA</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41766-2022</t>
        </is>
      </c>
      <c r="B6576" s="1" t="n">
        <v>44827</v>
      </c>
      <c r="C6576" s="1" t="n">
        <v>46045</v>
      </c>
      <c r="D6576" t="inlineStr">
        <is>
          <t>JÄMTLANDS LÄN</t>
        </is>
      </c>
      <c r="E6576" t="inlineStr">
        <is>
          <t>HÄRJEDALEN</t>
        </is>
      </c>
      <c r="G6576" t="n">
        <v>12.5</v>
      </c>
      <c r="H6576" t="n">
        <v>0</v>
      </c>
      <c r="I6576" t="n">
        <v>0</v>
      </c>
      <c r="J6576" t="n">
        <v>0</v>
      </c>
      <c r="K6576" t="n">
        <v>0</v>
      </c>
      <c r="L6576" t="n">
        <v>0</v>
      </c>
      <c r="M6576" t="n">
        <v>0</v>
      </c>
      <c r="N6576" t="n">
        <v>0</v>
      </c>
      <c r="O6576" t="n">
        <v>0</v>
      </c>
      <c r="P6576" t="n">
        <v>0</v>
      </c>
      <c r="Q6576" t="n">
        <v>0</v>
      </c>
      <c r="R6576" s="2" t="inlineStr"/>
    </row>
    <row r="6577" ht="15" customHeight="1">
      <c r="A6577" t="inlineStr">
        <is>
          <t>A 51932-2025</t>
        </is>
      </c>
      <c r="B6577" s="1" t="n">
        <v>45952.51094907407</v>
      </c>
      <c r="C6577" s="1" t="n">
        <v>46045</v>
      </c>
      <c r="D6577" t="inlineStr">
        <is>
          <t>JÄMTLANDS LÄN</t>
        </is>
      </c>
      <c r="E6577" t="inlineStr">
        <is>
          <t>RAGUNDA</t>
        </is>
      </c>
      <c r="F6577" t="inlineStr">
        <is>
          <t>SCA</t>
        </is>
      </c>
      <c r="G6577" t="n">
        <v>39.2</v>
      </c>
      <c r="H6577" t="n">
        <v>0</v>
      </c>
      <c r="I6577" t="n">
        <v>0</v>
      </c>
      <c r="J6577" t="n">
        <v>0</v>
      </c>
      <c r="K6577" t="n">
        <v>0</v>
      </c>
      <c r="L6577" t="n">
        <v>0</v>
      </c>
      <c r="M6577" t="n">
        <v>0</v>
      </c>
      <c r="N6577" t="n">
        <v>0</v>
      </c>
      <c r="O6577" t="n">
        <v>0</v>
      </c>
      <c r="P6577" t="n">
        <v>0</v>
      </c>
      <c r="Q6577" t="n">
        <v>0</v>
      </c>
      <c r="R6577" s="2" t="inlineStr"/>
    </row>
    <row r="6578" ht="15" customHeight="1">
      <c r="A6578" t="inlineStr">
        <is>
          <t>A 51839-2025</t>
        </is>
      </c>
      <c r="B6578" s="1" t="n">
        <v>45952.34472222222</v>
      </c>
      <c r="C6578" s="1" t="n">
        <v>46045</v>
      </c>
      <c r="D6578" t="inlineStr">
        <is>
          <t>JÄMTLANDS LÄN</t>
        </is>
      </c>
      <c r="E6578" t="inlineStr">
        <is>
          <t>BRÄCKE</t>
        </is>
      </c>
      <c r="F6578" t="inlineStr">
        <is>
          <t>SCA</t>
        </is>
      </c>
      <c r="G6578" t="n">
        <v>17.5</v>
      </c>
      <c r="H6578" t="n">
        <v>0</v>
      </c>
      <c r="I6578" t="n">
        <v>0</v>
      </c>
      <c r="J6578" t="n">
        <v>0</v>
      </c>
      <c r="K6578" t="n">
        <v>0</v>
      </c>
      <c r="L6578" t="n">
        <v>0</v>
      </c>
      <c r="M6578" t="n">
        <v>0</v>
      </c>
      <c r="N6578" t="n">
        <v>0</v>
      </c>
      <c r="O6578" t="n">
        <v>0</v>
      </c>
      <c r="P6578" t="n">
        <v>0</v>
      </c>
      <c r="Q6578" t="n">
        <v>0</v>
      </c>
      <c r="R6578" s="2" t="inlineStr"/>
    </row>
    <row r="6579" ht="15" customHeight="1">
      <c r="A6579" t="inlineStr">
        <is>
          <t>A 41771-2022</t>
        </is>
      </c>
      <c r="B6579" s="1" t="n">
        <v>44827</v>
      </c>
      <c r="C6579" s="1" t="n">
        <v>46045</v>
      </c>
      <c r="D6579" t="inlineStr">
        <is>
          <t>JÄMTLANDS LÄN</t>
        </is>
      </c>
      <c r="E6579" t="inlineStr">
        <is>
          <t>HÄRJEDALEN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57459-2024</t>
        </is>
      </c>
      <c r="B6580" s="1" t="n">
        <v>45630</v>
      </c>
      <c r="C6580" s="1" t="n">
        <v>46045</v>
      </c>
      <c r="D6580" t="inlineStr">
        <is>
          <t>JÄMTLANDS LÄN</t>
        </is>
      </c>
      <c r="E6580" t="inlineStr">
        <is>
          <t>KROKOM</t>
        </is>
      </c>
      <c r="G6580" t="n">
        <v>19.2</v>
      </c>
      <c r="H6580" t="n">
        <v>0</v>
      </c>
      <c r="I6580" t="n">
        <v>0</v>
      </c>
      <c r="J6580" t="n">
        <v>0</v>
      </c>
      <c r="K6580" t="n">
        <v>0</v>
      </c>
      <c r="L6580" t="n">
        <v>0</v>
      </c>
      <c r="M6580" t="n">
        <v>0</v>
      </c>
      <c r="N6580" t="n">
        <v>0</v>
      </c>
      <c r="O6580" t="n">
        <v>0</v>
      </c>
      <c r="P6580" t="n">
        <v>0</v>
      </c>
      <c r="Q6580" t="n">
        <v>0</v>
      </c>
      <c r="R6580" s="2" t="inlineStr"/>
    </row>
    <row r="6581" ht="15" customHeight="1">
      <c r="A6581" t="inlineStr">
        <is>
          <t>A 24226-2025</t>
        </is>
      </c>
      <c r="B6581" s="1" t="n">
        <v>45797.37096064815</v>
      </c>
      <c r="C6581" s="1" t="n">
        <v>46045</v>
      </c>
      <c r="D6581" t="inlineStr">
        <is>
          <t>JÄMTLANDS LÄN</t>
        </is>
      </c>
      <c r="E6581" t="inlineStr">
        <is>
          <t>HÄRJEDALEN</t>
        </is>
      </c>
      <c r="G6581" t="n">
        <v>28.7</v>
      </c>
      <c r="H6581" t="n">
        <v>0</v>
      </c>
      <c r="I6581" t="n">
        <v>0</v>
      </c>
      <c r="J6581" t="n">
        <v>0</v>
      </c>
      <c r="K6581" t="n">
        <v>0</v>
      </c>
      <c r="L6581" t="n">
        <v>0</v>
      </c>
      <c r="M6581" t="n">
        <v>0</v>
      </c>
      <c r="N6581" t="n">
        <v>0</v>
      </c>
      <c r="O6581" t="n">
        <v>0</v>
      </c>
      <c r="P6581" t="n">
        <v>0</v>
      </c>
      <c r="Q6581" t="n">
        <v>0</v>
      </c>
      <c r="R6581" s="2" t="inlineStr"/>
    </row>
    <row r="6582" ht="15" customHeight="1">
      <c r="A6582" t="inlineStr">
        <is>
          <t>A 2643-2024</t>
        </is>
      </c>
      <c r="B6582" s="1" t="n">
        <v>45314</v>
      </c>
      <c r="C6582" s="1" t="n">
        <v>46045</v>
      </c>
      <c r="D6582" t="inlineStr">
        <is>
          <t>JÄMTLANDS LÄN</t>
        </is>
      </c>
      <c r="E6582" t="inlineStr">
        <is>
          <t>STRÖMSUND</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26207-2024</t>
        </is>
      </c>
      <c r="B6583" s="1" t="n">
        <v>45467</v>
      </c>
      <c r="C6583" s="1" t="n">
        <v>46045</v>
      </c>
      <c r="D6583" t="inlineStr">
        <is>
          <t>JÄMTLANDS LÄN</t>
        </is>
      </c>
      <c r="E6583" t="inlineStr">
        <is>
          <t>KROKOM</t>
        </is>
      </c>
      <c r="G6583" t="n">
        <v>14.4</v>
      </c>
      <c r="H6583" t="n">
        <v>0</v>
      </c>
      <c r="I6583" t="n">
        <v>0</v>
      </c>
      <c r="J6583" t="n">
        <v>0</v>
      </c>
      <c r="K6583" t="n">
        <v>0</v>
      </c>
      <c r="L6583" t="n">
        <v>0</v>
      </c>
      <c r="M6583" t="n">
        <v>0</v>
      </c>
      <c r="N6583" t="n">
        <v>0</v>
      </c>
      <c r="O6583" t="n">
        <v>0</v>
      </c>
      <c r="P6583" t="n">
        <v>0</v>
      </c>
      <c r="Q6583" t="n">
        <v>0</v>
      </c>
      <c r="R6583" s="2" t="inlineStr"/>
    </row>
    <row r="6584" ht="15" customHeight="1">
      <c r="A6584" t="inlineStr">
        <is>
          <t>A 52528-2025</t>
        </is>
      </c>
      <c r="B6584" s="1" t="n">
        <v>45954.53189814815</v>
      </c>
      <c r="C6584" s="1" t="n">
        <v>46045</v>
      </c>
      <c r="D6584" t="inlineStr">
        <is>
          <t>JÄMTLANDS LÄN</t>
        </is>
      </c>
      <c r="E6584" t="inlineStr">
        <is>
          <t>KROKOM</t>
        </is>
      </c>
      <c r="F6584" t="inlineStr">
        <is>
          <t>SCA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19865-2023</t>
        </is>
      </c>
      <c r="B6585" s="1" t="n">
        <v>45053.94305555556</v>
      </c>
      <c r="C6585" s="1" t="n">
        <v>46045</v>
      </c>
      <c r="D6585" t="inlineStr">
        <is>
          <t>JÄMTLANDS LÄN</t>
        </is>
      </c>
      <c r="E6585" t="inlineStr">
        <is>
          <t>RAGUNDA</t>
        </is>
      </c>
      <c r="F6585" t="inlineStr">
        <is>
          <t>SCA</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52341-2025</t>
        </is>
      </c>
      <c r="B6586" s="1" t="n">
        <v>45953.71564814815</v>
      </c>
      <c r="C6586" s="1" t="n">
        <v>46045</v>
      </c>
      <c r="D6586" t="inlineStr">
        <is>
          <t>JÄMTLANDS LÄN</t>
        </is>
      </c>
      <c r="E6586" t="inlineStr">
        <is>
          <t>BERG</t>
        </is>
      </c>
      <c r="G6586" t="n">
        <v>12.2</v>
      </c>
      <c r="H6586" t="n">
        <v>0</v>
      </c>
      <c r="I6586" t="n">
        <v>0</v>
      </c>
      <c r="J6586" t="n">
        <v>0</v>
      </c>
      <c r="K6586" t="n">
        <v>0</v>
      </c>
      <c r="L6586" t="n">
        <v>0</v>
      </c>
      <c r="M6586" t="n">
        <v>0</v>
      </c>
      <c r="N6586" t="n">
        <v>0</v>
      </c>
      <c r="O6586" t="n">
        <v>0</v>
      </c>
      <c r="P6586" t="n">
        <v>0</v>
      </c>
      <c r="Q6586" t="n">
        <v>0</v>
      </c>
      <c r="R6586" s="2" t="inlineStr"/>
    </row>
    <row r="6587" ht="15" customHeight="1">
      <c r="A6587" t="inlineStr">
        <is>
          <t>A 52342-2025</t>
        </is>
      </c>
      <c r="B6587" s="1" t="n">
        <v>45953.71928240741</v>
      </c>
      <c r="C6587" s="1" t="n">
        <v>46045</v>
      </c>
      <c r="D6587" t="inlineStr">
        <is>
          <t>JÄMTLANDS LÄN</t>
        </is>
      </c>
      <c r="E6587" t="inlineStr">
        <is>
          <t>BRÄCKE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52343-2025</t>
        </is>
      </c>
      <c r="B6588" s="1" t="n">
        <v>45953.71953703704</v>
      </c>
      <c r="C6588" s="1" t="n">
        <v>46045</v>
      </c>
      <c r="D6588" t="inlineStr">
        <is>
          <t>JÄMTLANDS LÄN</t>
        </is>
      </c>
      <c r="E6588" t="inlineStr">
        <is>
          <t>BRÄCKE</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52345-2025</t>
        </is>
      </c>
      <c r="B6589" s="1" t="n">
        <v>45953.71998842592</v>
      </c>
      <c r="C6589" s="1" t="n">
        <v>46045</v>
      </c>
      <c r="D6589" t="inlineStr">
        <is>
          <t>JÄMTLANDS LÄN</t>
        </is>
      </c>
      <c r="E6589" t="inlineStr">
        <is>
          <t>BRÄCKE</t>
        </is>
      </c>
      <c r="F6589" t="inlineStr">
        <is>
          <t>SCA</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52346-2025</t>
        </is>
      </c>
      <c r="B6590" s="1" t="n">
        <v>45953</v>
      </c>
      <c r="C6590" s="1" t="n">
        <v>46045</v>
      </c>
      <c r="D6590" t="inlineStr">
        <is>
          <t>JÄMTLANDS LÄN</t>
        </is>
      </c>
      <c r="E6590" t="inlineStr">
        <is>
          <t>BRÄCKE</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52347-2025</t>
        </is>
      </c>
      <c r="B6591" s="1" t="n">
        <v>45953.72041666666</v>
      </c>
      <c r="C6591" s="1" t="n">
        <v>46045</v>
      </c>
      <c r="D6591" t="inlineStr">
        <is>
          <t>JÄMTLANDS LÄN</t>
        </is>
      </c>
      <c r="E6591" t="inlineStr">
        <is>
          <t>BRÄCKE</t>
        </is>
      </c>
      <c r="F6591" t="inlineStr">
        <is>
          <t>SCA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52315-2025</t>
        </is>
      </c>
      <c r="B6592" s="1" t="n">
        <v>45953.65322916667</v>
      </c>
      <c r="C6592" s="1" t="n">
        <v>46045</v>
      </c>
      <c r="D6592" t="inlineStr">
        <is>
          <t>JÄMTLANDS LÄN</t>
        </is>
      </c>
      <c r="E6592" t="inlineStr">
        <is>
          <t>KROKOM</t>
        </is>
      </c>
      <c r="G6592" t="n">
        <v>6.6</v>
      </c>
      <c r="H6592" t="n">
        <v>0</v>
      </c>
      <c r="I6592" t="n">
        <v>0</v>
      </c>
      <c r="J6592" t="n">
        <v>0</v>
      </c>
      <c r="K6592" t="n">
        <v>0</v>
      </c>
      <c r="L6592" t="n">
        <v>0</v>
      </c>
      <c r="M6592" t="n">
        <v>0</v>
      </c>
      <c r="N6592" t="n">
        <v>0</v>
      </c>
      <c r="O6592" t="n">
        <v>0</v>
      </c>
      <c r="P6592" t="n">
        <v>0</v>
      </c>
      <c r="Q6592" t="n">
        <v>0</v>
      </c>
      <c r="R6592" s="2" t="inlineStr"/>
    </row>
    <row r="6593" ht="15" customHeight="1">
      <c r="A6593" t="inlineStr">
        <is>
          <t>A 52280-2025</t>
        </is>
      </c>
      <c r="B6593" s="1" t="n">
        <v>45953.56976851852</v>
      </c>
      <c r="C6593" s="1" t="n">
        <v>46045</v>
      </c>
      <c r="D6593" t="inlineStr">
        <is>
          <t>JÄMTLANDS LÄN</t>
        </is>
      </c>
      <c r="E6593" t="inlineStr">
        <is>
          <t>ÖSTERSUND</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8327-2025</t>
        </is>
      </c>
      <c r="B6594" s="1" t="n">
        <v>45708.63655092593</v>
      </c>
      <c r="C6594" s="1" t="n">
        <v>46045</v>
      </c>
      <c r="D6594" t="inlineStr">
        <is>
          <t>JÄMTLANDS LÄN</t>
        </is>
      </c>
      <c r="E6594" t="inlineStr">
        <is>
          <t>STRÖMSUND</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8495-2025</t>
        </is>
      </c>
      <c r="B6595" s="1" t="n">
        <v>45709.51079861111</v>
      </c>
      <c r="C6595" s="1" t="n">
        <v>46045</v>
      </c>
      <c r="D6595" t="inlineStr">
        <is>
          <t>JÄMTLANDS LÄN</t>
        </is>
      </c>
      <c r="E6595" t="inlineStr">
        <is>
          <t>STRÖMSUND</t>
        </is>
      </c>
      <c r="F6595" t="inlineStr">
        <is>
          <t>SCA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52202-2025</t>
        </is>
      </c>
      <c r="B6596" s="1" t="n">
        <v>45953.40715277778</v>
      </c>
      <c r="C6596" s="1" t="n">
        <v>46045</v>
      </c>
      <c r="D6596" t="inlineStr">
        <is>
          <t>JÄMTLANDS LÄN</t>
        </is>
      </c>
      <c r="E6596" t="inlineStr">
        <is>
          <t>BRÄCKE</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52520-2025</t>
        </is>
      </c>
      <c r="B6597" s="1" t="n">
        <v>45954.51769675926</v>
      </c>
      <c r="C6597" s="1" t="n">
        <v>46045</v>
      </c>
      <c r="D6597" t="inlineStr">
        <is>
          <t>JÄMTLANDS LÄN</t>
        </is>
      </c>
      <c r="E6597" t="inlineStr">
        <is>
          <t>HÄRJEDALEN</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52260-2025</t>
        </is>
      </c>
      <c r="B6598" s="1" t="n">
        <v>45953.51113425926</v>
      </c>
      <c r="C6598" s="1" t="n">
        <v>46045</v>
      </c>
      <c r="D6598" t="inlineStr">
        <is>
          <t>JÄMTLANDS LÄN</t>
        </is>
      </c>
      <c r="E6598" t="inlineStr">
        <is>
          <t>BERG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55463-2023</t>
        </is>
      </c>
      <c r="B6599" s="1" t="n">
        <v>45238.46430555556</v>
      </c>
      <c r="C6599" s="1" t="n">
        <v>46045</v>
      </c>
      <c r="D6599" t="inlineStr">
        <is>
          <t>JÄMTLANDS LÄN</t>
        </is>
      </c>
      <c r="E6599" t="inlineStr">
        <is>
          <t>HÄRJEDALEN</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24340-2025</t>
        </is>
      </c>
      <c r="B6600" s="1" t="n">
        <v>45797.5740625</v>
      </c>
      <c r="C6600" s="1" t="n">
        <v>46045</v>
      </c>
      <c r="D6600" t="inlineStr">
        <is>
          <t>JÄMTLANDS LÄN</t>
        </is>
      </c>
      <c r="E6600" t="inlineStr">
        <is>
          <t>STRÖMSUND</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52607-2025</t>
        </is>
      </c>
      <c r="B6601" s="1" t="n">
        <v>45954.66291666667</v>
      </c>
      <c r="C6601" s="1" t="n">
        <v>46045</v>
      </c>
      <c r="D6601" t="inlineStr">
        <is>
          <t>JÄMTLANDS LÄN</t>
        </is>
      </c>
      <c r="E6601" t="inlineStr">
        <is>
          <t>ÅRE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52468-2025</t>
        </is>
      </c>
      <c r="B6602" s="1" t="n">
        <v>45954.44833333333</v>
      </c>
      <c r="C6602" s="1" t="n">
        <v>46045</v>
      </c>
      <c r="D6602" t="inlineStr">
        <is>
          <t>JÄMTLANDS LÄN</t>
        </is>
      </c>
      <c r="E6602" t="inlineStr">
        <is>
          <t>BRÄCKE</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24391-2025</t>
        </is>
      </c>
      <c r="B6603" s="1" t="n">
        <v>45797.63627314815</v>
      </c>
      <c r="C6603" s="1" t="n">
        <v>46045</v>
      </c>
      <c r="D6603" t="inlineStr">
        <is>
          <t>JÄMTLANDS LÄN</t>
        </is>
      </c>
      <c r="E6603" t="inlineStr">
        <is>
          <t>RAGUNDA</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52184-2025</t>
        </is>
      </c>
      <c r="B6604" s="1" t="n">
        <v>45953.38594907407</v>
      </c>
      <c r="C6604" s="1" t="n">
        <v>46045</v>
      </c>
      <c r="D6604" t="inlineStr">
        <is>
          <t>JÄMTLANDS LÄN</t>
        </is>
      </c>
      <c r="E6604" t="inlineStr">
        <is>
          <t>STRÖMSUND</t>
        </is>
      </c>
      <c r="F6604" t="inlineStr">
        <is>
          <t>SCA</t>
        </is>
      </c>
      <c r="G6604" t="n">
        <v>18.8</v>
      </c>
      <c r="H6604" t="n">
        <v>0</v>
      </c>
      <c r="I6604" t="n">
        <v>0</v>
      </c>
      <c r="J6604" t="n">
        <v>0</v>
      </c>
      <c r="K6604" t="n">
        <v>0</v>
      </c>
      <c r="L6604" t="n">
        <v>0</v>
      </c>
      <c r="M6604" t="n">
        <v>0</v>
      </c>
      <c r="N6604" t="n">
        <v>0</v>
      </c>
      <c r="O6604" t="n">
        <v>0</v>
      </c>
      <c r="P6604" t="n">
        <v>0</v>
      </c>
      <c r="Q6604" t="n">
        <v>0</v>
      </c>
      <c r="R6604" s="2" t="inlineStr"/>
    </row>
    <row r="6605" ht="15" customHeight="1">
      <c r="A6605" t="inlineStr">
        <is>
          <t>A 1554-2024</t>
        </is>
      </c>
      <c r="B6605" s="1" t="n">
        <v>45306</v>
      </c>
      <c r="C6605" s="1" t="n">
        <v>46045</v>
      </c>
      <c r="D6605" t="inlineStr">
        <is>
          <t>JÄMTLANDS LÄN</t>
        </is>
      </c>
      <c r="E6605" t="inlineStr">
        <is>
          <t>RAGUNDA</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21508-2024</t>
        </is>
      </c>
      <c r="B6606" s="1" t="n">
        <v>45441.56905092593</v>
      </c>
      <c r="C6606" s="1" t="n">
        <v>46045</v>
      </c>
      <c r="D6606" t="inlineStr">
        <is>
          <t>JÄMTLANDS LÄN</t>
        </is>
      </c>
      <c r="E6606" t="inlineStr">
        <is>
          <t>BERG</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52302-2025</t>
        </is>
      </c>
      <c r="B6607" s="1" t="n">
        <v>45953.62150462963</v>
      </c>
      <c r="C6607" s="1" t="n">
        <v>46045</v>
      </c>
      <c r="D6607" t="inlineStr">
        <is>
          <t>JÄMTLANDS LÄN</t>
        </is>
      </c>
      <c r="E6607" t="inlineStr">
        <is>
          <t>KROKOM</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52304-2025</t>
        </is>
      </c>
      <c r="B6608" s="1" t="n">
        <v>45953.62553240741</v>
      </c>
      <c r="C6608" s="1" t="n">
        <v>46045</v>
      </c>
      <c r="D6608" t="inlineStr">
        <is>
          <t>JÄMTLANDS LÄN</t>
        </is>
      </c>
      <c r="E6608" t="inlineStr">
        <is>
          <t>KROKOM</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25311-2025</t>
        </is>
      </c>
      <c r="B6609" s="1" t="n">
        <v>45800.57407407407</v>
      </c>
      <c r="C6609" s="1" t="n">
        <v>46045</v>
      </c>
      <c r="D6609" t="inlineStr">
        <is>
          <t>JÄMTLANDS LÄN</t>
        </is>
      </c>
      <c r="E6609" t="inlineStr">
        <is>
          <t>STRÖMSUND</t>
        </is>
      </c>
      <c r="F6609" t="inlineStr">
        <is>
          <t>SCA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25325-2025</t>
        </is>
      </c>
      <c r="B6610" s="1" t="n">
        <v>45800.58859953703</v>
      </c>
      <c r="C6610" s="1" t="n">
        <v>46045</v>
      </c>
      <c r="D6610" t="inlineStr">
        <is>
          <t>JÄMTLANDS LÄN</t>
        </is>
      </c>
      <c r="E6610" t="inlineStr">
        <is>
          <t>HÄRJEDALEN</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52157-2025</t>
        </is>
      </c>
      <c r="B6611" s="1" t="n">
        <v>45953.3558912037</v>
      </c>
      <c r="C6611" s="1" t="n">
        <v>46045</v>
      </c>
      <c r="D6611" t="inlineStr">
        <is>
          <t>JÄMTLANDS LÄN</t>
        </is>
      </c>
      <c r="E6611" t="inlineStr">
        <is>
          <t>BRÄCKE</t>
        </is>
      </c>
      <c r="F6611" t="inlineStr">
        <is>
          <t>SCA</t>
        </is>
      </c>
      <c r="G6611" t="n">
        <v>13.3</v>
      </c>
      <c r="H6611" t="n">
        <v>0</v>
      </c>
      <c r="I6611" t="n">
        <v>0</v>
      </c>
      <c r="J6611" t="n">
        <v>0</v>
      </c>
      <c r="K6611" t="n">
        <v>0</v>
      </c>
      <c r="L6611" t="n">
        <v>0</v>
      </c>
      <c r="M6611" t="n">
        <v>0</v>
      </c>
      <c r="N6611" t="n">
        <v>0</v>
      </c>
      <c r="O6611" t="n">
        <v>0</v>
      </c>
      <c r="P6611" t="n">
        <v>0</v>
      </c>
      <c r="Q6611" t="n">
        <v>0</v>
      </c>
      <c r="R6611" s="2" t="inlineStr"/>
    </row>
    <row r="6612" ht="15" customHeight="1">
      <c r="A6612" t="inlineStr">
        <is>
          <t>A 25334-2025</t>
        </is>
      </c>
      <c r="B6612" s="1" t="n">
        <v>45800.59567129629</v>
      </c>
      <c r="C6612" s="1" t="n">
        <v>46045</v>
      </c>
      <c r="D6612" t="inlineStr">
        <is>
          <t>JÄMTLANDS LÄN</t>
        </is>
      </c>
      <c r="E6612" t="inlineStr">
        <is>
          <t>HÄRJEDALEN</t>
        </is>
      </c>
      <c r="F6612" t="inlineStr">
        <is>
          <t>Holmen skog AB</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25376-2025</t>
        </is>
      </c>
      <c r="B6613" s="1" t="n">
        <v>45800.63619212963</v>
      </c>
      <c r="C6613" s="1" t="n">
        <v>46045</v>
      </c>
      <c r="D6613" t="inlineStr">
        <is>
          <t>JÄMTLANDS LÄN</t>
        </is>
      </c>
      <c r="E6613" t="inlineStr">
        <is>
          <t>RAGUNDA</t>
        </is>
      </c>
      <c r="F6613" t="inlineStr">
        <is>
          <t>SCA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52597-2025</t>
        </is>
      </c>
      <c r="B6614" s="1" t="n">
        <v>45954.65364583334</v>
      </c>
      <c r="C6614" s="1" t="n">
        <v>46045</v>
      </c>
      <c r="D6614" t="inlineStr">
        <is>
          <t>JÄMTLANDS LÄN</t>
        </is>
      </c>
      <c r="E6614" t="inlineStr">
        <is>
          <t>ÅRE</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52606-2025</t>
        </is>
      </c>
      <c r="B6615" s="1" t="n">
        <v>45954.66020833333</v>
      </c>
      <c r="C6615" s="1" t="n">
        <v>46045</v>
      </c>
      <c r="D6615" t="inlineStr">
        <is>
          <t>JÄMTLANDS LÄN</t>
        </is>
      </c>
      <c r="E6615" t="inlineStr">
        <is>
          <t>ÅRE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52620-2025</t>
        </is>
      </c>
      <c r="B6616" s="1" t="n">
        <v>45954.68207175926</v>
      </c>
      <c r="C6616" s="1" t="n">
        <v>46045</v>
      </c>
      <c r="D6616" t="inlineStr">
        <is>
          <t>JÄMTLANDS LÄN</t>
        </is>
      </c>
      <c r="E6616" t="inlineStr">
        <is>
          <t>ÖSTERSUND</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25392-2025</t>
        </is>
      </c>
      <c r="B6617" s="1" t="n">
        <v>45800.64719907408</v>
      </c>
      <c r="C6617" s="1" t="n">
        <v>46045</v>
      </c>
      <c r="D6617" t="inlineStr">
        <is>
          <t>JÄMTLANDS LÄN</t>
        </is>
      </c>
      <c r="E6617" t="inlineStr">
        <is>
          <t>HÄRJEDALEN</t>
        </is>
      </c>
      <c r="F6617" t="inlineStr">
        <is>
          <t>Holmen skog AB</t>
        </is>
      </c>
      <c r="G6617" t="n">
        <v>10.3</v>
      </c>
      <c r="H6617" t="n">
        <v>0</v>
      </c>
      <c r="I6617" t="n">
        <v>0</v>
      </c>
      <c r="J6617" t="n">
        <v>0</v>
      </c>
      <c r="K6617" t="n">
        <v>0</v>
      </c>
      <c r="L6617" t="n">
        <v>0</v>
      </c>
      <c r="M6617" t="n">
        <v>0</v>
      </c>
      <c r="N6617" t="n">
        <v>0</v>
      </c>
      <c r="O6617" t="n">
        <v>0</v>
      </c>
      <c r="P6617" t="n">
        <v>0</v>
      </c>
      <c r="Q6617" t="n">
        <v>0</v>
      </c>
      <c r="R6617" s="2" t="inlineStr"/>
    </row>
    <row r="6618" ht="15" customHeight="1">
      <c r="A6618" t="inlineStr">
        <is>
          <t>A 25302-2025</t>
        </is>
      </c>
      <c r="B6618" s="1" t="n">
        <v>45800.57129629629</v>
      </c>
      <c r="C6618" s="1" t="n">
        <v>46045</v>
      </c>
      <c r="D6618" t="inlineStr">
        <is>
          <t>JÄMTLANDS LÄN</t>
        </is>
      </c>
      <c r="E6618" t="inlineStr">
        <is>
          <t>KROKOM</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25312-2025</t>
        </is>
      </c>
      <c r="B6619" s="1" t="n">
        <v>45800.57461805556</v>
      </c>
      <c r="C6619" s="1" t="n">
        <v>46045</v>
      </c>
      <c r="D6619" t="inlineStr">
        <is>
          <t>JÄMTLANDS LÄN</t>
        </is>
      </c>
      <c r="E6619" t="inlineStr">
        <is>
          <t>KROKOM</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25288-2025</t>
        </is>
      </c>
      <c r="B6620" s="1" t="n">
        <v>45800.56313657408</v>
      </c>
      <c r="C6620" s="1" t="n">
        <v>46045</v>
      </c>
      <c r="D6620" t="inlineStr">
        <is>
          <t>JÄMTLANDS LÄN</t>
        </is>
      </c>
      <c r="E6620" t="inlineStr">
        <is>
          <t>HÄRJEDALEN</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52604-2025</t>
        </is>
      </c>
      <c r="B6621" s="1" t="n">
        <v>45954.65774305556</v>
      </c>
      <c r="C6621" s="1" t="n">
        <v>46045</v>
      </c>
      <c r="D6621" t="inlineStr">
        <is>
          <t>JÄMTLANDS LÄN</t>
        </is>
      </c>
      <c r="E6621" t="inlineStr">
        <is>
          <t>ÅRE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25315-2025</t>
        </is>
      </c>
      <c r="B6622" s="1" t="n">
        <v>45800.57837962963</v>
      </c>
      <c r="C6622" s="1" t="n">
        <v>46045</v>
      </c>
      <c r="D6622" t="inlineStr">
        <is>
          <t>JÄMTLANDS LÄN</t>
        </is>
      </c>
      <c r="E6622" t="inlineStr">
        <is>
          <t>HÄRJEDALEN</t>
        </is>
      </c>
      <c r="F6622" t="inlineStr">
        <is>
          <t>Holmen skog AB</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24946-2025</t>
        </is>
      </c>
      <c r="B6623" s="1" t="n">
        <v>45799.56515046296</v>
      </c>
      <c r="C6623" s="1" t="n">
        <v>46045</v>
      </c>
      <c r="D6623" t="inlineStr">
        <is>
          <t>JÄMTLANDS LÄN</t>
        </is>
      </c>
      <c r="E6623" t="inlineStr">
        <is>
          <t>ÖSTERSUND</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29378-2024</t>
        </is>
      </c>
      <c r="B6624" s="1" t="n">
        <v>45483.59328703704</v>
      </c>
      <c r="C6624" s="1" t="n">
        <v>46045</v>
      </c>
      <c r="D6624" t="inlineStr">
        <is>
          <t>JÄMTLANDS LÄN</t>
        </is>
      </c>
      <c r="E6624" t="inlineStr">
        <is>
          <t>BERG</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24952-2025</t>
        </is>
      </c>
      <c r="B6625" s="1" t="n">
        <v>45799.57366898148</v>
      </c>
      <c r="C6625" s="1" t="n">
        <v>46045</v>
      </c>
      <c r="D6625" t="inlineStr">
        <is>
          <t>JÄMTLANDS LÄN</t>
        </is>
      </c>
      <c r="E6625" t="inlineStr">
        <is>
          <t>STRÖMSUND</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24956-2025</t>
        </is>
      </c>
      <c r="B6626" s="1" t="n">
        <v>45799.57424768519</v>
      </c>
      <c r="C6626" s="1" t="n">
        <v>46045</v>
      </c>
      <c r="D6626" t="inlineStr">
        <is>
          <t>JÄMTLANDS LÄN</t>
        </is>
      </c>
      <c r="E6626" t="inlineStr">
        <is>
          <t>STRÖMSUND</t>
        </is>
      </c>
      <c r="F6626" t="inlineStr">
        <is>
          <t>SCA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25200-2025</t>
        </is>
      </c>
      <c r="B6627" s="1" t="n">
        <v>45800.4615625</v>
      </c>
      <c r="C6627" s="1" t="n">
        <v>46045</v>
      </c>
      <c r="D6627" t="inlineStr">
        <is>
          <t>JÄMTLANDS LÄN</t>
        </is>
      </c>
      <c r="E6627" t="inlineStr">
        <is>
          <t>ÅRE</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44051-2021</t>
        </is>
      </c>
      <c r="B6628" s="1" t="n">
        <v>44434</v>
      </c>
      <c r="C6628" s="1" t="n">
        <v>46045</v>
      </c>
      <c r="D6628" t="inlineStr">
        <is>
          <t>JÄMTLANDS LÄN</t>
        </is>
      </c>
      <c r="E6628" t="inlineStr">
        <is>
          <t>ÖSTERSUND</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25223-2025</t>
        </is>
      </c>
      <c r="B6629" s="1" t="n">
        <v>45800.48060185185</v>
      </c>
      <c r="C6629" s="1" t="n">
        <v>46045</v>
      </c>
      <c r="D6629" t="inlineStr">
        <is>
          <t>JÄMTLANDS LÄN</t>
        </is>
      </c>
      <c r="E6629" t="inlineStr">
        <is>
          <t>HÄRJEDALEN</t>
        </is>
      </c>
      <c r="F6629" t="inlineStr">
        <is>
          <t>Holmen skog AB</t>
        </is>
      </c>
      <c r="G6629" t="n">
        <v>7.9</v>
      </c>
      <c r="H6629" t="n">
        <v>0</v>
      </c>
      <c r="I6629" t="n">
        <v>0</v>
      </c>
      <c r="J6629" t="n">
        <v>0</v>
      </c>
      <c r="K6629" t="n">
        <v>0</v>
      </c>
      <c r="L6629" t="n">
        <v>0</v>
      </c>
      <c r="M6629" t="n">
        <v>0</v>
      </c>
      <c r="N6629" t="n">
        <v>0</v>
      </c>
      <c r="O6629" t="n">
        <v>0</v>
      </c>
      <c r="P6629" t="n">
        <v>0</v>
      </c>
      <c r="Q6629" t="n">
        <v>0</v>
      </c>
      <c r="R6629" s="2" t="inlineStr"/>
    </row>
    <row r="6630" ht="15" customHeight="1">
      <c r="A6630" t="inlineStr">
        <is>
          <t>A 25024-2025</t>
        </is>
      </c>
      <c r="B6630" s="1" t="n">
        <v>45799.64804398148</v>
      </c>
      <c r="C6630" s="1" t="n">
        <v>46045</v>
      </c>
      <c r="D6630" t="inlineStr">
        <is>
          <t>JÄMTLANDS LÄN</t>
        </is>
      </c>
      <c r="E6630" t="inlineStr">
        <is>
          <t>HÄRJEDALEN</t>
        </is>
      </c>
      <c r="F6630" t="inlineStr">
        <is>
          <t>Bergvik skog väst AB</t>
        </is>
      </c>
      <c r="G6630" t="n">
        <v>31.2</v>
      </c>
      <c r="H6630" t="n">
        <v>0</v>
      </c>
      <c r="I6630" t="n">
        <v>0</v>
      </c>
      <c r="J6630" t="n">
        <v>0</v>
      </c>
      <c r="K6630" t="n">
        <v>0</v>
      </c>
      <c r="L6630" t="n">
        <v>0</v>
      </c>
      <c r="M6630" t="n">
        <v>0</v>
      </c>
      <c r="N6630" t="n">
        <v>0</v>
      </c>
      <c r="O6630" t="n">
        <v>0</v>
      </c>
      <c r="P6630" t="n">
        <v>0</v>
      </c>
      <c r="Q6630" t="n">
        <v>0</v>
      </c>
      <c r="R6630" s="2" t="inlineStr"/>
    </row>
    <row r="6631" ht="15" customHeight="1">
      <c r="A6631" t="inlineStr">
        <is>
          <t>A 24784-2025</t>
        </is>
      </c>
      <c r="B6631" s="1" t="n">
        <v>45799.42741898148</v>
      </c>
      <c r="C6631" s="1" t="n">
        <v>46045</v>
      </c>
      <c r="D6631" t="inlineStr">
        <is>
          <t>JÄMTLANDS LÄN</t>
        </is>
      </c>
      <c r="E6631" t="inlineStr">
        <is>
          <t>BRÄCKE</t>
        </is>
      </c>
      <c r="F6631" t="inlineStr">
        <is>
          <t>SCA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24786-2025</t>
        </is>
      </c>
      <c r="B6632" s="1" t="n">
        <v>45799.42777777778</v>
      </c>
      <c r="C6632" s="1" t="n">
        <v>46045</v>
      </c>
      <c r="D6632" t="inlineStr">
        <is>
          <t>JÄMTLANDS LÄN</t>
        </is>
      </c>
      <c r="E6632" t="inlineStr">
        <is>
          <t>BERG</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42959-2024</t>
        </is>
      </c>
      <c r="B6633" s="1" t="n">
        <v>45567.37144675926</v>
      </c>
      <c r="C6633" s="1" t="n">
        <v>46045</v>
      </c>
      <c r="D6633" t="inlineStr">
        <is>
          <t>JÄMTLANDS LÄN</t>
        </is>
      </c>
      <c r="E6633" t="inlineStr">
        <is>
          <t>BRÄCKE</t>
        </is>
      </c>
      <c r="F6633" t="inlineStr">
        <is>
          <t>SCA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25127-2025</t>
        </is>
      </c>
      <c r="B6634" s="1" t="n">
        <v>45800.3787037037</v>
      </c>
      <c r="C6634" s="1" t="n">
        <v>46045</v>
      </c>
      <c r="D6634" t="inlineStr">
        <is>
          <t>JÄMTLANDS LÄN</t>
        </is>
      </c>
      <c r="E6634" t="inlineStr">
        <is>
          <t>HÄRJEDALEN</t>
        </is>
      </c>
      <c r="F6634" t="inlineStr">
        <is>
          <t>Holmen skog AB</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52256-2025</t>
        </is>
      </c>
      <c r="B6635" s="1" t="n">
        <v>45953.50086805555</v>
      </c>
      <c r="C6635" s="1" t="n">
        <v>46045</v>
      </c>
      <c r="D6635" t="inlineStr">
        <is>
          <t>JÄMTLANDS LÄN</t>
        </is>
      </c>
      <c r="E6635" t="inlineStr">
        <is>
          <t>BERG</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52344-2025</t>
        </is>
      </c>
      <c r="B6636" s="1" t="n">
        <v>45953.71978009259</v>
      </c>
      <c r="C6636" s="1" t="n">
        <v>46045</v>
      </c>
      <c r="D6636" t="inlineStr">
        <is>
          <t>JÄMTLANDS LÄN</t>
        </is>
      </c>
      <c r="E6636" t="inlineStr">
        <is>
          <t>BRÄCKE</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52348-2025</t>
        </is>
      </c>
      <c r="B6637" s="1" t="n">
        <v>45953.72064814815</v>
      </c>
      <c r="C6637" s="1" t="n">
        <v>46045</v>
      </c>
      <c r="D6637" t="inlineStr">
        <is>
          <t>JÄMTLANDS LÄN</t>
        </is>
      </c>
      <c r="E6637" t="inlineStr">
        <is>
          <t>BERG</t>
        </is>
      </c>
      <c r="G6637" t="n">
        <v>8.300000000000001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52247-2025</t>
        </is>
      </c>
      <c r="B6638" s="1" t="n">
        <v>45953.47575231481</v>
      </c>
      <c r="C6638" s="1" t="n">
        <v>46045</v>
      </c>
      <c r="D6638" t="inlineStr">
        <is>
          <t>JÄMTLANDS LÄN</t>
        </is>
      </c>
      <c r="E6638" t="inlineStr">
        <is>
          <t>ÖSTERSUND</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24742-2025</t>
        </is>
      </c>
      <c r="B6639" s="1" t="n">
        <v>45799.34582175926</v>
      </c>
      <c r="C6639" s="1" t="n">
        <v>46045</v>
      </c>
      <c r="D6639" t="inlineStr">
        <is>
          <t>JÄMTLANDS LÄN</t>
        </is>
      </c>
      <c r="E6639" t="inlineStr">
        <is>
          <t>STRÖMSUND</t>
        </is>
      </c>
      <c r="F6639" t="inlineStr">
        <is>
          <t>SCA</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52431-2025</t>
        </is>
      </c>
      <c r="B6640" s="1" t="n">
        <v>45954.38606481482</v>
      </c>
      <c r="C6640" s="1" t="n">
        <v>46045</v>
      </c>
      <c r="D6640" t="inlineStr">
        <is>
          <t>JÄMTLANDS LÄN</t>
        </is>
      </c>
      <c r="E6640" t="inlineStr">
        <is>
          <t>KROKOM</t>
        </is>
      </c>
      <c r="G6640" t="n">
        <v>7.8</v>
      </c>
      <c r="H6640" t="n">
        <v>0</v>
      </c>
      <c r="I6640" t="n">
        <v>0</v>
      </c>
      <c r="J6640" t="n">
        <v>0</v>
      </c>
      <c r="K6640" t="n">
        <v>0</v>
      </c>
      <c r="L6640" t="n">
        <v>0</v>
      </c>
      <c r="M6640" t="n">
        <v>0</v>
      </c>
      <c r="N6640" t="n">
        <v>0</v>
      </c>
      <c r="O6640" t="n">
        <v>0</v>
      </c>
      <c r="P6640" t="n">
        <v>0</v>
      </c>
      <c r="Q6640" t="n">
        <v>0</v>
      </c>
      <c r="R6640" s="2" t="inlineStr"/>
    </row>
    <row r="6641" ht="15" customHeight="1">
      <c r="A6641" t="inlineStr">
        <is>
          <t>A 25354-2025</t>
        </is>
      </c>
      <c r="B6641" s="1" t="n">
        <v>45800.61581018518</v>
      </c>
      <c r="C6641" s="1" t="n">
        <v>46045</v>
      </c>
      <c r="D6641" t="inlineStr">
        <is>
          <t>JÄMTLANDS LÄN</t>
        </is>
      </c>
      <c r="E6641" t="inlineStr">
        <is>
          <t>STRÖMSUND</t>
        </is>
      </c>
      <c r="F6641" t="inlineStr">
        <is>
          <t>SCA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25178-2025</t>
        </is>
      </c>
      <c r="B6642" s="1" t="n">
        <v>45800.44868055556</v>
      </c>
      <c r="C6642" s="1" t="n">
        <v>46045</v>
      </c>
      <c r="D6642" t="inlineStr">
        <is>
          <t>JÄMTLANDS LÄN</t>
        </is>
      </c>
      <c r="E6642" t="inlineStr">
        <is>
          <t>HÄRJEDALEN</t>
        </is>
      </c>
      <c r="F6642" t="inlineStr">
        <is>
          <t>Holmen skog AB</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25204-2025</t>
        </is>
      </c>
      <c r="B6643" s="1" t="n">
        <v>45800.4687962963</v>
      </c>
      <c r="C6643" s="1" t="n">
        <v>46045</v>
      </c>
      <c r="D6643" t="inlineStr">
        <is>
          <t>JÄMTLANDS LÄN</t>
        </is>
      </c>
      <c r="E6643" t="inlineStr">
        <is>
          <t>HÄRJEDALEN</t>
        </is>
      </c>
      <c r="F6643" t="inlineStr">
        <is>
          <t>Holmen skog AB</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25208-2025</t>
        </is>
      </c>
      <c r="B6644" s="1" t="n">
        <v>45800.46927083333</v>
      </c>
      <c r="C6644" s="1" t="n">
        <v>46045</v>
      </c>
      <c r="D6644" t="inlineStr">
        <is>
          <t>JÄMTLANDS LÄN</t>
        </is>
      </c>
      <c r="E6644" t="inlineStr">
        <is>
          <t>ÅRE</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25210-2025</t>
        </is>
      </c>
      <c r="B6645" s="1" t="n">
        <v>45800.46960648148</v>
      </c>
      <c r="C6645" s="1" t="n">
        <v>46045</v>
      </c>
      <c r="D6645" t="inlineStr">
        <is>
          <t>JÄMTLANDS LÄN</t>
        </is>
      </c>
      <c r="E6645" t="inlineStr">
        <is>
          <t>ÖSTERSUND</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52317-2025</t>
        </is>
      </c>
      <c r="B6646" s="1" t="n">
        <v>45953.65675925926</v>
      </c>
      <c r="C6646" s="1" t="n">
        <v>46045</v>
      </c>
      <c r="D6646" t="inlineStr">
        <is>
          <t>JÄMTLANDS LÄN</t>
        </is>
      </c>
      <c r="E6646" t="inlineStr">
        <is>
          <t>RAGUNDA</t>
        </is>
      </c>
      <c r="F6646" t="inlineStr">
        <is>
          <t>SCA</t>
        </is>
      </c>
      <c r="G6646" t="n">
        <v>27.2</v>
      </c>
      <c r="H6646" t="n">
        <v>0</v>
      </c>
      <c r="I6646" t="n">
        <v>0</v>
      </c>
      <c r="J6646" t="n">
        <v>0</v>
      </c>
      <c r="K6646" t="n">
        <v>0</v>
      </c>
      <c r="L6646" t="n">
        <v>0</v>
      </c>
      <c r="M6646" t="n">
        <v>0</v>
      </c>
      <c r="N6646" t="n">
        <v>0</v>
      </c>
      <c r="O6646" t="n">
        <v>0</v>
      </c>
      <c r="P6646" t="n">
        <v>0</v>
      </c>
      <c r="Q6646" t="n">
        <v>0</v>
      </c>
      <c r="R6646" s="2" t="inlineStr"/>
    </row>
    <row r="6647" ht="15" customHeight="1">
      <c r="A6647" t="inlineStr">
        <is>
          <t>A 40105-2023</t>
        </is>
      </c>
      <c r="B6647" s="1" t="n">
        <v>45168.93778935185</v>
      </c>
      <c r="C6647" s="1" t="n">
        <v>46045</v>
      </c>
      <c r="D6647" t="inlineStr">
        <is>
          <t>JÄMTLANDS LÄN</t>
        </is>
      </c>
      <c r="E6647" t="inlineStr">
        <is>
          <t>STRÖMSUND</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52330-2025</t>
        </is>
      </c>
      <c r="B6648" s="1" t="n">
        <v>45953.67752314815</v>
      </c>
      <c r="C6648" s="1" t="n">
        <v>46045</v>
      </c>
      <c r="D6648" t="inlineStr">
        <is>
          <t>JÄMTLANDS LÄN</t>
        </is>
      </c>
      <c r="E6648" t="inlineStr">
        <is>
          <t>RAGUNDA</t>
        </is>
      </c>
      <c r="F6648" t="inlineStr">
        <is>
          <t>SCA</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25058-2025</t>
        </is>
      </c>
      <c r="B6649" s="1" t="n">
        <v>45799.68418981481</v>
      </c>
      <c r="C6649" s="1" t="n">
        <v>46045</v>
      </c>
      <c r="D6649" t="inlineStr">
        <is>
          <t>JÄMTLANDS LÄN</t>
        </is>
      </c>
      <c r="E6649" t="inlineStr">
        <is>
          <t>ÖSTERSUND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57420-2023</t>
        </is>
      </c>
      <c r="B6650" s="1" t="n">
        <v>45245.96990740741</v>
      </c>
      <c r="C6650" s="1" t="n">
        <v>46045</v>
      </c>
      <c r="D6650" t="inlineStr">
        <is>
          <t>JÄMTLANDS LÄN</t>
        </is>
      </c>
      <c r="E6650" t="inlineStr">
        <is>
          <t>BRÄCKE</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25253-2025</t>
        </is>
      </c>
      <c r="B6651" s="1" t="n">
        <v>45800.50431712963</v>
      </c>
      <c r="C6651" s="1" t="n">
        <v>46045</v>
      </c>
      <c r="D6651" t="inlineStr">
        <is>
          <t>JÄMTLANDS LÄN</t>
        </is>
      </c>
      <c r="E6651" t="inlineStr">
        <is>
          <t>HÄRJEDALEN</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27579-2024</t>
        </is>
      </c>
      <c r="B6652" s="1" t="n">
        <v>45474.65244212963</v>
      </c>
      <c r="C6652" s="1" t="n">
        <v>46045</v>
      </c>
      <c r="D6652" t="inlineStr">
        <is>
          <t>JÄMTLANDS LÄN</t>
        </is>
      </c>
      <c r="E6652" t="inlineStr">
        <is>
          <t>BERG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24849-2025</t>
        </is>
      </c>
      <c r="B6653" s="1" t="n">
        <v>45799.46949074074</v>
      </c>
      <c r="C6653" s="1" t="n">
        <v>46045</v>
      </c>
      <c r="D6653" t="inlineStr">
        <is>
          <t>JÄMTLANDS LÄN</t>
        </is>
      </c>
      <c r="E6653" t="inlineStr">
        <is>
          <t>BERG</t>
        </is>
      </c>
      <c r="F6653" t="inlineStr">
        <is>
          <t>SCA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52527-2025</t>
        </is>
      </c>
      <c r="B6654" s="1" t="n">
        <v>45954.53168981482</v>
      </c>
      <c r="C6654" s="1" t="n">
        <v>46045</v>
      </c>
      <c r="D6654" t="inlineStr">
        <is>
          <t>JÄMTLANDS LÄN</t>
        </is>
      </c>
      <c r="E6654" t="inlineStr">
        <is>
          <t>KROKOM</t>
        </is>
      </c>
      <c r="F6654" t="inlineStr">
        <is>
          <t>SCA</t>
        </is>
      </c>
      <c r="G6654" t="n">
        <v>9.1</v>
      </c>
      <c r="H6654" t="n">
        <v>0</v>
      </c>
      <c r="I6654" t="n">
        <v>0</v>
      </c>
      <c r="J6654" t="n">
        <v>0</v>
      </c>
      <c r="K6654" t="n">
        <v>0</v>
      </c>
      <c r="L6654" t="n">
        <v>0</v>
      </c>
      <c r="M6654" t="n">
        <v>0</v>
      </c>
      <c r="N6654" t="n">
        <v>0</v>
      </c>
      <c r="O6654" t="n">
        <v>0</v>
      </c>
      <c r="P6654" t="n">
        <v>0</v>
      </c>
      <c r="Q6654" t="n">
        <v>0</v>
      </c>
      <c r="R6654" s="2" t="inlineStr"/>
    </row>
    <row r="6655" ht="15" customHeight="1">
      <c r="A6655" t="inlineStr">
        <is>
          <t>A 25286-2025</t>
        </is>
      </c>
      <c r="B6655" s="1" t="n">
        <v>45800.56222222222</v>
      </c>
      <c r="C6655" s="1" t="n">
        <v>46045</v>
      </c>
      <c r="D6655" t="inlineStr">
        <is>
          <t>JÄMTLANDS LÄN</t>
        </is>
      </c>
      <c r="E6655" t="inlineStr">
        <is>
          <t>HÄRJEDALEN</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63292-2023</t>
        </is>
      </c>
      <c r="B6656" s="1" t="n">
        <v>45273.94680555556</v>
      </c>
      <c r="C6656" s="1" t="n">
        <v>46045</v>
      </c>
      <c r="D6656" t="inlineStr">
        <is>
          <t>JÄMTLANDS LÄN</t>
        </is>
      </c>
      <c r="E6656" t="inlineStr">
        <is>
          <t>BRÄCKE</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25295-2025</t>
        </is>
      </c>
      <c r="B6657" s="1" t="n">
        <v>45800.56810185185</v>
      </c>
      <c r="C6657" s="1" t="n">
        <v>46045</v>
      </c>
      <c r="D6657" t="inlineStr">
        <is>
          <t>JÄMTLANDS LÄN</t>
        </is>
      </c>
      <c r="E6657" t="inlineStr">
        <is>
          <t>KROKOM</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39599-2024</t>
        </is>
      </c>
      <c r="B6658" s="1" t="n">
        <v>45552</v>
      </c>
      <c r="C6658" s="1" t="n">
        <v>46045</v>
      </c>
      <c r="D6658" t="inlineStr">
        <is>
          <t>JÄMTLANDS LÄN</t>
        </is>
      </c>
      <c r="E6658" t="inlineStr">
        <is>
          <t>STRÖMSUND</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24963-2025</t>
        </is>
      </c>
      <c r="B6659" s="1" t="n">
        <v>45799.57883101852</v>
      </c>
      <c r="C6659" s="1" t="n">
        <v>46045</v>
      </c>
      <c r="D6659" t="inlineStr">
        <is>
          <t>JÄMTLANDS LÄN</t>
        </is>
      </c>
      <c r="E6659" t="inlineStr">
        <is>
          <t>HÄRJEDALEN</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22011-2023</t>
        </is>
      </c>
      <c r="B6660" s="1" t="n">
        <v>45068</v>
      </c>
      <c r="C6660" s="1" t="n">
        <v>46045</v>
      </c>
      <c r="D6660" t="inlineStr">
        <is>
          <t>JÄMTLANDS LÄN</t>
        </is>
      </c>
      <c r="E6660" t="inlineStr">
        <is>
          <t>RAGUNDA</t>
        </is>
      </c>
      <c r="F6660" t="inlineStr">
        <is>
          <t>SCA</t>
        </is>
      </c>
      <c r="G6660" t="n">
        <v>12.2</v>
      </c>
      <c r="H6660" t="n">
        <v>0</v>
      </c>
      <c r="I6660" t="n">
        <v>0</v>
      </c>
      <c r="J6660" t="n">
        <v>0</v>
      </c>
      <c r="K6660" t="n">
        <v>0</v>
      </c>
      <c r="L6660" t="n">
        <v>0</v>
      </c>
      <c r="M6660" t="n">
        <v>0</v>
      </c>
      <c r="N6660" t="n">
        <v>0</v>
      </c>
      <c r="O6660" t="n">
        <v>0</v>
      </c>
      <c r="P6660" t="n">
        <v>0</v>
      </c>
      <c r="Q6660" t="n">
        <v>0</v>
      </c>
      <c r="R6660" s="2" t="inlineStr"/>
    </row>
    <row r="6661" ht="15" customHeight="1">
      <c r="A6661" t="inlineStr">
        <is>
          <t>A 52562-2025</t>
        </is>
      </c>
      <c r="B6661" s="1" t="n">
        <v>45954.57357638889</v>
      </c>
      <c r="C6661" s="1" t="n">
        <v>46045</v>
      </c>
      <c r="D6661" t="inlineStr">
        <is>
          <t>JÄMTLANDS LÄN</t>
        </is>
      </c>
      <c r="E6661" t="inlineStr">
        <is>
          <t>BERG</t>
        </is>
      </c>
      <c r="F6661" t="inlineStr">
        <is>
          <t>SCA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24828-2025</t>
        </is>
      </c>
      <c r="B6662" s="1" t="n">
        <v>45799.45770833334</v>
      </c>
      <c r="C6662" s="1" t="n">
        <v>46045</v>
      </c>
      <c r="D6662" t="inlineStr">
        <is>
          <t>JÄMTLANDS LÄN</t>
        </is>
      </c>
      <c r="E6662" t="inlineStr">
        <is>
          <t>HÄRJEDALEN</t>
        </is>
      </c>
      <c r="F6662" t="inlineStr">
        <is>
          <t>Holmen skog AB</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52225-2025</t>
        </is>
      </c>
      <c r="B6663" s="1" t="n">
        <v>45953.44831018519</v>
      </c>
      <c r="C6663" s="1" t="n">
        <v>46045</v>
      </c>
      <c r="D6663" t="inlineStr">
        <is>
          <t>JÄMTLANDS LÄN</t>
        </is>
      </c>
      <c r="E6663" t="inlineStr">
        <is>
          <t>BERG</t>
        </is>
      </c>
      <c r="F6663" t="inlineStr">
        <is>
          <t>SCA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52230-2025</t>
        </is>
      </c>
      <c r="B6664" s="1" t="n">
        <v>45953</v>
      </c>
      <c r="C6664" s="1" t="n">
        <v>46045</v>
      </c>
      <c r="D6664" t="inlineStr">
        <is>
          <t>JÄMTLANDS LÄN</t>
        </is>
      </c>
      <c r="E6664" t="inlineStr">
        <is>
          <t>HÄRJEDALEN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52286-2025</t>
        </is>
      </c>
      <c r="B6665" s="1" t="n">
        <v>45953.58497685185</v>
      </c>
      <c r="C6665" s="1" t="n">
        <v>46045</v>
      </c>
      <c r="D6665" t="inlineStr">
        <is>
          <t>JÄMTLANDS LÄN</t>
        </is>
      </c>
      <c r="E6665" t="inlineStr">
        <is>
          <t>ÖSTERSUND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17748-2024</t>
        </is>
      </c>
      <c r="B6666" s="1" t="n">
        <v>45418</v>
      </c>
      <c r="C6666" s="1" t="n">
        <v>46045</v>
      </c>
      <c r="D6666" t="inlineStr">
        <is>
          <t>JÄMTLANDS LÄN</t>
        </is>
      </c>
      <c r="E6666" t="inlineStr">
        <is>
          <t>BERG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52300-2025</t>
        </is>
      </c>
      <c r="B6667" s="1" t="n">
        <v>45953.61458333334</v>
      </c>
      <c r="C6667" s="1" t="n">
        <v>46045</v>
      </c>
      <c r="D6667" t="inlineStr">
        <is>
          <t>JÄMTLANDS LÄN</t>
        </is>
      </c>
      <c r="E6667" t="inlineStr">
        <is>
          <t>KROKOM</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52395-2025</t>
        </is>
      </c>
      <c r="B6668" s="1" t="n">
        <v>45954.34487268519</v>
      </c>
      <c r="C6668" s="1" t="n">
        <v>46045</v>
      </c>
      <c r="D6668" t="inlineStr">
        <is>
          <t>JÄMTLANDS LÄN</t>
        </is>
      </c>
      <c r="E6668" t="inlineStr">
        <is>
          <t>RAGUNDA</t>
        </is>
      </c>
      <c r="F6668" t="inlineStr">
        <is>
          <t>SCA</t>
        </is>
      </c>
      <c r="G6668" t="n">
        <v>14.2</v>
      </c>
      <c r="H6668" t="n">
        <v>0</v>
      </c>
      <c r="I6668" t="n">
        <v>0</v>
      </c>
      <c r="J6668" t="n">
        <v>0</v>
      </c>
      <c r="K6668" t="n">
        <v>0</v>
      </c>
      <c r="L6668" t="n">
        <v>0</v>
      </c>
      <c r="M6668" t="n">
        <v>0</v>
      </c>
      <c r="N6668" t="n">
        <v>0</v>
      </c>
      <c r="O6668" t="n">
        <v>0</v>
      </c>
      <c r="P6668" t="n">
        <v>0</v>
      </c>
      <c r="Q6668" t="n">
        <v>0</v>
      </c>
      <c r="R6668" s="2" t="inlineStr"/>
    </row>
    <row r="6669" ht="15" customHeight="1">
      <c r="A6669" t="inlineStr">
        <is>
          <t>A 25252-2025</t>
        </is>
      </c>
      <c r="B6669" s="1" t="n">
        <v>45800.50355324074</v>
      </c>
      <c r="C6669" s="1" t="n">
        <v>46045</v>
      </c>
      <c r="D6669" t="inlineStr">
        <is>
          <t>JÄMTLANDS LÄN</t>
        </is>
      </c>
      <c r="E6669" t="inlineStr">
        <is>
          <t>ÖSTERSUND</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25399-2025</t>
        </is>
      </c>
      <c r="B6670" s="1" t="n">
        <v>45800.65341435185</v>
      </c>
      <c r="C6670" s="1" t="n">
        <v>46045</v>
      </c>
      <c r="D6670" t="inlineStr">
        <is>
          <t>JÄMTLANDS LÄN</t>
        </is>
      </c>
      <c r="E6670" t="inlineStr">
        <is>
          <t>HÄRJEDALEN</t>
        </is>
      </c>
      <c r="F6670" t="inlineStr">
        <is>
          <t>Holmen skog AB</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23083-2025</t>
        </is>
      </c>
      <c r="B6671" s="1" t="n">
        <v>45791</v>
      </c>
      <c r="C6671" s="1" t="n">
        <v>46045</v>
      </c>
      <c r="D6671" t="inlineStr">
        <is>
          <t>JÄMTLANDS LÄN</t>
        </is>
      </c>
      <c r="E6671" t="inlineStr">
        <is>
          <t>KROKOM</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24853-2025</t>
        </is>
      </c>
      <c r="B6672" s="1" t="n">
        <v>45799.47225694444</v>
      </c>
      <c r="C6672" s="1" t="n">
        <v>46045</v>
      </c>
      <c r="D6672" t="inlineStr">
        <is>
          <t>JÄMTLANDS LÄN</t>
        </is>
      </c>
      <c r="E6672" t="inlineStr">
        <is>
          <t>HÄRJEDALEN</t>
        </is>
      </c>
      <c r="F6672" t="inlineStr">
        <is>
          <t>Holmen skog AB</t>
        </is>
      </c>
      <c r="G6672" t="n">
        <v>57.7</v>
      </c>
      <c r="H6672" t="n">
        <v>0</v>
      </c>
      <c r="I6672" t="n">
        <v>0</v>
      </c>
      <c r="J6672" t="n">
        <v>0</v>
      </c>
      <c r="K6672" t="n">
        <v>0</v>
      </c>
      <c r="L6672" t="n">
        <v>0</v>
      </c>
      <c r="M6672" t="n">
        <v>0</v>
      </c>
      <c r="N6672" t="n">
        <v>0</v>
      </c>
      <c r="O6672" t="n">
        <v>0</v>
      </c>
      <c r="P6672" t="n">
        <v>0</v>
      </c>
      <c r="Q6672" t="n">
        <v>0</v>
      </c>
      <c r="R6672" s="2" t="inlineStr"/>
    </row>
    <row r="6673" ht="15" customHeight="1">
      <c r="A6673" t="inlineStr">
        <is>
          <t>A 24863-2025</t>
        </is>
      </c>
      <c r="B6673" s="1" t="n">
        <v>45799.48059027778</v>
      </c>
      <c r="C6673" s="1" t="n">
        <v>46045</v>
      </c>
      <c r="D6673" t="inlineStr">
        <is>
          <t>JÄMTLANDS LÄN</t>
        </is>
      </c>
      <c r="E6673" t="inlineStr">
        <is>
          <t>STRÖMSUND</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24869-2025</t>
        </is>
      </c>
      <c r="B6674" s="1" t="n">
        <v>45799.48994212963</v>
      </c>
      <c r="C6674" s="1" t="n">
        <v>46045</v>
      </c>
      <c r="D6674" t="inlineStr">
        <is>
          <t>JÄMTLANDS LÄN</t>
        </is>
      </c>
      <c r="E6674" t="inlineStr">
        <is>
          <t>BERG</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52340-2025</t>
        </is>
      </c>
      <c r="B6675" s="1" t="n">
        <v>45953.70571759259</v>
      </c>
      <c r="C6675" s="1" t="n">
        <v>46045</v>
      </c>
      <c r="D6675" t="inlineStr">
        <is>
          <t>JÄMTLANDS LÄN</t>
        </is>
      </c>
      <c r="E6675" t="inlineStr">
        <is>
          <t>BERG</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52614-2025</t>
        </is>
      </c>
      <c r="B6676" s="1" t="n">
        <v>45954.67756944444</v>
      </c>
      <c r="C6676" s="1" t="n">
        <v>46045</v>
      </c>
      <c r="D6676" t="inlineStr">
        <is>
          <t>JÄMTLANDS LÄN</t>
        </is>
      </c>
      <c r="E6676" t="inlineStr">
        <is>
          <t>STRÖMSUND</t>
        </is>
      </c>
      <c r="F6676" t="inlineStr">
        <is>
          <t>SCA</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25094-2025</t>
        </is>
      </c>
      <c r="B6677" s="1" t="n">
        <v>45800.33436342593</v>
      </c>
      <c r="C6677" s="1" t="n">
        <v>46045</v>
      </c>
      <c r="D6677" t="inlineStr">
        <is>
          <t>JÄMTLANDS LÄN</t>
        </is>
      </c>
      <c r="E6677" t="inlineStr">
        <is>
          <t>HÄRJEDALEN</t>
        </is>
      </c>
      <c r="F6677" t="inlineStr">
        <is>
          <t>Holmen skog AB</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25098-2025</t>
        </is>
      </c>
      <c r="B6678" s="1" t="n">
        <v>45800.3425</v>
      </c>
      <c r="C6678" s="1" t="n">
        <v>46045</v>
      </c>
      <c r="D6678" t="inlineStr">
        <is>
          <t>JÄMTLANDS LÄN</t>
        </is>
      </c>
      <c r="E6678" t="inlineStr">
        <is>
          <t>HÄRJEDALEN</t>
        </is>
      </c>
      <c r="F6678" t="inlineStr">
        <is>
          <t>Holmen skog AB</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53134-2025</t>
        </is>
      </c>
      <c r="B6679" s="1" t="n">
        <v>45958.46826388889</v>
      </c>
      <c r="C6679" s="1" t="n">
        <v>46045</v>
      </c>
      <c r="D6679" t="inlineStr">
        <is>
          <t>JÄMTLANDS LÄN</t>
        </is>
      </c>
      <c r="E6679" t="inlineStr">
        <is>
          <t>ÅRE</t>
        </is>
      </c>
      <c r="G6679" t="n">
        <v>13.8</v>
      </c>
      <c r="H6679" t="n">
        <v>0</v>
      </c>
      <c r="I6679" t="n">
        <v>0</v>
      </c>
      <c r="J6679" t="n">
        <v>0</v>
      </c>
      <c r="K6679" t="n">
        <v>0</v>
      </c>
      <c r="L6679" t="n">
        <v>0</v>
      </c>
      <c r="M6679" t="n">
        <v>0</v>
      </c>
      <c r="N6679" t="n">
        <v>0</v>
      </c>
      <c r="O6679" t="n">
        <v>0</v>
      </c>
      <c r="P6679" t="n">
        <v>0</v>
      </c>
      <c r="Q6679" t="n">
        <v>0</v>
      </c>
      <c r="R6679" s="2" t="inlineStr"/>
    </row>
    <row r="6680" ht="15" customHeight="1">
      <c r="A6680" t="inlineStr">
        <is>
          <t>A 53140-2025</t>
        </is>
      </c>
      <c r="B6680" s="1" t="n">
        <v>45958.4703125</v>
      </c>
      <c r="C6680" s="1" t="n">
        <v>46045</v>
      </c>
      <c r="D6680" t="inlineStr">
        <is>
          <t>JÄMTLANDS LÄN</t>
        </is>
      </c>
      <c r="E6680" t="inlineStr">
        <is>
          <t>BRÄCKE</t>
        </is>
      </c>
      <c r="F6680" t="inlineStr">
        <is>
          <t>Övriga Aktiebolag</t>
        </is>
      </c>
      <c r="G6680" t="n">
        <v>12.1</v>
      </c>
      <c r="H6680" t="n">
        <v>0</v>
      </c>
      <c r="I6680" t="n">
        <v>0</v>
      </c>
      <c r="J6680" t="n">
        <v>0</v>
      </c>
      <c r="K6680" t="n">
        <v>0</v>
      </c>
      <c r="L6680" t="n">
        <v>0</v>
      </c>
      <c r="M6680" t="n">
        <v>0</v>
      </c>
      <c r="N6680" t="n">
        <v>0</v>
      </c>
      <c r="O6680" t="n">
        <v>0</v>
      </c>
      <c r="P6680" t="n">
        <v>0</v>
      </c>
      <c r="Q6680" t="n">
        <v>0</v>
      </c>
      <c r="R6680" s="2" t="inlineStr"/>
    </row>
    <row r="6681" ht="15" customHeight="1">
      <c r="A6681" t="inlineStr">
        <is>
          <t>A 10567-2025</t>
        </is>
      </c>
      <c r="B6681" s="1" t="n">
        <v>45714</v>
      </c>
      <c r="C6681" s="1" t="n">
        <v>46045</v>
      </c>
      <c r="D6681" t="inlineStr">
        <is>
          <t>JÄMTLANDS LÄN</t>
        </is>
      </c>
      <c r="E6681" t="inlineStr">
        <is>
          <t>ÅRE</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10581-2025</t>
        </is>
      </c>
      <c r="B6682" s="1" t="n">
        <v>45721.54896990741</v>
      </c>
      <c r="C6682" s="1" t="n">
        <v>46045</v>
      </c>
      <c r="D6682" t="inlineStr">
        <is>
          <t>JÄMTLANDS LÄN</t>
        </is>
      </c>
      <c r="E6682" t="inlineStr">
        <is>
          <t>KROKOM</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10583-2025</t>
        </is>
      </c>
      <c r="B6683" s="1" t="n">
        <v>45721</v>
      </c>
      <c r="C6683" s="1" t="n">
        <v>46045</v>
      </c>
      <c r="D6683" t="inlineStr">
        <is>
          <t>JÄMTLANDS LÄN</t>
        </is>
      </c>
      <c r="E6683" t="inlineStr">
        <is>
          <t>STRÖMSUND</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46444-2024</t>
        </is>
      </c>
      <c r="B6684" s="1" t="n">
        <v>45582</v>
      </c>
      <c r="C6684" s="1" t="n">
        <v>46045</v>
      </c>
      <c r="D6684" t="inlineStr">
        <is>
          <t>JÄMTLANDS LÄN</t>
        </is>
      </c>
      <c r="E6684" t="inlineStr">
        <is>
          <t>ÅRE</t>
        </is>
      </c>
      <c r="G6684" t="n">
        <v>19.6</v>
      </c>
      <c r="H6684" t="n">
        <v>0</v>
      </c>
      <c r="I6684" t="n">
        <v>0</v>
      </c>
      <c r="J6684" t="n">
        <v>0</v>
      </c>
      <c r="K6684" t="n">
        <v>0</v>
      </c>
      <c r="L6684" t="n">
        <v>0</v>
      </c>
      <c r="M6684" t="n">
        <v>0</v>
      </c>
      <c r="N6684" t="n">
        <v>0</v>
      </c>
      <c r="O6684" t="n">
        <v>0</v>
      </c>
      <c r="P6684" t="n">
        <v>0</v>
      </c>
      <c r="Q6684" t="n">
        <v>0</v>
      </c>
      <c r="R6684" s="2" t="inlineStr"/>
    </row>
    <row r="6685" ht="15" customHeight="1">
      <c r="A6685" t="inlineStr">
        <is>
          <t>A 53139-2025</t>
        </is>
      </c>
      <c r="B6685" s="1" t="n">
        <v>45958.47019675926</v>
      </c>
      <c r="C6685" s="1" t="n">
        <v>46045</v>
      </c>
      <c r="D6685" t="inlineStr">
        <is>
          <t>JÄMTLANDS LÄN</t>
        </is>
      </c>
      <c r="E6685" t="inlineStr">
        <is>
          <t>BRÄCKE</t>
        </is>
      </c>
      <c r="F6685" t="inlineStr">
        <is>
          <t>Övriga Aktiebolag</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25350-2025</t>
        </is>
      </c>
      <c r="B6686" s="1" t="n">
        <v>45800</v>
      </c>
      <c r="C6686" s="1" t="n">
        <v>46045</v>
      </c>
      <c r="D6686" t="inlineStr">
        <is>
          <t>JÄMTLANDS LÄN</t>
        </is>
      </c>
      <c r="E6686" t="inlineStr">
        <is>
          <t>RAGUNDA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53256-2025</t>
        </is>
      </c>
      <c r="B6687" s="1" t="n">
        <v>45958.6740625</v>
      </c>
      <c r="C6687" s="1" t="n">
        <v>46045</v>
      </c>
      <c r="D6687" t="inlineStr">
        <is>
          <t>JÄMTLANDS LÄN</t>
        </is>
      </c>
      <c r="E6687" t="inlineStr">
        <is>
          <t>HÄRJEDALEN</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53259-2025</t>
        </is>
      </c>
      <c r="B6688" s="1" t="n">
        <v>45958.67768518518</v>
      </c>
      <c r="C6688" s="1" t="n">
        <v>46045</v>
      </c>
      <c r="D6688" t="inlineStr">
        <is>
          <t>JÄMTLANDS LÄN</t>
        </is>
      </c>
      <c r="E6688" t="inlineStr">
        <is>
          <t>STRÖMSUND</t>
        </is>
      </c>
      <c r="F6688" t="inlineStr">
        <is>
          <t>SCA</t>
        </is>
      </c>
      <c r="G6688" t="n">
        <v>9.4</v>
      </c>
      <c r="H6688" t="n">
        <v>0</v>
      </c>
      <c r="I6688" t="n">
        <v>0</v>
      </c>
      <c r="J6688" t="n">
        <v>0</v>
      </c>
      <c r="K6688" t="n">
        <v>0</v>
      </c>
      <c r="L6688" t="n">
        <v>0</v>
      </c>
      <c r="M6688" t="n">
        <v>0</v>
      </c>
      <c r="N6688" t="n">
        <v>0</v>
      </c>
      <c r="O6688" t="n">
        <v>0</v>
      </c>
      <c r="P6688" t="n">
        <v>0</v>
      </c>
      <c r="Q6688" t="n">
        <v>0</v>
      </c>
      <c r="R6688" s="2" t="inlineStr"/>
    </row>
    <row r="6689" ht="15" customHeight="1">
      <c r="A6689" t="inlineStr">
        <is>
          <t>A 24796-2025</t>
        </is>
      </c>
      <c r="B6689" s="1" t="n">
        <v>45799.43550925926</v>
      </c>
      <c r="C6689" s="1" t="n">
        <v>46045</v>
      </c>
      <c r="D6689" t="inlineStr">
        <is>
          <t>JÄMTLANDS LÄN</t>
        </is>
      </c>
      <c r="E6689" t="inlineStr">
        <is>
          <t>HÄRJEDALEN</t>
        </is>
      </c>
      <c r="F6689" t="inlineStr">
        <is>
          <t>Holmen skog AB</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25198-2025</t>
        </is>
      </c>
      <c r="B6690" s="1" t="n">
        <v>45800.46069444445</v>
      </c>
      <c r="C6690" s="1" t="n">
        <v>46045</v>
      </c>
      <c r="D6690" t="inlineStr">
        <is>
          <t>JÄMTLANDS LÄN</t>
        </is>
      </c>
      <c r="E6690" t="inlineStr">
        <is>
          <t>HÄRJEDALEN</t>
        </is>
      </c>
      <c r="F6690" t="inlineStr">
        <is>
          <t>Holmen skog AB</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53032-2025</t>
        </is>
      </c>
      <c r="B6691" s="1" t="n">
        <v>45958.34462962963</v>
      </c>
      <c r="C6691" s="1" t="n">
        <v>46045</v>
      </c>
      <c r="D6691" t="inlineStr">
        <is>
          <t>JÄMTLANDS LÄN</t>
        </is>
      </c>
      <c r="E6691" t="inlineStr">
        <is>
          <t>RAGUNDA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53076-2025</t>
        </is>
      </c>
      <c r="B6692" s="1" t="n">
        <v>45958.38604166666</v>
      </c>
      <c r="C6692" s="1" t="n">
        <v>46045</v>
      </c>
      <c r="D6692" t="inlineStr">
        <is>
          <t>JÄMTLANDS LÄN</t>
        </is>
      </c>
      <c r="E6692" t="inlineStr">
        <is>
          <t>RAGUNDA</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25232-2025</t>
        </is>
      </c>
      <c r="B6693" s="1" t="n">
        <v>45800.48515046296</v>
      </c>
      <c r="C6693" s="1" t="n">
        <v>46045</v>
      </c>
      <c r="D6693" t="inlineStr">
        <is>
          <t>JÄMTLANDS LÄN</t>
        </is>
      </c>
      <c r="E6693" t="inlineStr">
        <is>
          <t>HÄRJEDALEN</t>
        </is>
      </c>
      <c r="F6693" t="inlineStr">
        <is>
          <t>Holmen skog AB</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52619-2025</t>
        </is>
      </c>
      <c r="B6694" s="1" t="n">
        <v>45954.68111111111</v>
      </c>
      <c r="C6694" s="1" t="n">
        <v>46045</v>
      </c>
      <c r="D6694" t="inlineStr">
        <is>
          <t>JÄMTLANDS LÄN</t>
        </is>
      </c>
      <c r="E6694" t="inlineStr">
        <is>
          <t>KROKOM</t>
        </is>
      </c>
      <c r="G6694" t="n">
        <v>11.8</v>
      </c>
      <c r="H6694" t="n">
        <v>0</v>
      </c>
      <c r="I6694" t="n">
        <v>0</v>
      </c>
      <c r="J6694" t="n">
        <v>0</v>
      </c>
      <c r="K6694" t="n">
        <v>0</v>
      </c>
      <c r="L6694" t="n">
        <v>0</v>
      </c>
      <c r="M6694" t="n">
        <v>0</v>
      </c>
      <c r="N6694" t="n">
        <v>0</v>
      </c>
      <c r="O6694" t="n">
        <v>0</v>
      </c>
      <c r="P6694" t="n">
        <v>0</v>
      </c>
      <c r="Q6694" t="n">
        <v>0</v>
      </c>
      <c r="R6694" s="2" t="inlineStr"/>
    </row>
    <row r="6695" ht="15" customHeight="1">
      <c r="A6695" t="inlineStr">
        <is>
          <t>A 47625-2023</t>
        </is>
      </c>
      <c r="B6695" s="1" t="n">
        <v>45203</v>
      </c>
      <c r="C6695" s="1" t="n">
        <v>46045</v>
      </c>
      <c r="D6695" t="inlineStr">
        <is>
          <t>JÄMTLANDS LÄN</t>
        </is>
      </c>
      <c r="E6695" t="inlineStr">
        <is>
          <t>KROKOM</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47626-2023</t>
        </is>
      </c>
      <c r="B6696" s="1" t="n">
        <v>45203</v>
      </c>
      <c r="C6696" s="1" t="n">
        <v>46045</v>
      </c>
      <c r="D6696" t="inlineStr">
        <is>
          <t>JÄMTLANDS LÄN</t>
        </is>
      </c>
      <c r="E6696" t="inlineStr">
        <is>
          <t>BERG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52921-2025</t>
        </is>
      </c>
      <c r="B6697" s="1" t="n">
        <v>45957.61527777778</v>
      </c>
      <c r="C6697" s="1" t="n">
        <v>46045</v>
      </c>
      <c r="D6697" t="inlineStr">
        <is>
          <t>JÄMTLANDS LÄN</t>
        </is>
      </c>
      <c r="E6697" t="inlineStr">
        <is>
          <t>STRÖMSUND</t>
        </is>
      </c>
      <c r="F6697" t="inlineStr">
        <is>
          <t>SCA</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25298-2025</t>
        </is>
      </c>
      <c r="B6698" s="1" t="n">
        <v>45800.56995370371</v>
      </c>
      <c r="C6698" s="1" t="n">
        <v>46045</v>
      </c>
      <c r="D6698" t="inlineStr">
        <is>
          <t>JÄMTLANDS LÄN</t>
        </is>
      </c>
      <c r="E6698" t="inlineStr">
        <is>
          <t>HÄRJEDALEN</t>
        </is>
      </c>
      <c r="F6698" t="inlineStr">
        <is>
          <t>Holmen skog AB</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60409-2023</t>
        </is>
      </c>
      <c r="B6699" s="1" t="n">
        <v>45259.47972222222</v>
      </c>
      <c r="C6699" s="1" t="n">
        <v>46045</v>
      </c>
      <c r="D6699" t="inlineStr">
        <is>
          <t>JÄMTLANDS LÄN</t>
        </is>
      </c>
      <c r="E6699" t="inlineStr">
        <is>
          <t>BERG</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35377-2022</t>
        </is>
      </c>
      <c r="B6700" s="1" t="n">
        <v>44798</v>
      </c>
      <c r="C6700" s="1" t="n">
        <v>46045</v>
      </c>
      <c r="D6700" t="inlineStr">
        <is>
          <t>JÄMTLANDS LÄN</t>
        </is>
      </c>
      <c r="E6700" t="inlineStr">
        <is>
          <t>STRÖMSUND</t>
        </is>
      </c>
      <c r="F6700" t="inlineStr">
        <is>
          <t>Kommuner</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24736-2025</t>
        </is>
      </c>
      <c r="B6701" s="1" t="n">
        <v>45799.34473379629</v>
      </c>
      <c r="C6701" s="1" t="n">
        <v>46045</v>
      </c>
      <c r="D6701" t="inlineStr">
        <is>
          <t>JÄMTLANDS LÄN</t>
        </is>
      </c>
      <c r="E6701" t="inlineStr">
        <is>
          <t>STRÖMSUND</t>
        </is>
      </c>
      <c r="F6701" t="inlineStr">
        <is>
          <t>SCA</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52788-2025</t>
        </is>
      </c>
      <c r="B6702" s="1" t="n">
        <v>45957.42761574074</v>
      </c>
      <c r="C6702" s="1" t="n">
        <v>46045</v>
      </c>
      <c r="D6702" t="inlineStr">
        <is>
          <t>JÄMTLANDS LÄN</t>
        </is>
      </c>
      <c r="E6702" t="inlineStr">
        <is>
          <t>STRÖMSUND</t>
        </is>
      </c>
      <c r="F6702" t="inlineStr">
        <is>
          <t>SCA</t>
        </is>
      </c>
      <c r="G6702" t="n">
        <v>15.5</v>
      </c>
      <c r="H6702" t="n">
        <v>0</v>
      </c>
      <c r="I6702" t="n">
        <v>0</v>
      </c>
      <c r="J6702" t="n">
        <v>0</v>
      </c>
      <c r="K6702" t="n">
        <v>0</v>
      </c>
      <c r="L6702" t="n">
        <v>0</v>
      </c>
      <c r="M6702" t="n">
        <v>0</v>
      </c>
      <c r="N6702" t="n">
        <v>0</v>
      </c>
      <c r="O6702" t="n">
        <v>0</v>
      </c>
      <c r="P6702" t="n">
        <v>0</v>
      </c>
      <c r="Q6702" t="n">
        <v>0</v>
      </c>
      <c r="R6702" s="2" t="inlineStr"/>
    </row>
    <row r="6703" ht="15" customHeight="1">
      <c r="A6703" t="inlineStr">
        <is>
          <t>A 13389-2025</t>
        </is>
      </c>
      <c r="B6703" s="1" t="n">
        <v>45735.69842592593</v>
      </c>
      <c r="C6703" s="1" t="n">
        <v>46045</v>
      </c>
      <c r="D6703" t="inlineStr">
        <is>
          <t>JÄMTLANDS LÄN</t>
        </is>
      </c>
      <c r="E6703" t="inlineStr">
        <is>
          <t>RAGUNDA</t>
        </is>
      </c>
      <c r="F6703" t="inlineStr">
        <is>
          <t>SCA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38642-2023</t>
        </is>
      </c>
      <c r="B6704" s="1" t="n">
        <v>45162</v>
      </c>
      <c r="C6704" s="1" t="n">
        <v>46045</v>
      </c>
      <c r="D6704" t="inlineStr">
        <is>
          <t>JÄMTLANDS LÄN</t>
        </is>
      </c>
      <c r="E6704" t="inlineStr">
        <is>
          <t>STRÖMSUND</t>
        </is>
      </c>
      <c r="F6704" t="inlineStr">
        <is>
          <t>Holmen skog AB</t>
        </is>
      </c>
      <c r="G6704" t="n">
        <v>12.6</v>
      </c>
      <c r="H6704" t="n">
        <v>0</v>
      </c>
      <c r="I6704" t="n">
        <v>0</v>
      </c>
      <c r="J6704" t="n">
        <v>0</v>
      </c>
      <c r="K6704" t="n">
        <v>0</v>
      </c>
      <c r="L6704" t="n">
        <v>0</v>
      </c>
      <c r="M6704" t="n">
        <v>0</v>
      </c>
      <c r="N6704" t="n">
        <v>0</v>
      </c>
      <c r="O6704" t="n">
        <v>0</v>
      </c>
      <c r="P6704" t="n">
        <v>0</v>
      </c>
      <c r="Q6704" t="n">
        <v>0</v>
      </c>
      <c r="R6704" s="2" t="inlineStr"/>
    </row>
    <row r="6705" ht="15" customHeight="1">
      <c r="A6705" t="inlineStr">
        <is>
          <t>A 25101-2025</t>
        </is>
      </c>
      <c r="B6705" s="1" t="n">
        <v>45800.34444444445</v>
      </c>
      <c r="C6705" s="1" t="n">
        <v>46045</v>
      </c>
      <c r="D6705" t="inlineStr">
        <is>
          <t>JÄMTLANDS LÄN</t>
        </is>
      </c>
      <c r="E6705" t="inlineStr">
        <is>
          <t>BRÄCKE</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25102-2025</t>
        </is>
      </c>
      <c r="B6706" s="1" t="n">
        <v>45800.34445601852</v>
      </c>
      <c r="C6706" s="1" t="n">
        <v>46045</v>
      </c>
      <c r="D6706" t="inlineStr">
        <is>
          <t>JÄMTLANDS LÄN</t>
        </is>
      </c>
      <c r="E6706" t="inlineStr">
        <is>
          <t>BRÄCKE</t>
        </is>
      </c>
      <c r="G6706" t="n">
        <v>11.1</v>
      </c>
      <c r="H6706" t="n">
        <v>0</v>
      </c>
      <c r="I6706" t="n">
        <v>0</v>
      </c>
      <c r="J6706" t="n">
        <v>0</v>
      </c>
      <c r="K6706" t="n">
        <v>0</v>
      </c>
      <c r="L6706" t="n">
        <v>0</v>
      </c>
      <c r="M6706" t="n">
        <v>0</v>
      </c>
      <c r="N6706" t="n">
        <v>0</v>
      </c>
      <c r="O6706" t="n">
        <v>0</v>
      </c>
      <c r="P6706" t="n">
        <v>0</v>
      </c>
      <c r="Q6706" t="n">
        <v>0</v>
      </c>
      <c r="R6706" s="2" t="inlineStr"/>
    </row>
    <row r="6707" ht="15" customHeight="1">
      <c r="A6707" t="inlineStr">
        <is>
          <t>A 25123-2025</t>
        </is>
      </c>
      <c r="B6707" s="1" t="n">
        <v>45800.37524305555</v>
      </c>
      <c r="C6707" s="1" t="n">
        <v>46045</v>
      </c>
      <c r="D6707" t="inlineStr">
        <is>
          <t>JÄMTLANDS LÄN</t>
        </is>
      </c>
      <c r="E6707" t="inlineStr">
        <is>
          <t>HÄRJEDALEN</t>
        </is>
      </c>
      <c r="F6707" t="inlineStr">
        <is>
          <t>Holmen skog AB</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25152-2025</t>
        </is>
      </c>
      <c r="B6708" s="1" t="n">
        <v>45800.42743055556</v>
      </c>
      <c r="C6708" s="1" t="n">
        <v>46045</v>
      </c>
      <c r="D6708" t="inlineStr">
        <is>
          <t>JÄMTLANDS LÄN</t>
        </is>
      </c>
      <c r="E6708" t="inlineStr">
        <is>
          <t>RAGUNDA</t>
        </is>
      </c>
      <c r="F6708" t="inlineStr">
        <is>
          <t>SCA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25158-2025</t>
        </is>
      </c>
      <c r="B6709" s="1" t="n">
        <v>45800.42797453704</v>
      </c>
      <c r="C6709" s="1" t="n">
        <v>46045</v>
      </c>
      <c r="D6709" t="inlineStr">
        <is>
          <t>JÄMTLANDS LÄN</t>
        </is>
      </c>
      <c r="E6709" t="inlineStr">
        <is>
          <t>HÄRJEDALEN</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53260-2025</t>
        </is>
      </c>
      <c r="B6710" s="1" t="n">
        <v>45958.67776620371</v>
      </c>
      <c r="C6710" s="1" t="n">
        <v>46045</v>
      </c>
      <c r="D6710" t="inlineStr">
        <is>
          <t>JÄMTLANDS LÄN</t>
        </is>
      </c>
      <c r="E6710" t="inlineStr">
        <is>
          <t>HÄRJEDALEN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25159-2025</t>
        </is>
      </c>
      <c r="B6711" s="1" t="n">
        <v>45800.42804398148</v>
      </c>
      <c r="C6711" s="1" t="n">
        <v>46045</v>
      </c>
      <c r="D6711" t="inlineStr">
        <is>
          <t>JÄMTLANDS LÄN</t>
        </is>
      </c>
      <c r="E6711" t="inlineStr">
        <is>
          <t>BRÄCKE</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25171-2025</t>
        </is>
      </c>
      <c r="B6712" s="1" t="n">
        <v>45800.44090277778</v>
      </c>
      <c r="C6712" s="1" t="n">
        <v>46045</v>
      </c>
      <c r="D6712" t="inlineStr">
        <is>
          <t>JÄMTLANDS LÄN</t>
        </is>
      </c>
      <c r="E6712" t="inlineStr">
        <is>
          <t>HÄRJEDALEN</t>
        </is>
      </c>
      <c r="G6712" t="n">
        <v>12.3</v>
      </c>
      <c r="H6712" t="n">
        <v>0</v>
      </c>
      <c r="I6712" t="n">
        <v>0</v>
      </c>
      <c r="J6712" t="n">
        <v>0</v>
      </c>
      <c r="K6712" t="n">
        <v>0</v>
      </c>
      <c r="L6712" t="n">
        <v>0</v>
      </c>
      <c r="M6712" t="n">
        <v>0</v>
      </c>
      <c r="N6712" t="n">
        <v>0</v>
      </c>
      <c r="O6712" t="n">
        <v>0</v>
      </c>
      <c r="P6712" t="n">
        <v>0</v>
      </c>
      <c r="Q6712" t="n">
        <v>0</v>
      </c>
      <c r="R6712" s="2" t="inlineStr"/>
    </row>
    <row r="6713" ht="15" customHeight="1">
      <c r="A6713" t="inlineStr">
        <is>
          <t>A 25175-2025</t>
        </is>
      </c>
      <c r="B6713" s="1" t="n">
        <v>45800.44822916666</v>
      </c>
      <c r="C6713" s="1" t="n">
        <v>46045</v>
      </c>
      <c r="D6713" t="inlineStr">
        <is>
          <t>JÄMTLANDS LÄN</t>
        </is>
      </c>
      <c r="E6713" t="inlineStr">
        <is>
          <t>RAGUNDA</t>
        </is>
      </c>
      <c r="F6713" t="inlineStr">
        <is>
          <t>SCA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25177-2025</t>
        </is>
      </c>
      <c r="B6714" s="1" t="n">
        <v>45800.44862268519</v>
      </c>
      <c r="C6714" s="1" t="n">
        <v>46045</v>
      </c>
      <c r="D6714" t="inlineStr">
        <is>
          <t>JÄMTLANDS LÄN</t>
        </is>
      </c>
      <c r="E6714" t="inlineStr">
        <is>
          <t>RAGUNDA</t>
        </is>
      </c>
      <c r="F6714" t="inlineStr">
        <is>
          <t>SCA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53085-2025</t>
        </is>
      </c>
      <c r="B6715" s="1" t="n">
        <v>45958.40675925926</v>
      </c>
      <c r="C6715" s="1" t="n">
        <v>46045</v>
      </c>
      <c r="D6715" t="inlineStr">
        <is>
          <t>JÄMTLANDS LÄN</t>
        </is>
      </c>
      <c r="E6715" t="inlineStr">
        <is>
          <t>BERG</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53114-2025</t>
        </is>
      </c>
      <c r="B6716" s="1" t="n">
        <v>45958.44440972222</v>
      </c>
      <c r="C6716" s="1" t="n">
        <v>46045</v>
      </c>
      <c r="D6716" t="inlineStr">
        <is>
          <t>JÄMTLANDS LÄN</t>
        </is>
      </c>
      <c r="E6716" t="inlineStr">
        <is>
          <t>BRÄCKE</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53133-2025</t>
        </is>
      </c>
      <c r="B6717" s="1" t="n">
        <v>45958.46806712963</v>
      </c>
      <c r="C6717" s="1" t="n">
        <v>46045</v>
      </c>
      <c r="D6717" t="inlineStr">
        <is>
          <t>JÄMTLANDS LÄN</t>
        </is>
      </c>
      <c r="E6717" t="inlineStr">
        <is>
          <t>ÅRE</t>
        </is>
      </c>
      <c r="G6717" t="n">
        <v>13.8</v>
      </c>
      <c r="H6717" t="n">
        <v>0</v>
      </c>
      <c r="I6717" t="n">
        <v>0</v>
      </c>
      <c r="J6717" t="n">
        <v>0</v>
      </c>
      <c r="K6717" t="n">
        <v>0</v>
      </c>
      <c r="L6717" t="n">
        <v>0</v>
      </c>
      <c r="M6717" t="n">
        <v>0</v>
      </c>
      <c r="N6717" t="n">
        <v>0</v>
      </c>
      <c r="O6717" t="n">
        <v>0</v>
      </c>
      <c r="P6717" t="n">
        <v>0</v>
      </c>
      <c r="Q6717" t="n">
        <v>0</v>
      </c>
      <c r="R6717" s="2" t="inlineStr"/>
    </row>
    <row r="6718" ht="15" customHeight="1">
      <c r="A6718" t="inlineStr">
        <is>
          <t>A 25383-2025</t>
        </is>
      </c>
      <c r="B6718" s="1" t="n">
        <v>45800.64065972222</v>
      </c>
      <c r="C6718" s="1" t="n">
        <v>46045</v>
      </c>
      <c r="D6718" t="inlineStr">
        <is>
          <t>JÄMTLANDS LÄN</t>
        </is>
      </c>
      <c r="E6718" t="inlineStr">
        <is>
          <t>HÄRJEDALEN</t>
        </is>
      </c>
      <c r="F6718" t="inlineStr">
        <is>
          <t>Holmen skog AB</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25398-2025</t>
        </is>
      </c>
      <c r="B6719" s="1" t="n">
        <v>45800.65177083333</v>
      </c>
      <c r="C6719" s="1" t="n">
        <v>46045</v>
      </c>
      <c r="D6719" t="inlineStr">
        <is>
          <t>JÄMTLANDS LÄN</t>
        </is>
      </c>
      <c r="E6719" t="inlineStr">
        <is>
          <t>KROKOM</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55193-2023</t>
        </is>
      </c>
      <c r="B6720" s="1" t="n">
        <v>45237.5815162037</v>
      </c>
      <c r="C6720" s="1" t="n">
        <v>46045</v>
      </c>
      <c r="D6720" t="inlineStr">
        <is>
          <t>JÄMTLANDS LÄN</t>
        </is>
      </c>
      <c r="E6720" t="inlineStr">
        <is>
          <t>HÄRJEDALEN</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52394-2025</t>
        </is>
      </c>
      <c r="B6721" s="1" t="n">
        <v>45954.34466435185</v>
      </c>
      <c r="C6721" s="1" t="n">
        <v>46045</v>
      </c>
      <c r="D6721" t="inlineStr">
        <is>
          <t>JÄMTLANDS LÄN</t>
        </is>
      </c>
      <c r="E6721" t="inlineStr">
        <is>
          <t>RAGUNDA</t>
        </is>
      </c>
      <c r="F6721" t="inlineStr">
        <is>
          <t>SCA</t>
        </is>
      </c>
      <c r="G6721" t="n">
        <v>53.8</v>
      </c>
      <c r="H6721" t="n">
        <v>0</v>
      </c>
      <c r="I6721" t="n">
        <v>0</v>
      </c>
      <c r="J6721" t="n">
        <v>0</v>
      </c>
      <c r="K6721" t="n">
        <v>0</v>
      </c>
      <c r="L6721" t="n">
        <v>0</v>
      </c>
      <c r="M6721" t="n">
        <v>0</v>
      </c>
      <c r="N6721" t="n">
        <v>0</v>
      </c>
      <c r="O6721" t="n">
        <v>0</v>
      </c>
      <c r="P6721" t="n">
        <v>0</v>
      </c>
      <c r="Q6721" t="n">
        <v>0</v>
      </c>
      <c r="R6721" s="2" t="inlineStr"/>
    </row>
    <row r="6722" ht="15" customHeight="1">
      <c r="A6722" t="inlineStr">
        <is>
          <t>A 25386-2025</t>
        </is>
      </c>
      <c r="B6722" s="1" t="n">
        <v>45800.64319444444</v>
      </c>
      <c r="C6722" s="1" t="n">
        <v>46045</v>
      </c>
      <c r="D6722" t="inlineStr">
        <is>
          <t>JÄMTLANDS LÄN</t>
        </is>
      </c>
      <c r="E6722" t="inlineStr">
        <is>
          <t>KROKOM</t>
        </is>
      </c>
      <c r="G6722" t="n">
        <v>11.9</v>
      </c>
      <c r="H6722" t="n">
        <v>0</v>
      </c>
      <c r="I6722" t="n">
        <v>0</v>
      </c>
      <c r="J6722" t="n">
        <v>0</v>
      </c>
      <c r="K6722" t="n">
        <v>0</v>
      </c>
      <c r="L6722" t="n">
        <v>0</v>
      </c>
      <c r="M6722" t="n">
        <v>0</v>
      </c>
      <c r="N6722" t="n">
        <v>0</v>
      </c>
      <c r="O6722" t="n">
        <v>0</v>
      </c>
      <c r="P6722" t="n">
        <v>0</v>
      </c>
      <c r="Q6722" t="n">
        <v>0</v>
      </c>
      <c r="R6722" s="2" t="inlineStr"/>
    </row>
    <row r="6723" ht="15" customHeight="1">
      <c r="A6723" t="inlineStr">
        <is>
          <t>A 52848-2025</t>
        </is>
      </c>
      <c r="B6723" s="1" t="n">
        <v>45957.49008101852</v>
      </c>
      <c r="C6723" s="1" t="n">
        <v>46045</v>
      </c>
      <c r="D6723" t="inlineStr">
        <is>
          <t>JÄMTLANDS LÄN</t>
        </is>
      </c>
      <c r="E6723" t="inlineStr">
        <is>
          <t>STRÖMSUND</t>
        </is>
      </c>
      <c r="F6723" t="inlineStr">
        <is>
          <t>SCA</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25380-2025</t>
        </is>
      </c>
      <c r="B6724" s="1" t="n">
        <v>45800.63738425926</v>
      </c>
      <c r="C6724" s="1" t="n">
        <v>46045</v>
      </c>
      <c r="D6724" t="inlineStr">
        <is>
          <t>JÄMTLANDS LÄN</t>
        </is>
      </c>
      <c r="E6724" t="inlineStr">
        <is>
          <t>HÄRJEDALEN</t>
        </is>
      </c>
      <c r="F6724" t="inlineStr">
        <is>
          <t>Sveaskog</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2831-2024</t>
        </is>
      </c>
      <c r="B6725" s="1" t="n">
        <v>45314.92758101852</v>
      </c>
      <c r="C6725" s="1" t="n">
        <v>46045</v>
      </c>
      <c r="D6725" t="inlineStr">
        <is>
          <t>JÄMTLANDS LÄN</t>
        </is>
      </c>
      <c r="E6725" t="inlineStr">
        <is>
          <t>RAGUNDA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24954-2025</t>
        </is>
      </c>
      <c r="B6726" s="1" t="n">
        <v>45799.57385416667</v>
      </c>
      <c r="C6726" s="1" t="n">
        <v>46045</v>
      </c>
      <c r="D6726" t="inlineStr">
        <is>
          <t>JÄMTLANDS LÄN</t>
        </is>
      </c>
      <c r="E6726" t="inlineStr">
        <is>
          <t>BERG</t>
        </is>
      </c>
      <c r="F6726" t="inlineStr">
        <is>
          <t>SCA</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53253-2025</t>
        </is>
      </c>
      <c r="B6727" s="1" t="n">
        <v>45958.66732638889</v>
      </c>
      <c r="C6727" s="1" t="n">
        <v>46045</v>
      </c>
      <c r="D6727" t="inlineStr">
        <is>
          <t>JÄMTLANDS LÄN</t>
        </is>
      </c>
      <c r="E6727" t="inlineStr">
        <is>
          <t>HÄRJEDALEN</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25343-2025</t>
        </is>
      </c>
      <c r="B6728" s="1" t="n">
        <v>45800.60508101852</v>
      </c>
      <c r="C6728" s="1" t="n">
        <v>46045</v>
      </c>
      <c r="D6728" t="inlineStr">
        <is>
          <t>JÄMTLANDS LÄN</t>
        </is>
      </c>
      <c r="E6728" t="inlineStr">
        <is>
          <t>HÄRJEDALEN</t>
        </is>
      </c>
      <c r="F6728" t="inlineStr">
        <is>
          <t>Holmen skog AB</t>
        </is>
      </c>
      <c r="G6728" t="n">
        <v>6.6</v>
      </c>
      <c r="H6728" t="n">
        <v>0</v>
      </c>
      <c r="I6728" t="n">
        <v>0</v>
      </c>
      <c r="J6728" t="n">
        <v>0</v>
      </c>
      <c r="K6728" t="n">
        <v>0</v>
      </c>
      <c r="L6728" t="n">
        <v>0</v>
      </c>
      <c r="M6728" t="n">
        <v>0</v>
      </c>
      <c r="N6728" t="n">
        <v>0</v>
      </c>
      <c r="O6728" t="n">
        <v>0</v>
      </c>
      <c r="P6728" t="n">
        <v>0</v>
      </c>
      <c r="Q6728" t="n">
        <v>0</v>
      </c>
      <c r="R6728" s="2" t="inlineStr"/>
    </row>
    <row r="6729" ht="15" customHeight="1">
      <c r="A6729" t="inlineStr">
        <is>
          <t>A 53185-2025</t>
        </is>
      </c>
      <c r="B6729" s="1" t="n">
        <v>45958.55537037037</v>
      </c>
      <c r="C6729" s="1" t="n">
        <v>46045</v>
      </c>
      <c r="D6729" t="inlineStr">
        <is>
          <t>JÄMTLANDS LÄN</t>
        </is>
      </c>
      <c r="E6729" t="inlineStr">
        <is>
          <t>BRÄCKE</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52749-2025</t>
        </is>
      </c>
      <c r="B6730" s="1" t="n">
        <v>45957.38637731481</v>
      </c>
      <c r="C6730" s="1" t="n">
        <v>46045</v>
      </c>
      <c r="D6730" t="inlineStr">
        <is>
          <t>JÄMTLANDS LÄN</t>
        </is>
      </c>
      <c r="E6730" t="inlineStr">
        <is>
          <t>STRÖMSUND</t>
        </is>
      </c>
      <c r="F6730" t="inlineStr">
        <is>
          <t>Övriga statliga verk och myndigheter</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25224-2025</t>
        </is>
      </c>
      <c r="B6731" s="1" t="n">
        <v>45800.48087962963</v>
      </c>
      <c r="C6731" s="1" t="n">
        <v>46045</v>
      </c>
      <c r="D6731" t="inlineStr">
        <is>
          <t>JÄMTLANDS LÄN</t>
        </is>
      </c>
      <c r="E6731" t="inlineStr">
        <is>
          <t>ÅRE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53267-2025</t>
        </is>
      </c>
      <c r="B6732" s="1" t="n">
        <v>45958.69079861111</v>
      </c>
      <c r="C6732" s="1" t="n">
        <v>46045</v>
      </c>
      <c r="D6732" t="inlineStr">
        <is>
          <t>JÄMTLANDS LÄN</t>
        </is>
      </c>
      <c r="E6732" t="inlineStr">
        <is>
          <t>HÄRJEDALEN</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53268-2025</t>
        </is>
      </c>
      <c r="B6733" s="1" t="n">
        <v>45958.69850694444</v>
      </c>
      <c r="C6733" s="1" t="n">
        <v>46045</v>
      </c>
      <c r="D6733" t="inlineStr">
        <is>
          <t>JÄMTLANDS LÄN</t>
        </is>
      </c>
      <c r="E6733" t="inlineStr">
        <is>
          <t>HÄRJEDALEN</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24850-2025</t>
        </is>
      </c>
      <c r="B6734" s="1" t="n">
        <v>45799.46958333333</v>
      </c>
      <c r="C6734" s="1" t="n">
        <v>46045</v>
      </c>
      <c r="D6734" t="inlineStr">
        <is>
          <t>JÄMTLANDS LÄN</t>
        </is>
      </c>
      <c r="E6734" t="inlineStr">
        <is>
          <t>BRÄCKE</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25059-2025</t>
        </is>
      </c>
      <c r="B6735" s="1" t="n">
        <v>45799.69116898148</v>
      </c>
      <c r="C6735" s="1" t="n">
        <v>46045</v>
      </c>
      <c r="D6735" t="inlineStr">
        <is>
          <t>JÄMTLANDS LÄN</t>
        </is>
      </c>
      <c r="E6735" t="inlineStr">
        <is>
          <t>ÖSTERSUND</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61244-2025</t>
        </is>
      </c>
      <c r="B6736" s="1" t="n">
        <v>46000.65929398148</v>
      </c>
      <c r="C6736" s="1" t="n">
        <v>46045</v>
      </c>
      <c r="D6736" t="inlineStr">
        <is>
          <t>JÄMTLANDS LÄN</t>
        </is>
      </c>
      <c r="E6736" t="inlineStr">
        <is>
          <t>KROKOM</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52547-2025</t>
        </is>
      </c>
      <c r="B6737" s="1" t="n">
        <v>45954.55262731481</v>
      </c>
      <c r="C6737" s="1" t="n">
        <v>46045</v>
      </c>
      <c r="D6737" t="inlineStr">
        <is>
          <t>JÄMTLANDS LÄN</t>
        </is>
      </c>
      <c r="E6737" t="inlineStr">
        <is>
          <t>STRÖMSUND</t>
        </is>
      </c>
      <c r="F6737" t="inlineStr">
        <is>
          <t>SCA</t>
        </is>
      </c>
      <c r="G6737" t="n">
        <v>14.4</v>
      </c>
      <c r="H6737" t="n">
        <v>0</v>
      </c>
      <c r="I6737" t="n">
        <v>0</v>
      </c>
      <c r="J6737" t="n">
        <v>0</v>
      </c>
      <c r="K6737" t="n">
        <v>0</v>
      </c>
      <c r="L6737" t="n">
        <v>0</v>
      </c>
      <c r="M6737" t="n">
        <v>0</v>
      </c>
      <c r="N6737" t="n">
        <v>0</v>
      </c>
      <c r="O6737" t="n">
        <v>0</v>
      </c>
      <c r="P6737" t="n">
        <v>0</v>
      </c>
      <c r="Q6737" t="n">
        <v>0</v>
      </c>
      <c r="R6737" s="2" t="inlineStr"/>
    </row>
    <row r="6738" ht="15" customHeight="1">
      <c r="A6738" t="inlineStr">
        <is>
          <t>A 50840-2023</t>
        </is>
      </c>
      <c r="B6738" s="1" t="n">
        <v>45217</v>
      </c>
      <c r="C6738" s="1" t="n">
        <v>46045</v>
      </c>
      <c r="D6738" t="inlineStr">
        <is>
          <t>JÄMTLANDS LÄN</t>
        </is>
      </c>
      <c r="E6738" t="inlineStr">
        <is>
          <t>BRÄCKE</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4058-2025</t>
        </is>
      </c>
      <c r="B6739" s="1" t="n">
        <v>45684.62510416667</v>
      </c>
      <c r="C6739" s="1" t="n">
        <v>46045</v>
      </c>
      <c r="D6739" t="inlineStr">
        <is>
          <t>JÄMTLANDS LÄN</t>
        </is>
      </c>
      <c r="E6739" t="inlineStr">
        <is>
          <t>KROKOM</t>
        </is>
      </c>
      <c r="F6739" t="inlineStr">
        <is>
          <t>Kyrkan</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52798-2025</t>
        </is>
      </c>
      <c r="B6740" s="1" t="n">
        <v>45957.44013888889</v>
      </c>
      <c r="C6740" s="1" t="n">
        <v>46045</v>
      </c>
      <c r="D6740" t="inlineStr">
        <is>
          <t>JÄMTLANDS LÄN</t>
        </is>
      </c>
      <c r="E6740" t="inlineStr">
        <is>
          <t>BRÄCKE</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25409-2025</t>
        </is>
      </c>
      <c r="B6741" s="1" t="n">
        <v>45800.66043981481</v>
      </c>
      <c r="C6741" s="1" t="n">
        <v>46045</v>
      </c>
      <c r="D6741" t="inlineStr">
        <is>
          <t>JÄMTLANDS LÄN</t>
        </is>
      </c>
      <c r="E6741" t="inlineStr">
        <is>
          <t>HÄRJEDALEN</t>
        </is>
      </c>
      <c r="F6741" t="inlineStr">
        <is>
          <t>Holmen skog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15341-2025</t>
        </is>
      </c>
      <c r="B6742" s="1" t="n">
        <v>45746</v>
      </c>
      <c r="C6742" s="1" t="n">
        <v>46045</v>
      </c>
      <c r="D6742" t="inlineStr">
        <is>
          <t>JÄMTLANDS LÄN</t>
        </is>
      </c>
      <c r="E6742" t="inlineStr">
        <is>
          <t>KROKOM</t>
        </is>
      </c>
      <c r="F6742" t="inlineStr">
        <is>
          <t>SCA</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24842-2025</t>
        </is>
      </c>
      <c r="B6743" s="1" t="n">
        <v>45799.4658912037</v>
      </c>
      <c r="C6743" s="1" t="n">
        <v>46045</v>
      </c>
      <c r="D6743" t="inlineStr">
        <is>
          <t>JÄMTLANDS LÄN</t>
        </is>
      </c>
      <c r="E6743" t="inlineStr">
        <is>
          <t>HÄRJEDALEN</t>
        </is>
      </c>
      <c r="F6743" t="inlineStr">
        <is>
          <t>Sveaskog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24844-2025</t>
        </is>
      </c>
      <c r="B6744" s="1" t="n">
        <v>45799.46642361111</v>
      </c>
      <c r="C6744" s="1" t="n">
        <v>46045</v>
      </c>
      <c r="D6744" t="inlineStr">
        <is>
          <t>JÄMTLANDS LÄN</t>
        </is>
      </c>
      <c r="E6744" t="inlineStr">
        <is>
          <t>HÄRJEDALEN</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25109-2025</t>
        </is>
      </c>
      <c r="B6745" s="1" t="n">
        <v>45800.3503587963</v>
      </c>
      <c r="C6745" s="1" t="n">
        <v>46045</v>
      </c>
      <c r="D6745" t="inlineStr">
        <is>
          <t>JÄMTLANDS LÄN</t>
        </is>
      </c>
      <c r="E6745" t="inlineStr">
        <is>
          <t>HÄRJEDALEN</t>
        </is>
      </c>
      <c r="F6745" t="inlineStr">
        <is>
          <t>Holmen skog AB</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25112-2025</t>
        </is>
      </c>
      <c r="B6746" s="1" t="n">
        <v>45800.35670138889</v>
      </c>
      <c r="C6746" s="1" t="n">
        <v>46045</v>
      </c>
      <c r="D6746" t="inlineStr">
        <is>
          <t>JÄMTLANDS LÄN</t>
        </is>
      </c>
      <c r="E6746" t="inlineStr">
        <is>
          <t>HÄRJEDALEN</t>
        </is>
      </c>
      <c r="F6746" t="inlineStr">
        <is>
          <t>Holmen skog AB</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53155-2025</t>
        </is>
      </c>
      <c r="B6747" s="1" t="n">
        <v>45958.49011574074</v>
      </c>
      <c r="C6747" s="1" t="n">
        <v>46045</v>
      </c>
      <c r="D6747" t="inlineStr">
        <is>
          <t>JÄMTLANDS LÄN</t>
        </is>
      </c>
      <c r="E6747" t="inlineStr">
        <is>
          <t>BERG</t>
        </is>
      </c>
      <c r="F6747" t="inlineStr">
        <is>
          <t>SCA</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52935-2025</t>
        </is>
      </c>
      <c r="B6748" s="1" t="n">
        <v>45957.62978009259</v>
      </c>
      <c r="C6748" s="1" t="n">
        <v>46045</v>
      </c>
      <c r="D6748" t="inlineStr">
        <is>
          <t>JÄMTLANDS LÄN</t>
        </is>
      </c>
      <c r="E6748" t="inlineStr">
        <is>
          <t>ÖSTERSUND</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25069-2025</t>
        </is>
      </c>
      <c r="B6749" s="1" t="n">
        <v>45799.7372337963</v>
      </c>
      <c r="C6749" s="1" t="n">
        <v>46045</v>
      </c>
      <c r="D6749" t="inlineStr">
        <is>
          <t>JÄMTLANDS LÄN</t>
        </is>
      </c>
      <c r="E6749" t="inlineStr">
        <is>
          <t>ÖSTERSUND</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46793-2021</t>
        </is>
      </c>
      <c r="B6750" s="1" t="n">
        <v>44445</v>
      </c>
      <c r="C6750" s="1" t="n">
        <v>46045</v>
      </c>
      <c r="D6750" t="inlineStr">
        <is>
          <t>JÄMTLANDS LÄN</t>
        </is>
      </c>
      <c r="E6750" t="inlineStr">
        <is>
          <t>BRÄCKE</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52944-2025</t>
        </is>
      </c>
      <c r="B6751" s="1" t="n">
        <v>45957.6437037037</v>
      </c>
      <c r="C6751" s="1" t="n">
        <v>46045</v>
      </c>
      <c r="D6751" t="inlineStr">
        <is>
          <t>JÄMTLANDS LÄN</t>
        </is>
      </c>
      <c r="E6751" t="inlineStr">
        <is>
          <t>ÅRE</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25147-2025</t>
        </is>
      </c>
      <c r="B6752" s="1" t="n">
        <v>45800.41883101852</v>
      </c>
      <c r="C6752" s="1" t="n">
        <v>46045</v>
      </c>
      <c r="D6752" t="inlineStr">
        <is>
          <t>JÄMTLANDS LÄN</t>
        </is>
      </c>
      <c r="E6752" t="inlineStr">
        <is>
          <t>HÄRJEDALEN</t>
        </is>
      </c>
      <c r="F6752" t="inlineStr">
        <is>
          <t>Holmen skog AB</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25156-2025</t>
        </is>
      </c>
      <c r="B6753" s="1" t="n">
        <v>45800.42793981481</v>
      </c>
      <c r="C6753" s="1" t="n">
        <v>46045</v>
      </c>
      <c r="D6753" t="inlineStr">
        <is>
          <t>JÄMTLANDS LÄN</t>
        </is>
      </c>
      <c r="E6753" t="inlineStr">
        <is>
          <t>STRÖMSUND</t>
        </is>
      </c>
      <c r="F6753" t="inlineStr">
        <is>
          <t>SCA</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20276-2023</t>
        </is>
      </c>
      <c r="B6754" s="1" t="n">
        <v>45055.94465277778</v>
      </c>
      <c r="C6754" s="1" t="n">
        <v>46045</v>
      </c>
      <c r="D6754" t="inlineStr">
        <is>
          <t>JÄMTLANDS LÄN</t>
        </is>
      </c>
      <c r="E6754" t="inlineStr">
        <is>
          <t>BRÄCKE</t>
        </is>
      </c>
      <c r="F6754" t="inlineStr">
        <is>
          <t>SCA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35726-2024</t>
        </is>
      </c>
      <c r="B6755" s="1" t="n">
        <v>45532</v>
      </c>
      <c r="C6755" s="1" t="n">
        <v>46045</v>
      </c>
      <c r="D6755" t="inlineStr">
        <is>
          <t>JÄMTLANDS LÄN</t>
        </is>
      </c>
      <c r="E6755" t="inlineStr">
        <is>
          <t>HÄRJEDALEN</t>
        </is>
      </c>
      <c r="G6755" t="n">
        <v>14.3</v>
      </c>
      <c r="H6755" t="n">
        <v>0</v>
      </c>
      <c r="I6755" t="n">
        <v>0</v>
      </c>
      <c r="J6755" t="n">
        <v>0</v>
      </c>
      <c r="K6755" t="n">
        <v>0</v>
      </c>
      <c r="L6755" t="n">
        <v>0</v>
      </c>
      <c r="M6755" t="n">
        <v>0</v>
      </c>
      <c r="N6755" t="n">
        <v>0</v>
      </c>
      <c r="O6755" t="n">
        <v>0</v>
      </c>
      <c r="P6755" t="n">
        <v>0</v>
      </c>
      <c r="Q6755" t="n">
        <v>0</v>
      </c>
      <c r="R6755" s="2" t="inlineStr"/>
    </row>
    <row r="6756" ht="15" customHeight="1">
      <c r="A6756" t="inlineStr">
        <is>
          <t>A 52938-2025</t>
        </is>
      </c>
      <c r="B6756" s="1" t="n">
        <v>45957.63680555556</v>
      </c>
      <c r="C6756" s="1" t="n">
        <v>46045</v>
      </c>
      <c r="D6756" t="inlineStr">
        <is>
          <t>JÄMTLANDS LÄN</t>
        </is>
      </c>
      <c r="E6756" t="inlineStr">
        <is>
          <t>BERG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25681-2025</t>
        </is>
      </c>
      <c r="B6757" s="1" t="n">
        <v>45800</v>
      </c>
      <c r="C6757" s="1" t="n">
        <v>46045</v>
      </c>
      <c r="D6757" t="inlineStr">
        <is>
          <t>JÄMTLANDS LÄN</t>
        </is>
      </c>
      <c r="E6757" t="inlineStr">
        <is>
          <t>KROKOM</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24791-2025</t>
        </is>
      </c>
      <c r="B6758" s="1" t="n">
        <v>45799.43086805556</v>
      </c>
      <c r="C6758" s="1" t="n">
        <v>46045</v>
      </c>
      <c r="D6758" t="inlineStr">
        <is>
          <t>JÄMTLANDS LÄN</t>
        </is>
      </c>
      <c r="E6758" t="inlineStr">
        <is>
          <t>HÄRJEDALEN</t>
        </is>
      </c>
      <c r="F6758" t="inlineStr">
        <is>
          <t>Holmen skog AB</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36311-2024</t>
        </is>
      </c>
      <c r="B6759" s="1" t="n">
        <v>45534.63079861111</v>
      </c>
      <c r="C6759" s="1" t="n">
        <v>46045</v>
      </c>
      <c r="D6759" t="inlineStr">
        <is>
          <t>JÄMTLANDS LÄN</t>
        </is>
      </c>
      <c r="E6759" t="inlineStr">
        <is>
          <t>STRÖMSUND</t>
        </is>
      </c>
      <c r="F6759" t="inlineStr">
        <is>
          <t>SCA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52975-2025</t>
        </is>
      </c>
      <c r="B6760" s="1" t="n">
        <v>45957.67876157408</v>
      </c>
      <c r="C6760" s="1" t="n">
        <v>46045</v>
      </c>
      <c r="D6760" t="inlineStr">
        <is>
          <t>JÄMTLANDS LÄN</t>
        </is>
      </c>
      <c r="E6760" t="inlineStr">
        <is>
          <t>ÖSTERSUND</t>
        </is>
      </c>
      <c r="F6760" t="inlineStr">
        <is>
          <t>SCA</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53263-2025</t>
        </is>
      </c>
      <c r="B6761" s="1" t="n">
        <v>45958.67818287037</v>
      </c>
      <c r="C6761" s="1" t="n">
        <v>46045</v>
      </c>
      <c r="D6761" t="inlineStr">
        <is>
          <t>JÄMTLANDS LÄN</t>
        </is>
      </c>
      <c r="E6761" t="inlineStr">
        <is>
          <t>STRÖMSUND</t>
        </is>
      </c>
      <c r="F6761" t="inlineStr">
        <is>
          <t>SCA</t>
        </is>
      </c>
      <c r="G6761" t="n">
        <v>20.6</v>
      </c>
      <c r="H6761" t="n">
        <v>0</v>
      </c>
      <c r="I6761" t="n">
        <v>0</v>
      </c>
      <c r="J6761" t="n">
        <v>0</v>
      </c>
      <c r="K6761" t="n">
        <v>0</v>
      </c>
      <c r="L6761" t="n">
        <v>0</v>
      </c>
      <c r="M6761" t="n">
        <v>0</v>
      </c>
      <c r="N6761" t="n">
        <v>0</v>
      </c>
      <c r="O6761" t="n">
        <v>0</v>
      </c>
      <c r="P6761" t="n">
        <v>0</v>
      </c>
      <c r="Q6761" t="n">
        <v>0</v>
      </c>
      <c r="R6761" s="2" t="inlineStr"/>
    </row>
    <row r="6762" ht="15" customHeight="1">
      <c r="A6762" t="inlineStr">
        <is>
          <t>A 53270-2025</t>
        </is>
      </c>
      <c r="B6762" s="1" t="n">
        <v>45958.70261574074</v>
      </c>
      <c r="C6762" s="1" t="n">
        <v>46045</v>
      </c>
      <c r="D6762" t="inlineStr">
        <is>
          <t>JÄMTLANDS LÄN</t>
        </is>
      </c>
      <c r="E6762" t="inlineStr">
        <is>
          <t>BRÄCKE</t>
        </is>
      </c>
      <c r="G6762" t="n">
        <v>9.9</v>
      </c>
      <c r="H6762" t="n">
        <v>0</v>
      </c>
      <c r="I6762" t="n">
        <v>0</v>
      </c>
      <c r="J6762" t="n">
        <v>0</v>
      </c>
      <c r="K6762" t="n">
        <v>0</v>
      </c>
      <c r="L6762" t="n">
        <v>0</v>
      </c>
      <c r="M6762" t="n">
        <v>0</v>
      </c>
      <c r="N6762" t="n">
        <v>0</v>
      </c>
      <c r="O6762" t="n">
        <v>0</v>
      </c>
      <c r="P6762" t="n">
        <v>0</v>
      </c>
      <c r="Q6762" t="n">
        <v>0</v>
      </c>
      <c r="R6762" s="2" t="inlineStr"/>
    </row>
    <row r="6763" ht="15" customHeight="1">
      <c r="A6763" t="inlineStr">
        <is>
          <t>A 36344-2024</t>
        </is>
      </c>
      <c r="B6763" s="1" t="n">
        <v>45534.64349537037</v>
      </c>
      <c r="C6763" s="1" t="n">
        <v>46045</v>
      </c>
      <c r="D6763" t="inlineStr">
        <is>
          <t>JÄMTLANDS LÄN</t>
        </is>
      </c>
      <c r="E6763" t="inlineStr">
        <is>
          <t>STRÖMSUND</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36347-2024</t>
        </is>
      </c>
      <c r="B6764" s="1" t="n">
        <v>45534.64393518519</v>
      </c>
      <c r="C6764" s="1" t="n">
        <v>46045</v>
      </c>
      <c r="D6764" t="inlineStr">
        <is>
          <t>JÄMTLANDS LÄN</t>
        </is>
      </c>
      <c r="E6764" t="inlineStr">
        <is>
          <t>STRÖMSUND</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52455-2025</t>
        </is>
      </c>
      <c r="B6765" s="1" t="n">
        <v>45954.42763888889</v>
      </c>
      <c r="C6765" s="1" t="n">
        <v>46045</v>
      </c>
      <c r="D6765" t="inlineStr">
        <is>
          <t>JÄMTLANDS LÄN</t>
        </is>
      </c>
      <c r="E6765" t="inlineStr">
        <is>
          <t>STRÖMSUND</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52430-2025</t>
        </is>
      </c>
      <c r="B6766" s="1" t="n">
        <v>45954.38592592593</v>
      </c>
      <c r="C6766" s="1" t="n">
        <v>46045</v>
      </c>
      <c r="D6766" t="inlineStr">
        <is>
          <t>JÄMTLANDS LÄN</t>
        </is>
      </c>
      <c r="E6766" t="inlineStr">
        <is>
          <t>RAGUNDA</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52476-2025</t>
        </is>
      </c>
      <c r="B6767" s="1" t="n">
        <v>45954.46921296296</v>
      </c>
      <c r="C6767" s="1" t="n">
        <v>46045</v>
      </c>
      <c r="D6767" t="inlineStr">
        <is>
          <t>JÄMTLANDS LÄN</t>
        </is>
      </c>
      <c r="E6767" t="inlineStr">
        <is>
          <t>BRÄCKE</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25631-2025</t>
        </is>
      </c>
      <c r="B6768" s="1" t="n">
        <v>45803.5946875</v>
      </c>
      <c r="C6768" s="1" t="n">
        <v>46045</v>
      </c>
      <c r="D6768" t="inlineStr">
        <is>
          <t>JÄMTLANDS LÄN</t>
        </is>
      </c>
      <c r="E6768" t="inlineStr">
        <is>
          <t>RAGUNDA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53138-2025</t>
        </is>
      </c>
      <c r="B6769" s="1" t="n">
        <v>45958.47013888889</v>
      </c>
      <c r="C6769" s="1" t="n">
        <v>46045</v>
      </c>
      <c r="D6769" t="inlineStr">
        <is>
          <t>JÄMTLANDS LÄN</t>
        </is>
      </c>
      <c r="E6769" t="inlineStr">
        <is>
          <t>BRÄCKE</t>
        </is>
      </c>
      <c r="F6769" t="inlineStr">
        <is>
          <t>Övriga Aktiebolag</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53168-2025</t>
        </is>
      </c>
      <c r="B6770" s="1" t="n">
        <v>45958.51083333333</v>
      </c>
      <c r="C6770" s="1" t="n">
        <v>46045</v>
      </c>
      <c r="D6770" t="inlineStr">
        <is>
          <t>JÄMTLANDS LÄN</t>
        </is>
      </c>
      <c r="E6770" t="inlineStr">
        <is>
          <t>BRÄCKE</t>
        </is>
      </c>
      <c r="F6770" t="inlineStr">
        <is>
          <t>SCA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25444-2025</t>
        </is>
      </c>
      <c r="B6771" s="1" t="n">
        <v>45801.52229166667</v>
      </c>
      <c r="C6771" s="1" t="n">
        <v>46045</v>
      </c>
      <c r="D6771" t="inlineStr">
        <is>
          <t>JÄMTLANDS LÄN</t>
        </is>
      </c>
      <c r="E6771" t="inlineStr">
        <is>
          <t>STRÖMSUND</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64709-2021</t>
        </is>
      </c>
      <c r="B6772" s="1" t="n">
        <v>44512</v>
      </c>
      <c r="C6772" s="1" t="n">
        <v>46045</v>
      </c>
      <c r="D6772" t="inlineStr">
        <is>
          <t>JÄMTLANDS LÄN</t>
        </is>
      </c>
      <c r="E6772" t="inlineStr">
        <is>
          <t>BERG</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53197-2025</t>
        </is>
      </c>
      <c r="B6773" s="1" t="n">
        <v>45958.57358796296</v>
      </c>
      <c r="C6773" s="1" t="n">
        <v>46045</v>
      </c>
      <c r="D6773" t="inlineStr">
        <is>
          <t>JÄMTLANDS LÄN</t>
        </is>
      </c>
      <c r="E6773" t="inlineStr">
        <is>
          <t>BRÄCKE</t>
        </is>
      </c>
      <c r="F6773" t="inlineStr">
        <is>
          <t>SCA</t>
        </is>
      </c>
      <c r="G6773" t="n">
        <v>43.4</v>
      </c>
      <c r="H6773" t="n">
        <v>0</v>
      </c>
      <c r="I6773" t="n">
        <v>0</v>
      </c>
      <c r="J6773" t="n">
        <v>0</v>
      </c>
      <c r="K6773" t="n">
        <v>0</v>
      </c>
      <c r="L6773" t="n">
        <v>0</v>
      </c>
      <c r="M6773" t="n">
        <v>0</v>
      </c>
      <c r="N6773" t="n">
        <v>0</v>
      </c>
      <c r="O6773" t="n">
        <v>0</v>
      </c>
      <c r="P6773" t="n">
        <v>0</v>
      </c>
      <c r="Q6773" t="n">
        <v>0</v>
      </c>
      <c r="R6773" s="2" t="inlineStr"/>
    </row>
    <row r="6774" ht="15" customHeight="1">
      <c r="A6774" t="inlineStr">
        <is>
          <t>A 61188-2025</t>
        </is>
      </c>
      <c r="B6774" s="1" t="n">
        <v>46000</v>
      </c>
      <c r="C6774" s="1" t="n">
        <v>46045</v>
      </c>
      <c r="D6774" t="inlineStr">
        <is>
          <t>JÄMTLANDS LÄN</t>
        </is>
      </c>
      <c r="E6774" t="inlineStr">
        <is>
          <t>STRÖMSUND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53169-2025</t>
        </is>
      </c>
      <c r="B6775" s="1" t="n">
        <v>45958.51101851852</v>
      </c>
      <c r="C6775" s="1" t="n">
        <v>46045</v>
      </c>
      <c r="D6775" t="inlineStr">
        <is>
          <t>JÄMTLANDS LÄN</t>
        </is>
      </c>
      <c r="E6775" t="inlineStr">
        <is>
          <t>BRÄCKE</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25938-2025</t>
        </is>
      </c>
      <c r="B6776" s="1" t="n">
        <v>45804.59414351852</v>
      </c>
      <c r="C6776" s="1" t="n">
        <v>46045</v>
      </c>
      <c r="D6776" t="inlineStr">
        <is>
          <t>JÄMTLANDS LÄN</t>
        </is>
      </c>
      <c r="E6776" t="inlineStr">
        <is>
          <t>BERG</t>
        </is>
      </c>
      <c r="F6776" t="inlineStr">
        <is>
          <t>SCA</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25572-2025</t>
        </is>
      </c>
      <c r="B6777" s="1" t="n">
        <v>45803</v>
      </c>
      <c r="C6777" s="1" t="n">
        <v>46045</v>
      </c>
      <c r="D6777" t="inlineStr">
        <is>
          <t>JÄMTLANDS LÄN</t>
        </is>
      </c>
      <c r="E6777" t="inlineStr">
        <is>
          <t>ÖSTERSUND</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25659-2025</t>
        </is>
      </c>
      <c r="B6778" s="1" t="n">
        <v>45803.61552083334</v>
      </c>
      <c r="C6778" s="1" t="n">
        <v>46045</v>
      </c>
      <c r="D6778" t="inlineStr">
        <is>
          <t>JÄMTLANDS LÄN</t>
        </is>
      </c>
      <c r="E6778" t="inlineStr">
        <is>
          <t>RAGUNDA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25661-2025</t>
        </is>
      </c>
      <c r="B6779" s="1" t="n">
        <v>45803.61557870371</v>
      </c>
      <c r="C6779" s="1" t="n">
        <v>46045</v>
      </c>
      <c r="D6779" t="inlineStr">
        <is>
          <t>JÄMTLANDS LÄN</t>
        </is>
      </c>
      <c r="E6779" t="inlineStr">
        <is>
          <t>RAGUNDA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52933-2025</t>
        </is>
      </c>
      <c r="B6780" s="1" t="n">
        <v>45957.62528935185</v>
      </c>
      <c r="C6780" s="1" t="n">
        <v>46045</v>
      </c>
      <c r="D6780" t="inlineStr">
        <is>
          <t>JÄMTLANDS LÄN</t>
        </is>
      </c>
      <c r="E6780" t="inlineStr">
        <is>
          <t>BERG</t>
        </is>
      </c>
      <c r="G6780" t="n">
        <v>10.1</v>
      </c>
      <c r="H6780" t="n">
        <v>0</v>
      </c>
      <c r="I6780" t="n">
        <v>0</v>
      </c>
      <c r="J6780" t="n">
        <v>0</v>
      </c>
      <c r="K6780" t="n">
        <v>0</v>
      </c>
      <c r="L6780" t="n">
        <v>0</v>
      </c>
      <c r="M6780" t="n">
        <v>0</v>
      </c>
      <c r="N6780" t="n">
        <v>0</v>
      </c>
      <c r="O6780" t="n">
        <v>0</v>
      </c>
      <c r="P6780" t="n">
        <v>0</v>
      </c>
      <c r="Q6780" t="n">
        <v>0</v>
      </c>
      <c r="R6780" s="2" t="inlineStr"/>
    </row>
    <row r="6781" ht="15" customHeight="1">
      <c r="A6781" t="inlineStr">
        <is>
          <t>A 17514-2025</t>
        </is>
      </c>
      <c r="B6781" s="1" t="n">
        <v>45757.57347222222</v>
      </c>
      <c r="C6781" s="1" t="n">
        <v>46045</v>
      </c>
      <c r="D6781" t="inlineStr">
        <is>
          <t>JÄMTLANDS LÄN</t>
        </is>
      </c>
      <c r="E6781" t="inlineStr">
        <is>
          <t>STRÖMSUND</t>
        </is>
      </c>
      <c r="F6781" t="inlineStr">
        <is>
          <t>SCA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52808-2025</t>
        </is>
      </c>
      <c r="B6782" s="1" t="n">
        <v>45957.4485300926</v>
      </c>
      <c r="C6782" s="1" t="n">
        <v>46045</v>
      </c>
      <c r="D6782" t="inlineStr">
        <is>
          <t>JÄMTLANDS LÄN</t>
        </is>
      </c>
      <c r="E6782" t="inlineStr">
        <is>
          <t>STRÖMSUND</t>
        </is>
      </c>
      <c r="F6782" t="inlineStr">
        <is>
          <t>SCA</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53057-2025</t>
        </is>
      </c>
      <c r="B6783" s="1" t="n">
        <v>45958.36537037037</v>
      </c>
      <c r="C6783" s="1" t="n">
        <v>46045</v>
      </c>
      <c r="D6783" t="inlineStr">
        <is>
          <t>JÄMTLANDS LÄN</t>
        </is>
      </c>
      <c r="E6783" t="inlineStr">
        <is>
          <t>ÖSTERSUND</t>
        </is>
      </c>
      <c r="F6783" t="inlineStr">
        <is>
          <t>SCA</t>
        </is>
      </c>
      <c r="G6783" t="n">
        <v>47.8</v>
      </c>
      <c r="H6783" t="n">
        <v>0</v>
      </c>
      <c r="I6783" t="n">
        <v>0</v>
      </c>
      <c r="J6783" t="n">
        <v>0</v>
      </c>
      <c r="K6783" t="n">
        <v>0</v>
      </c>
      <c r="L6783" t="n">
        <v>0</v>
      </c>
      <c r="M6783" t="n">
        <v>0</v>
      </c>
      <c r="N6783" t="n">
        <v>0</v>
      </c>
      <c r="O6783" t="n">
        <v>0</v>
      </c>
      <c r="P6783" t="n">
        <v>0</v>
      </c>
      <c r="Q6783" t="n">
        <v>0</v>
      </c>
      <c r="R6783" s="2" t="inlineStr"/>
    </row>
    <row r="6784" ht="15" customHeight="1">
      <c r="A6784" t="inlineStr">
        <is>
          <t>A 52866-2025</t>
        </is>
      </c>
      <c r="B6784" s="1" t="n">
        <v>45957.51115740741</v>
      </c>
      <c r="C6784" s="1" t="n">
        <v>46045</v>
      </c>
      <c r="D6784" t="inlineStr">
        <is>
          <t>JÄMTLANDS LÄN</t>
        </is>
      </c>
      <c r="E6784" t="inlineStr">
        <is>
          <t>STRÖMSUND</t>
        </is>
      </c>
      <c r="F6784" t="inlineStr">
        <is>
          <t>SCA</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52874-2025</t>
        </is>
      </c>
      <c r="B6785" s="1" t="n">
        <v>45957.53193287037</v>
      </c>
      <c r="C6785" s="1" t="n">
        <v>46045</v>
      </c>
      <c r="D6785" t="inlineStr">
        <is>
          <t>JÄMTLANDS LÄN</t>
        </is>
      </c>
      <c r="E6785" t="inlineStr">
        <is>
          <t>STRÖMSUND</t>
        </is>
      </c>
      <c r="F6785" t="inlineStr">
        <is>
          <t>SCA</t>
        </is>
      </c>
      <c r="G6785" t="n">
        <v>15.7</v>
      </c>
      <c r="H6785" t="n">
        <v>0</v>
      </c>
      <c r="I6785" t="n">
        <v>0</v>
      </c>
      <c r="J6785" t="n">
        <v>0</v>
      </c>
      <c r="K6785" t="n">
        <v>0</v>
      </c>
      <c r="L6785" t="n">
        <v>0</v>
      </c>
      <c r="M6785" t="n">
        <v>0</v>
      </c>
      <c r="N6785" t="n">
        <v>0</v>
      </c>
      <c r="O6785" t="n">
        <v>0</v>
      </c>
      <c r="P6785" t="n">
        <v>0</v>
      </c>
      <c r="Q6785" t="n">
        <v>0</v>
      </c>
      <c r="R6785" s="2" t="inlineStr"/>
    </row>
    <row r="6786" ht="15" customHeight="1">
      <c r="A6786" t="inlineStr">
        <is>
          <t>A 52875-2025</t>
        </is>
      </c>
      <c r="B6786" s="1" t="n">
        <v>45957.53211805555</v>
      </c>
      <c r="C6786" s="1" t="n">
        <v>46045</v>
      </c>
      <c r="D6786" t="inlineStr">
        <is>
          <t>JÄMTLANDS LÄN</t>
        </is>
      </c>
      <c r="E6786" t="inlineStr">
        <is>
          <t>RAGUNDA</t>
        </is>
      </c>
      <c r="F6786" t="inlineStr">
        <is>
          <t>SCA</t>
        </is>
      </c>
      <c r="G6786" t="n">
        <v>34.3</v>
      </c>
      <c r="H6786" t="n">
        <v>0</v>
      </c>
      <c r="I6786" t="n">
        <v>0</v>
      </c>
      <c r="J6786" t="n">
        <v>0</v>
      </c>
      <c r="K6786" t="n">
        <v>0</v>
      </c>
      <c r="L6786" t="n">
        <v>0</v>
      </c>
      <c r="M6786" t="n">
        <v>0</v>
      </c>
      <c r="N6786" t="n">
        <v>0</v>
      </c>
      <c r="O6786" t="n">
        <v>0</v>
      </c>
      <c r="P6786" t="n">
        <v>0</v>
      </c>
      <c r="Q6786" t="n">
        <v>0</v>
      </c>
      <c r="R6786" s="2" t="inlineStr"/>
    </row>
    <row r="6787" ht="15" customHeight="1">
      <c r="A6787" t="inlineStr">
        <is>
          <t>A 25931-2025</t>
        </is>
      </c>
      <c r="B6787" s="1" t="n">
        <v>45804.5813425926</v>
      </c>
      <c r="C6787" s="1" t="n">
        <v>46045</v>
      </c>
      <c r="D6787" t="inlineStr">
        <is>
          <t>JÄMTLANDS LÄN</t>
        </is>
      </c>
      <c r="E6787" t="inlineStr">
        <is>
          <t>HÄRJEDALEN</t>
        </is>
      </c>
      <c r="F6787" t="inlineStr">
        <is>
          <t>Bergvik skog väst AB</t>
        </is>
      </c>
      <c r="G6787" t="n">
        <v>14.2</v>
      </c>
      <c r="H6787" t="n">
        <v>0</v>
      </c>
      <c r="I6787" t="n">
        <v>0</v>
      </c>
      <c r="J6787" t="n">
        <v>0</v>
      </c>
      <c r="K6787" t="n">
        <v>0</v>
      </c>
      <c r="L6787" t="n">
        <v>0</v>
      </c>
      <c r="M6787" t="n">
        <v>0</v>
      </c>
      <c r="N6787" t="n">
        <v>0</v>
      </c>
      <c r="O6787" t="n">
        <v>0</v>
      </c>
      <c r="P6787" t="n">
        <v>0</v>
      </c>
      <c r="Q6787" t="n">
        <v>0</v>
      </c>
      <c r="R6787" s="2" t="inlineStr"/>
    </row>
    <row r="6788" ht="15" customHeight="1">
      <c r="A6788" t="inlineStr">
        <is>
          <t>A 25944-2025</t>
        </is>
      </c>
      <c r="B6788" s="1" t="n">
        <v>45804.59487268519</v>
      </c>
      <c r="C6788" s="1" t="n">
        <v>46045</v>
      </c>
      <c r="D6788" t="inlineStr">
        <is>
          <t>JÄMTLANDS LÄN</t>
        </is>
      </c>
      <c r="E6788" t="inlineStr">
        <is>
          <t>RAGUNDA</t>
        </is>
      </c>
      <c r="F6788" t="inlineStr">
        <is>
          <t>SCA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60913-2025</t>
        </is>
      </c>
      <c r="B6789" s="1" t="n">
        <v>45999.60133101852</v>
      </c>
      <c r="C6789" s="1" t="n">
        <v>46045</v>
      </c>
      <c r="D6789" t="inlineStr">
        <is>
          <t>JÄMTLANDS LÄN</t>
        </is>
      </c>
      <c r="E6789" t="inlineStr">
        <is>
          <t>ÅRE</t>
        </is>
      </c>
      <c r="F6789" t="inlineStr">
        <is>
          <t>Övriga Aktiebolag</t>
        </is>
      </c>
      <c r="G6789" t="n">
        <v>19.9</v>
      </c>
      <c r="H6789" t="n">
        <v>0</v>
      </c>
      <c r="I6789" t="n">
        <v>0</v>
      </c>
      <c r="J6789" t="n">
        <v>0</v>
      </c>
      <c r="K6789" t="n">
        <v>0</v>
      </c>
      <c r="L6789" t="n">
        <v>0</v>
      </c>
      <c r="M6789" t="n">
        <v>0</v>
      </c>
      <c r="N6789" t="n">
        <v>0</v>
      </c>
      <c r="O6789" t="n">
        <v>0</v>
      </c>
      <c r="P6789" t="n">
        <v>0</v>
      </c>
      <c r="Q6789" t="n">
        <v>0</v>
      </c>
      <c r="R6789" s="2" t="inlineStr"/>
    </row>
    <row r="6790" ht="15" customHeight="1">
      <c r="A6790" t="inlineStr">
        <is>
          <t>A 19258-2025</t>
        </is>
      </c>
      <c r="B6790" s="1" t="n">
        <v>45769.49987268518</v>
      </c>
      <c r="C6790" s="1" t="n">
        <v>46045</v>
      </c>
      <c r="D6790" t="inlineStr">
        <is>
          <t>JÄMTLANDS LÄN</t>
        </is>
      </c>
      <c r="E6790" t="inlineStr">
        <is>
          <t>BERG</t>
        </is>
      </c>
      <c r="G6790" t="n">
        <v>10.9</v>
      </c>
      <c r="H6790" t="n">
        <v>0</v>
      </c>
      <c r="I6790" t="n">
        <v>0</v>
      </c>
      <c r="J6790" t="n">
        <v>0</v>
      </c>
      <c r="K6790" t="n">
        <v>0</v>
      </c>
      <c r="L6790" t="n">
        <v>0</v>
      </c>
      <c r="M6790" t="n">
        <v>0</v>
      </c>
      <c r="N6790" t="n">
        <v>0</v>
      </c>
      <c r="O6790" t="n">
        <v>0</v>
      </c>
      <c r="P6790" t="n">
        <v>0</v>
      </c>
      <c r="Q6790" t="n">
        <v>0</v>
      </c>
      <c r="R6790" s="2" t="inlineStr"/>
    </row>
    <row r="6791" ht="15" customHeight="1">
      <c r="A6791" t="inlineStr">
        <is>
          <t>A 53156-2025</t>
        </is>
      </c>
      <c r="B6791" s="1" t="n">
        <v>45958.49030092593</v>
      </c>
      <c r="C6791" s="1" t="n">
        <v>46045</v>
      </c>
      <c r="D6791" t="inlineStr">
        <is>
          <t>JÄMTLANDS LÄN</t>
        </is>
      </c>
      <c r="E6791" t="inlineStr">
        <is>
          <t>ÅRE</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53157-2025</t>
        </is>
      </c>
      <c r="B6792" s="1" t="n">
        <v>45958.49056712963</v>
      </c>
      <c r="C6792" s="1" t="n">
        <v>46045</v>
      </c>
      <c r="D6792" t="inlineStr">
        <is>
          <t>JÄMTLANDS LÄN</t>
        </is>
      </c>
      <c r="E6792" t="inlineStr">
        <is>
          <t>BERG</t>
        </is>
      </c>
      <c r="F6792" t="inlineStr">
        <is>
          <t>SCA</t>
        </is>
      </c>
      <c r="G6792" t="n">
        <v>9.5</v>
      </c>
      <c r="H6792" t="n">
        <v>0</v>
      </c>
      <c r="I6792" t="n">
        <v>0</v>
      </c>
      <c r="J6792" t="n">
        <v>0</v>
      </c>
      <c r="K6792" t="n">
        <v>0</v>
      </c>
      <c r="L6792" t="n">
        <v>0</v>
      </c>
      <c r="M6792" t="n">
        <v>0</v>
      </c>
      <c r="N6792" t="n">
        <v>0</v>
      </c>
      <c r="O6792" t="n">
        <v>0</v>
      </c>
      <c r="P6792" t="n">
        <v>0</v>
      </c>
      <c r="Q6792" t="n">
        <v>0</v>
      </c>
      <c r="R6792" s="2" t="inlineStr"/>
    </row>
    <row r="6793" ht="15" customHeight="1">
      <c r="A6793" t="inlineStr">
        <is>
          <t>A 53175-2025</t>
        </is>
      </c>
      <c r="B6793" s="1" t="n">
        <v>45958.52390046296</v>
      </c>
      <c r="C6793" s="1" t="n">
        <v>46045</v>
      </c>
      <c r="D6793" t="inlineStr">
        <is>
          <t>JÄMTLANDS LÄN</t>
        </is>
      </c>
      <c r="E6793" t="inlineStr">
        <is>
          <t>HÄRJEDALEN</t>
        </is>
      </c>
      <c r="G6793" t="n">
        <v>16.8</v>
      </c>
      <c r="H6793" t="n">
        <v>0</v>
      </c>
      <c r="I6793" t="n">
        <v>0</v>
      </c>
      <c r="J6793" t="n">
        <v>0</v>
      </c>
      <c r="K6793" t="n">
        <v>0</v>
      </c>
      <c r="L6793" t="n">
        <v>0</v>
      </c>
      <c r="M6793" t="n">
        <v>0</v>
      </c>
      <c r="N6793" t="n">
        <v>0</v>
      </c>
      <c r="O6793" t="n">
        <v>0</v>
      </c>
      <c r="P6793" t="n">
        <v>0</v>
      </c>
      <c r="Q6793" t="n">
        <v>0</v>
      </c>
      <c r="R6793" s="2" t="inlineStr"/>
    </row>
    <row r="6794" ht="15" customHeight="1">
      <c r="A6794" t="inlineStr">
        <is>
          <t>A 25814-2025</t>
        </is>
      </c>
      <c r="B6794" s="1" t="n">
        <v>45804.42642361111</v>
      </c>
      <c r="C6794" s="1" t="n">
        <v>46045</v>
      </c>
      <c r="D6794" t="inlineStr">
        <is>
          <t>JÄMTLANDS LÄN</t>
        </is>
      </c>
      <c r="E6794" t="inlineStr">
        <is>
          <t>RAGUNDA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53210-2025</t>
        </is>
      </c>
      <c r="B6795" s="1" t="n">
        <v>45958.59469907408</v>
      </c>
      <c r="C6795" s="1" t="n">
        <v>46045</v>
      </c>
      <c r="D6795" t="inlineStr">
        <is>
          <t>JÄMTLANDS LÄN</t>
        </is>
      </c>
      <c r="E6795" t="inlineStr">
        <is>
          <t>BRÄCKE</t>
        </is>
      </c>
      <c r="F6795" t="inlineStr">
        <is>
          <t>SCA</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34007-2023</t>
        </is>
      </c>
      <c r="B6796" s="1" t="n">
        <v>45134.95141203704</v>
      </c>
      <c r="C6796" s="1" t="n">
        <v>46045</v>
      </c>
      <c r="D6796" t="inlineStr">
        <is>
          <t>JÄMTLANDS LÄN</t>
        </is>
      </c>
      <c r="E6796" t="inlineStr">
        <is>
          <t>STRÖMSUND</t>
        </is>
      </c>
      <c r="F6796" t="inlineStr">
        <is>
          <t>SCA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34008-2023</t>
        </is>
      </c>
      <c r="B6797" s="1" t="n">
        <v>45134</v>
      </c>
      <c r="C6797" s="1" t="n">
        <v>46045</v>
      </c>
      <c r="D6797" t="inlineStr">
        <is>
          <t>JÄMTLANDS LÄN</t>
        </is>
      </c>
      <c r="E6797" t="inlineStr">
        <is>
          <t>STRÖMSUND</t>
        </is>
      </c>
      <c r="F6797" t="inlineStr">
        <is>
          <t>SCA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53054-2025</t>
        </is>
      </c>
      <c r="B6798" s="1" t="n">
        <v>45958.36498842593</v>
      </c>
      <c r="C6798" s="1" t="n">
        <v>46045</v>
      </c>
      <c r="D6798" t="inlineStr">
        <is>
          <t>JÄMTLANDS LÄN</t>
        </is>
      </c>
      <c r="E6798" t="inlineStr">
        <is>
          <t>ÖSTERSUND</t>
        </is>
      </c>
      <c r="F6798" t="inlineStr">
        <is>
          <t>SCA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53211-2025</t>
        </is>
      </c>
      <c r="B6799" s="1" t="n">
        <v>45958.59490740741</v>
      </c>
      <c r="C6799" s="1" t="n">
        <v>46045</v>
      </c>
      <c r="D6799" t="inlineStr">
        <is>
          <t>JÄMTLANDS LÄN</t>
        </is>
      </c>
      <c r="E6799" t="inlineStr">
        <is>
          <t>RAGUNDA</t>
        </is>
      </c>
      <c r="F6799" t="inlineStr">
        <is>
          <t>SCA</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53227-2025</t>
        </is>
      </c>
      <c r="B6800" s="1" t="n">
        <v>45958.61497685185</v>
      </c>
      <c r="C6800" s="1" t="n">
        <v>46045</v>
      </c>
      <c r="D6800" t="inlineStr">
        <is>
          <t>JÄMTLANDS LÄN</t>
        </is>
      </c>
      <c r="E6800" t="inlineStr">
        <is>
          <t>KROKOM</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53265-2025</t>
        </is>
      </c>
      <c r="B6801" s="1" t="n">
        <v>45958.6809375</v>
      </c>
      <c r="C6801" s="1" t="n">
        <v>46045</v>
      </c>
      <c r="D6801" t="inlineStr">
        <is>
          <t>JÄMTLANDS LÄN</t>
        </is>
      </c>
      <c r="E6801" t="inlineStr">
        <is>
          <t>HÄRJEDALEN</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52946-2025</t>
        </is>
      </c>
      <c r="B6802" s="1" t="n">
        <v>45957.64819444445</v>
      </c>
      <c r="C6802" s="1" t="n">
        <v>46045</v>
      </c>
      <c r="D6802" t="inlineStr">
        <is>
          <t>JÄMTLANDS LÄN</t>
        </is>
      </c>
      <c r="E6802" t="inlineStr">
        <is>
          <t>ÅRE</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52972-2025</t>
        </is>
      </c>
      <c r="B6803" s="1" t="n">
        <v>45957.67783564814</v>
      </c>
      <c r="C6803" s="1" t="n">
        <v>46045</v>
      </c>
      <c r="D6803" t="inlineStr">
        <is>
          <t>JÄMTLANDS LÄN</t>
        </is>
      </c>
      <c r="E6803" t="inlineStr">
        <is>
          <t>RAGUNDA</t>
        </is>
      </c>
      <c r="F6803" t="inlineStr">
        <is>
          <t>SCA</t>
        </is>
      </c>
      <c r="G6803" t="n">
        <v>53.4</v>
      </c>
      <c r="H6803" t="n">
        <v>0</v>
      </c>
      <c r="I6803" t="n">
        <v>0</v>
      </c>
      <c r="J6803" t="n">
        <v>0</v>
      </c>
      <c r="K6803" t="n">
        <v>0</v>
      </c>
      <c r="L6803" t="n">
        <v>0</v>
      </c>
      <c r="M6803" t="n">
        <v>0</v>
      </c>
      <c r="N6803" t="n">
        <v>0</v>
      </c>
      <c r="O6803" t="n">
        <v>0</v>
      </c>
      <c r="P6803" t="n">
        <v>0</v>
      </c>
      <c r="Q6803" t="n">
        <v>0</v>
      </c>
      <c r="R6803" s="2" t="inlineStr"/>
    </row>
    <row r="6804" ht="15" customHeight="1">
      <c r="A6804" t="inlineStr">
        <is>
          <t>A 25960-2025</t>
        </is>
      </c>
      <c r="B6804" s="1" t="n">
        <v>45804.60972222222</v>
      </c>
      <c r="C6804" s="1" t="n">
        <v>46045</v>
      </c>
      <c r="D6804" t="inlineStr">
        <is>
          <t>JÄMTLANDS LÄN</t>
        </is>
      </c>
      <c r="E6804" t="inlineStr">
        <is>
          <t>BERG</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25976-2025</t>
        </is>
      </c>
      <c r="B6805" s="1" t="n">
        <v>45804.63596064815</v>
      </c>
      <c r="C6805" s="1" t="n">
        <v>46045</v>
      </c>
      <c r="D6805" t="inlineStr">
        <is>
          <t>JÄMTLANDS LÄN</t>
        </is>
      </c>
      <c r="E6805" t="inlineStr">
        <is>
          <t>BERG</t>
        </is>
      </c>
      <c r="F6805" t="inlineStr">
        <is>
          <t>SCA</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25979-2025</t>
        </is>
      </c>
      <c r="B6806" s="1" t="n">
        <v>45804.63642361111</v>
      </c>
      <c r="C6806" s="1" t="n">
        <v>46045</v>
      </c>
      <c r="D6806" t="inlineStr">
        <is>
          <t>JÄMTLANDS LÄN</t>
        </is>
      </c>
      <c r="E6806" t="inlineStr">
        <is>
          <t>BERG</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61109-2025</t>
        </is>
      </c>
      <c r="B6807" s="1" t="n">
        <v>46000.45017361111</v>
      </c>
      <c r="C6807" s="1" t="n">
        <v>46045</v>
      </c>
      <c r="D6807" t="inlineStr">
        <is>
          <t>JÄMTLANDS LÄN</t>
        </is>
      </c>
      <c r="E6807" t="inlineStr">
        <is>
          <t>ÅRE</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52771-2025</t>
        </is>
      </c>
      <c r="B6808" s="1" t="n">
        <v>45957.41019675926</v>
      </c>
      <c r="C6808" s="1" t="n">
        <v>46045</v>
      </c>
      <c r="D6808" t="inlineStr">
        <is>
          <t>JÄMTLANDS LÄN</t>
        </is>
      </c>
      <c r="E6808" t="inlineStr">
        <is>
          <t>BRÄCKE</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25515-2025</t>
        </is>
      </c>
      <c r="B6809" s="1" t="n">
        <v>45803.37258101852</v>
      </c>
      <c r="C6809" s="1" t="n">
        <v>46045</v>
      </c>
      <c r="D6809" t="inlineStr">
        <is>
          <t>JÄMTLANDS LÄN</t>
        </is>
      </c>
      <c r="E6809" t="inlineStr">
        <is>
          <t>HÄRJEDALEN</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52781-2025</t>
        </is>
      </c>
      <c r="B6810" s="1" t="n">
        <v>45957.4228125</v>
      </c>
      <c r="C6810" s="1" t="n">
        <v>46045</v>
      </c>
      <c r="D6810" t="inlineStr">
        <is>
          <t>JÄMTLANDS LÄN</t>
        </is>
      </c>
      <c r="E6810" t="inlineStr">
        <is>
          <t>BRÄCKE</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53075-2025</t>
        </is>
      </c>
      <c r="B6811" s="1" t="n">
        <v>45958.38584490741</v>
      </c>
      <c r="C6811" s="1" t="n">
        <v>46045</v>
      </c>
      <c r="D6811" t="inlineStr">
        <is>
          <t>JÄMTLANDS LÄN</t>
        </is>
      </c>
      <c r="E6811" t="inlineStr">
        <is>
          <t>RAGUNDA</t>
        </is>
      </c>
      <c r="F6811" t="inlineStr">
        <is>
          <t>SCA</t>
        </is>
      </c>
      <c r="G6811" t="n">
        <v>28.9</v>
      </c>
      <c r="H6811" t="n">
        <v>0</v>
      </c>
      <c r="I6811" t="n">
        <v>0</v>
      </c>
      <c r="J6811" t="n">
        <v>0</v>
      </c>
      <c r="K6811" t="n">
        <v>0</v>
      </c>
      <c r="L6811" t="n">
        <v>0</v>
      </c>
      <c r="M6811" t="n">
        <v>0</v>
      </c>
      <c r="N6811" t="n">
        <v>0</v>
      </c>
      <c r="O6811" t="n">
        <v>0</v>
      </c>
      <c r="P6811" t="n">
        <v>0</v>
      </c>
      <c r="Q6811" t="n">
        <v>0</v>
      </c>
      <c r="R6811" s="2" t="inlineStr"/>
    </row>
    <row r="6812" ht="15" customHeight="1">
      <c r="A6812" t="inlineStr">
        <is>
          <t>A 52470-2022</t>
        </is>
      </c>
      <c r="B6812" s="1" t="n">
        <v>44874.48167824074</v>
      </c>
      <c r="C6812" s="1" t="n">
        <v>46045</v>
      </c>
      <c r="D6812" t="inlineStr">
        <is>
          <t>JÄMTLANDS LÄN</t>
        </is>
      </c>
      <c r="E6812" t="inlineStr">
        <is>
          <t>ÅRE</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52991-2025</t>
        </is>
      </c>
      <c r="B6813" s="1" t="n">
        <v>45957.71960648148</v>
      </c>
      <c r="C6813" s="1" t="n">
        <v>46045</v>
      </c>
      <c r="D6813" t="inlineStr">
        <is>
          <t>JÄMTLANDS LÄN</t>
        </is>
      </c>
      <c r="E6813" t="inlineStr">
        <is>
          <t>BRÄCKE</t>
        </is>
      </c>
      <c r="F6813" t="inlineStr">
        <is>
          <t>SCA</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25656-2025</t>
        </is>
      </c>
      <c r="B6814" s="1" t="n">
        <v>45803.61532407408</v>
      </c>
      <c r="C6814" s="1" t="n">
        <v>46045</v>
      </c>
      <c r="D6814" t="inlineStr">
        <is>
          <t>JÄMTLANDS LÄN</t>
        </is>
      </c>
      <c r="E6814" t="inlineStr">
        <is>
          <t>STRÖMSUND</t>
        </is>
      </c>
      <c r="F6814" t="inlineStr">
        <is>
          <t>SCA</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25885-2025</t>
        </is>
      </c>
      <c r="B6815" s="1" t="n">
        <v>45804.51075231482</v>
      </c>
      <c r="C6815" s="1" t="n">
        <v>46045</v>
      </c>
      <c r="D6815" t="inlineStr">
        <is>
          <t>JÄMTLANDS LÄN</t>
        </is>
      </c>
      <c r="E6815" t="inlineStr">
        <is>
          <t>BERG</t>
        </is>
      </c>
      <c r="F6815" t="inlineStr">
        <is>
          <t>SCA</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25887-2025</t>
        </is>
      </c>
      <c r="B6816" s="1" t="n">
        <v>45804.51104166666</v>
      </c>
      <c r="C6816" s="1" t="n">
        <v>46045</v>
      </c>
      <c r="D6816" t="inlineStr">
        <is>
          <t>JÄMTLANDS LÄN</t>
        </is>
      </c>
      <c r="E6816" t="inlineStr">
        <is>
          <t>BERG</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25710-2025</t>
        </is>
      </c>
      <c r="B6817" s="1" t="n">
        <v>45803.6837962963</v>
      </c>
      <c r="C6817" s="1" t="n">
        <v>46045</v>
      </c>
      <c r="D6817" t="inlineStr">
        <is>
          <t>JÄMTLANDS LÄN</t>
        </is>
      </c>
      <c r="E6817" t="inlineStr">
        <is>
          <t>KROKOM</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48669-2023</t>
        </is>
      </c>
      <c r="B6818" s="1" t="n">
        <v>45203</v>
      </c>
      <c r="C6818" s="1" t="n">
        <v>46045</v>
      </c>
      <c r="D6818" t="inlineStr">
        <is>
          <t>JÄMTLANDS LÄN</t>
        </is>
      </c>
      <c r="E6818" t="inlineStr">
        <is>
          <t>HÄRJEDALEN</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25734-2025</t>
        </is>
      </c>
      <c r="B6819" s="1" t="n">
        <v>45803.76541666667</v>
      </c>
      <c r="C6819" s="1" t="n">
        <v>46045</v>
      </c>
      <c r="D6819" t="inlineStr">
        <is>
          <t>JÄMTLANDS LÄN</t>
        </is>
      </c>
      <c r="E6819" t="inlineStr">
        <is>
          <t>BRÄCKE</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52151-2024</t>
        </is>
      </c>
      <c r="B6820" s="1" t="n">
        <v>45608</v>
      </c>
      <c r="C6820" s="1" t="n">
        <v>46045</v>
      </c>
      <c r="D6820" t="inlineStr">
        <is>
          <t>JÄMTLANDS LÄN</t>
        </is>
      </c>
      <c r="E6820" t="inlineStr">
        <is>
          <t>STRÖMSUND</t>
        </is>
      </c>
      <c r="F6820" t="inlineStr">
        <is>
          <t>SCA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25821-2025</t>
        </is>
      </c>
      <c r="B6821" s="1" t="n">
        <v>45804.43686342592</v>
      </c>
      <c r="C6821" s="1" t="n">
        <v>46045</v>
      </c>
      <c r="D6821" t="inlineStr">
        <is>
          <t>JÄMTLANDS LÄN</t>
        </is>
      </c>
      <c r="E6821" t="inlineStr">
        <is>
          <t>BRÄCKE</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53505-2025</t>
        </is>
      </c>
      <c r="B6822" s="1" t="n">
        <v>45960.34436342592</v>
      </c>
      <c r="C6822" s="1" t="n">
        <v>46045</v>
      </c>
      <c r="D6822" t="inlineStr">
        <is>
          <t>JÄMTLANDS LÄN</t>
        </is>
      </c>
      <c r="E6822" t="inlineStr">
        <is>
          <t>KROKOM</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53712-2025</t>
        </is>
      </c>
      <c r="B6823" s="1" t="n">
        <v>45960.61547453704</v>
      </c>
      <c r="C6823" s="1" t="n">
        <v>46045</v>
      </c>
      <c r="D6823" t="inlineStr">
        <is>
          <t>JÄMTLANDS LÄN</t>
        </is>
      </c>
      <c r="E6823" t="inlineStr">
        <is>
          <t>BERG</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53726-2025</t>
        </is>
      </c>
      <c r="B6824" s="1" t="n">
        <v>45960.63597222222</v>
      </c>
      <c r="C6824" s="1" t="n">
        <v>46045</v>
      </c>
      <c r="D6824" t="inlineStr">
        <is>
          <t>JÄMTLANDS LÄN</t>
        </is>
      </c>
      <c r="E6824" t="inlineStr">
        <is>
          <t>RAGUNDA</t>
        </is>
      </c>
      <c r="F6824" t="inlineStr">
        <is>
          <t>SCA</t>
        </is>
      </c>
      <c r="G6824" t="n">
        <v>10.9</v>
      </c>
      <c r="H6824" t="n">
        <v>0</v>
      </c>
      <c r="I6824" t="n">
        <v>0</v>
      </c>
      <c r="J6824" t="n">
        <v>0</v>
      </c>
      <c r="K6824" t="n">
        <v>0</v>
      </c>
      <c r="L6824" t="n">
        <v>0</v>
      </c>
      <c r="M6824" t="n">
        <v>0</v>
      </c>
      <c r="N6824" t="n">
        <v>0</v>
      </c>
      <c r="O6824" t="n">
        <v>0</v>
      </c>
      <c r="P6824" t="n">
        <v>0</v>
      </c>
      <c r="Q6824" t="n">
        <v>0</v>
      </c>
      <c r="R6824" s="2" t="inlineStr"/>
    </row>
    <row r="6825" ht="15" customHeight="1">
      <c r="A6825" t="inlineStr">
        <is>
          <t>A 25886-2025</t>
        </is>
      </c>
      <c r="B6825" s="1" t="n">
        <v>45804.51092592593</v>
      </c>
      <c r="C6825" s="1" t="n">
        <v>46045</v>
      </c>
      <c r="D6825" t="inlineStr">
        <is>
          <t>JÄMTLANDS LÄN</t>
        </is>
      </c>
      <c r="E6825" t="inlineStr">
        <is>
          <t>BERG</t>
        </is>
      </c>
      <c r="F6825" t="inlineStr">
        <is>
          <t>SCA</t>
        </is>
      </c>
      <c r="G6825" t="n">
        <v>18.3</v>
      </c>
      <c r="H6825" t="n">
        <v>0</v>
      </c>
      <c r="I6825" t="n">
        <v>0</v>
      </c>
      <c r="J6825" t="n">
        <v>0</v>
      </c>
      <c r="K6825" t="n">
        <v>0</v>
      </c>
      <c r="L6825" t="n">
        <v>0</v>
      </c>
      <c r="M6825" t="n">
        <v>0</v>
      </c>
      <c r="N6825" t="n">
        <v>0</v>
      </c>
      <c r="O6825" t="n">
        <v>0</v>
      </c>
      <c r="P6825" t="n">
        <v>0</v>
      </c>
      <c r="Q6825" t="n">
        <v>0</v>
      </c>
      <c r="R6825" s="2" t="inlineStr"/>
    </row>
    <row r="6826" ht="15" customHeight="1">
      <c r="A6826" t="inlineStr">
        <is>
          <t>A 25951-2025</t>
        </is>
      </c>
      <c r="B6826" s="1" t="n">
        <v>45804.5984375</v>
      </c>
      <c r="C6826" s="1" t="n">
        <v>46045</v>
      </c>
      <c r="D6826" t="inlineStr">
        <is>
          <t>JÄMTLANDS LÄN</t>
        </is>
      </c>
      <c r="E6826" t="inlineStr">
        <is>
          <t>BERG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22479-2025</t>
        </is>
      </c>
      <c r="B6827" s="1" t="n">
        <v>45786.63579861111</v>
      </c>
      <c r="C6827" s="1" t="n">
        <v>46045</v>
      </c>
      <c r="D6827" t="inlineStr">
        <is>
          <t>JÄMTLANDS LÄN</t>
        </is>
      </c>
      <c r="E6827" t="inlineStr">
        <is>
          <t>STRÖMSUND</t>
        </is>
      </c>
      <c r="F6827" t="inlineStr">
        <is>
          <t>SCA</t>
        </is>
      </c>
      <c r="G6827" t="n">
        <v>10.8</v>
      </c>
      <c r="H6827" t="n">
        <v>0</v>
      </c>
      <c r="I6827" t="n">
        <v>0</v>
      </c>
      <c r="J6827" t="n">
        <v>0</v>
      </c>
      <c r="K6827" t="n">
        <v>0</v>
      </c>
      <c r="L6827" t="n">
        <v>0</v>
      </c>
      <c r="M6827" t="n">
        <v>0</v>
      </c>
      <c r="N6827" t="n">
        <v>0</v>
      </c>
      <c r="O6827" t="n">
        <v>0</v>
      </c>
      <c r="P6827" t="n">
        <v>0</v>
      </c>
      <c r="Q6827" t="n">
        <v>0</v>
      </c>
      <c r="R6827" s="2" t="inlineStr"/>
    </row>
    <row r="6828" ht="15" customHeight="1">
      <c r="A6828" t="inlineStr">
        <is>
          <t>A 53613-2025</t>
        </is>
      </c>
      <c r="B6828" s="1" t="n">
        <v>45960.47413194444</v>
      </c>
      <c r="C6828" s="1" t="n">
        <v>46045</v>
      </c>
      <c r="D6828" t="inlineStr">
        <is>
          <t>JÄMTLANDS LÄN</t>
        </is>
      </c>
      <c r="E6828" t="inlineStr">
        <is>
          <t>HÄRJEDALEN</t>
        </is>
      </c>
      <c r="F6828" t="inlineStr">
        <is>
          <t>Holmen skog AB</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53625-2025</t>
        </is>
      </c>
      <c r="B6829" s="1" t="n">
        <v>45960.49020833334</v>
      </c>
      <c r="C6829" s="1" t="n">
        <v>46045</v>
      </c>
      <c r="D6829" t="inlineStr">
        <is>
          <t>JÄMTLANDS LÄN</t>
        </is>
      </c>
      <c r="E6829" t="inlineStr">
        <is>
          <t>BERG</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13264-2025</t>
        </is>
      </c>
      <c r="B6830" s="1" t="n">
        <v>45735</v>
      </c>
      <c r="C6830" s="1" t="n">
        <v>46045</v>
      </c>
      <c r="D6830" t="inlineStr">
        <is>
          <t>JÄMTLANDS LÄN</t>
        </is>
      </c>
      <c r="E6830" t="inlineStr">
        <is>
          <t>RAGUNDA</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9707-2025</t>
        </is>
      </c>
      <c r="B6831" s="1" t="n">
        <v>45716.38592592593</v>
      </c>
      <c r="C6831" s="1" t="n">
        <v>46045</v>
      </c>
      <c r="D6831" t="inlineStr">
        <is>
          <t>JÄMTLANDS LÄN</t>
        </is>
      </c>
      <c r="E6831" t="inlineStr">
        <is>
          <t>BRÄCKE</t>
        </is>
      </c>
      <c r="F6831" t="inlineStr">
        <is>
          <t>SCA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53581-2025</t>
        </is>
      </c>
      <c r="B6832" s="1" t="n">
        <v>45960.42800925926</v>
      </c>
      <c r="C6832" s="1" t="n">
        <v>46045</v>
      </c>
      <c r="D6832" t="inlineStr">
        <is>
          <t>JÄMTLANDS LÄN</t>
        </is>
      </c>
      <c r="E6832" t="inlineStr">
        <is>
          <t>STRÖMSUND</t>
        </is>
      </c>
      <c r="F6832" t="inlineStr">
        <is>
          <t>SCA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53631-2025</t>
        </is>
      </c>
      <c r="B6833" s="1" t="n">
        <v>45960.49898148148</v>
      </c>
      <c r="C6833" s="1" t="n">
        <v>46045</v>
      </c>
      <c r="D6833" t="inlineStr">
        <is>
          <t>JÄMTLANDS LÄN</t>
        </is>
      </c>
      <c r="E6833" t="inlineStr">
        <is>
          <t>HÄRJEDALEN</t>
        </is>
      </c>
      <c r="F6833" t="inlineStr">
        <is>
          <t>Bergvik skog väst AB</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53610-2025</t>
        </is>
      </c>
      <c r="B6834" s="1" t="n">
        <v>45960.46951388889</v>
      </c>
      <c r="C6834" s="1" t="n">
        <v>46045</v>
      </c>
      <c r="D6834" t="inlineStr">
        <is>
          <t>JÄMTLANDS LÄN</t>
        </is>
      </c>
      <c r="E6834" t="inlineStr">
        <is>
          <t>BERG</t>
        </is>
      </c>
      <c r="F6834" t="inlineStr">
        <is>
          <t>SCA</t>
        </is>
      </c>
      <c r="G6834" t="n">
        <v>30.7</v>
      </c>
      <c r="H6834" t="n">
        <v>0</v>
      </c>
      <c r="I6834" t="n">
        <v>0</v>
      </c>
      <c r="J6834" t="n">
        <v>0</v>
      </c>
      <c r="K6834" t="n">
        <v>0</v>
      </c>
      <c r="L6834" t="n">
        <v>0</v>
      </c>
      <c r="M6834" t="n">
        <v>0</v>
      </c>
      <c r="N6834" t="n">
        <v>0</v>
      </c>
      <c r="O6834" t="n">
        <v>0</v>
      </c>
      <c r="P6834" t="n">
        <v>0</v>
      </c>
      <c r="Q6834" t="n">
        <v>0</v>
      </c>
      <c r="R6834" s="2" t="inlineStr"/>
    </row>
    <row r="6835" ht="15" customHeight="1">
      <c r="A6835" t="inlineStr">
        <is>
          <t>A 29605-2023</t>
        </is>
      </c>
      <c r="B6835" s="1" t="n">
        <v>45106.94369212963</v>
      </c>
      <c r="C6835" s="1" t="n">
        <v>46045</v>
      </c>
      <c r="D6835" t="inlineStr">
        <is>
          <t>JÄMTLANDS LÄN</t>
        </is>
      </c>
      <c r="E6835" t="inlineStr">
        <is>
          <t>STRÖMSUND</t>
        </is>
      </c>
      <c r="F6835" t="inlineStr">
        <is>
          <t>SCA</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53671-2025</t>
        </is>
      </c>
      <c r="B6836" s="1" t="n">
        <v>45960.55252314815</v>
      </c>
      <c r="C6836" s="1" t="n">
        <v>46045</v>
      </c>
      <c r="D6836" t="inlineStr">
        <is>
          <t>JÄMTLANDS LÄN</t>
        </is>
      </c>
      <c r="E6836" t="inlineStr">
        <is>
          <t>STRÖMSUND</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53507-2025</t>
        </is>
      </c>
      <c r="B6837" s="1" t="n">
        <v>45960.34476851852</v>
      </c>
      <c r="C6837" s="1" t="n">
        <v>46045</v>
      </c>
      <c r="D6837" t="inlineStr">
        <is>
          <t>JÄMTLANDS LÄN</t>
        </is>
      </c>
      <c r="E6837" t="inlineStr">
        <is>
          <t>KROKOM</t>
        </is>
      </c>
      <c r="F6837" t="inlineStr">
        <is>
          <t>SCA</t>
        </is>
      </c>
      <c r="G6837" t="n">
        <v>10.6</v>
      </c>
      <c r="H6837" t="n">
        <v>0</v>
      </c>
      <c r="I6837" t="n">
        <v>0</v>
      </c>
      <c r="J6837" t="n">
        <v>0</v>
      </c>
      <c r="K6837" t="n">
        <v>0</v>
      </c>
      <c r="L6837" t="n">
        <v>0</v>
      </c>
      <c r="M6837" t="n">
        <v>0</v>
      </c>
      <c r="N6837" t="n">
        <v>0</v>
      </c>
      <c r="O6837" t="n">
        <v>0</v>
      </c>
      <c r="P6837" t="n">
        <v>0</v>
      </c>
      <c r="Q6837" t="n">
        <v>0</v>
      </c>
      <c r="R6837" s="2" t="inlineStr"/>
    </row>
    <row r="6838" ht="15" customHeight="1">
      <c r="A6838" t="inlineStr">
        <is>
          <t>A 45533-2025</t>
        </is>
      </c>
      <c r="B6838" s="1" t="n">
        <v>45922</v>
      </c>
      <c r="C6838" s="1" t="n">
        <v>46045</v>
      </c>
      <c r="D6838" t="inlineStr">
        <is>
          <t>JÄMTLANDS LÄN</t>
        </is>
      </c>
      <c r="E6838" t="inlineStr">
        <is>
          <t>ÖSTERSUND</t>
        </is>
      </c>
      <c r="F6838" t="inlineStr">
        <is>
          <t>Övriga statliga verk och myndigheter</t>
        </is>
      </c>
      <c r="G6838" t="n">
        <v>8.699999999999999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49643-2025</t>
        </is>
      </c>
      <c r="B6839" s="1" t="n">
        <v>45939</v>
      </c>
      <c r="C6839" s="1" t="n">
        <v>46045</v>
      </c>
      <c r="D6839" t="inlineStr">
        <is>
          <t>JÄMTLANDS LÄN</t>
        </is>
      </c>
      <c r="E6839" t="inlineStr">
        <is>
          <t>KROKOM</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25980-2025</t>
        </is>
      </c>
      <c r="B6840" s="1" t="n">
        <v>45804.63658564815</v>
      </c>
      <c r="C6840" s="1" t="n">
        <v>46045</v>
      </c>
      <c r="D6840" t="inlineStr">
        <is>
          <t>JÄMTLANDS LÄN</t>
        </is>
      </c>
      <c r="E6840" t="inlineStr">
        <is>
          <t>BERG</t>
        </is>
      </c>
      <c r="F6840" t="inlineStr">
        <is>
          <t>SCA</t>
        </is>
      </c>
      <c r="G6840" t="n">
        <v>8.9</v>
      </c>
      <c r="H6840" t="n">
        <v>0</v>
      </c>
      <c r="I6840" t="n">
        <v>0</v>
      </c>
      <c r="J6840" t="n">
        <v>0</v>
      </c>
      <c r="K6840" t="n">
        <v>0</v>
      </c>
      <c r="L6840" t="n">
        <v>0</v>
      </c>
      <c r="M6840" t="n">
        <v>0</v>
      </c>
      <c r="N6840" t="n">
        <v>0</v>
      </c>
      <c r="O6840" t="n">
        <v>0</v>
      </c>
      <c r="P6840" t="n">
        <v>0</v>
      </c>
      <c r="Q6840" t="n">
        <v>0</v>
      </c>
      <c r="R6840" s="2" t="inlineStr"/>
    </row>
    <row r="6841" ht="15" customHeight="1">
      <c r="A6841" t="inlineStr">
        <is>
          <t>A 53349-2025</t>
        </is>
      </c>
      <c r="B6841" s="1" t="n">
        <v>45959.43579861111</v>
      </c>
      <c r="C6841" s="1" t="n">
        <v>46045</v>
      </c>
      <c r="D6841" t="inlineStr">
        <is>
          <t>JÄMTLANDS LÄN</t>
        </is>
      </c>
      <c r="E6841" t="inlineStr">
        <is>
          <t>BERG</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23310-2023</t>
        </is>
      </c>
      <c r="B6842" s="1" t="n">
        <v>45075</v>
      </c>
      <c r="C6842" s="1" t="n">
        <v>46045</v>
      </c>
      <c r="D6842" t="inlineStr">
        <is>
          <t>JÄMTLANDS LÄN</t>
        </is>
      </c>
      <c r="E6842" t="inlineStr">
        <is>
          <t>STRÖMSUND</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57150-2021</t>
        </is>
      </c>
      <c r="B6843" s="1" t="n">
        <v>44482</v>
      </c>
      <c r="C6843" s="1" t="n">
        <v>46045</v>
      </c>
      <c r="D6843" t="inlineStr">
        <is>
          <t>JÄMTLANDS LÄN</t>
        </is>
      </c>
      <c r="E6843" t="inlineStr">
        <is>
          <t>ÅRE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48435-2023</t>
        </is>
      </c>
      <c r="B6844" s="1" t="n">
        <v>45205</v>
      </c>
      <c r="C6844" s="1" t="n">
        <v>46045</v>
      </c>
      <c r="D6844" t="inlineStr">
        <is>
          <t>JÄMTLANDS LÄN</t>
        </is>
      </c>
      <c r="E6844" t="inlineStr">
        <is>
          <t>BRÄCKE</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12747-2025</t>
        </is>
      </c>
      <c r="B6845" s="1" t="n">
        <v>45733</v>
      </c>
      <c r="C6845" s="1" t="n">
        <v>46045</v>
      </c>
      <c r="D6845" t="inlineStr">
        <is>
          <t>JÄMTLANDS LÄN</t>
        </is>
      </c>
      <c r="E6845" t="inlineStr">
        <is>
          <t>HÄRJEDALEN</t>
        </is>
      </c>
      <c r="G6845" t="n">
        <v>12.1</v>
      </c>
      <c r="H6845" t="n">
        <v>0</v>
      </c>
      <c r="I6845" t="n">
        <v>0</v>
      </c>
      <c r="J6845" t="n">
        <v>0</v>
      </c>
      <c r="K6845" t="n">
        <v>0</v>
      </c>
      <c r="L6845" t="n">
        <v>0</v>
      </c>
      <c r="M6845" t="n">
        <v>0</v>
      </c>
      <c r="N6845" t="n">
        <v>0</v>
      </c>
      <c r="O6845" t="n">
        <v>0</v>
      </c>
      <c r="P6845" t="n">
        <v>0</v>
      </c>
      <c r="Q6845" t="n">
        <v>0</v>
      </c>
      <c r="R6845" s="2" t="inlineStr"/>
    </row>
    <row r="6846" ht="15" customHeight="1">
      <c r="A6846" t="inlineStr">
        <is>
          <t>A 53680-2025</t>
        </is>
      </c>
      <c r="B6846" s="1" t="n">
        <v>45960.57361111111</v>
      </c>
      <c r="C6846" s="1" t="n">
        <v>46045</v>
      </c>
      <c r="D6846" t="inlineStr">
        <is>
          <t>JÄMTLANDS LÄN</t>
        </is>
      </c>
      <c r="E6846" t="inlineStr">
        <is>
          <t>BERG</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41146-2021</t>
        </is>
      </c>
      <c r="B6847" s="1" t="n">
        <v>44423</v>
      </c>
      <c r="C6847" s="1" t="n">
        <v>46045</v>
      </c>
      <c r="D6847" t="inlineStr">
        <is>
          <t>JÄMTLANDS LÄN</t>
        </is>
      </c>
      <c r="E6847" t="inlineStr">
        <is>
          <t>HÄRJEDALEN</t>
        </is>
      </c>
      <c r="G6847" t="n">
        <v>14.9</v>
      </c>
      <c r="H6847" t="n">
        <v>0</v>
      </c>
      <c r="I6847" t="n">
        <v>0</v>
      </c>
      <c r="J6847" t="n">
        <v>0</v>
      </c>
      <c r="K6847" t="n">
        <v>0</v>
      </c>
      <c r="L6847" t="n">
        <v>0</v>
      </c>
      <c r="M6847" t="n">
        <v>0</v>
      </c>
      <c r="N6847" t="n">
        <v>0</v>
      </c>
      <c r="O6847" t="n">
        <v>0</v>
      </c>
      <c r="P6847" t="n">
        <v>0</v>
      </c>
      <c r="Q6847" t="n">
        <v>0</v>
      </c>
      <c r="R6847" s="2" t="inlineStr"/>
    </row>
    <row r="6848" ht="15" customHeight="1">
      <c r="A6848" t="inlineStr">
        <is>
          <t>A 41146-2021</t>
        </is>
      </c>
      <c r="B6848" s="1" t="n">
        <v>44423</v>
      </c>
      <c r="C6848" s="1" t="n">
        <v>46045</v>
      </c>
      <c r="D6848" t="inlineStr">
        <is>
          <t>JÄMTLANDS LÄN</t>
        </is>
      </c>
      <c r="E6848" t="inlineStr">
        <is>
          <t>HÄRJEDALEN</t>
        </is>
      </c>
      <c r="G6848" t="n">
        <v>14.9</v>
      </c>
      <c r="H6848" t="n">
        <v>0</v>
      </c>
      <c r="I6848" t="n">
        <v>0</v>
      </c>
      <c r="J6848" t="n">
        <v>0</v>
      </c>
      <c r="K6848" t="n">
        <v>0</v>
      </c>
      <c r="L6848" t="n">
        <v>0</v>
      </c>
      <c r="M6848" t="n">
        <v>0</v>
      </c>
      <c r="N6848" t="n">
        <v>0</v>
      </c>
      <c r="O6848" t="n">
        <v>0</v>
      </c>
      <c r="P6848" t="n">
        <v>0</v>
      </c>
      <c r="Q6848" t="n">
        <v>0</v>
      </c>
      <c r="R6848" s="2" t="inlineStr"/>
    </row>
    <row r="6849" ht="15" customHeight="1">
      <c r="A6849" t="inlineStr">
        <is>
          <t>A 56437-2023</t>
        </is>
      </c>
      <c r="B6849" s="1" t="n">
        <v>45237</v>
      </c>
      <c r="C6849" s="1" t="n">
        <v>46045</v>
      </c>
      <c r="D6849" t="inlineStr">
        <is>
          <t>JÄMTLANDS LÄN</t>
        </is>
      </c>
      <c r="E6849" t="inlineStr">
        <is>
          <t>STRÖMSUND</t>
        </is>
      </c>
      <c r="G6849" t="n">
        <v>35.8</v>
      </c>
      <c r="H6849" t="n">
        <v>0</v>
      </c>
      <c r="I6849" t="n">
        <v>0</v>
      </c>
      <c r="J6849" t="n">
        <v>0</v>
      </c>
      <c r="K6849" t="n">
        <v>0</v>
      </c>
      <c r="L6849" t="n">
        <v>0</v>
      </c>
      <c r="M6849" t="n">
        <v>0</v>
      </c>
      <c r="N6849" t="n">
        <v>0</v>
      </c>
      <c r="O6849" t="n">
        <v>0</v>
      </c>
      <c r="P6849" t="n">
        <v>0</v>
      </c>
      <c r="Q6849" t="n">
        <v>0</v>
      </c>
      <c r="R6849" s="2" t="inlineStr"/>
    </row>
    <row r="6850" ht="15" customHeight="1">
      <c r="A6850" t="inlineStr">
        <is>
          <t>A 57805-2023</t>
        </is>
      </c>
      <c r="B6850" s="1" t="n">
        <v>45243</v>
      </c>
      <c r="C6850" s="1" t="n">
        <v>46045</v>
      </c>
      <c r="D6850" t="inlineStr">
        <is>
          <t>JÄMTLANDS LÄN</t>
        </is>
      </c>
      <c r="E6850" t="inlineStr">
        <is>
          <t>STRÖMSUND</t>
        </is>
      </c>
      <c r="F6850" t="inlineStr">
        <is>
          <t>SCA</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59397-2021</t>
        </is>
      </c>
      <c r="B6851" s="1" t="n">
        <v>44491</v>
      </c>
      <c r="C6851" s="1" t="n">
        <v>46045</v>
      </c>
      <c r="D6851" t="inlineStr">
        <is>
          <t>JÄMTLANDS LÄN</t>
        </is>
      </c>
      <c r="E6851" t="inlineStr">
        <is>
          <t>ÅRE</t>
        </is>
      </c>
      <c r="F6851" t="inlineStr">
        <is>
          <t>Övriga Aktiebolag</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25304-2023</t>
        </is>
      </c>
      <c r="B6852" s="1" t="n">
        <v>45086</v>
      </c>
      <c r="C6852" s="1" t="n">
        <v>46045</v>
      </c>
      <c r="D6852" t="inlineStr">
        <is>
          <t>JÄMTLANDS LÄN</t>
        </is>
      </c>
      <c r="E6852" t="inlineStr">
        <is>
          <t>RAGUNDA</t>
        </is>
      </c>
      <c r="F6852" t="inlineStr">
        <is>
          <t>SCA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54661-2022</t>
        </is>
      </c>
      <c r="B6853" s="1" t="n">
        <v>44883</v>
      </c>
      <c r="C6853" s="1" t="n">
        <v>46045</v>
      </c>
      <c r="D6853" t="inlineStr">
        <is>
          <t>JÄMTLANDS LÄN</t>
        </is>
      </c>
      <c r="E6853" t="inlineStr">
        <is>
          <t>HÄRJEDALEN</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50951-2023</t>
        </is>
      </c>
      <c r="B6854" s="1" t="n">
        <v>45218</v>
      </c>
      <c r="C6854" s="1" t="n">
        <v>46045</v>
      </c>
      <c r="D6854" t="inlineStr">
        <is>
          <t>JÄMTLANDS LÄN</t>
        </is>
      </c>
      <c r="E6854" t="inlineStr">
        <is>
          <t>ÅRE</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57804-2023</t>
        </is>
      </c>
      <c r="B6855" s="1" t="n">
        <v>45243</v>
      </c>
      <c r="C6855" s="1" t="n">
        <v>46045</v>
      </c>
      <c r="D6855" t="inlineStr">
        <is>
          <t>JÄMTLANDS LÄN</t>
        </is>
      </c>
      <c r="E6855" t="inlineStr">
        <is>
          <t>STRÖMSUND</t>
        </is>
      </c>
      <c r="F6855" t="inlineStr">
        <is>
          <t>SCA</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53523-2025</t>
        </is>
      </c>
      <c r="B6856" s="1" t="n">
        <v>45960.36037037037</v>
      </c>
      <c r="C6856" s="1" t="n">
        <v>46045</v>
      </c>
      <c r="D6856" t="inlineStr">
        <is>
          <t>JÄMTLANDS LÄN</t>
        </is>
      </c>
      <c r="E6856" t="inlineStr">
        <is>
          <t>HÄRJEDALEN</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13559-2025</t>
        </is>
      </c>
      <c r="B6857" s="1" t="n">
        <v>45736.55288194444</v>
      </c>
      <c r="C6857" s="1" t="n">
        <v>46045</v>
      </c>
      <c r="D6857" t="inlineStr">
        <is>
          <t>JÄMTLANDS LÄN</t>
        </is>
      </c>
      <c r="E6857" t="inlineStr">
        <is>
          <t>ÅRE</t>
        </is>
      </c>
      <c r="F6857" t="inlineStr">
        <is>
          <t>Övriga statliga verk och myndigheter</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51931-2025</t>
        </is>
      </c>
      <c r="B6858" s="1" t="n">
        <v>45952</v>
      </c>
      <c r="C6858" s="1" t="n">
        <v>46045</v>
      </c>
      <c r="D6858" t="inlineStr">
        <is>
          <t>JÄMTLANDS LÄN</t>
        </is>
      </c>
      <c r="E6858" t="inlineStr">
        <is>
          <t>HÄRJEDALEN</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53580-2025</t>
        </is>
      </c>
      <c r="B6859" s="1" t="n">
        <v>45960</v>
      </c>
      <c r="C6859" s="1" t="n">
        <v>46045</v>
      </c>
      <c r="D6859" t="inlineStr">
        <is>
          <t>JÄMTLANDS LÄN</t>
        </is>
      </c>
      <c r="E6859" t="inlineStr">
        <is>
          <t>STRÖMSUND</t>
        </is>
      </c>
      <c r="F6859" t="inlineStr">
        <is>
          <t>SCA</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53720-2025</t>
        </is>
      </c>
      <c r="B6860" s="1" t="n">
        <v>45960.62061342593</v>
      </c>
      <c r="C6860" s="1" t="n">
        <v>46045</v>
      </c>
      <c r="D6860" t="inlineStr">
        <is>
          <t>JÄMTLANDS LÄN</t>
        </is>
      </c>
      <c r="E6860" t="inlineStr">
        <is>
          <t>STRÖMSUND</t>
        </is>
      </c>
      <c r="G6860" t="n">
        <v>7.6</v>
      </c>
      <c r="H6860" t="n">
        <v>0</v>
      </c>
      <c r="I6860" t="n">
        <v>0</v>
      </c>
      <c r="J6860" t="n">
        <v>0</v>
      </c>
      <c r="K6860" t="n">
        <v>0</v>
      </c>
      <c r="L6860" t="n">
        <v>0</v>
      </c>
      <c r="M6860" t="n">
        <v>0</v>
      </c>
      <c r="N6860" t="n">
        <v>0</v>
      </c>
      <c r="O6860" t="n">
        <v>0</v>
      </c>
      <c r="P6860" t="n">
        <v>0</v>
      </c>
      <c r="Q6860" t="n">
        <v>0</v>
      </c>
      <c r="R6860" s="2" t="inlineStr"/>
    </row>
    <row r="6861" ht="15" customHeight="1">
      <c r="A6861" t="inlineStr">
        <is>
          <t>A 53778-2025</t>
        </is>
      </c>
      <c r="B6861" s="1" t="n">
        <v>45960.69841435185</v>
      </c>
      <c r="C6861" s="1" t="n">
        <v>46045</v>
      </c>
      <c r="D6861" t="inlineStr">
        <is>
          <t>JÄMTLANDS LÄN</t>
        </is>
      </c>
      <c r="E6861" t="inlineStr">
        <is>
          <t>BERG</t>
        </is>
      </c>
      <c r="F6861" t="inlineStr">
        <is>
          <t>SCA</t>
        </is>
      </c>
      <c r="G6861" t="n">
        <v>18.7</v>
      </c>
      <c r="H6861" t="n">
        <v>0</v>
      </c>
      <c r="I6861" t="n">
        <v>0</v>
      </c>
      <c r="J6861" t="n">
        <v>0</v>
      </c>
      <c r="K6861" t="n">
        <v>0</v>
      </c>
      <c r="L6861" t="n">
        <v>0</v>
      </c>
      <c r="M6861" t="n">
        <v>0</v>
      </c>
      <c r="N6861" t="n">
        <v>0</v>
      </c>
      <c r="O6861" t="n">
        <v>0</v>
      </c>
      <c r="P6861" t="n">
        <v>0</v>
      </c>
      <c r="Q6861" t="n">
        <v>0</v>
      </c>
      <c r="R6861" s="2" t="inlineStr"/>
      <c r="U6861">
        <f>HYPERLINK("https://klasma.github.io/Logging_2326/knärot/A 53778-2025 karta knärot.png", "A 53778-2025")</f>
        <v/>
      </c>
      <c r="V6861">
        <f>HYPERLINK("https://klasma.github.io/Logging_2326/klagomål/A 53778-2025 FSC-klagomål.docx", "A 53778-2025")</f>
        <v/>
      </c>
      <c r="W6861">
        <f>HYPERLINK("https://klasma.github.io/Logging_2326/klagomålsmail/A 53778-2025 FSC-klagomål mail.docx", "A 53778-2025")</f>
        <v/>
      </c>
      <c r="X6861">
        <f>HYPERLINK("https://klasma.github.io/Logging_2326/tillsyn/A 53778-2025 tillsynsbegäran.docx", "A 53778-2025")</f>
        <v/>
      </c>
      <c r="Y6861">
        <f>HYPERLINK("https://klasma.github.io/Logging_2326/tillsynsmail/A 53778-2025 tillsynsbegäran mail.docx", "A 53778-2025")</f>
        <v/>
      </c>
    </row>
    <row r="6862" ht="15" customHeight="1">
      <c r="A6862" t="inlineStr">
        <is>
          <t>A 52578-2025</t>
        </is>
      </c>
      <c r="B6862" s="1" t="n">
        <v>45954.61508101852</v>
      </c>
      <c r="C6862" s="1" t="n">
        <v>46045</v>
      </c>
      <c r="D6862" t="inlineStr">
        <is>
          <t>JÄMTLANDS LÄN</t>
        </is>
      </c>
      <c r="E6862" t="inlineStr">
        <is>
          <t>RAGUNDA</t>
        </is>
      </c>
      <c r="F6862" t="inlineStr">
        <is>
          <t>SCA</t>
        </is>
      </c>
      <c r="G6862" t="n">
        <v>25.2</v>
      </c>
      <c r="H6862" t="n">
        <v>0</v>
      </c>
      <c r="I6862" t="n">
        <v>0</v>
      </c>
      <c r="J6862" t="n">
        <v>0</v>
      </c>
      <c r="K6862" t="n">
        <v>0</v>
      </c>
      <c r="L6862" t="n">
        <v>0</v>
      </c>
      <c r="M6862" t="n">
        <v>0</v>
      </c>
      <c r="N6862" t="n">
        <v>0</v>
      </c>
      <c r="O6862" t="n">
        <v>0</v>
      </c>
      <c r="P6862" t="n">
        <v>0</v>
      </c>
      <c r="Q6862" t="n">
        <v>0</v>
      </c>
      <c r="R6862" s="2" t="inlineStr"/>
    </row>
    <row r="6863" ht="15" customHeight="1">
      <c r="A6863" t="inlineStr">
        <is>
          <t>A 9252-2025</t>
        </is>
      </c>
      <c r="B6863" s="1" t="n">
        <v>45714.59415509259</v>
      </c>
      <c r="C6863" s="1" t="n">
        <v>46045</v>
      </c>
      <c r="D6863" t="inlineStr">
        <is>
          <t>JÄMTLANDS LÄN</t>
        </is>
      </c>
      <c r="E6863" t="inlineStr">
        <is>
          <t>BERG</t>
        </is>
      </c>
      <c r="F6863" t="inlineStr">
        <is>
          <t>SCA</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53727-2025</t>
        </is>
      </c>
      <c r="B6864" s="1" t="n">
        <v>45960.63630787037</v>
      </c>
      <c r="C6864" s="1" t="n">
        <v>46045</v>
      </c>
      <c r="D6864" t="inlineStr">
        <is>
          <t>JÄMTLANDS LÄN</t>
        </is>
      </c>
      <c r="E6864" t="inlineStr">
        <is>
          <t>RAGUNDA</t>
        </is>
      </c>
      <c r="F6864" t="inlineStr">
        <is>
          <t>SCA</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53748-2025</t>
        </is>
      </c>
      <c r="B6865" s="1" t="n">
        <v>45960.65673611111</v>
      </c>
      <c r="C6865" s="1" t="n">
        <v>46045</v>
      </c>
      <c r="D6865" t="inlineStr">
        <is>
          <t>JÄMTLANDS LÄN</t>
        </is>
      </c>
      <c r="E6865" t="inlineStr">
        <is>
          <t>RAGUNDA</t>
        </is>
      </c>
      <c r="F6865" t="inlineStr">
        <is>
          <t>SCA</t>
        </is>
      </c>
      <c r="G6865" t="n">
        <v>14.9</v>
      </c>
      <c r="H6865" t="n">
        <v>0</v>
      </c>
      <c r="I6865" t="n">
        <v>0</v>
      </c>
      <c r="J6865" t="n">
        <v>0</v>
      </c>
      <c r="K6865" t="n">
        <v>0</v>
      </c>
      <c r="L6865" t="n">
        <v>0</v>
      </c>
      <c r="M6865" t="n">
        <v>0</v>
      </c>
      <c r="N6865" t="n">
        <v>0</v>
      </c>
      <c r="O6865" t="n">
        <v>0</v>
      </c>
      <c r="P6865" t="n">
        <v>0</v>
      </c>
      <c r="Q6865" t="n">
        <v>0</v>
      </c>
      <c r="R6865" s="2" t="inlineStr"/>
    </row>
    <row r="6866" ht="15" customHeight="1">
      <c r="A6866" t="inlineStr">
        <is>
          <t>A 61500-2023</t>
        </is>
      </c>
      <c r="B6866" s="1" t="n">
        <v>45264</v>
      </c>
      <c r="C6866" s="1" t="n">
        <v>46045</v>
      </c>
      <c r="D6866" t="inlineStr">
        <is>
          <t>JÄMTLANDS LÄN</t>
        </is>
      </c>
      <c r="E6866" t="inlineStr">
        <is>
          <t>STRÖMSUND</t>
        </is>
      </c>
      <c r="F6866" t="inlineStr">
        <is>
          <t>SCA</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55969-2022</t>
        </is>
      </c>
      <c r="B6867" s="1" t="n">
        <v>44886</v>
      </c>
      <c r="C6867" s="1" t="n">
        <v>46045</v>
      </c>
      <c r="D6867" t="inlineStr">
        <is>
          <t>JÄMTLANDS LÄN</t>
        </is>
      </c>
      <c r="E6867" t="inlineStr">
        <is>
          <t>HÄRJEDALEN</t>
        </is>
      </c>
      <c r="F6867" t="inlineStr">
        <is>
          <t>Övriga statliga verk och myndigheter</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10951-2025</t>
        </is>
      </c>
      <c r="B6868" s="1" t="n">
        <v>45723</v>
      </c>
      <c r="C6868" s="1" t="n">
        <v>46045</v>
      </c>
      <c r="D6868" t="inlineStr">
        <is>
          <t>JÄMTLANDS LÄN</t>
        </is>
      </c>
      <c r="E6868" t="inlineStr">
        <is>
          <t>STRÖMSUND</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53563-2025</t>
        </is>
      </c>
      <c r="B6869" s="1" t="n">
        <v>45960.40680555555</v>
      </c>
      <c r="C6869" s="1" t="n">
        <v>46045</v>
      </c>
      <c r="D6869" t="inlineStr">
        <is>
          <t>JÄMTLANDS LÄN</t>
        </is>
      </c>
      <c r="E6869" t="inlineStr">
        <is>
          <t>STRÖMSUND</t>
        </is>
      </c>
      <c r="F6869" t="inlineStr">
        <is>
          <t>SCA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10974-2025</t>
        </is>
      </c>
      <c r="B6870" s="1" t="n">
        <v>45723.38790509259</v>
      </c>
      <c r="C6870" s="1" t="n">
        <v>46045</v>
      </c>
      <c r="D6870" t="inlineStr">
        <is>
          <t>JÄMTLANDS LÄN</t>
        </is>
      </c>
      <c r="E6870" t="inlineStr">
        <is>
          <t>BERG</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53699-2025</t>
        </is>
      </c>
      <c r="B6871" s="1" t="n">
        <v>45960.59421296296</v>
      </c>
      <c r="C6871" s="1" t="n">
        <v>46045</v>
      </c>
      <c r="D6871" t="inlineStr">
        <is>
          <t>JÄMTLANDS LÄN</t>
        </is>
      </c>
      <c r="E6871" t="inlineStr">
        <is>
          <t>KROKOM</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52707-2022</t>
        </is>
      </c>
      <c r="B6872" s="1" t="n">
        <v>44874</v>
      </c>
      <c r="C6872" s="1" t="n">
        <v>46045</v>
      </c>
      <c r="D6872" t="inlineStr">
        <is>
          <t>JÄMTLANDS LÄN</t>
        </is>
      </c>
      <c r="E6872" t="inlineStr">
        <is>
          <t>ÅRE</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25439-2025</t>
        </is>
      </c>
      <c r="B6873" s="1" t="n">
        <v>45801.34453703704</v>
      </c>
      <c r="C6873" s="1" t="n">
        <v>46045</v>
      </c>
      <c r="D6873" t="inlineStr">
        <is>
          <t>JÄMTLANDS LÄN</t>
        </is>
      </c>
      <c r="E6873" t="inlineStr">
        <is>
          <t>STRÖMSUND</t>
        </is>
      </c>
      <c r="F6873" t="inlineStr">
        <is>
          <t>SCA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25441-2025</t>
        </is>
      </c>
      <c r="B6874" s="1" t="n">
        <v>45801.34476851852</v>
      </c>
      <c r="C6874" s="1" t="n">
        <v>46045</v>
      </c>
      <c r="D6874" t="inlineStr">
        <is>
          <t>JÄMTLANDS LÄN</t>
        </is>
      </c>
      <c r="E6874" t="inlineStr">
        <is>
          <t>BERG</t>
        </is>
      </c>
      <c r="F6874" t="inlineStr">
        <is>
          <t>SCA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25520-2025</t>
        </is>
      </c>
      <c r="B6875" s="1" t="n">
        <v>45803.38596064815</v>
      </c>
      <c r="C6875" s="1" t="n">
        <v>46045</v>
      </c>
      <c r="D6875" t="inlineStr">
        <is>
          <t>JÄMTLANDS LÄN</t>
        </is>
      </c>
      <c r="E6875" t="inlineStr">
        <is>
          <t>STRÖMSUND</t>
        </is>
      </c>
      <c r="F6875" t="inlineStr">
        <is>
          <t>SCA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46976-2024</t>
        </is>
      </c>
      <c r="B6876" s="1" t="n">
        <v>45586</v>
      </c>
      <c r="C6876" s="1" t="n">
        <v>46045</v>
      </c>
      <c r="D6876" t="inlineStr">
        <is>
          <t>JÄMTLANDS LÄN</t>
        </is>
      </c>
      <c r="E6876" t="inlineStr">
        <is>
          <t>ÅRE</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37268-2024</t>
        </is>
      </c>
      <c r="B6877" s="1" t="n">
        <v>45540.38586805556</v>
      </c>
      <c r="C6877" s="1" t="n">
        <v>46045</v>
      </c>
      <c r="D6877" t="inlineStr">
        <is>
          <t>JÄMTLANDS LÄN</t>
        </is>
      </c>
      <c r="E6877" t="inlineStr">
        <is>
          <t>RAGUNDA</t>
        </is>
      </c>
      <c r="F6877" t="inlineStr">
        <is>
          <t>SCA</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37302-2024</t>
        </is>
      </c>
      <c r="B6878" s="1" t="n">
        <v>45540.46631944444</v>
      </c>
      <c r="C6878" s="1" t="n">
        <v>46045</v>
      </c>
      <c r="D6878" t="inlineStr">
        <is>
          <t>JÄMTLANDS LÄN</t>
        </is>
      </c>
      <c r="E6878" t="inlineStr">
        <is>
          <t>STRÖMSUND</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53754-2025</t>
        </is>
      </c>
      <c r="B6879" s="1" t="n">
        <v>45960</v>
      </c>
      <c r="C6879" s="1" t="n">
        <v>46045</v>
      </c>
      <c r="D6879" t="inlineStr">
        <is>
          <t>JÄMTLANDS LÄN</t>
        </is>
      </c>
      <c r="E6879" t="inlineStr">
        <is>
          <t>STRÖMSUND</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53352-2025</t>
        </is>
      </c>
      <c r="B6880" s="1" t="n">
        <v>45959.44840277778</v>
      </c>
      <c r="C6880" s="1" t="n">
        <v>46045</v>
      </c>
      <c r="D6880" t="inlineStr">
        <is>
          <t>JÄMTLANDS LÄN</t>
        </is>
      </c>
      <c r="E6880" t="inlineStr">
        <is>
          <t>BRÄCKE</t>
        </is>
      </c>
      <c r="F6880" t="inlineStr">
        <is>
          <t>SCA</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53506-2025</t>
        </is>
      </c>
      <c r="B6881" s="1" t="n">
        <v>45960.34460648148</v>
      </c>
      <c r="C6881" s="1" t="n">
        <v>46045</v>
      </c>
      <c r="D6881" t="inlineStr">
        <is>
          <t>JÄMTLANDS LÄN</t>
        </is>
      </c>
      <c r="E6881" t="inlineStr">
        <is>
          <t>KROKOM</t>
        </is>
      </c>
      <c r="F6881" t="inlineStr">
        <is>
          <t>SCA</t>
        </is>
      </c>
      <c r="G6881" t="n">
        <v>13.9</v>
      </c>
      <c r="H6881" t="n">
        <v>0</v>
      </c>
      <c r="I6881" t="n">
        <v>0</v>
      </c>
      <c r="J6881" t="n">
        <v>0</v>
      </c>
      <c r="K6881" t="n">
        <v>0</v>
      </c>
      <c r="L6881" t="n">
        <v>0</v>
      </c>
      <c r="M6881" t="n">
        <v>0</v>
      </c>
      <c r="N6881" t="n">
        <v>0</v>
      </c>
      <c r="O6881" t="n">
        <v>0</v>
      </c>
      <c r="P6881" t="n">
        <v>0</v>
      </c>
      <c r="Q6881" t="n">
        <v>0</v>
      </c>
      <c r="R6881" s="2" t="inlineStr"/>
    </row>
    <row r="6882" ht="15" customHeight="1">
      <c r="A6882" t="inlineStr">
        <is>
          <t>A 53467-2025</t>
        </is>
      </c>
      <c r="B6882" s="1" t="n">
        <v>45959.69841435185</v>
      </c>
      <c r="C6882" s="1" t="n">
        <v>46045</v>
      </c>
      <c r="D6882" t="inlineStr">
        <is>
          <t>JÄMTLANDS LÄN</t>
        </is>
      </c>
      <c r="E6882" t="inlineStr">
        <is>
          <t>KROKOM</t>
        </is>
      </c>
      <c r="F6882" t="inlineStr">
        <is>
          <t>SCA</t>
        </is>
      </c>
      <c r="G6882" t="n">
        <v>22.7</v>
      </c>
      <c r="H6882" t="n">
        <v>0</v>
      </c>
      <c r="I6882" t="n">
        <v>0</v>
      </c>
      <c r="J6882" t="n">
        <v>0</v>
      </c>
      <c r="K6882" t="n">
        <v>0</v>
      </c>
      <c r="L6882" t="n">
        <v>0</v>
      </c>
      <c r="M6882" t="n">
        <v>0</v>
      </c>
      <c r="N6882" t="n">
        <v>0</v>
      </c>
      <c r="O6882" t="n">
        <v>0</v>
      </c>
      <c r="P6882" t="n">
        <v>0</v>
      </c>
      <c r="Q6882" t="n">
        <v>0</v>
      </c>
      <c r="R6882" s="2" t="inlineStr"/>
    </row>
    <row r="6883" ht="15" customHeight="1">
      <c r="A6883" t="inlineStr">
        <is>
          <t>A 20074-2025</t>
        </is>
      </c>
      <c r="B6883" s="1" t="n">
        <v>45772.44841435185</v>
      </c>
      <c r="C6883" s="1" t="n">
        <v>46045</v>
      </c>
      <c r="D6883" t="inlineStr">
        <is>
          <t>JÄMTLANDS LÄN</t>
        </is>
      </c>
      <c r="E6883" t="inlineStr">
        <is>
          <t>STRÖMSUND</t>
        </is>
      </c>
      <c r="F6883" t="inlineStr">
        <is>
          <t>SCA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53549-2025</t>
        </is>
      </c>
      <c r="B6884" s="1" t="n">
        <v>45960.38576388889</v>
      </c>
      <c r="C6884" s="1" t="n">
        <v>46045</v>
      </c>
      <c r="D6884" t="inlineStr">
        <is>
          <t>JÄMTLANDS LÄN</t>
        </is>
      </c>
      <c r="E6884" t="inlineStr">
        <is>
          <t>RAGUNDA</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53765-2025</t>
        </is>
      </c>
      <c r="B6885" s="1" t="n">
        <v>45960.67753472222</v>
      </c>
      <c r="C6885" s="1" t="n">
        <v>46045</v>
      </c>
      <c r="D6885" t="inlineStr">
        <is>
          <t>JÄMTLANDS LÄN</t>
        </is>
      </c>
      <c r="E6885" t="inlineStr">
        <is>
          <t>RAGUNDA</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25454-2025</t>
        </is>
      </c>
      <c r="B6886" s="1" t="n">
        <v>45802.34460648148</v>
      </c>
      <c r="C6886" s="1" t="n">
        <v>46045</v>
      </c>
      <c r="D6886" t="inlineStr">
        <is>
          <t>JÄMTLANDS LÄN</t>
        </is>
      </c>
      <c r="E6886" t="inlineStr">
        <is>
          <t>BERG</t>
        </is>
      </c>
      <c r="F6886" t="inlineStr">
        <is>
          <t>SCA</t>
        </is>
      </c>
      <c r="G6886" t="n">
        <v>8.699999999999999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53406-2025</t>
        </is>
      </c>
      <c r="B6887" s="1" t="n">
        <v>45959.57344907407</v>
      </c>
      <c r="C6887" s="1" t="n">
        <v>46045</v>
      </c>
      <c r="D6887" t="inlineStr">
        <is>
          <t>JÄMTLANDS LÄN</t>
        </is>
      </c>
      <c r="E6887" t="inlineStr">
        <is>
          <t>STRÖMSUND</t>
        </is>
      </c>
      <c r="F6887" t="inlineStr">
        <is>
          <t>SCA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25933-2025</t>
        </is>
      </c>
      <c r="B6888" s="1" t="n">
        <v>45804.589375</v>
      </c>
      <c r="C6888" s="1" t="n">
        <v>46045</v>
      </c>
      <c r="D6888" t="inlineStr">
        <is>
          <t>JÄMTLANDS LÄN</t>
        </is>
      </c>
      <c r="E6888" t="inlineStr">
        <is>
          <t>HÄRJEDALEN</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19613-2023</t>
        </is>
      </c>
      <c r="B6889" s="1" t="n">
        <v>45050.94020833333</v>
      </c>
      <c r="C6889" s="1" t="n">
        <v>46045</v>
      </c>
      <c r="D6889" t="inlineStr">
        <is>
          <t>JÄMTLANDS LÄN</t>
        </is>
      </c>
      <c r="E6889" t="inlineStr">
        <is>
          <t>RAGUNDA</t>
        </is>
      </c>
      <c r="F6889" t="inlineStr">
        <is>
          <t>SCA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53339-2025</t>
        </is>
      </c>
      <c r="B6890" s="1" t="n">
        <v>45959.40692129629</v>
      </c>
      <c r="C6890" s="1" t="n">
        <v>46045</v>
      </c>
      <c r="D6890" t="inlineStr">
        <is>
          <t>JÄMTLANDS LÄN</t>
        </is>
      </c>
      <c r="E6890" t="inlineStr">
        <is>
          <t>STRÖMSUND</t>
        </is>
      </c>
      <c r="F6890" t="inlineStr">
        <is>
          <t>SCA</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26013-2025</t>
        </is>
      </c>
      <c r="B6891" s="1" t="n">
        <v>45804.67760416667</v>
      </c>
      <c r="C6891" s="1" t="n">
        <v>46045</v>
      </c>
      <c r="D6891" t="inlineStr">
        <is>
          <t>JÄMTLANDS LÄN</t>
        </is>
      </c>
      <c r="E6891" t="inlineStr">
        <is>
          <t>BERG</t>
        </is>
      </c>
      <c r="F6891" t="inlineStr">
        <is>
          <t>SCA</t>
        </is>
      </c>
      <c r="G6891" t="n">
        <v>11.7</v>
      </c>
      <c r="H6891" t="n">
        <v>0</v>
      </c>
      <c r="I6891" t="n">
        <v>0</v>
      </c>
      <c r="J6891" t="n">
        <v>0</v>
      </c>
      <c r="K6891" t="n">
        <v>0</v>
      </c>
      <c r="L6891" t="n">
        <v>0</v>
      </c>
      <c r="M6891" t="n">
        <v>0</v>
      </c>
      <c r="N6891" t="n">
        <v>0</v>
      </c>
      <c r="O6891" t="n">
        <v>0</v>
      </c>
      <c r="P6891" t="n">
        <v>0</v>
      </c>
      <c r="Q6891" t="n">
        <v>0</v>
      </c>
      <c r="R6891" s="2" t="inlineStr"/>
    </row>
    <row r="6892" ht="15" customHeight="1">
      <c r="A6892" t="inlineStr">
        <is>
          <t>A 61858-2025</t>
        </is>
      </c>
      <c r="B6892" s="1" t="n">
        <v>46003.38649305556</v>
      </c>
      <c r="C6892" s="1" t="n">
        <v>46045</v>
      </c>
      <c r="D6892" t="inlineStr">
        <is>
          <t>JÄMTLANDS LÄN</t>
        </is>
      </c>
      <c r="E6892" t="inlineStr">
        <is>
          <t>STRÖMSUND</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53986-2025</t>
        </is>
      </c>
      <c r="B6893" s="1" t="n">
        <v>45961.57381944444</v>
      </c>
      <c r="C6893" s="1" t="n">
        <v>46045</v>
      </c>
      <c r="D6893" t="inlineStr">
        <is>
          <t>JÄMTLANDS LÄN</t>
        </is>
      </c>
      <c r="E6893" t="inlineStr">
        <is>
          <t>RAGUNDA</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54010-2025</t>
        </is>
      </c>
      <c r="B6894" s="1" t="n">
        <v>45961.6153125</v>
      </c>
      <c r="C6894" s="1" t="n">
        <v>46045</v>
      </c>
      <c r="D6894" t="inlineStr">
        <is>
          <t>JÄMTLANDS LÄN</t>
        </is>
      </c>
      <c r="E6894" t="inlineStr">
        <is>
          <t>BRÄCKE</t>
        </is>
      </c>
      <c r="F6894" t="inlineStr">
        <is>
          <t>SCA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54011-2025</t>
        </is>
      </c>
      <c r="B6895" s="1" t="n">
        <v>45961.61545138889</v>
      </c>
      <c r="C6895" s="1" t="n">
        <v>46045</v>
      </c>
      <c r="D6895" t="inlineStr">
        <is>
          <t>JÄMTLANDS LÄN</t>
        </is>
      </c>
      <c r="E6895" t="inlineStr">
        <is>
          <t>BRÄCKE</t>
        </is>
      </c>
      <c r="F6895" t="inlineStr">
        <is>
          <t>SCA</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18267-2025</t>
        </is>
      </c>
      <c r="B6896" s="1" t="n">
        <v>45762.36527777778</v>
      </c>
      <c r="C6896" s="1" t="n">
        <v>46045</v>
      </c>
      <c r="D6896" t="inlineStr">
        <is>
          <t>JÄMTLANDS LÄN</t>
        </is>
      </c>
      <c r="E6896" t="inlineStr">
        <is>
          <t>BRÄCKE</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18279-2025</t>
        </is>
      </c>
      <c r="B6897" s="1" t="n">
        <v>45762</v>
      </c>
      <c r="C6897" s="1" t="n">
        <v>46045</v>
      </c>
      <c r="D6897" t="inlineStr">
        <is>
          <t>JÄMTLANDS LÄN</t>
        </is>
      </c>
      <c r="E6897" t="inlineStr">
        <is>
          <t>STRÖMSUND</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25994-2025</t>
        </is>
      </c>
      <c r="B6898" s="1" t="n">
        <v>45804.65672453704</v>
      </c>
      <c r="C6898" s="1" t="n">
        <v>46045</v>
      </c>
      <c r="D6898" t="inlineStr">
        <is>
          <t>JÄMTLANDS LÄN</t>
        </is>
      </c>
      <c r="E6898" t="inlineStr">
        <is>
          <t>RAGUNDA</t>
        </is>
      </c>
      <c r="F6898" t="inlineStr">
        <is>
          <t>SCA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54160-2025</t>
        </is>
      </c>
      <c r="B6899" s="1" t="n">
        <v>45964.50528935185</v>
      </c>
      <c r="C6899" s="1" t="n">
        <v>46045</v>
      </c>
      <c r="D6899" t="inlineStr">
        <is>
          <t>JÄMTLANDS LÄN</t>
        </is>
      </c>
      <c r="E6899" t="inlineStr">
        <is>
          <t>BRÄCKE</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18280-2025</t>
        </is>
      </c>
      <c r="B6900" s="1" t="n">
        <v>45762</v>
      </c>
      <c r="C6900" s="1" t="n">
        <v>46045</v>
      </c>
      <c r="D6900" t="inlineStr">
        <is>
          <t>JÄMTLANDS LÄN</t>
        </is>
      </c>
      <c r="E6900" t="inlineStr">
        <is>
          <t>STRÖMSUND</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25452-2025</t>
        </is>
      </c>
      <c r="B6901" s="1" t="n">
        <v>45802.34440972222</v>
      </c>
      <c r="C6901" s="1" t="n">
        <v>46045</v>
      </c>
      <c r="D6901" t="inlineStr">
        <is>
          <t>JÄMTLANDS LÄN</t>
        </is>
      </c>
      <c r="E6901" t="inlineStr">
        <is>
          <t>BERG</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25453-2025</t>
        </is>
      </c>
      <c r="B6902" s="1" t="n">
        <v>45802.34451388889</v>
      </c>
      <c r="C6902" s="1" t="n">
        <v>46045</v>
      </c>
      <c r="D6902" t="inlineStr">
        <is>
          <t>JÄMTLANDS LÄN</t>
        </is>
      </c>
      <c r="E6902" t="inlineStr">
        <is>
          <t>BERG</t>
        </is>
      </c>
      <c r="F6902" t="inlineStr">
        <is>
          <t>SCA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53951-2025</t>
        </is>
      </c>
      <c r="B6903" s="1" t="n">
        <v>45961.50200231482</v>
      </c>
      <c r="C6903" s="1" t="n">
        <v>46045</v>
      </c>
      <c r="D6903" t="inlineStr">
        <is>
          <t>JÄMTLANDS LÄN</t>
        </is>
      </c>
      <c r="E6903" t="inlineStr">
        <is>
          <t>RAGUNDA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61956-2025</t>
        </is>
      </c>
      <c r="B6904" s="1" t="n">
        <v>46003.57759259259</v>
      </c>
      <c r="C6904" s="1" t="n">
        <v>46045</v>
      </c>
      <c r="D6904" t="inlineStr">
        <is>
          <t>JÄMTLANDS LÄN</t>
        </is>
      </c>
      <c r="E6904" t="inlineStr">
        <is>
          <t>KROKOM</t>
        </is>
      </c>
      <c r="F6904" t="inlineStr">
        <is>
          <t>Övriga Aktiebolag</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25516-2025</t>
        </is>
      </c>
      <c r="B6905" s="1" t="n">
        <v>45803.37480324074</v>
      </c>
      <c r="C6905" s="1" t="n">
        <v>46045</v>
      </c>
      <c r="D6905" t="inlineStr">
        <is>
          <t>JÄMTLANDS LÄN</t>
        </is>
      </c>
      <c r="E6905" t="inlineStr">
        <is>
          <t>HÄRJEDALEN</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61979-2025</t>
        </is>
      </c>
      <c r="B6906" s="1" t="n">
        <v>46003.61501157407</v>
      </c>
      <c r="C6906" s="1" t="n">
        <v>46045</v>
      </c>
      <c r="D6906" t="inlineStr">
        <is>
          <t>JÄMTLANDS LÄN</t>
        </is>
      </c>
      <c r="E6906" t="inlineStr">
        <is>
          <t>STRÖMSUND</t>
        </is>
      </c>
      <c r="F6906" t="inlineStr">
        <is>
          <t>SCA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62023-2025</t>
        </is>
      </c>
      <c r="B6907" s="1" t="n">
        <v>46003.69858796296</v>
      </c>
      <c r="C6907" s="1" t="n">
        <v>46045</v>
      </c>
      <c r="D6907" t="inlineStr">
        <is>
          <t>JÄMTLANDS LÄN</t>
        </is>
      </c>
      <c r="E6907" t="inlineStr">
        <is>
          <t>BRÄCKE</t>
        </is>
      </c>
      <c r="F6907" t="inlineStr">
        <is>
          <t>SCA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62052-2025</t>
        </is>
      </c>
      <c r="B6908" s="1" t="n">
        <v>46006.32145833333</v>
      </c>
      <c r="C6908" s="1" t="n">
        <v>46045</v>
      </c>
      <c r="D6908" t="inlineStr">
        <is>
          <t>JÄMTLANDS LÄN</t>
        </is>
      </c>
      <c r="E6908" t="inlineStr">
        <is>
          <t>BERG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26144-2025</t>
        </is>
      </c>
      <c r="B6909" s="1" t="n">
        <v>45805.42827546296</v>
      </c>
      <c r="C6909" s="1" t="n">
        <v>46045</v>
      </c>
      <c r="D6909" t="inlineStr">
        <is>
          <t>JÄMTLANDS LÄN</t>
        </is>
      </c>
      <c r="E6909" t="inlineStr">
        <is>
          <t>ÖSTERSUND</t>
        </is>
      </c>
      <c r="F6909" t="inlineStr">
        <is>
          <t>Sveaskog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36176-2024</t>
        </is>
      </c>
      <c r="B6910" s="1" t="n">
        <v>45534.40876157407</v>
      </c>
      <c r="C6910" s="1" t="n">
        <v>46045</v>
      </c>
      <c r="D6910" t="inlineStr">
        <is>
          <t>JÄMTLANDS LÄN</t>
        </is>
      </c>
      <c r="E6910" t="inlineStr">
        <is>
          <t>STRÖMSUND</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47357-2024</t>
        </is>
      </c>
      <c r="B6911" s="1" t="n">
        <v>45587.42835648148</v>
      </c>
      <c r="C6911" s="1" t="n">
        <v>46045</v>
      </c>
      <c r="D6911" t="inlineStr">
        <is>
          <t>JÄMTLANDS LÄN</t>
        </is>
      </c>
      <c r="E6911" t="inlineStr">
        <is>
          <t>ÖSTERSUND</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17885-2025</t>
        </is>
      </c>
      <c r="B6912" s="1" t="n">
        <v>45758.66108796297</v>
      </c>
      <c r="C6912" s="1" t="n">
        <v>46045</v>
      </c>
      <c r="D6912" t="inlineStr">
        <is>
          <t>JÄMTLANDS LÄN</t>
        </is>
      </c>
      <c r="E6912" t="inlineStr">
        <is>
          <t>HÄRJEDALEN</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17895-2025</t>
        </is>
      </c>
      <c r="B6913" s="1" t="n">
        <v>45758.69123842593</v>
      </c>
      <c r="C6913" s="1" t="n">
        <v>46045</v>
      </c>
      <c r="D6913" t="inlineStr">
        <is>
          <t>JÄMTLANDS LÄN</t>
        </is>
      </c>
      <c r="E6913" t="inlineStr">
        <is>
          <t>HÄRJEDALEN</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4608-2025</t>
        </is>
      </c>
      <c r="B6914" s="1" t="n">
        <v>45687</v>
      </c>
      <c r="C6914" s="1" t="n">
        <v>46045</v>
      </c>
      <c r="D6914" t="inlineStr">
        <is>
          <t>JÄMTLANDS LÄN</t>
        </is>
      </c>
      <c r="E6914" t="inlineStr">
        <is>
          <t>KROKOM</t>
        </is>
      </c>
      <c r="F6914" t="inlineStr">
        <is>
          <t>SCA</t>
        </is>
      </c>
      <c r="G6914" t="n">
        <v>16.6</v>
      </c>
      <c r="H6914" t="n">
        <v>0</v>
      </c>
      <c r="I6914" t="n">
        <v>0</v>
      </c>
      <c r="J6914" t="n">
        <v>0</v>
      </c>
      <c r="K6914" t="n">
        <v>0</v>
      </c>
      <c r="L6914" t="n">
        <v>0</v>
      </c>
      <c r="M6914" t="n">
        <v>0</v>
      </c>
      <c r="N6914" t="n">
        <v>0</v>
      </c>
      <c r="O6914" t="n">
        <v>0</v>
      </c>
      <c r="P6914" t="n">
        <v>0</v>
      </c>
      <c r="Q6914" t="n">
        <v>0</v>
      </c>
      <c r="R6914" s="2" t="inlineStr"/>
    </row>
    <row r="6915" ht="15" customHeight="1">
      <c r="A6915" t="inlineStr">
        <is>
          <t>A 26379-2025</t>
        </is>
      </c>
      <c r="B6915" s="1" t="n">
        <v>45806.48998842593</v>
      </c>
      <c r="C6915" s="1" t="n">
        <v>46045</v>
      </c>
      <c r="D6915" t="inlineStr">
        <is>
          <t>JÄMTLANDS LÄN</t>
        </is>
      </c>
      <c r="E6915" t="inlineStr">
        <is>
          <t>BRÄCKE</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61078-2023</t>
        </is>
      </c>
      <c r="B6916" s="1" t="n">
        <v>45261</v>
      </c>
      <c r="C6916" s="1" t="n">
        <v>46045</v>
      </c>
      <c r="D6916" t="inlineStr">
        <is>
          <t>JÄMTLANDS LÄN</t>
        </is>
      </c>
      <c r="E6916" t="inlineStr">
        <is>
          <t>KROKOM</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32241-2021</t>
        </is>
      </c>
      <c r="B6917" s="1" t="n">
        <v>44371</v>
      </c>
      <c r="C6917" s="1" t="n">
        <v>46045</v>
      </c>
      <c r="D6917" t="inlineStr">
        <is>
          <t>JÄMTLANDS LÄN</t>
        </is>
      </c>
      <c r="E6917" t="inlineStr">
        <is>
          <t>ÅRE</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10498-2025</t>
        </is>
      </c>
      <c r="B6918" s="1" t="n">
        <v>45721</v>
      </c>
      <c r="C6918" s="1" t="n">
        <v>46045</v>
      </c>
      <c r="D6918" t="inlineStr">
        <is>
          <t>JÄMTLANDS LÄN</t>
        </is>
      </c>
      <c r="E6918" t="inlineStr">
        <is>
          <t>KROKOM</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26283-2025</t>
        </is>
      </c>
      <c r="B6919" s="1" t="n">
        <v>45805.61495370371</v>
      </c>
      <c r="C6919" s="1" t="n">
        <v>46045</v>
      </c>
      <c r="D6919" t="inlineStr">
        <is>
          <t>JÄMTLANDS LÄN</t>
        </is>
      </c>
      <c r="E6919" t="inlineStr">
        <is>
          <t>RAGUNDA</t>
        </is>
      </c>
      <c r="F6919" t="inlineStr">
        <is>
          <t>SCA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61859-2025</t>
        </is>
      </c>
      <c r="B6920" s="1" t="n">
        <v>46003.38662037037</v>
      </c>
      <c r="C6920" s="1" t="n">
        <v>46045</v>
      </c>
      <c r="D6920" t="inlineStr">
        <is>
          <t>JÄMTLANDS LÄN</t>
        </is>
      </c>
      <c r="E6920" t="inlineStr">
        <is>
          <t>BRÄCKE</t>
        </is>
      </c>
      <c r="F6920" t="inlineStr">
        <is>
          <t>SCA</t>
        </is>
      </c>
      <c r="G6920" t="n">
        <v>6.5</v>
      </c>
      <c r="H6920" t="n">
        <v>0</v>
      </c>
      <c r="I6920" t="n">
        <v>0</v>
      </c>
      <c r="J6920" t="n">
        <v>0</v>
      </c>
      <c r="K6920" t="n">
        <v>0</v>
      </c>
      <c r="L6920" t="n">
        <v>0</v>
      </c>
      <c r="M6920" t="n">
        <v>0</v>
      </c>
      <c r="N6920" t="n">
        <v>0</v>
      </c>
      <c r="O6920" t="n">
        <v>0</v>
      </c>
      <c r="P6920" t="n">
        <v>0</v>
      </c>
      <c r="Q6920" t="n">
        <v>0</v>
      </c>
      <c r="R6920" s="2" t="inlineStr"/>
    </row>
    <row r="6921" ht="15" customHeight="1">
      <c r="A6921" t="inlineStr">
        <is>
          <t>A 61864-2025</t>
        </is>
      </c>
      <c r="B6921" s="1" t="n">
        <v>46003.38728009259</v>
      </c>
      <c r="C6921" s="1" t="n">
        <v>46045</v>
      </c>
      <c r="D6921" t="inlineStr">
        <is>
          <t>JÄMTLANDS LÄN</t>
        </is>
      </c>
      <c r="E6921" t="inlineStr">
        <is>
          <t>STRÖMSUND</t>
        </is>
      </c>
      <c r="F6921" t="inlineStr">
        <is>
          <t>SCA</t>
        </is>
      </c>
      <c r="G6921" t="n">
        <v>18.1</v>
      </c>
      <c r="H6921" t="n">
        <v>0</v>
      </c>
      <c r="I6921" t="n">
        <v>0</v>
      </c>
      <c r="J6921" t="n">
        <v>0</v>
      </c>
      <c r="K6921" t="n">
        <v>0</v>
      </c>
      <c r="L6921" t="n">
        <v>0</v>
      </c>
      <c r="M6921" t="n">
        <v>0</v>
      </c>
      <c r="N6921" t="n">
        <v>0</v>
      </c>
      <c r="O6921" t="n">
        <v>0</v>
      </c>
      <c r="P6921" t="n">
        <v>0</v>
      </c>
      <c r="Q6921" t="n">
        <v>0</v>
      </c>
      <c r="R6921" s="2" t="inlineStr"/>
    </row>
    <row r="6922" ht="15" customHeight="1">
      <c r="A6922" t="inlineStr">
        <is>
          <t>A 41179-2022</t>
        </is>
      </c>
      <c r="B6922" s="1" t="n">
        <v>44825</v>
      </c>
      <c r="C6922" s="1" t="n">
        <v>46045</v>
      </c>
      <c r="D6922" t="inlineStr">
        <is>
          <t>JÄMTLANDS LÄN</t>
        </is>
      </c>
      <c r="E6922" t="inlineStr">
        <is>
          <t>RAGUNDA</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3066-2023</t>
        </is>
      </c>
      <c r="B6923" s="1" t="n">
        <v>44946</v>
      </c>
      <c r="C6923" s="1" t="n">
        <v>46045</v>
      </c>
      <c r="D6923" t="inlineStr">
        <is>
          <t>JÄMTLANDS LÄN</t>
        </is>
      </c>
      <c r="E6923" t="inlineStr">
        <is>
          <t>ÅRE</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54038-2025</t>
        </is>
      </c>
      <c r="B6924" s="1" t="n">
        <v>45963.71952546296</v>
      </c>
      <c r="C6924" s="1" t="n">
        <v>46045</v>
      </c>
      <c r="D6924" t="inlineStr">
        <is>
          <t>JÄMTLANDS LÄN</t>
        </is>
      </c>
      <c r="E6924" t="inlineStr">
        <is>
          <t>STRÖMSUND</t>
        </is>
      </c>
      <c r="F6924" t="inlineStr">
        <is>
          <t>SCA</t>
        </is>
      </c>
      <c r="G6924" t="n">
        <v>9.4</v>
      </c>
      <c r="H6924" t="n">
        <v>0</v>
      </c>
      <c r="I6924" t="n">
        <v>0</v>
      </c>
      <c r="J6924" t="n">
        <v>0</v>
      </c>
      <c r="K6924" t="n">
        <v>0</v>
      </c>
      <c r="L6924" t="n">
        <v>0</v>
      </c>
      <c r="M6924" t="n">
        <v>0</v>
      </c>
      <c r="N6924" t="n">
        <v>0</v>
      </c>
      <c r="O6924" t="n">
        <v>0</v>
      </c>
      <c r="P6924" t="n">
        <v>0</v>
      </c>
      <c r="Q6924" t="n">
        <v>0</v>
      </c>
      <c r="R6924" s="2" t="inlineStr"/>
    </row>
    <row r="6925" ht="15" customHeight="1">
      <c r="A6925" t="inlineStr">
        <is>
          <t>A 3149-2023</t>
        </is>
      </c>
      <c r="B6925" s="1" t="n">
        <v>44946.5500925926</v>
      </c>
      <c r="C6925" s="1" t="n">
        <v>46045</v>
      </c>
      <c r="D6925" t="inlineStr">
        <is>
          <t>JÄMTLANDS LÄN</t>
        </is>
      </c>
      <c r="E6925" t="inlineStr">
        <is>
          <t>ÅRE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1665-2025</t>
        </is>
      </c>
      <c r="B6926" s="1" t="n">
        <v>45670</v>
      </c>
      <c r="C6926" s="1" t="n">
        <v>46045</v>
      </c>
      <c r="D6926" t="inlineStr">
        <is>
          <t>JÄMTLANDS LÄN</t>
        </is>
      </c>
      <c r="E6926" t="inlineStr">
        <is>
          <t>HÄRJEDALEN</t>
        </is>
      </c>
      <c r="F6926" t="inlineStr">
        <is>
          <t>Bergvik skog väst AB</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53844-2025</t>
        </is>
      </c>
      <c r="B6927" s="1" t="n">
        <v>45961.36488425926</v>
      </c>
      <c r="C6927" s="1" t="n">
        <v>46045</v>
      </c>
      <c r="D6927" t="inlineStr">
        <is>
          <t>JÄMTLANDS LÄN</t>
        </is>
      </c>
      <c r="E6927" t="inlineStr">
        <is>
          <t>BRÄCKE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62158-2025</t>
        </is>
      </c>
      <c r="B6928" s="1" t="n">
        <v>46006.490625</v>
      </c>
      <c r="C6928" s="1" t="n">
        <v>46045</v>
      </c>
      <c r="D6928" t="inlineStr">
        <is>
          <t>JÄMTLANDS LÄN</t>
        </is>
      </c>
      <c r="E6928" t="inlineStr">
        <is>
          <t>BERG</t>
        </is>
      </c>
      <c r="F6928" t="inlineStr">
        <is>
          <t>SCA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62176-2025</t>
        </is>
      </c>
      <c r="B6929" s="1" t="n">
        <v>46006.51157407407</v>
      </c>
      <c r="C6929" s="1" t="n">
        <v>46045</v>
      </c>
      <c r="D6929" t="inlineStr">
        <is>
          <t>JÄMTLANDS LÄN</t>
        </is>
      </c>
      <c r="E6929" t="inlineStr">
        <is>
          <t>ÖSTERSUND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62189-2025</t>
        </is>
      </c>
      <c r="B6930" s="1" t="n">
        <v>46006.54729166667</v>
      </c>
      <c r="C6930" s="1" t="n">
        <v>46045</v>
      </c>
      <c r="D6930" t="inlineStr">
        <is>
          <t>JÄMTLANDS LÄN</t>
        </is>
      </c>
      <c r="E6930" t="inlineStr">
        <is>
          <t>ÅRE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62213-2025</t>
        </is>
      </c>
      <c r="B6931" s="1" t="n">
        <v>46006.57347222222</v>
      </c>
      <c r="C6931" s="1" t="n">
        <v>46045</v>
      </c>
      <c r="D6931" t="inlineStr">
        <is>
          <t>JÄMTLANDS LÄN</t>
        </is>
      </c>
      <c r="E6931" t="inlineStr">
        <is>
          <t>STRÖMSUND</t>
        </is>
      </c>
      <c r="F6931" t="inlineStr">
        <is>
          <t>SCA</t>
        </is>
      </c>
      <c r="G6931" t="n">
        <v>1.4</v>
      </c>
      <c r="H6931" t="n">
        <v>0</v>
      </c>
      <c r="I6931" t="n">
        <v>0</v>
      </c>
      <c r="J6931" t="n">
        <v>0</v>
      </c>
      <c r="K6931" t="n">
        <v>0</v>
      </c>
      <c r="L6931" t="n">
        <v>0</v>
      </c>
      <c r="M6931" t="n">
        <v>0</v>
      </c>
      <c r="N6931" t="n">
        <v>0</v>
      </c>
      <c r="O6931" t="n">
        <v>0</v>
      </c>
      <c r="P6931" t="n">
        <v>0</v>
      </c>
      <c r="Q6931" t="n">
        <v>0</v>
      </c>
      <c r="R6931" s="2" t="inlineStr"/>
      <c r="U6931">
        <f>HYPERLINK("https://klasma.github.io/Logging_2313/knärot/A 62213-2025 karta knärot.png", "A 62213-2025")</f>
        <v/>
      </c>
      <c r="V6931">
        <f>HYPERLINK("https://klasma.github.io/Logging_2313/klagomål/A 62213-2025 FSC-klagomål.docx", "A 62213-2025")</f>
        <v/>
      </c>
      <c r="W6931">
        <f>HYPERLINK("https://klasma.github.io/Logging_2313/klagomålsmail/A 62213-2025 FSC-klagomål mail.docx", "A 62213-2025")</f>
        <v/>
      </c>
      <c r="X6931">
        <f>HYPERLINK("https://klasma.github.io/Logging_2313/tillsyn/A 62213-2025 tillsynsbegäran.docx", "A 62213-2025")</f>
        <v/>
      </c>
      <c r="Y6931">
        <f>HYPERLINK("https://klasma.github.io/Logging_2313/tillsynsmail/A 62213-2025 tillsynsbegäran mail.docx", "A 62213-2025")</f>
        <v/>
      </c>
    </row>
    <row r="6932" ht="15" customHeight="1">
      <c r="A6932" t="inlineStr">
        <is>
          <t>A 62233-2025</t>
        </is>
      </c>
      <c r="B6932" s="1" t="n">
        <v>46006.59424768519</v>
      </c>
      <c r="C6932" s="1" t="n">
        <v>46045</v>
      </c>
      <c r="D6932" t="inlineStr">
        <is>
          <t>JÄMTLANDS LÄN</t>
        </is>
      </c>
      <c r="E6932" t="inlineStr">
        <is>
          <t>BRÄCKE</t>
        </is>
      </c>
      <c r="F6932" t="inlineStr">
        <is>
          <t>SCA</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62234-2025</t>
        </is>
      </c>
      <c r="B6933" s="1" t="n">
        <v>46006.59444444445</v>
      </c>
      <c r="C6933" s="1" t="n">
        <v>46045</v>
      </c>
      <c r="D6933" t="inlineStr">
        <is>
          <t>JÄMTLANDS LÄN</t>
        </is>
      </c>
      <c r="E6933" t="inlineStr">
        <is>
          <t>HÄRJEDALEN</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35578-2024</t>
        </is>
      </c>
      <c r="B6934" s="1" t="n">
        <v>45531.64777777778</v>
      </c>
      <c r="C6934" s="1" t="n">
        <v>46045</v>
      </c>
      <c r="D6934" t="inlineStr">
        <is>
          <t>JÄMTLANDS LÄN</t>
        </is>
      </c>
      <c r="E6934" t="inlineStr">
        <is>
          <t>STRÖMSUND</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54213-2025</t>
        </is>
      </c>
      <c r="B6935" s="1" t="n">
        <v>45964.59420138889</v>
      </c>
      <c r="C6935" s="1" t="n">
        <v>46045</v>
      </c>
      <c r="D6935" t="inlineStr">
        <is>
          <t>JÄMTLANDS LÄN</t>
        </is>
      </c>
      <c r="E6935" t="inlineStr">
        <is>
          <t>ÅRE</t>
        </is>
      </c>
      <c r="F6935" t="inlineStr">
        <is>
          <t>Övriga Aktiebolag</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61990-2025</t>
        </is>
      </c>
      <c r="B6936" s="1" t="n">
        <v>46003</v>
      </c>
      <c r="C6936" s="1" t="n">
        <v>46045</v>
      </c>
      <c r="D6936" t="inlineStr">
        <is>
          <t>JÄMTLANDS LÄN</t>
        </is>
      </c>
      <c r="E6936" t="inlineStr">
        <is>
          <t>KROKOM</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61996-2025</t>
        </is>
      </c>
      <c r="B6937" s="1" t="n">
        <v>46003.64273148148</v>
      </c>
      <c r="C6937" s="1" t="n">
        <v>46045</v>
      </c>
      <c r="D6937" t="inlineStr">
        <is>
          <t>JÄMTLANDS LÄN</t>
        </is>
      </c>
      <c r="E6937" t="inlineStr">
        <is>
          <t>ÅRE</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62013-2025</t>
        </is>
      </c>
      <c r="B6938" s="1" t="n">
        <v>46003.67773148148</v>
      </c>
      <c r="C6938" s="1" t="n">
        <v>46045</v>
      </c>
      <c r="D6938" t="inlineStr">
        <is>
          <t>JÄMTLANDS LÄN</t>
        </is>
      </c>
      <c r="E6938" t="inlineStr">
        <is>
          <t>STRÖMSUND</t>
        </is>
      </c>
      <c r="F6938" t="inlineStr">
        <is>
          <t>SCA</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17598-2021</t>
        </is>
      </c>
      <c r="B6939" s="1" t="n">
        <v>44299</v>
      </c>
      <c r="C6939" s="1" t="n">
        <v>46045</v>
      </c>
      <c r="D6939" t="inlineStr">
        <is>
          <t>JÄMTLANDS LÄN</t>
        </is>
      </c>
      <c r="E6939" t="inlineStr">
        <is>
          <t>RAGUNDA</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17266-2025</t>
        </is>
      </c>
      <c r="B6940" s="1" t="n">
        <v>45756</v>
      </c>
      <c r="C6940" s="1" t="n">
        <v>46045</v>
      </c>
      <c r="D6940" t="inlineStr">
        <is>
          <t>JÄMTLANDS LÄN</t>
        </is>
      </c>
      <c r="E6940" t="inlineStr">
        <is>
          <t>BERG</t>
        </is>
      </c>
      <c r="G6940" t="n">
        <v>20.1</v>
      </c>
      <c r="H6940" t="n">
        <v>0</v>
      </c>
      <c r="I6940" t="n">
        <v>0</v>
      </c>
      <c r="J6940" t="n">
        <v>0</v>
      </c>
      <c r="K6940" t="n">
        <v>0</v>
      </c>
      <c r="L6940" t="n">
        <v>0</v>
      </c>
      <c r="M6940" t="n">
        <v>0</v>
      </c>
      <c r="N6940" t="n">
        <v>0</v>
      </c>
      <c r="O6940" t="n">
        <v>0</v>
      </c>
      <c r="P6940" t="n">
        <v>0</v>
      </c>
      <c r="Q6940" t="n">
        <v>0</v>
      </c>
      <c r="R6940" s="2" t="inlineStr"/>
    </row>
    <row r="6941" ht="15" customHeight="1">
      <c r="A6941" t="inlineStr">
        <is>
          <t>A 26734-2022</t>
        </is>
      </c>
      <c r="B6941" s="1" t="n">
        <v>44739.94028935185</v>
      </c>
      <c r="C6941" s="1" t="n">
        <v>46045</v>
      </c>
      <c r="D6941" t="inlineStr">
        <is>
          <t>JÄMTLANDS LÄN</t>
        </is>
      </c>
      <c r="E6941" t="inlineStr">
        <is>
          <t>STRÖMSUND</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53943-2025</t>
        </is>
      </c>
      <c r="B6942" s="1" t="n">
        <v>45961.48997685185</v>
      </c>
      <c r="C6942" s="1" t="n">
        <v>46045</v>
      </c>
      <c r="D6942" t="inlineStr">
        <is>
          <t>JÄMTLANDS LÄN</t>
        </is>
      </c>
      <c r="E6942" t="inlineStr">
        <is>
          <t>BRÄCKE</t>
        </is>
      </c>
      <c r="F6942" t="inlineStr">
        <is>
          <t>SCA</t>
        </is>
      </c>
      <c r="G6942" t="n">
        <v>14.2</v>
      </c>
      <c r="H6942" t="n">
        <v>0</v>
      </c>
      <c r="I6942" t="n">
        <v>0</v>
      </c>
      <c r="J6942" t="n">
        <v>0</v>
      </c>
      <c r="K6942" t="n">
        <v>0</v>
      </c>
      <c r="L6942" t="n">
        <v>0</v>
      </c>
      <c r="M6942" t="n">
        <v>0</v>
      </c>
      <c r="N6942" t="n">
        <v>0</v>
      </c>
      <c r="O6942" t="n">
        <v>0</v>
      </c>
      <c r="P6942" t="n">
        <v>0</v>
      </c>
      <c r="Q6942" t="n">
        <v>0</v>
      </c>
      <c r="R6942" s="2" t="inlineStr"/>
    </row>
    <row r="6943" ht="15" customHeight="1">
      <c r="A6943" t="inlineStr">
        <is>
          <t>A 26212-2025</t>
        </is>
      </c>
      <c r="B6943" s="1" t="n">
        <v>45805.54185185185</v>
      </c>
      <c r="C6943" s="1" t="n">
        <v>46045</v>
      </c>
      <c r="D6943" t="inlineStr">
        <is>
          <t>JÄMTLANDS LÄN</t>
        </is>
      </c>
      <c r="E6943" t="inlineStr">
        <is>
          <t>KROKOM</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23746-2021</t>
        </is>
      </c>
      <c r="B6944" s="1" t="n">
        <v>44334.93716435185</v>
      </c>
      <c r="C6944" s="1" t="n">
        <v>46045</v>
      </c>
      <c r="D6944" t="inlineStr">
        <is>
          <t>JÄMTLANDS LÄN</t>
        </is>
      </c>
      <c r="E6944" t="inlineStr">
        <is>
          <t>BRÄCKE</t>
        </is>
      </c>
      <c r="F6944" t="inlineStr">
        <is>
          <t>SCA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53946-2025</t>
        </is>
      </c>
      <c r="B6945" s="1" t="n">
        <v>45961</v>
      </c>
      <c r="C6945" s="1" t="n">
        <v>46045</v>
      </c>
      <c r="D6945" t="inlineStr">
        <is>
          <t>JÄMTLANDS LÄN</t>
        </is>
      </c>
      <c r="E6945" t="inlineStr">
        <is>
          <t>STRÖMSUND</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40109-2023</t>
        </is>
      </c>
      <c r="B6946" s="1" t="n">
        <v>45168</v>
      </c>
      <c r="C6946" s="1" t="n">
        <v>46045</v>
      </c>
      <c r="D6946" t="inlineStr">
        <is>
          <t>JÄMTLANDS LÄN</t>
        </is>
      </c>
      <c r="E6946" t="inlineStr">
        <is>
          <t>STRÖMSUND</t>
        </is>
      </c>
      <c r="F6946" t="inlineStr">
        <is>
          <t>SCA</t>
        </is>
      </c>
      <c r="G6946" t="n">
        <v>55.1</v>
      </c>
      <c r="H6946" t="n">
        <v>0</v>
      </c>
      <c r="I6946" t="n">
        <v>0</v>
      </c>
      <c r="J6946" t="n">
        <v>0</v>
      </c>
      <c r="K6946" t="n">
        <v>0</v>
      </c>
      <c r="L6946" t="n">
        <v>0</v>
      </c>
      <c r="M6946" t="n">
        <v>0</v>
      </c>
      <c r="N6946" t="n">
        <v>0</v>
      </c>
      <c r="O6946" t="n">
        <v>0</v>
      </c>
      <c r="P6946" t="n">
        <v>0</v>
      </c>
      <c r="Q6946" t="n">
        <v>0</v>
      </c>
      <c r="R6946" s="2" t="inlineStr"/>
    </row>
    <row r="6947" ht="15" customHeight="1">
      <c r="A6947" t="inlineStr">
        <is>
          <t>A 61964-2025</t>
        </is>
      </c>
      <c r="B6947" s="1" t="n">
        <v>46003</v>
      </c>
      <c r="C6947" s="1" t="n">
        <v>46045</v>
      </c>
      <c r="D6947" t="inlineStr">
        <is>
          <t>JÄMTLANDS LÄN</t>
        </is>
      </c>
      <c r="E6947" t="inlineStr">
        <is>
          <t>ÖSTERSUND</t>
        </is>
      </c>
      <c r="G6947" t="n">
        <v>16.5</v>
      </c>
      <c r="H6947" t="n">
        <v>0</v>
      </c>
      <c r="I6947" t="n">
        <v>0</v>
      </c>
      <c r="J6947" t="n">
        <v>0</v>
      </c>
      <c r="K6947" t="n">
        <v>0</v>
      </c>
      <c r="L6947" t="n">
        <v>0</v>
      </c>
      <c r="M6947" t="n">
        <v>0</v>
      </c>
      <c r="N6947" t="n">
        <v>0</v>
      </c>
      <c r="O6947" t="n">
        <v>0</v>
      </c>
      <c r="P6947" t="n">
        <v>0</v>
      </c>
      <c r="Q6947" t="n">
        <v>0</v>
      </c>
      <c r="R6947" s="2" t="inlineStr"/>
    </row>
    <row r="6948" ht="15" customHeight="1">
      <c r="A6948" t="inlineStr">
        <is>
          <t>A 62218-2025</t>
        </is>
      </c>
      <c r="B6948" s="1" t="n">
        <v>46006.58048611111</v>
      </c>
      <c r="C6948" s="1" t="n">
        <v>46045</v>
      </c>
      <c r="D6948" t="inlineStr">
        <is>
          <t>JÄMTLANDS LÄN</t>
        </is>
      </c>
      <c r="E6948" t="inlineStr">
        <is>
          <t>ÅRE</t>
        </is>
      </c>
      <c r="G6948" t="n">
        <v>15.6</v>
      </c>
      <c r="H6948" t="n">
        <v>0</v>
      </c>
      <c r="I6948" t="n">
        <v>0</v>
      </c>
      <c r="J6948" t="n">
        <v>0</v>
      </c>
      <c r="K6948" t="n">
        <v>0</v>
      </c>
      <c r="L6948" t="n">
        <v>0</v>
      </c>
      <c r="M6948" t="n">
        <v>0</v>
      </c>
      <c r="N6948" t="n">
        <v>0</v>
      </c>
      <c r="O6948" t="n">
        <v>0</v>
      </c>
      <c r="P6948" t="n">
        <v>0</v>
      </c>
      <c r="Q6948" t="n">
        <v>0</v>
      </c>
      <c r="R6948" s="2" t="inlineStr"/>
    </row>
    <row r="6949" ht="15" customHeight="1">
      <c r="A6949" t="inlineStr">
        <is>
          <t>A 47450-2022</t>
        </is>
      </c>
      <c r="B6949" s="1" t="n">
        <v>44853</v>
      </c>
      <c r="C6949" s="1" t="n">
        <v>46045</v>
      </c>
      <c r="D6949" t="inlineStr">
        <is>
          <t>JÄMTLANDS LÄN</t>
        </is>
      </c>
      <c r="E6949" t="inlineStr">
        <is>
          <t>HÄRJEDALEN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20742-2023</t>
        </is>
      </c>
      <c r="B6950" s="1" t="n">
        <v>45055</v>
      </c>
      <c r="C6950" s="1" t="n">
        <v>46045</v>
      </c>
      <c r="D6950" t="inlineStr">
        <is>
          <t>JÄMTLANDS LÄN</t>
        </is>
      </c>
      <c r="E6950" t="inlineStr">
        <is>
          <t>KROKOM</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53975-2025</t>
        </is>
      </c>
      <c r="B6951" s="1" t="n">
        <v>45961.55277777778</v>
      </c>
      <c r="C6951" s="1" t="n">
        <v>46045</v>
      </c>
      <c r="D6951" t="inlineStr">
        <is>
          <t>JÄMTLANDS LÄN</t>
        </is>
      </c>
      <c r="E6951" t="inlineStr">
        <is>
          <t>RAGUNDA</t>
        </is>
      </c>
      <c r="F6951" t="inlineStr">
        <is>
          <t>SCA</t>
        </is>
      </c>
      <c r="G6951" t="n">
        <v>21.9</v>
      </c>
      <c r="H6951" t="n">
        <v>0</v>
      </c>
      <c r="I6951" t="n">
        <v>0</v>
      </c>
      <c r="J6951" t="n">
        <v>0</v>
      </c>
      <c r="K6951" t="n">
        <v>0</v>
      </c>
      <c r="L6951" t="n">
        <v>0</v>
      </c>
      <c r="M6951" t="n">
        <v>0</v>
      </c>
      <c r="N6951" t="n">
        <v>0</v>
      </c>
      <c r="O6951" t="n">
        <v>0</v>
      </c>
      <c r="P6951" t="n">
        <v>0</v>
      </c>
      <c r="Q6951" t="n">
        <v>0</v>
      </c>
      <c r="R6951" s="2" t="inlineStr"/>
    </row>
    <row r="6952" ht="15" customHeight="1">
      <c r="A6952" t="inlineStr">
        <is>
          <t>A 62259-2025</t>
        </is>
      </c>
      <c r="B6952" s="1" t="n">
        <v>46006.61553240741</v>
      </c>
      <c r="C6952" s="1" t="n">
        <v>46045</v>
      </c>
      <c r="D6952" t="inlineStr">
        <is>
          <t>JÄMTLANDS LÄN</t>
        </is>
      </c>
      <c r="E6952" t="inlineStr">
        <is>
          <t>ÅRE</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62261-2025</t>
        </is>
      </c>
      <c r="B6953" s="1" t="n">
        <v>46006.61622685185</v>
      </c>
      <c r="C6953" s="1" t="n">
        <v>46045</v>
      </c>
      <c r="D6953" t="inlineStr">
        <is>
          <t>JÄMTLANDS LÄN</t>
        </is>
      </c>
      <c r="E6953" t="inlineStr">
        <is>
          <t>BRÄCKE</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26378-2025</t>
        </is>
      </c>
      <c r="B6954" s="1" t="n">
        <v>45806.48989583334</v>
      </c>
      <c r="C6954" s="1" t="n">
        <v>46045</v>
      </c>
      <c r="D6954" t="inlineStr">
        <is>
          <t>JÄMTLANDS LÄN</t>
        </is>
      </c>
      <c r="E6954" t="inlineStr">
        <is>
          <t>BERG</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26209-2025</t>
        </is>
      </c>
      <c r="B6955" s="1" t="n">
        <v>45805.53280092592</v>
      </c>
      <c r="C6955" s="1" t="n">
        <v>46045</v>
      </c>
      <c r="D6955" t="inlineStr">
        <is>
          <t>JÄMTLANDS LÄN</t>
        </is>
      </c>
      <c r="E6955" t="inlineStr">
        <is>
          <t>HÄRJEDALEN</t>
        </is>
      </c>
      <c r="F6955" t="inlineStr">
        <is>
          <t>Bergvik skog väst AB</t>
        </is>
      </c>
      <c r="G6955" t="n">
        <v>27.3</v>
      </c>
      <c r="H6955" t="n">
        <v>0</v>
      </c>
      <c r="I6955" t="n">
        <v>0</v>
      </c>
      <c r="J6955" t="n">
        <v>0</v>
      </c>
      <c r="K6955" t="n">
        <v>0</v>
      </c>
      <c r="L6955" t="n">
        <v>0</v>
      </c>
      <c r="M6955" t="n">
        <v>0</v>
      </c>
      <c r="N6955" t="n">
        <v>0</v>
      </c>
      <c r="O6955" t="n">
        <v>0</v>
      </c>
      <c r="P6955" t="n">
        <v>0</v>
      </c>
      <c r="Q6955" t="n">
        <v>0</v>
      </c>
      <c r="R6955" s="2" t="inlineStr"/>
    </row>
    <row r="6956" ht="15" customHeight="1">
      <c r="A6956" t="inlineStr">
        <is>
          <t>A 26265-2025</t>
        </is>
      </c>
      <c r="B6956" s="1" t="n">
        <v>45805</v>
      </c>
      <c r="C6956" s="1" t="n">
        <v>46045</v>
      </c>
      <c r="D6956" t="inlineStr">
        <is>
          <t>JÄMTLANDS LÄN</t>
        </is>
      </c>
      <c r="E6956" t="inlineStr">
        <is>
          <t>STRÖMSUND</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16345-2025</t>
        </is>
      </c>
      <c r="B6957" s="1" t="n">
        <v>45751.3734837963</v>
      </c>
      <c r="C6957" s="1" t="n">
        <v>46045</v>
      </c>
      <c r="D6957" t="inlineStr">
        <is>
          <t>JÄMTLANDS LÄN</t>
        </is>
      </c>
      <c r="E6957" t="inlineStr">
        <is>
          <t>KROKOM</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16481-2025</t>
        </is>
      </c>
      <c r="B6958" s="1" t="n">
        <v>45751.57877314815</v>
      </c>
      <c r="C6958" s="1" t="n">
        <v>46045</v>
      </c>
      <c r="D6958" t="inlineStr">
        <is>
          <t>JÄMTLANDS LÄN</t>
        </is>
      </c>
      <c r="E6958" t="inlineStr">
        <is>
          <t>KROKOM</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54195-2025</t>
        </is>
      </c>
      <c r="B6959" s="1" t="n">
        <v>45964.57413194444</v>
      </c>
      <c r="C6959" s="1" t="n">
        <v>46045</v>
      </c>
      <c r="D6959" t="inlineStr">
        <is>
          <t>JÄMTLANDS LÄN</t>
        </is>
      </c>
      <c r="E6959" t="inlineStr">
        <is>
          <t>RAGUNDA</t>
        </is>
      </c>
      <c r="F6959" t="inlineStr">
        <is>
          <t>SCA</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11699-2025</t>
        </is>
      </c>
      <c r="B6960" s="1" t="n">
        <v>45727.57402777778</v>
      </c>
      <c r="C6960" s="1" t="n">
        <v>46045</v>
      </c>
      <c r="D6960" t="inlineStr">
        <is>
          <t>JÄMTLANDS LÄN</t>
        </is>
      </c>
      <c r="E6960" t="inlineStr">
        <is>
          <t>BRÄCKE</t>
        </is>
      </c>
      <c r="F6960" t="inlineStr">
        <is>
          <t>SCA</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10047-2025</t>
        </is>
      </c>
      <c r="B6961" s="1" t="n">
        <v>45719.51087962963</v>
      </c>
      <c r="C6961" s="1" t="n">
        <v>46045</v>
      </c>
      <c r="D6961" t="inlineStr">
        <is>
          <t>JÄMTLANDS LÄN</t>
        </is>
      </c>
      <c r="E6961" t="inlineStr">
        <is>
          <t>STRÖMSUND</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61849-2025</t>
        </is>
      </c>
      <c r="B6962" s="1" t="n">
        <v>46003.38026620371</v>
      </c>
      <c r="C6962" s="1" t="n">
        <v>46045</v>
      </c>
      <c r="D6962" t="inlineStr">
        <is>
          <t>JÄMTLANDS LÄN</t>
        </is>
      </c>
      <c r="E6962" t="inlineStr">
        <is>
          <t>ÖSTERSUND</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17506-2025</t>
        </is>
      </c>
      <c r="B6963" s="1" t="n">
        <v>45757</v>
      </c>
      <c r="C6963" s="1" t="n">
        <v>46045</v>
      </c>
      <c r="D6963" t="inlineStr">
        <is>
          <t>JÄMTLANDS LÄN</t>
        </is>
      </c>
      <c r="E6963" t="inlineStr">
        <is>
          <t>STRÖMSUND</t>
        </is>
      </c>
      <c r="G6963" t="n">
        <v>17.6</v>
      </c>
      <c r="H6963" t="n">
        <v>0</v>
      </c>
      <c r="I6963" t="n">
        <v>0</v>
      </c>
      <c r="J6963" t="n">
        <v>0</v>
      </c>
      <c r="K6963" t="n">
        <v>0</v>
      </c>
      <c r="L6963" t="n">
        <v>0</v>
      </c>
      <c r="M6963" t="n">
        <v>0</v>
      </c>
      <c r="N6963" t="n">
        <v>0</v>
      </c>
      <c r="O6963" t="n">
        <v>0</v>
      </c>
      <c r="P6963" t="n">
        <v>0</v>
      </c>
      <c r="Q6963" t="n">
        <v>0</v>
      </c>
      <c r="R6963" s="2" t="inlineStr"/>
    </row>
    <row r="6964" ht="15" customHeight="1">
      <c r="A6964" t="inlineStr">
        <is>
          <t>A 12838-2025</t>
        </is>
      </c>
      <c r="B6964" s="1" t="n">
        <v>45733</v>
      </c>
      <c r="C6964" s="1" t="n">
        <v>46045</v>
      </c>
      <c r="D6964" t="inlineStr">
        <is>
          <t>JÄMTLANDS LÄN</t>
        </is>
      </c>
      <c r="E6964" t="inlineStr">
        <is>
          <t>KROKOM</t>
        </is>
      </c>
      <c r="G6964" t="n">
        <v>59.3</v>
      </c>
      <c r="H6964" t="n">
        <v>0</v>
      </c>
      <c r="I6964" t="n">
        <v>0</v>
      </c>
      <c r="J6964" t="n">
        <v>0</v>
      </c>
      <c r="K6964" t="n">
        <v>0</v>
      </c>
      <c r="L6964" t="n">
        <v>0</v>
      </c>
      <c r="M6964" t="n">
        <v>0</v>
      </c>
      <c r="N6964" t="n">
        <v>0</v>
      </c>
      <c r="O6964" t="n">
        <v>0</v>
      </c>
      <c r="P6964" t="n">
        <v>0</v>
      </c>
      <c r="Q6964" t="n">
        <v>0</v>
      </c>
      <c r="R6964" s="2" t="inlineStr"/>
    </row>
    <row r="6965" ht="15" customHeight="1">
      <c r="A6965" t="inlineStr">
        <is>
          <t>A 61856-2025</t>
        </is>
      </c>
      <c r="B6965" s="1" t="n">
        <v>46003.38597222222</v>
      </c>
      <c r="C6965" s="1" t="n">
        <v>46045</v>
      </c>
      <c r="D6965" t="inlineStr">
        <is>
          <t>JÄMTLANDS LÄN</t>
        </is>
      </c>
      <c r="E6965" t="inlineStr">
        <is>
          <t>STRÖMSUND</t>
        </is>
      </c>
      <c r="F6965" t="inlineStr">
        <is>
          <t>SCA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54137-2025</t>
        </is>
      </c>
      <c r="B6966" s="1" t="n">
        <v>45964.47275462963</v>
      </c>
      <c r="C6966" s="1" t="n">
        <v>46045</v>
      </c>
      <c r="D6966" t="inlineStr">
        <is>
          <t>JÄMTLANDS LÄN</t>
        </is>
      </c>
      <c r="E6966" t="inlineStr">
        <is>
          <t>ÅRE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26272-2025</t>
        </is>
      </c>
      <c r="B6967" s="1" t="n">
        <v>45805</v>
      </c>
      <c r="C6967" s="1" t="n">
        <v>46045</v>
      </c>
      <c r="D6967" t="inlineStr">
        <is>
          <t>JÄMTLANDS LÄN</t>
        </is>
      </c>
      <c r="E6967" t="inlineStr">
        <is>
          <t>KROKOM</t>
        </is>
      </c>
      <c r="G6967" t="n">
        <v>22.4</v>
      </c>
      <c r="H6967" t="n">
        <v>0</v>
      </c>
      <c r="I6967" t="n">
        <v>0</v>
      </c>
      <c r="J6967" t="n">
        <v>0</v>
      </c>
      <c r="K6967" t="n">
        <v>0</v>
      </c>
      <c r="L6967" t="n">
        <v>0</v>
      </c>
      <c r="M6967" t="n">
        <v>0</v>
      </c>
      <c r="N6967" t="n">
        <v>0</v>
      </c>
      <c r="O6967" t="n">
        <v>0</v>
      </c>
      <c r="P6967" t="n">
        <v>0</v>
      </c>
      <c r="Q6967" t="n">
        <v>0</v>
      </c>
      <c r="R6967" s="2" t="inlineStr"/>
    </row>
    <row r="6968" ht="15" customHeight="1">
      <c r="A6968" t="inlineStr">
        <is>
          <t>A 26275-2025</t>
        </is>
      </c>
      <c r="B6968" s="1" t="n">
        <v>45805.60230324074</v>
      </c>
      <c r="C6968" s="1" t="n">
        <v>46045</v>
      </c>
      <c r="D6968" t="inlineStr">
        <is>
          <t>JÄMTLANDS LÄN</t>
        </is>
      </c>
      <c r="E6968" t="inlineStr">
        <is>
          <t>BERG</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26053-2025</t>
        </is>
      </c>
      <c r="B6969" s="1" t="n">
        <v>45804.75445601852</v>
      </c>
      <c r="C6969" s="1" t="n">
        <v>46045</v>
      </c>
      <c r="D6969" t="inlineStr">
        <is>
          <t>JÄMTLANDS LÄN</t>
        </is>
      </c>
      <c r="E6969" t="inlineStr">
        <is>
          <t>BERG</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62210-2025</t>
        </is>
      </c>
      <c r="B6970" s="1" t="n">
        <v>46006.5666087963</v>
      </c>
      <c r="C6970" s="1" t="n">
        <v>46045</v>
      </c>
      <c r="D6970" t="inlineStr">
        <is>
          <t>JÄMTLANDS LÄN</t>
        </is>
      </c>
      <c r="E6970" t="inlineStr">
        <is>
          <t>ÅRE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54258-2025</t>
        </is>
      </c>
      <c r="B6971" s="1" t="n">
        <v>45964.65748842592</v>
      </c>
      <c r="C6971" s="1" t="n">
        <v>46045</v>
      </c>
      <c r="D6971" t="inlineStr">
        <is>
          <t>JÄMTLANDS LÄN</t>
        </is>
      </c>
      <c r="E6971" t="inlineStr">
        <is>
          <t>STRÖMSUND</t>
        </is>
      </c>
      <c r="F6971" t="inlineStr">
        <is>
          <t>SCA</t>
        </is>
      </c>
      <c r="G6971" t="n">
        <v>11.4</v>
      </c>
      <c r="H6971" t="n">
        <v>0</v>
      </c>
      <c r="I6971" t="n">
        <v>0</v>
      </c>
      <c r="J6971" t="n">
        <v>0</v>
      </c>
      <c r="K6971" t="n">
        <v>0</v>
      </c>
      <c r="L6971" t="n">
        <v>0</v>
      </c>
      <c r="M6971" t="n">
        <v>0</v>
      </c>
      <c r="N6971" t="n">
        <v>0</v>
      </c>
      <c r="O6971" t="n">
        <v>0</v>
      </c>
      <c r="P6971" t="n">
        <v>0</v>
      </c>
      <c r="Q6971" t="n">
        <v>0</v>
      </c>
      <c r="R6971" s="2" t="inlineStr"/>
    </row>
    <row r="6972" ht="15" customHeight="1">
      <c r="A6972" t="inlineStr">
        <is>
          <t>A 54228-2025</t>
        </is>
      </c>
      <c r="B6972" s="1" t="n">
        <v>45964.61509259259</v>
      </c>
      <c r="C6972" s="1" t="n">
        <v>46045</v>
      </c>
      <c r="D6972" t="inlineStr">
        <is>
          <t>JÄMTLANDS LÄN</t>
        </is>
      </c>
      <c r="E6972" t="inlineStr">
        <is>
          <t>STRÖMSUND</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28510-2024</t>
        </is>
      </c>
      <c r="B6973" s="1" t="n">
        <v>45477.94780092593</v>
      </c>
      <c r="C6973" s="1" t="n">
        <v>46045</v>
      </c>
      <c r="D6973" t="inlineStr">
        <is>
          <t>JÄMTLANDS LÄN</t>
        </is>
      </c>
      <c r="E6973" t="inlineStr">
        <is>
          <t>STRÖMSUND</t>
        </is>
      </c>
      <c r="F6973" t="inlineStr">
        <is>
          <t>SCA</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54158-2025</t>
        </is>
      </c>
      <c r="B6974" s="1" t="n">
        <v>45964.50181712963</v>
      </c>
      <c r="C6974" s="1" t="n">
        <v>46045</v>
      </c>
      <c r="D6974" t="inlineStr">
        <is>
          <t>JÄMTLANDS LÄN</t>
        </is>
      </c>
      <c r="E6974" t="inlineStr">
        <is>
          <t>BRÄCKE</t>
        </is>
      </c>
      <c r="G6974" t="n">
        <v>10.6</v>
      </c>
      <c r="H6974" t="n">
        <v>0</v>
      </c>
      <c r="I6974" t="n">
        <v>0</v>
      </c>
      <c r="J6974" t="n">
        <v>0</v>
      </c>
      <c r="K6974" t="n">
        <v>0</v>
      </c>
      <c r="L6974" t="n">
        <v>0</v>
      </c>
      <c r="M6974" t="n">
        <v>0</v>
      </c>
      <c r="N6974" t="n">
        <v>0</v>
      </c>
      <c r="O6974" t="n">
        <v>0</v>
      </c>
      <c r="P6974" t="n">
        <v>0</v>
      </c>
      <c r="Q6974" t="n">
        <v>0</v>
      </c>
      <c r="R6974" s="2" t="inlineStr"/>
    </row>
    <row r="6975" ht="15" customHeight="1">
      <c r="A6975" t="inlineStr">
        <is>
          <t>A 26298-2025</t>
        </is>
      </c>
      <c r="B6975" s="1" t="n">
        <v>45805.63619212963</v>
      </c>
      <c r="C6975" s="1" t="n">
        <v>46045</v>
      </c>
      <c r="D6975" t="inlineStr">
        <is>
          <t>JÄMTLANDS LÄN</t>
        </is>
      </c>
      <c r="E6975" t="inlineStr">
        <is>
          <t>BRÄCKE</t>
        </is>
      </c>
      <c r="F6975" t="inlineStr">
        <is>
          <t>SCA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28511-2024</t>
        </is>
      </c>
      <c r="B6976" s="1" t="n">
        <v>45477.94787037037</v>
      </c>
      <c r="C6976" s="1" t="n">
        <v>46045</v>
      </c>
      <c r="D6976" t="inlineStr">
        <is>
          <t>JÄMTLANDS LÄN</t>
        </is>
      </c>
      <c r="E6976" t="inlineStr">
        <is>
          <t>STRÖMSUND</t>
        </is>
      </c>
      <c r="F6976" t="inlineStr">
        <is>
          <t>SCA</t>
        </is>
      </c>
      <c r="G6976" t="n">
        <v>6.5</v>
      </c>
      <c r="H6976" t="n">
        <v>0</v>
      </c>
      <c r="I6976" t="n">
        <v>0</v>
      </c>
      <c r="J6976" t="n">
        <v>0</v>
      </c>
      <c r="K6976" t="n">
        <v>0</v>
      </c>
      <c r="L6976" t="n">
        <v>0</v>
      </c>
      <c r="M6976" t="n">
        <v>0</v>
      </c>
      <c r="N6976" t="n">
        <v>0</v>
      </c>
      <c r="O6976" t="n">
        <v>0</v>
      </c>
      <c r="P6976" t="n">
        <v>0</v>
      </c>
      <c r="Q6976" t="n">
        <v>0</v>
      </c>
      <c r="R6976" s="2" t="inlineStr"/>
    </row>
    <row r="6977" ht="15" customHeight="1">
      <c r="A6977" t="inlineStr">
        <is>
          <t>A 62541-2022</t>
        </is>
      </c>
      <c r="B6977" s="1" t="n">
        <v>44917</v>
      </c>
      <c r="C6977" s="1" t="n">
        <v>46045</v>
      </c>
      <c r="D6977" t="inlineStr">
        <is>
          <t>JÄMTLANDS LÄN</t>
        </is>
      </c>
      <c r="E6977" t="inlineStr">
        <is>
          <t>RAGUNDA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62590-2022</t>
        </is>
      </c>
      <c r="B6978" s="1" t="n">
        <v>44925.33584490741</v>
      </c>
      <c r="C6978" s="1" t="n">
        <v>46045</v>
      </c>
      <c r="D6978" t="inlineStr">
        <is>
          <t>JÄMTLANDS LÄN</t>
        </is>
      </c>
      <c r="E6978" t="inlineStr">
        <is>
          <t>HÄRJEDALEN</t>
        </is>
      </c>
      <c r="F6978" t="inlineStr">
        <is>
          <t>Holmen skog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54034-2025</t>
        </is>
      </c>
      <c r="B6979" s="1" t="n">
        <v>45963.38520833333</v>
      </c>
      <c r="C6979" s="1" t="n">
        <v>46045</v>
      </c>
      <c r="D6979" t="inlineStr">
        <is>
          <t>JÄMTLANDS LÄN</t>
        </is>
      </c>
      <c r="E6979" t="inlineStr">
        <is>
          <t>STRÖMSUND</t>
        </is>
      </c>
      <c r="F6979" t="inlineStr">
        <is>
          <t>Holmen skog AB</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48917-2024</t>
        </is>
      </c>
      <c r="B6980" s="1" t="n">
        <v>45594.36982638889</v>
      </c>
      <c r="C6980" s="1" t="n">
        <v>46045</v>
      </c>
      <c r="D6980" t="inlineStr">
        <is>
          <t>JÄMTLANDS LÄN</t>
        </is>
      </c>
      <c r="E6980" t="inlineStr">
        <is>
          <t>STRÖMSUND</t>
        </is>
      </c>
      <c r="F6980" t="inlineStr">
        <is>
          <t>SCA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4460-2022</t>
        </is>
      </c>
      <c r="B6981" s="1" t="n">
        <v>44589</v>
      </c>
      <c r="C6981" s="1" t="n">
        <v>46045</v>
      </c>
      <c r="D6981" t="inlineStr">
        <is>
          <t>JÄMTLANDS LÄN</t>
        </is>
      </c>
      <c r="E6981" t="inlineStr">
        <is>
          <t>STRÖMSUND</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24258-2025</t>
        </is>
      </c>
      <c r="B6982" s="1" t="n">
        <v>45797.40800925926</v>
      </c>
      <c r="C6982" s="1" t="n">
        <v>46045</v>
      </c>
      <c r="D6982" t="inlineStr">
        <is>
          <t>JÄMTLANDS LÄN</t>
        </is>
      </c>
      <c r="E6982" t="inlineStr">
        <is>
          <t>RAGUNDA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23767-2023</t>
        </is>
      </c>
      <c r="B6983" s="1" t="n">
        <v>45077</v>
      </c>
      <c r="C6983" s="1" t="n">
        <v>46045</v>
      </c>
      <c r="D6983" t="inlineStr">
        <is>
          <t>JÄMTLANDS LÄN</t>
        </is>
      </c>
      <c r="E6983" t="inlineStr">
        <is>
          <t>BRÄCKE</t>
        </is>
      </c>
      <c r="F6983" t="inlineStr">
        <is>
          <t>SCA</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23773-2023</t>
        </is>
      </c>
      <c r="B6984" s="1" t="n">
        <v>45077.94631944445</v>
      </c>
      <c r="C6984" s="1" t="n">
        <v>46045</v>
      </c>
      <c r="D6984" t="inlineStr">
        <is>
          <t>JÄMTLANDS LÄN</t>
        </is>
      </c>
      <c r="E6984" t="inlineStr">
        <is>
          <t>BRÄCKE</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62075-2025</t>
        </is>
      </c>
      <c r="B6985" s="1" t="n">
        <v>46006.36488425926</v>
      </c>
      <c r="C6985" s="1" t="n">
        <v>46045</v>
      </c>
      <c r="D6985" t="inlineStr">
        <is>
          <t>JÄMTLANDS LÄN</t>
        </is>
      </c>
      <c r="E6985" t="inlineStr">
        <is>
          <t>HÄRJEDALEN</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26172-2025</t>
        </is>
      </c>
      <c r="B6986" s="1" t="n">
        <v>45805.46613425926</v>
      </c>
      <c r="C6986" s="1" t="n">
        <v>46045</v>
      </c>
      <c r="D6986" t="inlineStr">
        <is>
          <t>JÄMTLANDS LÄN</t>
        </is>
      </c>
      <c r="E6986" t="inlineStr">
        <is>
          <t>RAGUNDA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53862-2025</t>
        </is>
      </c>
      <c r="B6987" s="1" t="n">
        <v>45961.38105324074</v>
      </c>
      <c r="C6987" s="1" t="n">
        <v>46045</v>
      </c>
      <c r="D6987" t="inlineStr">
        <is>
          <t>JÄMTLANDS LÄN</t>
        </is>
      </c>
      <c r="E6987" t="inlineStr">
        <is>
          <t>ÅRE</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26220-2025</t>
        </is>
      </c>
      <c r="B6988" s="1" t="n">
        <v>45805.55241898148</v>
      </c>
      <c r="C6988" s="1" t="n">
        <v>46045</v>
      </c>
      <c r="D6988" t="inlineStr">
        <is>
          <t>JÄMTLANDS LÄN</t>
        </is>
      </c>
      <c r="E6988" t="inlineStr">
        <is>
          <t>STRÖMSUND</t>
        </is>
      </c>
      <c r="F6988" t="inlineStr">
        <is>
          <t>SCA</t>
        </is>
      </c>
      <c r="G6988" t="n">
        <v>11.3</v>
      </c>
      <c r="H6988" t="n">
        <v>0</v>
      </c>
      <c r="I6988" t="n">
        <v>0</v>
      </c>
      <c r="J6988" t="n">
        <v>0</v>
      </c>
      <c r="K6988" t="n">
        <v>0</v>
      </c>
      <c r="L6988" t="n">
        <v>0</v>
      </c>
      <c r="M6988" t="n">
        <v>0</v>
      </c>
      <c r="N6988" t="n">
        <v>0</v>
      </c>
      <c r="O6988" t="n">
        <v>0</v>
      </c>
      <c r="P6988" t="n">
        <v>0</v>
      </c>
      <c r="Q6988" t="n">
        <v>0</v>
      </c>
      <c r="R6988" s="2" t="inlineStr"/>
    </row>
    <row r="6989" ht="15" customHeight="1">
      <c r="A6989" t="inlineStr">
        <is>
          <t>A 53400-2022</t>
        </is>
      </c>
      <c r="B6989" s="1" t="n">
        <v>44879</v>
      </c>
      <c r="C6989" s="1" t="n">
        <v>46045</v>
      </c>
      <c r="D6989" t="inlineStr">
        <is>
          <t>JÄMTLANDS LÄN</t>
        </is>
      </c>
      <c r="E6989" t="inlineStr">
        <is>
          <t>STRÖMSUND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18775-2021</t>
        </is>
      </c>
      <c r="B6990" s="1" t="n">
        <v>44307</v>
      </c>
      <c r="C6990" s="1" t="n">
        <v>46045</v>
      </c>
      <c r="D6990" t="inlineStr">
        <is>
          <t>JÄMTLANDS LÄN</t>
        </is>
      </c>
      <c r="E6990" t="inlineStr">
        <is>
          <t>STRÖMSUND</t>
        </is>
      </c>
      <c r="G6990" t="n">
        <v>39.7</v>
      </c>
      <c r="H6990" t="n">
        <v>0</v>
      </c>
      <c r="I6990" t="n">
        <v>0</v>
      </c>
      <c r="J6990" t="n">
        <v>0</v>
      </c>
      <c r="K6990" t="n">
        <v>0</v>
      </c>
      <c r="L6990" t="n">
        <v>0</v>
      </c>
      <c r="M6990" t="n">
        <v>0</v>
      </c>
      <c r="N6990" t="n">
        <v>0</v>
      </c>
      <c r="O6990" t="n">
        <v>0</v>
      </c>
      <c r="P6990" t="n">
        <v>0</v>
      </c>
      <c r="Q6990" t="n">
        <v>0</v>
      </c>
      <c r="R6990" s="2" t="inlineStr"/>
    </row>
    <row r="6991" ht="15" customHeight="1">
      <c r="A6991" t="inlineStr">
        <is>
          <t>A 29069-2023</t>
        </is>
      </c>
      <c r="B6991" s="1" t="n">
        <v>45104.94112268519</v>
      </c>
      <c r="C6991" s="1" t="n">
        <v>46045</v>
      </c>
      <c r="D6991" t="inlineStr">
        <is>
          <t>JÄMTLANDS LÄN</t>
        </is>
      </c>
      <c r="E6991" t="inlineStr">
        <is>
          <t>STRÖMSUND</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61862-2025</t>
        </is>
      </c>
      <c r="B6992" s="1" t="n">
        <v>46003.38708333333</v>
      </c>
      <c r="C6992" s="1" t="n">
        <v>46045</v>
      </c>
      <c r="D6992" t="inlineStr">
        <is>
          <t>JÄMTLANDS LÄN</t>
        </is>
      </c>
      <c r="E6992" t="inlineStr">
        <is>
          <t>BRÄCKE</t>
        </is>
      </c>
      <c r="F6992" t="inlineStr">
        <is>
          <t>SCA</t>
        </is>
      </c>
      <c r="G6992" t="n">
        <v>12.1</v>
      </c>
      <c r="H6992" t="n">
        <v>0</v>
      </c>
      <c r="I6992" t="n">
        <v>0</v>
      </c>
      <c r="J6992" t="n">
        <v>0</v>
      </c>
      <c r="K6992" t="n">
        <v>0</v>
      </c>
      <c r="L6992" t="n">
        <v>0</v>
      </c>
      <c r="M6992" t="n">
        <v>0</v>
      </c>
      <c r="N6992" t="n">
        <v>0</v>
      </c>
      <c r="O6992" t="n">
        <v>0</v>
      </c>
      <c r="P6992" t="n">
        <v>0</v>
      </c>
      <c r="Q6992" t="n">
        <v>0</v>
      </c>
      <c r="R6992" s="2" t="inlineStr"/>
    </row>
    <row r="6993" ht="15" customHeight="1">
      <c r="A6993" t="inlineStr">
        <is>
          <t>A 13590-2024</t>
        </is>
      </c>
      <c r="B6993" s="1" t="n">
        <v>45389</v>
      </c>
      <c r="C6993" s="1" t="n">
        <v>46045</v>
      </c>
      <c r="D6993" t="inlineStr">
        <is>
          <t>JÄMTLANDS LÄN</t>
        </is>
      </c>
      <c r="E6993" t="inlineStr">
        <is>
          <t>STRÖMSUND</t>
        </is>
      </c>
      <c r="F6993" t="inlineStr">
        <is>
          <t>SCA</t>
        </is>
      </c>
      <c r="G6993" t="n">
        <v>11.3</v>
      </c>
      <c r="H6993" t="n">
        <v>0</v>
      </c>
      <c r="I6993" t="n">
        <v>0</v>
      </c>
      <c r="J6993" t="n">
        <v>0</v>
      </c>
      <c r="K6993" t="n">
        <v>0</v>
      </c>
      <c r="L6993" t="n">
        <v>0</v>
      </c>
      <c r="M6993" t="n">
        <v>0</v>
      </c>
      <c r="N6993" t="n">
        <v>0</v>
      </c>
      <c r="O6993" t="n">
        <v>0</v>
      </c>
      <c r="P6993" t="n">
        <v>0</v>
      </c>
      <c r="Q6993" t="n">
        <v>0</v>
      </c>
      <c r="R6993" s="2" t="inlineStr"/>
    </row>
    <row r="6994" ht="15" customHeight="1">
      <c r="A6994" t="inlineStr">
        <is>
          <t>A 56686-2023</t>
        </is>
      </c>
      <c r="B6994" s="1" t="n">
        <v>45243.96622685185</v>
      </c>
      <c r="C6994" s="1" t="n">
        <v>46045</v>
      </c>
      <c r="D6994" t="inlineStr">
        <is>
          <t>JÄMTLANDS LÄN</t>
        </is>
      </c>
      <c r="E6994" t="inlineStr">
        <is>
          <t>BRÄCKE</t>
        </is>
      </c>
      <c r="F6994" t="inlineStr">
        <is>
          <t>SCA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61875-2025</t>
        </is>
      </c>
      <c r="B6995" s="1" t="n">
        <v>46003.4094675926</v>
      </c>
      <c r="C6995" s="1" t="n">
        <v>46045</v>
      </c>
      <c r="D6995" t="inlineStr">
        <is>
          <t>JÄMTLANDS LÄN</t>
        </is>
      </c>
      <c r="E6995" t="inlineStr">
        <is>
          <t>KROKOM</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5409-2025</t>
        </is>
      </c>
      <c r="B6996" s="1" t="n">
        <v>45692</v>
      </c>
      <c r="C6996" s="1" t="n">
        <v>46045</v>
      </c>
      <c r="D6996" t="inlineStr">
        <is>
          <t>JÄMTLANDS LÄN</t>
        </is>
      </c>
      <c r="E6996" t="inlineStr">
        <is>
          <t>KROKOM</t>
        </is>
      </c>
      <c r="F6996" t="inlineStr">
        <is>
          <t>SCA</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6024-2025</t>
        </is>
      </c>
      <c r="B6997" s="1" t="n">
        <v>45695.61160879629</v>
      </c>
      <c r="C6997" s="1" t="n">
        <v>46045</v>
      </c>
      <c r="D6997" t="inlineStr">
        <is>
          <t>JÄMTLANDS LÄN</t>
        </is>
      </c>
      <c r="E6997" t="inlineStr">
        <is>
          <t>KROKOM</t>
        </is>
      </c>
      <c r="F6997" t="inlineStr">
        <is>
          <t>Övriga Aktiebolag</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62121-2025</t>
        </is>
      </c>
      <c r="B6998" s="1" t="n">
        <v>46006.44189814815</v>
      </c>
      <c r="C6998" s="1" t="n">
        <v>46045</v>
      </c>
      <c r="D6998" t="inlineStr">
        <is>
          <t>JÄMTLANDS LÄN</t>
        </is>
      </c>
      <c r="E6998" t="inlineStr">
        <is>
          <t>STRÖMSUND</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26374-2025</t>
        </is>
      </c>
      <c r="B6999" s="1" t="n">
        <v>45806.42745370371</v>
      </c>
      <c r="C6999" s="1" t="n">
        <v>46045</v>
      </c>
      <c r="D6999" t="inlineStr">
        <is>
          <t>JÄMTLANDS LÄN</t>
        </is>
      </c>
      <c r="E6999" t="inlineStr">
        <is>
          <t>BERG</t>
        </is>
      </c>
      <c r="F6999" t="inlineStr">
        <is>
          <t>SCA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26375-2025</t>
        </is>
      </c>
      <c r="B7000" s="1" t="n">
        <v>45806.4275462963</v>
      </c>
      <c r="C7000" s="1" t="n">
        <v>46045</v>
      </c>
      <c r="D7000" t="inlineStr">
        <is>
          <t>JÄMTLANDS LÄN</t>
        </is>
      </c>
      <c r="E7000" t="inlineStr">
        <is>
          <t>STRÖMSUND</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18265-2025</t>
        </is>
      </c>
      <c r="B7001" s="1" t="n">
        <v>45762.36525462963</v>
      </c>
      <c r="C7001" s="1" t="n">
        <v>46045</v>
      </c>
      <c r="D7001" t="inlineStr">
        <is>
          <t>JÄMTLANDS LÄN</t>
        </is>
      </c>
      <c r="E7001" t="inlineStr">
        <is>
          <t>BRÄCKE</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26339-2025</t>
        </is>
      </c>
      <c r="B7002" s="1" t="n">
        <v>45805.69855324074</v>
      </c>
      <c r="C7002" s="1" t="n">
        <v>46045</v>
      </c>
      <c r="D7002" t="inlineStr">
        <is>
          <t>JÄMTLANDS LÄN</t>
        </is>
      </c>
      <c r="E7002" t="inlineStr">
        <is>
          <t>STRÖMSUND</t>
        </is>
      </c>
      <c r="F7002" t="inlineStr">
        <is>
          <t>SCA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10788-2025</t>
        </is>
      </c>
      <c r="B7003" s="1" t="n">
        <v>45722.48982638889</v>
      </c>
      <c r="C7003" s="1" t="n">
        <v>46045</v>
      </c>
      <c r="D7003" t="inlineStr">
        <is>
          <t>JÄMTLANDS LÄN</t>
        </is>
      </c>
      <c r="E7003" t="inlineStr">
        <is>
          <t>RAGUNDA</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62170-2025</t>
        </is>
      </c>
      <c r="B7004" s="1" t="n">
        <v>46006.51112268519</v>
      </c>
      <c r="C7004" s="1" t="n">
        <v>46045</v>
      </c>
      <c r="D7004" t="inlineStr">
        <is>
          <t>JÄMTLANDS LÄN</t>
        </is>
      </c>
      <c r="E7004" t="inlineStr">
        <is>
          <t>HÄRJEDALEN</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62171-2025</t>
        </is>
      </c>
      <c r="B7005" s="1" t="n">
        <v>46006.51116898148</v>
      </c>
      <c r="C7005" s="1" t="n">
        <v>46045</v>
      </c>
      <c r="D7005" t="inlineStr">
        <is>
          <t>JÄMTLANDS LÄN</t>
        </is>
      </c>
      <c r="E7005" t="inlineStr">
        <is>
          <t>HÄRJEDALEN</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8676-2023</t>
        </is>
      </c>
      <c r="B7006" s="1" t="n">
        <v>44977.98641203704</v>
      </c>
      <c r="C7006" s="1" t="n">
        <v>46045</v>
      </c>
      <c r="D7006" t="inlineStr">
        <is>
          <t>JÄMTLANDS LÄN</t>
        </is>
      </c>
      <c r="E7006" t="inlineStr">
        <is>
          <t>STRÖMSUND</t>
        </is>
      </c>
      <c r="F7006" t="inlineStr">
        <is>
          <t>SCA</t>
        </is>
      </c>
      <c r="G7006" t="n">
        <v>16.5</v>
      </c>
      <c r="H7006" t="n">
        <v>0</v>
      </c>
      <c r="I7006" t="n">
        <v>0</v>
      </c>
      <c r="J7006" t="n">
        <v>0</v>
      </c>
      <c r="K7006" t="n">
        <v>0</v>
      </c>
      <c r="L7006" t="n">
        <v>0</v>
      </c>
      <c r="M7006" t="n">
        <v>0</v>
      </c>
      <c r="N7006" t="n">
        <v>0</v>
      </c>
      <c r="O7006" t="n">
        <v>0</v>
      </c>
      <c r="P7006" t="n">
        <v>0</v>
      </c>
      <c r="Q7006" t="n">
        <v>0</v>
      </c>
      <c r="R7006" s="2" t="inlineStr"/>
    </row>
    <row r="7007" ht="15" customHeight="1">
      <c r="A7007" t="inlineStr">
        <is>
          <t>A 13776-2025</t>
        </is>
      </c>
      <c r="B7007" s="1" t="n">
        <v>45736</v>
      </c>
      <c r="C7007" s="1" t="n">
        <v>46045</v>
      </c>
      <c r="D7007" t="inlineStr">
        <is>
          <t>JÄMTLANDS LÄN</t>
        </is>
      </c>
      <c r="E7007" t="inlineStr">
        <is>
          <t>STRÖMSUND</t>
        </is>
      </c>
      <c r="G7007" t="n">
        <v>10.9</v>
      </c>
      <c r="H7007" t="n">
        <v>0</v>
      </c>
      <c r="I7007" t="n">
        <v>0</v>
      </c>
      <c r="J7007" t="n">
        <v>0</v>
      </c>
      <c r="K7007" t="n">
        <v>0</v>
      </c>
      <c r="L7007" t="n">
        <v>0</v>
      </c>
      <c r="M7007" t="n">
        <v>0</v>
      </c>
      <c r="N7007" t="n">
        <v>0</v>
      </c>
      <c r="O7007" t="n">
        <v>0</v>
      </c>
      <c r="P7007" t="n">
        <v>0</v>
      </c>
      <c r="Q7007" t="n">
        <v>0</v>
      </c>
      <c r="R7007" s="2" t="inlineStr"/>
    </row>
    <row r="7008" ht="15" customHeight="1">
      <c r="A7008" t="inlineStr">
        <is>
          <t>A 4132-2025</t>
        </is>
      </c>
      <c r="B7008" s="1" t="n">
        <v>45685.34538194445</v>
      </c>
      <c r="C7008" s="1" t="n">
        <v>46045</v>
      </c>
      <c r="D7008" t="inlineStr">
        <is>
          <t>JÄMTLANDS LÄN</t>
        </is>
      </c>
      <c r="E7008" t="inlineStr">
        <is>
          <t>BRÄCKE</t>
        </is>
      </c>
      <c r="F7008" t="inlineStr">
        <is>
          <t>SCA</t>
        </is>
      </c>
      <c r="G7008" t="n">
        <v>6.6</v>
      </c>
      <c r="H7008" t="n">
        <v>0</v>
      </c>
      <c r="I7008" t="n">
        <v>0</v>
      </c>
      <c r="J7008" t="n">
        <v>0</v>
      </c>
      <c r="K7008" t="n">
        <v>0</v>
      </c>
      <c r="L7008" t="n">
        <v>0</v>
      </c>
      <c r="M7008" t="n">
        <v>0</v>
      </c>
      <c r="N7008" t="n">
        <v>0</v>
      </c>
      <c r="O7008" t="n">
        <v>0</v>
      </c>
      <c r="P7008" t="n">
        <v>0</v>
      </c>
      <c r="Q7008" t="n">
        <v>0</v>
      </c>
      <c r="R7008" s="2" t="inlineStr"/>
    </row>
    <row r="7009" ht="15" customHeight="1">
      <c r="A7009" t="inlineStr">
        <is>
          <t>A 7744-2025</t>
        </is>
      </c>
      <c r="B7009" s="1" t="n">
        <v>45706</v>
      </c>
      <c r="C7009" s="1" t="n">
        <v>46045</v>
      </c>
      <c r="D7009" t="inlineStr">
        <is>
          <t>JÄMTLANDS LÄN</t>
        </is>
      </c>
      <c r="E7009" t="inlineStr">
        <is>
          <t>HÄRJEDALEN</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54009-2025</t>
        </is>
      </c>
      <c r="B7010" s="1" t="n">
        <v>45961.61516203704</v>
      </c>
      <c r="C7010" s="1" t="n">
        <v>46045</v>
      </c>
      <c r="D7010" t="inlineStr">
        <is>
          <t>JÄMTLANDS LÄN</t>
        </is>
      </c>
      <c r="E7010" t="inlineStr">
        <is>
          <t>BRÄCKE</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5135-2025</t>
        </is>
      </c>
      <c r="B7011" s="1" t="n">
        <v>45691</v>
      </c>
      <c r="C7011" s="1" t="n">
        <v>46045</v>
      </c>
      <c r="D7011" t="inlineStr">
        <is>
          <t>JÄMTLANDS LÄN</t>
        </is>
      </c>
      <c r="E7011" t="inlineStr">
        <is>
          <t>ÖSTERSUND</t>
        </is>
      </c>
      <c r="F7011" t="inlineStr">
        <is>
          <t>Övriga Aktiebolag</t>
        </is>
      </c>
      <c r="G7011" t="n">
        <v>126.9</v>
      </c>
      <c r="H7011" t="n">
        <v>0</v>
      </c>
      <c r="I7011" t="n">
        <v>0</v>
      </c>
      <c r="J7011" t="n">
        <v>0</v>
      </c>
      <c r="K7011" t="n">
        <v>0</v>
      </c>
      <c r="L7011" t="n">
        <v>0</v>
      </c>
      <c r="M7011" t="n">
        <v>0</v>
      </c>
      <c r="N7011" t="n">
        <v>0</v>
      </c>
      <c r="O7011" t="n">
        <v>0</v>
      </c>
      <c r="P7011" t="n">
        <v>0</v>
      </c>
      <c r="Q7011" t="n">
        <v>0</v>
      </c>
      <c r="R7011" s="2" t="inlineStr"/>
    </row>
    <row r="7012" ht="15" customHeight="1">
      <c r="A7012" t="inlineStr">
        <is>
          <t>A 54067-2025</t>
        </is>
      </c>
      <c r="B7012" s="1" t="n">
        <v>45964.3443287037</v>
      </c>
      <c r="C7012" s="1" t="n">
        <v>46045</v>
      </c>
      <c r="D7012" t="inlineStr">
        <is>
          <t>JÄMTLANDS LÄN</t>
        </is>
      </c>
      <c r="E7012" t="inlineStr">
        <is>
          <t>STRÖMSUND</t>
        </is>
      </c>
      <c r="F7012" t="inlineStr">
        <is>
          <t>SCA</t>
        </is>
      </c>
      <c r="G7012" t="n">
        <v>9</v>
      </c>
      <c r="H7012" t="n">
        <v>0</v>
      </c>
      <c r="I7012" t="n">
        <v>0</v>
      </c>
      <c r="J7012" t="n">
        <v>0</v>
      </c>
      <c r="K7012" t="n">
        <v>0</v>
      </c>
      <c r="L7012" t="n">
        <v>0</v>
      </c>
      <c r="M7012" t="n">
        <v>0</v>
      </c>
      <c r="N7012" t="n">
        <v>0</v>
      </c>
      <c r="O7012" t="n">
        <v>0</v>
      </c>
      <c r="P7012" t="n">
        <v>0</v>
      </c>
      <c r="Q7012" t="n">
        <v>0</v>
      </c>
      <c r="R7012" s="2" t="inlineStr"/>
    </row>
    <row r="7013" ht="15" customHeight="1">
      <c r="A7013" t="inlineStr">
        <is>
          <t>A 61827-2025</t>
        </is>
      </c>
      <c r="B7013" s="1" t="n">
        <v>46003.33991898148</v>
      </c>
      <c r="C7013" s="1" t="n">
        <v>46045</v>
      </c>
      <c r="D7013" t="inlineStr">
        <is>
          <t>JÄMTLANDS LÄN</t>
        </is>
      </c>
      <c r="E7013" t="inlineStr">
        <is>
          <t>BRÄCKE</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6879-2025</t>
        </is>
      </c>
      <c r="B7014" s="1" t="n">
        <v>45701.34490740741</v>
      </c>
      <c r="C7014" s="1" t="n">
        <v>46045</v>
      </c>
      <c r="D7014" t="inlineStr">
        <is>
          <t>JÄMTLANDS LÄN</t>
        </is>
      </c>
      <c r="E7014" t="inlineStr">
        <is>
          <t>STRÖMSUND</t>
        </is>
      </c>
      <c r="F7014" t="inlineStr">
        <is>
          <t>SCA</t>
        </is>
      </c>
      <c r="G7014" t="n">
        <v>21.3</v>
      </c>
      <c r="H7014" t="n">
        <v>0</v>
      </c>
      <c r="I7014" t="n">
        <v>0</v>
      </c>
      <c r="J7014" t="n">
        <v>0</v>
      </c>
      <c r="K7014" t="n">
        <v>0</v>
      </c>
      <c r="L7014" t="n">
        <v>0</v>
      </c>
      <c r="M7014" t="n">
        <v>0</v>
      </c>
      <c r="N7014" t="n">
        <v>0</v>
      </c>
      <c r="O7014" t="n">
        <v>0</v>
      </c>
      <c r="P7014" t="n">
        <v>0</v>
      </c>
      <c r="Q7014" t="n">
        <v>0</v>
      </c>
      <c r="R7014" s="2" t="inlineStr"/>
    </row>
    <row r="7015" ht="15" customHeight="1">
      <c r="A7015" t="inlineStr">
        <is>
          <t>A 26246-2025</t>
        </is>
      </c>
      <c r="B7015" s="1" t="n">
        <v>45805.57390046296</v>
      </c>
      <c r="C7015" s="1" t="n">
        <v>46045</v>
      </c>
      <c r="D7015" t="inlineStr">
        <is>
          <t>JÄMTLANDS LÄN</t>
        </is>
      </c>
      <c r="E7015" t="inlineStr">
        <is>
          <t>RAGUNDA</t>
        </is>
      </c>
      <c r="F7015" t="inlineStr">
        <is>
          <t>SCA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62265-2025</t>
        </is>
      </c>
      <c r="B7016" s="1" t="n">
        <v>46006.61657407408</v>
      </c>
      <c r="C7016" s="1" t="n">
        <v>46045</v>
      </c>
      <c r="D7016" t="inlineStr">
        <is>
          <t>JÄMTLANDS LÄN</t>
        </is>
      </c>
      <c r="E7016" t="inlineStr">
        <is>
          <t>BRÄCKE</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26186-2025</t>
        </is>
      </c>
      <c r="B7017" s="1" t="n">
        <v>45805.47840277778</v>
      </c>
      <c r="C7017" s="1" t="n">
        <v>46045</v>
      </c>
      <c r="D7017" t="inlineStr">
        <is>
          <t>JÄMTLANDS LÄN</t>
        </is>
      </c>
      <c r="E7017" t="inlineStr">
        <is>
          <t>BERG</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41069-2022</t>
        </is>
      </c>
      <c r="B7018" s="1" t="n">
        <v>44825.60015046296</v>
      </c>
      <c r="C7018" s="1" t="n">
        <v>46045</v>
      </c>
      <c r="D7018" t="inlineStr">
        <is>
          <t>JÄMTLANDS LÄN</t>
        </is>
      </c>
      <c r="E7018" t="inlineStr">
        <is>
          <t>BERG</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34179-2024</t>
        </is>
      </c>
      <c r="B7019" s="1" t="n">
        <v>45524.44645833333</v>
      </c>
      <c r="C7019" s="1" t="n">
        <v>46045</v>
      </c>
      <c r="D7019" t="inlineStr">
        <is>
          <t>JÄMTLANDS LÄN</t>
        </is>
      </c>
      <c r="E7019" t="inlineStr">
        <is>
          <t>STRÖMSUND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61136-2023</t>
        </is>
      </c>
      <c r="B7020" s="1" t="n">
        <v>45261.92803240741</v>
      </c>
      <c r="C7020" s="1" t="n">
        <v>46045</v>
      </c>
      <c r="D7020" t="inlineStr">
        <is>
          <t>JÄMTLANDS LÄN</t>
        </is>
      </c>
      <c r="E7020" t="inlineStr">
        <is>
          <t>STRÖMSUND</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54211-2025</t>
        </is>
      </c>
      <c r="B7021" s="1" t="n">
        <v>45964.59214120371</v>
      </c>
      <c r="C7021" s="1" t="n">
        <v>46045</v>
      </c>
      <c r="D7021" t="inlineStr">
        <is>
          <t>JÄMTLANDS LÄN</t>
        </is>
      </c>
      <c r="E7021" t="inlineStr">
        <is>
          <t>ÅRE</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54257-2025</t>
        </is>
      </c>
      <c r="B7022" s="1" t="n">
        <v>45964.65732638889</v>
      </c>
      <c r="C7022" s="1" t="n">
        <v>46045</v>
      </c>
      <c r="D7022" t="inlineStr">
        <is>
          <t>JÄMTLANDS LÄN</t>
        </is>
      </c>
      <c r="E7022" t="inlineStr">
        <is>
          <t>BRÄCKE</t>
        </is>
      </c>
      <c r="F7022" t="inlineStr">
        <is>
          <t>SCA</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2001-2025</t>
        </is>
      </c>
      <c r="B7023" s="1" t="n">
        <v>45672.44898148148</v>
      </c>
      <c r="C7023" s="1" t="n">
        <v>46045</v>
      </c>
      <c r="D7023" t="inlineStr">
        <is>
          <t>JÄMTLANDS LÄN</t>
        </is>
      </c>
      <c r="E7023" t="inlineStr">
        <is>
          <t>RAGUNDA</t>
        </is>
      </c>
      <c r="F7023" t="inlineStr">
        <is>
          <t>SCA</t>
        </is>
      </c>
      <c r="G7023" t="n">
        <v>16.2</v>
      </c>
      <c r="H7023" t="n">
        <v>0</v>
      </c>
      <c r="I7023" t="n">
        <v>0</v>
      </c>
      <c r="J7023" t="n">
        <v>0</v>
      </c>
      <c r="K7023" t="n">
        <v>0</v>
      </c>
      <c r="L7023" t="n">
        <v>0</v>
      </c>
      <c r="M7023" t="n">
        <v>0</v>
      </c>
      <c r="N7023" t="n">
        <v>0</v>
      </c>
      <c r="O7023" t="n">
        <v>0</v>
      </c>
      <c r="P7023" t="n">
        <v>0</v>
      </c>
      <c r="Q7023" t="n">
        <v>0</v>
      </c>
      <c r="R7023" s="2" t="inlineStr"/>
    </row>
    <row r="7024" ht="15" customHeight="1">
      <c r="A7024" t="inlineStr">
        <is>
          <t>A 34181-2025</t>
        </is>
      </c>
      <c r="B7024" s="1" t="n">
        <v>45845</v>
      </c>
      <c r="C7024" s="1" t="n">
        <v>46045</v>
      </c>
      <c r="D7024" t="inlineStr">
        <is>
          <t>JÄMTLANDS LÄN</t>
        </is>
      </c>
      <c r="E7024" t="inlineStr">
        <is>
          <t>HÄRJEDALEN</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62011-2025</t>
        </is>
      </c>
      <c r="B7025" s="1" t="n">
        <v>46003.67744212963</v>
      </c>
      <c r="C7025" s="1" t="n">
        <v>46045</v>
      </c>
      <c r="D7025" t="inlineStr">
        <is>
          <t>JÄMTLANDS LÄN</t>
        </is>
      </c>
      <c r="E7025" t="inlineStr">
        <is>
          <t>STRÖMSUND</t>
        </is>
      </c>
      <c r="F7025" t="inlineStr">
        <is>
          <t>SCA</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61987-2025</t>
        </is>
      </c>
      <c r="B7026" s="1" t="n">
        <v>46003.62914351852</v>
      </c>
      <c r="C7026" s="1" t="n">
        <v>46045</v>
      </c>
      <c r="D7026" t="inlineStr">
        <is>
          <t>JÄMTLANDS LÄN</t>
        </is>
      </c>
      <c r="E7026" t="inlineStr">
        <is>
          <t>BERG</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62000-2025</t>
        </is>
      </c>
      <c r="B7027" s="1" t="n">
        <v>46003</v>
      </c>
      <c r="C7027" s="1" t="n">
        <v>46045</v>
      </c>
      <c r="D7027" t="inlineStr">
        <is>
          <t>JÄMTLANDS LÄN</t>
        </is>
      </c>
      <c r="E7027" t="inlineStr">
        <is>
          <t>KROKOM</t>
        </is>
      </c>
      <c r="G7027" t="n">
        <v>11.2</v>
      </c>
      <c r="H7027" t="n">
        <v>0</v>
      </c>
      <c r="I7027" t="n">
        <v>0</v>
      </c>
      <c r="J7027" t="n">
        <v>0</v>
      </c>
      <c r="K7027" t="n">
        <v>0</v>
      </c>
      <c r="L7027" t="n">
        <v>0</v>
      </c>
      <c r="M7027" t="n">
        <v>0</v>
      </c>
      <c r="N7027" t="n">
        <v>0</v>
      </c>
      <c r="O7027" t="n">
        <v>0</v>
      </c>
      <c r="P7027" t="n">
        <v>0</v>
      </c>
      <c r="Q7027" t="n">
        <v>0</v>
      </c>
      <c r="R7027" s="2" t="inlineStr"/>
    </row>
    <row r="7028" ht="15" customHeight="1">
      <c r="A7028" t="inlineStr">
        <is>
          <t>A 61982-2025</t>
        </is>
      </c>
      <c r="B7028" s="1" t="n">
        <v>46003.6159375</v>
      </c>
      <c r="C7028" s="1" t="n">
        <v>46045</v>
      </c>
      <c r="D7028" t="inlineStr">
        <is>
          <t>JÄMTLANDS LÄN</t>
        </is>
      </c>
      <c r="E7028" t="inlineStr">
        <is>
          <t>ÖSTERSUND</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62236-2025</t>
        </is>
      </c>
      <c r="B7029" s="1" t="n">
        <v>46006.59461805555</v>
      </c>
      <c r="C7029" s="1" t="n">
        <v>46045</v>
      </c>
      <c r="D7029" t="inlineStr">
        <is>
          <t>JÄMTLANDS LÄN</t>
        </is>
      </c>
      <c r="E7029" t="inlineStr">
        <is>
          <t>BRÄCKE</t>
        </is>
      </c>
      <c r="F7029" t="inlineStr">
        <is>
          <t>SCA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61903-2025</t>
        </is>
      </c>
      <c r="B7030" s="1" t="n">
        <v>46003.46973379629</v>
      </c>
      <c r="C7030" s="1" t="n">
        <v>46045</v>
      </c>
      <c r="D7030" t="inlineStr">
        <is>
          <t>JÄMTLANDS LÄN</t>
        </is>
      </c>
      <c r="E7030" t="inlineStr">
        <is>
          <t>BRÄCKE</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61944-2025</t>
        </is>
      </c>
      <c r="B7031" s="1" t="n">
        <v>46003.56467592593</v>
      </c>
      <c r="C7031" s="1" t="n">
        <v>46045</v>
      </c>
      <c r="D7031" t="inlineStr">
        <is>
          <t>JÄMTLANDS LÄN</t>
        </is>
      </c>
      <c r="E7031" t="inlineStr">
        <is>
          <t>ÖSTERSUND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39510-2024</t>
        </is>
      </c>
      <c r="B7032" s="1" t="n">
        <v>45551.67761574074</v>
      </c>
      <c r="C7032" s="1" t="n">
        <v>46045</v>
      </c>
      <c r="D7032" t="inlineStr">
        <is>
          <t>JÄMTLANDS LÄN</t>
        </is>
      </c>
      <c r="E7032" t="inlineStr">
        <is>
          <t>ÖSTERSUND</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61977-2025</t>
        </is>
      </c>
      <c r="B7033" s="1" t="n">
        <v>46003.61158564815</v>
      </c>
      <c r="C7033" s="1" t="n">
        <v>46045</v>
      </c>
      <c r="D7033" t="inlineStr">
        <is>
          <t>JÄMTLANDS LÄN</t>
        </is>
      </c>
      <c r="E7033" t="inlineStr">
        <is>
          <t>BERG</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61985-2025</t>
        </is>
      </c>
      <c r="B7034" s="1" t="n">
        <v>46003.62509259259</v>
      </c>
      <c r="C7034" s="1" t="n">
        <v>46045</v>
      </c>
      <c r="D7034" t="inlineStr">
        <is>
          <t>JÄMTLANDS LÄN</t>
        </is>
      </c>
      <c r="E7034" t="inlineStr">
        <is>
          <t>ÖSTERSUND</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61991-2025</t>
        </is>
      </c>
      <c r="B7035" s="1" t="n">
        <v>46003.62962962963</v>
      </c>
      <c r="C7035" s="1" t="n">
        <v>46045</v>
      </c>
      <c r="D7035" t="inlineStr">
        <is>
          <t>JÄMTLANDS LÄN</t>
        </is>
      </c>
      <c r="E7035" t="inlineStr">
        <is>
          <t>BERG</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53859-2025</t>
        </is>
      </c>
      <c r="B7036" s="1" t="n">
        <v>45961</v>
      </c>
      <c r="C7036" s="1" t="n">
        <v>46045</v>
      </c>
      <c r="D7036" t="inlineStr">
        <is>
          <t>JÄMTLANDS LÄN</t>
        </is>
      </c>
      <c r="E7036" t="inlineStr">
        <is>
          <t>BERG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53868-2025</t>
        </is>
      </c>
      <c r="B7037" s="1" t="n">
        <v>45961.38594907407</v>
      </c>
      <c r="C7037" s="1" t="n">
        <v>46045</v>
      </c>
      <c r="D7037" t="inlineStr">
        <is>
          <t>JÄMTLANDS LÄN</t>
        </is>
      </c>
      <c r="E7037" t="inlineStr">
        <is>
          <t>BRÄCKE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53873-2025</t>
        </is>
      </c>
      <c r="B7038" s="1" t="n">
        <v>45961.39340277778</v>
      </c>
      <c r="C7038" s="1" t="n">
        <v>46045</v>
      </c>
      <c r="D7038" t="inlineStr">
        <is>
          <t>JÄMTLANDS LÄN</t>
        </is>
      </c>
      <c r="E7038" t="inlineStr">
        <is>
          <t>ÅRE</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10927-2025</t>
        </is>
      </c>
      <c r="B7039" s="1" t="n">
        <v>45722.870625</v>
      </c>
      <c r="C7039" s="1" t="n">
        <v>46045</v>
      </c>
      <c r="D7039" t="inlineStr">
        <is>
          <t>JÄMTLANDS LÄN</t>
        </is>
      </c>
      <c r="E7039" t="inlineStr">
        <is>
          <t>STRÖMSUND</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54131-2025</t>
        </is>
      </c>
      <c r="B7040" s="1" t="n">
        <v>45964.46167824074</v>
      </c>
      <c r="C7040" s="1" t="n">
        <v>46045</v>
      </c>
      <c r="D7040" t="inlineStr">
        <is>
          <t>JÄMTLANDS LÄN</t>
        </is>
      </c>
      <c r="E7040" t="inlineStr">
        <is>
          <t>ÅRE</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54133-2025</t>
        </is>
      </c>
      <c r="B7041" s="1" t="n">
        <v>45964.46944444445</v>
      </c>
      <c r="C7041" s="1" t="n">
        <v>46045</v>
      </c>
      <c r="D7041" t="inlineStr">
        <is>
          <t>JÄMTLANDS LÄN</t>
        </is>
      </c>
      <c r="E7041" t="inlineStr">
        <is>
          <t>ÖSTERSUND</t>
        </is>
      </c>
      <c r="F7041" t="inlineStr">
        <is>
          <t>SCA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54136-2025</t>
        </is>
      </c>
      <c r="B7042" s="1" t="n">
        <v>45964.47177083333</v>
      </c>
      <c r="C7042" s="1" t="n">
        <v>46045</v>
      </c>
      <c r="D7042" t="inlineStr">
        <is>
          <t>JÄMTLANDS LÄN</t>
        </is>
      </c>
      <c r="E7042" t="inlineStr">
        <is>
          <t>ÅRE</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54139-2025</t>
        </is>
      </c>
      <c r="B7043" s="1" t="n">
        <v>45964.47564814815</v>
      </c>
      <c r="C7043" s="1" t="n">
        <v>46045</v>
      </c>
      <c r="D7043" t="inlineStr">
        <is>
          <t>JÄMTLANDS LÄN</t>
        </is>
      </c>
      <c r="E7043" t="inlineStr">
        <is>
          <t>ÅRE</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53992-2025</t>
        </is>
      </c>
      <c r="B7044" s="1" t="n">
        <v>45961.58226851852</v>
      </c>
      <c r="C7044" s="1" t="n">
        <v>46045</v>
      </c>
      <c r="D7044" t="inlineStr">
        <is>
          <t>JÄMTLANDS LÄN</t>
        </is>
      </c>
      <c r="E7044" t="inlineStr">
        <is>
          <t>HÄRJEDALEN</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26551-2025</t>
        </is>
      </c>
      <c r="B7045" s="1" t="n">
        <v>45807.60333333333</v>
      </c>
      <c r="C7045" s="1" t="n">
        <v>46045</v>
      </c>
      <c r="D7045" t="inlineStr">
        <is>
          <t>JÄMTLANDS LÄN</t>
        </is>
      </c>
      <c r="E7045" t="inlineStr">
        <is>
          <t>HÄRJEDALEN</t>
        </is>
      </c>
      <c r="F7045" t="inlineStr">
        <is>
          <t>Holmen skog AB</t>
        </is>
      </c>
      <c r="G7045" t="n">
        <v>12.3</v>
      </c>
      <c r="H7045" t="n">
        <v>0</v>
      </c>
      <c r="I7045" t="n">
        <v>0</v>
      </c>
      <c r="J7045" t="n">
        <v>0</v>
      </c>
      <c r="K7045" t="n">
        <v>0</v>
      </c>
      <c r="L7045" t="n">
        <v>0</v>
      </c>
      <c r="M7045" t="n">
        <v>0</v>
      </c>
      <c r="N7045" t="n">
        <v>0</v>
      </c>
      <c r="O7045" t="n">
        <v>0</v>
      </c>
      <c r="P7045" t="n">
        <v>0</v>
      </c>
      <c r="Q7045" t="n">
        <v>0</v>
      </c>
      <c r="R7045" s="2" t="inlineStr"/>
    </row>
    <row r="7046" ht="15" customHeight="1">
      <c r="A7046" t="inlineStr">
        <is>
          <t>A 54007-2025</t>
        </is>
      </c>
      <c r="B7046" s="1" t="n">
        <v>45961.61497685185</v>
      </c>
      <c r="C7046" s="1" t="n">
        <v>46045</v>
      </c>
      <c r="D7046" t="inlineStr">
        <is>
          <t>JÄMTLANDS LÄN</t>
        </is>
      </c>
      <c r="E7046" t="inlineStr">
        <is>
          <t>BRÄCKE</t>
        </is>
      </c>
      <c r="F7046" t="inlineStr">
        <is>
          <t>SCA</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10064-2024</t>
        </is>
      </c>
      <c r="B7047" s="1" t="n">
        <v>45364.3874074074</v>
      </c>
      <c r="C7047" s="1" t="n">
        <v>46045</v>
      </c>
      <c r="D7047" t="inlineStr">
        <is>
          <t>JÄMTLANDS LÄN</t>
        </is>
      </c>
      <c r="E7047" t="inlineStr">
        <is>
          <t>ÖSTERSUND</t>
        </is>
      </c>
      <c r="G7047" t="n">
        <v>13.9</v>
      </c>
      <c r="H7047" t="n">
        <v>0</v>
      </c>
      <c r="I7047" t="n">
        <v>0</v>
      </c>
      <c r="J7047" t="n">
        <v>0</v>
      </c>
      <c r="K7047" t="n">
        <v>0</v>
      </c>
      <c r="L7047" t="n">
        <v>0</v>
      </c>
      <c r="M7047" t="n">
        <v>0</v>
      </c>
      <c r="N7047" t="n">
        <v>0</v>
      </c>
      <c r="O7047" t="n">
        <v>0</v>
      </c>
      <c r="P7047" t="n">
        <v>0</v>
      </c>
      <c r="Q7047" t="n">
        <v>0</v>
      </c>
      <c r="R7047" s="2" t="inlineStr"/>
    </row>
    <row r="7048" ht="15" customHeight="1">
      <c r="A7048" t="inlineStr">
        <is>
          <t>A 17435-2024</t>
        </is>
      </c>
      <c r="B7048" s="1" t="n">
        <v>45415.33664351852</v>
      </c>
      <c r="C7048" s="1" t="n">
        <v>46045</v>
      </c>
      <c r="D7048" t="inlineStr">
        <is>
          <t>JÄMTLANDS LÄN</t>
        </is>
      </c>
      <c r="E7048" t="inlineStr">
        <is>
          <t>STRÖMSUND</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3610-2024</t>
        </is>
      </c>
      <c r="B7049" s="1" t="n">
        <v>45320.92060185185</v>
      </c>
      <c r="C7049" s="1" t="n">
        <v>46045</v>
      </c>
      <c r="D7049" t="inlineStr">
        <is>
          <t>JÄMTLANDS LÄN</t>
        </is>
      </c>
      <c r="E7049" t="inlineStr">
        <is>
          <t>ÖSTERSUND</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26543-2025</t>
        </is>
      </c>
      <c r="B7050" s="1" t="n">
        <v>45807.58868055556</v>
      </c>
      <c r="C7050" s="1" t="n">
        <v>46045</v>
      </c>
      <c r="D7050" t="inlineStr">
        <is>
          <t>JÄMTLANDS LÄN</t>
        </is>
      </c>
      <c r="E7050" t="inlineStr">
        <is>
          <t>HÄRJEDALEN</t>
        </is>
      </c>
      <c r="F7050" t="inlineStr">
        <is>
          <t>Holmen skog AB</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33962-2024</t>
        </is>
      </c>
      <c r="B7051" s="1" t="n">
        <v>45523.48854166667</v>
      </c>
      <c r="C7051" s="1" t="n">
        <v>46045</v>
      </c>
      <c r="D7051" t="inlineStr">
        <is>
          <t>JÄMTLANDS LÄN</t>
        </is>
      </c>
      <c r="E7051" t="inlineStr">
        <is>
          <t>BERG</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62175-2025</t>
        </is>
      </c>
      <c r="B7052" s="1" t="n">
        <v>46006.51155092593</v>
      </c>
      <c r="C7052" s="1" t="n">
        <v>46045</v>
      </c>
      <c r="D7052" t="inlineStr">
        <is>
          <t>JÄMTLANDS LÄN</t>
        </is>
      </c>
      <c r="E7052" t="inlineStr">
        <is>
          <t>ÖSTERSUND</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14368-2025</t>
        </is>
      </c>
      <c r="B7053" s="1" t="n">
        <v>45741.39084490741</v>
      </c>
      <c r="C7053" s="1" t="n">
        <v>46045</v>
      </c>
      <c r="D7053" t="inlineStr">
        <is>
          <t>JÄMTLANDS LÄN</t>
        </is>
      </c>
      <c r="E7053" t="inlineStr">
        <is>
          <t>HÄRJEDALEN</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26548-2025</t>
        </is>
      </c>
      <c r="B7054" s="1" t="n">
        <v>45807.59407407408</v>
      </c>
      <c r="C7054" s="1" t="n">
        <v>46045</v>
      </c>
      <c r="D7054" t="inlineStr">
        <is>
          <t>JÄMTLANDS LÄN</t>
        </is>
      </c>
      <c r="E7054" t="inlineStr">
        <is>
          <t>HÄRJEDALEN</t>
        </is>
      </c>
      <c r="F7054" t="inlineStr">
        <is>
          <t>Holmen skog AB</t>
        </is>
      </c>
      <c r="G7054" t="n">
        <v>10.5</v>
      </c>
      <c r="H7054" t="n">
        <v>0</v>
      </c>
      <c r="I7054" t="n">
        <v>0</v>
      </c>
      <c r="J7054" t="n">
        <v>0</v>
      </c>
      <c r="K7054" t="n">
        <v>0</v>
      </c>
      <c r="L7054" t="n">
        <v>0</v>
      </c>
      <c r="M7054" t="n">
        <v>0</v>
      </c>
      <c r="N7054" t="n">
        <v>0</v>
      </c>
      <c r="O7054" t="n">
        <v>0</v>
      </c>
      <c r="P7054" t="n">
        <v>0</v>
      </c>
      <c r="Q7054" t="n">
        <v>0</v>
      </c>
      <c r="R7054" s="2" t="inlineStr"/>
    </row>
    <row r="7055" ht="15" customHeight="1">
      <c r="A7055" t="inlineStr">
        <is>
          <t>A 26443-2025</t>
        </is>
      </c>
      <c r="B7055" s="1" t="n">
        <v>45807.41287037037</v>
      </c>
      <c r="C7055" s="1" t="n">
        <v>46045</v>
      </c>
      <c r="D7055" t="inlineStr">
        <is>
          <t>JÄMTLANDS LÄN</t>
        </is>
      </c>
      <c r="E7055" t="inlineStr">
        <is>
          <t>HÄRJEDALEN</t>
        </is>
      </c>
      <c r="F7055" t="inlineStr">
        <is>
          <t>Holmen skog AB</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26451-2025</t>
        </is>
      </c>
      <c r="B7056" s="1" t="n">
        <v>45807.42212962963</v>
      </c>
      <c r="C7056" s="1" t="n">
        <v>46045</v>
      </c>
      <c r="D7056" t="inlineStr">
        <is>
          <t>JÄMTLANDS LÄN</t>
        </is>
      </c>
      <c r="E7056" t="inlineStr">
        <is>
          <t>HÄRJEDALEN</t>
        </is>
      </c>
      <c r="F7056" t="inlineStr">
        <is>
          <t>Holmen skog AB</t>
        </is>
      </c>
      <c r="G7056" t="n">
        <v>9.800000000000001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62022-2025</t>
        </is>
      </c>
      <c r="B7057" s="1" t="n">
        <v>46003.69835648148</v>
      </c>
      <c r="C7057" s="1" t="n">
        <v>46045</v>
      </c>
      <c r="D7057" t="inlineStr">
        <is>
          <t>JÄMTLANDS LÄN</t>
        </is>
      </c>
      <c r="E7057" t="inlineStr">
        <is>
          <t>BRÄCKE</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62063-2025</t>
        </is>
      </c>
      <c r="B7058" s="1" t="n">
        <v>46006.34462962963</v>
      </c>
      <c r="C7058" s="1" t="n">
        <v>46045</v>
      </c>
      <c r="D7058" t="inlineStr">
        <is>
          <t>JÄMTLANDS LÄN</t>
        </is>
      </c>
      <c r="E7058" t="inlineStr">
        <is>
          <t>BRÄCKE</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26468-2025</t>
        </is>
      </c>
      <c r="B7059" s="1" t="n">
        <v>45807.45288194445</v>
      </c>
      <c r="C7059" s="1" t="n">
        <v>46045</v>
      </c>
      <c r="D7059" t="inlineStr">
        <is>
          <t>JÄMTLANDS LÄN</t>
        </is>
      </c>
      <c r="E7059" t="inlineStr">
        <is>
          <t>HÄRJEDALEN</t>
        </is>
      </c>
      <c r="F7059" t="inlineStr">
        <is>
          <t>Holmen skog AB</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21358-2023</t>
        </is>
      </c>
      <c r="B7060" s="1" t="n">
        <v>45062.93969907407</v>
      </c>
      <c r="C7060" s="1" t="n">
        <v>46045</v>
      </c>
      <c r="D7060" t="inlineStr">
        <is>
          <t>JÄMTLANDS LÄN</t>
        </is>
      </c>
      <c r="E7060" t="inlineStr">
        <is>
          <t>STRÖMSUND</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53829-2025</t>
        </is>
      </c>
      <c r="B7061" s="1" t="n">
        <v>45961.34475694445</v>
      </c>
      <c r="C7061" s="1" t="n">
        <v>46045</v>
      </c>
      <c r="D7061" t="inlineStr">
        <is>
          <t>JÄMTLANDS LÄN</t>
        </is>
      </c>
      <c r="E7061" t="inlineStr">
        <is>
          <t>BRÄCKE</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26495-2025</t>
        </is>
      </c>
      <c r="B7062" s="1" t="n">
        <v>45807.49436342593</v>
      </c>
      <c r="C7062" s="1" t="n">
        <v>46045</v>
      </c>
      <c r="D7062" t="inlineStr">
        <is>
          <t>JÄMTLANDS LÄN</t>
        </is>
      </c>
      <c r="E7062" t="inlineStr">
        <is>
          <t>HÄRJEDALEN</t>
        </is>
      </c>
      <c r="F7062" t="inlineStr">
        <is>
          <t>Holmen skog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26498-2025</t>
        </is>
      </c>
      <c r="B7063" s="1" t="n">
        <v>45807.51077546296</v>
      </c>
      <c r="C7063" s="1" t="n">
        <v>46045</v>
      </c>
      <c r="D7063" t="inlineStr">
        <is>
          <t>JÄMTLANDS LÄN</t>
        </is>
      </c>
      <c r="E7063" t="inlineStr">
        <is>
          <t>STRÖMSUND</t>
        </is>
      </c>
      <c r="F7063" t="inlineStr">
        <is>
          <t>SCA</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26492-2025</t>
        </is>
      </c>
      <c r="B7064" s="1" t="n">
        <v>45807</v>
      </c>
      <c r="C7064" s="1" t="n">
        <v>46045</v>
      </c>
      <c r="D7064" t="inlineStr">
        <is>
          <t>JÄMTLANDS LÄN</t>
        </is>
      </c>
      <c r="E7064" t="inlineStr">
        <is>
          <t>ÖSTERSUND</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26496-2025</t>
        </is>
      </c>
      <c r="B7065" s="1" t="n">
        <v>45807.49832175926</v>
      </c>
      <c r="C7065" s="1" t="n">
        <v>46045</v>
      </c>
      <c r="D7065" t="inlineStr">
        <is>
          <t>JÄMTLANDS LÄN</t>
        </is>
      </c>
      <c r="E7065" t="inlineStr">
        <is>
          <t>HÄRJEDALEN</t>
        </is>
      </c>
      <c r="F7065" t="inlineStr">
        <is>
          <t>Holmen skog AB</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26500-2025</t>
        </is>
      </c>
      <c r="B7066" s="1" t="n">
        <v>45807</v>
      </c>
      <c r="C7066" s="1" t="n">
        <v>46045</v>
      </c>
      <c r="D7066" t="inlineStr">
        <is>
          <t>JÄMTLANDS LÄN</t>
        </is>
      </c>
      <c r="E7066" t="inlineStr">
        <is>
          <t>ÖSTERSUND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26736-2025</t>
        </is>
      </c>
      <c r="B7067" s="1" t="n">
        <v>45810.51644675926</v>
      </c>
      <c r="C7067" s="1" t="n">
        <v>46045</v>
      </c>
      <c r="D7067" t="inlineStr">
        <is>
          <t>JÄMTLANDS LÄN</t>
        </is>
      </c>
      <c r="E7067" t="inlineStr">
        <is>
          <t>BRÄCKE</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6883-2025</t>
        </is>
      </c>
      <c r="B7068" s="1" t="n">
        <v>45701.34560185186</v>
      </c>
      <c r="C7068" s="1" t="n">
        <v>46045</v>
      </c>
      <c r="D7068" t="inlineStr">
        <is>
          <t>JÄMTLANDS LÄN</t>
        </is>
      </c>
      <c r="E7068" t="inlineStr">
        <is>
          <t>STRÖMSUND</t>
        </is>
      </c>
      <c r="F7068" t="inlineStr">
        <is>
          <t>SCA</t>
        </is>
      </c>
      <c r="G7068" t="n">
        <v>8.300000000000001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53834-2025</t>
        </is>
      </c>
      <c r="B7069" s="1" t="n">
        <v>45961.34525462963</v>
      </c>
      <c r="C7069" s="1" t="n">
        <v>46045</v>
      </c>
      <c r="D7069" t="inlineStr">
        <is>
          <t>JÄMTLANDS LÄN</t>
        </is>
      </c>
      <c r="E7069" t="inlineStr">
        <is>
          <t>STRÖMSUND</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53835-2025</t>
        </is>
      </c>
      <c r="B7070" s="1" t="n">
        <v>45961.3453125</v>
      </c>
      <c r="C7070" s="1" t="n">
        <v>46045</v>
      </c>
      <c r="D7070" t="inlineStr">
        <is>
          <t>JÄMTLANDS LÄN</t>
        </is>
      </c>
      <c r="E7070" t="inlineStr">
        <is>
          <t>STRÖMSUND</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16753-2025</t>
        </is>
      </c>
      <c r="B7071" s="1" t="n">
        <v>45754.56839120371</v>
      </c>
      <c r="C7071" s="1" t="n">
        <v>46045</v>
      </c>
      <c r="D7071" t="inlineStr">
        <is>
          <t>JÄMTLANDS LÄN</t>
        </is>
      </c>
      <c r="E7071" t="inlineStr">
        <is>
          <t>ÖSTERSUND</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26540-2025</t>
        </is>
      </c>
      <c r="B7072" s="1" t="n">
        <v>45807.58393518518</v>
      </c>
      <c r="C7072" s="1" t="n">
        <v>46045</v>
      </c>
      <c r="D7072" t="inlineStr">
        <is>
          <t>JÄMTLANDS LÄN</t>
        </is>
      </c>
      <c r="E7072" t="inlineStr">
        <is>
          <t>HÄRJEDALEN</t>
        </is>
      </c>
      <c r="F7072" t="inlineStr">
        <is>
          <t>Holmen skog AB</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26544-2025</t>
        </is>
      </c>
      <c r="B7073" s="1" t="n">
        <v>45807.58930555556</v>
      </c>
      <c r="C7073" s="1" t="n">
        <v>46045</v>
      </c>
      <c r="D7073" t="inlineStr">
        <is>
          <t>JÄMTLANDS LÄN</t>
        </is>
      </c>
      <c r="E7073" t="inlineStr">
        <is>
          <t>KROKOM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73278-2021</t>
        </is>
      </c>
      <c r="B7074" s="1" t="n">
        <v>44550.92168981482</v>
      </c>
      <c r="C7074" s="1" t="n">
        <v>46045</v>
      </c>
      <c r="D7074" t="inlineStr">
        <is>
          <t>JÄMTLANDS LÄN</t>
        </is>
      </c>
      <c r="E7074" t="inlineStr">
        <is>
          <t>RAGUNDA</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53948-2025</t>
        </is>
      </c>
      <c r="B7075" s="1" t="n">
        <v>45961.50033564815</v>
      </c>
      <c r="C7075" s="1" t="n">
        <v>46045</v>
      </c>
      <c r="D7075" t="inlineStr">
        <is>
          <t>JÄMTLANDS LÄN</t>
        </is>
      </c>
      <c r="E7075" t="inlineStr">
        <is>
          <t>RAGUNDA</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26587-2025</t>
        </is>
      </c>
      <c r="B7076" s="1" t="n">
        <v>45807.75076388889</v>
      </c>
      <c r="C7076" s="1" t="n">
        <v>46045</v>
      </c>
      <c r="D7076" t="inlineStr">
        <is>
          <t>JÄMTLANDS LÄN</t>
        </is>
      </c>
      <c r="E7076" t="inlineStr">
        <is>
          <t>ÖSTERSUND</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45834-2024</t>
        </is>
      </c>
      <c r="B7077" s="1" t="n">
        <v>45579.91509259259</v>
      </c>
      <c r="C7077" s="1" t="n">
        <v>46045</v>
      </c>
      <c r="D7077" t="inlineStr">
        <is>
          <t>JÄMTLANDS LÄN</t>
        </is>
      </c>
      <c r="E7077" t="inlineStr">
        <is>
          <t>ÅRE</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62194-2021</t>
        </is>
      </c>
      <c r="B7078" s="1" t="n">
        <v>44502.92039351852</v>
      </c>
      <c r="C7078" s="1" t="n">
        <v>46045</v>
      </c>
      <c r="D7078" t="inlineStr">
        <is>
          <t>JÄMTLANDS LÄN</t>
        </is>
      </c>
      <c r="E7078" t="inlineStr">
        <is>
          <t>STRÖMSUND</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53973-2025</t>
        </is>
      </c>
      <c r="B7079" s="1" t="n">
        <v>45961.55246527777</v>
      </c>
      <c r="C7079" s="1" t="n">
        <v>46045</v>
      </c>
      <c r="D7079" t="inlineStr">
        <is>
          <t>JÄMTLANDS LÄN</t>
        </is>
      </c>
      <c r="E7079" t="inlineStr">
        <is>
          <t>RAGUNDA</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54037-2025</t>
        </is>
      </c>
      <c r="B7080" s="1" t="n">
        <v>45963</v>
      </c>
      <c r="C7080" s="1" t="n">
        <v>46045</v>
      </c>
      <c r="D7080" t="inlineStr">
        <is>
          <t>JÄMTLANDS LÄN</t>
        </is>
      </c>
      <c r="E7080" t="inlineStr">
        <is>
          <t>STRÖMSUND</t>
        </is>
      </c>
      <c r="F7080" t="inlineStr">
        <is>
          <t>SCA</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10012-2023</t>
        </is>
      </c>
      <c r="B7081" s="1" t="n">
        <v>44985.6125</v>
      </c>
      <c r="C7081" s="1" t="n">
        <v>46045</v>
      </c>
      <c r="D7081" t="inlineStr">
        <is>
          <t>JÄMTLANDS LÄN</t>
        </is>
      </c>
      <c r="E7081" t="inlineStr">
        <is>
          <t>HÄRJEDALEN</t>
        </is>
      </c>
      <c r="F7081" t="inlineStr">
        <is>
          <t>Holmen skog AB</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53980-2025</t>
        </is>
      </c>
      <c r="B7082" s="1" t="n">
        <v>45961.56611111111</v>
      </c>
      <c r="C7082" s="1" t="n">
        <v>46045</v>
      </c>
      <c r="D7082" t="inlineStr">
        <is>
          <t>JÄMTLANDS LÄN</t>
        </is>
      </c>
      <c r="E7082" t="inlineStr">
        <is>
          <t>HÄRJEDALEN</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62819-2025</t>
        </is>
      </c>
      <c r="B7083" s="1" t="n">
        <v>46008</v>
      </c>
      <c r="C7083" s="1" t="n">
        <v>46045</v>
      </c>
      <c r="D7083" t="inlineStr">
        <is>
          <t>JÄMTLANDS LÄN</t>
        </is>
      </c>
      <c r="E7083" t="inlineStr">
        <is>
          <t>RAGUNDA</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61400-2022</t>
        </is>
      </c>
      <c r="B7084" s="1" t="n">
        <v>44915</v>
      </c>
      <c r="C7084" s="1" t="n">
        <v>46045</v>
      </c>
      <c r="D7084" t="inlineStr">
        <is>
          <t>JÄMTLANDS LÄN</t>
        </is>
      </c>
      <c r="E7084" t="inlineStr">
        <is>
          <t>RAGUNDA</t>
        </is>
      </c>
      <c r="F7084" t="inlineStr">
        <is>
          <t>SCA</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26773-2025</t>
        </is>
      </c>
      <c r="B7085" s="1" t="n">
        <v>45810.57366898148</v>
      </c>
      <c r="C7085" s="1" t="n">
        <v>46045</v>
      </c>
      <c r="D7085" t="inlineStr">
        <is>
          <t>JÄMTLANDS LÄN</t>
        </is>
      </c>
      <c r="E7085" t="inlineStr">
        <is>
          <t>STRÖMSUND</t>
        </is>
      </c>
      <c r="F7085" t="inlineStr">
        <is>
          <t>SCA</t>
        </is>
      </c>
      <c r="G7085" t="n">
        <v>13.4</v>
      </c>
      <c r="H7085" t="n">
        <v>0</v>
      </c>
      <c r="I7085" t="n">
        <v>0</v>
      </c>
      <c r="J7085" t="n">
        <v>0</v>
      </c>
      <c r="K7085" t="n">
        <v>0</v>
      </c>
      <c r="L7085" t="n">
        <v>0</v>
      </c>
      <c r="M7085" t="n">
        <v>0</v>
      </c>
      <c r="N7085" t="n">
        <v>0</v>
      </c>
      <c r="O7085" t="n">
        <v>0</v>
      </c>
      <c r="P7085" t="n">
        <v>0</v>
      </c>
      <c r="Q7085" t="n">
        <v>0</v>
      </c>
      <c r="R7085" s="2" t="inlineStr"/>
    </row>
    <row r="7086" ht="15" customHeight="1">
      <c r="A7086" t="inlineStr">
        <is>
          <t>A 54551-2025</t>
        </is>
      </c>
      <c r="B7086" s="1" t="n">
        <v>45965</v>
      </c>
      <c r="C7086" s="1" t="n">
        <v>46045</v>
      </c>
      <c r="D7086" t="inlineStr">
        <is>
          <t>JÄMTLANDS LÄN</t>
        </is>
      </c>
      <c r="E7086" t="inlineStr">
        <is>
          <t>STRÖMSUND</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54661-2025</t>
        </is>
      </c>
      <c r="B7087" s="1" t="n">
        <v>45966.40692129629</v>
      </c>
      <c r="C7087" s="1" t="n">
        <v>46045</v>
      </c>
      <c r="D7087" t="inlineStr">
        <is>
          <t>JÄMTLANDS LÄN</t>
        </is>
      </c>
      <c r="E7087" t="inlineStr">
        <is>
          <t>STRÖMSUND</t>
        </is>
      </c>
      <c r="F7087" t="inlineStr">
        <is>
          <t>SCA</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54666-2025</t>
        </is>
      </c>
      <c r="B7088" s="1" t="n">
        <v>45966.40759259259</v>
      </c>
      <c r="C7088" s="1" t="n">
        <v>46045</v>
      </c>
      <c r="D7088" t="inlineStr">
        <is>
          <t>JÄMTLANDS LÄN</t>
        </is>
      </c>
      <c r="E7088" t="inlineStr">
        <is>
          <t>STRÖMSUND</t>
        </is>
      </c>
      <c r="F7088" t="inlineStr">
        <is>
          <t>SCA</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54681-2025</t>
        </is>
      </c>
      <c r="B7089" s="1" t="n">
        <v>45966.42777777778</v>
      </c>
      <c r="C7089" s="1" t="n">
        <v>46045</v>
      </c>
      <c r="D7089" t="inlineStr">
        <is>
          <t>JÄMTLANDS LÄN</t>
        </is>
      </c>
      <c r="E7089" t="inlineStr">
        <is>
          <t>BRÄCKE</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62372-2025</t>
        </is>
      </c>
      <c r="B7090" s="1" t="n">
        <v>46007.34444444445</v>
      </c>
      <c r="C7090" s="1" t="n">
        <v>46045</v>
      </c>
      <c r="D7090" t="inlineStr">
        <is>
          <t>JÄMTLANDS LÄN</t>
        </is>
      </c>
      <c r="E7090" t="inlineStr">
        <is>
          <t>KROKOM</t>
        </is>
      </c>
      <c r="F7090" t="inlineStr">
        <is>
          <t>SCA</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62406-2025</t>
        </is>
      </c>
      <c r="B7091" s="1" t="n">
        <v>46007.4287962963</v>
      </c>
      <c r="C7091" s="1" t="n">
        <v>46045</v>
      </c>
      <c r="D7091" t="inlineStr">
        <is>
          <t>JÄMTLANDS LÄN</t>
        </is>
      </c>
      <c r="E7091" t="inlineStr">
        <is>
          <t>BRÄCKE</t>
        </is>
      </c>
      <c r="F7091" t="inlineStr">
        <is>
          <t>Övriga Aktiebolag</t>
        </is>
      </c>
      <c r="G7091" t="n">
        <v>10.2</v>
      </c>
      <c r="H7091" t="n">
        <v>0</v>
      </c>
      <c r="I7091" t="n">
        <v>0</v>
      </c>
      <c r="J7091" t="n">
        <v>0</v>
      </c>
      <c r="K7091" t="n">
        <v>0</v>
      </c>
      <c r="L7091" t="n">
        <v>0</v>
      </c>
      <c r="M7091" t="n">
        <v>0</v>
      </c>
      <c r="N7091" t="n">
        <v>0</v>
      </c>
      <c r="O7091" t="n">
        <v>0</v>
      </c>
      <c r="P7091" t="n">
        <v>0</v>
      </c>
      <c r="Q7091" t="n">
        <v>0</v>
      </c>
      <c r="R7091" s="2" t="inlineStr"/>
    </row>
    <row r="7092" ht="15" customHeight="1">
      <c r="A7092" t="inlineStr">
        <is>
          <t>A 62432-2025</t>
        </is>
      </c>
      <c r="B7092" s="1" t="n">
        <v>46007</v>
      </c>
      <c r="C7092" s="1" t="n">
        <v>46045</v>
      </c>
      <c r="D7092" t="inlineStr">
        <is>
          <t>JÄMTLANDS LÄN</t>
        </is>
      </c>
      <c r="E7092" t="inlineStr">
        <is>
          <t>RAGUNDA</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62436-2025</t>
        </is>
      </c>
      <c r="B7093" s="1" t="n">
        <v>46007</v>
      </c>
      <c r="C7093" s="1" t="n">
        <v>46045</v>
      </c>
      <c r="D7093" t="inlineStr">
        <is>
          <t>JÄMTLANDS LÄN</t>
        </is>
      </c>
      <c r="E7093" t="inlineStr">
        <is>
          <t>RAGUNDA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1913-2025</t>
        </is>
      </c>
      <c r="B7094" s="1" t="n">
        <v>45671.65716435185</v>
      </c>
      <c r="C7094" s="1" t="n">
        <v>46045</v>
      </c>
      <c r="D7094" t="inlineStr">
        <is>
          <t>JÄMTLANDS LÄN</t>
        </is>
      </c>
      <c r="E7094" t="inlineStr">
        <is>
          <t>STRÖMSUND</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24861-2023</t>
        </is>
      </c>
      <c r="B7095" s="1" t="n">
        <v>45078</v>
      </c>
      <c r="C7095" s="1" t="n">
        <v>46045</v>
      </c>
      <c r="D7095" t="inlineStr">
        <is>
          <t>JÄMTLANDS LÄN</t>
        </is>
      </c>
      <c r="E7095" t="inlineStr">
        <is>
          <t>RAGUNDA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59334-2023</t>
        </is>
      </c>
      <c r="B7096" s="1" t="n">
        <v>45252</v>
      </c>
      <c r="C7096" s="1" t="n">
        <v>46045</v>
      </c>
      <c r="D7096" t="inlineStr">
        <is>
          <t>JÄMTLANDS LÄN</t>
        </is>
      </c>
      <c r="E7096" t="inlineStr">
        <is>
          <t>STRÖMSUND</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26417-2025</t>
        </is>
      </c>
      <c r="B7097" s="1" t="n">
        <v>45807.36304398148</v>
      </c>
      <c r="C7097" s="1" t="n">
        <v>46045</v>
      </c>
      <c r="D7097" t="inlineStr">
        <is>
          <t>JÄMTLANDS LÄN</t>
        </is>
      </c>
      <c r="E7097" t="inlineStr">
        <is>
          <t>HÄRJEDALEN</t>
        </is>
      </c>
      <c r="F7097" t="inlineStr">
        <is>
          <t>Holmen skog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26448-2025</t>
        </is>
      </c>
      <c r="B7098" s="1" t="n">
        <v>45807.41717592593</v>
      </c>
      <c r="C7098" s="1" t="n">
        <v>46045</v>
      </c>
      <c r="D7098" t="inlineStr">
        <is>
          <t>JÄMTLANDS LÄN</t>
        </is>
      </c>
      <c r="E7098" t="inlineStr">
        <is>
          <t>HÄRJEDALEN</t>
        </is>
      </c>
      <c r="F7098" t="inlineStr">
        <is>
          <t>Holmen skog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26462-2025</t>
        </is>
      </c>
      <c r="B7099" s="1" t="n">
        <v>45807.43461805556</v>
      </c>
      <c r="C7099" s="1" t="n">
        <v>46045</v>
      </c>
      <c r="D7099" t="inlineStr">
        <is>
          <t>JÄMTLANDS LÄN</t>
        </is>
      </c>
      <c r="E7099" t="inlineStr">
        <is>
          <t>HÄRJEDALEN</t>
        </is>
      </c>
      <c r="F7099" t="inlineStr">
        <is>
          <t>Holmen skog AB</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26464-2025</t>
        </is>
      </c>
      <c r="B7100" s="1" t="n">
        <v>45807.44070601852</v>
      </c>
      <c r="C7100" s="1" t="n">
        <v>46045</v>
      </c>
      <c r="D7100" t="inlineStr">
        <is>
          <t>JÄMTLANDS LÄN</t>
        </is>
      </c>
      <c r="E7100" t="inlineStr">
        <is>
          <t>HÄRJEDALEN</t>
        </is>
      </c>
      <c r="F7100" t="inlineStr">
        <is>
          <t>Holmen skog AB</t>
        </is>
      </c>
      <c r="G7100" t="n">
        <v>8.800000000000001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26466-2025</t>
        </is>
      </c>
      <c r="B7101" s="1" t="n">
        <v>45807.44608796296</v>
      </c>
      <c r="C7101" s="1" t="n">
        <v>46045</v>
      </c>
      <c r="D7101" t="inlineStr">
        <is>
          <t>JÄMTLANDS LÄN</t>
        </is>
      </c>
      <c r="E7101" t="inlineStr">
        <is>
          <t>HÄRJEDALEN</t>
        </is>
      </c>
      <c r="F7101" t="inlineStr">
        <is>
          <t>Holmen skog AB</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25275-2025</t>
        </is>
      </c>
      <c r="B7102" s="1" t="n">
        <v>45800.55372685185</v>
      </c>
      <c r="C7102" s="1" t="n">
        <v>46045</v>
      </c>
      <c r="D7102" t="inlineStr">
        <is>
          <t>JÄMTLANDS LÄN</t>
        </is>
      </c>
      <c r="E7102" t="inlineStr">
        <is>
          <t>ÅRE</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54021-2025</t>
        </is>
      </c>
      <c r="B7103" s="1" t="n">
        <v>45961</v>
      </c>
      <c r="C7103" s="1" t="n">
        <v>46045</v>
      </c>
      <c r="D7103" t="inlineStr">
        <is>
          <t>JÄMTLANDS LÄN</t>
        </is>
      </c>
      <c r="E7103" t="inlineStr">
        <is>
          <t>KROKOM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26486-2025</t>
        </is>
      </c>
      <c r="B7104" s="1" t="n">
        <v>45807.47479166667</v>
      </c>
      <c r="C7104" s="1" t="n">
        <v>46045</v>
      </c>
      <c r="D7104" t="inlineStr">
        <is>
          <t>JÄMTLANDS LÄN</t>
        </is>
      </c>
      <c r="E7104" t="inlineStr">
        <is>
          <t>HÄRJEDALEN</t>
        </is>
      </c>
      <c r="F7104" t="inlineStr">
        <is>
          <t>Holmen skog AB</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26493-2025</t>
        </is>
      </c>
      <c r="B7105" s="1" t="n">
        <v>45807.49045138889</v>
      </c>
      <c r="C7105" s="1" t="n">
        <v>46045</v>
      </c>
      <c r="D7105" t="inlineStr">
        <is>
          <t>JÄMTLANDS LÄN</t>
        </is>
      </c>
      <c r="E7105" t="inlineStr">
        <is>
          <t>HÄRJEDALEN</t>
        </is>
      </c>
      <c r="F7105" t="inlineStr">
        <is>
          <t>Holmen skog AB</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54740-2025</t>
        </is>
      </c>
      <c r="B7106" s="1" t="n">
        <v>45966.57206018519</v>
      </c>
      <c r="C7106" s="1" t="n">
        <v>46045</v>
      </c>
      <c r="D7106" t="inlineStr">
        <is>
          <t>JÄMTLANDS LÄN</t>
        </is>
      </c>
      <c r="E7106" t="inlineStr">
        <is>
          <t>KROKOM</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26621-2025</t>
        </is>
      </c>
      <c r="B7107" s="1" t="n">
        <v>45810.32105324074</v>
      </c>
      <c r="C7107" s="1" t="n">
        <v>46045</v>
      </c>
      <c r="D7107" t="inlineStr">
        <is>
          <t>JÄMTLANDS LÄN</t>
        </is>
      </c>
      <c r="E7107" t="inlineStr">
        <is>
          <t>KROKOM</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54618-2025</t>
        </is>
      </c>
      <c r="B7108" s="1" t="n">
        <v>45966.34445601852</v>
      </c>
      <c r="C7108" s="1" t="n">
        <v>46045</v>
      </c>
      <c r="D7108" t="inlineStr">
        <is>
          <t>JÄMTLANDS LÄN</t>
        </is>
      </c>
      <c r="E7108" t="inlineStr">
        <is>
          <t>STRÖMSUND</t>
        </is>
      </c>
      <c r="F7108" t="inlineStr">
        <is>
          <t>SCA</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54640-2025</t>
        </is>
      </c>
      <c r="B7109" s="1" t="n">
        <v>45966.36534722222</v>
      </c>
      <c r="C7109" s="1" t="n">
        <v>46045</v>
      </c>
      <c r="D7109" t="inlineStr">
        <is>
          <t>JÄMTLANDS LÄN</t>
        </is>
      </c>
      <c r="E7109" t="inlineStr">
        <is>
          <t>STRÖMSUND</t>
        </is>
      </c>
      <c r="F7109" t="inlineStr">
        <is>
          <t>SCA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54396-2025</t>
        </is>
      </c>
      <c r="B7110" s="1" t="n">
        <v>45965.44849537037</v>
      </c>
      <c r="C7110" s="1" t="n">
        <v>46045</v>
      </c>
      <c r="D7110" t="inlineStr">
        <is>
          <t>JÄMTLANDS LÄN</t>
        </is>
      </c>
      <c r="E7110" t="inlineStr">
        <is>
          <t>RAGUNDA</t>
        </is>
      </c>
      <c r="F7110" t="inlineStr">
        <is>
          <t>SCA</t>
        </is>
      </c>
      <c r="G7110" t="n">
        <v>35.2</v>
      </c>
      <c r="H7110" t="n">
        <v>0</v>
      </c>
      <c r="I7110" t="n">
        <v>0</v>
      </c>
      <c r="J7110" t="n">
        <v>0</v>
      </c>
      <c r="K7110" t="n">
        <v>0</v>
      </c>
      <c r="L7110" t="n">
        <v>0</v>
      </c>
      <c r="M7110" t="n">
        <v>0</v>
      </c>
      <c r="N7110" t="n">
        <v>0</v>
      </c>
      <c r="O7110" t="n">
        <v>0</v>
      </c>
      <c r="P7110" t="n">
        <v>0</v>
      </c>
      <c r="Q7110" t="n">
        <v>0</v>
      </c>
      <c r="R7110" s="2" t="inlineStr"/>
    </row>
    <row r="7111" ht="15" customHeight="1">
      <c r="A7111" t="inlineStr">
        <is>
          <t>A 51694-2024</t>
        </is>
      </c>
      <c r="B7111" s="1" t="n">
        <v>45607</v>
      </c>
      <c r="C7111" s="1" t="n">
        <v>46045</v>
      </c>
      <c r="D7111" t="inlineStr">
        <is>
          <t>JÄMTLANDS LÄN</t>
        </is>
      </c>
      <c r="E7111" t="inlineStr">
        <is>
          <t>STRÖMSUND</t>
        </is>
      </c>
      <c r="F7111" t="inlineStr">
        <is>
          <t>SCA</t>
        </is>
      </c>
      <c r="G7111" t="n">
        <v>82.7</v>
      </c>
      <c r="H7111" t="n">
        <v>0</v>
      </c>
      <c r="I7111" t="n">
        <v>0</v>
      </c>
      <c r="J7111" t="n">
        <v>0</v>
      </c>
      <c r="K7111" t="n">
        <v>0</v>
      </c>
      <c r="L7111" t="n">
        <v>0</v>
      </c>
      <c r="M7111" t="n">
        <v>0</v>
      </c>
      <c r="N7111" t="n">
        <v>0</v>
      </c>
      <c r="O7111" t="n">
        <v>0</v>
      </c>
      <c r="P7111" t="n">
        <v>0</v>
      </c>
      <c r="Q7111" t="n">
        <v>0</v>
      </c>
      <c r="R7111" s="2" t="inlineStr"/>
    </row>
    <row r="7112" ht="15" customHeight="1">
      <c r="A7112" t="inlineStr">
        <is>
          <t>A 62205-2025</t>
        </is>
      </c>
      <c r="B7112" s="1" t="n">
        <v>46006.56194444445</v>
      </c>
      <c r="C7112" s="1" t="n">
        <v>46045</v>
      </c>
      <c r="D7112" t="inlineStr">
        <is>
          <t>JÄMTLANDS LÄN</t>
        </is>
      </c>
      <c r="E7112" t="inlineStr">
        <is>
          <t>KROKOM</t>
        </is>
      </c>
      <c r="G7112" t="n">
        <v>34.7</v>
      </c>
      <c r="H7112" t="n">
        <v>0</v>
      </c>
      <c r="I7112" t="n">
        <v>0</v>
      </c>
      <c r="J7112" t="n">
        <v>0</v>
      </c>
      <c r="K7112" t="n">
        <v>0</v>
      </c>
      <c r="L7112" t="n">
        <v>0</v>
      </c>
      <c r="M7112" t="n">
        <v>0</v>
      </c>
      <c r="N7112" t="n">
        <v>0</v>
      </c>
      <c r="O7112" t="n">
        <v>0</v>
      </c>
      <c r="P7112" t="n">
        <v>0</v>
      </c>
      <c r="Q7112" t="n">
        <v>0</v>
      </c>
      <c r="R7112" s="2" t="inlineStr"/>
    </row>
    <row r="7113" ht="15" customHeight="1">
      <c r="A7113" t="inlineStr">
        <is>
          <t>A 14607-2025</t>
        </is>
      </c>
      <c r="B7113" s="1" t="n">
        <v>45742.37540509259</v>
      </c>
      <c r="C7113" s="1" t="n">
        <v>46045</v>
      </c>
      <c r="D7113" t="inlineStr">
        <is>
          <t>JÄMTLANDS LÄN</t>
        </is>
      </c>
      <c r="E7113" t="inlineStr">
        <is>
          <t>BRÄCKE</t>
        </is>
      </c>
      <c r="G7113" t="n">
        <v>6.7</v>
      </c>
      <c r="H7113" t="n">
        <v>0</v>
      </c>
      <c r="I7113" t="n">
        <v>0</v>
      </c>
      <c r="J7113" t="n">
        <v>0</v>
      </c>
      <c r="K7113" t="n">
        <v>0</v>
      </c>
      <c r="L7113" t="n">
        <v>0</v>
      </c>
      <c r="M7113" t="n">
        <v>0</v>
      </c>
      <c r="N7113" t="n">
        <v>0</v>
      </c>
      <c r="O7113" t="n">
        <v>0</v>
      </c>
      <c r="P7113" t="n">
        <v>0</v>
      </c>
      <c r="Q7113" t="n">
        <v>0</v>
      </c>
      <c r="R7113" s="2" t="inlineStr"/>
    </row>
    <row r="7114" ht="15" customHeight="1">
      <c r="A7114" t="inlineStr">
        <is>
          <t>A 54372-2025</t>
        </is>
      </c>
      <c r="B7114" s="1" t="n">
        <v>45965.41297453704</v>
      </c>
      <c r="C7114" s="1" t="n">
        <v>46045</v>
      </c>
      <c r="D7114" t="inlineStr">
        <is>
          <t>JÄMTLANDS LÄN</t>
        </is>
      </c>
      <c r="E7114" t="inlineStr">
        <is>
          <t>BRÄCKE</t>
        </is>
      </c>
      <c r="F7114" t="inlineStr">
        <is>
          <t>Övriga Aktiebolag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54476-2025</t>
        </is>
      </c>
      <c r="B7115" s="1" t="n">
        <v>45965.57791666667</v>
      </c>
      <c r="C7115" s="1" t="n">
        <v>46045</v>
      </c>
      <c r="D7115" t="inlineStr">
        <is>
          <t>JÄMTLANDS LÄN</t>
        </is>
      </c>
      <c r="E7115" t="inlineStr">
        <is>
          <t>HÄRJEDALEN</t>
        </is>
      </c>
      <c r="F7115" t="inlineStr">
        <is>
          <t>Bergvik skog väst AB</t>
        </is>
      </c>
      <c r="G7115" t="n">
        <v>9.699999999999999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49707-2024</t>
        </is>
      </c>
      <c r="B7116" s="1" t="n">
        <v>45596.69832175926</v>
      </c>
      <c r="C7116" s="1" t="n">
        <v>46045</v>
      </c>
      <c r="D7116" t="inlineStr">
        <is>
          <t>JÄMTLANDS LÄN</t>
        </is>
      </c>
      <c r="E7116" t="inlineStr">
        <is>
          <t>BRÄCKE</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62451-2025</t>
        </is>
      </c>
      <c r="B7117" s="1" t="n">
        <v>46007.48997685185</v>
      </c>
      <c r="C7117" s="1" t="n">
        <v>46045</v>
      </c>
      <c r="D7117" t="inlineStr">
        <is>
          <t>JÄMTLANDS LÄN</t>
        </is>
      </c>
      <c r="E7117" t="inlineStr">
        <is>
          <t>HÄRJEDALEN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62499-2025</t>
        </is>
      </c>
      <c r="B7118" s="1" t="n">
        <v>46007.58229166667</v>
      </c>
      <c r="C7118" s="1" t="n">
        <v>46045</v>
      </c>
      <c r="D7118" t="inlineStr">
        <is>
          <t>JÄMTLANDS LÄN</t>
        </is>
      </c>
      <c r="E7118" t="inlineStr">
        <is>
          <t>BRÄCKE</t>
        </is>
      </c>
      <c r="F7118" t="inlineStr">
        <is>
          <t>Övriga Aktiebolag</t>
        </is>
      </c>
      <c r="G7118" t="n">
        <v>9.9</v>
      </c>
      <c r="H7118" t="n">
        <v>0</v>
      </c>
      <c r="I7118" t="n">
        <v>0</v>
      </c>
      <c r="J7118" t="n">
        <v>0</v>
      </c>
      <c r="K7118" t="n">
        <v>0</v>
      </c>
      <c r="L7118" t="n">
        <v>0</v>
      </c>
      <c r="M7118" t="n">
        <v>0</v>
      </c>
      <c r="N7118" t="n">
        <v>0</v>
      </c>
      <c r="O7118" t="n">
        <v>0</v>
      </c>
      <c r="P7118" t="n">
        <v>0</v>
      </c>
      <c r="Q7118" t="n">
        <v>0</v>
      </c>
      <c r="R7118" s="2" t="inlineStr"/>
    </row>
    <row r="7119" ht="15" customHeight="1">
      <c r="A7119" t="inlineStr">
        <is>
          <t>A 54775-2025</t>
        </is>
      </c>
      <c r="B7119" s="1" t="n">
        <v>45966.61333333333</v>
      </c>
      <c r="C7119" s="1" t="n">
        <v>46045</v>
      </c>
      <c r="D7119" t="inlineStr">
        <is>
          <t>JÄMTLANDS LÄN</t>
        </is>
      </c>
      <c r="E7119" t="inlineStr">
        <is>
          <t>BRÄCKE</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62735-2025</t>
        </is>
      </c>
      <c r="B7120" s="1" t="n">
        <v>46008.56932870371</v>
      </c>
      <c r="C7120" s="1" t="n">
        <v>46045</v>
      </c>
      <c r="D7120" t="inlineStr">
        <is>
          <t>JÄMTLANDS LÄN</t>
        </is>
      </c>
      <c r="E7120" t="inlineStr">
        <is>
          <t>STRÖMSUND</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54580-2025</t>
        </is>
      </c>
      <c r="B7121" s="1" t="n">
        <v>45965.70755787037</v>
      </c>
      <c r="C7121" s="1" t="n">
        <v>46045</v>
      </c>
      <c r="D7121" t="inlineStr">
        <is>
          <t>JÄMTLANDS LÄN</t>
        </is>
      </c>
      <c r="E7121" t="inlineStr">
        <is>
          <t>ÅRE</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62764-2025</t>
        </is>
      </c>
      <c r="B7122" s="1" t="n">
        <v>46008.59451388889</v>
      </c>
      <c r="C7122" s="1" t="n">
        <v>46045</v>
      </c>
      <c r="D7122" t="inlineStr">
        <is>
          <t>JÄMTLANDS LÄN</t>
        </is>
      </c>
      <c r="E7122" t="inlineStr">
        <is>
          <t>STRÖMSUND</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54361-2025</t>
        </is>
      </c>
      <c r="B7123" s="1" t="n">
        <v>45965.39175925926</v>
      </c>
      <c r="C7123" s="1" t="n">
        <v>46045</v>
      </c>
      <c r="D7123" t="inlineStr">
        <is>
          <t>JÄMTLANDS LÄN</t>
        </is>
      </c>
      <c r="E7123" t="inlineStr">
        <is>
          <t>STRÖMSUND</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54164-2023</t>
        </is>
      </c>
      <c r="B7124" s="1" t="n">
        <v>45232.47815972222</v>
      </c>
      <c r="C7124" s="1" t="n">
        <v>46045</v>
      </c>
      <c r="D7124" t="inlineStr">
        <is>
          <t>JÄMTLANDS LÄN</t>
        </is>
      </c>
      <c r="E7124" t="inlineStr">
        <is>
          <t>ÅRE</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18546-2025</t>
        </is>
      </c>
      <c r="B7125" s="1" t="n">
        <v>45763.4266087963</v>
      </c>
      <c r="C7125" s="1" t="n">
        <v>46045</v>
      </c>
      <c r="D7125" t="inlineStr">
        <is>
          <t>JÄMTLANDS LÄN</t>
        </is>
      </c>
      <c r="E7125" t="inlineStr">
        <is>
          <t>HÄRJEDALEN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18577-2025</t>
        </is>
      </c>
      <c r="B7126" s="1" t="n">
        <v>45763</v>
      </c>
      <c r="C7126" s="1" t="n">
        <v>46045</v>
      </c>
      <c r="D7126" t="inlineStr">
        <is>
          <t>JÄMTLANDS LÄN</t>
        </is>
      </c>
      <c r="E7126" t="inlineStr">
        <is>
          <t>ÖSTERSUND</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18583-2025</t>
        </is>
      </c>
      <c r="B7127" s="1" t="n">
        <v>45763.46918981482</v>
      </c>
      <c r="C7127" s="1" t="n">
        <v>46045</v>
      </c>
      <c r="D7127" t="inlineStr">
        <is>
          <t>JÄMTLANDS LÄN</t>
        </is>
      </c>
      <c r="E7127" t="inlineStr">
        <is>
          <t>KROKOM</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26561-2025</t>
        </is>
      </c>
      <c r="B7128" s="1" t="n">
        <v>45807.65438657408</v>
      </c>
      <c r="C7128" s="1" t="n">
        <v>46045</v>
      </c>
      <c r="D7128" t="inlineStr">
        <is>
          <t>JÄMTLANDS LÄN</t>
        </is>
      </c>
      <c r="E7128" t="inlineStr">
        <is>
          <t>HÄRJEDALEN</t>
        </is>
      </c>
      <c r="F7128" t="inlineStr">
        <is>
          <t>Holmen skog AB</t>
        </is>
      </c>
      <c r="G7128" t="n">
        <v>7.9</v>
      </c>
      <c r="H7128" t="n">
        <v>0</v>
      </c>
      <c r="I7128" t="n">
        <v>0</v>
      </c>
      <c r="J7128" t="n">
        <v>0</v>
      </c>
      <c r="K7128" t="n">
        <v>0</v>
      </c>
      <c r="L7128" t="n">
        <v>0</v>
      </c>
      <c r="M7128" t="n">
        <v>0</v>
      </c>
      <c r="N7128" t="n">
        <v>0</v>
      </c>
      <c r="O7128" t="n">
        <v>0</v>
      </c>
      <c r="P7128" t="n">
        <v>0</v>
      </c>
      <c r="Q7128" t="n">
        <v>0</v>
      </c>
      <c r="R7128" s="2" t="inlineStr"/>
    </row>
    <row r="7129" ht="15" customHeight="1">
      <c r="A7129" t="inlineStr">
        <is>
          <t>A 26263-2025</t>
        </is>
      </c>
      <c r="B7129" s="1" t="n">
        <v>45805</v>
      </c>
      <c r="C7129" s="1" t="n">
        <v>46045</v>
      </c>
      <c r="D7129" t="inlineStr">
        <is>
          <t>JÄMTLANDS LÄN</t>
        </is>
      </c>
      <c r="E7129" t="inlineStr">
        <is>
          <t>STRÖMSUND</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26404-2025</t>
        </is>
      </c>
      <c r="B7130" s="1" t="n">
        <v>45807.3409837963</v>
      </c>
      <c r="C7130" s="1" t="n">
        <v>46045</v>
      </c>
      <c r="D7130" t="inlineStr">
        <is>
          <t>JÄMTLANDS LÄN</t>
        </is>
      </c>
      <c r="E7130" t="inlineStr">
        <is>
          <t>HÄRJEDALEN</t>
        </is>
      </c>
      <c r="F7130" t="inlineStr">
        <is>
          <t>Holmen skog AB</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26411-2025</t>
        </is>
      </c>
      <c r="B7131" s="1" t="n">
        <v>45807.35476851852</v>
      </c>
      <c r="C7131" s="1" t="n">
        <v>46045</v>
      </c>
      <c r="D7131" t="inlineStr">
        <is>
          <t>JÄMTLANDS LÄN</t>
        </is>
      </c>
      <c r="E7131" t="inlineStr">
        <is>
          <t>HÄRJEDALEN</t>
        </is>
      </c>
      <c r="F7131" t="inlineStr">
        <is>
          <t>Holmen skog AB</t>
        </is>
      </c>
      <c r="G7131" t="n">
        <v>12.4</v>
      </c>
      <c r="H7131" t="n">
        <v>0</v>
      </c>
      <c r="I7131" t="n">
        <v>0</v>
      </c>
      <c r="J7131" t="n">
        <v>0</v>
      </c>
      <c r="K7131" t="n">
        <v>0</v>
      </c>
      <c r="L7131" t="n">
        <v>0</v>
      </c>
      <c r="M7131" t="n">
        <v>0</v>
      </c>
      <c r="N7131" t="n">
        <v>0</v>
      </c>
      <c r="O7131" t="n">
        <v>0</v>
      </c>
      <c r="P7131" t="n">
        <v>0</v>
      </c>
      <c r="Q7131" t="n">
        <v>0</v>
      </c>
      <c r="R7131" s="2" t="inlineStr"/>
    </row>
    <row r="7132" ht="15" customHeight="1">
      <c r="A7132" t="inlineStr">
        <is>
          <t>A 62635-2025</t>
        </is>
      </c>
      <c r="B7132" s="1" t="n">
        <v>46008.36527777778</v>
      </c>
      <c r="C7132" s="1" t="n">
        <v>46045</v>
      </c>
      <c r="D7132" t="inlineStr">
        <is>
          <t>JÄMTLANDS LÄN</t>
        </is>
      </c>
      <c r="E7132" t="inlineStr">
        <is>
          <t>STRÖMSUND</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54806-2025</t>
        </is>
      </c>
      <c r="B7133" s="1" t="n">
        <v>45966.6437037037</v>
      </c>
      <c r="C7133" s="1" t="n">
        <v>46045</v>
      </c>
      <c r="D7133" t="inlineStr">
        <is>
          <t>JÄMTLANDS LÄN</t>
        </is>
      </c>
      <c r="E7133" t="inlineStr">
        <is>
          <t>KROKOM</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26518-2025</t>
        </is>
      </c>
      <c r="B7134" s="1" t="n">
        <v>45807.55893518519</v>
      </c>
      <c r="C7134" s="1" t="n">
        <v>46045</v>
      </c>
      <c r="D7134" t="inlineStr">
        <is>
          <t>JÄMTLANDS LÄN</t>
        </is>
      </c>
      <c r="E7134" t="inlineStr">
        <is>
          <t>HÄRJEDALEN</t>
        </is>
      </c>
      <c r="F7134" t="inlineStr">
        <is>
          <t>Holmen skog AB</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54825-2025</t>
        </is>
      </c>
      <c r="B7135" s="1" t="n">
        <v>45966.66768518519</v>
      </c>
      <c r="C7135" s="1" t="n">
        <v>46045</v>
      </c>
      <c r="D7135" t="inlineStr">
        <is>
          <t>JÄMTLANDS LÄN</t>
        </is>
      </c>
      <c r="E7135" t="inlineStr">
        <is>
          <t>BERG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54793-2025</t>
        </is>
      </c>
      <c r="B7136" s="1" t="n">
        <v>45966.63584490741</v>
      </c>
      <c r="C7136" s="1" t="n">
        <v>46045</v>
      </c>
      <c r="D7136" t="inlineStr">
        <is>
          <t>JÄMTLANDS LÄN</t>
        </is>
      </c>
      <c r="E7136" t="inlineStr">
        <is>
          <t>BRÄCKE</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60174-2022</t>
        </is>
      </c>
      <c r="B7137" s="1" t="n">
        <v>44909.9640162037</v>
      </c>
      <c r="C7137" s="1" t="n">
        <v>46045</v>
      </c>
      <c r="D7137" t="inlineStr">
        <is>
          <t>JÄMTLANDS LÄN</t>
        </is>
      </c>
      <c r="E7137" t="inlineStr">
        <is>
          <t>ÖSTERSUND</t>
        </is>
      </c>
      <c r="F7137" t="inlineStr">
        <is>
          <t>SCA</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51396-2024</t>
        </is>
      </c>
      <c r="B7138" s="1" t="n">
        <v>45604.4190625</v>
      </c>
      <c r="C7138" s="1" t="n">
        <v>46045</v>
      </c>
      <c r="D7138" t="inlineStr">
        <is>
          <t>JÄMTLANDS LÄN</t>
        </is>
      </c>
      <c r="E7138" t="inlineStr">
        <is>
          <t>RAGUNDA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26818-2025</t>
        </is>
      </c>
      <c r="B7139" s="1" t="n">
        <v>45810.63622685185</v>
      </c>
      <c r="C7139" s="1" t="n">
        <v>46045</v>
      </c>
      <c r="D7139" t="inlineStr">
        <is>
          <t>JÄMTLANDS LÄN</t>
        </is>
      </c>
      <c r="E7139" t="inlineStr">
        <is>
          <t>BRÄCKE</t>
        </is>
      </c>
      <c r="F7139" t="inlineStr">
        <is>
          <t>SCA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54838-2025</t>
        </is>
      </c>
      <c r="B7140" s="1" t="n">
        <v>45966.68252314815</v>
      </c>
      <c r="C7140" s="1" t="n">
        <v>46045</v>
      </c>
      <c r="D7140" t="inlineStr">
        <is>
          <t>JÄMTLANDS LÄN</t>
        </is>
      </c>
      <c r="E7140" t="inlineStr">
        <is>
          <t>ÅRE</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50314-2022</t>
        </is>
      </c>
      <c r="B7141" s="1" t="n">
        <v>44865</v>
      </c>
      <c r="C7141" s="1" t="n">
        <v>46045</v>
      </c>
      <c r="D7141" t="inlineStr">
        <is>
          <t>JÄMTLANDS LÄN</t>
        </is>
      </c>
      <c r="E7141" t="inlineStr">
        <is>
          <t>STRÖMSUND</t>
        </is>
      </c>
      <c r="F7141" t="inlineStr">
        <is>
          <t>SCA</t>
        </is>
      </c>
      <c r="G7141" t="n">
        <v>13.4</v>
      </c>
      <c r="H7141" t="n">
        <v>0</v>
      </c>
      <c r="I7141" t="n">
        <v>0</v>
      </c>
      <c r="J7141" t="n">
        <v>0</v>
      </c>
      <c r="K7141" t="n">
        <v>0</v>
      </c>
      <c r="L7141" t="n">
        <v>0</v>
      </c>
      <c r="M7141" t="n">
        <v>0</v>
      </c>
      <c r="N7141" t="n">
        <v>0</v>
      </c>
      <c r="O7141" t="n">
        <v>0</v>
      </c>
      <c r="P7141" t="n">
        <v>0</v>
      </c>
      <c r="Q7141" t="n">
        <v>0</v>
      </c>
      <c r="R7141" s="2" t="inlineStr"/>
    </row>
    <row r="7142" ht="15" customHeight="1">
      <c r="A7142" t="inlineStr">
        <is>
          <t>A 43616-2024</t>
        </is>
      </c>
      <c r="B7142" s="1" t="n">
        <v>45569</v>
      </c>
      <c r="C7142" s="1" t="n">
        <v>46045</v>
      </c>
      <c r="D7142" t="inlineStr">
        <is>
          <t>JÄMTLANDS LÄN</t>
        </is>
      </c>
      <c r="E7142" t="inlineStr">
        <is>
          <t>BERG</t>
        </is>
      </c>
      <c r="G7142" t="n">
        <v>12.3</v>
      </c>
      <c r="H7142" t="n">
        <v>0</v>
      </c>
      <c r="I7142" t="n">
        <v>0</v>
      </c>
      <c r="J7142" t="n">
        <v>0</v>
      </c>
      <c r="K7142" t="n">
        <v>0</v>
      </c>
      <c r="L7142" t="n">
        <v>0</v>
      </c>
      <c r="M7142" t="n">
        <v>0</v>
      </c>
      <c r="N7142" t="n">
        <v>0</v>
      </c>
      <c r="O7142" t="n">
        <v>0</v>
      </c>
      <c r="P7142" t="n">
        <v>0</v>
      </c>
      <c r="Q7142" t="n">
        <v>0</v>
      </c>
      <c r="R7142" s="2" t="inlineStr"/>
    </row>
    <row r="7143" ht="15" customHeight="1">
      <c r="A7143" t="inlineStr">
        <is>
          <t>A 54422-2025</t>
        </is>
      </c>
      <c r="B7143" s="1" t="n">
        <v>45965.48649305556</v>
      </c>
      <c r="C7143" s="1" t="n">
        <v>46045</v>
      </c>
      <c r="D7143" t="inlineStr">
        <is>
          <t>JÄMTLANDS LÄN</t>
        </is>
      </c>
      <c r="E7143" t="inlineStr">
        <is>
          <t>BRÄCKE</t>
        </is>
      </c>
      <c r="F7143" t="inlineStr">
        <is>
          <t>Övriga Aktiebolag</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50157-2023</t>
        </is>
      </c>
      <c r="B7144" s="1" t="n">
        <v>45208</v>
      </c>
      <c r="C7144" s="1" t="n">
        <v>46045</v>
      </c>
      <c r="D7144" t="inlineStr">
        <is>
          <t>JÄMTLANDS LÄN</t>
        </is>
      </c>
      <c r="E7144" t="inlineStr">
        <is>
          <t>RAGUNDA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26640-2025</t>
        </is>
      </c>
      <c r="B7145" s="1" t="n">
        <v>45810.36495370371</v>
      </c>
      <c r="C7145" s="1" t="n">
        <v>46045</v>
      </c>
      <c r="D7145" t="inlineStr">
        <is>
          <t>JÄMTLANDS LÄN</t>
        </is>
      </c>
      <c r="E7145" t="inlineStr">
        <is>
          <t>RAGUNDA</t>
        </is>
      </c>
      <c r="F7145" t="inlineStr">
        <is>
          <t>SCA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26527-2025</t>
        </is>
      </c>
      <c r="B7146" s="1" t="n">
        <v>45807.56728009259</v>
      </c>
      <c r="C7146" s="1" t="n">
        <v>46045</v>
      </c>
      <c r="D7146" t="inlineStr">
        <is>
          <t>JÄMTLANDS LÄN</t>
        </is>
      </c>
      <c r="E7146" t="inlineStr">
        <is>
          <t>KROKOM</t>
        </is>
      </c>
      <c r="G7146" t="n">
        <v>13.3</v>
      </c>
      <c r="H7146" t="n">
        <v>0</v>
      </c>
      <c r="I7146" t="n">
        <v>0</v>
      </c>
      <c r="J7146" t="n">
        <v>0</v>
      </c>
      <c r="K7146" t="n">
        <v>0</v>
      </c>
      <c r="L7146" t="n">
        <v>0</v>
      </c>
      <c r="M7146" t="n">
        <v>0</v>
      </c>
      <c r="N7146" t="n">
        <v>0</v>
      </c>
      <c r="O7146" t="n">
        <v>0</v>
      </c>
      <c r="P7146" t="n">
        <v>0</v>
      </c>
      <c r="Q7146" t="n">
        <v>0</v>
      </c>
      <c r="R7146" s="2" t="inlineStr"/>
    </row>
    <row r="7147" ht="15" customHeight="1">
      <c r="A7147" t="inlineStr">
        <is>
          <t>A 26528-2025</t>
        </is>
      </c>
      <c r="B7147" s="1" t="n">
        <v>45807.5684375</v>
      </c>
      <c r="C7147" s="1" t="n">
        <v>46045</v>
      </c>
      <c r="D7147" t="inlineStr">
        <is>
          <t>JÄMTLANDS LÄN</t>
        </is>
      </c>
      <c r="E7147" t="inlineStr">
        <is>
          <t>HÄRJEDALEN</t>
        </is>
      </c>
      <c r="F7147" t="inlineStr">
        <is>
          <t>Holmen skog AB</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62716-2025</t>
        </is>
      </c>
      <c r="B7148" s="1" t="n">
        <v>46008.53166666667</v>
      </c>
      <c r="C7148" s="1" t="n">
        <v>46045</v>
      </c>
      <c r="D7148" t="inlineStr">
        <is>
          <t>JÄMTLANDS LÄN</t>
        </is>
      </c>
      <c r="E7148" t="inlineStr">
        <is>
          <t>KROKOM</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27276-2024</t>
        </is>
      </c>
      <c r="B7149" s="1" t="n">
        <v>45471.92549768519</v>
      </c>
      <c r="C7149" s="1" t="n">
        <v>46045</v>
      </c>
      <c r="D7149" t="inlineStr">
        <is>
          <t>JÄMTLANDS LÄN</t>
        </is>
      </c>
      <c r="E7149" t="inlineStr">
        <is>
          <t>STRÖMSUND</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31927-2023</t>
        </is>
      </c>
      <c r="B7150" s="1" t="n">
        <v>45118.94061342593</v>
      </c>
      <c r="C7150" s="1" t="n">
        <v>46045</v>
      </c>
      <c r="D7150" t="inlineStr">
        <is>
          <t>JÄMTLANDS LÄN</t>
        </is>
      </c>
      <c r="E7150" t="inlineStr">
        <is>
          <t>KROKOM</t>
        </is>
      </c>
      <c r="G7150" t="n">
        <v>56.6</v>
      </c>
      <c r="H7150" t="n">
        <v>0</v>
      </c>
      <c r="I7150" t="n">
        <v>0</v>
      </c>
      <c r="J7150" t="n">
        <v>0</v>
      </c>
      <c r="K7150" t="n">
        <v>0</v>
      </c>
      <c r="L7150" t="n">
        <v>0</v>
      </c>
      <c r="M7150" t="n">
        <v>0</v>
      </c>
      <c r="N7150" t="n">
        <v>0</v>
      </c>
      <c r="O7150" t="n">
        <v>0</v>
      </c>
      <c r="P7150" t="n">
        <v>0</v>
      </c>
      <c r="Q7150" t="n">
        <v>0</v>
      </c>
      <c r="R7150" s="2" t="inlineStr"/>
    </row>
    <row r="7151" ht="15" customHeight="1">
      <c r="A7151" t="inlineStr">
        <is>
          <t>A 60848-2023</t>
        </is>
      </c>
      <c r="B7151" s="1" t="n">
        <v>45260.92621527778</v>
      </c>
      <c r="C7151" s="1" t="n">
        <v>46045</v>
      </c>
      <c r="D7151" t="inlineStr">
        <is>
          <t>JÄMTLANDS LÄN</t>
        </is>
      </c>
      <c r="E7151" t="inlineStr">
        <is>
          <t>STRÖMSUND</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53762-2023</t>
        </is>
      </c>
      <c r="B7152" s="1" t="n">
        <v>45230.96376157407</v>
      </c>
      <c r="C7152" s="1" t="n">
        <v>46045</v>
      </c>
      <c r="D7152" t="inlineStr">
        <is>
          <t>JÄMTLANDS LÄN</t>
        </is>
      </c>
      <c r="E7152" t="inlineStr">
        <is>
          <t>RAGUNDA</t>
        </is>
      </c>
      <c r="F7152" t="inlineStr">
        <is>
          <t>SCA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54336-2025</t>
        </is>
      </c>
      <c r="B7153" s="1" t="n">
        <v>45965.35207175926</v>
      </c>
      <c r="C7153" s="1" t="n">
        <v>46045</v>
      </c>
      <c r="D7153" t="inlineStr">
        <is>
          <t>JÄMTLANDS LÄN</t>
        </is>
      </c>
      <c r="E7153" t="inlineStr">
        <is>
          <t>HÄRJEDALEN</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54358-2025</t>
        </is>
      </c>
      <c r="B7154" s="1" t="n">
        <v>45965.38599537037</v>
      </c>
      <c r="C7154" s="1" t="n">
        <v>46045</v>
      </c>
      <c r="D7154" t="inlineStr">
        <is>
          <t>JÄMTLANDS LÄN</t>
        </is>
      </c>
      <c r="E7154" t="inlineStr">
        <is>
          <t>HÄRJEDALEN</t>
        </is>
      </c>
      <c r="F7154" t="inlineStr">
        <is>
          <t>Bergvik skog väst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7430-2024</t>
        </is>
      </c>
      <c r="B7155" s="1" t="n">
        <v>45345.65929398148</v>
      </c>
      <c r="C7155" s="1" t="n">
        <v>46045</v>
      </c>
      <c r="D7155" t="inlineStr">
        <is>
          <t>JÄMTLANDS LÄN</t>
        </is>
      </c>
      <c r="E7155" t="inlineStr">
        <is>
          <t>HÄRJEDALEN</t>
        </is>
      </c>
      <c r="F7155" t="inlineStr">
        <is>
          <t>Holmen skog AB</t>
        </is>
      </c>
      <c r="G7155" t="n">
        <v>12.1</v>
      </c>
      <c r="H7155" t="n">
        <v>0</v>
      </c>
      <c r="I7155" t="n">
        <v>0</v>
      </c>
      <c r="J7155" t="n">
        <v>0</v>
      </c>
      <c r="K7155" t="n">
        <v>0</v>
      </c>
      <c r="L7155" t="n">
        <v>0</v>
      </c>
      <c r="M7155" t="n">
        <v>0</v>
      </c>
      <c r="N7155" t="n">
        <v>0</v>
      </c>
      <c r="O7155" t="n">
        <v>0</v>
      </c>
      <c r="P7155" t="n">
        <v>0</v>
      </c>
      <c r="Q7155" t="n">
        <v>0</v>
      </c>
      <c r="R7155" s="2" t="inlineStr"/>
    </row>
    <row r="7156" ht="15" customHeight="1">
      <c r="A7156" t="inlineStr">
        <is>
          <t>A 26743-2025</t>
        </is>
      </c>
      <c r="B7156" s="1" t="n">
        <v>45810.53163194445</v>
      </c>
      <c r="C7156" s="1" t="n">
        <v>46045</v>
      </c>
      <c r="D7156" t="inlineStr">
        <is>
          <t>JÄMTLANDS LÄN</t>
        </is>
      </c>
      <c r="E7156" t="inlineStr">
        <is>
          <t>BERG</t>
        </is>
      </c>
      <c r="F7156" t="inlineStr">
        <is>
          <t>SCA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19089-2024</t>
        </is>
      </c>
      <c r="B7157" s="1" t="n">
        <v>45428.00471064815</v>
      </c>
      <c r="C7157" s="1" t="n">
        <v>46045</v>
      </c>
      <c r="D7157" t="inlineStr">
        <is>
          <t>JÄMTLANDS LÄN</t>
        </is>
      </c>
      <c r="E7157" t="inlineStr">
        <is>
          <t>RAGUNDA</t>
        </is>
      </c>
      <c r="F7157" t="inlineStr">
        <is>
          <t>SCA</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27431-2024</t>
        </is>
      </c>
      <c r="B7158" s="1" t="n">
        <v>45474.3981712963</v>
      </c>
      <c r="C7158" s="1" t="n">
        <v>46045</v>
      </c>
      <c r="D7158" t="inlineStr">
        <is>
          <t>JÄMTLANDS LÄN</t>
        </is>
      </c>
      <c r="E7158" t="inlineStr">
        <is>
          <t>KROKOM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54294-2025</t>
        </is>
      </c>
      <c r="B7159" s="1" t="n">
        <v>45964.87017361111</v>
      </c>
      <c r="C7159" s="1" t="n">
        <v>46045</v>
      </c>
      <c r="D7159" t="inlineStr">
        <is>
          <t>JÄMTLANDS LÄN</t>
        </is>
      </c>
      <c r="E7159" t="inlineStr">
        <is>
          <t>STRÖMSUND</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54322-2025</t>
        </is>
      </c>
      <c r="B7160" s="1" t="n">
        <v>45965.34436342592</v>
      </c>
      <c r="C7160" s="1" t="n">
        <v>46045</v>
      </c>
      <c r="D7160" t="inlineStr">
        <is>
          <t>JÄMTLANDS LÄN</t>
        </is>
      </c>
      <c r="E7160" t="inlineStr">
        <is>
          <t>STRÖMSUND</t>
        </is>
      </c>
      <c r="F7160" t="inlineStr">
        <is>
          <t>SCA</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6202-2022</t>
        </is>
      </c>
      <c r="B7161" s="1" t="n">
        <v>44600</v>
      </c>
      <c r="C7161" s="1" t="n">
        <v>46045</v>
      </c>
      <c r="D7161" t="inlineStr">
        <is>
          <t>JÄMTLANDS LÄN</t>
        </is>
      </c>
      <c r="E7161" t="inlineStr">
        <is>
          <t>STRÖMSUND</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62709-2025</t>
        </is>
      </c>
      <c r="B7162" s="1" t="n">
        <v>46008.51083333333</v>
      </c>
      <c r="C7162" s="1" t="n">
        <v>46045</v>
      </c>
      <c r="D7162" t="inlineStr">
        <is>
          <t>JÄMTLANDS LÄN</t>
        </is>
      </c>
      <c r="E7162" t="inlineStr">
        <is>
          <t>KROKOM</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57278-2022</t>
        </is>
      </c>
      <c r="B7163" s="1" t="n">
        <v>44895.9491550926</v>
      </c>
      <c r="C7163" s="1" t="n">
        <v>46045</v>
      </c>
      <c r="D7163" t="inlineStr">
        <is>
          <t>JÄMTLANDS LÄN</t>
        </is>
      </c>
      <c r="E7163" t="inlineStr">
        <is>
          <t>STRÖMSUND</t>
        </is>
      </c>
      <c r="F7163" t="inlineStr">
        <is>
          <t>SCA</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59245-2024</t>
        </is>
      </c>
      <c r="B7164" s="1" t="n">
        <v>45637.59230324074</v>
      </c>
      <c r="C7164" s="1" t="n">
        <v>46045</v>
      </c>
      <c r="D7164" t="inlineStr">
        <is>
          <t>JÄMTLANDS LÄN</t>
        </is>
      </c>
      <c r="E7164" t="inlineStr">
        <is>
          <t>BRÄCKE</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26499-2025</t>
        </is>
      </c>
      <c r="B7165" s="1" t="n">
        <v>45807.5109837963</v>
      </c>
      <c r="C7165" s="1" t="n">
        <v>46045</v>
      </c>
      <c r="D7165" t="inlineStr">
        <is>
          <t>JÄMTLANDS LÄN</t>
        </is>
      </c>
      <c r="E7165" t="inlineStr">
        <is>
          <t>STRÖMSUND</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62710-2025</t>
        </is>
      </c>
      <c r="B7166" s="1" t="n">
        <v>46008.51097222222</v>
      </c>
      <c r="C7166" s="1" t="n">
        <v>46045</v>
      </c>
      <c r="D7166" t="inlineStr">
        <is>
          <t>JÄMTLANDS LÄN</t>
        </is>
      </c>
      <c r="E7166" t="inlineStr">
        <is>
          <t>KROKOM</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6894-2024</t>
        </is>
      </c>
      <c r="B7167" s="1" t="n">
        <v>45342.92760416667</v>
      </c>
      <c r="C7167" s="1" t="n">
        <v>46045</v>
      </c>
      <c r="D7167" t="inlineStr">
        <is>
          <t>JÄMTLANDS LÄN</t>
        </is>
      </c>
      <c r="E7167" t="inlineStr">
        <is>
          <t>STRÖMSUND</t>
        </is>
      </c>
      <c r="G7167" t="n">
        <v>16.3</v>
      </c>
      <c r="H7167" t="n">
        <v>0</v>
      </c>
      <c r="I7167" t="n">
        <v>0</v>
      </c>
      <c r="J7167" t="n">
        <v>0</v>
      </c>
      <c r="K7167" t="n">
        <v>0</v>
      </c>
      <c r="L7167" t="n">
        <v>0</v>
      </c>
      <c r="M7167" t="n">
        <v>0</v>
      </c>
      <c r="N7167" t="n">
        <v>0</v>
      </c>
      <c r="O7167" t="n">
        <v>0</v>
      </c>
      <c r="P7167" t="n">
        <v>0</v>
      </c>
      <c r="Q7167" t="n">
        <v>0</v>
      </c>
      <c r="R7167" s="2" t="inlineStr"/>
    </row>
    <row r="7168" ht="15" customHeight="1">
      <c r="A7168" t="inlineStr">
        <is>
          <t>A 54714-2025</t>
        </is>
      </c>
      <c r="B7168" s="1" t="n">
        <v>45966.50523148148</v>
      </c>
      <c r="C7168" s="1" t="n">
        <v>46045</v>
      </c>
      <c r="D7168" t="inlineStr">
        <is>
          <t>JÄMTLANDS LÄN</t>
        </is>
      </c>
      <c r="E7168" t="inlineStr">
        <is>
          <t>KROKOM</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13722-2025</t>
        </is>
      </c>
      <c r="B7169" s="1" t="n">
        <v>45737.36873842592</v>
      </c>
      <c r="C7169" s="1" t="n">
        <v>46045</v>
      </c>
      <c r="D7169" t="inlineStr">
        <is>
          <t>JÄMTLANDS LÄN</t>
        </is>
      </c>
      <c r="E7169" t="inlineStr">
        <is>
          <t>KROKOM</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26660-2023</t>
        </is>
      </c>
      <c r="B7170" s="1" t="n">
        <v>45092</v>
      </c>
      <c r="C7170" s="1" t="n">
        <v>46045</v>
      </c>
      <c r="D7170" t="inlineStr">
        <is>
          <t>JÄMTLANDS LÄN</t>
        </is>
      </c>
      <c r="E7170" t="inlineStr">
        <is>
          <t>STRÖMSUND</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62464-2025</t>
        </is>
      </c>
      <c r="B7171" s="1" t="n">
        <v>46007.50673611111</v>
      </c>
      <c r="C7171" s="1" t="n">
        <v>46045</v>
      </c>
      <c r="D7171" t="inlineStr">
        <is>
          <t>JÄMTLANDS LÄN</t>
        </is>
      </c>
      <c r="E7171" t="inlineStr">
        <is>
          <t>BRÄCKE</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38270-2021</t>
        </is>
      </c>
      <c r="B7172" s="1" t="n">
        <v>44405.92065972222</v>
      </c>
      <c r="C7172" s="1" t="n">
        <v>46045</v>
      </c>
      <c r="D7172" t="inlineStr">
        <is>
          <t>JÄMTLANDS LÄN</t>
        </is>
      </c>
      <c r="E7172" t="inlineStr">
        <is>
          <t>RAGUNDA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4861-2025</t>
        </is>
      </c>
      <c r="B7173" s="1" t="n">
        <v>45688.67481481482</v>
      </c>
      <c r="C7173" s="1" t="n">
        <v>46045</v>
      </c>
      <c r="D7173" t="inlineStr">
        <is>
          <t>JÄMTLANDS LÄN</t>
        </is>
      </c>
      <c r="E7173" t="inlineStr">
        <is>
          <t>BRÄCKE</t>
        </is>
      </c>
      <c r="F7173" t="inlineStr">
        <is>
          <t>SCA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4866-2025</t>
        </is>
      </c>
      <c r="B7174" s="1" t="n">
        <v>45688.67542824074</v>
      </c>
      <c r="C7174" s="1" t="n">
        <v>46045</v>
      </c>
      <c r="D7174" t="inlineStr">
        <is>
          <t>JÄMTLANDS LÄN</t>
        </is>
      </c>
      <c r="E7174" t="inlineStr">
        <is>
          <t>RAGUNDA</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26680-2025</t>
        </is>
      </c>
      <c r="B7175" s="1" t="n">
        <v>45810</v>
      </c>
      <c r="C7175" s="1" t="n">
        <v>46045</v>
      </c>
      <c r="D7175" t="inlineStr">
        <is>
          <t>JÄMTLANDS LÄN</t>
        </is>
      </c>
      <c r="E7175" t="inlineStr">
        <is>
          <t>STRÖMSUND</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4879-2025</t>
        </is>
      </c>
      <c r="B7176" s="1" t="n">
        <v>45688.6769212963</v>
      </c>
      <c r="C7176" s="1" t="n">
        <v>46045</v>
      </c>
      <c r="D7176" t="inlineStr">
        <is>
          <t>JÄMTLANDS LÄN</t>
        </is>
      </c>
      <c r="E7176" t="inlineStr">
        <is>
          <t>HÄRJEDALEN</t>
        </is>
      </c>
      <c r="F7176" t="inlineStr">
        <is>
          <t>SCA</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54639-2025</t>
        </is>
      </c>
      <c r="B7177" s="1" t="n">
        <v>45966</v>
      </c>
      <c r="C7177" s="1" t="n">
        <v>46045</v>
      </c>
      <c r="D7177" t="inlineStr">
        <is>
          <t>JÄMTLANDS LÄN</t>
        </is>
      </c>
      <c r="E7177" t="inlineStr">
        <is>
          <t>KROKOM</t>
        </is>
      </c>
      <c r="F7177" t="inlineStr">
        <is>
          <t>SCA</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54667-2025</t>
        </is>
      </c>
      <c r="B7178" s="1" t="n">
        <v>45966.4077662037</v>
      </c>
      <c r="C7178" s="1" t="n">
        <v>46045</v>
      </c>
      <c r="D7178" t="inlineStr">
        <is>
          <t>JÄMTLANDS LÄN</t>
        </is>
      </c>
      <c r="E7178" t="inlineStr">
        <is>
          <t>ÖSTERSUND</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26650-2025</t>
        </is>
      </c>
      <c r="B7179" s="1" t="n">
        <v>45810.38618055556</v>
      </c>
      <c r="C7179" s="1" t="n">
        <v>46045</v>
      </c>
      <c r="D7179" t="inlineStr">
        <is>
          <t>JÄMTLANDS LÄN</t>
        </is>
      </c>
      <c r="E7179" t="inlineStr">
        <is>
          <t>STRÖMSUND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58909-2025</t>
        </is>
      </c>
      <c r="B7180" s="1" t="n">
        <v>45987</v>
      </c>
      <c r="C7180" s="1" t="n">
        <v>46045</v>
      </c>
      <c r="D7180" t="inlineStr">
        <is>
          <t>JÄMTLANDS LÄN</t>
        </is>
      </c>
      <c r="E7180" t="inlineStr">
        <is>
          <t>RAGUNDA</t>
        </is>
      </c>
      <c r="G7180" t="n">
        <v>9.5</v>
      </c>
      <c r="H7180" t="n">
        <v>0</v>
      </c>
      <c r="I7180" t="n">
        <v>0</v>
      </c>
      <c r="J7180" t="n">
        <v>0</v>
      </c>
      <c r="K7180" t="n">
        <v>0</v>
      </c>
      <c r="L7180" t="n">
        <v>0</v>
      </c>
      <c r="M7180" t="n">
        <v>0</v>
      </c>
      <c r="N7180" t="n">
        <v>0</v>
      </c>
      <c r="O7180" t="n">
        <v>0</v>
      </c>
      <c r="P7180" t="n">
        <v>0</v>
      </c>
      <c r="Q7180" t="n">
        <v>0</v>
      </c>
      <c r="R7180" s="2" t="inlineStr"/>
    </row>
    <row r="7181" ht="15" customHeight="1">
      <c r="A7181" t="inlineStr">
        <is>
          <t>A 19788-2025</t>
        </is>
      </c>
      <c r="B7181" s="1" t="n">
        <v>45771.44377314814</v>
      </c>
      <c r="C7181" s="1" t="n">
        <v>46045</v>
      </c>
      <c r="D7181" t="inlineStr">
        <is>
          <t>JÄMTLANDS LÄN</t>
        </is>
      </c>
      <c r="E7181" t="inlineStr">
        <is>
          <t>STRÖMSUND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13651-2025</t>
        </is>
      </c>
      <c r="B7182" s="1" t="n">
        <v>45736.71818287037</v>
      </c>
      <c r="C7182" s="1" t="n">
        <v>46045</v>
      </c>
      <c r="D7182" t="inlineStr">
        <is>
          <t>JÄMTLANDS LÄN</t>
        </is>
      </c>
      <c r="E7182" t="inlineStr">
        <is>
          <t>ÖSTERSUND</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62511-2025</t>
        </is>
      </c>
      <c r="B7183" s="1" t="n">
        <v>46007.59884259259</v>
      </c>
      <c r="C7183" s="1" t="n">
        <v>46045</v>
      </c>
      <c r="D7183" t="inlineStr">
        <is>
          <t>JÄMTLANDS LÄN</t>
        </is>
      </c>
      <c r="E7183" t="inlineStr">
        <is>
          <t>BRÄCKE</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62528-2025</t>
        </is>
      </c>
      <c r="B7184" s="1" t="n">
        <v>46007.63605324074</v>
      </c>
      <c r="C7184" s="1" t="n">
        <v>46045</v>
      </c>
      <c r="D7184" t="inlineStr">
        <is>
          <t>JÄMTLANDS LÄN</t>
        </is>
      </c>
      <c r="E7184" t="inlineStr">
        <is>
          <t>HÄRJEDALEN</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62535-2025</t>
        </is>
      </c>
      <c r="B7185" s="1" t="n">
        <v>46007.63792824074</v>
      </c>
      <c r="C7185" s="1" t="n">
        <v>46045</v>
      </c>
      <c r="D7185" t="inlineStr">
        <is>
          <t>JÄMTLANDS LÄN</t>
        </is>
      </c>
      <c r="E7185" t="inlineStr">
        <is>
          <t>BRÄCKE</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62536-2025</t>
        </is>
      </c>
      <c r="B7186" s="1" t="n">
        <v>46007.63947916667</v>
      </c>
      <c r="C7186" s="1" t="n">
        <v>46045</v>
      </c>
      <c r="D7186" t="inlineStr">
        <is>
          <t>JÄMTLANDS LÄN</t>
        </is>
      </c>
      <c r="E7186" t="inlineStr">
        <is>
          <t>BRÄCKE</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62505-2025</t>
        </is>
      </c>
      <c r="B7187" s="1" t="n">
        <v>46007.59438657408</v>
      </c>
      <c r="C7187" s="1" t="n">
        <v>46045</v>
      </c>
      <c r="D7187" t="inlineStr">
        <is>
          <t>JÄMTLANDS LÄN</t>
        </is>
      </c>
      <c r="E7187" t="inlineStr">
        <is>
          <t>KROKOM</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62508-2025</t>
        </is>
      </c>
      <c r="B7188" s="1" t="n">
        <v>46007.59456018519</v>
      </c>
      <c r="C7188" s="1" t="n">
        <v>46045</v>
      </c>
      <c r="D7188" t="inlineStr">
        <is>
          <t>JÄMTLANDS LÄN</t>
        </is>
      </c>
      <c r="E7188" t="inlineStr">
        <is>
          <t>KROKOM</t>
        </is>
      </c>
      <c r="G7188" t="n">
        <v>44.9</v>
      </c>
      <c r="H7188" t="n">
        <v>0</v>
      </c>
      <c r="I7188" t="n">
        <v>0</v>
      </c>
      <c r="J7188" t="n">
        <v>0</v>
      </c>
      <c r="K7188" t="n">
        <v>0</v>
      </c>
      <c r="L7188" t="n">
        <v>0</v>
      </c>
      <c r="M7188" t="n">
        <v>0</v>
      </c>
      <c r="N7188" t="n">
        <v>0</v>
      </c>
      <c r="O7188" t="n">
        <v>0</v>
      </c>
      <c r="P7188" t="n">
        <v>0</v>
      </c>
      <c r="Q7188" t="n">
        <v>0</v>
      </c>
      <c r="R7188" s="2" t="inlineStr"/>
    </row>
    <row r="7189" ht="15" customHeight="1">
      <c r="A7189" t="inlineStr">
        <is>
          <t>A 26523-2025</t>
        </is>
      </c>
      <c r="B7189" s="1" t="n">
        <v>45807.56403935186</v>
      </c>
      <c r="C7189" s="1" t="n">
        <v>46045</v>
      </c>
      <c r="D7189" t="inlineStr">
        <is>
          <t>JÄMTLANDS LÄN</t>
        </is>
      </c>
      <c r="E7189" t="inlineStr">
        <is>
          <t>HÄRJEDALEN</t>
        </is>
      </c>
      <c r="F7189" t="inlineStr">
        <is>
          <t>Holmen skog AB</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62509-2025</t>
        </is>
      </c>
      <c r="B7190" s="1" t="n">
        <v>46007.5958912037</v>
      </c>
      <c r="C7190" s="1" t="n">
        <v>46045</v>
      </c>
      <c r="D7190" t="inlineStr">
        <is>
          <t>JÄMTLANDS LÄN</t>
        </is>
      </c>
      <c r="E7190" t="inlineStr">
        <is>
          <t>ÖSTERSUND</t>
        </is>
      </c>
      <c r="G7190" t="n">
        <v>8.699999999999999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62530-2025</t>
        </is>
      </c>
      <c r="B7191" s="1" t="n">
        <v>46007.63618055556</v>
      </c>
      <c r="C7191" s="1" t="n">
        <v>46045</v>
      </c>
      <c r="D7191" t="inlineStr">
        <is>
          <t>JÄMTLANDS LÄN</t>
        </is>
      </c>
      <c r="E7191" t="inlineStr">
        <is>
          <t>ÅRE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27399-2025</t>
        </is>
      </c>
      <c r="B7192" s="1" t="n">
        <v>45812.69826388889</v>
      </c>
      <c r="C7192" s="1" t="n">
        <v>46045</v>
      </c>
      <c r="D7192" t="inlineStr">
        <is>
          <t>JÄMTLANDS LÄN</t>
        </is>
      </c>
      <c r="E7192" t="inlineStr">
        <is>
          <t>STRÖMSUND</t>
        </is>
      </c>
      <c r="F7192" t="inlineStr">
        <is>
          <t>SCA</t>
        </is>
      </c>
      <c r="G7192" t="n">
        <v>15.8</v>
      </c>
      <c r="H7192" t="n">
        <v>0</v>
      </c>
      <c r="I7192" t="n">
        <v>0</v>
      </c>
      <c r="J7192" t="n">
        <v>0</v>
      </c>
      <c r="K7192" t="n">
        <v>0</v>
      </c>
      <c r="L7192" t="n">
        <v>0</v>
      </c>
      <c r="M7192" t="n">
        <v>0</v>
      </c>
      <c r="N7192" t="n">
        <v>0</v>
      </c>
      <c r="O7192" t="n">
        <v>0</v>
      </c>
      <c r="P7192" t="n">
        <v>0</v>
      </c>
      <c r="Q7192" t="n">
        <v>0</v>
      </c>
      <c r="R7192" s="2" t="inlineStr"/>
    </row>
    <row r="7193" ht="15" customHeight="1">
      <c r="A7193" t="inlineStr">
        <is>
          <t>A 33870-2023</t>
        </is>
      </c>
      <c r="B7193" s="1" t="n">
        <v>45133.95326388889</v>
      </c>
      <c r="C7193" s="1" t="n">
        <v>46045</v>
      </c>
      <c r="D7193" t="inlineStr">
        <is>
          <t>JÄMTLANDS LÄN</t>
        </is>
      </c>
      <c r="E7193" t="inlineStr">
        <is>
          <t>BRÄCKE</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54706-2025</t>
        </is>
      </c>
      <c r="B7194" s="1" t="n">
        <v>45966.48873842593</v>
      </c>
      <c r="C7194" s="1" t="n">
        <v>46045</v>
      </c>
      <c r="D7194" t="inlineStr">
        <is>
          <t>JÄMTLANDS LÄN</t>
        </is>
      </c>
      <c r="E7194" t="inlineStr">
        <is>
          <t>KROKOM</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5630-2024</t>
        </is>
      </c>
      <c r="B7195" s="1" t="n">
        <v>45334</v>
      </c>
      <c r="C7195" s="1" t="n">
        <v>46045</v>
      </c>
      <c r="D7195" t="inlineStr">
        <is>
          <t>JÄMTLANDS LÄN</t>
        </is>
      </c>
      <c r="E7195" t="inlineStr">
        <is>
          <t>HÄRJEDALEN</t>
        </is>
      </c>
      <c r="F7195" t="inlineStr">
        <is>
          <t>Övriga statliga verk och myndigheter</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54787-2025</t>
        </is>
      </c>
      <c r="B7196" s="1" t="n">
        <v>45966.62802083333</v>
      </c>
      <c r="C7196" s="1" t="n">
        <v>46045</v>
      </c>
      <c r="D7196" t="inlineStr">
        <is>
          <t>JÄMTLANDS LÄN</t>
        </is>
      </c>
      <c r="E7196" t="inlineStr">
        <is>
          <t>KROKOM</t>
        </is>
      </c>
      <c r="G7196" t="n">
        <v>8.9</v>
      </c>
      <c r="H7196" t="n">
        <v>0</v>
      </c>
      <c r="I7196" t="n">
        <v>0</v>
      </c>
      <c r="J7196" t="n">
        <v>0</v>
      </c>
      <c r="K7196" t="n">
        <v>0</v>
      </c>
      <c r="L7196" t="n">
        <v>0</v>
      </c>
      <c r="M7196" t="n">
        <v>0</v>
      </c>
      <c r="N7196" t="n">
        <v>0</v>
      </c>
      <c r="O7196" t="n">
        <v>0</v>
      </c>
      <c r="P7196" t="n">
        <v>0</v>
      </c>
      <c r="Q7196" t="n">
        <v>0</v>
      </c>
      <c r="R7196" s="2" t="inlineStr"/>
    </row>
    <row r="7197" ht="15" customHeight="1">
      <c r="A7197" t="inlineStr">
        <is>
          <t>A 54823-2025</t>
        </is>
      </c>
      <c r="B7197" s="1" t="n">
        <v>45966.66451388889</v>
      </c>
      <c r="C7197" s="1" t="n">
        <v>46045</v>
      </c>
      <c r="D7197" t="inlineStr">
        <is>
          <t>JÄMTLANDS LÄN</t>
        </is>
      </c>
      <c r="E7197" t="inlineStr">
        <is>
          <t>ÅRE</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54354-2025</t>
        </is>
      </c>
      <c r="B7198" s="1" t="n">
        <v>45965.37909722222</v>
      </c>
      <c r="C7198" s="1" t="n">
        <v>46045</v>
      </c>
      <c r="D7198" t="inlineStr">
        <is>
          <t>JÄMTLANDS LÄN</t>
        </is>
      </c>
      <c r="E7198" t="inlineStr">
        <is>
          <t>HÄRJEDALEN</t>
        </is>
      </c>
      <c r="F7198" t="inlineStr">
        <is>
          <t>Bergvik skog väst AB</t>
        </is>
      </c>
      <c r="G7198" t="n">
        <v>10.9</v>
      </c>
      <c r="H7198" t="n">
        <v>0</v>
      </c>
      <c r="I7198" t="n">
        <v>0</v>
      </c>
      <c r="J7198" t="n">
        <v>0</v>
      </c>
      <c r="K7198" t="n">
        <v>0</v>
      </c>
      <c r="L7198" t="n">
        <v>0</v>
      </c>
      <c r="M7198" t="n">
        <v>0</v>
      </c>
      <c r="N7198" t="n">
        <v>0</v>
      </c>
      <c r="O7198" t="n">
        <v>0</v>
      </c>
      <c r="P7198" t="n">
        <v>0</v>
      </c>
      <c r="Q7198" t="n">
        <v>0</v>
      </c>
      <c r="R7198" s="2" t="inlineStr"/>
    </row>
    <row r="7199" ht="15" customHeight="1">
      <c r="A7199" t="inlineStr">
        <is>
          <t>A 27035-2025</t>
        </is>
      </c>
      <c r="B7199" s="1" t="n">
        <v>45811.5928587963</v>
      </c>
      <c r="C7199" s="1" t="n">
        <v>46045</v>
      </c>
      <c r="D7199" t="inlineStr">
        <is>
          <t>JÄMTLANDS LÄN</t>
        </is>
      </c>
      <c r="E7199" t="inlineStr">
        <is>
          <t>ÖSTERSUND</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54852-2025</t>
        </is>
      </c>
      <c r="B7200" s="1" t="n">
        <v>45966.71946759259</v>
      </c>
      <c r="C7200" s="1" t="n">
        <v>46045</v>
      </c>
      <c r="D7200" t="inlineStr">
        <is>
          <t>JÄMTLANDS LÄN</t>
        </is>
      </c>
      <c r="E7200" t="inlineStr">
        <is>
          <t>BERG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62445-2025</t>
        </is>
      </c>
      <c r="B7201" s="1" t="n">
        <v>46007.484375</v>
      </c>
      <c r="C7201" s="1" t="n">
        <v>46045</v>
      </c>
      <c r="D7201" t="inlineStr">
        <is>
          <t>JÄMTLANDS LÄN</t>
        </is>
      </c>
      <c r="E7201" t="inlineStr">
        <is>
          <t>BRÄCKE</t>
        </is>
      </c>
      <c r="F7201" t="inlineStr">
        <is>
          <t>Övriga Aktiebolag</t>
        </is>
      </c>
      <c r="G7201" t="n">
        <v>9.4</v>
      </c>
      <c r="H7201" t="n">
        <v>0</v>
      </c>
      <c r="I7201" t="n">
        <v>0</v>
      </c>
      <c r="J7201" t="n">
        <v>0</v>
      </c>
      <c r="K7201" t="n">
        <v>0</v>
      </c>
      <c r="L7201" t="n">
        <v>0</v>
      </c>
      <c r="M7201" t="n">
        <v>0</v>
      </c>
      <c r="N7201" t="n">
        <v>0</v>
      </c>
      <c r="O7201" t="n">
        <v>0</v>
      </c>
      <c r="P7201" t="n">
        <v>0</v>
      </c>
      <c r="Q7201" t="n">
        <v>0</v>
      </c>
      <c r="R7201" s="2" t="inlineStr"/>
    </row>
    <row r="7202" ht="15" customHeight="1">
      <c r="A7202" t="inlineStr">
        <is>
          <t>A 27312-2025</t>
        </is>
      </c>
      <c r="B7202" s="1" t="n">
        <v>45812.58002314815</v>
      </c>
      <c r="C7202" s="1" t="n">
        <v>46045</v>
      </c>
      <c r="D7202" t="inlineStr">
        <is>
          <t>JÄMTLANDS LÄN</t>
        </is>
      </c>
      <c r="E7202" t="inlineStr">
        <is>
          <t>BERG</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62634-2025</t>
        </is>
      </c>
      <c r="B7203" s="1" t="n">
        <v>46008.36510416667</v>
      </c>
      <c r="C7203" s="1" t="n">
        <v>46045</v>
      </c>
      <c r="D7203" t="inlineStr">
        <is>
          <t>JÄMTLANDS LÄN</t>
        </is>
      </c>
      <c r="E7203" t="inlineStr">
        <is>
          <t>STRÖMSUND</t>
        </is>
      </c>
      <c r="F7203" t="inlineStr">
        <is>
          <t>SCA</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62638-2025</t>
        </is>
      </c>
      <c r="B7204" s="1" t="n">
        <v>46008.36564814814</v>
      </c>
      <c r="C7204" s="1" t="n">
        <v>46045</v>
      </c>
      <c r="D7204" t="inlineStr">
        <is>
          <t>JÄMTLANDS LÄN</t>
        </is>
      </c>
      <c r="E7204" t="inlineStr">
        <is>
          <t>RAGUNDA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35076-2025</t>
        </is>
      </c>
      <c r="B7205" s="1" t="n">
        <v>45852.48290509259</v>
      </c>
      <c r="C7205" s="1" t="n">
        <v>46045</v>
      </c>
      <c r="D7205" t="inlineStr">
        <is>
          <t>JÄMTLANDS LÄN</t>
        </is>
      </c>
      <c r="E7205" t="inlineStr">
        <is>
          <t>HÄRJEDALEN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4128-2025</t>
        </is>
      </c>
      <c r="B7206" s="1" t="n">
        <v>45685</v>
      </c>
      <c r="C7206" s="1" t="n">
        <v>46045</v>
      </c>
      <c r="D7206" t="inlineStr">
        <is>
          <t>JÄMTLANDS LÄN</t>
        </is>
      </c>
      <c r="E7206" t="inlineStr">
        <is>
          <t>HÄRJEDALEN</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54660-2025</t>
        </is>
      </c>
      <c r="B7207" s="1" t="n">
        <v>45966.40671296296</v>
      </c>
      <c r="C7207" s="1" t="n">
        <v>46045</v>
      </c>
      <c r="D7207" t="inlineStr">
        <is>
          <t>JÄMTLANDS LÄN</t>
        </is>
      </c>
      <c r="E7207" t="inlineStr">
        <is>
          <t>STRÖMSUND</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62457-2025</t>
        </is>
      </c>
      <c r="B7208" s="1" t="n">
        <v>46007.50248842593</v>
      </c>
      <c r="C7208" s="1" t="n">
        <v>46045</v>
      </c>
      <c r="D7208" t="inlineStr">
        <is>
          <t>JÄMTLANDS LÄN</t>
        </is>
      </c>
      <c r="E7208" t="inlineStr">
        <is>
          <t>BRÄCKE</t>
        </is>
      </c>
      <c r="F7208" t="inlineStr">
        <is>
          <t>Övriga Aktiebolag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62460-2025</t>
        </is>
      </c>
      <c r="B7209" s="1" t="n">
        <v>46007.50479166667</v>
      </c>
      <c r="C7209" s="1" t="n">
        <v>46045</v>
      </c>
      <c r="D7209" t="inlineStr">
        <is>
          <t>JÄMTLANDS LÄN</t>
        </is>
      </c>
      <c r="E7209" t="inlineStr">
        <is>
          <t>BRÄCKE</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62467-2025</t>
        </is>
      </c>
      <c r="B7210" s="1" t="n">
        <v>46007.5108912037</v>
      </c>
      <c r="C7210" s="1" t="n">
        <v>46045</v>
      </c>
      <c r="D7210" t="inlineStr">
        <is>
          <t>JÄMTLANDS LÄN</t>
        </is>
      </c>
      <c r="E7210" t="inlineStr">
        <is>
          <t>RAGUNDA</t>
        </is>
      </c>
      <c r="F7210" t="inlineStr">
        <is>
          <t>SCA</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62533-2025</t>
        </is>
      </c>
      <c r="B7211" s="1" t="n">
        <v>46007.63633101852</v>
      </c>
      <c r="C7211" s="1" t="n">
        <v>46045</v>
      </c>
      <c r="D7211" t="inlineStr">
        <is>
          <t>JÄMTLANDS LÄN</t>
        </is>
      </c>
      <c r="E7211" t="inlineStr">
        <is>
          <t>BRÄCKE</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20865-2024</t>
        </is>
      </c>
      <c r="B7212" s="1" t="n">
        <v>45439.43106481482</v>
      </c>
      <c r="C7212" s="1" t="n">
        <v>46045</v>
      </c>
      <c r="D7212" t="inlineStr">
        <is>
          <t>JÄMTLANDS LÄN</t>
        </is>
      </c>
      <c r="E7212" t="inlineStr">
        <is>
          <t>HÄRJEDALEN</t>
        </is>
      </c>
      <c r="F7212" t="inlineStr">
        <is>
          <t>Holmen skog AB</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62546-2025</t>
        </is>
      </c>
      <c r="B7213" s="1" t="n">
        <v>46007.6616087963</v>
      </c>
      <c r="C7213" s="1" t="n">
        <v>46045</v>
      </c>
      <c r="D7213" t="inlineStr">
        <is>
          <t>JÄMTLANDS LÄN</t>
        </is>
      </c>
      <c r="E7213" t="inlineStr">
        <is>
          <t>BRÄCKE</t>
        </is>
      </c>
      <c r="G7213" t="n">
        <v>14.1</v>
      </c>
      <c r="H7213" t="n">
        <v>0</v>
      </c>
      <c r="I7213" t="n">
        <v>0</v>
      </c>
      <c r="J7213" t="n">
        <v>0</v>
      </c>
      <c r="K7213" t="n">
        <v>0</v>
      </c>
      <c r="L7213" t="n">
        <v>0</v>
      </c>
      <c r="M7213" t="n">
        <v>0</v>
      </c>
      <c r="N7213" t="n">
        <v>0</v>
      </c>
      <c r="O7213" t="n">
        <v>0</v>
      </c>
      <c r="P7213" t="n">
        <v>0</v>
      </c>
      <c r="Q7213" t="n">
        <v>0</v>
      </c>
      <c r="R7213" s="2" t="inlineStr"/>
    </row>
    <row r="7214" ht="15" customHeight="1">
      <c r="A7214" t="inlineStr">
        <is>
          <t>A 54316-2025</t>
        </is>
      </c>
      <c r="B7214" s="1" t="n">
        <v>45965.32975694445</v>
      </c>
      <c r="C7214" s="1" t="n">
        <v>46045</v>
      </c>
      <c r="D7214" t="inlineStr">
        <is>
          <t>JÄMTLANDS LÄN</t>
        </is>
      </c>
      <c r="E7214" t="inlineStr">
        <is>
          <t>BRÄCKE</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62389-2025</t>
        </is>
      </c>
      <c r="B7215" s="1" t="n">
        <v>46007.38496527778</v>
      </c>
      <c r="C7215" s="1" t="n">
        <v>46045</v>
      </c>
      <c r="D7215" t="inlineStr">
        <is>
          <t>JÄMTLANDS LÄN</t>
        </is>
      </c>
      <c r="E7215" t="inlineStr">
        <is>
          <t>BRÄCKE</t>
        </is>
      </c>
      <c r="F7215" t="inlineStr">
        <is>
          <t>Övriga Aktiebolag</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20634-2023</t>
        </is>
      </c>
      <c r="B7216" s="1" t="n">
        <v>45057.9441087963</v>
      </c>
      <c r="C7216" s="1" t="n">
        <v>46045</v>
      </c>
      <c r="D7216" t="inlineStr">
        <is>
          <t>JÄMTLANDS LÄN</t>
        </is>
      </c>
      <c r="E7216" t="inlineStr">
        <is>
          <t>ÖSTERSUND</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54764-2025</t>
        </is>
      </c>
      <c r="B7217" s="1" t="n">
        <v>45966.60278935185</v>
      </c>
      <c r="C7217" s="1" t="n">
        <v>46045</v>
      </c>
      <c r="D7217" t="inlineStr">
        <is>
          <t>JÄMTLANDS LÄN</t>
        </is>
      </c>
      <c r="E7217" t="inlineStr">
        <is>
          <t>HÄRJEDALEN</t>
        </is>
      </c>
      <c r="F7217" t="inlineStr">
        <is>
          <t>Bergvik skog väst AB</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54772-2025</t>
        </is>
      </c>
      <c r="B7218" s="1" t="n">
        <v>45966.60880787037</v>
      </c>
      <c r="C7218" s="1" t="n">
        <v>46045</v>
      </c>
      <c r="D7218" t="inlineStr">
        <is>
          <t>JÄMTLANDS LÄN</t>
        </is>
      </c>
      <c r="E7218" t="inlineStr">
        <is>
          <t>KROKOM</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26619-2025</t>
        </is>
      </c>
      <c r="B7219" s="1" t="n">
        <v>45810.31376157407</v>
      </c>
      <c r="C7219" s="1" t="n">
        <v>46045</v>
      </c>
      <c r="D7219" t="inlineStr">
        <is>
          <t>JÄMTLANDS LÄN</t>
        </is>
      </c>
      <c r="E7219" t="inlineStr">
        <is>
          <t>KROKOM</t>
        </is>
      </c>
      <c r="G7219" t="n">
        <v>8.199999999999999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24489-2025</t>
        </is>
      </c>
      <c r="B7220" s="1" t="n">
        <v>45798.3859375</v>
      </c>
      <c r="C7220" s="1" t="n">
        <v>46045</v>
      </c>
      <c r="D7220" t="inlineStr">
        <is>
          <t>JÄMTLANDS LÄN</t>
        </is>
      </c>
      <c r="E7220" t="inlineStr">
        <is>
          <t>BRÄCKE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54791-2025</t>
        </is>
      </c>
      <c r="B7221" s="1" t="n">
        <v>45966.63326388889</v>
      </c>
      <c r="C7221" s="1" t="n">
        <v>46045</v>
      </c>
      <c r="D7221" t="inlineStr">
        <is>
          <t>JÄMTLANDS LÄN</t>
        </is>
      </c>
      <c r="E7221" t="inlineStr">
        <is>
          <t>KROKOM</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27166-2025</t>
        </is>
      </c>
      <c r="B7222" s="1" t="n">
        <v>45812.34453703704</v>
      </c>
      <c r="C7222" s="1" t="n">
        <v>46045</v>
      </c>
      <c r="D7222" t="inlineStr">
        <is>
          <t>JÄMTLANDS LÄN</t>
        </is>
      </c>
      <c r="E7222" t="inlineStr">
        <is>
          <t>STRÖMSUND</t>
        </is>
      </c>
      <c r="F7222" t="inlineStr">
        <is>
          <t>SCA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27170-2025</t>
        </is>
      </c>
      <c r="B7223" s="1" t="n">
        <v>45812.34488425926</v>
      </c>
      <c r="C7223" s="1" t="n">
        <v>46045</v>
      </c>
      <c r="D7223" t="inlineStr">
        <is>
          <t>JÄMTLANDS LÄN</t>
        </is>
      </c>
      <c r="E7223" t="inlineStr">
        <is>
          <t>STRÖMSUND</t>
        </is>
      </c>
      <c r="G7223" t="n">
        <v>12.4</v>
      </c>
      <c r="H7223" t="n">
        <v>0</v>
      </c>
      <c r="I7223" t="n">
        <v>0</v>
      </c>
      <c r="J7223" t="n">
        <v>0</v>
      </c>
      <c r="K7223" t="n">
        <v>0</v>
      </c>
      <c r="L7223" t="n">
        <v>0</v>
      </c>
      <c r="M7223" t="n">
        <v>0</v>
      </c>
      <c r="N7223" t="n">
        <v>0</v>
      </c>
      <c r="O7223" t="n">
        <v>0</v>
      </c>
      <c r="P7223" t="n">
        <v>0</v>
      </c>
      <c r="Q7223" t="n">
        <v>0</v>
      </c>
      <c r="R7223" s="2" t="inlineStr"/>
    </row>
    <row r="7224" ht="15" customHeight="1">
      <c r="A7224" t="inlineStr">
        <is>
          <t>A 62056-2025</t>
        </is>
      </c>
      <c r="B7224" s="1" t="n">
        <v>46006</v>
      </c>
      <c r="C7224" s="1" t="n">
        <v>46045</v>
      </c>
      <c r="D7224" t="inlineStr">
        <is>
          <t>JÄMTLANDS LÄN</t>
        </is>
      </c>
      <c r="E7224" t="inlineStr">
        <is>
          <t>ÅRE</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27308-2025</t>
        </is>
      </c>
      <c r="B7225" s="1" t="n">
        <v>45812.57364583333</v>
      </c>
      <c r="C7225" s="1" t="n">
        <v>46045</v>
      </c>
      <c r="D7225" t="inlineStr">
        <is>
          <t>JÄMTLANDS LÄN</t>
        </is>
      </c>
      <c r="E7225" t="inlineStr">
        <is>
          <t>STRÖMSUND</t>
        </is>
      </c>
      <c r="F7225" t="inlineStr">
        <is>
          <t>SCA</t>
        </is>
      </c>
      <c r="G7225" t="n">
        <v>6.7</v>
      </c>
      <c r="H7225" t="n">
        <v>0</v>
      </c>
      <c r="I7225" t="n">
        <v>0</v>
      </c>
      <c r="J7225" t="n">
        <v>0</v>
      </c>
      <c r="K7225" t="n">
        <v>0</v>
      </c>
      <c r="L7225" t="n">
        <v>0</v>
      </c>
      <c r="M7225" t="n">
        <v>0</v>
      </c>
      <c r="N7225" t="n">
        <v>0</v>
      </c>
      <c r="O7225" t="n">
        <v>0</v>
      </c>
      <c r="P7225" t="n">
        <v>0</v>
      </c>
      <c r="Q7225" t="n">
        <v>0</v>
      </c>
      <c r="R7225" s="2" t="inlineStr"/>
    </row>
    <row r="7226" ht="15" customHeight="1">
      <c r="A7226" t="inlineStr">
        <is>
          <t>A 27317-2025</t>
        </is>
      </c>
      <c r="B7226" s="1" t="n">
        <v>45812.59011574074</v>
      </c>
      <c r="C7226" s="1" t="n">
        <v>46045</v>
      </c>
      <c r="D7226" t="inlineStr">
        <is>
          <t>JÄMTLANDS LÄN</t>
        </is>
      </c>
      <c r="E7226" t="inlineStr">
        <is>
          <t>BERG</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27153-2025</t>
        </is>
      </c>
      <c r="B7227" s="1" t="n">
        <v>45812.32266203704</v>
      </c>
      <c r="C7227" s="1" t="n">
        <v>46045</v>
      </c>
      <c r="D7227" t="inlineStr">
        <is>
          <t>JÄMTLANDS LÄN</t>
        </is>
      </c>
      <c r="E7227" t="inlineStr">
        <is>
          <t>KROKOM</t>
        </is>
      </c>
      <c r="G7227" t="n">
        <v>15.8</v>
      </c>
      <c r="H7227" t="n">
        <v>0</v>
      </c>
      <c r="I7227" t="n">
        <v>0</v>
      </c>
      <c r="J7227" t="n">
        <v>0</v>
      </c>
      <c r="K7227" t="n">
        <v>0</v>
      </c>
      <c r="L7227" t="n">
        <v>0</v>
      </c>
      <c r="M7227" t="n">
        <v>0</v>
      </c>
      <c r="N7227" t="n">
        <v>0</v>
      </c>
      <c r="O7227" t="n">
        <v>0</v>
      </c>
      <c r="P7227" t="n">
        <v>0</v>
      </c>
      <c r="Q7227" t="n">
        <v>0</v>
      </c>
      <c r="R7227" s="2" t="inlineStr"/>
    </row>
    <row r="7228" ht="15" customHeight="1">
      <c r="A7228" t="inlineStr">
        <is>
          <t>A 64485-2023</t>
        </is>
      </c>
      <c r="B7228" s="1" t="n">
        <v>45280</v>
      </c>
      <c r="C7228" s="1" t="n">
        <v>46045</v>
      </c>
      <c r="D7228" t="inlineStr">
        <is>
          <t>JÄMTLANDS LÄN</t>
        </is>
      </c>
      <c r="E7228" t="inlineStr">
        <is>
          <t>HÄRJEDALEN</t>
        </is>
      </c>
      <c r="G7228" t="n">
        <v>21.3</v>
      </c>
      <c r="H7228" t="n">
        <v>0</v>
      </c>
      <c r="I7228" t="n">
        <v>0</v>
      </c>
      <c r="J7228" t="n">
        <v>0</v>
      </c>
      <c r="K7228" t="n">
        <v>0</v>
      </c>
      <c r="L7228" t="n">
        <v>0</v>
      </c>
      <c r="M7228" t="n">
        <v>0</v>
      </c>
      <c r="N7228" t="n">
        <v>0</v>
      </c>
      <c r="O7228" t="n">
        <v>0</v>
      </c>
      <c r="P7228" t="n">
        <v>0</v>
      </c>
      <c r="Q7228" t="n">
        <v>0</v>
      </c>
      <c r="R7228" s="2" t="inlineStr"/>
    </row>
    <row r="7229" ht="15" customHeight="1">
      <c r="A7229" t="inlineStr">
        <is>
          <t>A 54641-2025</t>
        </is>
      </c>
      <c r="B7229" s="1" t="n">
        <v>45966.36547453704</v>
      </c>
      <c r="C7229" s="1" t="n">
        <v>46045</v>
      </c>
      <c r="D7229" t="inlineStr">
        <is>
          <t>JÄMTLANDS LÄN</t>
        </is>
      </c>
      <c r="E7229" t="inlineStr">
        <is>
          <t>KROKOM</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54642-2025</t>
        </is>
      </c>
      <c r="B7230" s="1" t="n">
        <v>45966.36555555555</v>
      </c>
      <c r="C7230" s="1" t="n">
        <v>46045</v>
      </c>
      <c r="D7230" t="inlineStr">
        <is>
          <t>JÄMTLANDS LÄN</t>
        </is>
      </c>
      <c r="E7230" t="inlineStr">
        <is>
          <t>BRÄCKE</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26905-2025</t>
        </is>
      </c>
      <c r="B7231" s="1" t="n">
        <v>45811.34540509259</v>
      </c>
      <c r="C7231" s="1" t="n">
        <v>46045</v>
      </c>
      <c r="D7231" t="inlineStr">
        <is>
          <t>JÄMTLANDS LÄN</t>
        </is>
      </c>
      <c r="E7231" t="inlineStr">
        <is>
          <t>HÄRJEDALEN</t>
        </is>
      </c>
      <c r="F7231" t="inlineStr">
        <is>
          <t>SCA</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26939-2025</t>
        </is>
      </c>
      <c r="B7232" s="1" t="n">
        <v>45811.41568287037</v>
      </c>
      <c r="C7232" s="1" t="n">
        <v>46045</v>
      </c>
      <c r="D7232" t="inlineStr">
        <is>
          <t>JÄMTLANDS LÄN</t>
        </is>
      </c>
      <c r="E7232" t="inlineStr">
        <is>
          <t>STRÖMSUND</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54665-2025</t>
        </is>
      </c>
      <c r="B7233" s="1" t="n">
        <v>45966.40744212963</v>
      </c>
      <c r="C7233" s="1" t="n">
        <v>46045</v>
      </c>
      <c r="D7233" t="inlineStr">
        <is>
          <t>JÄMTLANDS LÄN</t>
        </is>
      </c>
      <c r="E7233" t="inlineStr">
        <is>
          <t>STRÖMSUND</t>
        </is>
      </c>
      <c r="F7233" t="inlineStr">
        <is>
          <t>SCA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62369-2025</t>
        </is>
      </c>
      <c r="B7234" s="1" t="n">
        <v>46007.33719907407</v>
      </c>
      <c r="C7234" s="1" t="n">
        <v>46045</v>
      </c>
      <c r="D7234" t="inlineStr">
        <is>
          <t>JÄMTLANDS LÄN</t>
        </is>
      </c>
      <c r="E7234" t="inlineStr">
        <is>
          <t>ÖSTERSUND</t>
        </is>
      </c>
      <c r="F7234" t="inlineStr">
        <is>
          <t>Sveaskog</t>
        </is>
      </c>
      <c r="G7234" t="n">
        <v>20.3</v>
      </c>
      <c r="H7234" t="n">
        <v>0</v>
      </c>
      <c r="I7234" t="n">
        <v>0</v>
      </c>
      <c r="J7234" t="n">
        <v>0</v>
      </c>
      <c r="K7234" t="n">
        <v>0</v>
      </c>
      <c r="L7234" t="n">
        <v>0</v>
      </c>
      <c r="M7234" t="n">
        <v>0</v>
      </c>
      <c r="N7234" t="n">
        <v>0</v>
      </c>
      <c r="O7234" t="n">
        <v>0</v>
      </c>
      <c r="P7234" t="n">
        <v>0</v>
      </c>
      <c r="Q7234" t="n">
        <v>0</v>
      </c>
      <c r="R7234" s="2" t="inlineStr"/>
    </row>
    <row r="7235" ht="15" customHeight="1">
      <c r="A7235" t="inlineStr">
        <is>
          <t>A 27041-2025</t>
        </is>
      </c>
      <c r="B7235" s="1" t="n">
        <v>45811.60465277778</v>
      </c>
      <c r="C7235" s="1" t="n">
        <v>46045</v>
      </c>
      <c r="D7235" t="inlineStr">
        <is>
          <t>JÄMTLANDS LÄN</t>
        </is>
      </c>
      <c r="E7235" t="inlineStr">
        <is>
          <t>BRÄCKE</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5651-2023</t>
        </is>
      </c>
      <c r="B7236" s="1" t="n">
        <v>44958</v>
      </c>
      <c r="C7236" s="1" t="n">
        <v>46045</v>
      </c>
      <c r="D7236" t="inlineStr">
        <is>
          <t>JÄMTLANDS LÄN</t>
        </is>
      </c>
      <c r="E7236" t="inlineStr">
        <is>
          <t>ÅRE</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46054-2022</t>
        </is>
      </c>
      <c r="B7237" s="1" t="n">
        <v>44846</v>
      </c>
      <c r="C7237" s="1" t="n">
        <v>46045</v>
      </c>
      <c r="D7237" t="inlineStr">
        <is>
          <t>JÄMTLANDS LÄN</t>
        </is>
      </c>
      <c r="E7237" t="inlineStr">
        <is>
          <t>STRÖMSUND</t>
        </is>
      </c>
      <c r="F7237" t="inlineStr">
        <is>
          <t>SCA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54621-2025</t>
        </is>
      </c>
      <c r="B7238" s="1" t="n">
        <v>45966.34498842592</v>
      </c>
      <c r="C7238" s="1" t="n">
        <v>46045</v>
      </c>
      <c r="D7238" t="inlineStr">
        <is>
          <t>JÄMTLANDS LÄN</t>
        </is>
      </c>
      <c r="E7238" t="inlineStr">
        <is>
          <t>STRÖMSUND</t>
        </is>
      </c>
      <c r="F7238" t="inlineStr">
        <is>
          <t>SCA</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54720-2025</t>
        </is>
      </c>
      <c r="B7239" s="1" t="n">
        <v>45966.53177083333</v>
      </c>
      <c r="C7239" s="1" t="n">
        <v>46045</v>
      </c>
      <c r="D7239" t="inlineStr">
        <is>
          <t>JÄMTLANDS LÄN</t>
        </is>
      </c>
      <c r="E7239" t="inlineStr">
        <is>
          <t>BERG</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62346-2025</t>
        </is>
      </c>
      <c r="B7240" s="1" t="n">
        <v>46006.89364583333</v>
      </c>
      <c r="C7240" s="1" t="n">
        <v>46045</v>
      </c>
      <c r="D7240" t="inlineStr">
        <is>
          <t>JÄMTLANDS LÄN</t>
        </is>
      </c>
      <c r="E7240" t="inlineStr">
        <is>
          <t>STRÖMSUND</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62347-2025</t>
        </is>
      </c>
      <c r="B7241" s="1" t="n">
        <v>46006.90253472222</v>
      </c>
      <c r="C7241" s="1" t="n">
        <v>46045</v>
      </c>
      <c r="D7241" t="inlineStr">
        <is>
          <t>JÄMTLANDS LÄN</t>
        </is>
      </c>
      <c r="E7241" t="inlineStr">
        <is>
          <t>STRÖMSUND</t>
        </is>
      </c>
      <c r="G7241" t="n">
        <v>8.699999999999999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54662-2025</t>
        </is>
      </c>
      <c r="B7242" s="1" t="n">
        <v>45966.4071412037</v>
      </c>
      <c r="C7242" s="1" t="n">
        <v>46045</v>
      </c>
      <c r="D7242" t="inlineStr">
        <is>
          <t>JÄMTLANDS LÄN</t>
        </is>
      </c>
      <c r="E7242" t="inlineStr">
        <is>
          <t>STRÖMSUND</t>
        </is>
      </c>
      <c r="F7242" t="inlineStr">
        <is>
          <t>SCA</t>
        </is>
      </c>
      <c r="G7242" t="n">
        <v>25.8</v>
      </c>
      <c r="H7242" t="n">
        <v>0</v>
      </c>
      <c r="I7242" t="n">
        <v>0</v>
      </c>
      <c r="J7242" t="n">
        <v>0</v>
      </c>
      <c r="K7242" t="n">
        <v>0</v>
      </c>
      <c r="L7242" t="n">
        <v>0</v>
      </c>
      <c r="M7242" t="n">
        <v>0</v>
      </c>
      <c r="N7242" t="n">
        <v>0</v>
      </c>
      <c r="O7242" t="n">
        <v>0</v>
      </c>
      <c r="P7242" t="n">
        <v>0</v>
      </c>
      <c r="Q7242" t="n">
        <v>0</v>
      </c>
      <c r="R7242" s="2" t="inlineStr"/>
    </row>
    <row r="7243" ht="15" customHeight="1">
      <c r="A7243" t="inlineStr">
        <is>
          <t>A 54820-2025</t>
        </is>
      </c>
      <c r="B7243" s="1" t="n">
        <v>45966.65728009259</v>
      </c>
      <c r="C7243" s="1" t="n">
        <v>46045</v>
      </c>
      <c r="D7243" t="inlineStr">
        <is>
          <t>JÄMTLANDS LÄN</t>
        </is>
      </c>
      <c r="E7243" t="inlineStr">
        <is>
          <t>RAGUNDA</t>
        </is>
      </c>
      <c r="G7243" t="n">
        <v>15.3</v>
      </c>
      <c r="H7243" t="n">
        <v>0</v>
      </c>
      <c r="I7243" t="n">
        <v>0</v>
      </c>
      <c r="J7243" t="n">
        <v>0</v>
      </c>
      <c r="K7243" t="n">
        <v>0</v>
      </c>
      <c r="L7243" t="n">
        <v>0</v>
      </c>
      <c r="M7243" t="n">
        <v>0</v>
      </c>
      <c r="N7243" t="n">
        <v>0</v>
      </c>
      <c r="O7243" t="n">
        <v>0</v>
      </c>
      <c r="P7243" t="n">
        <v>0</v>
      </c>
      <c r="Q7243" t="n">
        <v>0</v>
      </c>
      <c r="R7243" s="2" t="inlineStr"/>
    </row>
    <row r="7244" ht="15" customHeight="1">
      <c r="A7244" t="inlineStr">
        <is>
          <t>A 54821-2025</t>
        </is>
      </c>
      <c r="B7244" s="1" t="n">
        <v>45966.6591087963</v>
      </c>
      <c r="C7244" s="1" t="n">
        <v>46045</v>
      </c>
      <c r="D7244" t="inlineStr">
        <is>
          <t>JÄMTLANDS LÄN</t>
        </is>
      </c>
      <c r="E7244" t="inlineStr">
        <is>
          <t>KROKOM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30842-2023</t>
        </is>
      </c>
      <c r="B7245" s="1" t="n">
        <v>45112.94435185185</v>
      </c>
      <c r="C7245" s="1" t="n">
        <v>46045</v>
      </c>
      <c r="D7245" t="inlineStr">
        <is>
          <t>JÄMTLANDS LÄN</t>
        </is>
      </c>
      <c r="E7245" t="inlineStr">
        <is>
          <t>STRÖMSUND</t>
        </is>
      </c>
      <c r="F7245" t="inlineStr">
        <is>
          <t>SCA</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7636-2023</t>
        </is>
      </c>
      <c r="B7246" s="1" t="n">
        <v>44972.57449074074</v>
      </c>
      <c r="C7246" s="1" t="n">
        <v>46045</v>
      </c>
      <c r="D7246" t="inlineStr">
        <is>
          <t>JÄMTLANDS LÄN</t>
        </is>
      </c>
      <c r="E7246" t="inlineStr">
        <is>
          <t>HÄRJEDALEN</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62581-2025</t>
        </is>
      </c>
      <c r="B7247" s="1" t="n">
        <v>46007</v>
      </c>
      <c r="C7247" s="1" t="n">
        <v>46045</v>
      </c>
      <c r="D7247" t="inlineStr">
        <is>
          <t>JÄMTLANDS LÄN</t>
        </is>
      </c>
      <c r="E7247" t="inlineStr">
        <is>
          <t>STRÖMSUND</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43425-2024</t>
        </is>
      </c>
      <c r="B7248" s="1" t="n">
        <v>45568.63625</v>
      </c>
      <c r="C7248" s="1" t="n">
        <v>46045</v>
      </c>
      <c r="D7248" t="inlineStr">
        <is>
          <t>JÄMTLANDS LÄN</t>
        </is>
      </c>
      <c r="E7248" t="inlineStr">
        <is>
          <t>STRÖMSUND</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62450-2025</t>
        </is>
      </c>
      <c r="B7249" s="1" t="n">
        <v>46007.48996527777</v>
      </c>
      <c r="C7249" s="1" t="n">
        <v>46045</v>
      </c>
      <c r="D7249" t="inlineStr">
        <is>
          <t>JÄMTLANDS LÄN</t>
        </is>
      </c>
      <c r="E7249" t="inlineStr">
        <is>
          <t>HÄRJEDALEN</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62437-2025</t>
        </is>
      </c>
      <c r="B7250" s="1" t="n">
        <v>46007.46907407408</v>
      </c>
      <c r="C7250" s="1" t="n">
        <v>46045</v>
      </c>
      <c r="D7250" t="inlineStr">
        <is>
          <t>JÄMTLANDS LÄN</t>
        </is>
      </c>
      <c r="E7250" t="inlineStr">
        <is>
          <t>ÖSTERSUND</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62466-2025</t>
        </is>
      </c>
      <c r="B7251" s="1" t="n">
        <v>46007.50883101852</v>
      </c>
      <c r="C7251" s="1" t="n">
        <v>46045</v>
      </c>
      <c r="D7251" t="inlineStr">
        <is>
          <t>JÄMTLANDS LÄN</t>
        </is>
      </c>
      <c r="E7251" t="inlineStr">
        <is>
          <t>BRÄCKE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62521-2025</t>
        </is>
      </c>
      <c r="B7252" s="1" t="n">
        <v>46007.61506944444</v>
      </c>
      <c r="C7252" s="1" t="n">
        <v>46045</v>
      </c>
      <c r="D7252" t="inlineStr">
        <is>
          <t>JÄMTLANDS LÄN</t>
        </is>
      </c>
      <c r="E7252" t="inlineStr">
        <is>
          <t>ÅRE</t>
        </is>
      </c>
      <c r="F7252" t="inlineStr">
        <is>
          <t>Övriga Aktiebolag</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54315-2025</t>
        </is>
      </c>
      <c r="B7253" s="1" t="n">
        <v>45965.32789351852</v>
      </c>
      <c r="C7253" s="1" t="n">
        <v>46045</v>
      </c>
      <c r="D7253" t="inlineStr">
        <is>
          <t>JÄMTLANDS LÄN</t>
        </is>
      </c>
      <c r="E7253" t="inlineStr">
        <is>
          <t>BRÄCKE</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54323-2025</t>
        </is>
      </c>
      <c r="B7254" s="1" t="n">
        <v>45965.34454861111</v>
      </c>
      <c r="C7254" s="1" t="n">
        <v>46045</v>
      </c>
      <c r="D7254" t="inlineStr">
        <is>
          <t>JÄMTLANDS LÄN</t>
        </is>
      </c>
      <c r="E7254" t="inlineStr">
        <is>
          <t>BRÄCKE</t>
        </is>
      </c>
      <c r="F7254" t="inlineStr">
        <is>
          <t>SCA</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7301-2025</t>
        </is>
      </c>
      <c r="B7255" s="1" t="n">
        <v>45702.65668981482</v>
      </c>
      <c r="C7255" s="1" t="n">
        <v>46045</v>
      </c>
      <c r="D7255" t="inlineStr">
        <is>
          <t>JÄMTLANDS LÄN</t>
        </is>
      </c>
      <c r="E7255" t="inlineStr">
        <is>
          <t>BRÄCKE</t>
        </is>
      </c>
      <c r="F7255" t="inlineStr">
        <is>
          <t>SCA</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27034-2025</t>
        </is>
      </c>
      <c r="B7256" s="1" t="n">
        <v>45811.59258101852</v>
      </c>
      <c r="C7256" s="1" t="n">
        <v>46045</v>
      </c>
      <c r="D7256" t="inlineStr">
        <is>
          <t>JÄMTLANDS LÄN</t>
        </is>
      </c>
      <c r="E7256" t="inlineStr">
        <is>
          <t>ÖSTERSUND</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27063-2025</t>
        </is>
      </c>
      <c r="B7257" s="1" t="n">
        <v>45811.63626157407</v>
      </c>
      <c r="C7257" s="1" t="n">
        <v>46045</v>
      </c>
      <c r="D7257" t="inlineStr">
        <is>
          <t>JÄMTLANDS LÄN</t>
        </is>
      </c>
      <c r="E7257" t="inlineStr">
        <is>
          <t>BERG</t>
        </is>
      </c>
      <c r="F7257" t="inlineStr">
        <is>
          <t>SCA</t>
        </is>
      </c>
      <c r="G7257" t="n">
        <v>18.9</v>
      </c>
      <c r="H7257" t="n">
        <v>0</v>
      </c>
      <c r="I7257" t="n">
        <v>0</v>
      </c>
      <c r="J7257" t="n">
        <v>0</v>
      </c>
      <c r="K7257" t="n">
        <v>0</v>
      </c>
      <c r="L7257" t="n">
        <v>0</v>
      </c>
      <c r="M7257" t="n">
        <v>0</v>
      </c>
      <c r="N7257" t="n">
        <v>0</v>
      </c>
      <c r="O7257" t="n">
        <v>0</v>
      </c>
      <c r="P7257" t="n">
        <v>0</v>
      </c>
      <c r="Q7257" t="n">
        <v>0</v>
      </c>
      <c r="R7257" s="2" t="inlineStr"/>
    </row>
    <row r="7258" ht="15" customHeight="1">
      <c r="A7258" t="inlineStr">
        <is>
          <t>A 62621-2025</t>
        </is>
      </c>
      <c r="B7258" s="1" t="n">
        <v>46008.34428240741</v>
      </c>
      <c r="C7258" s="1" t="n">
        <v>46045</v>
      </c>
      <c r="D7258" t="inlineStr">
        <is>
          <t>JÄMTLANDS LÄN</t>
        </is>
      </c>
      <c r="E7258" t="inlineStr">
        <is>
          <t>ÅRE</t>
        </is>
      </c>
      <c r="G7258" t="n">
        <v>7.4</v>
      </c>
      <c r="H7258" t="n">
        <v>0</v>
      </c>
      <c r="I7258" t="n">
        <v>0</v>
      </c>
      <c r="J7258" t="n">
        <v>0</v>
      </c>
      <c r="K7258" t="n">
        <v>0</v>
      </c>
      <c r="L7258" t="n">
        <v>0</v>
      </c>
      <c r="M7258" t="n">
        <v>0</v>
      </c>
      <c r="N7258" t="n">
        <v>0</v>
      </c>
      <c r="O7258" t="n">
        <v>0</v>
      </c>
      <c r="P7258" t="n">
        <v>0</v>
      </c>
      <c r="Q7258" t="n">
        <v>0</v>
      </c>
      <c r="R7258" s="2" t="inlineStr"/>
    </row>
    <row r="7259" ht="15" customHeight="1">
      <c r="A7259" t="inlineStr">
        <is>
          <t>A 179-2025</t>
        </is>
      </c>
      <c r="B7259" s="1" t="n">
        <v>45659.69822916666</v>
      </c>
      <c r="C7259" s="1" t="n">
        <v>46045</v>
      </c>
      <c r="D7259" t="inlineStr">
        <is>
          <t>JÄMTLANDS LÄN</t>
        </is>
      </c>
      <c r="E7259" t="inlineStr">
        <is>
          <t>RAGUNDA</t>
        </is>
      </c>
      <c r="F7259" t="inlineStr">
        <is>
          <t>SCA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62622-2025</t>
        </is>
      </c>
      <c r="B7260" s="1" t="n">
        <v>46008.34438657408</v>
      </c>
      <c r="C7260" s="1" t="n">
        <v>46045</v>
      </c>
      <c r="D7260" t="inlineStr">
        <is>
          <t>JÄMTLANDS LÄN</t>
        </is>
      </c>
      <c r="E7260" t="inlineStr">
        <is>
          <t>ÖSTERSUND</t>
        </is>
      </c>
      <c r="G7260" t="n">
        <v>7.4</v>
      </c>
      <c r="H7260" t="n">
        <v>0</v>
      </c>
      <c r="I7260" t="n">
        <v>0</v>
      </c>
      <c r="J7260" t="n">
        <v>0</v>
      </c>
      <c r="K7260" t="n">
        <v>0</v>
      </c>
      <c r="L7260" t="n">
        <v>0</v>
      </c>
      <c r="M7260" t="n">
        <v>0</v>
      </c>
      <c r="N7260" t="n">
        <v>0</v>
      </c>
      <c r="O7260" t="n">
        <v>0</v>
      </c>
      <c r="P7260" t="n">
        <v>0</v>
      </c>
      <c r="Q7260" t="n">
        <v>0</v>
      </c>
      <c r="R7260" s="2" t="inlineStr"/>
    </row>
    <row r="7261" ht="15" customHeight="1">
      <c r="A7261" t="inlineStr">
        <is>
          <t>A 62623-2025</t>
        </is>
      </c>
      <c r="B7261" s="1" t="n">
        <v>46008.34443287037</v>
      </c>
      <c r="C7261" s="1" t="n">
        <v>46045</v>
      </c>
      <c r="D7261" t="inlineStr">
        <is>
          <t>JÄMTLANDS LÄN</t>
        </is>
      </c>
      <c r="E7261" t="inlineStr">
        <is>
          <t>ÖSTERSUND</t>
        </is>
      </c>
      <c r="G7261" t="n">
        <v>7.9</v>
      </c>
      <c r="H7261" t="n">
        <v>0</v>
      </c>
      <c r="I7261" t="n">
        <v>0</v>
      </c>
      <c r="J7261" t="n">
        <v>0</v>
      </c>
      <c r="K7261" t="n">
        <v>0</v>
      </c>
      <c r="L7261" t="n">
        <v>0</v>
      </c>
      <c r="M7261" t="n">
        <v>0</v>
      </c>
      <c r="N7261" t="n">
        <v>0</v>
      </c>
      <c r="O7261" t="n">
        <v>0</v>
      </c>
      <c r="P7261" t="n">
        <v>0</v>
      </c>
      <c r="Q7261" t="n">
        <v>0</v>
      </c>
      <c r="R7261" s="2" t="inlineStr"/>
    </row>
    <row r="7262" ht="15" customHeight="1">
      <c r="A7262" t="inlineStr">
        <is>
          <t>A 62625-2025</t>
        </is>
      </c>
      <c r="B7262" s="1" t="n">
        <v>46008.34506944445</v>
      </c>
      <c r="C7262" s="1" t="n">
        <v>46045</v>
      </c>
      <c r="D7262" t="inlineStr">
        <is>
          <t>JÄMTLANDS LÄN</t>
        </is>
      </c>
      <c r="E7262" t="inlineStr">
        <is>
          <t>BRÄCKE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57755-2021</t>
        </is>
      </c>
      <c r="B7263" s="1" t="n">
        <v>44484.55535879629</v>
      </c>
      <c r="C7263" s="1" t="n">
        <v>46045</v>
      </c>
      <c r="D7263" t="inlineStr">
        <is>
          <t>JÄMTLANDS LÄN</t>
        </is>
      </c>
      <c r="E7263" t="inlineStr">
        <is>
          <t>HÄRJEDALEN</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20088-2023</t>
        </is>
      </c>
      <c r="B7264" s="1" t="n">
        <v>45054</v>
      </c>
      <c r="C7264" s="1" t="n">
        <v>46045</v>
      </c>
      <c r="D7264" t="inlineStr">
        <is>
          <t>JÄMTLANDS LÄN</t>
        </is>
      </c>
      <c r="E7264" t="inlineStr">
        <is>
          <t>RAGUNDA</t>
        </is>
      </c>
      <c r="F7264" t="inlineStr">
        <is>
          <t>SCA</t>
        </is>
      </c>
      <c r="G7264" t="n">
        <v>23.4</v>
      </c>
      <c r="H7264" t="n">
        <v>0</v>
      </c>
      <c r="I7264" t="n">
        <v>0</v>
      </c>
      <c r="J7264" t="n">
        <v>0</v>
      </c>
      <c r="K7264" t="n">
        <v>0</v>
      </c>
      <c r="L7264" t="n">
        <v>0</v>
      </c>
      <c r="M7264" t="n">
        <v>0</v>
      </c>
      <c r="N7264" t="n">
        <v>0</v>
      </c>
      <c r="O7264" t="n">
        <v>0</v>
      </c>
      <c r="P7264" t="n">
        <v>0</v>
      </c>
      <c r="Q7264" t="n">
        <v>0</v>
      </c>
      <c r="R7264" s="2" t="inlineStr"/>
    </row>
    <row r="7265" ht="15" customHeight="1">
      <c r="A7265" t="inlineStr">
        <is>
          <t>A 20093-2023</t>
        </is>
      </c>
      <c r="B7265" s="1" t="n">
        <v>45054.94181712963</v>
      </c>
      <c r="C7265" s="1" t="n">
        <v>46045</v>
      </c>
      <c r="D7265" t="inlineStr">
        <is>
          <t>JÄMTLANDS LÄN</t>
        </is>
      </c>
      <c r="E7265" t="inlineStr">
        <is>
          <t>BRÄCKE</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62814-2025</t>
        </is>
      </c>
      <c r="B7266" s="1" t="n">
        <v>46008.6502662037</v>
      </c>
      <c r="C7266" s="1" t="n">
        <v>46045</v>
      </c>
      <c r="D7266" t="inlineStr">
        <is>
          <t>JÄMTLANDS LÄN</t>
        </is>
      </c>
      <c r="E7266" t="inlineStr">
        <is>
          <t>BERG</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39071-2024</t>
        </is>
      </c>
      <c r="B7267" s="1" t="n">
        <v>45548.53193287037</v>
      </c>
      <c r="C7267" s="1" t="n">
        <v>46045</v>
      </c>
      <c r="D7267" t="inlineStr">
        <is>
          <t>JÄMTLANDS LÄN</t>
        </is>
      </c>
      <c r="E7267" t="inlineStr">
        <is>
          <t>ÅRE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50160-2023</t>
        </is>
      </c>
      <c r="B7268" s="1" t="n">
        <v>45208</v>
      </c>
      <c r="C7268" s="1" t="n">
        <v>46045</v>
      </c>
      <c r="D7268" t="inlineStr">
        <is>
          <t>JÄMTLANDS LÄN</t>
        </is>
      </c>
      <c r="E7268" t="inlineStr">
        <is>
          <t>RAGUNDA</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27104-2025</t>
        </is>
      </c>
      <c r="B7269" s="1" t="n">
        <v>45811.69912037037</v>
      </c>
      <c r="C7269" s="1" t="n">
        <v>46045</v>
      </c>
      <c r="D7269" t="inlineStr">
        <is>
          <t>JÄMTLANDS LÄN</t>
        </is>
      </c>
      <c r="E7269" t="inlineStr">
        <is>
          <t>KROKOM</t>
        </is>
      </c>
      <c r="G7269" t="n">
        <v>14.4</v>
      </c>
      <c r="H7269" t="n">
        <v>0</v>
      </c>
      <c r="I7269" t="n">
        <v>0</v>
      </c>
      <c r="J7269" t="n">
        <v>0</v>
      </c>
      <c r="K7269" t="n">
        <v>0</v>
      </c>
      <c r="L7269" t="n">
        <v>0</v>
      </c>
      <c r="M7269" t="n">
        <v>0</v>
      </c>
      <c r="N7269" t="n">
        <v>0</v>
      </c>
      <c r="O7269" t="n">
        <v>0</v>
      </c>
      <c r="P7269" t="n">
        <v>0</v>
      </c>
      <c r="Q7269" t="n">
        <v>0</v>
      </c>
      <c r="R7269" s="2" t="inlineStr"/>
    </row>
    <row r="7270" ht="15" customHeight="1">
      <c r="A7270" t="inlineStr">
        <is>
          <t>A 62452-2025</t>
        </is>
      </c>
      <c r="B7270" s="1" t="n">
        <v>46007.49001157407</v>
      </c>
      <c r="C7270" s="1" t="n">
        <v>46045</v>
      </c>
      <c r="D7270" t="inlineStr">
        <is>
          <t>JÄMTLANDS LÄN</t>
        </is>
      </c>
      <c r="E7270" t="inlineStr">
        <is>
          <t>ÖSTERSUND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62493-2025</t>
        </is>
      </c>
      <c r="B7271" s="1" t="n">
        <v>46007.57336805556</v>
      </c>
      <c r="C7271" s="1" t="n">
        <v>46045</v>
      </c>
      <c r="D7271" t="inlineStr">
        <is>
          <t>JÄMTLANDS LÄN</t>
        </is>
      </c>
      <c r="E7271" t="inlineStr">
        <is>
          <t>STRÖMSUND</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62506-2025</t>
        </is>
      </c>
      <c r="B7272" s="1" t="n">
        <v>46007.59445601852</v>
      </c>
      <c r="C7272" s="1" t="n">
        <v>46045</v>
      </c>
      <c r="D7272" t="inlineStr">
        <is>
          <t>JÄMTLANDS LÄN</t>
        </is>
      </c>
      <c r="E7272" t="inlineStr">
        <is>
          <t>KROKOM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53432-2023</t>
        </is>
      </c>
      <c r="B7273" s="1" t="n">
        <v>45229.92739583334</v>
      </c>
      <c r="C7273" s="1" t="n">
        <v>46045</v>
      </c>
      <c r="D7273" t="inlineStr">
        <is>
          <t>JÄMTLANDS LÄN</t>
        </is>
      </c>
      <c r="E7273" t="inlineStr">
        <is>
          <t>HÄRJEDALEN</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62507-2025</t>
        </is>
      </c>
      <c r="B7274" s="1" t="n">
        <v>46007.59450231482</v>
      </c>
      <c r="C7274" s="1" t="n">
        <v>46045</v>
      </c>
      <c r="D7274" t="inlineStr">
        <is>
          <t>JÄMTLANDS LÄN</t>
        </is>
      </c>
      <c r="E7274" t="inlineStr">
        <is>
          <t>KROKOM</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62531-2025</t>
        </is>
      </c>
      <c r="B7275" s="1" t="n">
        <v>46007.63625</v>
      </c>
      <c r="C7275" s="1" t="n">
        <v>46045</v>
      </c>
      <c r="D7275" t="inlineStr">
        <is>
          <t>JÄMTLANDS LÄN</t>
        </is>
      </c>
      <c r="E7275" t="inlineStr">
        <is>
          <t>HÄRJEDALEN</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62532-2025</t>
        </is>
      </c>
      <c r="B7276" s="1" t="n">
        <v>46007.63630787037</v>
      </c>
      <c r="C7276" s="1" t="n">
        <v>46045</v>
      </c>
      <c r="D7276" t="inlineStr">
        <is>
          <t>JÄMTLANDS LÄN</t>
        </is>
      </c>
      <c r="E7276" t="inlineStr">
        <is>
          <t>ÅRE</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62545-2025</t>
        </is>
      </c>
      <c r="B7277" s="1" t="n">
        <v>46007.65723379629</v>
      </c>
      <c r="C7277" s="1" t="n">
        <v>46045</v>
      </c>
      <c r="D7277" t="inlineStr">
        <is>
          <t>JÄMTLANDS LÄN</t>
        </is>
      </c>
      <c r="E7277" t="inlineStr">
        <is>
          <t>ÅRE</t>
        </is>
      </c>
      <c r="F7277" t="inlineStr">
        <is>
          <t>Övriga Aktiebolag</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62691-2025</t>
        </is>
      </c>
      <c r="B7278" s="1" t="n">
        <v>46008.4759837963</v>
      </c>
      <c r="C7278" s="1" t="n">
        <v>46045</v>
      </c>
      <c r="D7278" t="inlineStr">
        <is>
          <t>JÄMTLANDS LÄN</t>
        </is>
      </c>
      <c r="E7278" t="inlineStr">
        <is>
          <t>RAGUNDA</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62696-2025</t>
        </is>
      </c>
      <c r="B7279" s="1" t="n">
        <v>46008.48708333333</v>
      </c>
      <c r="C7279" s="1" t="n">
        <v>46045</v>
      </c>
      <c r="D7279" t="inlineStr">
        <is>
          <t>JÄMTLANDS LÄN</t>
        </is>
      </c>
      <c r="E7279" t="inlineStr">
        <is>
          <t>ÖSTERSUND</t>
        </is>
      </c>
      <c r="G7279" t="n">
        <v>11.3</v>
      </c>
      <c r="H7279" t="n">
        <v>0</v>
      </c>
      <c r="I7279" t="n">
        <v>0</v>
      </c>
      <c r="J7279" t="n">
        <v>0</v>
      </c>
      <c r="K7279" t="n">
        <v>0</v>
      </c>
      <c r="L7279" t="n">
        <v>0</v>
      </c>
      <c r="M7279" t="n">
        <v>0</v>
      </c>
      <c r="N7279" t="n">
        <v>0</v>
      </c>
      <c r="O7279" t="n">
        <v>0</v>
      </c>
      <c r="P7279" t="n">
        <v>0</v>
      </c>
      <c r="Q7279" t="n">
        <v>0</v>
      </c>
      <c r="R7279" s="2" t="inlineStr"/>
    </row>
    <row r="7280" ht="15" customHeight="1">
      <c r="A7280" t="inlineStr">
        <is>
          <t>A 62359-2025</t>
        </is>
      </c>
      <c r="B7280" s="1" t="n">
        <v>46006</v>
      </c>
      <c r="C7280" s="1" t="n">
        <v>46045</v>
      </c>
      <c r="D7280" t="inlineStr">
        <is>
          <t>JÄMTLANDS LÄN</t>
        </is>
      </c>
      <c r="E7280" t="inlineStr">
        <is>
          <t>STRÖMSUND</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32178-2024</t>
        </is>
      </c>
      <c r="B7281" s="1" t="n">
        <v>45511</v>
      </c>
      <c r="C7281" s="1" t="n">
        <v>46045</v>
      </c>
      <c r="D7281" t="inlineStr">
        <is>
          <t>JÄMTLANDS LÄN</t>
        </is>
      </c>
      <c r="E7281" t="inlineStr">
        <is>
          <t>BERG</t>
        </is>
      </c>
      <c r="G7281" t="n">
        <v>11.4</v>
      </c>
      <c r="H7281" t="n">
        <v>0</v>
      </c>
      <c r="I7281" t="n">
        <v>0</v>
      </c>
      <c r="J7281" t="n">
        <v>0</v>
      </c>
      <c r="K7281" t="n">
        <v>0</v>
      </c>
      <c r="L7281" t="n">
        <v>0</v>
      </c>
      <c r="M7281" t="n">
        <v>0</v>
      </c>
      <c r="N7281" t="n">
        <v>0</v>
      </c>
      <c r="O7281" t="n">
        <v>0</v>
      </c>
      <c r="P7281" t="n">
        <v>0</v>
      </c>
      <c r="Q7281" t="n">
        <v>0</v>
      </c>
      <c r="R7281" s="2" t="inlineStr"/>
    </row>
    <row r="7282" ht="15" customHeight="1">
      <c r="A7282" t="inlineStr">
        <is>
          <t>A 51951-2021</t>
        </is>
      </c>
      <c r="B7282" s="1" t="n">
        <v>44462</v>
      </c>
      <c r="C7282" s="1" t="n">
        <v>46045</v>
      </c>
      <c r="D7282" t="inlineStr">
        <is>
          <t>JÄMTLANDS LÄN</t>
        </is>
      </c>
      <c r="E7282" t="inlineStr">
        <is>
          <t>BERG</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58498-2022</t>
        </is>
      </c>
      <c r="B7283" s="1" t="n">
        <v>44902.37547453704</v>
      </c>
      <c r="C7283" s="1" t="n">
        <v>46045</v>
      </c>
      <c r="D7283" t="inlineStr">
        <is>
          <t>JÄMTLANDS LÄN</t>
        </is>
      </c>
      <c r="E7283" t="inlineStr">
        <is>
          <t>BRÄCKE</t>
        </is>
      </c>
      <c r="G7283" t="n">
        <v>8.4</v>
      </c>
      <c r="H7283" t="n">
        <v>0</v>
      </c>
      <c r="I7283" t="n">
        <v>0</v>
      </c>
      <c r="J7283" t="n">
        <v>0</v>
      </c>
      <c r="K7283" t="n">
        <v>0</v>
      </c>
      <c r="L7283" t="n">
        <v>0</v>
      </c>
      <c r="M7283" t="n">
        <v>0</v>
      </c>
      <c r="N7283" t="n">
        <v>0</v>
      </c>
      <c r="O7283" t="n">
        <v>0</v>
      </c>
      <c r="P7283" t="n">
        <v>0</v>
      </c>
      <c r="Q7283" t="n">
        <v>0</v>
      </c>
      <c r="R7283" s="2" t="inlineStr"/>
    </row>
    <row r="7284" ht="15" customHeight="1">
      <c r="A7284" t="inlineStr">
        <is>
          <t>A 62780-2025</t>
        </is>
      </c>
      <c r="B7284" s="1" t="n">
        <v>46008.61517361111</v>
      </c>
      <c r="C7284" s="1" t="n">
        <v>46045</v>
      </c>
      <c r="D7284" t="inlineStr">
        <is>
          <t>JÄMTLANDS LÄN</t>
        </is>
      </c>
      <c r="E7284" t="inlineStr">
        <is>
          <t>STRÖMSUND</t>
        </is>
      </c>
      <c r="F7284" t="inlineStr">
        <is>
          <t>SCA</t>
        </is>
      </c>
      <c r="G7284" t="n">
        <v>19.1</v>
      </c>
      <c r="H7284" t="n">
        <v>0</v>
      </c>
      <c r="I7284" t="n">
        <v>0</v>
      </c>
      <c r="J7284" t="n">
        <v>0</v>
      </c>
      <c r="K7284" t="n">
        <v>0</v>
      </c>
      <c r="L7284" t="n">
        <v>0</v>
      </c>
      <c r="M7284" t="n">
        <v>0</v>
      </c>
      <c r="N7284" t="n">
        <v>0</v>
      </c>
      <c r="O7284" t="n">
        <v>0</v>
      </c>
      <c r="P7284" t="n">
        <v>0</v>
      </c>
      <c r="Q7284" t="n">
        <v>0</v>
      </c>
      <c r="R7284" s="2" t="inlineStr"/>
    </row>
    <row r="7285" ht="15" customHeight="1">
      <c r="A7285" t="inlineStr">
        <is>
          <t>A 27044-2025</t>
        </is>
      </c>
      <c r="B7285" s="1" t="n">
        <v>45811.61496527777</v>
      </c>
      <c r="C7285" s="1" t="n">
        <v>46045</v>
      </c>
      <c r="D7285" t="inlineStr">
        <is>
          <t>JÄMTLANDS LÄN</t>
        </is>
      </c>
      <c r="E7285" t="inlineStr">
        <is>
          <t>BERG</t>
        </is>
      </c>
      <c r="F7285" t="inlineStr">
        <is>
          <t>SCA</t>
        </is>
      </c>
      <c r="G7285" t="n">
        <v>26.1</v>
      </c>
      <c r="H7285" t="n">
        <v>0</v>
      </c>
      <c r="I7285" t="n">
        <v>0</v>
      </c>
      <c r="J7285" t="n">
        <v>0</v>
      </c>
      <c r="K7285" t="n">
        <v>0</v>
      </c>
      <c r="L7285" t="n">
        <v>0</v>
      </c>
      <c r="M7285" t="n">
        <v>0</v>
      </c>
      <c r="N7285" t="n">
        <v>0</v>
      </c>
      <c r="O7285" t="n">
        <v>0</v>
      </c>
      <c r="P7285" t="n">
        <v>0</v>
      </c>
      <c r="Q7285" t="n">
        <v>0</v>
      </c>
      <c r="R7285" s="2" t="inlineStr"/>
    </row>
    <row r="7286" ht="15" customHeight="1">
      <c r="A7286" t="inlineStr">
        <is>
          <t>A 62784-2025</t>
        </is>
      </c>
      <c r="B7286" s="1" t="n">
        <v>46008.61606481481</v>
      </c>
      <c r="C7286" s="1" t="n">
        <v>46045</v>
      </c>
      <c r="D7286" t="inlineStr">
        <is>
          <t>JÄMTLANDS LÄN</t>
        </is>
      </c>
      <c r="E7286" t="inlineStr">
        <is>
          <t>STRÖMSUND</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7391-2025</t>
        </is>
      </c>
      <c r="B7287" s="1" t="n">
        <v>45705.33446759259</v>
      </c>
      <c r="C7287" s="1" t="n">
        <v>46045</v>
      </c>
      <c r="D7287" t="inlineStr">
        <is>
          <t>JÄMTLANDS LÄN</t>
        </is>
      </c>
      <c r="E7287" t="inlineStr">
        <is>
          <t>KROKOM</t>
        </is>
      </c>
      <c r="F7287" t="inlineStr">
        <is>
          <t>Övriga Aktiebolag</t>
        </is>
      </c>
      <c r="G7287" t="n">
        <v>7.9</v>
      </c>
      <c r="H7287" t="n">
        <v>0</v>
      </c>
      <c r="I7287" t="n">
        <v>0</v>
      </c>
      <c r="J7287" t="n">
        <v>0</v>
      </c>
      <c r="K7287" t="n">
        <v>0</v>
      </c>
      <c r="L7287" t="n">
        <v>0</v>
      </c>
      <c r="M7287" t="n">
        <v>0</v>
      </c>
      <c r="N7287" t="n">
        <v>0</v>
      </c>
      <c r="O7287" t="n">
        <v>0</v>
      </c>
      <c r="P7287" t="n">
        <v>0</v>
      </c>
      <c r="Q7287" t="n">
        <v>0</v>
      </c>
      <c r="R7287" s="2" t="inlineStr"/>
    </row>
    <row r="7288" ht="15" customHeight="1">
      <c r="A7288" t="inlineStr">
        <is>
          <t>A 62580-2025</t>
        </is>
      </c>
      <c r="B7288" s="1" t="n">
        <v>46007</v>
      </c>
      <c r="C7288" s="1" t="n">
        <v>46045</v>
      </c>
      <c r="D7288" t="inlineStr">
        <is>
          <t>JÄMTLANDS LÄN</t>
        </is>
      </c>
      <c r="E7288" t="inlineStr">
        <is>
          <t>STRÖMSUND</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27196-2025</t>
        </is>
      </c>
      <c r="B7289" s="1" t="n">
        <v>45812.38579861111</v>
      </c>
      <c r="C7289" s="1" t="n">
        <v>46045</v>
      </c>
      <c r="D7289" t="inlineStr">
        <is>
          <t>JÄMTLANDS LÄN</t>
        </is>
      </c>
      <c r="E7289" t="inlineStr">
        <is>
          <t>STRÖMSUND</t>
        </is>
      </c>
      <c r="F7289" t="inlineStr">
        <is>
          <t>SCA</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56655-2021</t>
        </is>
      </c>
      <c r="B7290" s="1" t="n">
        <v>44480</v>
      </c>
      <c r="C7290" s="1" t="n">
        <v>46045</v>
      </c>
      <c r="D7290" t="inlineStr">
        <is>
          <t>JÄMTLANDS LÄN</t>
        </is>
      </c>
      <c r="E7290" t="inlineStr">
        <is>
          <t>STRÖMSUND</t>
        </is>
      </c>
      <c r="F7290" t="inlineStr">
        <is>
          <t>SCA</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55455-2022</t>
        </is>
      </c>
      <c r="B7291" s="1" t="n">
        <v>44887</v>
      </c>
      <c r="C7291" s="1" t="n">
        <v>46045</v>
      </c>
      <c r="D7291" t="inlineStr">
        <is>
          <t>JÄMTLANDS LÄN</t>
        </is>
      </c>
      <c r="E7291" t="inlineStr">
        <is>
          <t>KROKOM</t>
        </is>
      </c>
      <c r="F7291" t="inlineStr">
        <is>
          <t>Övriga Aktiebolag</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54554-2025</t>
        </is>
      </c>
      <c r="B7292" s="1" t="n">
        <v>45965</v>
      </c>
      <c r="C7292" s="1" t="n">
        <v>46045</v>
      </c>
      <c r="D7292" t="inlineStr">
        <is>
          <t>JÄMTLANDS LÄN</t>
        </is>
      </c>
      <c r="E7292" t="inlineStr">
        <is>
          <t>STRÖMSUND</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27517-2025</t>
        </is>
      </c>
      <c r="B7293" s="1" t="n">
        <v>45813.43966435185</v>
      </c>
      <c r="C7293" s="1" t="n">
        <v>46045</v>
      </c>
      <c r="D7293" t="inlineStr">
        <is>
          <t>JÄMTLANDS LÄN</t>
        </is>
      </c>
      <c r="E7293" t="inlineStr">
        <is>
          <t>ÖSTERSUND</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27522-2025</t>
        </is>
      </c>
      <c r="B7294" s="1" t="n">
        <v>45813.44443287037</v>
      </c>
      <c r="C7294" s="1" t="n">
        <v>46045</v>
      </c>
      <c r="D7294" t="inlineStr">
        <is>
          <t>JÄMTLANDS LÄN</t>
        </is>
      </c>
      <c r="E7294" t="inlineStr">
        <is>
          <t>KROKOM</t>
        </is>
      </c>
      <c r="G7294" t="n">
        <v>9.300000000000001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54741-2025</t>
        </is>
      </c>
      <c r="B7295" s="1" t="n">
        <v>45966.57350694444</v>
      </c>
      <c r="C7295" s="1" t="n">
        <v>46045</v>
      </c>
      <c r="D7295" t="inlineStr">
        <is>
          <t>JÄMTLANDS LÄN</t>
        </is>
      </c>
      <c r="E7295" t="inlineStr">
        <is>
          <t>BRÄCKE</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62360-2025</t>
        </is>
      </c>
      <c r="B7296" s="1" t="n">
        <v>46006</v>
      </c>
      <c r="C7296" s="1" t="n">
        <v>46045</v>
      </c>
      <c r="D7296" t="inlineStr">
        <is>
          <t>JÄMTLANDS LÄN</t>
        </is>
      </c>
      <c r="E7296" t="inlineStr">
        <is>
          <t>STRÖMSUND</t>
        </is>
      </c>
      <c r="G7296" t="n">
        <v>6.7</v>
      </c>
      <c r="H7296" t="n">
        <v>0</v>
      </c>
      <c r="I7296" t="n">
        <v>0</v>
      </c>
      <c r="J7296" t="n">
        <v>0</v>
      </c>
      <c r="K7296" t="n">
        <v>0</v>
      </c>
      <c r="L7296" t="n">
        <v>0</v>
      </c>
      <c r="M7296" t="n">
        <v>0</v>
      </c>
      <c r="N7296" t="n">
        <v>0</v>
      </c>
      <c r="O7296" t="n">
        <v>0</v>
      </c>
      <c r="P7296" t="n">
        <v>0</v>
      </c>
      <c r="Q7296" t="n">
        <v>0</v>
      </c>
      <c r="R7296" s="2" t="inlineStr"/>
    </row>
    <row r="7297" ht="15" customHeight="1">
      <c r="A7297" t="inlineStr">
        <is>
          <t>A 27575-2025</t>
        </is>
      </c>
      <c r="B7297" s="1" t="n">
        <v>45813.49083333334</v>
      </c>
      <c r="C7297" s="1" t="n">
        <v>46045</v>
      </c>
      <c r="D7297" t="inlineStr">
        <is>
          <t>JÄMTLANDS LÄN</t>
        </is>
      </c>
      <c r="E7297" t="inlineStr">
        <is>
          <t>BERG</t>
        </is>
      </c>
      <c r="F7297" t="inlineStr">
        <is>
          <t>SCA</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30411-2023</t>
        </is>
      </c>
      <c r="B7298" s="1" t="n">
        <v>45111</v>
      </c>
      <c r="C7298" s="1" t="n">
        <v>46045</v>
      </c>
      <c r="D7298" t="inlineStr">
        <is>
          <t>JÄMTLANDS LÄN</t>
        </is>
      </c>
      <c r="E7298" t="inlineStr">
        <is>
          <t>HÄRJEDALEN</t>
        </is>
      </c>
      <c r="F7298" t="inlineStr">
        <is>
          <t>Bergvik skog väst AB</t>
        </is>
      </c>
      <c r="G7298" t="n">
        <v>28.3</v>
      </c>
      <c r="H7298" t="n">
        <v>0</v>
      </c>
      <c r="I7298" t="n">
        <v>0</v>
      </c>
      <c r="J7298" t="n">
        <v>0</v>
      </c>
      <c r="K7298" t="n">
        <v>0</v>
      </c>
      <c r="L7298" t="n">
        <v>0</v>
      </c>
      <c r="M7298" t="n">
        <v>0</v>
      </c>
      <c r="N7298" t="n">
        <v>0</v>
      </c>
      <c r="O7298" t="n">
        <v>0</v>
      </c>
      <c r="P7298" t="n">
        <v>0</v>
      </c>
      <c r="Q7298" t="n">
        <v>0</v>
      </c>
      <c r="R7298" s="2" t="inlineStr"/>
    </row>
    <row r="7299" ht="15" customHeight="1">
      <c r="A7299" t="inlineStr">
        <is>
          <t>A 27547-2025</t>
        </is>
      </c>
      <c r="B7299" s="1" t="n">
        <v>45813.46969907408</v>
      </c>
      <c r="C7299" s="1" t="n">
        <v>46045</v>
      </c>
      <c r="D7299" t="inlineStr">
        <is>
          <t>JÄMTLANDS LÄN</t>
        </is>
      </c>
      <c r="E7299" t="inlineStr">
        <is>
          <t>KROKOM</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54444-2025</t>
        </is>
      </c>
      <c r="B7300" s="1" t="n">
        <v>45965.51078703703</v>
      </c>
      <c r="C7300" s="1" t="n">
        <v>46045</v>
      </c>
      <c r="D7300" t="inlineStr">
        <is>
          <t>JÄMTLANDS LÄN</t>
        </is>
      </c>
      <c r="E7300" t="inlineStr">
        <is>
          <t>ÅRE</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54445-2025</t>
        </is>
      </c>
      <c r="B7301" s="1" t="n">
        <v>45965.51081018519</v>
      </c>
      <c r="C7301" s="1" t="n">
        <v>46045</v>
      </c>
      <c r="D7301" t="inlineStr">
        <is>
          <t>JÄMTLANDS LÄN</t>
        </is>
      </c>
      <c r="E7301" t="inlineStr">
        <is>
          <t>ÅRE</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27603-2025</t>
        </is>
      </c>
      <c r="B7302" s="1" t="n">
        <v>45813.53174768519</v>
      </c>
      <c r="C7302" s="1" t="n">
        <v>46045</v>
      </c>
      <c r="D7302" t="inlineStr">
        <is>
          <t>JÄMTLANDS LÄN</t>
        </is>
      </c>
      <c r="E7302" t="inlineStr">
        <is>
          <t>BERG</t>
        </is>
      </c>
      <c r="F7302" t="inlineStr">
        <is>
          <t>SCA</t>
        </is>
      </c>
      <c r="G7302" t="n">
        <v>11.3</v>
      </c>
      <c r="H7302" t="n">
        <v>0</v>
      </c>
      <c r="I7302" t="n">
        <v>0</v>
      </c>
      <c r="J7302" t="n">
        <v>0</v>
      </c>
      <c r="K7302" t="n">
        <v>0</v>
      </c>
      <c r="L7302" t="n">
        <v>0</v>
      </c>
      <c r="M7302" t="n">
        <v>0</v>
      </c>
      <c r="N7302" t="n">
        <v>0</v>
      </c>
      <c r="O7302" t="n">
        <v>0</v>
      </c>
      <c r="P7302" t="n">
        <v>0</v>
      </c>
      <c r="Q7302" t="n">
        <v>0</v>
      </c>
      <c r="R7302" s="2" t="inlineStr"/>
    </row>
    <row r="7303" ht="15" customHeight="1">
      <c r="A7303" t="inlineStr">
        <is>
          <t>A 54528-2025</t>
        </is>
      </c>
      <c r="B7303" s="1" t="n">
        <v>45965.63496527778</v>
      </c>
      <c r="C7303" s="1" t="n">
        <v>46045</v>
      </c>
      <c r="D7303" t="inlineStr">
        <is>
          <t>JÄMTLANDS LÄN</t>
        </is>
      </c>
      <c r="E7303" t="inlineStr">
        <is>
          <t>ÖSTERSUND</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62826-2025</t>
        </is>
      </c>
      <c r="B7304" s="1" t="n">
        <v>46008.65883101852</v>
      </c>
      <c r="C7304" s="1" t="n">
        <v>46045</v>
      </c>
      <c r="D7304" t="inlineStr">
        <is>
          <t>JÄMTLANDS LÄN</t>
        </is>
      </c>
      <c r="E7304" t="inlineStr">
        <is>
          <t>BERG</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54750-2025</t>
        </is>
      </c>
      <c r="B7305" s="1" t="n">
        <v>45966.59105324074</v>
      </c>
      <c r="C7305" s="1" t="n">
        <v>46045</v>
      </c>
      <c r="D7305" t="inlineStr">
        <is>
          <t>JÄMTLANDS LÄN</t>
        </is>
      </c>
      <c r="E7305" t="inlineStr">
        <is>
          <t>KROKOM</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27833-2025</t>
        </is>
      </c>
      <c r="B7306" s="1" t="n">
        <v>45814</v>
      </c>
      <c r="C7306" s="1" t="n">
        <v>46045</v>
      </c>
      <c r="D7306" t="inlineStr">
        <is>
          <t>JÄMTLANDS LÄN</t>
        </is>
      </c>
      <c r="E7306" t="inlineStr">
        <is>
          <t>KROKOM</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54794-2025</t>
        </is>
      </c>
      <c r="B7307" s="1" t="n">
        <v>45966.63592592593</v>
      </c>
      <c r="C7307" s="1" t="n">
        <v>46045</v>
      </c>
      <c r="D7307" t="inlineStr">
        <is>
          <t>JÄMTLANDS LÄN</t>
        </is>
      </c>
      <c r="E7307" t="inlineStr">
        <is>
          <t>RAGUNDA</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27851-2025</t>
        </is>
      </c>
      <c r="B7308" s="1" t="n">
        <v>45814</v>
      </c>
      <c r="C7308" s="1" t="n">
        <v>46045</v>
      </c>
      <c r="D7308" t="inlineStr">
        <is>
          <t>JÄMTLANDS LÄN</t>
        </is>
      </c>
      <c r="E7308" t="inlineStr">
        <is>
          <t>KROKOM</t>
        </is>
      </c>
      <c r="G7308" t="n">
        <v>13.9</v>
      </c>
      <c r="H7308" t="n">
        <v>0</v>
      </c>
      <c r="I7308" t="n">
        <v>0</v>
      </c>
      <c r="J7308" t="n">
        <v>0</v>
      </c>
      <c r="K7308" t="n">
        <v>0</v>
      </c>
      <c r="L7308" t="n">
        <v>0</v>
      </c>
      <c r="M7308" t="n">
        <v>0</v>
      </c>
      <c r="N7308" t="n">
        <v>0</v>
      </c>
      <c r="O7308" t="n">
        <v>0</v>
      </c>
      <c r="P7308" t="n">
        <v>0</v>
      </c>
      <c r="Q7308" t="n">
        <v>0</v>
      </c>
      <c r="R7308" s="2" t="inlineStr"/>
    </row>
    <row r="7309" ht="15" customHeight="1">
      <c r="A7309" t="inlineStr">
        <is>
          <t>A 54556-2025</t>
        </is>
      </c>
      <c r="B7309" s="1" t="n">
        <v>45965</v>
      </c>
      <c r="C7309" s="1" t="n">
        <v>46045</v>
      </c>
      <c r="D7309" t="inlineStr">
        <is>
          <t>JÄMTLANDS LÄN</t>
        </is>
      </c>
      <c r="E7309" t="inlineStr">
        <is>
          <t>STRÖMSUND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27646-2025</t>
        </is>
      </c>
      <c r="B7310" s="1" t="n">
        <v>45813.59443287037</v>
      </c>
      <c r="C7310" s="1" t="n">
        <v>46045</v>
      </c>
      <c r="D7310" t="inlineStr">
        <is>
          <t>JÄMTLANDS LÄN</t>
        </is>
      </c>
      <c r="E7310" t="inlineStr">
        <is>
          <t>STRÖMSUND</t>
        </is>
      </c>
      <c r="F7310" t="inlineStr">
        <is>
          <t>SCA</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19342-2025</t>
        </is>
      </c>
      <c r="B7311" s="1" t="n">
        <v>45769.59520833333</v>
      </c>
      <c r="C7311" s="1" t="n">
        <v>46045</v>
      </c>
      <c r="D7311" t="inlineStr">
        <is>
          <t>JÄMTLANDS LÄN</t>
        </is>
      </c>
      <c r="E7311" t="inlineStr">
        <is>
          <t>BRÄCKE</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18261-2022</t>
        </is>
      </c>
      <c r="B7312" s="1" t="n">
        <v>44685.45633101852</v>
      </c>
      <c r="C7312" s="1" t="n">
        <v>46045</v>
      </c>
      <c r="D7312" t="inlineStr">
        <is>
          <t>JÄMTLANDS LÄN</t>
        </is>
      </c>
      <c r="E7312" t="inlineStr">
        <is>
          <t>BERG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27648-2025</t>
        </is>
      </c>
      <c r="B7313" s="1" t="n">
        <v>45813.59472222222</v>
      </c>
      <c r="C7313" s="1" t="n">
        <v>46045</v>
      </c>
      <c r="D7313" t="inlineStr">
        <is>
          <t>JÄMTLANDS LÄN</t>
        </is>
      </c>
      <c r="E7313" t="inlineStr">
        <is>
          <t>STRÖMSUND</t>
        </is>
      </c>
      <c r="F7313" t="inlineStr">
        <is>
          <t>SCA</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27650-2025</t>
        </is>
      </c>
      <c r="B7314" s="1" t="n">
        <v>45813.59482638889</v>
      </c>
      <c r="C7314" s="1" t="n">
        <v>46045</v>
      </c>
      <c r="D7314" t="inlineStr">
        <is>
          <t>JÄMTLANDS LÄN</t>
        </is>
      </c>
      <c r="E7314" t="inlineStr">
        <is>
          <t>STRÖMSUND</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27651-2025</t>
        </is>
      </c>
      <c r="B7315" s="1" t="n">
        <v>45813.59488425926</v>
      </c>
      <c r="C7315" s="1" t="n">
        <v>46045</v>
      </c>
      <c r="D7315" t="inlineStr">
        <is>
          <t>JÄMTLANDS LÄN</t>
        </is>
      </c>
      <c r="E7315" t="inlineStr">
        <is>
          <t>STRÖMSUND</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27679-2025</t>
        </is>
      </c>
      <c r="B7316" s="1" t="n">
        <v>45813.64590277777</v>
      </c>
      <c r="C7316" s="1" t="n">
        <v>46045</v>
      </c>
      <c r="D7316" t="inlineStr">
        <is>
          <t>JÄMTLANDS LÄN</t>
        </is>
      </c>
      <c r="E7316" t="inlineStr">
        <is>
          <t>HÄRJEDALEN</t>
        </is>
      </c>
      <c r="G7316" t="n">
        <v>13.9</v>
      </c>
      <c r="H7316" t="n">
        <v>0</v>
      </c>
      <c r="I7316" t="n">
        <v>0</v>
      </c>
      <c r="J7316" t="n">
        <v>0</v>
      </c>
      <c r="K7316" t="n">
        <v>0</v>
      </c>
      <c r="L7316" t="n">
        <v>0</v>
      </c>
      <c r="M7316" t="n">
        <v>0</v>
      </c>
      <c r="N7316" t="n">
        <v>0</v>
      </c>
      <c r="O7316" t="n">
        <v>0</v>
      </c>
      <c r="P7316" t="n">
        <v>0</v>
      </c>
      <c r="Q7316" t="n">
        <v>0</v>
      </c>
      <c r="R7316" s="2" t="inlineStr"/>
    </row>
    <row r="7317" ht="15" customHeight="1">
      <c r="A7317" t="inlineStr">
        <is>
          <t>A 27691-2025</t>
        </is>
      </c>
      <c r="B7317" s="1" t="n">
        <v>45813.65671296296</v>
      </c>
      <c r="C7317" s="1" t="n">
        <v>46045</v>
      </c>
      <c r="D7317" t="inlineStr">
        <is>
          <t>JÄMTLANDS LÄN</t>
        </is>
      </c>
      <c r="E7317" t="inlineStr">
        <is>
          <t>STRÖMSUND</t>
        </is>
      </c>
      <c r="F7317" t="inlineStr">
        <is>
          <t>SCA</t>
        </is>
      </c>
      <c r="G7317" t="n">
        <v>9.5</v>
      </c>
      <c r="H7317" t="n">
        <v>0</v>
      </c>
      <c r="I7317" t="n">
        <v>0</v>
      </c>
      <c r="J7317" t="n">
        <v>0</v>
      </c>
      <c r="K7317" t="n">
        <v>0</v>
      </c>
      <c r="L7317" t="n">
        <v>0</v>
      </c>
      <c r="M7317" t="n">
        <v>0</v>
      </c>
      <c r="N7317" t="n">
        <v>0</v>
      </c>
      <c r="O7317" t="n">
        <v>0</v>
      </c>
      <c r="P7317" t="n">
        <v>0</v>
      </c>
      <c r="Q7317" t="n">
        <v>0</v>
      </c>
      <c r="R7317" s="2" t="inlineStr"/>
    </row>
    <row r="7318" ht="15" customHeight="1">
      <c r="A7318" t="inlineStr">
        <is>
          <t>A 62117-2025</t>
        </is>
      </c>
      <c r="B7318" s="1" t="n">
        <v>46006.43877314815</v>
      </c>
      <c r="C7318" s="1" t="n">
        <v>46045</v>
      </c>
      <c r="D7318" t="inlineStr">
        <is>
          <t>JÄMTLANDS LÄN</t>
        </is>
      </c>
      <c r="E7318" t="inlineStr">
        <is>
          <t>STRÖMSUND</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27453-2025</t>
        </is>
      </c>
      <c r="B7319" s="1" t="n">
        <v>45813.34454861111</v>
      </c>
      <c r="C7319" s="1" t="n">
        <v>46045</v>
      </c>
      <c r="D7319" t="inlineStr">
        <is>
          <t>JÄMTLANDS LÄN</t>
        </is>
      </c>
      <c r="E7319" t="inlineStr">
        <is>
          <t>BRÄCKE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10266-2025</t>
        </is>
      </c>
      <c r="B7320" s="1" t="n">
        <v>45720.38576388889</v>
      </c>
      <c r="C7320" s="1" t="n">
        <v>46045</v>
      </c>
      <c r="D7320" t="inlineStr">
        <is>
          <t>JÄMTLANDS LÄN</t>
        </is>
      </c>
      <c r="E7320" t="inlineStr">
        <is>
          <t>ÖSTERSUND</t>
        </is>
      </c>
      <c r="F7320" t="inlineStr">
        <is>
          <t>SCA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27569-2025</t>
        </is>
      </c>
      <c r="B7321" s="1" t="n">
        <v>45813.49018518518</v>
      </c>
      <c r="C7321" s="1" t="n">
        <v>46045</v>
      </c>
      <c r="D7321" t="inlineStr">
        <is>
          <t>JÄMTLANDS LÄN</t>
        </is>
      </c>
      <c r="E7321" t="inlineStr">
        <is>
          <t>BERG</t>
        </is>
      </c>
      <c r="F7321" t="inlineStr">
        <is>
          <t>SCA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27570-2025</t>
        </is>
      </c>
      <c r="B7322" s="1" t="n">
        <v>45813.49027777778</v>
      </c>
      <c r="C7322" s="1" t="n">
        <v>46045</v>
      </c>
      <c r="D7322" t="inlineStr">
        <is>
          <t>JÄMTLANDS LÄN</t>
        </is>
      </c>
      <c r="E7322" t="inlineStr">
        <is>
          <t>STRÖMSUND</t>
        </is>
      </c>
      <c r="F7322" t="inlineStr">
        <is>
          <t>SCA</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52229-2024</t>
        </is>
      </c>
      <c r="B7323" s="1" t="n">
        <v>45608.60803240741</v>
      </c>
      <c r="C7323" s="1" t="n">
        <v>46045</v>
      </c>
      <c r="D7323" t="inlineStr">
        <is>
          <t>JÄMTLANDS LÄN</t>
        </is>
      </c>
      <c r="E7323" t="inlineStr">
        <is>
          <t>BRÄCKE</t>
        </is>
      </c>
      <c r="F7323" t="inlineStr">
        <is>
          <t>SCA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19404-2025</t>
        </is>
      </c>
      <c r="B7324" s="1" t="n">
        <v>45769.67802083334</v>
      </c>
      <c r="C7324" s="1" t="n">
        <v>46045</v>
      </c>
      <c r="D7324" t="inlineStr">
        <is>
          <t>JÄMTLANDS LÄN</t>
        </is>
      </c>
      <c r="E7324" t="inlineStr">
        <is>
          <t>RAGUNDA</t>
        </is>
      </c>
      <c r="F7324" t="inlineStr">
        <is>
          <t>SCA</t>
        </is>
      </c>
      <c r="G7324" t="n">
        <v>3</v>
      </c>
      <c r="H7324" t="n">
        <v>0</v>
      </c>
      <c r="I7324" t="n">
        <v>0</v>
      </c>
      <c r="J7324" t="n">
        <v>0</v>
      </c>
      <c r="K7324" t="n">
        <v>0</v>
      </c>
      <c r="L7324" t="n">
        <v>0</v>
      </c>
      <c r="M7324" t="n">
        <v>0</v>
      </c>
      <c r="N7324" t="n">
        <v>0</v>
      </c>
      <c r="O7324" t="n">
        <v>0</v>
      </c>
      <c r="P7324" t="n">
        <v>0</v>
      </c>
      <c r="Q7324" t="n">
        <v>0</v>
      </c>
      <c r="R7324" s="2" t="inlineStr"/>
      <c r="U7324">
        <f>HYPERLINK("https://klasma.github.io/Logging_2303/knärot/A 19404-2025 karta knärot.png", "A 19404-2025")</f>
        <v/>
      </c>
      <c r="V7324">
        <f>HYPERLINK("https://klasma.github.io/Logging_2303/klagomål/A 19404-2025 FSC-klagomål.docx", "A 19404-2025")</f>
        <v/>
      </c>
      <c r="W7324">
        <f>HYPERLINK("https://klasma.github.io/Logging_2303/klagomålsmail/A 19404-2025 FSC-klagomål mail.docx", "A 19404-2025")</f>
        <v/>
      </c>
      <c r="X7324">
        <f>HYPERLINK("https://klasma.github.io/Logging_2303/tillsyn/A 19404-2025 tillsynsbegäran.docx", "A 19404-2025")</f>
        <v/>
      </c>
      <c r="Y7324">
        <f>HYPERLINK("https://klasma.github.io/Logging_2303/tillsynsmail/A 19404-2025 tillsynsbegäran mail.docx", "A 19404-2025")</f>
        <v/>
      </c>
    </row>
    <row r="7325" ht="15" customHeight="1">
      <c r="A7325" t="inlineStr">
        <is>
          <t>A 54948-2025</t>
        </is>
      </c>
      <c r="B7325" s="1" t="n">
        <v>45967.4487037037</v>
      </c>
      <c r="C7325" s="1" t="n">
        <v>46045</v>
      </c>
      <c r="D7325" t="inlineStr">
        <is>
          <t>JÄMTLANDS LÄN</t>
        </is>
      </c>
      <c r="E7325" t="inlineStr">
        <is>
          <t>STRÖMSUND</t>
        </is>
      </c>
      <c r="F7325" t="inlineStr">
        <is>
          <t>SCA</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54952-2025</t>
        </is>
      </c>
      <c r="B7326" s="1" t="n">
        <v>45967.44914351852</v>
      </c>
      <c r="C7326" s="1" t="n">
        <v>46045</v>
      </c>
      <c r="D7326" t="inlineStr">
        <is>
          <t>JÄMTLANDS LÄN</t>
        </is>
      </c>
      <c r="E7326" t="inlineStr">
        <is>
          <t>STRÖMSUND</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54965-2025</t>
        </is>
      </c>
      <c r="B7327" s="1" t="n">
        <v>45967.49037037037</v>
      </c>
      <c r="C7327" s="1" t="n">
        <v>46045</v>
      </c>
      <c r="D7327" t="inlineStr">
        <is>
          <t>JÄMTLANDS LÄN</t>
        </is>
      </c>
      <c r="E7327" t="inlineStr">
        <is>
          <t>ÖSTERSUND</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55043-2025</t>
        </is>
      </c>
      <c r="B7328" s="1" t="n">
        <v>45967.65983796296</v>
      </c>
      <c r="C7328" s="1" t="n">
        <v>46045</v>
      </c>
      <c r="D7328" t="inlineStr">
        <is>
          <t>JÄMTLANDS LÄN</t>
        </is>
      </c>
      <c r="E7328" t="inlineStr">
        <is>
          <t>BERG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55028-2025</t>
        </is>
      </c>
      <c r="B7329" s="1" t="n">
        <v>45967.63650462963</v>
      </c>
      <c r="C7329" s="1" t="n">
        <v>46045</v>
      </c>
      <c r="D7329" t="inlineStr">
        <is>
          <t>JÄMTLANDS LÄN</t>
        </is>
      </c>
      <c r="E7329" t="inlineStr">
        <is>
          <t>BRÄCKE</t>
        </is>
      </c>
      <c r="F7329" t="inlineStr">
        <is>
          <t>SCA</t>
        </is>
      </c>
      <c r="G7329" t="n">
        <v>16.4</v>
      </c>
      <c r="H7329" t="n">
        <v>0</v>
      </c>
      <c r="I7329" t="n">
        <v>0</v>
      </c>
      <c r="J7329" t="n">
        <v>0</v>
      </c>
      <c r="K7329" t="n">
        <v>0</v>
      </c>
      <c r="L7329" t="n">
        <v>0</v>
      </c>
      <c r="M7329" t="n">
        <v>0</v>
      </c>
      <c r="N7329" t="n">
        <v>0</v>
      </c>
      <c r="O7329" t="n">
        <v>0</v>
      </c>
      <c r="P7329" t="n">
        <v>0</v>
      </c>
      <c r="Q7329" t="n">
        <v>0</v>
      </c>
      <c r="R7329" s="2" t="inlineStr"/>
    </row>
    <row r="7330" ht="15" customHeight="1">
      <c r="A7330" t="inlineStr">
        <is>
          <t>A 55034-2025</t>
        </is>
      </c>
      <c r="B7330" s="1" t="n">
        <v>45967.64570601852</v>
      </c>
      <c r="C7330" s="1" t="n">
        <v>46045</v>
      </c>
      <c r="D7330" t="inlineStr">
        <is>
          <t>JÄMTLANDS LÄN</t>
        </is>
      </c>
      <c r="E7330" t="inlineStr">
        <is>
          <t>HÄRJEDALEN</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55060-2025</t>
        </is>
      </c>
      <c r="B7331" s="1" t="n">
        <v>45967.68814814815</v>
      </c>
      <c r="C7331" s="1" t="n">
        <v>46045</v>
      </c>
      <c r="D7331" t="inlineStr">
        <is>
          <t>JÄMTLANDS LÄN</t>
        </is>
      </c>
      <c r="E7331" t="inlineStr">
        <is>
          <t>KROKOM</t>
        </is>
      </c>
      <c r="F7331" t="inlineStr">
        <is>
          <t>Kyrkan</t>
        </is>
      </c>
      <c r="G7331" t="n">
        <v>59.7</v>
      </c>
      <c r="H7331" t="n">
        <v>0</v>
      </c>
      <c r="I7331" t="n">
        <v>0</v>
      </c>
      <c r="J7331" t="n">
        <v>0</v>
      </c>
      <c r="K7331" t="n">
        <v>0</v>
      </c>
      <c r="L7331" t="n">
        <v>0</v>
      </c>
      <c r="M7331" t="n">
        <v>0</v>
      </c>
      <c r="N7331" t="n">
        <v>0</v>
      </c>
      <c r="O7331" t="n">
        <v>0</v>
      </c>
      <c r="P7331" t="n">
        <v>0</v>
      </c>
      <c r="Q7331" t="n">
        <v>0</v>
      </c>
      <c r="R7331" s="2" t="inlineStr"/>
    </row>
    <row r="7332" ht="15" customHeight="1">
      <c r="A7332" t="inlineStr">
        <is>
          <t>A 55062-2025</t>
        </is>
      </c>
      <c r="B7332" s="1" t="n">
        <v>45967.69768518519</v>
      </c>
      <c r="C7332" s="1" t="n">
        <v>46045</v>
      </c>
      <c r="D7332" t="inlineStr">
        <is>
          <t>JÄMTLANDS LÄN</t>
        </is>
      </c>
      <c r="E7332" t="inlineStr">
        <is>
          <t>KROKOM</t>
        </is>
      </c>
      <c r="F7332" t="inlineStr">
        <is>
          <t>Kyrkan</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55066-2025</t>
        </is>
      </c>
      <c r="B7333" s="1" t="n">
        <v>45967.72011574074</v>
      </c>
      <c r="C7333" s="1" t="n">
        <v>46045</v>
      </c>
      <c r="D7333" t="inlineStr">
        <is>
          <t>JÄMTLANDS LÄN</t>
        </is>
      </c>
      <c r="E7333" t="inlineStr">
        <is>
          <t>STRÖMSUND</t>
        </is>
      </c>
      <c r="F7333" t="inlineStr">
        <is>
          <t>SCA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55069-2025</t>
        </is>
      </c>
      <c r="B7334" s="1" t="n">
        <v>45967.72344907407</v>
      </c>
      <c r="C7334" s="1" t="n">
        <v>46045</v>
      </c>
      <c r="D7334" t="inlineStr">
        <is>
          <t>JÄMTLANDS LÄN</t>
        </is>
      </c>
      <c r="E7334" t="inlineStr">
        <is>
          <t>BRÄCKE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27459-2025</t>
        </is>
      </c>
      <c r="B7335" s="1" t="n">
        <v>45813.34561342592</v>
      </c>
      <c r="C7335" s="1" t="n">
        <v>46045</v>
      </c>
      <c r="D7335" t="inlineStr">
        <is>
          <t>JÄMTLANDS LÄN</t>
        </is>
      </c>
      <c r="E7335" t="inlineStr">
        <is>
          <t>BERG</t>
        </is>
      </c>
      <c r="F7335" t="inlineStr">
        <is>
          <t>SCA</t>
        </is>
      </c>
      <c r="G7335" t="n">
        <v>19.2</v>
      </c>
      <c r="H7335" t="n">
        <v>0</v>
      </c>
      <c r="I7335" t="n">
        <v>0</v>
      </c>
      <c r="J7335" t="n">
        <v>0</v>
      </c>
      <c r="K7335" t="n">
        <v>0</v>
      </c>
      <c r="L7335" t="n">
        <v>0</v>
      </c>
      <c r="M7335" t="n">
        <v>0</v>
      </c>
      <c r="N7335" t="n">
        <v>0</v>
      </c>
      <c r="O7335" t="n">
        <v>0</v>
      </c>
      <c r="P7335" t="n">
        <v>0</v>
      </c>
      <c r="Q7335" t="n">
        <v>0</v>
      </c>
      <c r="R7335" s="2" t="inlineStr"/>
    </row>
    <row r="7336" ht="15" customHeight="1">
      <c r="A7336" t="inlineStr">
        <is>
          <t>A 27661-2025</t>
        </is>
      </c>
      <c r="B7336" s="1" t="n">
        <v>45813.61508101852</v>
      </c>
      <c r="C7336" s="1" t="n">
        <v>46045</v>
      </c>
      <c r="D7336" t="inlineStr">
        <is>
          <t>JÄMTLANDS LÄN</t>
        </is>
      </c>
      <c r="E7336" t="inlineStr">
        <is>
          <t>STRÖMSUND</t>
        </is>
      </c>
      <c r="F7336" t="inlineStr">
        <is>
          <t>SCA</t>
        </is>
      </c>
      <c r="G7336" t="n">
        <v>9</v>
      </c>
      <c r="H7336" t="n">
        <v>0</v>
      </c>
      <c r="I7336" t="n">
        <v>0</v>
      </c>
      <c r="J7336" t="n">
        <v>0</v>
      </c>
      <c r="K7336" t="n">
        <v>0</v>
      </c>
      <c r="L7336" t="n">
        <v>0</v>
      </c>
      <c r="M7336" t="n">
        <v>0</v>
      </c>
      <c r="N7336" t="n">
        <v>0</v>
      </c>
      <c r="O7336" t="n">
        <v>0</v>
      </c>
      <c r="P7336" t="n">
        <v>0</v>
      </c>
      <c r="Q7336" t="n">
        <v>0</v>
      </c>
      <c r="R7336" s="2" t="inlineStr"/>
    </row>
    <row r="7337" ht="15" customHeight="1">
      <c r="A7337" t="inlineStr">
        <is>
          <t>A 54894-2025</t>
        </is>
      </c>
      <c r="B7337" s="1" t="n">
        <v>45967.36505787037</v>
      </c>
      <c r="C7337" s="1" t="n">
        <v>46045</v>
      </c>
      <c r="D7337" t="inlineStr">
        <is>
          <t>JÄMTLANDS LÄN</t>
        </is>
      </c>
      <c r="E7337" t="inlineStr">
        <is>
          <t>STRÖMSUND</t>
        </is>
      </c>
      <c r="F7337" t="inlineStr">
        <is>
          <t>SCA</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55149-2025</t>
        </is>
      </c>
      <c r="B7338" s="1" t="n">
        <v>45968.44840277778</v>
      </c>
      <c r="C7338" s="1" t="n">
        <v>46045</v>
      </c>
      <c r="D7338" t="inlineStr">
        <is>
          <t>JÄMTLANDS LÄN</t>
        </is>
      </c>
      <c r="E7338" t="inlineStr">
        <is>
          <t>BRÄCKE</t>
        </is>
      </c>
      <c r="F7338" t="inlineStr">
        <is>
          <t>SCA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55179-2025</t>
        </is>
      </c>
      <c r="B7339" s="1" t="n">
        <v>45968.53167824074</v>
      </c>
      <c r="C7339" s="1" t="n">
        <v>46045</v>
      </c>
      <c r="D7339" t="inlineStr">
        <is>
          <t>JÄMTLANDS LÄN</t>
        </is>
      </c>
      <c r="E7339" t="inlineStr">
        <is>
          <t>ÖSTERSUND</t>
        </is>
      </c>
      <c r="F7339" t="inlineStr">
        <is>
          <t>SCA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27516-2025</t>
        </is>
      </c>
      <c r="B7340" s="1" t="n">
        <v>45813.43526620371</v>
      </c>
      <c r="C7340" s="1" t="n">
        <v>46045</v>
      </c>
      <c r="D7340" t="inlineStr">
        <is>
          <t>JÄMTLANDS LÄN</t>
        </is>
      </c>
      <c r="E7340" t="inlineStr">
        <is>
          <t>BRÄCKE</t>
        </is>
      </c>
      <c r="G7340" t="n">
        <v>0.1</v>
      </c>
      <c r="H7340" t="n">
        <v>0</v>
      </c>
      <c r="I7340" t="n">
        <v>0</v>
      </c>
      <c r="J7340" t="n">
        <v>0</v>
      </c>
      <c r="K7340" t="n">
        <v>0</v>
      </c>
      <c r="L7340" t="n">
        <v>0</v>
      </c>
      <c r="M7340" t="n">
        <v>0</v>
      </c>
      <c r="N7340" t="n">
        <v>0</v>
      </c>
      <c r="O7340" t="n">
        <v>0</v>
      </c>
      <c r="P7340" t="n">
        <v>0</v>
      </c>
      <c r="Q7340" t="n">
        <v>0</v>
      </c>
      <c r="R7340" s="2" t="inlineStr"/>
    </row>
    <row r="7341" ht="15" customHeight="1">
      <c r="A7341" t="inlineStr">
        <is>
          <t>A 27553-2025</t>
        </is>
      </c>
      <c r="B7341" s="1" t="n">
        <v>45813.47074074074</v>
      </c>
      <c r="C7341" s="1" t="n">
        <v>46045</v>
      </c>
      <c r="D7341" t="inlineStr">
        <is>
          <t>JÄMTLANDS LÄN</t>
        </is>
      </c>
      <c r="E7341" t="inlineStr">
        <is>
          <t>HÄRJEDALEN</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55267-2025</t>
        </is>
      </c>
      <c r="B7342" s="1" t="n">
        <v>45968.66726851852</v>
      </c>
      <c r="C7342" s="1" t="n">
        <v>46045</v>
      </c>
      <c r="D7342" t="inlineStr">
        <is>
          <t>JÄMTLANDS LÄN</t>
        </is>
      </c>
      <c r="E7342" t="inlineStr">
        <is>
          <t>BERG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55282-2025</t>
        </is>
      </c>
      <c r="B7343" s="1" t="n">
        <v>45968</v>
      </c>
      <c r="C7343" s="1" t="n">
        <v>46045</v>
      </c>
      <c r="D7343" t="inlineStr">
        <is>
          <t>JÄMTLANDS LÄN</t>
        </is>
      </c>
      <c r="E7343" t="inlineStr">
        <is>
          <t>STRÖMSUND</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27703-2025</t>
        </is>
      </c>
      <c r="B7344" s="1" t="n">
        <v>45813.68361111111</v>
      </c>
      <c r="C7344" s="1" t="n">
        <v>46045</v>
      </c>
      <c r="D7344" t="inlineStr">
        <is>
          <t>JÄMTLANDS LÄN</t>
        </is>
      </c>
      <c r="E7344" t="inlineStr">
        <is>
          <t>KROKOM</t>
        </is>
      </c>
      <c r="G7344" t="n">
        <v>7.1</v>
      </c>
      <c r="H7344" t="n">
        <v>0</v>
      </c>
      <c r="I7344" t="n">
        <v>0</v>
      </c>
      <c r="J7344" t="n">
        <v>0</v>
      </c>
      <c r="K7344" t="n">
        <v>0</v>
      </c>
      <c r="L7344" t="n">
        <v>0</v>
      </c>
      <c r="M7344" t="n">
        <v>0</v>
      </c>
      <c r="N7344" t="n">
        <v>0</v>
      </c>
      <c r="O7344" t="n">
        <v>0</v>
      </c>
      <c r="P7344" t="n">
        <v>0</v>
      </c>
      <c r="Q7344" t="n">
        <v>0</v>
      </c>
      <c r="R7344" s="2" t="inlineStr"/>
    </row>
    <row r="7345" ht="15" customHeight="1">
      <c r="A7345" t="inlineStr">
        <is>
          <t>A 27726-2025</t>
        </is>
      </c>
      <c r="B7345" s="1" t="n">
        <v>45814.51081018519</v>
      </c>
      <c r="C7345" s="1" t="n">
        <v>46045</v>
      </c>
      <c r="D7345" t="inlineStr">
        <is>
          <t>JÄMTLANDS LÄN</t>
        </is>
      </c>
      <c r="E7345" t="inlineStr">
        <is>
          <t>STRÖMSUND</t>
        </is>
      </c>
      <c r="F7345" t="inlineStr">
        <is>
          <t>SCA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59136-2023</t>
        </is>
      </c>
      <c r="B7346" s="1" t="n">
        <v>45251</v>
      </c>
      <c r="C7346" s="1" t="n">
        <v>46045</v>
      </c>
      <c r="D7346" t="inlineStr">
        <is>
          <t>JÄMTLANDS LÄN</t>
        </is>
      </c>
      <c r="E7346" t="inlineStr">
        <is>
          <t>RAGUNDA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32452-2024</t>
        </is>
      </c>
      <c r="B7347" s="1" t="n">
        <v>45512.958125</v>
      </c>
      <c r="C7347" s="1" t="n">
        <v>46045</v>
      </c>
      <c r="D7347" t="inlineStr">
        <is>
          <t>JÄMTLANDS LÄN</t>
        </is>
      </c>
      <c r="E7347" t="inlineStr">
        <is>
          <t>STRÖMSUND</t>
        </is>
      </c>
      <c r="F7347" t="inlineStr">
        <is>
          <t>SCA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17907-2025</t>
        </is>
      </c>
      <c r="B7348" s="1" t="n">
        <v>45758.73046296297</v>
      </c>
      <c r="C7348" s="1" t="n">
        <v>46045</v>
      </c>
      <c r="D7348" t="inlineStr">
        <is>
          <t>JÄMTLANDS LÄN</t>
        </is>
      </c>
      <c r="E7348" t="inlineStr">
        <is>
          <t>BRÄCKE</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27511-2025</t>
        </is>
      </c>
      <c r="B7349" s="1" t="n">
        <v>45813.42799768518</v>
      </c>
      <c r="C7349" s="1" t="n">
        <v>46045</v>
      </c>
      <c r="D7349" t="inlineStr">
        <is>
          <t>JÄMTLANDS LÄN</t>
        </is>
      </c>
      <c r="E7349" t="inlineStr">
        <is>
          <t>BRÄCKE</t>
        </is>
      </c>
      <c r="F7349" t="inlineStr">
        <is>
          <t>SCA</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54887-2025</t>
        </is>
      </c>
      <c r="B7350" s="1" t="n">
        <v>45967.34484953704</v>
      </c>
      <c r="C7350" s="1" t="n">
        <v>46045</v>
      </c>
      <c r="D7350" t="inlineStr">
        <is>
          <t>JÄMTLANDS LÄN</t>
        </is>
      </c>
      <c r="E7350" t="inlineStr">
        <is>
          <t>BRÄCKE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54895-2025</t>
        </is>
      </c>
      <c r="B7351" s="1" t="n">
        <v>45967.36524305555</v>
      </c>
      <c r="C7351" s="1" t="n">
        <v>46045</v>
      </c>
      <c r="D7351" t="inlineStr">
        <is>
          <t>JÄMTLANDS LÄN</t>
        </is>
      </c>
      <c r="E7351" t="inlineStr">
        <is>
          <t>KROKOM</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54931-2025</t>
        </is>
      </c>
      <c r="B7352" s="1" t="n">
        <v>45967.42462962963</v>
      </c>
      <c r="C7352" s="1" t="n">
        <v>46045</v>
      </c>
      <c r="D7352" t="inlineStr">
        <is>
          <t>JÄMTLANDS LÄN</t>
        </is>
      </c>
      <c r="E7352" t="inlineStr">
        <is>
          <t>ÖSTERSUND</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54937-2025</t>
        </is>
      </c>
      <c r="B7353" s="1" t="n">
        <v>45967.43244212963</v>
      </c>
      <c r="C7353" s="1" t="n">
        <v>46045</v>
      </c>
      <c r="D7353" t="inlineStr">
        <is>
          <t>JÄMTLANDS LÄN</t>
        </is>
      </c>
      <c r="E7353" t="inlineStr">
        <is>
          <t>ÅRE</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27716-2025</t>
        </is>
      </c>
      <c r="B7354" s="1" t="n">
        <v>45813.961875</v>
      </c>
      <c r="C7354" s="1" t="n">
        <v>46045</v>
      </c>
      <c r="D7354" t="inlineStr">
        <is>
          <t>JÄMTLANDS LÄN</t>
        </is>
      </c>
      <c r="E7354" t="inlineStr">
        <is>
          <t>BERG</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35274-2023</t>
        </is>
      </c>
      <c r="B7355" s="1" t="n">
        <v>45145</v>
      </c>
      <c r="C7355" s="1" t="n">
        <v>46045</v>
      </c>
      <c r="D7355" t="inlineStr">
        <is>
          <t>JÄMTLANDS LÄN</t>
        </is>
      </c>
      <c r="E7355" t="inlineStr">
        <is>
          <t>RAGUNDA</t>
        </is>
      </c>
      <c r="F7355" t="inlineStr">
        <is>
          <t>SCA</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35279-2023</t>
        </is>
      </c>
      <c r="B7356" s="1" t="n">
        <v>45145.95431712963</v>
      </c>
      <c r="C7356" s="1" t="n">
        <v>46045</v>
      </c>
      <c r="D7356" t="inlineStr">
        <is>
          <t>JÄMTLANDS LÄN</t>
        </is>
      </c>
      <c r="E7356" t="inlineStr">
        <is>
          <t>STRÖMSUND</t>
        </is>
      </c>
      <c r="F7356" t="inlineStr">
        <is>
          <t>SCA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55181-2025</t>
        </is>
      </c>
      <c r="B7357" s="1" t="n">
        <v>45968.531875</v>
      </c>
      <c r="C7357" s="1" t="n">
        <v>46045</v>
      </c>
      <c r="D7357" t="inlineStr">
        <is>
          <t>JÄMTLANDS LÄN</t>
        </is>
      </c>
      <c r="E7357" t="inlineStr">
        <is>
          <t>STRÖMSUND</t>
        </is>
      </c>
      <c r="F7357" t="inlineStr">
        <is>
          <t>SCA</t>
        </is>
      </c>
      <c r="G7357" t="n">
        <v>10.4</v>
      </c>
      <c r="H7357" t="n">
        <v>0</v>
      </c>
      <c r="I7357" t="n">
        <v>0</v>
      </c>
      <c r="J7357" t="n">
        <v>0</v>
      </c>
      <c r="K7357" t="n">
        <v>0</v>
      </c>
      <c r="L7357" t="n">
        <v>0</v>
      </c>
      <c r="M7357" t="n">
        <v>0</v>
      </c>
      <c r="N7357" t="n">
        <v>0</v>
      </c>
      <c r="O7357" t="n">
        <v>0</v>
      </c>
      <c r="P7357" t="n">
        <v>0</v>
      </c>
      <c r="Q7357" t="n">
        <v>0</v>
      </c>
      <c r="R7357" s="2" t="inlineStr"/>
    </row>
    <row r="7358" ht="15" customHeight="1">
      <c r="A7358" t="inlineStr">
        <is>
          <t>A 16022-2025</t>
        </is>
      </c>
      <c r="B7358" s="1" t="n">
        <v>45749.60973379629</v>
      </c>
      <c r="C7358" s="1" t="n">
        <v>46045</v>
      </c>
      <c r="D7358" t="inlineStr">
        <is>
          <t>JÄMTLANDS LÄN</t>
        </is>
      </c>
      <c r="E7358" t="inlineStr">
        <is>
          <t>BERG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55223-2025</t>
        </is>
      </c>
      <c r="B7359" s="1" t="n">
        <v>45968.59439814815</v>
      </c>
      <c r="C7359" s="1" t="n">
        <v>46045</v>
      </c>
      <c r="D7359" t="inlineStr">
        <is>
          <t>JÄMTLANDS LÄN</t>
        </is>
      </c>
      <c r="E7359" t="inlineStr">
        <is>
          <t>BERG</t>
        </is>
      </c>
      <c r="F7359" t="inlineStr">
        <is>
          <t>SCA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55239-2025</t>
        </is>
      </c>
      <c r="B7360" s="1" t="n">
        <v>45968</v>
      </c>
      <c r="C7360" s="1" t="n">
        <v>46045</v>
      </c>
      <c r="D7360" t="inlineStr">
        <is>
          <t>JÄMTLANDS LÄN</t>
        </is>
      </c>
      <c r="E7360" t="inlineStr">
        <is>
          <t>BERG</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55240-2025</t>
        </is>
      </c>
      <c r="B7361" s="1" t="n">
        <v>45968</v>
      </c>
      <c r="C7361" s="1" t="n">
        <v>46045</v>
      </c>
      <c r="D7361" t="inlineStr">
        <is>
          <t>JÄMTLANDS LÄN</t>
        </is>
      </c>
      <c r="E7361" t="inlineStr">
        <is>
          <t>BERG</t>
        </is>
      </c>
      <c r="G7361" t="n">
        <v>11.2</v>
      </c>
      <c r="H7361" t="n">
        <v>0</v>
      </c>
      <c r="I7361" t="n">
        <v>0</v>
      </c>
      <c r="J7361" t="n">
        <v>0</v>
      </c>
      <c r="K7361" t="n">
        <v>0</v>
      </c>
      <c r="L7361" t="n">
        <v>0</v>
      </c>
      <c r="M7361" t="n">
        <v>0</v>
      </c>
      <c r="N7361" t="n">
        <v>0</v>
      </c>
      <c r="O7361" t="n">
        <v>0</v>
      </c>
      <c r="P7361" t="n">
        <v>0</v>
      </c>
      <c r="Q7361" t="n">
        <v>0</v>
      </c>
      <c r="R7361" s="2" t="inlineStr"/>
    </row>
    <row r="7362" ht="15" customHeight="1">
      <c r="A7362" t="inlineStr">
        <is>
          <t>A 41490-2021</t>
        </is>
      </c>
      <c r="B7362" s="1" t="n">
        <v>44424.94048611111</v>
      </c>
      <c r="C7362" s="1" t="n">
        <v>46045</v>
      </c>
      <c r="D7362" t="inlineStr">
        <is>
          <t>JÄMTLANDS LÄN</t>
        </is>
      </c>
      <c r="E7362" t="inlineStr">
        <is>
          <t>STRÖMSUND</t>
        </is>
      </c>
      <c r="F7362" t="inlineStr">
        <is>
          <t>SCA</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63225-2025</t>
        </is>
      </c>
      <c r="B7363" s="1" t="n">
        <v>46010.49605324074</v>
      </c>
      <c r="C7363" s="1" t="n">
        <v>46045</v>
      </c>
      <c r="D7363" t="inlineStr">
        <is>
          <t>JÄMTLANDS LÄN</t>
        </is>
      </c>
      <c r="E7363" t="inlineStr">
        <is>
          <t>ÅRE</t>
        </is>
      </c>
      <c r="F7363" t="inlineStr">
        <is>
          <t>Övriga Aktiebolag</t>
        </is>
      </c>
      <c r="G7363" t="n">
        <v>12.1</v>
      </c>
      <c r="H7363" t="n">
        <v>0</v>
      </c>
      <c r="I7363" t="n">
        <v>0</v>
      </c>
      <c r="J7363" t="n">
        <v>0</v>
      </c>
      <c r="K7363" t="n">
        <v>0</v>
      </c>
      <c r="L7363" t="n">
        <v>0</v>
      </c>
      <c r="M7363" t="n">
        <v>0</v>
      </c>
      <c r="N7363" t="n">
        <v>0</v>
      </c>
      <c r="O7363" t="n">
        <v>0</v>
      </c>
      <c r="P7363" t="n">
        <v>0</v>
      </c>
      <c r="Q7363" t="n">
        <v>0</v>
      </c>
      <c r="R7363" s="2" t="inlineStr"/>
    </row>
    <row r="7364" ht="15" customHeight="1">
      <c r="A7364" t="inlineStr">
        <is>
          <t>A 22236-2025</t>
        </is>
      </c>
      <c r="B7364" s="1" t="n">
        <v>45785.67431712963</v>
      </c>
      <c r="C7364" s="1" t="n">
        <v>46045</v>
      </c>
      <c r="D7364" t="inlineStr">
        <is>
          <t>JÄMTLANDS LÄN</t>
        </is>
      </c>
      <c r="E7364" t="inlineStr">
        <is>
          <t>KROKOM</t>
        </is>
      </c>
      <c r="F7364" t="inlineStr">
        <is>
          <t>SCA</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27649-2025</t>
        </is>
      </c>
      <c r="B7365" s="1" t="n">
        <v>45813.59481481482</v>
      </c>
      <c r="C7365" s="1" t="n">
        <v>46045</v>
      </c>
      <c r="D7365" t="inlineStr">
        <is>
          <t>JÄMTLANDS LÄN</t>
        </is>
      </c>
      <c r="E7365" t="inlineStr">
        <is>
          <t>STRÖMSUND</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27662-2025</t>
        </is>
      </c>
      <c r="B7366" s="1" t="n">
        <v>45813.61521990741</v>
      </c>
      <c r="C7366" s="1" t="n">
        <v>46045</v>
      </c>
      <c r="D7366" t="inlineStr">
        <is>
          <t>JÄMTLANDS LÄN</t>
        </is>
      </c>
      <c r="E7366" t="inlineStr">
        <is>
          <t>STRÖMSUND</t>
        </is>
      </c>
      <c r="F7366" t="inlineStr">
        <is>
          <t>SCA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27692-2025</t>
        </is>
      </c>
      <c r="B7367" s="1" t="n">
        <v>45813.65686342592</v>
      </c>
      <c r="C7367" s="1" t="n">
        <v>46045</v>
      </c>
      <c r="D7367" t="inlineStr">
        <is>
          <t>JÄMTLANDS LÄN</t>
        </is>
      </c>
      <c r="E7367" t="inlineStr">
        <is>
          <t>STRÖMSUND</t>
        </is>
      </c>
      <c r="F7367" t="inlineStr">
        <is>
          <t>SCA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27510-2025</t>
        </is>
      </c>
      <c r="B7368" s="1" t="n">
        <v>45813.42790509259</v>
      </c>
      <c r="C7368" s="1" t="n">
        <v>46045</v>
      </c>
      <c r="D7368" t="inlineStr">
        <is>
          <t>JÄMTLANDS LÄN</t>
        </is>
      </c>
      <c r="E7368" t="inlineStr">
        <is>
          <t>RAGUNDA</t>
        </is>
      </c>
      <c r="F7368" t="inlineStr">
        <is>
          <t>SCA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63319-2025</t>
        </is>
      </c>
      <c r="B7369" s="1" t="n">
        <v>46010.63584490741</v>
      </c>
      <c r="C7369" s="1" t="n">
        <v>46045</v>
      </c>
      <c r="D7369" t="inlineStr">
        <is>
          <t>JÄMTLANDS LÄN</t>
        </is>
      </c>
      <c r="E7369" t="inlineStr">
        <is>
          <t>BRÄCKE</t>
        </is>
      </c>
      <c r="F7369" t="inlineStr">
        <is>
          <t>SCA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8695-2025</t>
        </is>
      </c>
      <c r="B7370" s="1" t="n">
        <v>45709</v>
      </c>
      <c r="C7370" s="1" t="n">
        <v>46045</v>
      </c>
      <c r="D7370" t="inlineStr">
        <is>
          <t>JÄMTLANDS LÄN</t>
        </is>
      </c>
      <c r="E7370" t="inlineStr">
        <is>
          <t>KROKOM</t>
        </is>
      </c>
      <c r="G7370" t="n">
        <v>21.4</v>
      </c>
      <c r="H7370" t="n">
        <v>0</v>
      </c>
      <c r="I7370" t="n">
        <v>0</v>
      </c>
      <c r="J7370" t="n">
        <v>0</v>
      </c>
      <c r="K7370" t="n">
        <v>0</v>
      </c>
      <c r="L7370" t="n">
        <v>0</v>
      </c>
      <c r="M7370" t="n">
        <v>0</v>
      </c>
      <c r="N7370" t="n">
        <v>0</v>
      </c>
      <c r="O7370" t="n">
        <v>0</v>
      </c>
      <c r="P7370" t="n">
        <v>0</v>
      </c>
      <c r="Q7370" t="n">
        <v>0</v>
      </c>
      <c r="R7370" s="2" t="inlineStr"/>
    </row>
    <row r="7371" ht="15" customHeight="1">
      <c r="A7371" t="inlineStr">
        <is>
          <t>A 56043-2022</t>
        </is>
      </c>
      <c r="B7371" s="1" t="n">
        <v>44889.56582175926</v>
      </c>
      <c r="C7371" s="1" t="n">
        <v>46045</v>
      </c>
      <c r="D7371" t="inlineStr">
        <is>
          <t>JÄMTLANDS LÄN</t>
        </is>
      </c>
      <c r="E7371" t="inlineStr">
        <is>
          <t>HÄRJEDALEN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35599-2024</t>
        </is>
      </c>
      <c r="B7372" s="1" t="n">
        <v>45531.66196759259</v>
      </c>
      <c r="C7372" s="1" t="n">
        <v>46045</v>
      </c>
      <c r="D7372" t="inlineStr">
        <is>
          <t>JÄMTLANDS LÄN</t>
        </is>
      </c>
      <c r="E7372" t="inlineStr">
        <is>
          <t>HÄRJEDALEN</t>
        </is>
      </c>
      <c r="F7372" t="inlineStr">
        <is>
          <t>Bergvik skog väst AB</t>
        </is>
      </c>
      <c r="G7372" t="n">
        <v>8.699999999999999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27465-2025</t>
        </is>
      </c>
      <c r="B7373" s="1" t="n">
        <v>45813.34636574074</v>
      </c>
      <c r="C7373" s="1" t="n">
        <v>46045</v>
      </c>
      <c r="D7373" t="inlineStr">
        <is>
          <t>JÄMTLANDS LÄN</t>
        </is>
      </c>
      <c r="E7373" t="inlineStr">
        <is>
          <t>STRÖMSUND</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27565-2025</t>
        </is>
      </c>
      <c r="B7374" s="1" t="n">
        <v>45813.48734953703</v>
      </c>
      <c r="C7374" s="1" t="n">
        <v>46045</v>
      </c>
      <c r="D7374" t="inlineStr">
        <is>
          <t>JÄMTLANDS LÄN</t>
        </is>
      </c>
      <c r="E7374" t="inlineStr">
        <is>
          <t>HÄRJEDALEN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16176-2024</t>
        </is>
      </c>
      <c r="B7375" s="1" t="n">
        <v>45406.64024305555</v>
      </c>
      <c r="C7375" s="1" t="n">
        <v>46045</v>
      </c>
      <c r="D7375" t="inlineStr">
        <is>
          <t>JÄMTLANDS LÄN</t>
        </is>
      </c>
      <c r="E7375" t="inlineStr">
        <is>
          <t>HÄRJEDALEN</t>
        </is>
      </c>
      <c r="F7375" t="inlineStr">
        <is>
          <t>Holmen skog AB</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23525-2023</t>
        </is>
      </c>
      <c r="B7376" s="1" t="n">
        <v>45076</v>
      </c>
      <c r="C7376" s="1" t="n">
        <v>46045</v>
      </c>
      <c r="D7376" t="inlineStr">
        <is>
          <t>JÄMTLANDS LÄN</t>
        </is>
      </c>
      <c r="E7376" t="inlineStr">
        <is>
          <t>STRÖMSUND</t>
        </is>
      </c>
      <c r="F7376" t="inlineStr">
        <is>
          <t>SCA</t>
        </is>
      </c>
      <c r="G7376" t="n">
        <v>11.8</v>
      </c>
      <c r="H7376" t="n">
        <v>0</v>
      </c>
      <c r="I7376" t="n">
        <v>0</v>
      </c>
      <c r="J7376" t="n">
        <v>0</v>
      </c>
      <c r="K7376" t="n">
        <v>0</v>
      </c>
      <c r="L7376" t="n">
        <v>0</v>
      </c>
      <c r="M7376" t="n">
        <v>0</v>
      </c>
      <c r="N7376" t="n">
        <v>0</v>
      </c>
      <c r="O7376" t="n">
        <v>0</v>
      </c>
      <c r="P7376" t="n">
        <v>0</v>
      </c>
      <c r="Q7376" t="n">
        <v>0</v>
      </c>
      <c r="R7376" s="2" t="inlineStr"/>
    </row>
    <row r="7377" ht="15" customHeight="1">
      <c r="A7377" t="inlineStr">
        <is>
          <t>A 55138-2025</t>
        </is>
      </c>
      <c r="B7377" s="1" t="n">
        <v>45968.42784722222</v>
      </c>
      <c r="C7377" s="1" t="n">
        <v>46045</v>
      </c>
      <c r="D7377" t="inlineStr">
        <is>
          <t>JÄMTLANDS LÄN</t>
        </is>
      </c>
      <c r="E7377" t="inlineStr">
        <is>
          <t>BRÄCKE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63245-2025</t>
        </is>
      </c>
      <c r="B7378" s="1" t="n">
        <v>46010.53825231481</v>
      </c>
      <c r="C7378" s="1" t="n">
        <v>46045</v>
      </c>
      <c r="D7378" t="inlineStr">
        <is>
          <t>JÄMTLANDS LÄN</t>
        </is>
      </c>
      <c r="E7378" t="inlineStr">
        <is>
          <t>ÖSTERSUND</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27546-2025</t>
        </is>
      </c>
      <c r="B7379" s="1" t="n">
        <v>45813.46957175926</v>
      </c>
      <c r="C7379" s="1" t="n">
        <v>46045</v>
      </c>
      <c r="D7379" t="inlineStr">
        <is>
          <t>JÄMTLANDS LÄN</t>
        </is>
      </c>
      <c r="E7379" t="inlineStr">
        <is>
          <t>BRÄCKE</t>
        </is>
      </c>
      <c r="F7379" t="inlineStr">
        <is>
          <t>SCA</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7956-2025</t>
        </is>
      </c>
      <c r="B7380" s="1" t="n">
        <v>45707.42825231481</v>
      </c>
      <c r="C7380" s="1" t="n">
        <v>46045</v>
      </c>
      <c r="D7380" t="inlineStr">
        <is>
          <t>JÄMTLANDS LÄN</t>
        </is>
      </c>
      <c r="E7380" t="inlineStr">
        <is>
          <t>ÖSTERSUND</t>
        </is>
      </c>
      <c r="F7380" t="inlineStr">
        <is>
          <t>Övriga Aktiebolag</t>
        </is>
      </c>
      <c r="G7380" t="n">
        <v>111.2</v>
      </c>
      <c r="H7380" t="n">
        <v>0</v>
      </c>
      <c r="I7380" t="n">
        <v>0</v>
      </c>
      <c r="J7380" t="n">
        <v>0</v>
      </c>
      <c r="K7380" t="n">
        <v>0</v>
      </c>
      <c r="L7380" t="n">
        <v>0</v>
      </c>
      <c r="M7380" t="n">
        <v>0</v>
      </c>
      <c r="N7380" t="n">
        <v>0</v>
      </c>
      <c r="O7380" t="n">
        <v>0</v>
      </c>
      <c r="P7380" t="n">
        <v>0</v>
      </c>
      <c r="Q7380" t="n">
        <v>0</v>
      </c>
      <c r="R7380" s="2" t="inlineStr"/>
    </row>
    <row r="7381" ht="15" customHeight="1">
      <c r="A7381" t="inlineStr">
        <is>
          <t>A 61837-2023</t>
        </is>
      </c>
      <c r="B7381" s="1" t="n">
        <v>45264</v>
      </c>
      <c r="C7381" s="1" t="n">
        <v>46045</v>
      </c>
      <c r="D7381" t="inlineStr">
        <is>
          <t>JÄMTLANDS LÄN</t>
        </is>
      </c>
      <c r="E7381" t="inlineStr">
        <is>
          <t>BERG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35395-2024</t>
        </is>
      </c>
      <c r="B7382" s="1" t="n">
        <v>45531.403125</v>
      </c>
      <c r="C7382" s="1" t="n">
        <v>46045</v>
      </c>
      <c r="D7382" t="inlineStr">
        <is>
          <t>JÄMTLANDS LÄN</t>
        </is>
      </c>
      <c r="E7382" t="inlineStr">
        <is>
          <t>BRÄCKE</t>
        </is>
      </c>
      <c r="F7382" t="inlineStr">
        <is>
          <t>SCA</t>
        </is>
      </c>
      <c r="G7382" t="n">
        <v>23.2</v>
      </c>
      <c r="H7382" t="n">
        <v>0</v>
      </c>
      <c r="I7382" t="n">
        <v>0</v>
      </c>
      <c r="J7382" t="n">
        <v>0</v>
      </c>
      <c r="K7382" t="n">
        <v>0</v>
      </c>
      <c r="L7382" t="n">
        <v>0</v>
      </c>
      <c r="M7382" t="n">
        <v>0</v>
      </c>
      <c r="N7382" t="n">
        <v>0</v>
      </c>
      <c r="O7382" t="n">
        <v>0</v>
      </c>
      <c r="P7382" t="n">
        <v>0</v>
      </c>
      <c r="Q7382" t="n">
        <v>0</v>
      </c>
      <c r="R7382" s="2" t="inlineStr"/>
    </row>
    <row r="7383" ht="15" customHeight="1">
      <c r="A7383" t="inlineStr">
        <is>
          <t>A 63020-2025</t>
        </is>
      </c>
      <c r="B7383" s="1" t="n">
        <v>46009.59424768519</v>
      </c>
      <c r="C7383" s="1" t="n">
        <v>46045</v>
      </c>
      <c r="D7383" t="inlineStr">
        <is>
          <t>JÄMTLANDS LÄN</t>
        </is>
      </c>
      <c r="E7383" t="inlineStr">
        <is>
          <t>ÅRE</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35400-2024</t>
        </is>
      </c>
      <c r="B7384" s="1" t="n">
        <v>45531.40457175926</v>
      </c>
      <c r="C7384" s="1" t="n">
        <v>46045</v>
      </c>
      <c r="D7384" t="inlineStr">
        <is>
          <t>JÄMTLANDS LÄN</t>
        </is>
      </c>
      <c r="E7384" t="inlineStr">
        <is>
          <t>BRÄCKE</t>
        </is>
      </c>
      <c r="F7384" t="inlineStr">
        <is>
          <t>SCA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35407-2024</t>
        </is>
      </c>
      <c r="B7385" s="1" t="n">
        <v>45531.40631944445</v>
      </c>
      <c r="C7385" s="1" t="n">
        <v>46045</v>
      </c>
      <c r="D7385" t="inlineStr">
        <is>
          <t>JÄMTLANDS LÄN</t>
        </is>
      </c>
      <c r="E7385" t="inlineStr">
        <is>
          <t>STRÖMSUND</t>
        </is>
      </c>
      <c r="F7385" t="inlineStr">
        <is>
          <t>SCA</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62932-2025</t>
        </is>
      </c>
      <c r="B7386" s="1" t="n">
        <v>46009.4019675926</v>
      </c>
      <c r="C7386" s="1" t="n">
        <v>46045</v>
      </c>
      <c r="D7386" t="inlineStr">
        <is>
          <t>JÄMTLANDS LÄN</t>
        </is>
      </c>
      <c r="E7386" t="inlineStr">
        <is>
          <t>HÄRJEDALEN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28232-2025</t>
        </is>
      </c>
      <c r="B7387" s="1" t="n">
        <v>45818.48989583334</v>
      </c>
      <c r="C7387" s="1" t="n">
        <v>46045</v>
      </c>
      <c r="D7387" t="inlineStr">
        <is>
          <t>JÄMTLANDS LÄN</t>
        </is>
      </c>
      <c r="E7387" t="inlineStr">
        <is>
          <t>BERG</t>
        </is>
      </c>
      <c r="F7387" t="inlineStr">
        <is>
          <t>SCA</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103-2023</t>
        </is>
      </c>
      <c r="B7388" s="1" t="n">
        <v>44928</v>
      </c>
      <c r="C7388" s="1" t="n">
        <v>46045</v>
      </c>
      <c r="D7388" t="inlineStr">
        <is>
          <t>JÄMTLANDS LÄN</t>
        </is>
      </c>
      <c r="E7388" t="inlineStr">
        <is>
          <t>HÄRJEDALEN</t>
        </is>
      </c>
      <c r="F7388" t="inlineStr">
        <is>
          <t>Holmen skog AB</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62950-2025</t>
        </is>
      </c>
      <c r="B7389" s="1" t="n">
        <v>46009.44737268519</v>
      </c>
      <c r="C7389" s="1" t="n">
        <v>46045</v>
      </c>
      <c r="D7389" t="inlineStr">
        <is>
          <t>JÄMTLANDS LÄN</t>
        </is>
      </c>
      <c r="E7389" t="inlineStr">
        <is>
          <t>BRÄCKE</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55236-2025</t>
        </is>
      </c>
      <c r="B7390" s="1" t="n">
        <v>45968.61451388889</v>
      </c>
      <c r="C7390" s="1" t="n">
        <v>46045</v>
      </c>
      <c r="D7390" t="inlineStr">
        <is>
          <t>JÄMTLANDS LÄN</t>
        </is>
      </c>
      <c r="E7390" t="inlineStr">
        <is>
          <t>KROKOM</t>
        </is>
      </c>
      <c r="G7390" t="n">
        <v>14.3</v>
      </c>
      <c r="H7390" t="n">
        <v>0</v>
      </c>
      <c r="I7390" t="n">
        <v>0</v>
      </c>
      <c r="J7390" t="n">
        <v>0</v>
      </c>
      <c r="K7390" t="n">
        <v>0</v>
      </c>
      <c r="L7390" t="n">
        <v>0</v>
      </c>
      <c r="M7390" t="n">
        <v>0</v>
      </c>
      <c r="N7390" t="n">
        <v>0</v>
      </c>
      <c r="O7390" t="n">
        <v>0</v>
      </c>
      <c r="P7390" t="n">
        <v>0</v>
      </c>
      <c r="Q7390" t="n">
        <v>0</v>
      </c>
      <c r="R7390" s="2" t="inlineStr"/>
    </row>
    <row r="7391" ht="15" customHeight="1">
      <c r="A7391" t="inlineStr">
        <is>
          <t>A 28155-2025</t>
        </is>
      </c>
      <c r="B7391" s="1" t="n">
        <v>45818.36246527778</v>
      </c>
      <c r="C7391" s="1" t="n">
        <v>46045</v>
      </c>
      <c r="D7391" t="inlineStr">
        <is>
          <t>JÄMTLANDS LÄN</t>
        </is>
      </c>
      <c r="E7391" t="inlineStr">
        <is>
          <t>KROKOM</t>
        </is>
      </c>
      <c r="F7391" t="inlineStr">
        <is>
          <t>Kyrkan</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28157-2025</t>
        </is>
      </c>
      <c r="B7392" s="1" t="n">
        <v>45818.36512731481</v>
      </c>
      <c r="C7392" s="1" t="n">
        <v>46045</v>
      </c>
      <c r="D7392" t="inlineStr">
        <is>
          <t>JÄMTLANDS LÄN</t>
        </is>
      </c>
      <c r="E7392" t="inlineStr">
        <is>
          <t>BERG</t>
        </is>
      </c>
      <c r="F7392" t="inlineStr">
        <is>
          <t>SCA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54884-2025</t>
        </is>
      </c>
      <c r="B7393" s="1" t="n">
        <v>45967.34452546296</v>
      </c>
      <c r="C7393" s="1" t="n">
        <v>46045</v>
      </c>
      <c r="D7393" t="inlineStr">
        <is>
          <t>JÄMTLANDS LÄN</t>
        </is>
      </c>
      <c r="E7393" t="inlineStr">
        <is>
          <t>STRÖMSUND</t>
        </is>
      </c>
      <c r="F7393" t="inlineStr">
        <is>
          <t>SCA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1398-2024</t>
        </is>
      </c>
      <c r="B7394" s="1" t="n">
        <v>45303</v>
      </c>
      <c r="C7394" s="1" t="n">
        <v>46045</v>
      </c>
      <c r="D7394" t="inlineStr">
        <is>
          <t>JÄMTLANDS LÄN</t>
        </is>
      </c>
      <c r="E7394" t="inlineStr">
        <is>
          <t>HÄRJEDALEN</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29-2023</t>
        </is>
      </c>
      <c r="B7395" s="1" t="n">
        <v>44928</v>
      </c>
      <c r="C7395" s="1" t="n">
        <v>46045</v>
      </c>
      <c r="D7395" t="inlineStr">
        <is>
          <t>JÄMTLANDS LÄN</t>
        </is>
      </c>
      <c r="E7395" t="inlineStr">
        <is>
          <t>HÄRJEDALEN</t>
        </is>
      </c>
      <c r="F7395" t="inlineStr">
        <is>
          <t>Holmen skog AB</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63243-2025</t>
        </is>
      </c>
      <c r="B7396" s="1" t="n">
        <v>46010.53164351852</v>
      </c>
      <c r="C7396" s="1" t="n">
        <v>46045</v>
      </c>
      <c r="D7396" t="inlineStr">
        <is>
          <t>JÄMTLANDS LÄN</t>
        </is>
      </c>
      <c r="E7396" t="inlineStr">
        <is>
          <t>STRÖMSUND</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22986-2023</t>
        </is>
      </c>
      <c r="B7397" s="1" t="n">
        <v>45072.94140046297</v>
      </c>
      <c r="C7397" s="1" t="n">
        <v>46045</v>
      </c>
      <c r="D7397" t="inlineStr">
        <is>
          <t>JÄMTLANDS LÄN</t>
        </is>
      </c>
      <c r="E7397" t="inlineStr">
        <is>
          <t>BRÄCKE</t>
        </is>
      </c>
      <c r="F7397" t="inlineStr">
        <is>
          <t>SCA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54916-2025</t>
        </is>
      </c>
      <c r="B7398" s="1" t="n">
        <v>45967.38577546296</v>
      </c>
      <c r="C7398" s="1" t="n">
        <v>46045</v>
      </c>
      <c r="D7398" t="inlineStr">
        <is>
          <t>JÄMTLANDS LÄN</t>
        </is>
      </c>
      <c r="E7398" t="inlineStr">
        <is>
          <t>STRÖMSUND</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28130-2025</t>
        </is>
      </c>
      <c r="B7399" s="1" t="n">
        <v>45818.3293287037</v>
      </c>
      <c r="C7399" s="1" t="n">
        <v>46045</v>
      </c>
      <c r="D7399" t="inlineStr">
        <is>
          <t>JÄMTLANDS LÄN</t>
        </is>
      </c>
      <c r="E7399" t="inlineStr">
        <is>
          <t>KROKOM</t>
        </is>
      </c>
      <c r="F7399" t="inlineStr">
        <is>
          <t>Kyrkan</t>
        </is>
      </c>
      <c r="G7399" t="n">
        <v>10.2</v>
      </c>
      <c r="H7399" t="n">
        <v>0</v>
      </c>
      <c r="I7399" t="n">
        <v>0</v>
      </c>
      <c r="J7399" t="n">
        <v>0</v>
      </c>
      <c r="K7399" t="n">
        <v>0</v>
      </c>
      <c r="L7399" t="n">
        <v>0</v>
      </c>
      <c r="M7399" t="n">
        <v>0</v>
      </c>
      <c r="N7399" t="n">
        <v>0</v>
      </c>
      <c r="O7399" t="n">
        <v>0</v>
      </c>
      <c r="P7399" t="n">
        <v>0</v>
      </c>
      <c r="Q7399" t="n">
        <v>0</v>
      </c>
      <c r="R7399" s="2" t="inlineStr"/>
    </row>
    <row r="7400" ht="15" customHeight="1">
      <c r="A7400" t="inlineStr">
        <is>
          <t>A 28025-2025</t>
        </is>
      </c>
      <c r="B7400" s="1" t="n">
        <v>45817</v>
      </c>
      <c r="C7400" s="1" t="n">
        <v>46045</v>
      </c>
      <c r="D7400" t="inlineStr">
        <is>
          <t>JÄMTLANDS LÄN</t>
        </is>
      </c>
      <c r="E7400" t="inlineStr">
        <is>
          <t>ÖSTERSUND</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64264-2023</t>
        </is>
      </c>
      <c r="B7401" s="1" t="n">
        <v>45279.94564814815</v>
      </c>
      <c r="C7401" s="1" t="n">
        <v>46045</v>
      </c>
      <c r="D7401" t="inlineStr">
        <is>
          <t>JÄMTLANDS LÄN</t>
        </is>
      </c>
      <c r="E7401" t="inlineStr">
        <is>
          <t>RAGUNDA</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55224-2025</t>
        </is>
      </c>
      <c r="B7402" s="1" t="n">
        <v>45968.59447916667</v>
      </c>
      <c r="C7402" s="1" t="n">
        <v>46045</v>
      </c>
      <c r="D7402" t="inlineStr">
        <is>
          <t>JÄMTLANDS LÄN</t>
        </is>
      </c>
      <c r="E7402" t="inlineStr">
        <is>
          <t>BERG</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54885-2025</t>
        </is>
      </c>
      <c r="B7403" s="1" t="n">
        <v>45967.34465277778</v>
      </c>
      <c r="C7403" s="1" t="n">
        <v>46045</v>
      </c>
      <c r="D7403" t="inlineStr">
        <is>
          <t>JÄMTLANDS LÄN</t>
        </is>
      </c>
      <c r="E7403" t="inlineStr">
        <is>
          <t>BRÄCKE</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28042-2025</t>
        </is>
      </c>
      <c r="B7404" s="1" t="n">
        <v>45817</v>
      </c>
      <c r="C7404" s="1" t="n">
        <v>46045</v>
      </c>
      <c r="D7404" t="inlineStr">
        <is>
          <t>JÄMTLANDS LÄN</t>
        </is>
      </c>
      <c r="E7404" t="inlineStr">
        <is>
          <t>STRÖMSUND</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54933-2025</t>
        </is>
      </c>
      <c r="B7405" s="1" t="n">
        <v>45967.42778935185</v>
      </c>
      <c r="C7405" s="1" t="n">
        <v>46045</v>
      </c>
      <c r="D7405" t="inlineStr">
        <is>
          <t>JÄMTLANDS LÄN</t>
        </is>
      </c>
      <c r="E7405" t="inlineStr">
        <is>
          <t>KROKOM</t>
        </is>
      </c>
      <c r="F7405" t="inlineStr">
        <is>
          <t>SCA</t>
        </is>
      </c>
      <c r="G7405" t="n">
        <v>12.8</v>
      </c>
      <c r="H7405" t="n">
        <v>0</v>
      </c>
      <c r="I7405" t="n">
        <v>0</v>
      </c>
      <c r="J7405" t="n">
        <v>0</v>
      </c>
      <c r="K7405" t="n">
        <v>0</v>
      </c>
      <c r="L7405" t="n">
        <v>0</v>
      </c>
      <c r="M7405" t="n">
        <v>0</v>
      </c>
      <c r="N7405" t="n">
        <v>0</v>
      </c>
      <c r="O7405" t="n">
        <v>0</v>
      </c>
      <c r="P7405" t="n">
        <v>0</v>
      </c>
      <c r="Q7405" t="n">
        <v>0</v>
      </c>
      <c r="R7405" s="2" t="inlineStr"/>
    </row>
    <row r="7406" ht="15" customHeight="1">
      <c r="A7406" t="inlineStr">
        <is>
          <t>A 64309-2023</t>
        </is>
      </c>
      <c r="B7406" s="1" t="n">
        <v>45280</v>
      </c>
      <c r="C7406" s="1" t="n">
        <v>46045</v>
      </c>
      <c r="D7406" t="inlineStr">
        <is>
          <t>JÄMTLANDS LÄN</t>
        </is>
      </c>
      <c r="E7406" t="inlineStr">
        <is>
          <t>ÖSTERSUND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28196-2025</t>
        </is>
      </c>
      <c r="B7407" s="1" t="n">
        <v>45818.42753472222</v>
      </c>
      <c r="C7407" s="1" t="n">
        <v>46045</v>
      </c>
      <c r="D7407" t="inlineStr">
        <is>
          <t>JÄMTLANDS LÄN</t>
        </is>
      </c>
      <c r="E7407" t="inlineStr">
        <is>
          <t>BERG</t>
        </is>
      </c>
      <c r="F7407" t="inlineStr">
        <is>
          <t>SCA</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28198-2025</t>
        </is>
      </c>
      <c r="B7408" s="1" t="n">
        <v>45818.43175925926</v>
      </c>
      <c r="C7408" s="1" t="n">
        <v>46045</v>
      </c>
      <c r="D7408" t="inlineStr">
        <is>
          <t>JÄMTLANDS LÄN</t>
        </is>
      </c>
      <c r="E7408" t="inlineStr">
        <is>
          <t>BRÄCKE</t>
        </is>
      </c>
      <c r="F7408" t="inlineStr">
        <is>
          <t>Övriga Aktiebolag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54976-2025</t>
        </is>
      </c>
      <c r="B7409" s="1" t="n">
        <v>45967.5110300926</v>
      </c>
      <c r="C7409" s="1" t="n">
        <v>46045</v>
      </c>
      <c r="D7409" t="inlineStr">
        <is>
          <t>JÄMTLANDS LÄN</t>
        </is>
      </c>
      <c r="E7409" t="inlineStr">
        <is>
          <t>STRÖMSUND</t>
        </is>
      </c>
      <c r="F7409" t="inlineStr">
        <is>
          <t>SCA</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18989-2025</t>
        </is>
      </c>
      <c r="B7410" s="1" t="n">
        <v>45764</v>
      </c>
      <c r="C7410" s="1" t="n">
        <v>46045</v>
      </c>
      <c r="D7410" t="inlineStr">
        <is>
          <t>JÄMTLANDS LÄN</t>
        </is>
      </c>
      <c r="E7410" t="inlineStr">
        <is>
          <t>RAGUNDA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55012-2025</t>
        </is>
      </c>
      <c r="B7411" s="1" t="n">
        <v>45967.61560185185</v>
      </c>
      <c r="C7411" s="1" t="n">
        <v>46045</v>
      </c>
      <c r="D7411" t="inlineStr">
        <is>
          <t>JÄMTLANDS LÄN</t>
        </is>
      </c>
      <c r="E7411" t="inlineStr">
        <is>
          <t>STRÖMSUND</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55022-2025</t>
        </is>
      </c>
      <c r="B7412" s="1" t="n">
        <v>45967.62862268519</v>
      </c>
      <c r="C7412" s="1" t="n">
        <v>46045</v>
      </c>
      <c r="D7412" t="inlineStr">
        <is>
          <t>JÄMTLANDS LÄN</t>
        </is>
      </c>
      <c r="E7412" t="inlineStr">
        <is>
          <t>BERG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54886-2025</t>
        </is>
      </c>
      <c r="B7413" s="1" t="n">
        <v>45967.34481481482</v>
      </c>
      <c r="C7413" s="1" t="n">
        <v>46045</v>
      </c>
      <c r="D7413" t="inlineStr">
        <is>
          <t>JÄMTLANDS LÄN</t>
        </is>
      </c>
      <c r="E7413" t="inlineStr">
        <is>
          <t>BRÄCKE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54888-2025</t>
        </is>
      </c>
      <c r="B7414" s="1" t="n">
        <v>45967.34487268519</v>
      </c>
      <c r="C7414" s="1" t="n">
        <v>46045</v>
      </c>
      <c r="D7414" t="inlineStr">
        <is>
          <t>JÄMTLANDS LÄN</t>
        </is>
      </c>
      <c r="E7414" t="inlineStr">
        <is>
          <t>BRÄCKE</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24492-2025</t>
        </is>
      </c>
      <c r="B7415" s="1" t="n">
        <v>45798.38611111111</v>
      </c>
      <c r="C7415" s="1" t="n">
        <v>46045</v>
      </c>
      <c r="D7415" t="inlineStr">
        <is>
          <t>JÄMTLANDS LÄN</t>
        </is>
      </c>
      <c r="E7415" t="inlineStr">
        <is>
          <t>BRÄCKE</t>
        </is>
      </c>
      <c r="G7415" t="n">
        <v>6.9</v>
      </c>
      <c r="H7415" t="n">
        <v>0</v>
      </c>
      <c r="I7415" t="n">
        <v>0</v>
      </c>
      <c r="J7415" t="n">
        <v>0</v>
      </c>
      <c r="K7415" t="n">
        <v>0</v>
      </c>
      <c r="L7415" t="n">
        <v>0</v>
      </c>
      <c r="M7415" t="n">
        <v>0</v>
      </c>
      <c r="N7415" t="n">
        <v>0</v>
      </c>
      <c r="O7415" t="n">
        <v>0</v>
      </c>
      <c r="P7415" t="n">
        <v>0</v>
      </c>
      <c r="Q7415" t="n">
        <v>0</v>
      </c>
      <c r="R7415" s="2" t="inlineStr"/>
    </row>
    <row r="7416" ht="15" customHeight="1">
      <c r="A7416" t="inlineStr">
        <is>
          <t>A 55027-2025</t>
        </is>
      </c>
      <c r="B7416" s="1" t="n">
        <v>45967.6362962963</v>
      </c>
      <c r="C7416" s="1" t="n">
        <v>46045</v>
      </c>
      <c r="D7416" t="inlineStr">
        <is>
          <t>JÄMTLANDS LÄN</t>
        </is>
      </c>
      <c r="E7416" t="inlineStr">
        <is>
          <t>STRÖMSUND</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27973-2025</t>
        </is>
      </c>
      <c r="B7417" s="1" t="n">
        <v>45817.56761574074</v>
      </c>
      <c r="C7417" s="1" t="n">
        <v>46045</v>
      </c>
      <c r="D7417" t="inlineStr">
        <is>
          <t>JÄMTLANDS LÄN</t>
        </is>
      </c>
      <c r="E7417" t="inlineStr">
        <is>
          <t>KROKOM</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55041-2025</t>
        </is>
      </c>
      <c r="B7418" s="1" t="n">
        <v>45967.65684027778</v>
      </c>
      <c r="C7418" s="1" t="n">
        <v>46045</v>
      </c>
      <c r="D7418" t="inlineStr">
        <is>
          <t>JÄMTLANDS LÄN</t>
        </is>
      </c>
      <c r="E7418" t="inlineStr">
        <is>
          <t>STRÖMSUND</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63060-2025</t>
        </is>
      </c>
      <c r="B7419" s="1" t="n">
        <v>46009.64414351852</v>
      </c>
      <c r="C7419" s="1" t="n">
        <v>46045</v>
      </c>
      <c r="D7419" t="inlineStr">
        <is>
          <t>JÄMTLANDS LÄN</t>
        </is>
      </c>
      <c r="E7419" t="inlineStr">
        <is>
          <t>RAGUNDA</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63345-2025</t>
        </is>
      </c>
      <c r="B7420" s="1" t="n">
        <v>46010.65959490741</v>
      </c>
      <c r="C7420" s="1" t="n">
        <v>46045</v>
      </c>
      <c r="D7420" t="inlineStr">
        <is>
          <t>JÄMTLANDS LÄN</t>
        </is>
      </c>
      <c r="E7420" t="inlineStr">
        <is>
          <t>BERG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55237-2025</t>
        </is>
      </c>
      <c r="B7421" s="1" t="n">
        <v>45968</v>
      </c>
      <c r="C7421" s="1" t="n">
        <v>46045</v>
      </c>
      <c r="D7421" t="inlineStr">
        <is>
          <t>JÄMTLANDS LÄN</t>
        </is>
      </c>
      <c r="E7421" t="inlineStr">
        <is>
          <t>BERG</t>
        </is>
      </c>
      <c r="G7421" t="n">
        <v>11.9</v>
      </c>
      <c r="H7421" t="n">
        <v>0</v>
      </c>
      <c r="I7421" t="n">
        <v>0</v>
      </c>
      <c r="J7421" t="n">
        <v>0</v>
      </c>
      <c r="K7421" t="n">
        <v>0</v>
      </c>
      <c r="L7421" t="n">
        <v>0</v>
      </c>
      <c r="M7421" t="n">
        <v>0</v>
      </c>
      <c r="N7421" t="n">
        <v>0</v>
      </c>
      <c r="O7421" t="n">
        <v>0</v>
      </c>
      <c r="P7421" t="n">
        <v>0</v>
      </c>
      <c r="Q7421" t="n">
        <v>0</v>
      </c>
      <c r="R7421" s="2" t="inlineStr"/>
    </row>
    <row r="7422" ht="15" customHeight="1">
      <c r="A7422" t="inlineStr">
        <is>
          <t>A 36219-2022</t>
        </is>
      </c>
      <c r="B7422" s="1" t="n">
        <v>44803</v>
      </c>
      <c r="C7422" s="1" t="n">
        <v>46045</v>
      </c>
      <c r="D7422" t="inlineStr">
        <is>
          <t>JÄMTLANDS LÄN</t>
        </is>
      </c>
      <c r="E7422" t="inlineStr">
        <is>
          <t>ÅRE</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53025-2023</t>
        </is>
      </c>
      <c r="B7423" s="1" t="n">
        <v>45222</v>
      </c>
      <c r="C7423" s="1" t="n">
        <v>46045</v>
      </c>
      <c r="D7423" t="inlineStr">
        <is>
          <t>JÄMTLANDS LÄN</t>
        </is>
      </c>
      <c r="E7423" t="inlineStr">
        <is>
          <t>STRÖMSUND</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33239-2024</t>
        </is>
      </c>
      <c r="B7424" s="1" t="n">
        <v>45518.59618055556</v>
      </c>
      <c r="C7424" s="1" t="n">
        <v>46045</v>
      </c>
      <c r="D7424" t="inlineStr">
        <is>
          <t>JÄMTLANDS LÄN</t>
        </is>
      </c>
      <c r="E7424" t="inlineStr">
        <is>
          <t>ÅRE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55281-2025</t>
        </is>
      </c>
      <c r="B7425" s="1" t="n">
        <v>45968</v>
      </c>
      <c r="C7425" s="1" t="n">
        <v>46045</v>
      </c>
      <c r="D7425" t="inlineStr">
        <is>
          <t>JÄMTLANDS LÄN</t>
        </is>
      </c>
      <c r="E7425" t="inlineStr">
        <is>
          <t>STRÖMSUND</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28185-2025</t>
        </is>
      </c>
      <c r="B7426" s="1" t="n">
        <v>45818.40337962963</v>
      </c>
      <c r="C7426" s="1" t="n">
        <v>46045</v>
      </c>
      <c r="D7426" t="inlineStr">
        <is>
          <t>JÄMTLANDS LÄN</t>
        </is>
      </c>
      <c r="E7426" t="inlineStr">
        <is>
          <t>ÖSTERSUND</t>
        </is>
      </c>
      <c r="F7426" t="inlineStr">
        <is>
          <t>Kyrkan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28188-2025</t>
        </is>
      </c>
      <c r="B7427" s="1" t="n">
        <v>45818.41302083333</v>
      </c>
      <c r="C7427" s="1" t="n">
        <v>46045</v>
      </c>
      <c r="D7427" t="inlineStr">
        <is>
          <t>JÄMTLANDS LÄN</t>
        </is>
      </c>
      <c r="E7427" t="inlineStr">
        <is>
          <t>STRÖMSUND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63332-2025</t>
        </is>
      </c>
      <c r="B7428" s="1" t="n">
        <v>46010.64340277778</v>
      </c>
      <c r="C7428" s="1" t="n">
        <v>46045</v>
      </c>
      <c r="D7428" t="inlineStr">
        <is>
          <t>JÄMTLANDS LÄN</t>
        </is>
      </c>
      <c r="E7428" t="inlineStr">
        <is>
          <t>BERG</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63057-2025</t>
        </is>
      </c>
      <c r="B7429" s="1" t="n">
        <v>46009.63837962963</v>
      </c>
      <c r="C7429" s="1" t="n">
        <v>46045</v>
      </c>
      <c r="D7429" t="inlineStr">
        <is>
          <t>JÄMTLANDS LÄN</t>
        </is>
      </c>
      <c r="E7429" t="inlineStr">
        <is>
          <t>RAGUNDA</t>
        </is>
      </c>
      <c r="G7429" t="n">
        <v>13.7</v>
      </c>
      <c r="H7429" t="n">
        <v>0</v>
      </c>
      <c r="I7429" t="n">
        <v>0</v>
      </c>
      <c r="J7429" t="n">
        <v>0</v>
      </c>
      <c r="K7429" t="n">
        <v>0</v>
      </c>
      <c r="L7429" t="n">
        <v>0</v>
      </c>
      <c r="M7429" t="n">
        <v>0</v>
      </c>
      <c r="N7429" t="n">
        <v>0</v>
      </c>
      <c r="O7429" t="n">
        <v>0</v>
      </c>
      <c r="P7429" t="n">
        <v>0</v>
      </c>
      <c r="Q7429" t="n">
        <v>0</v>
      </c>
      <c r="R7429" s="2" t="inlineStr"/>
    </row>
    <row r="7430" ht="15" customHeight="1">
      <c r="A7430" t="inlineStr">
        <is>
          <t>A 26347-2023</t>
        </is>
      </c>
      <c r="B7430" s="1" t="n">
        <v>45091</v>
      </c>
      <c r="C7430" s="1" t="n">
        <v>46045</v>
      </c>
      <c r="D7430" t="inlineStr">
        <is>
          <t>JÄMTLANDS LÄN</t>
        </is>
      </c>
      <c r="E7430" t="inlineStr">
        <is>
          <t>RAGUNDA</t>
        </is>
      </c>
      <c r="F7430" t="inlineStr">
        <is>
          <t>SCA</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26351-2023</t>
        </is>
      </c>
      <c r="B7431" s="1" t="n">
        <v>45091</v>
      </c>
      <c r="C7431" s="1" t="n">
        <v>46045</v>
      </c>
      <c r="D7431" t="inlineStr">
        <is>
          <t>JÄMTLANDS LÄN</t>
        </is>
      </c>
      <c r="E7431" t="inlineStr">
        <is>
          <t>BRÄCKE</t>
        </is>
      </c>
      <c r="F7431" t="inlineStr">
        <is>
          <t>SCA</t>
        </is>
      </c>
      <c r="G7431" t="n">
        <v>7.8</v>
      </c>
      <c r="H7431" t="n">
        <v>0</v>
      </c>
      <c r="I7431" t="n">
        <v>0</v>
      </c>
      <c r="J7431" t="n">
        <v>0</v>
      </c>
      <c r="K7431" t="n">
        <v>0</v>
      </c>
      <c r="L7431" t="n">
        <v>0</v>
      </c>
      <c r="M7431" t="n">
        <v>0</v>
      </c>
      <c r="N7431" t="n">
        <v>0</v>
      </c>
      <c r="O7431" t="n">
        <v>0</v>
      </c>
      <c r="P7431" t="n">
        <v>0</v>
      </c>
      <c r="Q7431" t="n">
        <v>0</v>
      </c>
      <c r="R7431" s="2" t="inlineStr"/>
    </row>
    <row r="7432" ht="15" customHeight="1">
      <c r="A7432" t="inlineStr">
        <is>
          <t>A 63212-2025</t>
        </is>
      </c>
      <c r="B7432" s="1" t="n">
        <v>46010.48246527778</v>
      </c>
      <c r="C7432" s="1" t="n">
        <v>46045</v>
      </c>
      <c r="D7432" t="inlineStr">
        <is>
          <t>JÄMTLANDS LÄN</t>
        </is>
      </c>
      <c r="E7432" t="inlineStr">
        <is>
          <t>STRÖMSUND</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24195-2023</t>
        </is>
      </c>
      <c r="B7433" s="1" t="n">
        <v>45079</v>
      </c>
      <c r="C7433" s="1" t="n">
        <v>46045</v>
      </c>
      <c r="D7433" t="inlineStr">
        <is>
          <t>JÄMTLANDS LÄN</t>
        </is>
      </c>
      <c r="E7433" t="inlineStr">
        <is>
          <t>BRÄCKE</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62924-2025</t>
        </is>
      </c>
      <c r="B7434" s="1" t="n">
        <v>46009.38528935185</v>
      </c>
      <c r="C7434" s="1" t="n">
        <v>46045</v>
      </c>
      <c r="D7434" t="inlineStr">
        <is>
          <t>JÄMTLANDS LÄN</t>
        </is>
      </c>
      <c r="E7434" t="inlineStr">
        <is>
          <t>HÄRJEDALEN</t>
        </is>
      </c>
      <c r="F7434" t="inlineStr">
        <is>
          <t>Bergvik skog väst AB</t>
        </is>
      </c>
      <c r="G7434" t="n">
        <v>0.2</v>
      </c>
      <c r="H7434" t="n">
        <v>0</v>
      </c>
      <c r="I7434" t="n">
        <v>0</v>
      </c>
      <c r="J7434" t="n">
        <v>0</v>
      </c>
      <c r="K7434" t="n">
        <v>0</v>
      </c>
      <c r="L7434" t="n">
        <v>0</v>
      </c>
      <c r="M7434" t="n">
        <v>0</v>
      </c>
      <c r="N7434" t="n">
        <v>0</v>
      </c>
      <c r="O7434" t="n">
        <v>0</v>
      </c>
      <c r="P7434" t="n">
        <v>0</v>
      </c>
      <c r="Q7434" t="n">
        <v>0</v>
      </c>
      <c r="R7434" s="2" t="inlineStr"/>
    </row>
    <row r="7435" ht="15" customHeight="1">
      <c r="A7435" t="inlineStr">
        <is>
          <t>A 62927-2025</t>
        </is>
      </c>
      <c r="B7435" s="1" t="n">
        <v>46009.38609953703</v>
      </c>
      <c r="C7435" s="1" t="n">
        <v>46045</v>
      </c>
      <c r="D7435" t="inlineStr">
        <is>
          <t>JÄMTLANDS LÄN</t>
        </is>
      </c>
      <c r="E7435" t="inlineStr">
        <is>
          <t>RAGUNDA</t>
        </is>
      </c>
      <c r="G7435" t="n">
        <v>6.3</v>
      </c>
      <c r="H7435" t="n">
        <v>0</v>
      </c>
      <c r="I7435" t="n">
        <v>0</v>
      </c>
      <c r="J7435" t="n">
        <v>0</v>
      </c>
      <c r="K7435" t="n">
        <v>0</v>
      </c>
      <c r="L7435" t="n">
        <v>0</v>
      </c>
      <c r="M7435" t="n">
        <v>0</v>
      </c>
      <c r="N7435" t="n">
        <v>0</v>
      </c>
      <c r="O7435" t="n">
        <v>0</v>
      </c>
      <c r="P7435" t="n">
        <v>0</v>
      </c>
      <c r="Q7435" t="n">
        <v>0</v>
      </c>
      <c r="R7435" s="2" t="inlineStr"/>
      <c r="U7435">
        <f>HYPERLINK("https://klasma.github.io/Logging_2303/knärot/A 62927-2025 karta knärot.png", "A 62927-2025")</f>
        <v/>
      </c>
      <c r="V7435">
        <f>HYPERLINK("https://klasma.github.io/Logging_2303/klagomål/A 62927-2025 FSC-klagomål.docx", "A 62927-2025")</f>
        <v/>
      </c>
      <c r="W7435">
        <f>HYPERLINK("https://klasma.github.io/Logging_2303/klagomålsmail/A 62927-2025 FSC-klagomål mail.docx", "A 62927-2025")</f>
        <v/>
      </c>
      <c r="X7435">
        <f>HYPERLINK("https://klasma.github.io/Logging_2303/tillsyn/A 62927-2025 tillsynsbegäran.docx", "A 62927-2025")</f>
        <v/>
      </c>
      <c r="Y7435">
        <f>HYPERLINK("https://klasma.github.io/Logging_2303/tillsynsmail/A 62927-2025 tillsynsbegäran mail.docx", "A 62927-2025")</f>
        <v/>
      </c>
    </row>
    <row r="7436" ht="15" customHeight="1">
      <c r="A7436" t="inlineStr">
        <is>
          <t>A 31586-2024</t>
        </is>
      </c>
      <c r="B7436" s="1" t="n">
        <v>45506.3637962963</v>
      </c>
      <c r="C7436" s="1" t="n">
        <v>46045</v>
      </c>
      <c r="D7436" t="inlineStr">
        <is>
          <t>JÄMTLANDS LÄN</t>
        </is>
      </c>
      <c r="E7436" t="inlineStr">
        <is>
          <t>HÄRJEDALEN</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55656-2023</t>
        </is>
      </c>
      <c r="B7437" s="1" t="n">
        <v>45238.96670138889</v>
      </c>
      <c r="C7437" s="1" t="n">
        <v>46045</v>
      </c>
      <c r="D7437" t="inlineStr">
        <is>
          <t>JÄMTLANDS LÄN</t>
        </is>
      </c>
      <c r="E7437" t="inlineStr">
        <is>
          <t>STRÖMSUND</t>
        </is>
      </c>
      <c r="F7437" t="inlineStr">
        <is>
          <t>SCA</t>
        </is>
      </c>
      <c r="G7437" t="n">
        <v>11.1</v>
      </c>
      <c r="H7437" t="n">
        <v>0</v>
      </c>
      <c r="I7437" t="n">
        <v>0</v>
      </c>
      <c r="J7437" t="n">
        <v>0</v>
      </c>
      <c r="K7437" t="n">
        <v>0</v>
      </c>
      <c r="L7437" t="n">
        <v>0</v>
      </c>
      <c r="M7437" t="n">
        <v>0</v>
      </c>
      <c r="N7437" t="n">
        <v>0</v>
      </c>
      <c r="O7437" t="n">
        <v>0</v>
      </c>
      <c r="P7437" t="n">
        <v>0</v>
      </c>
      <c r="Q7437" t="n">
        <v>0</v>
      </c>
      <c r="R7437" s="2" t="inlineStr"/>
    </row>
    <row r="7438" ht="15" customHeight="1">
      <c r="A7438" t="inlineStr">
        <is>
          <t>A 27740-2025</t>
        </is>
      </c>
      <c r="B7438" s="1" t="n">
        <v>45815.50844907408</v>
      </c>
      <c r="C7438" s="1" t="n">
        <v>46045</v>
      </c>
      <c r="D7438" t="inlineStr">
        <is>
          <t>JÄMTLANDS LÄN</t>
        </is>
      </c>
      <c r="E7438" t="inlineStr">
        <is>
          <t>KROKOM</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63141-2025</t>
        </is>
      </c>
      <c r="B7439" s="1" t="n">
        <v>46010.34440972222</v>
      </c>
      <c r="C7439" s="1" t="n">
        <v>46045</v>
      </c>
      <c r="D7439" t="inlineStr">
        <is>
          <t>JÄMTLANDS LÄN</t>
        </is>
      </c>
      <c r="E7439" t="inlineStr">
        <is>
          <t>RAGUNDA</t>
        </is>
      </c>
      <c r="F7439" t="inlineStr">
        <is>
          <t>SCA</t>
        </is>
      </c>
      <c r="G7439" t="n">
        <v>24.4</v>
      </c>
      <c r="H7439" t="n">
        <v>0</v>
      </c>
      <c r="I7439" t="n">
        <v>0</v>
      </c>
      <c r="J7439" t="n">
        <v>0</v>
      </c>
      <c r="K7439" t="n">
        <v>0</v>
      </c>
      <c r="L7439" t="n">
        <v>0</v>
      </c>
      <c r="M7439" t="n">
        <v>0</v>
      </c>
      <c r="N7439" t="n">
        <v>0</v>
      </c>
      <c r="O7439" t="n">
        <v>0</v>
      </c>
      <c r="P7439" t="n">
        <v>0</v>
      </c>
      <c r="Q7439" t="n">
        <v>0</v>
      </c>
      <c r="R7439" s="2" t="inlineStr"/>
    </row>
    <row r="7440" ht="15" customHeight="1">
      <c r="A7440" t="inlineStr">
        <is>
          <t>A 63195-2025</t>
        </is>
      </c>
      <c r="B7440" s="1" t="n">
        <v>46010.45680555556</v>
      </c>
      <c r="C7440" s="1" t="n">
        <v>46045</v>
      </c>
      <c r="D7440" t="inlineStr">
        <is>
          <t>JÄMTLANDS LÄN</t>
        </is>
      </c>
      <c r="E7440" t="inlineStr">
        <is>
          <t>ÖSTERSUND</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54897-2025</t>
        </is>
      </c>
      <c r="B7441" s="1" t="n">
        <v>45967.36555555555</v>
      </c>
      <c r="C7441" s="1" t="n">
        <v>46045</v>
      </c>
      <c r="D7441" t="inlineStr">
        <is>
          <t>JÄMTLANDS LÄN</t>
        </is>
      </c>
      <c r="E7441" t="inlineStr">
        <is>
          <t>STRÖMSUND</t>
        </is>
      </c>
      <c r="F7441" t="inlineStr">
        <is>
          <t>SCA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54904-2025</t>
        </is>
      </c>
      <c r="B7442" s="1" t="n">
        <v>45967.36640046296</v>
      </c>
      <c r="C7442" s="1" t="n">
        <v>46045</v>
      </c>
      <c r="D7442" t="inlineStr">
        <is>
          <t>JÄMTLANDS LÄN</t>
        </is>
      </c>
      <c r="E7442" t="inlineStr">
        <is>
          <t>BRÄCKE</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12569-2025</t>
        </is>
      </c>
      <c r="B7443" s="1" t="n">
        <v>45731.69629629629</v>
      </c>
      <c r="C7443" s="1" t="n">
        <v>46045</v>
      </c>
      <c r="D7443" t="inlineStr">
        <is>
          <t>JÄMTLANDS LÄN</t>
        </is>
      </c>
      <c r="E7443" t="inlineStr">
        <is>
          <t>HÄRJEDALEN</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27953-2025</t>
        </is>
      </c>
      <c r="B7444" s="1" t="n">
        <v>45817.53171296296</v>
      </c>
      <c r="C7444" s="1" t="n">
        <v>46045</v>
      </c>
      <c r="D7444" t="inlineStr">
        <is>
          <t>JÄMTLANDS LÄN</t>
        </is>
      </c>
      <c r="E7444" t="inlineStr">
        <is>
          <t>STRÖMSUND</t>
        </is>
      </c>
      <c r="F7444" t="inlineStr">
        <is>
          <t>SCA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62943-2025</t>
        </is>
      </c>
      <c r="B7445" s="1" t="n">
        <v>46009.43425925926</v>
      </c>
      <c r="C7445" s="1" t="n">
        <v>46045</v>
      </c>
      <c r="D7445" t="inlineStr">
        <is>
          <t>JÄMTLANDS LÄN</t>
        </is>
      </c>
      <c r="E7445" t="inlineStr">
        <is>
          <t>BRÄCKE</t>
        </is>
      </c>
      <c r="G7445" t="n">
        <v>13.9</v>
      </c>
      <c r="H7445" t="n">
        <v>0</v>
      </c>
      <c r="I7445" t="n">
        <v>0</v>
      </c>
      <c r="J7445" t="n">
        <v>0</v>
      </c>
      <c r="K7445" t="n">
        <v>0</v>
      </c>
      <c r="L7445" t="n">
        <v>0</v>
      </c>
      <c r="M7445" t="n">
        <v>0</v>
      </c>
      <c r="N7445" t="n">
        <v>0</v>
      </c>
      <c r="O7445" t="n">
        <v>0</v>
      </c>
      <c r="P7445" t="n">
        <v>0</v>
      </c>
      <c r="Q7445" t="n">
        <v>0</v>
      </c>
      <c r="R7445" s="2" t="inlineStr"/>
    </row>
    <row r="7446" ht="15" customHeight="1">
      <c r="A7446" t="inlineStr">
        <is>
          <t>A 12640-2025</t>
        </is>
      </c>
      <c r="B7446" s="1" t="n">
        <v>45733.38606481482</v>
      </c>
      <c r="C7446" s="1" t="n">
        <v>46045</v>
      </c>
      <c r="D7446" t="inlineStr">
        <is>
          <t>JÄMTLANDS LÄN</t>
        </is>
      </c>
      <c r="E7446" t="inlineStr">
        <is>
          <t>BRÄCKE</t>
        </is>
      </c>
      <c r="F7446" t="inlineStr">
        <is>
          <t>SCA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62997-2025</t>
        </is>
      </c>
      <c r="B7447" s="1" t="n">
        <v>46009.55484953704</v>
      </c>
      <c r="C7447" s="1" t="n">
        <v>46045</v>
      </c>
      <c r="D7447" t="inlineStr">
        <is>
          <t>JÄMTLANDS LÄN</t>
        </is>
      </c>
      <c r="E7447" t="inlineStr">
        <is>
          <t>BRÄCKE</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28015-2025</t>
        </is>
      </c>
      <c r="B7448" s="1" t="n">
        <v>45817.61491898148</v>
      </c>
      <c r="C7448" s="1" t="n">
        <v>46045</v>
      </c>
      <c r="D7448" t="inlineStr">
        <is>
          <t>JÄMTLANDS LÄN</t>
        </is>
      </c>
      <c r="E7448" t="inlineStr">
        <is>
          <t>STRÖMSUND</t>
        </is>
      </c>
      <c r="F7448" t="inlineStr">
        <is>
          <t>SCA</t>
        </is>
      </c>
      <c r="G7448" t="n">
        <v>7.6</v>
      </c>
      <c r="H7448" t="n">
        <v>0</v>
      </c>
      <c r="I7448" t="n">
        <v>0</v>
      </c>
      <c r="J7448" t="n">
        <v>0</v>
      </c>
      <c r="K7448" t="n">
        <v>0</v>
      </c>
      <c r="L7448" t="n">
        <v>0</v>
      </c>
      <c r="M7448" t="n">
        <v>0</v>
      </c>
      <c r="N7448" t="n">
        <v>0</v>
      </c>
      <c r="O7448" t="n">
        <v>0</v>
      </c>
      <c r="P7448" t="n">
        <v>0</v>
      </c>
      <c r="Q7448" t="n">
        <v>0</v>
      </c>
      <c r="R7448" s="2" t="inlineStr"/>
    </row>
    <row r="7449" ht="15" customHeight="1">
      <c r="A7449" t="inlineStr">
        <is>
          <t>A 55242-2025</t>
        </is>
      </c>
      <c r="B7449" s="1" t="n">
        <v>45968.61890046296</v>
      </c>
      <c r="C7449" s="1" t="n">
        <v>46045</v>
      </c>
      <c r="D7449" t="inlineStr">
        <is>
          <t>JÄMTLANDS LÄN</t>
        </is>
      </c>
      <c r="E7449" t="inlineStr">
        <is>
          <t>STRÖMSUND</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55259-2025</t>
        </is>
      </c>
      <c r="B7450" s="1" t="n">
        <v>45968.64603009259</v>
      </c>
      <c r="C7450" s="1" t="n">
        <v>46045</v>
      </c>
      <c r="D7450" t="inlineStr">
        <is>
          <t>JÄMTLANDS LÄN</t>
        </is>
      </c>
      <c r="E7450" t="inlineStr">
        <is>
          <t>STRÖMSUND</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20735-2023</t>
        </is>
      </c>
      <c r="B7451" s="1" t="n">
        <v>45055</v>
      </c>
      <c r="C7451" s="1" t="n">
        <v>46045</v>
      </c>
      <c r="D7451" t="inlineStr">
        <is>
          <t>JÄMTLANDS LÄN</t>
        </is>
      </c>
      <c r="E7451" t="inlineStr">
        <is>
          <t>KROKOM</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55067-2025</t>
        </is>
      </c>
      <c r="B7452" s="1" t="n">
        <v>45967.72121527778</v>
      </c>
      <c r="C7452" s="1" t="n">
        <v>46045</v>
      </c>
      <c r="D7452" t="inlineStr">
        <is>
          <t>JÄMTLANDS LÄN</t>
        </is>
      </c>
      <c r="E7452" t="inlineStr">
        <is>
          <t>STRÖMSUND</t>
        </is>
      </c>
      <c r="F7452" t="inlineStr">
        <is>
          <t>SCA</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28079-2025</t>
        </is>
      </c>
      <c r="B7453" s="1" t="n">
        <v>45817.69681712963</v>
      </c>
      <c r="C7453" s="1" t="n">
        <v>46045</v>
      </c>
      <c r="D7453" t="inlineStr">
        <is>
          <t>JÄMTLANDS LÄN</t>
        </is>
      </c>
      <c r="E7453" t="inlineStr">
        <is>
          <t>BERG</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55680-2025</t>
        </is>
      </c>
      <c r="B7454" s="1" t="n">
        <v>45972</v>
      </c>
      <c r="C7454" s="1" t="n">
        <v>46045</v>
      </c>
      <c r="D7454" t="inlineStr">
        <is>
          <t>JÄMTLANDS LÄN</t>
        </is>
      </c>
      <c r="E7454" t="inlineStr">
        <is>
          <t>HÄRJEDALEN</t>
        </is>
      </c>
      <c r="F7454" t="inlineStr">
        <is>
          <t>Bergvik skog väst AB</t>
        </is>
      </c>
      <c r="G7454" t="n">
        <v>15.1</v>
      </c>
      <c r="H7454" t="n">
        <v>0</v>
      </c>
      <c r="I7454" t="n">
        <v>0</v>
      </c>
      <c r="J7454" t="n">
        <v>0</v>
      </c>
      <c r="K7454" t="n">
        <v>0</v>
      </c>
      <c r="L7454" t="n">
        <v>0</v>
      </c>
      <c r="M7454" t="n">
        <v>0</v>
      </c>
      <c r="N7454" t="n">
        <v>0</v>
      </c>
      <c r="O7454" t="n">
        <v>0</v>
      </c>
      <c r="P7454" t="n">
        <v>0</v>
      </c>
      <c r="Q7454" t="n">
        <v>0</v>
      </c>
      <c r="R7454" s="2" t="inlineStr"/>
    </row>
    <row r="7455" ht="15" customHeight="1">
      <c r="A7455" t="inlineStr">
        <is>
          <t>A 28137-2025</t>
        </is>
      </c>
      <c r="B7455" s="1" t="n">
        <v>45818.34474537037</v>
      </c>
      <c r="C7455" s="1" t="n">
        <v>46045</v>
      </c>
      <c r="D7455" t="inlineStr">
        <is>
          <t>JÄMTLANDS LÄN</t>
        </is>
      </c>
      <c r="E7455" t="inlineStr">
        <is>
          <t>KROKOM</t>
        </is>
      </c>
      <c r="F7455" t="inlineStr">
        <is>
          <t>SCA</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63381-2025</t>
        </is>
      </c>
      <c r="B7456" s="1" t="n">
        <v>46010.89377314815</v>
      </c>
      <c r="C7456" s="1" t="n">
        <v>46045</v>
      </c>
      <c r="D7456" t="inlineStr">
        <is>
          <t>JÄMTLANDS LÄN</t>
        </is>
      </c>
      <c r="E7456" t="inlineStr">
        <is>
          <t>BERG</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55690-2025</t>
        </is>
      </c>
      <c r="B7457" s="1" t="n">
        <v>45972.43295138889</v>
      </c>
      <c r="C7457" s="1" t="n">
        <v>46045</v>
      </c>
      <c r="D7457" t="inlineStr">
        <is>
          <t>JÄMTLANDS LÄN</t>
        </is>
      </c>
      <c r="E7457" t="inlineStr">
        <is>
          <t>STRÖMSUND</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55382-2025</t>
        </is>
      </c>
      <c r="B7458" s="1" t="n">
        <v>45971.42909722222</v>
      </c>
      <c r="C7458" s="1" t="n">
        <v>46045</v>
      </c>
      <c r="D7458" t="inlineStr">
        <is>
          <t>JÄMTLANDS LÄN</t>
        </is>
      </c>
      <c r="E7458" t="inlineStr">
        <is>
          <t>BRÄCKE</t>
        </is>
      </c>
      <c r="G7458" t="n">
        <v>6.4</v>
      </c>
      <c r="H7458" t="n">
        <v>0</v>
      </c>
      <c r="I7458" t="n">
        <v>0</v>
      </c>
      <c r="J7458" t="n">
        <v>0</v>
      </c>
      <c r="K7458" t="n">
        <v>0</v>
      </c>
      <c r="L7458" t="n">
        <v>0</v>
      </c>
      <c r="M7458" t="n">
        <v>0</v>
      </c>
      <c r="N7458" t="n">
        <v>0</v>
      </c>
      <c r="O7458" t="n">
        <v>0</v>
      </c>
      <c r="P7458" t="n">
        <v>0</v>
      </c>
      <c r="Q7458" t="n">
        <v>0</v>
      </c>
      <c r="R7458" s="2" t="inlineStr"/>
    </row>
    <row r="7459" ht="15" customHeight="1">
      <c r="A7459" t="inlineStr">
        <is>
          <t>A 55804-2025</t>
        </is>
      </c>
      <c r="B7459" s="1" t="n">
        <v>45972.67773148148</v>
      </c>
      <c r="C7459" s="1" t="n">
        <v>46045</v>
      </c>
      <c r="D7459" t="inlineStr">
        <is>
          <t>JÄMTLANDS LÄN</t>
        </is>
      </c>
      <c r="E7459" t="inlineStr">
        <is>
          <t>STRÖMSUND</t>
        </is>
      </c>
      <c r="F7459" t="inlineStr">
        <is>
          <t>SCA</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27750-2025</t>
        </is>
      </c>
      <c r="B7460" s="1" t="n">
        <v>45815.68543981481</v>
      </c>
      <c r="C7460" s="1" t="n">
        <v>46045</v>
      </c>
      <c r="D7460" t="inlineStr">
        <is>
          <t>JÄMTLANDS LÄN</t>
        </is>
      </c>
      <c r="E7460" t="inlineStr">
        <is>
          <t>BERG</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27820-2025</t>
        </is>
      </c>
      <c r="B7461" s="1" t="n">
        <v>45817.33819444444</v>
      </c>
      <c r="C7461" s="1" t="n">
        <v>46045</v>
      </c>
      <c r="D7461" t="inlineStr">
        <is>
          <t>JÄMTLANDS LÄN</t>
        </is>
      </c>
      <c r="E7461" t="inlineStr">
        <is>
          <t>HÄRJEDALEN</t>
        </is>
      </c>
      <c r="F7461" t="inlineStr">
        <is>
          <t>Övriga statliga verk och myndigheter</t>
        </is>
      </c>
      <c r="G7461" t="n">
        <v>42.8</v>
      </c>
      <c r="H7461" t="n">
        <v>0</v>
      </c>
      <c r="I7461" t="n">
        <v>0</v>
      </c>
      <c r="J7461" t="n">
        <v>0</v>
      </c>
      <c r="K7461" t="n">
        <v>0</v>
      </c>
      <c r="L7461" t="n">
        <v>0</v>
      </c>
      <c r="M7461" t="n">
        <v>0</v>
      </c>
      <c r="N7461" t="n">
        <v>0</v>
      </c>
      <c r="O7461" t="n">
        <v>0</v>
      </c>
      <c r="P7461" t="n">
        <v>0</v>
      </c>
      <c r="Q7461" t="n">
        <v>0</v>
      </c>
      <c r="R7461" s="2" t="inlineStr"/>
    </row>
    <row r="7462" ht="15" customHeight="1">
      <c r="A7462" t="inlineStr">
        <is>
          <t>A 55411-2025</t>
        </is>
      </c>
      <c r="B7462" s="1" t="n">
        <v>45971.46741898148</v>
      </c>
      <c r="C7462" s="1" t="n">
        <v>46045</v>
      </c>
      <c r="D7462" t="inlineStr">
        <is>
          <t>JÄMTLANDS LÄN</t>
        </is>
      </c>
      <c r="E7462" t="inlineStr">
        <is>
          <t>ÅRE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55517-2025</t>
        </is>
      </c>
      <c r="B7463" s="1" t="n">
        <v>45971.60344907407</v>
      </c>
      <c r="C7463" s="1" t="n">
        <v>46045</v>
      </c>
      <c r="D7463" t="inlineStr">
        <is>
          <t>JÄMTLANDS LÄN</t>
        </is>
      </c>
      <c r="E7463" t="inlineStr">
        <is>
          <t>KROKOM</t>
        </is>
      </c>
      <c r="G7463" t="n">
        <v>13.3</v>
      </c>
      <c r="H7463" t="n">
        <v>0</v>
      </c>
      <c r="I7463" t="n">
        <v>0</v>
      </c>
      <c r="J7463" t="n">
        <v>0</v>
      </c>
      <c r="K7463" t="n">
        <v>0</v>
      </c>
      <c r="L7463" t="n">
        <v>0</v>
      </c>
      <c r="M7463" t="n">
        <v>0</v>
      </c>
      <c r="N7463" t="n">
        <v>0</v>
      </c>
      <c r="O7463" t="n">
        <v>0</v>
      </c>
      <c r="P7463" t="n">
        <v>0</v>
      </c>
      <c r="Q7463" t="n">
        <v>0</v>
      </c>
      <c r="R7463" s="2" t="inlineStr"/>
    </row>
    <row r="7464" ht="15" customHeight="1">
      <c r="A7464" t="inlineStr">
        <is>
          <t>A 27852-2025</t>
        </is>
      </c>
      <c r="B7464" s="1" t="n">
        <v>45817.40177083333</v>
      </c>
      <c r="C7464" s="1" t="n">
        <v>46045</v>
      </c>
      <c r="D7464" t="inlineStr">
        <is>
          <t>JÄMTLANDS LÄN</t>
        </is>
      </c>
      <c r="E7464" t="inlineStr">
        <is>
          <t>STRÖMSUND</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39820-2022</t>
        </is>
      </c>
      <c r="B7465" s="1" t="n">
        <v>44819.56722222222</v>
      </c>
      <c r="C7465" s="1" t="n">
        <v>46045</v>
      </c>
      <c r="D7465" t="inlineStr">
        <is>
          <t>JÄMTLANDS LÄN</t>
        </is>
      </c>
      <c r="E7465" t="inlineStr">
        <is>
          <t>HÄRJEDALEN</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55465-2025</t>
        </is>
      </c>
      <c r="B7466" s="1" t="n">
        <v>45971.52674768519</v>
      </c>
      <c r="C7466" s="1" t="n">
        <v>46045</v>
      </c>
      <c r="D7466" t="inlineStr">
        <is>
          <t>JÄMTLANDS LÄN</t>
        </is>
      </c>
      <c r="E7466" t="inlineStr">
        <is>
          <t>HÄRJEDALEN</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55362-2025</t>
        </is>
      </c>
      <c r="B7467" s="1" t="n">
        <v>45971.39665509259</v>
      </c>
      <c r="C7467" s="1" t="n">
        <v>46045</v>
      </c>
      <c r="D7467" t="inlineStr">
        <is>
          <t>JÄMTLANDS LÄN</t>
        </is>
      </c>
      <c r="E7467" t="inlineStr">
        <is>
          <t>HÄRJEDALEN</t>
        </is>
      </c>
      <c r="F7467" t="inlineStr">
        <is>
          <t>Bergvik skog väst AB</t>
        </is>
      </c>
      <c r="G7467" t="n">
        <v>15.2</v>
      </c>
      <c r="H7467" t="n">
        <v>0</v>
      </c>
      <c r="I7467" t="n">
        <v>0</v>
      </c>
      <c r="J7467" t="n">
        <v>0</v>
      </c>
      <c r="K7467" t="n">
        <v>0</v>
      </c>
      <c r="L7467" t="n">
        <v>0</v>
      </c>
      <c r="M7467" t="n">
        <v>0</v>
      </c>
      <c r="N7467" t="n">
        <v>0</v>
      </c>
      <c r="O7467" t="n">
        <v>0</v>
      </c>
      <c r="P7467" t="n">
        <v>0</v>
      </c>
      <c r="Q7467" t="n">
        <v>0</v>
      </c>
      <c r="R7467" s="2" t="inlineStr"/>
    </row>
    <row r="7468" ht="15" customHeight="1">
      <c r="A7468" t="inlineStr">
        <is>
          <t>A 55379-2025</t>
        </is>
      </c>
      <c r="B7468" s="1" t="n">
        <v>45971.42776620371</v>
      </c>
      <c r="C7468" s="1" t="n">
        <v>46045</v>
      </c>
      <c r="D7468" t="inlineStr">
        <is>
          <t>JÄMTLANDS LÄN</t>
        </is>
      </c>
      <c r="E7468" t="inlineStr">
        <is>
          <t>ÅRE</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63695-2025</t>
        </is>
      </c>
      <c r="B7469" s="1" t="n">
        <v>46014.56574074074</v>
      </c>
      <c r="C7469" s="1" t="n">
        <v>46045</v>
      </c>
      <c r="D7469" t="inlineStr">
        <is>
          <t>JÄMTLANDS LÄN</t>
        </is>
      </c>
      <c r="E7469" t="inlineStr">
        <is>
          <t>HÄRJEDALEN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55633-2025</t>
        </is>
      </c>
      <c r="B7470" s="1" t="n">
        <v>45972</v>
      </c>
      <c r="C7470" s="1" t="n">
        <v>46045</v>
      </c>
      <c r="D7470" t="inlineStr">
        <is>
          <t>JÄMTLANDS LÄN</t>
        </is>
      </c>
      <c r="E7470" t="inlineStr">
        <is>
          <t>RAGUNDA</t>
        </is>
      </c>
      <c r="F7470" t="inlineStr">
        <is>
          <t>SCA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55547-2025</t>
        </is>
      </c>
      <c r="B7471" s="1" t="n">
        <v>45971</v>
      </c>
      <c r="C7471" s="1" t="n">
        <v>46045</v>
      </c>
      <c r="D7471" t="inlineStr">
        <is>
          <t>JÄMTLANDS LÄN</t>
        </is>
      </c>
      <c r="E7471" t="inlineStr">
        <is>
          <t>RAGUNDA</t>
        </is>
      </c>
      <c r="F7471" t="inlineStr">
        <is>
          <t>SCA</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63706-2025</t>
        </is>
      </c>
      <c r="B7472" s="1" t="n">
        <v>46014.61186342593</v>
      </c>
      <c r="C7472" s="1" t="n">
        <v>46045</v>
      </c>
      <c r="D7472" t="inlineStr">
        <is>
          <t>JÄMTLANDS LÄN</t>
        </is>
      </c>
      <c r="E7472" t="inlineStr">
        <is>
          <t>HÄRJEDALEN</t>
        </is>
      </c>
      <c r="G7472" t="n">
        <v>13.7</v>
      </c>
      <c r="H7472" t="n">
        <v>0</v>
      </c>
      <c r="I7472" t="n">
        <v>0</v>
      </c>
      <c r="J7472" t="n">
        <v>0</v>
      </c>
      <c r="K7472" t="n">
        <v>0</v>
      </c>
      <c r="L7472" t="n">
        <v>0</v>
      </c>
      <c r="M7472" t="n">
        <v>0</v>
      </c>
      <c r="N7472" t="n">
        <v>0</v>
      </c>
      <c r="O7472" t="n">
        <v>0</v>
      </c>
      <c r="P7472" t="n">
        <v>0</v>
      </c>
      <c r="Q7472" t="n">
        <v>0</v>
      </c>
      <c r="R7472" s="2" t="inlineStr"/>
      <c r="U7472">
        <f>HYPERLINK("https://klasma.github.io/Logging_2361/knärot/A 63706-2025 karta knärot.png", "A 63706-2025")</f>
        <v/>
      </c>
      <c r="V7472">
        <f>HYPERLINK("https://klasma.github.io/Logging_2361/klagomål/A 63706-2025 FSC-klagomål.docx", "A 63706-2025")</f>
        <v/>
      </c>
      <c r="W7472">
        <f>HYPERLINK("https://klasma.github.io/Logging_2361/klagomålsmail/A 63706-2025 FSC-klagomål mail.docx", "A 63706-2025")</f>
        <v/>
      </c>
      <c r="X7472">
        <f>HYPERLINK("https://klasma.github.io/Logging_2361/tillsyn/A 63706-2025 tillsynsbegäran.docx", "A 63706-2025")</f>
        <v/>
      </c>
      <c r="Y7472">
        <f>HYPERLINK("https://klasma.github.io/Logging_2361/tillsynsmail/A 63706-2025 tillsynsbegäran mail.docx", "A 63706-2025")</f>
        <v/>
      </c>
    </row>
    <row r="7473" ht="15" customHeight="1">
      <c r="A7473" t="inlineStr">
        <is>
          <t>A 55339-2025</t>
        </is>
      </c>
      <c r="B7473" s="1" t="n">
        <v>45971.34488425926</v>
      </c>
      <c r="C7473" s="1" t="n">
        <v>46045</v>
      </c>
      <c r="D7473" t="inlineStr">
        <is>
          <t>JÄMTLANDS LÄN</t>
        </is>
      </c>
      <c r="E7473" t="inlineStr">
        <is>
          <t>HÄRJEDALEN</t>
        </is>
      </c>
      <c r="G7473" t="n">
        <v>10</v>
      </c>
      <c r="H7473" t="n">
        <v>0</v>
      </c>
      <c r="I7473" t="n">
        <v>0</v>
      </c>
      <c r="J7473" t="n">
        <v>0</v>
      </c>
      <c r="K7473" t="n">
        <v>0</v>
      </c>
      <c r="L7473" t="n">
        <v>0</v>
      </c>
      <c r="M7473" t="n">
        <v>0</v>
      </c>
      <c r="N7473" t="n">
        <v>0</v>
      </c>
      <c r="O7473" t="n">
        <v>0</v>
      </c>
      <c r="P7473" t="n">
        <v>0</v>
      </c>
      <c r="Q7473" t="n">
        <v>0</v>
      </c>
      <c r="R7473" s="2" t="inlineStr"/>
    </row>
    <row r="7474" ht="15" customHeight="1">
      <c r="A7474" t="inlineStr">
        <is>
          <t>A 10369-2025</t>
        </is>
      </c>
      <c r="B7474" s="1" t="n">
        <v>45720.55243055556</v>
      </c>
      <c r="C7474" s="1" t="n">
        <v>46045</v>
      </c>
      <c r="D7474" t="inlineStr">
        <is>
          <t>JÄMTLANDS LÄN</t>
        </is>
      </c>
      <c r="E7474" t="inlineStr">
        <is>
          <t>BRÄCKE</t>
        </is>
      </c>
      <c r="F7474" t="inlineStr">
        <is>
          <t>SCA</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51538-2022</t>
        </is>
      </c>
      <c r="B7475" s="1" t="n">
        <v>44869</v>
      </c>
      <c r="C7475" s="1" t="n">
        <v>46045</v>
      </c>
      <c r="D7475" t="inlineStr">
        <is>
          <t>JÄMTLANDS LÄN</t>
        </is>
      </c>
      <c r="E7475" t="inlineStr">
        <is>
          <t>RAGUNDA</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55441-2025</t>
        </is>
      </c>
      <c r="B7476" s="1" t="n">
        <v>45971</v>
      </c>
      <c r="C7476" s="1" t="n">
        <v>46045</v>
      </c>
      <c r="D7476" t="inlineStr">
        <is>
          <t>JÄMTLANDS LÄN</t>
        </is>
      </c>
      <c r="E7476" t="inlineStr">
        <is>
          <t>STRÖMSUND</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55452-2025</t>
        </is>
      </c>
      <c r="B7477" s="1" t="n">
        <v>45971.50884259259</v>
      </c>
      <c r="C7477" s="1" t="n">
        <v>46045</v>
      </c>
      <c r="D7477" t="inlineStr">
        <is>
          <t>JÄMTLANDS LÄN</t>
        </is>
      </c>
      <c r="E7477" t="inlineStr">
        <is>
          <t>STRÖMSUND</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55472-2025</t>
        </is>
      </c>
      <c r="B7478" s="1" t="n">
        <v>45971.54526620371</v>
      </c>
      <c r="C7478" s="1" t="n">
        <v>46045</v>
      </c>
      <c r="D7478" t="inlineStr">
        <is>
          <t>JÄMTLANDS LÄN</t>
        </is>
      </c>
      <c r="E7478" t="inlineStr">
        <is>
          <t>BERG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28257-2025</t>
        </is>
      </c>
      <c r="B7479" s="1" t="n">
        <v>45818.55263888889</v>
      </c>
      <c r="C7479" s="1" t="n">
        <v>46045</v>
      </c>
      <c r="D7479" t="inlineStr">
        <is>
          <t>JÄMTLANDS LÄN</t>
        </is>
      </c>
      <c r="E7479" t="inlineStr">
        <is>
          <t>BERG</t>
        </is>
      </c>
      <c r="F7479" t="inlineStr">
        <is>
          <t>SCA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63648-2025</t>
        </is>
      </c>
      <c r="B7480" s="1" t="n">
        <v>46014.43386574074</v>
      </c>
      <c r="C7480" s="1" t="n">
        <v>46045</v>
      </c>
      <c r="D7480" t="inlineStr">
        <is>
          <t>JÄMTLANDS LÄN</t>
        </is>
      </c>
      <c r="E7480" t="inlineStr">
        <is>
          <t>HÄRJEDALEN</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36706-2021</t>
        </is>
      </c>
      <c r="B7481" s="1" t="n">
        <v>44392.53086805555</v>
      </c>
      <c r="C7481" s="1" t="n">
        <v>46045</v>
      </c>
      <c r="D7481" t="inlineStr">
        <is>
          <t>JÄMTLANDS LÄN</t>
        </is>
      </c>
      <c r="E7481" t="inlineStr">
        <is>
          <t>STRÖMSUND</t>
        </is>
      </c>
      <c r="F7481" t="inlineStr">
        <is>
          <t>Holmen skog AB</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28136-2025</t>
        </is>
      </c>
      <c r="B7482" s="1" t="n">
        <v>45818.34473379629</v>
      </c>
      <c r="C7482" s="1" t="n">
        <v>46045</v>
      </c>
      <c r="D7482" t="inlineStr">
        <is>
          <t>JÄMTLANDS LÄN</t>
        </is>
      </c>
      <c r="E7482" t="inlineStr">
        <is>
          <t>KROKOM</t>
        </is>
      </c>
      <c r="F7482" t="inlineStr">
        <is>
          <t>SCA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28173-2025</t>
        </is>
      </c>
      <c r="B7483" s="1" t="n">
        <v>45818.38231481481</v>
      </c>
      <c r="C7483" s="1" t="n">
        <v>46045</v>
      </c>
      <c r="D7483" t="inlineStr">
        <is>
          <t>JÄMTLANDS LÄN</t>
        </is>
      </c>
      <c r="E7483" t="inlineStr">
        <is>
          <t>BRÄCKE</t>
        </is>
      </c>
      <c r="F7483" t="inlineStr">
        <is>
          <t>Övriga Aktiebolag</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27737-2025</t>
        </is>
      </c>
      <c r="B7484" s="1" t="n">
        <v>45815.34414351852</v>
      </c>
      <c r="C7484" s="1" t="n">
        <v>46045</v>
      </c>
      <c r="D7484" t="inlineStr">
        <is>
          <t>JÄMTLANDS LÄN</t>
        </is>
      </c>
      <c r="E7484" t="inlineStr">
        <is>
          <t>BERG</t>
        </is>
      </c>
      <c r="F7484" t="inlineStr">
        <is>
          <t>SCA</t>
        </is>
      </c>
      <c r="G7484" t="n">
        <v>10.9</v>
      </c>
      <c r="H7484" t="n">
        <v>0</v>
      </c>
      <c r="I7484" t="n">
        <v>0</v>
      </c>
      <c r="J7484" t="n">
        <v>0</v>
      </c>
      <c r="K7484" t="n">
        <v>0</v>
      </c>
      <c r="L7484" t="n">
        <v>0</v>
      </c>
      <c r="M7484" t="n">
        <v>0</v>
      </c>
      <c r="N7484" t="n">
        <v>0</v>
      </c>
      <c r="O7484" t="n">
        <v>0</v>
      </c>
      <c r="P7484" t="n">
        <v>0</v>
      </c>
      <c r="Q7484" t="n">
        <v>0</v>
      </c>
      <c r="R7484" s="2" t="inlineStr"/>
    </row>
    <row r="7485" ht="15" customHeight="1">
      <c r="A7485" t="inlineStr">
        <is>
          <t>A 59492-2024</t>
        </is>
      </c>
      <c r="B7485" s="1" t="n">
        <v>45638</v>
      </c>
      <c r="C7485" s="1" t="n">
        <v>46045</v>
      </c>
      <c r="D7485" t="inlineStr">
        <is>
          <t>JÄMTLANDS LÄN</t>
        </is>
      </c>
      <c r="E7485" t="inlineStr">
        <is>
          <t>RAGUNDA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9035-2024</t>
        </is>
      </c>
      <c r="B7486" s="1" t="n">
        <v>45356</v>
      </c>
      <c r="C7486" s="1" t="n">
        <v>46045</v>
      </c>
      <c r="D7486" t="inlineStr">
        <is>
          <t>JÄMTLANDS LÄN</t>
        </is>
      </c>
      <c r="E7486" t="inlineStr">
        <is>
          <t>STRÖMSUND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28026-2025</t>
        </is>
      </c>
      <c r="B7487" s="1" t="n">
        <v>45817.62439814815</v>
      </c>
      <c r="C7487" s="1" t="n">
        <v>46045</v>
      </c>
      <c r="D7487" t="inlineStr">
        <is>
          <t>JÄMTLANDS LÄN</t>
        </is>
      </c>
      <c r="E7487" t="inlineStr">
        <is>
          <t>HÄRJEDALEN</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63394-2025</t>
        </is>
      </c>
      <c r="B7488" s="1" t="n">
        <v>46012.3934837963</v>
      </c>
      <c r="C7488" s="1" t="n">
        <v>46045</v>
      </c>
      <c r="D7488" t="inlineStr">
        <is>
          <t>JÄMTLANDS LÄN</t>
        </is>
      </c>
      <c r="E7488" t="inlineStr">
        <is>
          <t>STRÖMSUND</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57002-2022</t>
        </is>
      </c>
      <c r="B7489" s="1" t="n">
        <v>44894</v>
      </c>
      <c r="C7489" s="1" t="n">
        <v>46045</v>
      </c>
      <c r="D7489" t="inlineStr">
        <is>
          <t>JÄMTLANDS LÄN</t>
        </is>
      </c>
      <c r="E7489" t="inlineStr">
        <is>
          <t>STRÖMSUND</t>
        </is>
      </c>
      <c r="F7489" t="inlineStr">
        <is>
          <t>SCA</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63578-2025</t>
        </is>
      </c>
      <c r="B7490" s="1" t="n">
        <v>46013.67690972222</v>
      </c>
      <c r="C7490" s="1" t="n">
        <v>46045</v>
      </c>
      <c r="D7490" t="inlineStr">
        <is>
          <t>JÄMTLANDS LÄN</t>
        </is>
      </c>
      <c r="E7490" t="inlineStr">
        <is>
          <t>RAGUNDA</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28132-2025</t>
        </is>
      </c>
      <c r="B7491" s="1" t="n">
        <v>45818.33532407408</v>
      </c>
      <c r="C7491" s="1" t="n">
        <v>46045</v>
      </c>
      <c r="D7491" t="inlineStr">
        <is>
          <t>JÄMTLANDS LÄN</t>
        </is>
      </c>
      <c r="E7491" t="inlineStr">
        <is>
          <t>KROKOM</t>
        </is>
      </c>
      <c r="F7491" t="inlineStr">
        <is>
          <t>Kyrkan</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28147-2025</t>
        </is>
      </c>
      <c r="B7492" s="1" t="n">
        <v>45818.34833333334</v>
      </c>
      <c r="C7492" s="1" t="n">
        <v>46045</v>
      </c>
      <c r="D7492" t="inlineStr">
        <is>
          <t>JÄMTLANDS LÄN</t>
        </is>
      </c>
      <c r="E7492" t="inlineStr">
        <is>
          <t>KROKOM</t>
        </is>
      </c>
      <c r="F7492" t="inlineStr">
        <is>
          <t>Kyrkan</t>
        </is>
      </c>
      <c r="G7492" t="n">
        <v>10.8</v>
      </c>
      <c r="H7492" t="n">
        <v>0</v>
      </c>
      <c r="I7492" t="n">
        <v>0</v>
      </c>
      <c r="J7492" t="n">
        <v>0</v>
      </c>
      <c r="K7492" t="n">
        <v>0</v>
      </c>
      <c r="L7492" t="n">
        <v>0</v>
      </c>
      <c r="M7492" t="n">
        <v>0</v>
      </c>
      <c r="N7492" t="n">
        <v>0</v>
      </c>
      <c r="O7492" t="n">
        <v>0</v>
      </c>
      <c r="P7492" t="n">
        <v>0</v>
      </c>
      <c r="Q7492" t="n">
        <v>0</v>
      </c>
      <c r="R7492" s="2" t="inlineStr"/>
    </row>
    <row r="7493" ht="15" customHeight="1">
      <c r="A7493" t="inlineStr">
        <is>
          <t>A 28162-2025</t>
        </is>
      </c>
      <c r="B7493" s="1" t="n">
        <v>45818.37056712963</v>
      </c>
      <c r="C7493" s="1" t="n">
        <v>46045</v>
      </c>
      <c r="D7493" t="inlineStr">
        <is>
          <t>JÄMTLANDS LÄN</t>
        </is>
      </c>
      <c r="E7493" t="inlineStr">
        <is>
          <t>KROKOM</t>
        </is>
      </c>
      <c r="F7493" t="inlineStr">
        <is>
          <t>Kyrkan</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55654-2025</t>
        </is>
      </c>
      <c r="B7494" s="1" t="n">
        <v>45972.38594907407</v>
      </c>
      <c r="C7494" s="1" t="n">
        <v>46045</v>
      </c>
      <c r="D7494" t="inlineStr">
        <is>
          <t>JÄMTLANDS LÄN</t>
        </is>
      </c>
      <c r="E7494" t="inlineStr">
        <is>
          <t>BRÄCKE</t>
        </is>
      </c>
      <c r="F7494" t="inlineStr">
        <is>
          <t>SCA</t>
        </is>
      </c>
      <c r="G7494" t="n">
        <v>12.1</v>
      </c>
      <c r="H7494" t="n">
        <v>0</v>
      </c>
      <c r="I7494" t="n">
        <v>0</v>
      </c>
      <c r="J7494" t="n">
        <v>0</v>
      </c>
      <c r="K7494" t="n">
        <v>0</v>
      </c>
      <c r="L7494" t="n">
        <v>0</v>
      </c>
      <c r="M7494" t="n">
        <v>0</v>
      </c>
      <c r="N7494" t="n">
        <v>0</v>
      </c>
      <c r="O7494" t="n">
        <v>0</v>
      </c>
      <c r="P7494" t="n">
        <v>0</v>
      </c>
      <c r="Q7494" t="n">
        <v>0</v>
      </c>
      <c r="R7494" s="2" t="inlineStr"/>
    </row>
    <row r="7495" ht="15" customHeight="1">
      <c r="A7495" t="inlineStr">
        <is>
          <t>A 28210-2025</t>
        </is>
      </c>
      <c r="B7495" s="1" t="n">
        <v>45818.45143518518</v>
      </c>
      <c r="C7495" s="1" t="n">
        <v>46045</v>
      </c>
      <c r="D7495" t="inlineStr">
        <is>
          <t>JÄMTLANDS LÄN</t>
        </is>
      </c>
      <c r="E7495" t="inlineStr">
        <is>
          <t>BRÄCKE</t>
        </is>
      </c>
      <c r="F7495" t="inlineStr">
        <is>
          <t>Övriga Aktiebolag</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61109-2024</t>
        </is>
      </c>
      <c r="B7496" s="1" t="n">
        <v>45645.55672453704</v>
      </c>
      <c r="C7496" s="1" t="n">
        <v>46045</v>
      </c>
      <c r="D7496" t="inlineStr">
        <is>
          <t>JÄMTLANDS LÄN</t>
        </is>
      </c>
      <c r="E7496" t="inlineStr">
        <is>
          <t>RAGUNDA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63559-2025</t>
        </is>
      </c>
      <c r="B7497" s="1" t="n">
        <v>46013.61951388889</v>
      </c>
      <c r="C7497" s="1" t="n">
        <v>46045</v>
      </c>
      <c r="D7497" t="inlineStr">
        <is>
          <t>JÄMTLANDS LÄN</t>
        </is>
      </c>
      <c r="E7497" t="inlineStr">
        <is>
          <t>BERG</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46952-2021</t>
        </is>
      </c>
      <c r="B7498" s="1" t="n">
        <v>44446</v>
      </c>
      <c r="C7498" s="1" t="n">
        <v>46045</v>
      </c>
      <c r="D7498" t="inlineStr">
        <is>
          <t>JÄMTLANDS LÄN</t>
        </is>
      </c>
      <c r="E7498" t="inlineStr">
        <is>
          <t>BRÄCKE</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27124-2023</t>
        </is>
      </c>
      <c r="B7499" s="1" t="n">
        <v>45096</v>
      </c>
      <c r="C7499" s="1" t="n">
        <v>46045</v>
      </c>
      <c r="D7499" t="inlineStr">
        <is>
          <t>JÄMTLANDS LÄN</t>
        </is>
      </c>
      <c r="E7499" t="inlineStr">
        <is>
          <t>ÖSTERSUND</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28323-2025</t>
        </is>
      </c>
      <c r="B7500" s="1" t="n">
        <v>45818.64758101852</v>
      </c>
      <c r="C7500" s="1" t="n">
        <v>46045</v>
      </c>
      <c r="D7500" t="inlineStr">
        <is>
          <t>JÄMTLANDS LÄN</t>
        </is>
      </c>
      <c r="E7500" t="inlineStr">
        <is>
          <t>BRÄCKE</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63597-2025</t>
        </is>
      </c>
      <c r="B7501" s="1" t="n">
        <v>46014.28792824074</v>
      </c>
      <c r="C7501" s="1" t="n">
        <v>46045</v>
      </c>
      <c r="D7501" t="inlineStr">
        <is>
          <t>JÄMTLANDS LÄN</t>
        </is>
      </c>
      <c r="E7501" t="inlineStr">
        <is>
          <t>BERG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28000-2025</t>
        </is>
      </c>
      <c r="B7502" s="1" t="n">
        <v>45817.59496527778</v>
      </c>
      <c r="C7502" s="1" t="n">
        <v>46045</v>
      </c>
      <c r="D7502" t="inlineStr">
        <is>
          <t>JÄMTLANDS LÄN</t>
        </is>
      </c>
      <c r="E7502" t="inlineStr">
        <is>
          <t>STRÖMSUND</t>
        </is>
      </c>
      <c r="F7502" t="inlineStr">
        <is>
          <t>SCA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24490-2025</t>
        </is>
      </c>
      <c r="B7503" s="1" t="n">
        <v>45798.38594907407</v>
      </c>
      <c r="C7503" s="1" t="n">
        <v>46045</v>
      </c>
      <c r="D7503" t="inlineStr">
        <is>
          <t>JÄMTLANDS LÄN</t>
        </is>
      </c>
      <c r="E7503" t="inlineStr">
        <is>
          <t>BRÄCKE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28077-2025</t>
        </is>
      </c>
      <c r="B7504" s="1" t="n">
        <v>45817.68596064814</v>
      </c>
      <c r="C7504" s="1" t="n">
        <v>46045</v>
      </c>
      <c r="D7504" t="inlineStr">
        <is>
          <t>JÄMTLANDS LÄN</t>
        </is>
      </c>
      <c r="E7504" t="inlineStr">
        <is>
          <t>BERG</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55461-2025</t>
        </is>
      </c>
      <c r="B7505" s="1" t="n">
        <v>45971.52135416667</v>
      </c>
      <c r="C7505" s="1" t="n">
        <v>46045</v>
      </c>
      <c r="D7505" t="inlineStr">
        <is>
          <t>JÄMTLANDS LÄN</t>
        </is>
      </c>
      <c r="E7505" t="inlineStr">
        <is>
          <t>STRÖMSUND</t>
        </is>
      </c>
      <c r="G7505" t="n">
        <v>6.4</v>
      </c>
      <c r="H7505" t="n">
        <v>0</v>
      </c>
      <c r="I7505" t="n">
        <v>0</v>
      </c>
      <c r="J7505" t="n">
        <v>0</v>
      </c>
      <c r="K7505" t="n">
        <v>0</v>
      </c>
      <c r="L7505" t="n">
        <v>0</v>
      </c>
      <c r="M7505" t="n">
        <v>0</v>
      </c>
      <c r="N7505" t="n">
        <v>0</v>
      </c>
      <c r="O7505" t="n">
        <v>0</v>
      </c>
      <c r="P7505" t="n">
        <v>0</v>
      </c>
      <c r="Q7505" t="n">
        <v>0</v>
      </c>
      <c r="R7505" s="2" t="inlineStr"/>
    </row>
    <row r="7506" ht="15" customHeight="1">
      <c r="A7506" t="inlineStr">
        <is>
          <t>A 63672-2025</t>
        </is>
      </c>
      <c r="B7506" s="1" t="n">
        <v>46014.47575231481</v>
      </c>
      <c r="C7506" s="1" t="n">
        <v>46045</v>
      </c>
      <c r="D7506" t="inlineStr">
        <is>
          <t>JÄMTLANDS LÄN</t>
        </is>
      </c>
      <c r="E7506" t="inlineStr">
        <is>
          <t>RAGUNDA</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53714-2022</t>
        </is>
      </c>
      <c r="B7507" s="1" t="n">
        <v>44880</v>
      </c>
      <c r="C7507" s="1" t="n">
        <v>46045</v>
      </c>
      <c r="D7507" t="inlineStr">
        <is>
          <t>JÄMTLANDS LÄN</t>
        </is>
      </c>
      <c r="E7507" t="inlineStr">
        <is>
          <t>ÖSTERSUND</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63693-2025</t>
        </is>
      </c>
      <c r="B7508" s="1" t="n">
        <v>46014.5496875</v>
      </c>
      <c r="C7508" s="1" t="n">
        <v>46045</v>
      </c>
      <c r="D7508" t="inlineStr">
        <is>
          <t>JÄMTLANDS LÄN</t>
        </is>
      </c>
      <c r="E7508" t="inlineStr">
        <is>
          <t>ÖSTERSUND</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55733-2025</t>
        </is>
      </c>
      <c r="B7509" s="1" t="n">
        <v>45972.55298611111</v>
      </c>
      <c r="C7509" s="1" t="n">
        <v>46045</v>
      </c>
      <c r="D7509" t="inlineStr">
        <is>
          <t>JÄMTLANDS LÄN</t>
        </is>
      </c>
      <c r="E7509" t="inlineStr">
        <is>
          <t>BRÄCKE</t>
        </is>
      </c>
      <c r="F7509" t="inlineStr">
        <is>
          <t>SCA</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63562-2025</t>
        </is>
      </c>
      <c r="B7510" s="1" t="n">
        <v>46013.62353009259</v>
      </c>
      <c r="C7510" s="1" t="n">
        <v>46045</v>
      </c>
      <c r="D7510" t="inlineStr">
        <is>
          <t>JÄMTLANDS LÄN</t>
        </is>
      </c>
      <c r="E7510" t="inlineStr">
        <is>
          <t>BERG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2935-2025</t>
        </is>
      </c>
      <c r="B7511" s="1" t="n">
        <v>45678.37956018518</v>
      </c>
      <c r="C7511" s="1" t="n">
        <v>46045</v>
      </c>
      <c r="D7511" t="inlineStr">
        <is>
          <t>JÄMTLANDS LÄN</t>
        </is>
      </c>
      <c r="E7511" t="inlineStr">
        <is>
          <t>HÄRJEDALEN</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16059-2024</t>
        </is>
      </c>
      <c r="B7512" s="1" t="n">
        <v>45406.04950231482</v>
      </c>
      <c r="C7512" s="1" t="n">
        <v>46045</v>
      </c>
      <c r="D7512" t="inlineStr">
        <is>
          <t>JÄMTLANDS LÄN</t>
        </is>
      </c>
      <c r="E7512" t="inlineStr">
        <is>
          <t>BRÄCKE</t>
        </is>
      </c>
      <c r="F7512" t="inlineStr">
        <is>
          <t>SCA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55715-2025</t>
        </is>
      </c>
      <c r="B7513" s="1" t="n">
        <v>45972.49532407407</v>
      </c>
      <c r="C7513" s="1" t="n">
        <v>46045</v>
      </c>
      <c r="D7513" t="inlineStr">
        <is>
          <t>JÄMTLANDS LÄN</t>
        </is>
      </c>
      <c r="E7513" t="inlineStr">
        <is>
          <t>HÄRJEDALEN</t>
        </is>
      </c>
      <c r="G7513" t="n">
        <v>10.7</v>
      </c>
      <c r="H7513" t="n">
        <v>0</v>
      </c>
      <c r="I7513" t="n">
        <v>0</v>
      </c>
      <c r="J7513" t="n">
        <v>0</v>
      </c>
      <c r="K7513" t="n">
        <v>0</v>
      </c>
      <c r="L7513" t="n">
        <v>0</v>
      </c>
      <c r="M7513" t="n">
        <v>0</v>
      </c>
      <c r="N7513" t="n">
        <v>0</v>
      </c>
      <c r="O7513" t="n">
        <v>0</v>
      </c>
      <c r="P7513" t="n">
        <v>0</v>
      </c>
      <c r="Q7513" t="n">
        <v>0</v>
      </c>
      <c r="R7513" s="2" t="inlineStr"/>
    </row>
    <row r="7514" ht="15" customHeight="1">
      <c r="A7514" t="inlineStr">
        <is>
          <t>A 28595-2025</t>
        </is>
      </c>
      <c r="B7514" s="1" t="n">
        <v>45819.59429398148</v>
      </c>
      <c r="C7514" s="1" t="n">
        <v>46045</v>
      </c>
      <c r="D7514" t="inlineStr">
        <is>
          <t>JÄMTLANDS LÄN</t>
        </is>
      </c>
      <c r="E7514" t="inlineStr">
        <is>
          <t>ÖSTERSUND</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28843-2025</t>
        </is>
      </c>
      <c r="B7515" s="1" t="n">
        <v>45820</v>
      </c>
      <c r="C7515" s="1" t="n">
        <v>46045</v>
      </c>
      <c r="D7515" t="inlineStr">
        <is>
          <t>JÄMTLANDS LÄN</t>
        </is>
      </c>
      <c r="E7515" t="inlineStr">
        <is>
          <t>KROKOM</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40426-2024</t>
        </is>
      </c>
      <c r="B7516" s="1" t="n">
        <v>45555</v>
      </c>
      <c r="C7516" s="1" t="n">
        <v>46045</v>
      </c>
      <c r="D7516" t="inlineStr">
        <is>
          <t>JÄMTLANDS LÄN</t>
        </is>
      </c>
      <c r="E7516" t="inlineStr">
        <is>
          <t>STRÖMSUND</t>
        </is>
      </c>
      <c r="F7516" t="inlineStr">
        <is>
          <t>SCA</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28578-2025</t>
        </is>
      </c>
      <c r="B7517" s="1" t="n">
        <v>45819.57326388889</v>
      </c>
      <c r="C7517" s="1" t="n">
        <v>46045</v>
      </c>
      <c r="D7517" t="inlineStr">
        <is>
          <t>JÄMTLANDS LÄN</t>
        </is>
      </c>
      <c r="E7517" t="inlineStr">
        <is>
          <t>STRÖMSUND</t>
        </is>
      </c>
      <c r="F7517" t="inlineStr">
        <is>
          <t>SCA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63641-2025</t>
        </is>
      </c>
      <c r="B7518" s="1" t="n">
        <v>46014.40689814815</v>
      </c>
      <c r="C7518" s="1" t="n">
        <v>46045</v>
      </c>
      <c r="D7518" t="inlineStr">
        <is>
          <t>JÄMTLANDS LÄN</t>
        </is>
      </c>
      <c r="E7518" t="inlineStr">
        <is>
          <t>BRÄCKE</t>
        </is>
      </c>
      <c r="F7518" t="inlineStr">
        <is>
          <t>SCA</t>
        </is>
      </c>
      <c r="G7518" t="n">
        <v>17.7</v>
      </c>
      <c r="H7518" t="n">
        <v>0</v>
      </c>
      <c r="I7518" t="n">
        <v>0</v>
      </c>
      <c r="J7518" t="n">
        <v>0</v>
      </c>
      <c r="K7518" t="n">
        <v>0</v>
      </c>
      <c r="L7518" t="n">
        <v>0</v>
      </c>
      <c r="M7518" t="n">
        <v>0</v>
      </c>
      <c r="N7518" t="n">
        <v>0</v>
      </c>
      <c r="O7518" t="n">
        <v>0</v>
      </c>
      <c r="P7518" t="n">
        <v>0</v>
      </c>
      <c r="Q7518" t="n">
        <v>0</v>
      </c>
      <c r="R7518" s="2" t="inlineStr"/>
    </row>
    <row r="7519" ht="15" customHeight="1">
      <c r="A7519" t="inlineStr">
        <is>
          <t>A 55297-2025</t>
        </is>
      </c>
      <c r="B7519" s="1" t="n">
        <v>45969</v>
      </c>
      <c r="C7519" s="1" t="n">
        <v>46045</v>
      </c>
      <c r="D7519" t="inlineStr">
        <is>
          <t>JÄMTLANDS LÄN</t>
        </is>
      </c>
      <c r="E7519" t="inlineStr">
        <is>
          <t>STRÖMSUND</t>
        </is>
      </c>
      <c r="F7519" t="inlineStr">
        <is>
          <t>SCA</t>
        </is>
      </c>
      <c r="G7519" t="n">
        <v>12.1</v>
      </c>
      <c r="H7519" t="n">
        <v>0</v>
      </c>
      <c r="I7519" t="n">
        <v>0</v>
      </c>
      <c r="J7519" t="n">
        <v>0</v>
      </c>
      <c r="K7519" t="n">
        <v>0</v>
      </c>
      <c r="L7519" t="n">
        <v>0</v>
      </c>
      <c r="M7519" t="n">
        <v>0</v>
      </c>
      <c r="N7519" t="n">
        <v>0</v>
      </c>
      <c r="O7519" t="n">
        <v>0</v>
      </c>
      <c r="P7519" t="n">
        <v>0</v>
      </c>
      <c r="Q7519" t="n">
        <v>0</v>
      </c>
      <c r="R7519" s="2" t="inlineStr"/>
    </row>
    <row r="7520" ht="15" customHeight="1">
      <c r="A7520" t="inlineStr">
        <is>
          <t>A 28928-2025</t>
        </is>
      </c>
      <c r="B7520" s="1" t="n">
        <v>45820.67738425926</v>
      </c>
      <c r="C7520" s="1" t="n">
        <v>46045</v>
      </c>
      <c r="D7520" t="inlineStr">
        <is>
          <t>JÄMTLANDS LÄN</t>
        </is>
      </c>
      <c r="E7520" t="inlineStr">
        <is>
          <t>BRÄCKE</t>
        </is>
      </c>
      <c r="F7520" t="inlineStr">
        <is>
          <t>SCA</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55497-2025</t>
        </is>
      </c>
      <c r="B7521" s="1" t="n">
        <v>45971.58337962963</v>
      </c>
      <c r="C7521" s="1" t="n">
        <v>46045</v>
      </c>
      <c r="D7521" t="inlineStr">
        <is>
          <t>JÄMTLANDS LÄN</t>
        </is>
      </c>
      <c r="E7521" t="inlineStr">
        <is>
          <t>BERG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55388-2025</t>
        </is>
      </c>
      <c r="B7522" s="1" t="n">
        <v>45971.43935185186</v>
      </c>
      <c r="C7522" s="1" t="n">
        <v>46045</v>
      </c>
      <c r="D7522" t="inlineStr">
        <is>
          <t>JÄMTLANDS LÄN</t>
        </is>
      </c>
      <c r="E7522" t="inlineStr">
        <is>
          <t>BRÄCKE</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63395-2025</t>
        </is>
      </c>
      <c r="B7523" s="1" t="n">
        <v>46012.39570601852</v>
      </c>
      <c r="C7523" s="1" t="n">
        <v>46045</v>
      </c>
      <c r="D7523" t="inlineStr">
        <is>
          <t>JÄMTLANDS LÄN</t>
        </is>
      </c>
      <c r="E7523" t="inlineStr">
        <is>
          <t>STRÖMSUND</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28653-2025</t>
        </is>
      </c>
      <c r="B7524" s="1" t="n">
        <v>45819.65170138889</v>
      </c>
      <c r="C7524" s="1" t="n">
        <v>46045</v>
      </c>
      <c r="D7524" t="inlineStr">
        <is>
          <t>JÄMTLANDS LÄN</t>
        </is>
      </c>
      <c r="E7524" t="inlineStr">
        <is>
          <t>STRÖMSUND</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55389-2025</t>
        </is>
      </c>
      <c r="B7525" s="1" t="n">
        <v>45971.4482175926</v>
      </c>
      <c r="C7525" s="1" t="n">
        <v>46045</v>
      </c>
      <c r="D7525" t="inlineStr">
        <is>
          <t>JÄMTLANDS LÄN</t>
        </is>
      </c>
      <c r="E7525" t="inlineStr">
        <is>
          <t>ÅRE</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28675-2025</t>
        </is>
      </c>
      <c r="B7526" s="1" t="n">
        <v>45819.67756944444</v>
      </c>
      <c r="C7526" s="1" t="n">
        <v>46045</v>
      </c>
      <c r="D7526" t="inlineStr">
        <is>
          <t>JÄMTLANDS LÄN</t>
        </is>
      </c>
      <c r="E7526" t="inlineStr">
        <is>
          <t>BRÄCKE</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61767-2024</t>
        </is>
      </c>
      <c r="B7527" s="1" t="n">
        <v>45649.45143518518</v>
      </c>
      <c r="C7527" s="1" t="n">
        <v>46045</v>
      </c>
      <c r="D7527" t="inlineStr">
        <is>
          <t>JÄMTLANDS LÄN</t>
        </is>
      </c>
      <c r="E7527" t="inlineStr">
        <is>
          <t>KROKOM</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63463-2025</t>
        </is>
      </c>
      <c r="B7528" s="1" t="n">
        <v>46013.42751157407</v>
      </c>
      <c r="C7528" s="1" t="n">
        <v>46045</v>
      </c>
      <c r="D7528" t="inlineStr">
        <is>
          <t>JÄMTLANDS LÄN</t>
        </is>
      </c>
      <c r="E7528" t="inlineStr">
        <is>
          <t>ÅRE</t>
        </is>
      </c>
      <c r="G7528" t="n">
        <v>17.5</v>
      </c>
      <c r="H7528" t="n">
        <v>0</v>
      </c>
      <c r="I7528" t="n">
        <v>0</v>
      </c>
      <c r="J7528" t="n">
        <v>0</v>
      </c>
      <c r="K7528" t="n">
        <v>0</v>
      </c>
      <c r="L7528" t="n">
        <v>0</v>
      </c>
      <c r="M7528" t="n">
        <v>0</v>
      </c>
      <c r="N7528" t="n">
        <v>0</v>
      </c>
      <c r="O7528" t="n">
        <v>0</v>
      </c>
      <c r="P7528" t="n">
        <v>0</v>
      </c>
      <c r="Q7528" t="n">
        <v>0</v>
      </c>
      <c r="R7528" s="2" t="inlineStr"/>
    </row>
    <row r="7529" ht="15" customHeight="1">
      <c r="A7529" t="inlineStr">
        <is>
          <t>A 55575-2025</t>
        </is>
      </c>
      <c r="B7529" s="1" t="n">
        <v>45971.66145833334</v>
      </c>
      <c r="C7529" s="1" t="n">
        <v>46045</v>
      </c>
      <c r="D7529" t="inlineStr">
        <is>
          <t>JÄMTLANDS LÄN</t>
        </is>
      </c>
      <c r="E7529" t="inlineStr">
        <is>
          <t>BERG</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57710-2021</t>
        </is>
      </c>
      <c r="B7530" s="1" t="n">
        <v>44484</v>
      </c>
      <c r="C7530" s="1" t="n">
        <v>46045</v>
      </c>
      <c r="D7530" t="inlineStr">
        <is>
          <t>JÄMTLANDS LÄN</t>
        </is>
      </c>
      <c r="E7530" t="inlineStr">
        <is>
          <t>ÅRE</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63665-2025</t>
        </is>
      </c>
      <c r="B7531" s="1" t="n">
        <v>46014.45636574074</v>
      </c>
      <c r="C7531" s="1" t="n">
        <v>46045</v>
      </c>
      <c r="D7531" t="inlineStr">
        <is>
          <t>JÄMTLANDS LÄN</t>
        </is>
      </c>
      <c r="E7531" t="inlineStr">
        <is>
          <t>KROKOM</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25883-2024</t>
        </is>
      </c>
      <c r="B7532" s="1" t="n">
        <v>45467.49233796296</v>
      </c>
      <c r="C7532" s="1" t="n">
        <v>46045</v>
      </c>
      <c r="D7532" t="inlineStr">
        <is>
          <t>JÄMTLANDS LÄN</t>
        </is>
      </c>
      <c r="E7532" t="inlineStr">
        <is>
          <t>BRÄCKE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4365-2023</t>
        </is>
      </c>
      <c r="B7533" s="1" t="n">
        <v>44954</v>
      </c>
      <c r="C7533" s="1" t="n">
        <v>46045</v>
      </c>
      <c r="D7533" t="inlineStr">
        <is>
          <t>JÄMTLANDS LÄN</t>
        </is>
      </c>
      <c r="E7533" t="inlineStr">
        <is>
          <t>BRÄCKE</t>
        </is>
      </c>
      <c r="F7533" t="inlineStr">
        <is>
          <t>SCA</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55524-2025</t>
        </is>
      </c>
      <c r="B7534" s="1" t="n">
        <v>45971.61523148148</v>
      </c>
      <c r="C7534" s="1" t="n">
        <v>46045</v>
      </c>
      <c r="D7534" t="inlineStr">
        <is>
          <t>JÄMTLANDS LÄN</t>
        </is>
      </c>
      <c r="E7534" t="inlineStr">
        <is>
          <t>BRÄCKE</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55553-2025</t>
        </is>
      </c>
      <c r="B7535" s="1" t="n">
        <v>45971.64445601852</v>
      </c>
      <c r="C7535" s="1" t="n">
        <v>46045</v>
      </c>
      <c r="D7535" t="inlineStr">
        <is>
          <t>JÄMTLANDS LÄN</t>
        </is>
      </c>
      <c r="E7535" t="inlineStr">
        <is>
          <t>BERG</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55468-2025</t>
        </is>
      </c>
      <c r="B7536" s="1" t="n">
        <v>45971.52802083334</v>
      </c>
      <c r="C7536" s="1" t="n">
        <v>46045</v>
      </c>
      <c r="D7536" t="inlineStr">
        <is>
          <t>JÄMTLANDS LÄN</t>
        </is>
      </c>
      <c r="E7536" t="inlineStr">
        <is>
          <t>STRÖMSUND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55457-2025</t>
        </is>
      </c>
      <c r="B7537" s="1" t="n">
        <v>45971.51321759259</v>
      </c>
      <c r="C7537" s="1" t="n">
        <v>46045</v>
      </c>
      <c r="D7537" t="inlineStr">
        <is>
          <t>JÄMTLANDS LÄN</t>
        </is>
      </c>
      <c r="E7537" t="inlineStr">
        <is>
          <t>BRÄCKE</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4388-2023</t>
        </is>
      </c>
      <c r="B7538" s="1" t="n">
        <v>44955.77467592592</v>
      </c>
      <c r="C7538" s="1" t="n">
        <v>46045</v>
      </c>
      <c r="D7538" t="inlineStr">
        <is>
          <t>JÄMTLANDS LÄN</t>
        </is>
      </c>
      <c r="E7538" t="inlineStr">
        <is>
          <t>STRÖMSUND</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55807-2025</t>
        </is>
      </c>
      <c r="B7539" s="1" t="n">
        <v>45972.67822916667</v>
      </c>
      <c r="C7539" s="1" t="n">
        <v>46045</v>
      </c>
      <c r="D7539" t="inlineStr">
        <is>
          <t>JÄMTLANDS LÄN</t>
        </is>
      </c>
      <c r="E7539" t="inlineStr">
        <is>
          <t>STRÖMSUND</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63661-2025</t>
        </is>
      </c>
      <c r="B7540" s="1" t="n">
        <v>46014.45053240741</v>
      </c>
      <c r="C7540" s="1" t="n">
        <v>46045</v>
      </c>
      <c r="D7540" t="inlineStr">
        <is>
          <t>JÄMTLANDS LÄN</t>
        </is>
      </c>
      <c r="E7540" t="inlineStr">
        <is>
          <t>KROKOM</t>
        </is>
      </c>
      <c r="G7540" t="n">
        <v>8.199999999999999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63696-2025</t>
        </is>
      </c>
      <c r="B7541" s="1" t="n">
        <v>46014.57327546296</v>
      </c>
      <c r="C7541" s="1" t="n">
        <v>46045</v>
      </c>
      <c r="D7541" t="inlineStr">
        <is>
          <t>JÄMTLANDS LÄN</t>
        </is>
      </c>
      <c r="E7541" t="inlineStr">
        <is>
          <t>STRÖMSUND</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63708-2025</t>
        </is>
      </c>
      <c r="B7542" s="1" t="n">
        <v>46014.61556712963</v>
      </c>
      <c r="C7542" s="1" t="n">
        <v>46045</v>
      </c>
      <c r="D7542" t="inlineStr">
        <is>
          <t>JÄMTLANDS LÄN</t>
        </is>
      </c>
      <c r="E7542" t="inlineStr">
        <is>
          <t>HÄRJEDALEN</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23214-2024</t>
        </is>
      </c>
      <c r="B7543" s="1" t="n">
        <v>45452.55271990741</v>
      </c>
      <c r="C7543" s="1" t="n">
        <v>46045</v>
      </c>
      <c r="D7543" t="inlineStr">
        <is>
          <t>JÄMTLANDS LÄN</t>
        </is>
      </c>
      <c r="E7543" t="inlineStr">
        <is>
          <t>KROKOM</t>
        </is>
      </c>
      <c r="F7543" t="inlineStr">
        <is>
          <t>Övriga Aktiebolag</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28493-2025</t>
        </is>
      </c>
      <c r="B7544" s="1" t="n">
        <v>45819.46922453704</v>
      </c>
      <c r="C7544" s="1" t="n">
        <v>46045</v>
      </c>
      <c r="D7544" t="inlineStr">
        <is>
          <t>JÄMTLANDS LÄN</t>
        </is>
      </c>
      <c r="E7544" t="inlineStr">
        <is>
          <t>STRÖMSUND</t>
        </is>
      </c>
      <c r="F7544" t="inlineStr">
        <is>
          <t>SCA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62520-2025</t>
        </is>
      </c>
      <c r="B7545" s="1" t="n">
        <v>46007.61498842593</v>
      </c>
      <c r="C7545" s="1" t="n">
        <v>46045</v>
      </c>
      <c r="D7545" t="inlineStr">
        <is>
          <t>JÄMTLANDS LÄN</t>
        </is>
      </c>
      <c r="E7545" t="inlineStr">
        <is>
          <t>ÅRE</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28636-2025</t>
        </is>
      </c>
      <c r="B7546" s="1" t="n">
        <v>45819.63576388889</v>
      </c>
      <c r="C7546" s="1" t="n">
        <v>46045</v>
      </c>
      <c r="D7546" t="inlineStr">
        <is>
          <t>JÄMTLANDS LÄN</t>
        </is>
      </c>
      <c r="E7546" t="inlineStr">
        <is>
          <t>BRÄCKE</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63502-2025</t>
        </is>
      </c>
      <c r="B7547" s="1" t="n">
        <v>46013.49010416667</v>
      </c>
      <c r="C7547" s="1" t="n">
        <v>46045</v>
      </c>
      <c r="D7547" t="inlineStr">
        <is>
          <t>JÄMTLANDS LÄN</t>
        </is>
      </c>
      <c r="E7547" t="inlineStr">
        <is>
          <t>STRÖMSUND</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55782-2025</t>
        </is>
      </c>
      <c r="B7548" s="1" t="n">
        <v>45972.63504629629</v>
      </c>
      <c r="C7548" s="1" t="n">
        <v>46045</v>
      </c>
      <c r="D7548" t="inlineStr">
        <is>
          <t>JÄMTLANDS LÄN</t>
        </is>
      </c>
      <c r="E7548" t="inlineStr">
        <is>
          <t>KROKOM</t>
        </is>
      </c>
      <c r="F7548" t="inlineStr">
        <is>
          <t>Övriga Aktiebolag</t>
        </is>
      </c>
      <c r="G7548" t="n">
        <v>10</v>
      </c>
      <c r="H7548" t="n">
        <v>0</v>
      </c>
      <c r="I7548" t="n">
        <v>0</v>
      </c>
      <c r="J7548" t="n">
        <v>0</v>
      </c>
      <c r="K7548" t="n">
        <v>0</v>
      </c>
      <c r="L7548" t="n">
        <v>0</v>
      </c>
      <c r="M7548" t="n">
        <v>0</v>
      </c>
      <c r="N7548" t="n">
        <v>0</v>
      </c>
      <c r="O7548" t="n">
        <v>0</v>
      </c>
      <c r="P7548" t="n">
        <v>0</v>
      </c>
      <c r="Q7548" t="n">
        <v>0</v>
      </c>
      <c r="R7548" s="2" t="inlineStr"/>
    </row>
    <row r="7549" ht="15" customHeight="1">
      <c r="A7549" t="inlineStr">
        <is>
          <t>A 28752-2025</t>
        </is>
      </c>
      <c r="B7549" s="1" t="n">
        <v>45820</v>
      </c>
      <c r="C7549" s="1" t="n">
        <v>46045</v>
      </c>
      <c r="D7549" t="inlineStr">
        <is>
          <t>JÄMTLANDS LÄN</t>
        </is>
      </c>
      <c r="E7549" t="inlineStr">
        <is>
          <t>KROKOM</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55806-2025</t>
        </is>
      </c>
      <c r="B7550" s="1" t="n">
        <v>45972.67806712963</v>
      </c>
      <c r="C7550" s="1" t="n">
        <v>46045</v>
      </c>
      <c r="D7550" t="inlineStr">
        <is>
          <t>JÄMTLANDS LÄN</t>
        </is>
      </c>
      <c r="E7550" t="inlineStr">
        <is>
          <t>STRÖMSUND</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55805-2025</t>
        </is>
      </c>
      <c r="B7551" s="1" t="n">
        <v>45972.67789351852</v>
      </c>
      <c r="C7551" s="1" t="n">
        <v>46045</v>
      </c>
      <c r="D7551" t="inlineStr">
        <is>
          <t>JÄMTLANDS LÄN</t>
        </is>
      </c>
      <c r="E7551" t="inlineStr">
        <is>
          <t>STRÖMSUND</t>
        </is>
      </c>
      <c r="F7551" t="inlineStr">
        <is>
          <t>SCA</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55811-2025</t>
        </is>
      </c>
      <c r="B7552" s="1" t="n">
        <v>45972.67873842592</v>
      </c>
      <c r="C7552" s="1" t="n">
        <v>46045</v>
      </c>
      <c r="D7552" t="inlineStr">
        <is>
          <t>JÄMTLANDS LÄN</t>
        </is>
      </c>
      <c r="E7552" t="inlineStr">
        <is>
          <t>STRÖMSUND</t>
        </is>
      </c>
      <c r="F7552" t="inlineStr">
        <is>
          <t>SCA</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63421-2025</t>
        </is>
      </c>
      <c r="B7553" s="1" t="n">
        <v>46013.34430555555</v>
      </c>
      <c r="C7553" s="1" t="n">
        <v>46045</v>
      </c>
      <c r="D7553" t="inlineStr">
        <is>
          <t>JÄMTLANDS LÄN</t>
        </is>
      </c>
      <c r="E7553" t="inlineStr">
        <is>
          <t>STRÖMSUND</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28806-2025</t>
        </is>
      </c>
      <c r="B7554" s="1" t="n">
        <v>45820.5107175926</v>
      </c>
      <c r="C7554" s="1" t="n">
        <v>46045</v>
      </c>
      <c r="D7554" t="inlineStr">
        <is>
          <t>JÄMTLANDS LÄN</t>
        </is>
      </c>
      <c r="E7554" t="inlineStr">
        <is>
          <t>STRÖMSUND</t>
        </is>
      </c>
      <c r="F7554" t="inlineStr">
        <is>
          <t>SCA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63516-2025</t>
        </is>
      </c>
      <c r="B7555" s="1" t="n">
        <v>46013.50993055556</v>
      </c>
      <c r="C7555" s="1" t="n">
        <v>46045</v>
      </c>
      <c r="D7555" t="inlineStr">
        <is>
          <t>JÄMTLANDS LÄN</t>
        </is>
      </c>
      <c r="E7555" t="inlineStr">
        <is>
          <t>ÖSTERSUND</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55636-2025</t>
        </is>
      </c>
      <c r="B7556" s="1" t="n">
        <v>45972.345</v>
      </c>
      <c r="C7556" s="1" t="n">
        <v>46045</v>
      </c>
      <c r="D7556" t="inlineStr">
        <is>
          <t>JÄMTLANDS LÄN</t>
        </is>
      </c>
      <c r="E7556" t="inlineStr">
        <is>
          <t>BRÄCKE</t>
        </is>
      </c>
      <c r="F7556" t="inlineStr">
        <is>
          <t>SCA</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20879-2023</t>
        </is>
      </c>
      <c r="B7557" s="1" t="n">
        <v>45058.94399305555</v>
      </c>
      <c r="C7557" s="1" t="n">
        <v>46045</v>
      </c>
      <c r="D7557" t="inlineStr">
        <is>
          <t>JÄMTLANDS LÄN</t>
        </is>
      </c>
      <c r="E7557" t="inlineStr">
        <is>
          <t>BRÄCKE</t>
        </is>
      </c>
      <c r="F7557" t="inlineStr">
        <is>
          <t>Naturvårdsverket</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20899-2023</t>
        </is>
      </c>
      <c r="B7558" s="1" t="n">
        <v>45060</v>
      </c>
      <c r="C7558" s="1" t="n">
        <v>46045</v>
      </c>
      <c r="D7558" t="inlineStr">
        <is>
          <t>JÄMTLANDS LÄN</t>
        </is>
      </c>
      <c r="E7558" t="inlineStr">
        <is>
          <t>BERG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55407-2025</t>
        </is>
      </c>
      <c r="B7559" s="1" t="n">
        <v>45971</v>
      </c>
      <c r="C7559" s="1" t="n">
        <v>46045</v>
      </c>
      <c r="D7559" t="inlineStr">
        <is>
          <t>JÄMTLANDS LÄN</t>
        </is>
      </c>
      <c r="E7559" t="inlineStr">
        <is>
          <t>STRÖMSUND</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55413-2025</t>
        </is>
      </c>
      <c r="B7560" s="1" t="n">
        <v>45971.46915509259</v>
      </c>
      <c r="C7560" s="1" t="n">
        <v>46045</v>
      </c>
      <c r="D7560" t="inlineStr">
        <is>
          <t>JÄMTLANDS LÄN</t>
        </is>
      </c>
      <c r="E7560" t="inlineStr">
        <is>
          <t>ÅRE</t>
        </is>
      </c>
      <c r="G7560" t="n">
        <v>7.2</v>
      </c>
      <c r="H7560" t="n">
        <v>0</v>
      </c>
      <c r="I7560" t="n">
        <v>0</v>
      </c>
      <c r="J7560" t="n">
        <v>0</v>
      </c>
      <c r="K7560" t="n">
        <v>0</v>
      </c>
      <c r="L7560" t="n">
        <v>0</v>
      </c>
      <c r="M7560" t="n">
        <v>0</v>
      </c>
      <c r="N7560" t="n">
        <v>0</v>
      </c>
      <c r="O7560" t="n">
        <v>0</v>
      </c>
      <c r="P7560" t="n">
        <v>0</v>
      </c>
      <c r="Q7560" t="n">
        <v>0</v>
      </c>
      <c r="R7560" s="2" t="inlineStr"/>
    </row>
    <row r="7561" ht="15" customHeight="1">
      <c r="A7561" t="inlineStr">
        <is>
          <t>A 55445-2025</t>
        </is>
      </c>
      <c r="B7561" s="1" t="n">
        <v>45971.5002662037</v>
      </c>
      <c r="C7561" s="1" t="n">
        <v>46045</v>
      </c>
      <c r="D7561" t="inlineStr">
        <is>
          <t>JÄMTLANDS LÄN</t>
        </is>
      </c>
      <c r="E7561" t="inlineStr">
        <is>
          <t>STRÖMSUND</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28729-2025</t>
        </is>
      </c>
      <c r="B7562" s="1" t="n">
        <v>45820.36512731481</v>
      </c>
      <c r="C7562" s="1" t="n">
        <v>46045</v>
      </c>
      <c r="D7562" t="inlineStr">
        <is>
          <t>JÄMTLANDS LÄN</t>
        </is>
      </c>
      <c r="E7562" t="inlineStr">
        <is>
          <t>KROKOM</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28789-2025</t>
        </is>
      </c>
      <c r="B7563" s="1" t="n">
        <v>45820.47200231482</v>
      </c>
      <c r="C7563" s="1" t="n">
        <v>46045</v>
      </c>
      <c r="D7563" t="inlineStr">
        <is>
          <t>JÄMTLANDS LÄN</t>
        </is>
      </c>
      <c r="E7563" t="inlineStr">
        <is>
          <t>KROKOM</t>
        </is>
      </c>
      <c r="F7563" t="inlineStr">
        <is>
          <t>Kyrkan</t>
        </is>
      </c>
      <c r="G7563" t="n">
        <v>28.4</v>
      </c>
      <c r="H7563" t="n">
        <v>0</v>
      </c>
      <c r="I7563" t="n">
        <v>0</v>
      </c>
      <c r="J7563" t="n">
        <v>0</v>
      </c>
      <c r="K7563" t="n">
        <v>0</v>
      </c>
      <c r="L7563" t="n">
        <v>0</v>
      </c>
      <c r="M7563" t="n">
        <v>0</v>
      </c>
      <c r="N7563" t="n">
        <v>0</v>
      </c>
      <c r="O7563" t="n">
        <v>0</v>
      </c>
      <c r="P7563" t="n">
        <v>0</v>
      </c>
      <c r="Q7563" t="n">
        <v>0</v>
      </c>
      <c r="R7563" s="2" t="inlineStr"/>
    </row>
    <row r="7564" ht="15" customHeight="1">
      <c r="A7564" t="inlineStr">
        <is>
          <t>A 55485-2025</t>
        </is>
      </c>
      <c r="B7564" s="1" t="n">
        <v>45971.5733912037</v>
      </c>
      <c r="C7564" s="1" t="n">
        <v>46045</v>
      </c>
      <c r="D7564" t="inlineStr">
        <is>
          <t>JÄMTLANDS LÄN</t>
        </is>
      </c>
      <c r="E7564" t="inlineStr">
        <is>
          <t>BRÄCKE</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55505-2025</t>
        </is>
      </c>
      <c r="B7565" s="1" t="n">
        <v>45971.59140046296</v>
      </c>
      <c r="C7565" s="1" t="n">
        <v>46045</v>
      </c>
      <c r="D7565" t="inlineStr">
        <is>
          <t>JÄMTLANDS LÄN</t>
        </is>
      </c>
      <c r="E7565" t="inlineStr">
        <is>
          <t>STRÖMSUND</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55564-2025</t>
        </is>
      </c>
      <c r="B7566" s="1" t="n">
        <v>45971.65542824074</v>
      </c>
      <c r="C7566" s="1" t="n">
        <v>46045</v>
      </c>
      <c r="D7566" t="inlineStr">
        <is>
          <t>JÄMTLANDS LÄN</t>
        </is>
      </c>
      <c r="E7566" t="inlineStr">
        <is>
          <t>KROKOM</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63501-2025</t>
        </is>
      </c>
      <c r="B7567" s="1" t="n">
        <v>46013.49008101852</v>
      </c>
      <c r="C7567" s="1" t="n">
        <v>46045</v>
      </c>
      <c r="D7567" t="inlineStr">
        <is>
          <t>JÄMTLANDS LÄN</t>
        </is>
      </c>
      <c r="E7567" t="inlineStr">
        <is>
          <t>STRÖMSUND</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63503-2025</t>
        </is>
      </c>
      <c r="B7568" s="1" t="n">
        <v>46013.49011574074</v>
      </c>
      <c r="C7568" s="1" t="n">
        <v>46045</v>
      </c>
      <c r="D7568" t="inlineStr">
        <is>
          <t>JÄMTLANDS LÄN</t>
        </is>
      </c>
      <c r="E7568" t="inlineStr">
        <is>
          <t>STRÖMSUND</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28537-2025</t>
        </is>
      </c>
      <c r="B7569" s="1" t="n">
        <v>45819.51075231482</v>
      </c>
      <c r="C7569" s="1" t="n">
        <v>46045</v>
      </c>
      <c r="D7569" t="inlineStr">
        <is>
          <t>JÄMTLANDS LÄN</t>
        </is>
      </c>
      <c r="E7569" t="inlineStr">
        <is>
          <t>STRÖMSUND</t>
        </is>
      </c>
      <c r="F7569" t="inlineStr">
        <is>
          <t>SCA</t>
        </is>
      </c>
      <c r="G7569" t="n">
        <v>19.7</v>
      </c>
      <c r="H7569" t="n">
        <v>0</v>
      </c>
      <c r="I7569" t="n">
        <v>0</v>
      </c>
      <c r="J7569" t="n">
        <v>0</v>
      </c>
      <c r="K7569" t="n">
        <v>0</v>
      </c>
      <c r="L7569" t="n">
        <v>0</v>
      </c>
      <c r="M7569" t="n">
        <v>0</v>
      </c>
      <c r="N7569" t="n">
        <v>0</v>
      </c>
      <c r="O7569" t="n">
        <v>0</v>
      </c>
      <c r="P7569" t="n">
        <v>0</v>
      </c>
      <c r="Q7569" t="n">
        <v>0</v>
      </c>
      <c r="R7569" s="2" t="inlineStr"/>
    </row>
    <row r="7570" ht="15" customHeight="1">
      <c r="A7570" t="inlineStr">
        <is>
          <t>A 26353-2023</t>
        </is>
      </c>
      <c r="B7570" s="1" t="n">
        <v>45091.94232638889</v>
      </c>
      <c r="C7570" s="1" t="n">
        <v>46045</v>
      </c>
      <c r="D7570" t="inlineStr">
        <is>
          <t>JÄMTLANDS LÄN</t>
        </is>
      </c>
      <c r="E7570" t="inlineStr">
        <is>
          <t>BRÄCKE</t>
        </is>
      </c>
      <c r="F7570" t="inlineStr">
        <is>
          <t>SCA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27354-2023</t>
        </is>
      </c>
      <c r="B7571" s="1" t="n">
        <v>45096</v>
      </c>
      <c r="C7571" s="1" t="n">
        <v>46045</v>
      </c>
      <c r="D7571" t="inlineStr">
        <is>
          <t>JÄMTLANDS LÄN</t>
        </is>
      </c>
      <c r="E7571" t="inlineStr">
        <is>
          <t>BRÄCKE</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27373-2023</t>
        </is>
      </c>
      <c r="B7572" s="1" t="n">
        <v>45096.93866898148</v>
      </c>
      <c r="C7572" s="1" t="n">
        <v>46045</v>
      </c>
      <c r="D7572" t="inlineStr">
        <is>
          <t>JÄMTLANDS LÄN</t>
        </is>
      </c>
      <c r="E7572" t="inlineStr">
        <is>
          <t>RAGUNDA</t>
        </is>
      </c>
      <c r="F7572" t="inlineStr">
        <is>
          <t>SCA</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55758-2025</t>
        </is>
      </c>
      <c r="B7573" s="1" t="n">
        <v>45972.59815972222</v>
      </c>
      <c r="C7573" s="1" t="n">
        <v>46045</v>
      </c>
      <c r="D7573" t="inlineStr">
        <is>
          <t>JÄMTLANDS LÄN</t>
        </is>
      </c>
      <c r="E7573" t="inlineStr">
        <is>
          <t>HÄRJEDALEN</t>
        </is>
      </c>
      <c r="F7573" t="inlineStr">
        <is>
          <t>Bergvik skog väst AB</t>
        </is>
      </c>
      <c r="G7573" t="n">
        <v>6.4</v>
      </c>
      <c r="H7573" t="n">
        <v>0</v>
      </c>
      <c r="I7573" t="n">
        <v>0</v>
      </c>
      <c r="J7573" t="n">
        <v>0</v>
      </c>
      <c r="K7573" t="n">
        <v>0</v>
      </c>
      <c r="L7573" t="n">
        <v>0</v>
      </c>
      <c r="M7573" t="n">
        <v>0</v>
      </c>
      <c r="N7573" t="n">
        <v>0</v>
      </c>
      <c r="O7573" t="n">
        <v>0</v>
      </c>
      <c r="P7573" t="n">
        <v>0</v>
      </c>
      <c r="Q7573" t="n">
        <v>0</v>
      </c>
      <c r="R7573" s="2" t="inlineStr"/>
    </row>
    <row r="7574" ht="15" customHeight="1">
      <c r="A7574" t="inlineStr">
        <is>
          <t>A 55761-2025</t>
        </is>
      </c>
      <c r="B7574" s="1" t="n">
        <v>45972.60201388889</v>
      </c>
      <c r="C7574" s="1" t="n">
        <v>46045</v>
      </c>
      <c r="D7574" t="inlineStr">
        <is>
          <t>JÄMTLANDS LÄN</t>
        </is>
      </c>
      <c r="E7574" t="inlineStr">
        <is>
          <t>HÄRJEDALEN</t>
        </is>
      </c>
      <c r="F7574" t="inlineStr">
        <is>
          <t>Bergvik skog väst AB</t>
        </is>
      </c>
      <c r="G7574" t="n">
        <v>20.8</v>
      </c>
      <c r="H7574" t="n">
        <v>0</v>
      </c>
      <c r="I7574" t="n">
        <v>0</v>
      </c>
      <c r="J7574" t="n">
        <v>0</v>
      </c>
      <c r="K7574" t="n">
        <v>0</v>
      </c>
      <c r="L7574" t="n">
        <v>0</v>
      </c>
      <c r="M7574" t="n">
        <v>0</v>
      </c>
      <c r="N7574" t="n">
        <v>0</v>
      </c>
      <c r="O7574" t="n">
        <v>0</v>
      </c>
      <c r="P7574" t="n">
        <v>0</v>
      </c>
      <c r="Q7574" t="n">
        <v>0</v>
      </c>
      <c r="R7574" s="2" t="inlineStr"/>
    </row>
    <row r="7575" ht="15" customHeight="1">
      <c r="A7575" t="inlineStr">
        <is>
          <t>A 55770-2025</t>
        </is>
      </c>
      <c r="B7575" s="1" t="n">
        <v>45972</v>
      </c>
      <c r="C7575" s="1" t="n">
        <v>46045</v>
      </c>
      <c r="D7575" t="inlineStr">
        <is>
          <t>JÄMTLANDS LÄN</t>
        </is>
      </c>
      <c r="E7575" t="inlineStr">
        <is>
          <t>BERG</t>
        </is>
      </c>
      <c r="F7575" t="inlineStr">
        <is>
          <t>SCA</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63422-2025</t>
        </is>
      </c>
      <c r="B7576" s="1" t="n">
        <v>46013.3443287037</v>
      </c>
      <c r="C7576" s="1" t="n">
        <v>46045</v>
      </c>
      <c r="D7576" t="inlineStr">
        <is>
          <t>JÄMTLANDS LÄN</t>
        </is>
      </c>
      <c r="E7576" t="inlineStr">
        <is>
          <t>STRÖMSUND</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55416-2025</t>
        </is>
      </c>
      <c r="B7577" s="1" t="n">
        <v>45971.46951388889</v>
      </c>
      <c r="C7577" s="1" t="n">
        <v>46045</v>
      </c>
      <c r="D7577" t="inlineStr">
        <is>
          <t>JÄMTLANDS LÄN</t>
        </is>
      </c>
      <c r="E7577" t="inlineStr">
        <is>
          <t>ÅRE</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28848-2025</t>
        </is>
      </c>
      <c r="B7578" s="1" t="n">
        <v>45820</v>
      </c>
      <c r="C7578" s="1" t="n">
        <v>46045</v>
      </c>
      <c r="D7578" t="inlineStr">
        <is>
          <t>JÄMTLANDS LÄN</t>
        </is>
      </c>
      <c r="E7578" t="inlineStr">
        <is>
          <t>KROKOM</t>
        </is>
      </c>
      <c r="G7578" t="n">
        <v>8.300000000000001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28454-2025</t>
        </is>
      </c>
      <c r="B7579" s="1" t="n">
        <v>45819.40679398148</v>
      </c>
      <c r="C7579" s="1" t="n">
        <v>46045</v>
      </c>
      <c r="D7579" t="inlineStr">
        <is>
          <t>JÄMTLANDS LÄN</t>
        </is>
      </c>
      <c r="E7579" t="inlineStr">
        <is>
          <t>BERG</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28467-2025</t>
        </is>
      </c>
      <c r="B7580" s="1" t="n">
        <v>45819.42740740741</v>
      </c>
      <c r="C7580" s="1" t="n">
        <v>46045</v>
      </c>
      <c r="D7580" t="inlineStr">
        <is>
          <t>JÄMTLANDS LÄN</t>
        </is>
      </c>
      <c r="E7580" t="inlineStr">
        <is>
          <t>STRÖMSUND</t>
        </is>
      </c>
      <c r="F7580" t="inlineStr">
        <is>
          <t>SCA</t>
        </is>
      </c>
      <c r="G7580" t="n">
        <v>11.7</v>
      </c>
      <c r="H7580" t="n">
        <v>0</v>
      </c>
      <c r="I7580" t="n">
        <v>0</v>
      </c>
      <c r="J7580" t="n">
        <v>0</v>
      </c>
      <c r="K7580" t="n">
        <v>0</v>
      </c>
      <c r="L7580" t="n">
        <v>0</v>
      </c>
      <c r="M7580" t="n">
        <v>0</v>
      </c>
      <c r="N7580" t="n">
        <v>0</v>
      </c>
      <c r="O7580" t="n">
        <v>0</v>
      </c>
      <c r="P7580" t="n">
        <v>0</v>
      </c>
      <c r="Q7580" t="n">
        <v>0</v>
      </c>
      <c r="R7580" s="2" t="inlineStr"/>
    </row>
    <row r="7581" ht="15" customHeight="1">
      <c r="A7581" t="inlineStr">
        <is>
          <t>A 27374-2023</t>
        </is>
      </c>
      <c r="B7581" s="1" t="n">
        <v>45096.93873842592</v>
      </c>
      <c r="C7581" s="1" t="n">
        <v>46045</v>
      </c>
      <c r="D7581" t="inlineStr">
        <is>
          <t>JÄMTLANDS LÄN</t>
        </is>
      </c>
      <c r="E7581" t="inlineStr">
        <is>
          <t>STRÖMSUND</t>
        </is>
      </c>
      <c r="F7581" t="inlineStr">
        <is>
          <t>SCA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55361-2025</t>
        </is>
      </c>
      <c r="B7582" s="1" t="n">
        <v>45971.38615740741</v>
      </c>
      <c r="C7582" s="1" t="n">
        <v>46045</v>
      </c>
      <c r="D7582" t="inlineStr">
        <is>
          <t>JÄMTLANDS LÄN</t>
        </is>
      </c>
      <c r="E7582" t="inlineStr">
        <is>
          <t>STRÖMSUND</t>
        </is>
      </c>
      <c r="F7582" t="inlineStr">
        <is>
          <t>SCA</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63386-2025</t>
        </is>
      </c>
      <c r="B7583" s="1" t="n">
        <v>46011.5925</v>
      </c>
      <c r="C7583" s="1" t="n">
        <v>46045</v>
      </c>
      <c r="D7583" t="inlineStr">
        <is>
          <t>JÄMTLANDS LÄN</t>
        </is>
      </c>
      <c r="E7583" t="inlineStr">
        <is>
          <t>KROKOM</t>
        </is>
      </c>
      <c r="F7583" t="inlineStr">
        <is>
          <t>Övriga Aktiebolag</t>
        </is>
      </c>
      <c r="G7583" t="n">
        <v>9.4</v>
      </c>
      <c r="H7583" t="n">
        <v>0</v>
      </c>
      <c r="I7583" t="n">
        <v>0</v>
      </c>
      <c r="J7583" t="n">
        <v>0</v>
      </c>
      <c r="K7583" t="n">
        <v>0</v>
      </c>
      <c r="L7583" t="n">
        <v>0</v>
      </c>
      <c r="M7583" t="n">
        <v>0</v>
      </c>
      <c r="N7583" t="n">
        <v>0</v>
      </c>
      <c r="O7583" t="n">
        <v>0</v>
      </c>
      <c r="P7583" t="n">
        <v>0</v>
      </c>
      <c r="Q7583" t="n">
        <v>0</v>
      </c>
      <c r="R7583" s="2" t="inlineStr"/>
    </row>
    <row r="7584" ht="15" customHeight="1">
      <c r="A7584" t="inlineStr">
        <is>
          <t>A 63089-2025</t>
        </is>
      </c>
      <c r="B7584" s="1" t="n">
        <v>46009.67777777778</v>
      </c>
      <c r="C7584" s="1" t="n">
        <v>46045</v>
      </c>
      <c r="D7584" t="inlineStr">
        <is>
          <t>JÄMTLANDS LÄN</t>
        </is>
      </c>
      <c r="E7584" t="inlineStr">
        <is>
          <t>BRÄCKE</t>
        </is>
      </c>
      <c r="F7584" t="inlineStr">
        <is>
          <t>SCA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47738-2022</t>
        </is>
      </c>
      <c r="B7585" s="1" t="n">
        <v>44854</v>
      </c>
      <c r="C7585" s="1" t="n">
        <v>46045</v>
      </c>
      <c r="D7585" t="inlineStr">
        <is>
          <t>JÄMTLANDS LÄN</t>
        </is>
      </c>
      <c r="E7585" t="inlineStr">
        <is>
          <t>HÄRJEDALEN</t>
        </is>
      </c>
      <c r="F7585" t="inlineStr">
        <is>
          <t>Sveaskog</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55400-2025</t>
        </is>
      </c>
      <c r="B7586" s="1" t="n">
        <v>45971.44931712963</v>
      </c>
      <c r="C7586" s="1" t="n">
        <v>46045</v>
      </c>
      <c r="D7586" t="inlineStr">
        <is>
          <t>JÄMTLANDS LÄN</t>
        </is>
      </c>
      <c r="E7586" t="inlineStr">
        <is>
          <t>KROKOM</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63475-2025</t>
        </is>
      </c>
      <c r="B7587" s="1" t="n">
        <v>46013.4459375</v>
      </c>
      <c r="C7587" s="1" t="n">
        <v>46045</v>
      </c>
      <c r="D7587" t="inlineStr">
        <is>
          <t>JÄMTLANDS LÄN</t>
        </is>
      </c>
      <c r="E7587" t="inlineStr">
        <is>
          <t>ÖSTERSUND</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28401-2025</t>
        </is>
      </c>
      <c r="B7588" s="1" t="n">
        <v>45819.34469907408</v>
      </c>
      <c r="C7588" s="1" t="n">
        <v>46045</v>
      </c>
      <c r="D7588" t="inlineStr">
        <is>
          <t>JÄMTLANDS LÄN</t>
        </is>
      </c>
      <c r="E7588" t="inlineStr">
        <is>
          <t>BERG</t>
        </is>
      </c>
      <c r="F7588" t="inlineStr">
        <is>
          <t>SCA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47983-2021</t>
        </is>
      </c>
      <c r="B7589" s="1" t="n">
        <v>44448</v>
      </c>
      <c r="C7589" s="1" t="n">
        <v>46045</v>
      </c>
      <c r="D7589" t="inlineStr">
        <is>
          <t>JÄMTLANDS LÄN</t>
        </is>
      </c>
      <c r="E7589" t="inlineStr">
        <is>
          <t>BRÄCKE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55367-2025</t>
        </is>
      </c>
      <c r="B7590" s="1" t="n">
        <v>45971.41381944445</v>
      </c>
      <c r="C7590" s="1" t="n">
        <v>46045</v>
      </c>
      <c r="D7590" t="inlineStr">
        <is>
          <t>JÄMTLANDS LÄN</t>
        </is>
      </c>
      <c r="E7590" t="inlineStr">
        <is>
          <t>BRÄCKE</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55671-2025</t>
        </is>
      </c>
      <c r="B7591" s="1" t="n">
        <v>45972</v>
      </c>
      <c r="C7591" s="1" t="n">
        <v>46045</v>
      </c>
      <c r="D7591" t="inlineStr">
        <is>
          <t>JÄMTLANDS LÄN</t>
        </is>
      </c>
      <c r="E7591" t="inlineStr">
        <is>
          <t>RAGUNDA</t>
        </is>
      </c>
      <c r="F7591" t="inlineStr">
        <is>
          <t>SCA</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55672-2025</t>
        </is>
      </c>
      <c r="B7592" s="1" t="n">
        <v>45972.40719907408</v>
      </c>
      <c r="C7592" s="1" t="n">
        <v>46045</v>
      </c>
      <c r="D7592" t="inlineStr">
        <is>
          <t>JÄMTLANDS LÄN</t>
        </is>
      </c>
      <c r="E7592" t="inlineStr">
        <is>
          <t>STRÖMSUND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63671-2025</t>
        </is>
      </c>
      <c r="B7593" s="1" t="n">
        <v>46014.46555555556</v>
      </c>
      <c r="C7593" s="1" t="n">
        <v>46045</v>
      </c>
      <c r="D7593" t="inlineStr">
        <is>
          <t>JÄMTLANDS LÄN</t>
        </is>
      </c>
      <c r="E7593" t="inlineStr">
        <is>
          <t>RAGUNDA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52181-2022</t>
        </is>
      </c>
      <c r="B7594" s="1" t="n">
        <v>44868</v>
      </c>
      <c r="C7594" s="1" t="n">
        <v>46045</v>
      </c>
      <c r="D7594" t="inlineStr">
        <is>
          <t>JÄMTLANDS LÄN</t>
        </is>
      </c>
      <c r="E7594" t="inlineStr">
        <is>
          <t>STRÖMSUND</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28453-2025</t>
        </is>
      </c>
      <c r="B7595" s="1" t="n">
        <v>45819.40668981482</v>
      </c>
      <c r="C7595" s="1" t="n">
        <v>46045</v>
      </c>
      <c r="D7595" t="inlineStr">
        <is>
          <t>JÄMTLANDS LÄN</t>
        </is>
      </c>
      <c r="E7595" t="inlineStr">
        <is>
          <t>BERG</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56087-2025</t>
        </is>
      </c>
      <c r="B7596" s="1" t="n">
        <v>45973.6665625</v>
      </c>
      <c r="C7596" s="1" t="n">
        <v>46045</v>
      </c>
      <c r="D7596" t="inlineStr">
        <is>
          <t>JÄMTLANDS LÄN</t>
        </is>
      </c>
      <c r="E7596" t="inlineStr">
        <is>
          <t>KROKOM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58183-2022</t>
        </is>
      </c>
      <c r="B7597" s="1" t="n">
        <v>44900.95614583333</v>
      </c>
      <c r="C7597" s="1" t="n">
        <v>46045</v>
      </c>
      <c r="D7597" t="inlineStr">
        <is>
          <t>JÄMTLANDS LÄN</t>
        </is>
      </c>
      <c r="E7597" t="inlineStr">
        <is>
          <t>STRÖMSUND</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63754-2023</t>
        </is>
      </c>
      <c r="B7598" s="1" t="n">
        <v>45278.29936342593</v>
      </c>
      <c r="C7598" s="1" t="n">
        <v>46045</v>
      </c>
      <c r="D7598" t="inlineStr">
        <is>
          <t>JÄMTLANDS LÄN</t>
        </is>
      </c>
      <c r="E7598" t="inlineStr">
        <is>
          <t>STRÖMSUND</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56170-2025</t>
        </is>
      </c>
      <c r="B7599" s="1" t="n">
        <v>45974.39398148148</v>
      </c>
      <c r="C7599" s="1" t="n">
        <v>46045</v>
      </c>
      <c r="D7599" t="inlineStr">
        <is>
          <t>JÄMTLANDS LÄN</t>
        </is>
      </c>
      <c r="E7599" t="inlineStr">
        <is>
          <t>RAGUNDA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56176-2025</t>
        </is>
      </c>
      <c r="B7600" s="1" t="n">
        <v>45974.39936342592</v>
      </c>
      <c r="C7600" s="1" t="n">
        <v>46045</v>
      </c>
      <c r="D7600" t="inlineStr">
        <is>
          <t>JÄMTLANDS LÄN</t>
        </is>
      </c>
      <c r="E7600" t="inlineStr">
        <is>
          <t>HÄRJEDALEN</t>
        </is>
      </c>
      <c r="F7600" t="inlineStr">
        <is>
          <t>Bergvik skog väst AB</t>
        </is>
      </c>
      <c r="G7600" t="n">
        <v>15.7</v>
      </c>
      <c r="H7600" t="n">
        <v>0</v>
      </c>
      <c r="I7600" t="n">
        <v>0</v>
      </c>
      <c r="J7600" t="n">
        <v>0</v>
      </c>
      <c r="K7600" t="n">
        <v>0</v>
      </c>
      <c r="L7600" t="n">
        <v>0</v>
      </c>
      <c r="M7600" t="n">
        <v>0</v>
      </c>
      <c r="N7600" t="n">
        <v>0</v>
      </c>
      <c r="O7600" t="n">
        <v>0</v>
      </c>
      <c r="P7600" t="n">
        <v>0</v>
      </c>
      <c r="Q7600" t="n">
        <v>0</v>
      </c>
      <c r="R7600" s="2" t="inlineStr"/>
    </row>
    <row r="7601" ht="15" customHeight="1">
      <c r="A7601" t="inlineStr">
        <is>
          <t>A 50177-2021</t>
        </is>
      </c>
      <c r="B7601" s="1" t="n">
        <v>44456</v>
      </c>
      <c r="C7601" s="1" t="n">
        <v>46045</v>
      </c>
      <c r="D7601" t="inlineStr">
        <is>
          <t>JÄMTLANDS LÄN</t>
        </is>
      </c>
      <c r="E7601" t="inlineStr">
        <is>
          <t>KROKOM</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28637-2025</t>
        </is>
      </c>
      <c r="B7602" s="1" t="n">
        <v>45819.6359375</v>
      </c>
      <c r="C7602" s="1" t="n">
        <v>46045</v>
      </c>
      <c r="D7602" t="inlineStr">
        <is>
          <t>JÄMTLANDS LÄN</t>
        </is>
      </c>
      <c r="E7602" t="inlineStr">
        <is>
          <t>RAGUNDA</t>
        </is>
      </c>
      <c r="F7602" t="inlineStr">
        <is>
          <t>SCA</t>
        </is>
      </c>
      <c r="G7602" t="n">
        <v>6.6</v>
      </c>
      <c r="H7602" t="n">
        <v>0</v>
      </c>
      <c r="I7602" t="n">
        <v>0</v>
      </c>
      <c r="J7602" t="n">
        <v>0</v>
      </c>
      <c r="K7602" t="n">
        <v>0</v>
      </c>
      <c r="L7602" t="n">
        <v>0</v>
      </c>
      <c r="M7602" t="n">
        <v>0</v>
      </c>
      <c r="N7602" t="n">
        <v>0</v>
      </c>
      <c r="O7602" t="n">
        <v>0</v>
      </c>
      <c r="P7602" t="n">
        <v>0</v>
      </c>
      <c r="Q7602" t="n">
        <v>0</v>
      </c>
      <c r="R7602" s="2" t="inlineStr"/>
    </row>
    <row r="7603" ht="15" customHeight="1">
      <c r="A7603" t="inlineStr">
        <is>
          <t>A 28727-2025</t>
        </is>
      </c>
      <c r="B7603" s="1" t="n">
        <v>45820.36498842593</v>
      </c>
      <c r="C7603" s="1" t="n">
        <v>46045</v>
      </c>
      <c r="D7603" t="inlineStr">
        <is>
          <t>JÄMTLANDS LÄN</t>
        </is>
      </c>
      <c r="E7603" t="inlineStr">
        <is>
          <t>KROKOM</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28728-2025</t>
        </is>
      </c>
      <c r="B7604" s="1" t="n">
        <v>45820.36506944444</v>
      </c>
      <c r="C7604" s="1" t="n">
        <v>46045</v>
      </c>
      <c r="D7604" t="inlineStr">
        <is>
          <t>JÄMTLANDS LÄN</t>
        </is>
      </c>
      <c r="E7604" t="inlineStr">
        <is>
          <t>KROKOM</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28657-2025</t>
        </is>
      </c>
      <c r="B7605" s="1" t="n">
        <v>45819.65709490741</v>
      </c>
      <c r="C7605" s="1" t="n">
        <v>46045</v>
      </c>
      <c r="D7605" t="inlineStr">
        <is>
          <t>JÄMTLANDS LÄN</t>
        </is>
      </c>
      <c r="E7605" t="inlineStr">
        <is>
          <t>BERG</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56199-2025</t>
        </is>
      </c>
      <c r="B7606" s="1" t="n">
        <v>45974.45790509259</v>
      </c>
      <c r="C7606" s="1" t="n">
        <v>46045</v>
      </c>
      <c r="D7606" t="inlineStr">
        <is>
          <t>JÄMTLANDS LÄN</t>
        </is>
      </c>
      <c r="E7606" t="inlineStr">
        <is>
          <t>BERG</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28937-2025</t>
        </is>
      </c>
      <c r="B7607" s="1" t="n">
        <v>45820.69825231482</v>
      </c>
      <c r="C7607" s="1" t="n">
        <v>46045</v>
      </c>
      <c r="D7607" t="inlineStr">
        <is>
          <t>JÄMTLANDS LÄN</t>
        </is>
      </c>
      <c r="E7607" t="inlineStr">
        <is>
          <t>BRÄCKE</t>
        </is>
      </c>
      <c r="F7607" t="inlineStr">
        <is>
          <t>SCA</t>
        </is>
      </c>
      <c r="G7607" t="n">
        <v>11.5</v>
      </c>
      <c r="H7607" t="n">
        <v>0</v>
      </c>
      <c r="I7607" t="n">
        <v>0</v>
      </c>
      <c r="J7607" t="n">
        <v>0</v>
      </c>
      <c r="K7607" t="n">
        <v>0</v>
      </c>
      <c r="L7607" t="n">
        <v>0</v>
      </c>
      <c r="M7607" t="n">
        <v>0</v>
      </c>
      <c r="N7607" t="n">
        <v>0</v>
      </c>
      <c r="O7607" t="n">
        <v>0</v>
      </c>
      <c r="P7607" t="n">
        <v>0</v>
      </c>
      <c r="Q7607" t="n">
        <v>0</v>
      </c>
      <c r="R7607" s="2" t="inlineStr"/>
    </row>
    <row r="7608" ht="15" customHeight="1">
      <c r="A7608" t="inlineStr">
        <is>
          <t>A 28656-2025</t>
        </is>
      </c>
      <c r="B7608" s="1" t="n">
        <v>45819.65671296296</v>
      </c>
      <c r="C7608" s="1" t="n">
        <v>46045</v>
      </c>
      <c r="D7608" t="inlineStr">
        <is>
          <t>JÄMTLANDS LÄN</t>
        </is>
      </c>
      <c r="E7608" t="inlineStr">
        <is>
          <t>BRÄCKE</t>
        </is>
      </c>
      <c r="F7608" t="inlineStr">
        <is>
          <t>SCA</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56134-2025</t>
        </is>
      </c>
      <c r="B7609" s="1" t="n">
        <v>45974</v>
      </c>
      <c r="C7609" s="1" t="n">
        <v>46045</v>
      </c>
      <c r="D7609" t="inlineStr">
        <is>
          <t>JÄMTLANDS LÄN</t>
        </is>
      </c>
      <c r="E7609" t="inlineStr">
        <is>
          <t>HÄRJEDALEN</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55852-2025</t>
        </is>
      </c>
      <c r="B7610" s="1" t="n">
        <v>45973</v>
      </c>
      <c r="C7610" s="1" t="n">
        <v>46045</v>
      </c>
      <c r="D7610" t="inlineStr">
        <is>
          <t>JÄMTLANDS LÄN</t>
        </is>
      </c>
      <c r="E7610" t="inlineStr">
        <is>
          <t>HÄRJEDALEN</t>
        </is>
      </c>
      <c r="G7610" t="n">
        <v>11.7</v>
      </c>
      <c r="H7610" t="n">
        <v>0</v>
      </c>
      <c r="I7610" t="n">
        <v>0</v>
      </c>
      <c r="J7610" t="n">
        <v>0</v>
      </c>
      <c r="K7610" t="n">
        <v>0</v>
      </c>
      <c r="L7610" t="n">
        <v>0</v>
      </c>
      <c r="M7610" t="n">
        <v>0</v>
      </c>
      <c r="N7610" t="n">
        <v>0</v>
      </c>
      <c r="O7610" t="n">
        <v>0</v>
      </c>
      <c r="P7610" t="n">
        <v>0</v>
      </c>
      <c r="Q7610" t="n">
        <v>0</v>
      </c>
      <c r="R7610" s="2" t="inlineStr"/>
    </row>
    <row r="7611" ht="15" customHeight="1">
      <c r="A7611" t="inlineStr">
        <is>
          <t>A 55927-2025</t>
        </is>
      </c>
      <c r="B7611" s="1" t="n">
        <v>45973.42837962963</v>
      </c>
      <c r="C7611" s="1" t="n">
        <v>46045</v>
      </c>
      <c r="D7611" t="inlineStr">
        <is>
          <t>JÄMTLANDS LÄN</t>
        </is>
      </c>
      <c r="E7611" t="inlineStr">
        <is>
          <t>STRÖMSUND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29001-2025</t>
        </is>
      </c>
      <c r="B7612" s="1" t="n">
        <v>45821.39026620371</v>
      </c>
      <c r="C7612" s="1" t="n">
        <v>46045</v>
      </c>
      <c r="D7612" t="inlineStr">
        <is>
          <t>JÄMTLANDS LÄN</t>
        </is>
      </c>
      <c r="E7612" t="inlineStr">
        <is>
          <t>KROKOM</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29021-2025</t>
        </is>
      </c>
      <c r="B7613" s="1" t="n">
        <v>45821.42736111111</v>
      </c>
      <c r="C7613" s="1" t="n">
        <v>46045</v>
      </c>
      <c r="D7613" t="inlineStr">
        <is>
          <t>JÄMTLANDS LÄN</t>
        </is>
      </c>
      <c r="E7613" t="inlineStr">
        <is>
          <t>BRÄCKE</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56197-2025</t>
        </is>
      </c>
      <c r="B7614" s="1" t="n">
        <v>45974.45393518519</v>
      </c>
      <c r="C7614" s="1" t="n">
        <v>46045</v>
      </c>
      <c r="D7614" t="inlineStr">
        <is>
          <t>JÄMTLANDS LÄN</t>
        </is>
      </c>
      <c r="E7614" t="inlineStr">
        <is>
          <t>HÄRJEDALEN</t>
        </is>
      </c>
      <c r="F7614" t="inlineStr">
        <is>
          <t>Bergvik skog väst AB</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56091-2025</t>
        </is>
      </c>
      <c r="B7615" s="1" t="n">
        <v>45973.67434027778</v>
      </c>
      <c r="C7615" s="1" t="n">
        <v>46045</v>
      </c>
      <c r="D7615" t="inlineStr">
        <is>
          <t>JÄMTLANDS LÄN</t>
        </is>
      </c>
      <c r="E7615" t="inlineStr">
        <is>
          <t>ÅRE</t>
        </is>
      </c>
      <c r="G7615" t="n">
        <v>8</v>
      </c>
      <c r="H7615" t="n">
        <v>0</v>
      </c>
      <c r="I7615" t="n">
        <v>0</v>
      </c>
      <c r="J7615" t="n">
        <v>0</v>
      </c>
      <c r="K7615" t="n">
        <v>0</v>
      </c>
      <c r="L7615" t="n">
        <v>0</v>
      </c>
      <c r="M7615" t="n">
        <v>0</v>
      </c>
      <c r="N7615" t="n">
        <v>0</v>
      </c>
      <c r="O7615" t="n">
        <v>0</v>
      </c>
      <c r="P7615" t="n">
        <v>0</v>
      </c>
      <c r="Q7615" t="n">
        <v>0</v>
      </c>
      <c r="R7615" s="2" t="inlineStr"/>
    </row>
    <row r="7616" ht="15" customHeight="1">
      <c r="A7616" t="inlineStr">
        <is>
          <t>A 56144-2025</t>
        </is>
      </c>
      <c r="B7616" s="1" t="n">
        <v>45974.34472222222</v>
      </c>
      <c r="C7616" s="1" t="n">
        <v>46045</v>
      </c>
      <c r="D7616" t="inlineStr">
        <is>
          <t>JÄMTLANDS LÄN</t>
        </is>
      </c>
      <c r="E7616" t="inlineStr">
        <is>
          <t>STRÖMSUND</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49721-2024</t>
        </is>
      </c>
      <c r="B7617" s="1" t="n">
        <v>45596.72841435186</v>
      </c>
      <c r="C7617" s="1" t="n">
        <v>46045</v>
      </c>
      <c r="D7617" t="inlineStr">
        <is>
          <t>JÄMTLANDS LÄN</t>
        </is>
      </c>
      <c r="E7617" t="inlineStr">
        <is>
          <t>BRÄCKE</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56205-2025</t>
        </is>
      </c>
      <c r="B7618" s="1" t="n">
        <v>45974.469375</v>
      </c>
      <c r="C7618" s="1" t="n">
        <v>46045</v>
      </c>
      <c r="D7618" t="inlineStr">
        <is>
          <t>JÄMTLANDS LÄN</t>
        </is>
      </c>
      <c r="E7618" t="inlineStr">
        <is>
          <t>ÅRE</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56038-2025</t>
        </is>
      </c>
      <c r="B7619" s="1" t="n">
        <v>45973.61100694445</v>
      </c>
      <c r="C7619" s="1" t="n">
        <v>46045</v>
      </c>
      <c r="D7619" t="inlineStr">
        <is>
          <t>JÄMTLANDS LÄN</t>
        </is>
      </c>
      <c r="E7619" t="inlineStr">
        <is>
          <t>KROKOM</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16321-2025</t>
        </is>
      </c>
      <c r="B7620" s="1" t="n">
        <v>45751.34873842593</v>
      </c>
      <c r="C7620" s="1" t="n">
        <v>46045</v>
      </c>
      <c r="D7620" t="inlineStr">
        <is>
          <t>JÄMTLANDS LÄN</t>
        </is>
      </c>
      <c r="E7620" t="inlineStr">
        <is>
          <t>RAGUNDA</t>
        </is>
      </c>
      <c r="F7620" t="inlineStr">
        <is>
          <t>SCA</t>
        </is>
      </c>
      <c r="G7620" t="n">
        <v>63.3</v>
      </c>
      <c r="H7620" t="n">
        <v>0</v>
      </c>
      <c r="I7620" t="n">
        <v>0</v>
      </c>
      <c r="J7620" t="n">
        <v>0</v>
      </c>
      <c r="K7620" t="n">
        <v>0</v>
      </c>
      <c r="L7620" t="n">
        <v>0</v>
      </c>
      <c r="M7620" t="n">
        <v>0</v>
      </c>
      <c r="N7620" t="n">
        <v>0</v>
      </c>
      <c r="O7620" t="n">
        <v>0</v>
      </c>
      <c r="P7620" t="n">
        <v>0</v>
      </c>
      <c r="Q7620" t="n">
        <v>0</v>
      </c>
      <c r="R7620" s="2" t="inlineStr"/>
    </row>
    <row r="7621" ht="15" customHeight="1">
      <c r="A7621" t="inlineStr">
        <is>
          <t>A 55940-2025</t>
        </is>
      </c>
      <c r="B7621" s="1" t="n">
        <v>45973.45135416667</v>
      </c>
      <c r="C7621" s="1" t="n">
        <v>46045</v>
      </c>
      <c r="D7621" t="inlineStr">
        <is>
          <t>JÄMTLANDS LÄN</t>
        </is>
      </c>
      <c r="E7621" t="inlineStr">
        <is>
          <t>HÄRJEDALEN</t>
        </is>
      </c>
      <c r="F7621" t="inlineStr">
        <is>
          <t>Holmen skog AB</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16322-2025</t>
        </is>
      </c>
      <c r="B7622" s="1" t="n">
        <v>45751.34886574074</v>
      </c>
      <c r="C7622" s="1" t="n">
        <v>46045</v>
      </c>
      <c r="D7622" t="inlineStr">
        <is>
          <t>JÄMTLANDS LÄN</t>
        </is>
      </c>
      <c r="E7622" t="inlineStr">
        <is>
          <t>BRÄCKE</t>
        </is>
      </c>
      <c r="F7622" t="inlineStr">
        <is>
          <t>SCA</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15209-2025</t>
        </is>
      </c>
      <c r="B7623" s="1" t="n">
        <v>45744</v>
      </c>
      <c r="C7623" s="1" t="n">
        <v>46045</v>
      </c>
      <c r="D7623" t="inlineStr">
        <is>
          <t>JÄMTLANDS LÄN</t>
        </is>
      </c>
      <c r="E7623" t="inlineStr">
        <is>
          <t>KROKOM</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29124-2025</t>
        </is>
      </c>
      <c r="B7624" s="1" t="n">
        <v>45821.59456018519</v>
      </c>
      <c r="C7624" s="1" t="n">
        <v>46045</v>
      </c>
      <c r="D7624" t="inlineStr">
        <is>
          <t>JÄMTLANDS LÄN</t>
        </is>
      </c>
      <c r="E7624" t="inlineStr">
        <is>
          <t>BRÄCKE</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29197-2025</t>
        </is>
      </c>
      <c r="B7625" s="1" t="n">
        <v>45823.34438657408</v>
      </c>
      <c r="C7625" s="1" t="n">
        <v>46045</v>
      </c>
      <c r="D7625" t="inlineStr">
        <is>
          <t>JÄMTLANDS LÄN</t>
        </is>
      </c>
      <c r="E7625" t="inlineStr">
        <is>
          <t>BERG</t>
        </is>
      </c>
      <c r="F7625" t="inlineStr">
        <is>
          <t>SCA</t>
        </is>
      </c>
      <c r="G7625" t="n">
        <v>10</v>
      </c>
      <c r="H7625" t="n">
        <v>0</v>
      </c>
      <c r="I7625" t="n">
        <v>0</v>
      </c>
      <c r="J7625" t="n">
        <v>0</v>
      </c>
      <c r="K7625" t="n">
        <v>0</v>
      </c>
      <c r="L7625" t="n">
        <v>0</v>
      </c>
      <c r="M7625" t="n">
        <v>0</v>
      </c>
      <c r="N7625" t="n">
        <v>0</v>
      </c>
      <c r="O7625" t="n">
        <v>0</v>
      </c>
      <c r="P7625" t="n">
        <v>0</v>
      </c>
      <c r="Q7625" t="n">
        <v>0</v>
      </c>
      <c r="R7625" s="2" t="inlineStr"/>
    </row>
    <row r="7626" ht="15" customHeight="1">
      <c r="A7626" t="inlineStr">
        <is>
          <t>A 55880-2025</t>
        </is>
      </c>
      <c r="B7626" s="1" t="n">
        <v>45973.36510416667</v>
      </c>
      <c r="C7626" s="1" t="n">
        <v>46045</v>
      </c>
      <c r="D7626" t="inlineStr">
        <is>
          <t>JÄMTLANDS LÄN</t>
        </is>
      </c>
      <c r="E7626" t="inlineStr">
        <is>
          <t>BRÄCKE</t>
        </is>
      </c>
      <c r="F7626" t="inlineStr">
        <is>
          <t>SCA</t>
        </is>
      </c>
      <c r="G7626" t="n">
        <v>14.3</v>
      </c>
      <c r="H7626" t="n">
        <v>0</v>
      </c>
      <c r="I7626" t="n">
        <v>0</v>
      </c>
      <c r="J7626" t="n">
        <v>0</v>
      </c>
      <c r="K7626" t="n">
        <v>0</v>
      </c>
      <c r="L7626" t="n">
        <v>0</v>
      </c>
      <c r="M7626" t="n">
        <v>0</v>
      </c>
      <c r="N7626" t="n">
        <v>0</v>
      </c>
      <c r="O7626" t="n">
        <v>0</v>
      </c>
      <c r="P7626" t="n">
        <v>0</v>
      </c>
      <c r="Q7626" t="n">
        <v>0</v>
      </c>
      <c r="R7626" s="2" t="inlineStr"/>
    </row>
    <row r="7627" ht="15" customHeight="1">
      <c r="A7627" t="inlineStr">
        <is>
          <t>A 55897-2025</t>
        </is>
      </c>
      <c r="B7627" s="1" t="n">
        <v>45973.38600694444</v>
      </c>
      <c r="C7627" s="1" t="n">
        <v>46045</v>
      </c>
      <c r="D7627" t="inlineStr">
        <is>
          <t>JÄMTLANDS LÄN</t>
        </is>
      </c>
      <c r="E7627" t="inlineStr">
        <is>
          <t>RAGUNDA</t>
        </is>
      </c>
      <c r="F7627" t="inlineStr">
        <is>
          <t>SCA</t>
        </is>
      </c>
      <c r="G7627" t="n">
        <v>14.1</v>
      </c>
      <c r="H7627" t="n">
        <v>0</v>
      </c>
      <c r="I7627" t="n">
        <v>0</v>
      </c>
      <c r="J7627" t="n">
        <v>0</v>
      </c>
      <c r="K7627" t="n">
        <v>0</v>
      </c>
      <c r="L7627" t="n">
        <v>0</v>
      </c>
      <c r="M7627" t="n">
        <v>0</v>
      </c>
      <c r="N7627" t="n">
        <v>0</v>
      </c>
      <c r="O7627" t="n">
        <v>0</v>
      </c>
      <c r="P7627" t="n">
        <v>0</v>
      </c>
      <c r="Q7627" t="n">
        <v>0</v>
      </c>
      <c r="R7627" s="2" t="inlineStr"/>
    </row>
    <row r="7628" ht="15" customHeight="1">
      <c r="A7628" t="inlineStr">
        <is>
          <t>A 29279-2025</t>
        </is>
      </c>
      <c r="B7628" s="1" t="n">
        <v>45824.42381944445</v>
      </c>
      <c r="C7628" s="1" t="n">
        <v>46045</v>
      </c>
      <c r="D7628" t="inlineStr">
        <is>
          <t>JÄMTLANDS LÄN</t>
        </is>
      </c>
      <c r="E7628" t="inlineStr">
        <is>
          <t>BERG</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55797-2025</t>
        </is>
      </c>
      <c r="B7629" s="1" t="n">
        <v>45972.65693287037</v>
      </c>
      <c r="C7629" s="1" t="n">
        <v>46045</v>
      </c>
      <c r="D7629" t="inlineStr">
        <is>
          <t>JÄMTLANDS LÄN</t>
        </is>
      </c>
      <c r="E7629" t="inlineStr">
        <is>
          <t>RAGUNDA</t>
        </is>
      </c>
      <c r="F7629" t="inlineStr">
        <is>
          <t>SCA</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56640-2021</t>
        </is>
      </c>
      <c r="B7630" s="1" t="n">
        <v>44480</v>
      </c>
      <c r="C7630" s="1" t="n">
        <v>46045</v>
      </c>
      <c r="D7630" t="inlineStr">
        <is>
          <t>JÄMTLANDS LÄN</t>
        </is>
      </c>
      <c r="E7630" t="inlineStr">
        <is>
          <t>BRÄCKE</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45230-2021</t>
        </is>
      </c>
      <c r="B7631" s="1" t="n">
        <v>44439.58334490741</v>
      </c>
      <c r="C7631" s="1" t="n">
        <v>46045</v>
      </c>
      <c r="D7631" t="inlineStr">
        <is>
          <t>JÄMTLANDS LÄN</t>
        </is>
      </c>
      <c r="E7631" t="inlineStr">
        <is>
          <t>STRÖMSUND</t>
        </is>
      </c>
      <c r="G7631" t="n">
        <v>7.4</v>
      </c>
      <c r="H7631" t="n">
        <v>0</v>
      </c>
      <c r="I7631" t="n">
        <v>0</v>
      </c>
      <c r="J7631" t="n">
        <v>0</v>
      </c>
      <c r="K7631" t="n">
        <v>0</v>
      </c>
      <c r="L7631" t="n">
        <v>0</v>
      </c>
      <c r="M7631" t="n">
        <v>0</v>
      </c>
      <c r="N7631" t="n">
        <v>0</v>
      </c>
      <c r="O7631" t="n">
        <v>0</v>
      </c>
      <c r="P7631" t="n">
        <v>0</v>
      </c>
      <c r="Q7631" t="n">
        <v>0</v>
      </c>
      <c r="R7631" s="2" t="inlineStr"/>
    </row>
    <row r="7632" ht="15" customHeight="1">
      <c r="A7632" t="inlineStr">
        <is>
          <t>A 55904-2022</t>
        </is>
      </c>
      <c r="B7632" s="1" t="n">
        <v>44888</v>
      </c>
      <c r="C7632" s="1" t="n">
        <v>46045</v>
      </c>
      <c r="D7632" t="inlineStr">
        <is>
          <t>JÄMTLANDS LÄN</t>
        </is>
      </c>
      <c r="E7632" t="inlineStr">
        <is>
          <t>RAGUNDA</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56213-2025</t>
        </is>
      </c>
      <c r="B7633" s="1" t="n">
        <v>45974.47983796296</v>
      </c>
      <c r="C7633" s="1" t="n">
        <v>46045</v>
      </c>
      <c r="D7633" t="inlineStr">
        <is>
          <t>JÄMTLANDS LÄN</t>
        </is>
      </c>
      <c r="E7633" t="inlineStr">
        <is>
          <t>HÄRJEDALEN</t>
        </is>
      </c>
      <c r="F7633" t="inlineStr">
        <is>
          <t>Bergvik skog väst AB</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56234-2025</t>
        </is>
      </c>
      <c r="B7634" s="1" t="n">
        <v>45974.53696759259</v>
      </c>
      <c r="C7634" s="1" t="n">
        <v>46045</v>
      </c>
      <c r="D7634" t="inlineStr">
        <is>
          <t>JÄMTLANDS LÄN</t>
        </is>
      </c>
      <c r="E7634" t="inlineStr">
        <is>
          <t>BERG</t>
        </is>
      </c>
      <c r="G7634" t="n">
        <v>11.7</v>
      </c>
      <c r="H7634" t="n">
        <v>0</v>
      </c>
      <c r="I7634" t="n">
        <v>0</v>
      </c>
      <c r="J7634" t="n">
        <v>0</v>
      </c>
      <c r="K7634" t="n">
        <v>0</v>
      </c>
      <c r="L7634" t="n">
        <v>0</v>
      </c>
      <c r="M7634" t="n">
        <v>0</v>
      </c>
      <c r="N7634" t="n">
        <v>0</v>
      </c>
      <c r="O7634" t="n">
        <v>0</v>
      </c>
      <c r="P7634" t="n">
        <v>0</v>
      </c>
      <c r="Q7634" t="n">
        <v>0</v>
      </c>
      <c r="R7634" s="2" t="inlineStr"/>
    </row>
    <row r="7635" ht="15" customHeight="1">
      <c r="A7635" t="inlineStr">
        <is>
          <t>A 60767-2022</t>
        </is>
      </c>
      <c r="B7635" s="1" t="n">
        <v>44914.35599537037</v>
      </c>
      <c r="C7635" s="1" t="n">
        <v>46045</v>
      </c>
      <c r="D7635" t="inlineStr">
        <is>
          <t>JÄMTLANDS LÄN</t>
        </is>
      </c>
      <c r="E7635" t="inlineStr">
        <is>
          <t>ÖSTERSUND</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56309-2025</t>
        </is>
      </c>
      <c r="B7636" s="1" t="n">
        <v>45974.61491898148</v>
      </c>
      <c r="C7636" s="1" t="n">
        <v>46045</v>
      </c>
      <c r="D7636" t="inlineStr">
        <is>
          <t>JÄMTLANDS LÄN</t>
        </is>
      </c>
      <c r="E7636" t="inlineStr">
        <is>
          <t>BRÄCKE</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2065-2024</t>
        </is>
      </c>
      <c r="B7637" s="1" t="n">
        <v>45308.97871527778</v>
      </c>
      <c r="C7637" s="1" t="n">
        <v>46045</v>
      </c>
      <c r="D7637" t="inlineStr">
        <is>
          <t>JÄMTLANDS LÄN</t>
        </is>
      </c>
      <c r="E7637" t="inlineStr">
        <is>
          <t>BRÄCKE</t>
        </is>
      </c>
      <c r="F7637" t="inlineStr">
        <is>
          <t>SCA</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56095-2025</t>
        </is>
      </c>
      <c r="B7638" s="1" t="n">
        <v>45973.67952546296</v>
      </c>
      <c r="C7638" s="1" t="n">
        <v>46045</v>
      </c>
      <c r="D7638" t="inlineStr">
        <is>
          <t>JÄMTLANDS LÄN</t>
        </is>
      </c>
      <c r="E7638" t="inlineStr">
        <is>
          <t>KROKOM</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56177-2025</t>
        </is>
      </c>
      <c r="B7639" s="1" t="n">
        <v>45974.39988425926</v>
      </c>
      <c r="C7639" s="1" t="n">
        <v>46045</v>
      </c>
      <c r="D7639" t="inlineStr">
        <is>
          <t>JÄMTLANDS LÄN</t>
        </is>
      </c>
      <c r="E7639" t="inlineStr">
        <is>
          <t>KROKOM</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29310-2025</t>
        </is>
      </c>
      <c r="B7640" s="1" t="n">
        <v>45824.46353009259</v>
      </c>
      <c r="C7640" s="1" t="n">
        <v>46045</v>
      </c>
      <c r="D7640" t="inlineStr">
        <is>
          <t>JÄMTLANDS LÄN</t>
        </is>
      </c>
      <c r="E7640" t="inlineStr">
        <is>
          <t>BERG</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56204-2025</t>
        </is>
      </c>
      <c r="B7641" s="1" t="n">
        <v>45974.46935185185</v>
      </c>
      <c r="C7641" s="1" t="n">
        <v>46045</v>
      </c>
      <c r="D7641" t="inlineStr">
        <is>
          <t>JÄMTLANDS LÄN</t>
        </is>
      </c>
      <c r="E7641" t="inlineStr">
        <is>
          <t>ÅRE</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55877-2025</t>
        </is>
      </c>
      <c r="B7642" s="1" t="n">
        <v>45973.36349537037</v>
      </c>
      <c r="C7642" s="1" t="n">
        <v>46045</v>
      </c>
      <c r="D7642" t="inlineStr">
        <is>
          <t>JÄMTLANDS LÄN</t>
        </is>
      </c>
      <c r="E7642" t="inlineStr">
        <is>
          <t>HÄRJEDALEN</t>
        </is>
      </c>
      <c r="F7642" t="inlineStr">
        <is>
          <t>Holmen skog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55640-2025</t>
        </is>
      </c>
      <c r="B7643" s="1" t="n">
        <v>45972.34667824074</v>
      </c>
      <c r="C7643" s="1" t="n">
        <v>46045</v>
      </c>
      <c r="D7643" t="inlineStr">
        <is>
          <t>JÄMTLANDS LÄN</t>
        </is>
      </c>
      <c r="E7643" t="inlineStr">
        <is>
          <t>HÄRJEDALEN</t>
        </is>
      </c>
      <c r="G7643" t="n">
        <v>12.9</v>
      </c>
      <c r="H7643" t="n">
        <v>0</v>
      </c>
      <c r="I7643" t="n">
        <v>0</v>
      </c>
      <c r="J7643" t="n">
        <v>0</v>
      </c>
      <c r="K7643" t="n">
        <v>0</v>
      </c>
      <c r="L7643" t="n">
        <v>0</v>
      </c>
      <c r="M7643" t="n">
        <v>0</v>
      </c>
      <c r="N7643" t="n">
        <v>0</v>
      </c>
      <c r="O7643" t="n">
        <v>0</v>
      </c>
      <c r="P7643" t="n">
        <v>0</v>
      </c>
      <c r="Q7643" t="n">
        <v>0</v>
      </c>
      <c r="R7643" s="2" t="inlineStr"/>
    </row>
    <row r="7644" ht="15" customHeight="1">
      <c r="A7644" t="inlineStr">
        <is>
          <t>A 55757-2025</t>
        </is>
      </c>
      <c r="B7644" s="1" t="n">
        <v>45972.59646990741</v>
      </c>
      <c r="C7644" s="1" t="n">
        <v>46045</v>
      </c>
      <c r="D7644" t="inlineStr">
        <is>
          <t>JÄMTLANDS LÄN</t>
        </is>
      </c>
      <c r="E7644" t="inlineStr">
        <is>
          <t>STRÖMSUND</t>
        </is>
      </c>
      <c r="F7644" t="inlineStr">
        <is>
          <t>Kyrkan</t>
        </is>
      </c>
      <c r="G7644" t="n">
        <v>12.6</v>
      </c>
      <c r="H7644" t="n">
        <v>0</v>
      </c>
      <c r="I7644" t="n">
        <v>0</v>
      </c>
      <c r="J7644" t="n">
        <v>0</v>
      </c>
      <c r="K7644" t="n">
        <v>0</v>
      </c>
      <c r="L7644" t="n">
        <v>0</v>
      </c>
      <c r="M7644" t="n">
        <v>0</v>
      </c>
      <c r="N7644" t="n">
        <v>0</v>
      </c>
      <c r="O7644" t="n">
        <v>0</v>
      </c>
      <c r="P7644" t="n">
        <v>0</v>
      </c>
      <c r="Q7644" t="n">
        <v>0</v>
      </c>
      <c r="R7644" s="2" t="inlineStr"/>
    </row>
    <row r="7645" ht="15" customHeight="1">
      <c r="A7645" t="inlineStr">
        <is>
          <t>A 29198-2025</t>
        </is>
      </c>
      <c r="B7645" s="1" t="n">
        <v>45823.34451388889</v>
      </c>
      <c r="C7645" s="1" t="n">
        <v>46045</v>
      </c>
      <c r="D7645" t="inlineStr">
        <is>
          <t>JÄMTLANDS LÄN</t>
        </is>
      </c>
      <c r="E7645" t="inlineStr">
        <is>
          <t>BERG</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7744-2024</t>
        </is>
      </c>
      <c r="B7646" s="1" t="n">
        <v>45349</v>
      </c>
      <c r="C7646" s="1" t="n">
        <v>46045</v>
      </c>
      <c r="D7646" t="inlineStr">
        <is>
          <t>JÄMTLANDS LÄN</t>
        </is>
      </c>
      <c r="E7646" t="inlineStr">
        <is>
          <t>BERG</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29038-2025</t>
        </is>
      </c>
      <c r="B7647" s="1" t="n">
        <v>45821.44832175926</v>
      </c>
      <c r="C7647" s="1" t="n">
        <v>46045</v>
      </c>
      <c r="D7647" t="inlineStr">
        <is>
          <t>JÄMTLANDS LÄN</t>
        </is>
      </c>
      <c r="E7647" t="inlineStr">
        <is>
          <t>BRÄCKE</t>
        </is>
      </c>
      <c r="F7647" t="inlineStr">
        <is>
          <t>SCA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55827-2025</t>
        </is>
      </c>
      <c r="B7648" s="1" t="n">
        <v>45972.77940972222</v>
      </c>
      <c r="C7648" s="1" t="n">
        <v>46045</v>
      </c>
      <c r="D7648" t="inlineStr">
        <is>
          <t>JÄMTLANDS LÄN</t>
        </is>
      </c>
      <c r="E7648" t="inlineStr">
        <is>
          <t>STRÖMSUND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55965-2025</t>
        </is>
      </c>
      <c r="B7649" s="1" t="n">
        <v>45973.48260416667</v>
      </c>
      <c r="C7649" s="1" t="n">
        <v>46045</v>
      </c>
      <c r="D7649" t="inlineStr">
        <is>
          <t>JÄMTLANDS LÄN</t>
        </is>
      </c>
      <c r="E7649" t="inlineStr">
        <is>
          <t>HÄRJEDALEN</t>
        </is>
      </c>
      <c r="F7649" t="inlineStr">
        <is>
          <t>Holmen skog AB</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56165-2025</t>
        </is>
      </c>
      <c r="B7650" s="1" t="n">
        <v>45974.38310185185</v>
      </c>
      <c r="C7650" s="1" t="n">
        <v>46045</v>
      </c>
      <c r="D7650" t="inlineStr">
        <is>
          <t>JÄMTLANDS LÄN</t>
        </is>
      </c>
      <c r="E7650" t="inlineStr">
        <is>
          <t>ÖSTERSUND</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55905-2025</t>
        </is>
      </c>
      <c r="B7651" s="1" t="n">
        <v>45973.39108796296</v>
      </c>
      <c r="C7651" s="1" t="n">
        <v>46045</v>
      </c>
      <c r="D7651" t="inlineStr">
        <is>
          <t>JÄMTLANDS LÄN</t>
        </is>
      </c>
      <c r="E7651" t="inlineStr">
        <is>
          <t>BRÄCKE</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28974-2025</t>
        </is>
      </c>
      <c r="B7652" s="1" t="n">
        <v>45821.34523148148</v>
      </c>
      <c r="C7652" s="1" t="n">
        <v>46045</v>
      </c>
      <c r="D7652" t="inlineStr">
        <is>
          <t>JÄMTLANDS LÄN</t>
        </is>
      </c>
      <c r="E7652" t="inlineStr">
        <is>
          <t>STRÖMSUND</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16548-2025</t>
        </is>
      </c>
      <c r="B7653" s="1" t="n">
        <v>45751.6877662037</v>
      </c>
      <c r="C7653" s="1" t="n">
        <v>46045</v>
      </c>
      <c r="D7653" t="inlineStr">
        <is>
          <t>JÄMTLANDS LÄN</t>
        </is>
      </c>
      <c r="E7653" t="inlineStr">
        <is>
          <t>KROKOM</t>
        </is>
      </c>
      <c r="F7653" t="inlineStr">
        <is>
          <t>Övriga Aktiebolag</t>
        </is>
      </c>
      <c r="G7653" t="n">
        <v>10.9</v>
      </c>
      <c r="H7653" t="n">
        <v>0</v>
      </c>
      <c r="I7653" t="n">
        <v>0</v>
      </c>
      <c r="J7653" t="n">
        <v>0</v>
      </c>
      <c r="K7653" t="n">
        <v>0</v>
      </c>
      <c r="L7653" t="n">
        <v>0</v>
      </c>
      <c r="M7653" t="n">
        <v>0</v>
      </c>
      <c r="N7653" t="n">
        <v>0</v>
      </c>
      <c r="O7653" t="n">
        <v>0</v>
      </c>
      <c r="P7653" t="n">
        <v>0</v>
      </c>
      <c r="Q7653" t="n">
        <v>0</v>
      </c>
      <c r="R7653" s="2" t="inlineStr"/>
    </row>
    <row r="7654" ht="15" customHeight="1">
      <c r="A7654" t="inlineStr">
        <is>
          <t>A 28971-2025</t>
        </is>
      </c>
      <c r="B7654" s="1" t="n">
        <v>45821.34490740741</v>
      </c>
      <c r="C7654" s="1" t="n">
        <v>46045</v>
      </c>
      <c r="D7654" t="inlineStr">
        <is>
          <t>JÄMTLANDS LÄN</t>
        </is>
      </c>
      <c r="E7654" t="inlineStr">
        <is>
          <t>STRÖMSUND</t>
        </is>
      </c>
      <c r="F7654" t="inlineStr">
        <is>
          <t>SCA</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28972-2025</t>
        </is>
      </c>
      <c r="B7655" s="1" t="n">
        <v>45821.34505787037</v>
      </c>
      <c r="C7655" s="1" t="n">
        <v>46045</v>
      </c>
      <c r="D7655" t="inlineStr">
        <is>
          <t>JÄMTLANDS LÄN</t>
        </is>
      </c>
      <c r="E7655" t="inlineStr">
        <is>
          <t>BRÄCKE</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29187-2025</t>
        </is>
      </c>
      <c r="B7656" s="1" t="n">
        <v>45821.77903935185</v>
      </c>
      <c r="C7656" s="1" t="n">
        <v>46045</v>
      </c>
      <c r="D7656" t="inlineStr">
        <is>
          <t>JÄMTLANDS LÄN</t>
        </is>
      </c>
      <c r="E7656" t="inlineStr">
        <is>
          <t>HÄRJEDALEN</t>
        </is>
      </c>
      <c r="G7656" t="n">
        <v>7.5</v>
      </c>
      <c r="H7656" t="n">
        <v>0</v>
      </c>
      <c r="I7656" t="n">
        <v>0</v>
      </c>
      <c r="J7656" t="n">
        <v>0</v>
      </c>
      <c r="K7656" t="n">
        <v>0</v>
      </c>
      <c r="L7656" t="n">
        <v>0</v>
      </c>
      <c r="M7656" t="n">
        <v>0</v>
      </c>
      <c r="N7656" t="n">
        <v>0</v>
      </c>
      <c r="O7656" t="n">
        <v>0</v>
      </c>
      <c r="P7656" t="n">
        <v>0</v>
      </c>
      <c r="Q7656" t="n">
        <v>0</v>
      </c>
      <c r="R7656" s="2" t="inlineStr"/>
    </row>
    <row r="7657" ht="15" customHeight="1">
      <c r="A7657" t="inlineStr">
        <is>
          <t>A 28377-2023</t>
        </is>
      </c>
      <c r="B7657" s="1" t="n">
        <v>45099.95422453704</v>
      </c>
      <c r="C7657" s="1" t="n">
        <v>46045</v>
      </c>
      <c r="D7657" t="inlineStr">
        <is>
          <t>JÄMTLANDS LÄN</t>
        </is>
      </c>
      <c r="E7657" t="inlineStr">
        <is>
          <t>STRÖMSUND</t>
        </is>
      </c>
      <c r="F7657" t="inlineStr">
        <is>
          <t>SCA</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29199-2025</t>
        </is>
      </c>
      <c r="B7658" s="1" t="n">
        <v>45823.34459490741</v>
      </c>
      <c r="C7658" s="1" t="n">
        <v>46045</v>
      </c>
      <c r="D7658" t="inlineStr">
        <is>
          <t>JÄMTLANDS LÄN</t>
        </is>
      </c>
      <c r="E7658" t="inlineStr">
        <is>
          <t>BERG</t>
        </is>
      </c>
      <c r="F7658" t="inlineStr">
        <is>
          <t>SCA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41902-2024</t>
        </is>
      </c>
      <c r="B7659" s="1" t="n">
        <v>45561.53158564815</v>
      </c>
      <c r="C7659" s="1" t="n">
        <v>46045</v>
      </c>
      <c r="D7659" t="inlineStr">
        <is>
          <t>JÄMTLANDS LÄN</t>
        </is>
      </c>
      <c r="E7659" t="inlineStr">
        <is>
          <t>STRÖMSUND</t>
        </is>
      </c>
      <c r="F7659" t="inlineStr">
        <is>
          <t>SCA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41905-2024</t>
        </is>
      </c>
      <c r="B7660" s="1" t="n">
        <v>45561.53282407407</v>
      </c>
      <c r="C7660" s="1" t="n">
        <v>46045</v>
      </c>
      <c r="D7660" t="inlineStr">
        <is>
          <t>JÄMTLANDS LÄN</t>
        </is>
      </c>
      <c r="E7660" t="inlineStr">
        <is>
          <t>STRÖMSUND</t>
        </is>
      </c>
      <c r="F7660" t="inlineStr">
        <is>
          <t>SCA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16278-2025</t>
        </is>
      </c>
      <c r="B7661" s="1" t="n">
        <v>45751.28243055556</v>
      </c>
      <c r="C7661" s="1" t="n">
        <v>46045</v>
      </c>
      <c r="D7661" t="inlineStr">
        <is>
          <t>JÄMTLANDS LÄN</t>
        </is>
      </c>
      <c r="E7661" t="inlineStr">
        <is>
          <t>KROKOM</t>
        </is>
      </c>
      <c r="F7661" t="inlineStr">
        <is>
          <t>Övriga Aktiebolag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56145-2025</t>
        </is>
      </c>
      <c r="B7662" s="1" t="n">
        <v>45974.34473379629</v>
      </c>
      <c r="C7662" s="1" t="n">
        <v>46045</v>
      </c>
      <c r="D7662" t="inlineStr">
        <is>
          <t>JÄMTLANDS LÄN</t>
        </is>
      </c>
      <c r="E7662" t="inlineStr">
        <is>
          <t>STRÖMSUND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19854-2025</t>
        </is>
      </c>
      <c r="B7663" s="1" t="n">
        <v>45771.51074074074</v>
      </c>
      <c r="C7663" s="1" t="n">
        <v>46045</v>
      </c>
      <c r="D7663" t="inlineStr">
        <is>
          <t>JÄMTLANDS LÄN</t>
        </is>
      </c>
      <c r="E7663" t="inlineStr">
        <is>
          <t>RAGUNDA</t>
        </is>
      </c>
      <c r="F7663" t="inlineStr">
        <is>
          <t>SCA</t>
        </is>
      </c>
      <c r="G7663" t="n">
        <v>8.4</v>
      </c>
      <c r="H7663" t="n">
        <v>0</v>
      </c>
      <c r="I7663" t="n">
        <v>0</v>
      </c>
      <c r="J7663" t="n">
        <v>0</v>
      </c>
      <c r="K7663" t="n">
        <v>0</v>
      </c>
      <c r="L7663" t="n">
        <v>0</v>
      </c>
      <c r="M7663" t="n">
        <v>0</v>
      </c>
      <c r="N7663" t="n">
        <v>0</v>
      </c>
      <c r="O7663" t="n">
        <v>0</v>
      </c>
      <c r="P7663" t="n">
        <v>0</v>
      </c>
      <c r="Q7663" t="n">
        <v>0</v>
      </c>
      <c r="R7663" s="2" t="inlineStr"/>
    </row>
    <row r="7664" ht="15" customHeight="1">
      <c r="A7664" t="inlineStr">
        <is>
          <t>A 6688-2024</t>
        </is>
      </c>
      <c r="B7664" s="1" t="n">
        <v>45341</v>
      </c>
      <c r="C7664" s="1" t="n">
        <v>46045</v>
      </c>
      <c r="D7664" t="inlineStr">
        <is>
          <t>JÄMTLANDS LÄN</t>
        </is>
      </c>
      <c r="E7664" t="inlineStr">
        <is>
          <t>RAGUNDA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30642-2024</t>
        </is>
      </c>
      <c r="B7665" s="1" t="n">
        <v>45495.57677083334</v>
      </c>
      <c r="C7665" s="1" t="n">
        <v>46045</v>
      </c>
      <c r="D7665" t="inlineStr">
        <is>
          <t>JÄMTLANDS LÄN</t>
        </is>
      </c>
      <c r="E7665" t="inlineStr">
        <is>
          <t>RAGUNDA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43453-2022</t>
        </is>
      </c>
      <c r="B7666" s="1" t="n">
        <v>44835</v>
      </c>
      <c r="C7666" s="1" t="n">
        <v>46045</v>
      </c>
      <c r="D7666" t="inlineStr">
        <is>
          <t>JÄMTLANDS LÄN</t>
        </is>
      </c>
      <c r="E7666" t="inlineStr">
        <is>
          <t>STRÖMSUND</t>
        </is>
      </c>
      <c r="F7666" t="inlineStr">
        <is>
          <t>SCA</t>
        </is>
      </c>
      <c r="G7666" t="n">
        <v>10.9</v>
      </c>
      <c r="H7666" t="n">
        <v>0</v>
      </c>
      <c r="I7666" t="n">
        <v>0</v>
      </c>
      <c r="J7666" t="n">
        <v>0</v>
      </c>
      <c r="K7666" t="n">
        <v>0</v>
      </c>
      <c r="L7666" t="n">
        <v>0</v>
      </c>
      <c r="M7666" t="n">
        <v>0</v>
      </c>
      <c r="N7666" t="n">
        <v>0</v>
      </c>
      <c r="O7666" t="n">
        <v>0</v>
      </c>
      <c r="P7666" t="n">
        <v>0</v>
      </c>
      <c r="Q7666" t="n">
        <v>0</v>
      </c>
      <c r="R7666" s="2" t="inlineStr"/>
    </row>
    <row r="7667" ht="15" customHeight="1">
      <c r="A7667" t="inlineStr">
        <is>
          <t>A 29102-2025</t>
        </is>
      </c>
      <c r="B7667" s="1" t="n">
        <v>45821.57201388889</v>
      </c>
      <c r="C7667" s="1" t="n">
        <v>46045</v>
      </c>
      <c r="D7667" t="inlineStr">
        <is>
          <t>JÄMTLANDS LÄN</t>
        </is>
      </c>
      <c r="E7667" t="inlineStr">
        <is>
          <t>HÄRJEDALEN</t>
        </is>
      </c>
      <c r="F7667" t="inlineStr">
        <is>
          <t>Sveaskog</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6304-2024</t>
        </is>
      </c>
      <c r="B7668" s="1" t="n">
        <v>45338</v>
      </c>
      <c r="C7668" s="1" t="n">
        <v>46045</v>
      </c>
      <c r="D7668" t="inlineStr">
        <is>
          <t>JÄMTLANDS LÄN</t>
        </is>
      </c>
      <c r="E7668" t="inlineStr">
        <is>
          <t>HÄRJEDALEN</t>
        </is>
      </c>
      <c r="F7668" t="inlineStr">
        <is>
          <t>Bergvik skog väst AB</t>
        </is>
      </c>
      <c r="G7668" t="n">
        <v>23.5</v>
      </c>
      <c r="H7668" t="n">
        <v>0</v>
      </c>
      <c r="I7668" t="n">
        <v>0</v>
      </c>
      <c r="J7668" t="n">
        <v>0</v>
      </c>
      <c r="K7668" t="n">
        <v>0</v>
      </c>
      <c r="L7668" t="n">
        <v>0</v>
      </c>
      <c r="M7668" t="n">
        <v>0</v>
      </c>
      <c r="N7668" t="n">
        <v>0</v>
      </c>
      <c r="O7668" t="n">
        <v>0</v>
      </c>
      <c r="P7668" t="n">
        <v>0</v>
      </c>
      <c r="Q7668" t="n">
        <v>0</v>
      </c>
      <c r="R7668" s="2" t="inlineStr"/>
    </row>
    <row r="7669" ht="15" customHeight="1">
      <c r="A7669" t="inlineStr">
        <is>
          <t>A 55890-2025</t>
        </is>
      </c>
      <c r="B7669" s="1" t="n">
        <v>45973.3788425926</v>
      </c>
      <c r="C7669" s="1" t="n">
        <v>46045</v>
      </c>
      <c r="D7669" t="inlineStr">
        <is>
          <t>JÄMTLANDS LÄN</t>
        </is>
      </c>
      <c r="E7669" t="inlineStr">
        <is>
          <t>HÄRJEDALEN</t>
        </is>
      </c>
      <c r="F7669" t="inlineStr">
        <is>
          <t>Holmen skog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30729-2024</t>
        </is>
      </c>
      <c r="B7670" s="1" t="n">
        <v>45496.59202546296</v>
      </c>
      <c r="C7670" s="1" t="n">
        <v>46045</v>
      </c>
      <c r="D7670" t="inlineStr">
        <is>
          <t>JÄMTLANDS LÄN</t>
        </is>
      </c>
      <c r="E7670" t="inlineStr">
        <is>
          <t>HÄRJEDALEN</t>
        </is>
      </c>
      <c r="F7670" t="inlineStr">
        <is>
          <t>Bergvik skog väst AB</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61530-2023</t>
        </is>
      </c>
      <c r="B7671" s="1" t="n">
        <v>45261</v>
      </c>
      <c r="C7671" s="1" t="n">
        <v>46045</v>
      </c>
      <c r="D7671" t="inlineStr">
        <is>
          <t>JÄMTLANDS LÄN</t>
        </is>
      </c>
      <c r="E7671" t="inlineStr">
        <is>
          <t>ÖSTERSUND</t>
        </is>
      </c>
      <c r="F7671" t="inlineStr">
        <is>
          <t>Övriga statliga verk och myndigheter</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29431-2025</t>
        </is>
      </c>
      <c r="B7672" s="1" t="n">
        <v>45824.65053240741</v>
      </c>
      <c r="C7672" s="1" t="n">
        <v>46045</v>
      </c>
      <c r="D7672" t="inlineStr">
        <is>
          <t>JÄMTLANDS LÄN</t>
        </is>
      </c>
      <c r="E7672" t="inlineStr">
        <is>
          <t>BRÄCKE</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56563-2025</t>
        </is>
      </c>
      <c r="B7673" s="1" t="n">
        <v>45975.49930555555</v>
      </c>
      <c r="C7673" s="1" t="n">
        <v>46045</v>
      </c>
      <c r="D7673" t="inlineStr">
        <is>
          <t>JÄMTLANDS LÄN</t>
        </is>
      </c>
      <c r="E7673" t="inlineStr">
        <is>
          <t>ÅRE</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56595-2025</t>
        </is>
      </c>
      <c r="B7674" s="1" t="n">
        <v>45975.56932870371</v>
      </c>
      <c r="C7674" s="1" t="n">
        <v>46045</v>
      </c>
      <c r="D7674" t="inlineStr">
        <is>
          <t>JÄMTLANDS LÄN</t>
        </is>
      </c>
      <c r="E7674" t="inlineStr">
        <is>
          <t>HÄRJEDALEN</t>
        </is>
      </c>
      <c r="F7674" t="inlineStr">
        <is>
          <t>Bergvik skog väst AB</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56509-2025</t>
        </is>
      </c>
      <c r="B7675" s="1" t="n">
        <v>45975.44837962963</v>
      </c>
      <c r="C7675" s="1" t="n">
        <v>46045</v>
      </c>
      <c r="D7675" t="inlineStr">
        <is>
          <t>JÄMTLANDS LÄN</t>
        </is>
      </c>
      <c r="E7675" t="inlineStr">
        <is>
          <t>STRÖMSUND</t>
        </is>
      </c>
      <c r="F7675" t="inlineStr">
        <is>
          <t>SCA</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56540-2025</t>
        </is>
      </c>
      <c r="B7676" s="1" t="n">
        <v>45975</v>
      </c>
      <c r="C7676" s="1" t="n">
        <v>46045</v>
      </c>
      <c r="D7676" t="inlineStr">
        <is>
          <t>JÄMTLANDS LÄN</t>
        </is>
      </c>
      <c r="E7676" t="inlineStr">
        <is>
          <t>STRÖMSUND</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26665-2021</t>
        </is>
      </c>
      <c r="B7677" s="1" t="n">
        <v>44348</v>
      </c>
      <c r="C7677" s="1" t="n">
        <v>46045</v>
      </c>
      <c r="D7677" t="inlineStr">
        <is>
          <t>JÄMTLANDS LÄN</t>
        </is>
      </c>
      <c r="E7677" t="inlineStr">
        <is>
          <t>BRÄCKE</t>
        </is>
      </c>
      <c r="F7677" t="inlineStr">
        <is>
          <t>SCA</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24781-2024</t>
        </is>
      </c>
      <c r="B7678" s="1" t="n">
        <v>45460.7772800926</v>
      </c>
      <c r="C7678" s="1" t="n">
        <v>46045</v>
      </c>
      <c r="D7678" t="inlineStr">
        <is>
          <t>JÄMTLANDS LÄN</t>
        </is>
      </c>
      <c r="E7678" t="inlineStr">
        <is>
          <t>ÖSTERSUND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63769-2025</t>
        </is>
      </c>
      <c r="B7679" s="1" t="n">
        <v>46018.93935185186</v>
      </c>
      <c r="C7679" s="1" t="n">
        <v>46045</v>
      </c>
      <c r="D7679" t="inlineStr">
        <is>
          <t>JÄMTLANDS LÄN</t>
        </is>
      </c>
      <c r="E7679" t="inlineStr">
        <is>
          <t>KROKOM</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17291-2025</t>
        </is>
      </c>
      <c r="B7680" s="1" t="n">
        <v>45756</v>
      </c>
      <c r="C7680" s="1" t="n">
        <v>46045</v>
      </c>
      <c r="D7680" t="inlineStr">
        <is>
          <t>JÄMTLANDS LÄN</t>
        </is>
      </c>
      <c r="E7680" t="inlineStr">
        <is>
          <t>HÄRJEDALEN</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29091-2025</t>
        </is>
      </c>
      <c r="B7681" s="1" t="n">
        <v>45821.55241898148</v>
      </c>
      <c r="C7681" s="1" t="n">
        <v>46045</v>
      </c>
      <c r="D7681" t="inlineStr">
        <is>
          <t>JÄMTLANDS LÄN</t>
        </is>
      </c>
      <c r="E7681" t="inlineStr">
        <is>
          <t>BRÄCKE</t>
        </is>
      </c>
      <c r="F7681" t="inlineStr">
        <is>
          <t>SCA</t>
        </is>
      </c>
      <c r="G7681" t="n">
        <v>13.8</v>
      </c>
      <c r="H7681" t="n">
        <v>0</v>
      </c>
      <c r="I7681" t="n">
        <v>0</v>
      </c>
      <c r="J7681" t="n">
        <v>0</v>
      </c>
      <c r="K7681" t="n">
        <v>0</v>
      </c>
      <c r="L7681" t="n">
        <v>0</v>
      </c>
      <c r="M7681" t="n">
        <v>0</v>
      </c>
      <c r="N7681" t="n">
        <v>0</v>
      </c>
      <c r="O7681" t="n">
        <v>0</v>
      </c>
      <c r="P7681" t="n">
        <v>0</v>
      </c>
      <c r="Q7681" t="n">
        <v>0</v>
      </c>
      <c r="R7681" s="2" t="inlineStr"/>
    </row>
    <row r="7682" ht="15" customHeight="1">
      <c r="A7682" t="inlineStr">
        <is>
          <t>A 28973-2025</t>
        </is>
      </c>
      <c r="B7682" s="1" t="n">
        <v>45821.34513888889</v>
      </c>
      <c r="C7682" s="1" t="n">
        <v>46045</v>
      </c>
      <c r="D7682" t="inlineStr">
        <is>
          <t>JÄMTLANDS LÄN</t>
        </is>
      </c>
      <c r="E7682" t="inlineStr">
        <is>
          <t>RAGUNDA</t>
        </is>
      </c>
      <c r="F7682" t="inlineStr">
        <is>
          <t>SCA</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21521-2024</t>
        </is>
      </c>
      <c r="B7683" s="1" t="n">
        <v>45441.58313657407</v>
      </c>
      <c r="C7683" s="1" t="n">
        <v>46045</v>
      </c>
      <c r="D7683" t="inlineStr">
        <is>
          <t>JÄMTLANDS LÄN</t>
        </is>
      </c>
      <c r="E7683" t="inlineStr">
        <is>
          <t>BERG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21546-2024</t>
        </is>
      </c>
      <c r="B7684" s="1" t="n">
        <v>45441.62353009259</v>
      </c>
      <c r="C7684" s="1" t="n">
        <v>46045</v>
      </c>
      <c r="D7684" t="inlineStr">
        <is>
          <t>JÄMTLANDS LÄN</t>
        </is>
      </c>
      <c r="E7684" t="inlineStr">
        <is>
          <t>STRÖMSUND</t>
        </is>
      </c>
      <c r="F7684" t="inlineStr">
        <is>
          <t>Holmen skog AB</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29854-2025</t>
        </is>
      </c>
      <c r="B7685" s="1" t="n">
        <v>45826.34461805555</v>
      </c>
      <c r="C7685" s="1" t="n">
        <v>46045</v>
      </c>
      <c r="D7685" t="inlineStr">
        <is>
          <t>JÄMTLANDS LÄN</t>
        </is>
      </c>
      <c r="E7685" t="inlineStr">
        <is>
          <t>STRÖMSUND</t>
        </is>
      </c>
      <c r="F7685" t="inlineStr">
        <is>
          <t>SCA</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29909-2025</t>
        </is>
      </c>
      <c r="B7686" s="1" t="n">
        <v>45826.40671296296</v>
      </c>
      <c r="C7686" s="1" t="n">
        <v>46045</v>
      </c>
      <c r="D7686" t="inlineStr">
        <is>
          <t>JÄMTLANDS LÄN</t>
        </is>
      </c>
      <c r="E7686" t="inlineStr">
        <is>
          <t>BRÄCKE</t>
        </is>
      </c>
      <c r="F7686" t="inlineStr">
        <is>
          <t>SCA</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30094-2025</t>
        </is>
      </c>
      <c r="B7687" s="1" t="n">
        <v>45826.6634837963</v>
      </c>
      <c r="C7687" s="1" t="n">
        <v>46045</v>
      </c>
      <c r="D7687" t="inlineStr">
        <is>
          <t>JÄMTLANDS LÄN</t>
        </is>
      </c>
      <c r="E7687" t="inlineStr">
        <is>
          <t>STRÖMSUND</t>
        </is>
      </c>
      <c r="F7687" t="inlineStr">
        <is>
          <t>Sveaskog</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56510-2025</t>
        </is>
      </c>
      <c r="B7688" s="1" t="n">
        <v>45975.44856481482</v>
      </c>
      <c r="C7688" s="1" t="n">
        <v>46045</v>
      </c>
      <c r="D7688" t="inlineStr">
        <is>
          <t>JÄMTLANDS LÄN</t>
        </is>
      </c>
      <c r="E7688" t="inlineStr">
        <is>
          <t>STRÖMSUND</t>
        </is>
      </c>
      <c r="F7688" t="inlineStr">
        <is>
          <t>SCA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56806-2025</t>
        </is>
      </c>
      <c r="B7689" s="1" t="n">
        <v>45978.44842592593</v>
      </c>
      <c r="C7689" s="1" t="n">
        <v>46045</v>
      </c>
      <c r="D7689" t="inlineStr">
        <is>
          <t>JÄMTLANDS LÄN</t>
        </is>
      </c>
      <c r="E7689" t="inlineStr">
        <is>
          <t>RAGUNDA</t>
        </is>
      </c>
      <c r="F7689" t="inlineStr">
        <is>
          <t>SCA</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40090-2024</t>
        </is>
      </c>
      <c r="B7690" s="1" t="n">
        <v>45554</v>
      </c>
      <c r="C7690" s="1" t="n">
        <v>46045</v>
      </c>
      <c r="D7690" t="inlineStr">
        <is>
          <t>JÄMTLANDS LÄN</t>
        </is>
      </c>
      <c r="E7690" t="inlineStr">
        <is>
          <t>STRÖMSUND</t>
        </is>
      </c>
      <c r="F7690" t="inlineStr">
        <is>
          <t>Kyrkan</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23446-2025</t>
        </is>
      </c>
      <c r="B7691" s="1" t="n">
        <v>45791</v>
      </c>
      <c r="C7691" s="1" t="n">
        <v>46045</v>
      </c>
      <c r="D7691" t="inlineStr">
        <is>
          <t>JÄMTLANDS LÄN</t>
        </is>
      </c>
      <c r="E7691" t="inlineStr">
        <is>
          <t>HÄRJEDALEN</t>
        </is>
      </c>
      <c r="G7691" t="n">
        <v>20.5</v>
      </c>
      <c r="H7691" t="n">
        <v>0</v>
      </c>
      <c r="I7691" t="n">
        <v>0</v>
      </c>
      <c r="J7691" t="n">
        <v>0</v>
      </c>
      <c r="K7691" t="n">
        <v>0</v>
      </c>
      <c r="L7691" t="n">
        <v>0</v>
      </c>
      <c r="M7691" t="n">
        <v>0</v>
      </c>
      <c r="N7691" t="n">
        <v>0</v>
      </c>
      <c r="O7691" t="n">
        <v>0</v>
      </c>
      <c r="P7691" t="n">
        <v>0</v>
      </c>
      <c r="Q7691" t="n">
        <v>0</v>
      </c>
      <c r="R7691" s="2" t="inlineStr"/>
    </row>
    <row r="7692" ht="15" customHeight="1">
      <c r="A7692" t="inlineStr">
        <is>
          <t>A 29836-2025</t>
        </is>
      </c>
      <c r="B7692" s="1" t="n">
        <v>45825.9468287037</v>
      </c>
      <c r="C7692" s="1" t="n">
        <v>46045</v>
      </c>
      <c r="D7692" t="inlineStr">
        <is>
          <t>JÄMTLANDS LÄN</t>
        </is>
      </c>
      <c r="E7692" t="inlineStr">
        <is>
          <t>BERG</t>
        </is>
      </c>
      <c r="G7692" t="n">
        <v>12.7</v>
      </c>
      <c r="H7692" t="n">
        <v>0</v>
      </c>
      <c r="I7692" t="n">
        <v>0</v>
      </c>
      <c r="J7692" t="n">
        <v>0</v>
      </c>
      <c r="K7692" t="n">
        <v>0</v>
      </c>
      <c r="L7692" t="n">
        <v>0</v>
      </c>
      <c r="M7692" t="n">
        <v>0</v>
      </c>
      <c r="N7692" t="n">
        <v>0</v>
      </c>
      <c r="O7692" t="n">
        <v>0</v>
      </c>
      <c r="P7692" t="n">
        <v>0</v>
      </c>
      <c r="Q7692" t="n">
        <v>0</v>
      </c>
      <c r="R7692" s="2" t="inlineStr"/>
    </row>
    <row r="7693" ht="15" customHeight="1">
      <c r="A7693" t="inlineStr">
        <is>
          <t>A 29723-2025</t>
        </is>
      </c>
      <c r="B7693" s="1" t="n">
        <v>45825.57675925926</v>
      </c>
      <c r="C7693" s="1" t="n">
        <v>46045</v>
      </c>
      <c r="D7693" t="inlineStr">
        <is>
          <t>JÄMTLANDS LÄN</t>
        </is>
      </c>
      <c r="E7693" t="inlineStr">
        <is>
          <t>RAGUNDA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29731-2025</t>
        </is>
      </c>
      <c r="B7694" s="1" t="n">
        <v>45825.58252314815</v>
      </c>
      <c r="C7694" s="1" t="n">
        <v>46045</v>
      </c>
      <c r="D7694" t="inlineStr">
        <is>
          <t>JÄMTLANDS LÄN</t>
        </is>
      </c>
      <c r="E7694" t="inlineStr">
        <is>
          <t>RAGUNDA</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29754-2025</t>
        </is>
      </c>
      <c r="B7695" s="1" t="n">
        <v>45825.61229166666</v>
      </c>
      <c r="C7695" s="1" t="n">
        <v>46045</v>
      </c>
      <c r="D7695" t="inlineStr">
        <is>
          <t>JÄMTLANDS LÄN</t>
        </is>
      </c>
      <c r="E7695" t="inlineStr">
        <is>
          <t>STRÖMSUND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29763-2025</t>
        </is>
      </c>
      <c r="B7696" s="1" t="n">
        <v>45825.61837962963</v>
      </c>
      <c r="C7696" s="1" t="n">
        <v>46045</v>
      </c>
      <c r="D7696" t="inlineStr">
        <is>
          <t>JÄMTLANDS LÄN</t>
        </is>
      </c>
      <c r="E7696" t="inlineStr">
        <is>
          <t>BRÄCKE</t>
        </is>
      </c>
      <c r="F7696" t="inlineStr">
        <is>
          <t>SCA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29764-2025</t>
        </is>
      </c>
      <c r="B7697" s="1" t="n">
        <v>45825.61850694445</v>
      </c>
      <c r="C7697" s="1" t="n">
        <v>46045</v>
      </c>
      <c r="D7697" t="inlineStr">
        <is>
          <t>JÄMTLANDS LÄN</t>
        </is>
      </c>
      <c r="E7697" t="inlineStr">
        <is>
          <t>STRÖMSUND</t>
        </is>
      </c>
      <c r="F7697" t="inlineStr">
        <is>
          <t>SCA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56431-2025</t>
        </is>
      </c>
      <c r="B7698" s="1" t="n">
        <v>45975.34625</v>
      </c>
      <c r="C7698" s="1" t="n">
        <v>46045</v>
      </c>
      <c r="D7698" t="inlineStr">
        <is>
          <t>JÄMTLANDS LÄN</t>
        </is>
      </c>
      <c r="E7698" t="inlineStr">
        <is>
          <t>BRÄCKE</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56433-2025</t>
        </is>
      </c>
      <c r="B7699" s="1" t="n">
        <v>45975.34655092593</v>
      </c>
      <c r="C7699" s="1" t="n">
        <v>46045</v>
      </c>
      <c r="D7699" t="inlineStr">
        <is>
          <t>JÄMTLANDS LÄN</t>
        </is>
      </c>
      <c r="E7699" t="inlineStr">
        <is>
          <t>KROKOM</t>
        </is>
      </c>
      <c r="F7699" t="inlineStr">
        <is>
          <t>SCA</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56436-2025</t>
        </is>
      </c>
      <c r="B7700" s="1" t="n">
        <v>45975.34695601852</v>
      </c>
      <c r="C7700" s="1" t="n">
        <v>46045</v>
      </c>
      <c r="D7700" t="inlineStr">
        <is>
          <t>JÄMTLANDS LÄN</t>
        </is>
      </c>
      <c r="E7700" t="inlineStr">
        <is>
          <t>STRÖMSUND</t>
        </is>
      </c>
      <c r="F7700" t="inlineStr">
        <is>
          <t>SCA</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56448-2025</t>
        </is>
      </c>
      <c r="B7701" s="1" t="n">
        <v>45975.34862268518</v>
      </c>
      <c r="C7701" s="1" t="n">
        <v>46045</v>
      </c>
      <c r="D7701" t="inlineStr">
        <is>
          <t>JÄMTLANDS LÄN</t>
        </is>
      </c>
      <c r="E7701" t="inlineStr">
        <is>
          <t>BRÄCKE</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29953-2025</t>
        </is>
      </c>
      <c r="B7702" s="1" t="n">
        <v>45826.46978009259</v>
      </c>
      <c r="C7702" s="1" t="n">
        <v>46045</v>
      </c>
      <c r="D7702" t="inlineStr">
        <is>
          <t>JÄMTLANDS LÄN</t>
        </is>
      </c>
      <c r="E7702" t="inlineStr">
        <is>
          <t>STRÖMSUND</t>
        </is>
      </c>
      <c r="F7702" t="inlineStr">
        <is>
          <t>SCA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30062-2025</t>
        </is>
      </c>
      <c r="B7703" s="1" t="n">
        <v>45826.61506944444</v>
      </c>
      <c r="C7703" s="1" t="n">
        <v>46045</v>
      </c>
      <c r="D7703" t="inlineStr">
        <is>
          <t>JÄMTLANDS LÄN</t>
        </is>
      </c>
      <c r="E7703" t="inlineStr">
        <is>
          <t>STRÖMSUND</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56873-2025</t>
        </is>
      </c>
      <c r="B7704" s="1" t="n">
        <v>45978.53459490741</v>
      </c>
      <c r="C7704" s="1" t="n">
        <v>46045</v>
      </c>
      <c r="D7704" t="inlineStr">
        <is>
          <t>JÄMTLANDS LÄN</t>
        </is>
      </c>
      <c r="E7704" t="inlineStr">
        <is>
          <t>ÅRE</t>
        </is>
      </c>
      <c r="F7704" t="inlineStr">
        <is>
          <t>Övriga Aktiebolag</t>
        </is>
      </c>
      <c r="G7704" t="n">
        <v>6.1</v>
      </c>
      <c r="H7704" t="n">
        <v>0</v>
      </c>
      <c r="I7704" t="n">
        <v>0</v>
      </c>
      <c r="J7704" t="n">
        <v>0</v>
      </c>
      <c r="K7704" t="n">
        <v>0</v>
      </c>
      <c r="L7704" t="n">
        <v>0</v>
      </c>
      <c r="M7704" t="n">
        <v>0</v>
      </c>
      <c r="N7704" t="n">
        <v>0</v>
      </c>
      <c r="O7704" t="n">
        <v>0</v>
      </c>
      <c r="P7704" t="n">
        <v>0</v>
      </c>
      <c r="Q7704" t="n">
        <v>0</v>
      </c>
      <c r="R7704" s="2" t="inlineStr"/>
    </row>
    <row r="7705" ht="15" customHeight="1">
      <c r="A7705" t="inlineStr">
        <is>
          <t>A 63821-2025</t>
        </is>
      </c>
      <c r="B7705" s="1" t="n">
        <v>46020.3550462963</v>
      </c>
      <c r="C7705" s="1" t="n">
        <v>46045</v>
      </c>
      <c r="D7705" t="inlineStr">
        <is>
          <t>JÄMTLANDS LÄN</t>
        </is>
      </c>
      <c r="E7705" t="inlineStr">
        <is>
          <t>BRÄCKE</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12188-2024</t>
        </is>
      </c>
      <c r="B7706" s="1" t="n">
        <v>45377</v>
      </c>
      <c r="C7706" s="1" t="n">
        <v>46045</v>
      </c>
      <c r="D7706" t="inlineStr">
        <is>
          <t>JÄMTLANDS LÄN</t>
        </is>
      </c>
      <c r="E7706" t="inlineStr">
        <is>
          <t>KROKOM</t>
        </is>
      </c>
      <c r="G7706" t="n">
        <v>7.9</v>
      </c>
      <c r="H7706" t="n">
        <v>0</v>
      </c>
      <c r="I7706" t="n">
        <v>0</v>
      </c>
      <c r="J7706" t="n">
        <v>0</v>
      </c>
      <c r="K7706" t="n">
        <v>0</v>
      </c>
      <c r="L7706" t="n">
        <v>0</v>
      </c>
      <c r="M7706" t="n">
        <v>0</v>
      </c>
      <c r="N7706" t="n">
        <v>0</v>
      </c>
      <c r="O7706" t="n">
        <v>0</v>
      </c>
      <c r="P7706" t="n">
        <v>0</v>
      </c>
      <c r="Q7706" t="n">
        <v>0</v>
      </c>
      <c r="R7706" s="2" t="inlineStr"/>
    </row>
    <row r="7707" ht="15" customHeight="1">
      <c r="A7707" t="inlineStr">
        <is>
          <t>A 56706-2025</t>
        </is>
      </c>
      <c r="B7707" s="1" t="n">
        <v>45977.65686342592</v>
      </c>
      <c r="C7707" s="1" t="n">
        <v>46045</v>
      </c>
      <c r="D7707" t="inlineStr">
        <is>
          <t>JÄMTLANDS LÄN</t>
        </is>
      </c>
      <c r="E7707" t="inlineStr">
        <is>
          <t>STRÖMSUND</t>
        </is>
      </c>
      <c r="F7707" t="inlineStr">
        <is>
          <t>SCA</t>
        </is>
      </c>
      <c r="G7707" t="n">
        <v>19.8</v>
      </c>
      <c r="H7707" t="n">
        <v>0</v>
      </c>
      <c r="I7707" t="n">
        <v>0</v>
      </c>
      <c r="J7707" t="n">
        <v>0</v>
      </c>
      <c r="K7707" t="n">
        <v>0</v>
      </c>
      <c r="L7707" t="n">
        <v>0</v>
      </c>
      <c r="M7707" t="n">
        <v>0</v>
      </c>
      <c r="N7707" t="n">
        <v>0</v>
      </c>
      <c r="O7707" t="n">
        <v>0</v>
      </c>
      <c r="P7707" t="n">
        <v>0</v>
      </c>
      <c r="Q7707" t="n">
        <v>0</v>
      </c>
      <c r="R7707" s="2" t="inlineStr"/>
    </row>
    <row r="7708" ht="15" customHeight="1">
      <c r="A7708" t="inlineStr">
        <is>
          <t>A 30014-2025</t>
        </is>
      </c>
      <c r="B7708" s="1" t="n">
        <v>45826.55246527777</v>
      </c>
      <c r="C7708" s="1" t="n">
        <v>46045</v>
      </c>
      <c r="D7708" t="inlineStr">
        <is>
          <t>JÄMTLANDS LÄN</t>
        </is>
      </c>
      <c r="E7708" t="inlineStr">
        <is>
          <t>BRÄCKE</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30017-2025</t>
        </is>
      </c>
      <c r="B7709" s="1" t="n">
        <v>45826.55306712963</v>
      </c>
      <c r="C7709" s="1" t="n">
        <v>46045</v>
      </c>
      <c r="D7709" t="inlineStr">
        <is>
          <t>JÄMTLANDS LÄN</t>
        </is>
      </c>
      <c r="E7709" t="inlineStr">
        <is>
          <t>BERG</t>
        </is>
      </c>
      <c r="F7709" t="inlineStr">
        <is>
          <t>SCA</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30051-2025</t>
        </is>
      </c>
      <c r="B7710" s="1" t="n">
        <v>45826.59434027778</v>
      </c>
      <c r="C7710" s="1" t="n">
        <v>46045</v>
      </c>
      <c r="D7710" t="inlineStr">
        <is>
          <t>JÄMTLANDS LÄN</t>
        </is>
      </c>
      <c r="E7710" t="inlineStr">
        <is>
          <t>STRÖMSUND</t>
        </is>
      </c>
      <c r="G7710" t="n">
        <v>10.4</v>
      </c>
      <c r="H7710" t="n">
        <v>0</v>
      </c>
      <c r="I7710" t="n">
        <v>0</v>
      </c>
      <c r="J7710" t="n">
        <v>0</v>
      </c>
      <c r="K7710" t="n">
        <v>0</v>
      </c>
      <c r="L7710" t="n">
        <v>0</v>
      </c>
      <c r="M7710" t="n">
        <v>0</v>
      </c>
      <c r="N7710" t="n">
        <v>0</v>
      </c>
      <c r="O7710" t="n">
        <v>0</v>
      </c>
      <c r="P7710" t="n">
        <v>0</v>
      </c>
      <c r="Q7710" t="n">
        <v>0</v>
      </c>
      <c r="R7710" s="2" t="inlineStr"/>
    </row>
    <row r="7711" ht="15" customHeight="1">
      <c r="A7711" t="inlineStr">
        <is>
          <t>A 51042-2023</t>
        </is>
      </c>
      <c r="B7711" s="1" t="n">
        <v>45218.62233796297</v>
      </c>
      <c r="C7711" s="1" t="n">
        <v>46045</v>
      </c>
      <c r="D7711" t="inlineStr">
        <is>
          <t>JÄMTLANDS LÄN</t>
        </is>
      </c>
      <c r="E7711" t="inlineStr">
        <is>
          <t>BRÄCKE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17789-2023</t>
        </is>
      </c>
      <c r="B7712" s="1" t="n">
        <v>45036</v>
      </c>
      <c r="C7712" s="1" t="n">
        <v>46045</v>
      </c>
      <c r="D7712" t="inlineStr">
        <is>
          <t>JÄMTLANDS LÄN</t>
        </is>
      </c>
      <c r="E7712" t="inlineStr">
        <is>
          <t>STRÖMSUND</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17798-2023</t>
        </is>
      </c>
      <c r="B7713" s="1" t="n">
        <v>45036</v>
      </c>
      <c r="C7713" s="1" t="n">
        <v>46045</v>
      </c>
      <c r="D7713" t="inlineStr">
        <is>
          <t>JÄMTLANDS LÄN</t>
        </is>
      </c>
      <c r="E7713" t="inlineStr">
        <is>
          <t>STRÖMSUND</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44110-2022</t>
        </is>
      </c>
      <c r="B7714" s="1" t="n">
        <v>44837</v>
      </c>
      <c r="C7714" s="1" t="n">
        <v>46045</v>
      </c>
      <c r="D7714" t="inlineStr">
        <is>
          <t>JÄMTLANDS LÄN</t>
        </is>
      </c>
      <c r="E7714" t="inlineStr">
        <is>
          <t>BERG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29908-2025</t>
        </is>
      </c>
      <c r="B7715" s="1" t="n">
        <v>45826</v>
      </c>
      <c r="C7715" s="1" t="n">
        <v>46045</v>
      </c>
      <c r="D7715" t="inlineStr">
        <is>
          <t>JÄMTLANDS LÄN</t>
        </is>
      </c>
      <c r="E7715" t="inlineStr">
        <is>
          <t>BERG</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30016-2025</t>
        </is>
      </c>
      <c r="B7716" s="1" t="n">
        <v>45826.55288194444</v>
      </c>
      <c r="C7716" s="1" t="n">
        <v>46045</v>
      </c>
      <c r="D7716" t="inlineStr">
        <is>
          <t>JÄMTLANDS LÄN</t>
        </is>
      </c>
      <c r="E7716" t="inlineStr">
        <is>
          <t>BRÄCKE</t>
        </is>
      </c>
      <c r="F7716" t="inlineStr">
        <is>
          <t>SCA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41497-2024</t>
        </is>
      </c>
      <c r="B7717" s="1" t="n">
        <v>45560.45841435185</v>
      </c>
      <c r="C7717" s="1" t="n">
        <v>46045</v>
      </c>
      <c r="D7717" t="inlineStr">
        <is>
          <t>JÄMTLANDS LÄN</t>
        </is>
      </c>
      <c r="E7717" t="inlineStr">
        <is>
          <t>KROKOM</t>
        </is>
      </c>
      <c r="F7717" t="inlineStr">
        <is>
          <t>Övriga Aktiebolag</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29956-2025</t>
        </is>
      </c>
      <c r="B7718" s="1" t="n">
        <v>45826.4705787037</v>
      </c>
      <c r="C7718" s="1" t="n">
        <v>46045</v>
      </c>
      <c r="D7718" t="inlineStr">
        <is>
          <t>JÄMTLANDS LÄN</t>
        </is>
      </c>
      <c r="E7718" t="inlineStr">
        <is>
          <t>KROKOM</t>
        </is>
      </c>
      <c r="F7718" t="inlineStr">
        <is>
          <t>SCA</t>
        </is>
      </c>
      <c r="G7718" t="n">
        <v>16.1</v>
      </c>
      <c r="H7718" t="n">
        <v>0</v>
      </c>
      <c r="I7718" t="n">
        <v>0</v>
      </c>
      <c r="J7718" t="n">
        <v>0</v>
      </c>
      <c r="K7718" t="n">
        <v>0</v>
      </c>
      <c r="L7718" t="n">
        <v>0</v>
      </c>
      <c r="M7718" t="n">
        <v>0</v>
      </c>
      <c r="N7718" t="n">
        <v>0</v>
      </c>
      <c r="O7718" t="n">
        <v>0</v>
      </c>
      <c r="P7718" t="n">
        <v>0</v>
      </c>
      <c r="Q7718" t="n">
        <v>0</v>
      </c>
      <c r="R7718" s="2" t="inlineStr"/>
    </row>
    <row r="7719" ht="15" customHeight="1">
      <c r="A7719" t="inlineStr">
        <is>
          <t>A 29996-2025</t>
        </is>
      </c>
      <c r="B7719" s="1" t="n">
        <v>45826.51090277778</v>
      </c>
      <c r="C7719" s="1" t="n">
        <v>46045</v>
      </c>
      <c r="D7719" t="inlineStr">
        <is>
          <t>JÄMTLANDS LÄN</t>
        </is>
      </c>
      <c r="E7719" t="inlineStr">
        <is>
          <t>BRÄCKE</t>
        </is>
      </c>
      <c r="F7719" t="inlineStr">
        <is>
          <t>SCA</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60680-2023</t>
        </is>
      </c>
      <c r="B7720" s="1" t="n">
        <v>45260</v>
      </c>
      <c r="C7720" s="1" t="n">
        <v>46045</v>
      </c>
      <c r="D7720" t="inlineStr">
        <is>
          <t>JÄMTLANDS LÄN</t>
        </is>
      </c>
      <c r="E7720" t="inlineStr">
        <is>
          <t>KROKOM</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56807-2025</t>
        </is>
      </c>
      <c r="B7721" s="1" t="n">
        <v>45978.44863425926</v>
      </c>
      <c r="C7721" s="1" t="n">
        <v>46045</v>
      </c>
      <c r="D7721" t="inlineStr">
        <is>
          <t>JÄMTLANDS LÄN</t>
        </is>
      </c>
      <c r="E7721" t="inlineStr">
        <is>
          <t>BRÄCKE</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16635-2025</t>
        </is>
      </c>
      <c r="B7722" s="1" t="n">
        <v>45754</v>
      </c>
      <c r="C7722" s="1" t="n">
        <v>46045</v>
      </c>
      <c r="D7722" t="inlineStr">
        <is>
          <t>JÄMTLANDS LÄN</t>
        </is>
      </c>
      <c r="E7722" t="inlineStr">
        <is>
          <t>RAGUNDA</t>
        </is>
      </c>
      <c r="F7722" t="inlineStr">
        <is>
          <t>SCA</t>
        </is>
      </c>
      <c r="G7722" t="n">
        <v>55.4</v>
      </c>
      <c r="H7722" t="n">
        <v>0</v>
      </c>
      <c r="I7722" t="n">
        <v>0</v>
      </c>
      <c r="J7722" t="n">
        <v>0</v>
      </c>
      <c r="K7722" t="n">
        <v>0</v>
      </c>
      <c r="L7722" t="n">
        <v>0</v>
      </c>
      <c r="M7722" t="n">
        <v>0</v>
      </c>
      <c r="N7722" t="n">
        <v>0</v>
      </c>
      <c r="O7722" t="n">
        <v>0</v>
      </c>
      <c r="P7722" t="n">
        <v>0</v>
      </c>
      <c r="Q7722" t="n">
        <v>0</v>
      </c>
      <c r="R7722" s="2" t="inlineStr"/>
    </row>
    <row r="7723" ht="15" customHeight="1">
      <c r="A7723" t="inlineStr">
        <is>
          <t>A 56903-2025</t>
        </is>
      </c>
      <c r="B7723" s="1" t="n">
        <v>45978.57414351852</v>
      </c>
      <c r="C7723" s="1" t="n">
        <v>46045</v>
      </c>
      <c r="D7723" t="inlineStr">
        <is>
          <t>JÄMTLANDS LÄN</t>
        </is>
      </c>
      <c r="E7723" t="inlineStr">
        <is>
          <t>ÖSTERSUND</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28753-2023</t>
        </is>
      </c>
      <c r="B7724" s="1" t="n">
        <v>45103.94179398148</v>
      </c>
      <c r="C7724" s="1" t="n">
        <v>46045</v>
      </c>
      <c r="D7724" t="inlineStr">
        <is>
          <t>JÄMTLANDS LÄN</t>
        </is>
      </c>
      <c r="E7724" t="inlineStr">
        <is>
          <t>STRÖMSUND</t>
        </is>
      </c>
      <c r="F7724" t="inlineStr">
        <is>
          <t>SCA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63833-2025</t>
        </is>
      </c>
      <c r="B7725" s="1" t="n">
        <v>46020.39532407407</v>
      </c>
      <c r="C7725" s="1" t="n">
        <v>46045</v>
      </c>
      <c r="D7725" t="inlineStr">
        <is>
          <t>JÄMTLANDS LÄN</t>
        </is>
      </c>
      <c r="E7725" t="inlineStr">
        <is>
          <t>KROKOM</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54478-2023</t>
        </is>
      </c>
      <c r="B7726" s="1" t="n">
        <v>45233</v>
      </c>
      <c r="C7726" s="1" t="n">
        <v>46045</v>
      </c>
      <c r="D7726" t="inlineStr">
        <is>
          <t>JÄMTLANDS LÄN</t>
        </is>
      </c>
      <c r="E7726" t="inlineStr">
        <is>
          <t>STRÖMSUND</t>
        </is>
      </c>
      <c r="F7726" t="inlineStr">
        <is>
          <t>Holmen skog AB</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41552-2024</t>
        </is>
      </c>
      <c r="B7727" s="1" t="n">
        <v>45560.51988425926</v>
      </c>
      <c r="C7727" s="1" t="n">
        <v>46045</v>
      </c>
      <c r="D7727" t="inlineStr">
        <is>
          <t>JÄMTLANDS LÄN</t>
        </is>
      </c>
      <c r="E7727" t="inlineStr">
        <is>
          <t>BRÄCKE</t>
        </is>
      </c>
      <c r="F7727" t="inlineStr">
        <is>
          <t>Övriga Aktiebolag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71572-2021</t>
        </is>
      </c>
      <c r="B7728" s="1" t="n">
        <v>44540</v>
      </c>
      <c r="C7728" s="1" t="n">
        <v>46045</v>
      </c>
      <c r="D7728" t="inlineStr">
        <is>
          <t>JÄMTLANDS LÄN</t>
        </is>
      </c>
      <c r="E7728" t="inlineStr">
        <is>
          <t>KROKOM</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56457-2025</t>
        </is>
      </c>
      <c r="B7729" s="1" t="n">
        <v>45975.36277777778</v>
      </c>
      <c r="C7729" s="1" t="n">
        <v>46045</v>
      </c>
      <c r="D7729" t="inlineStr">
        <is>
          <t>JÄMTLANDS LÄN</t>
        </is>
      </c>
      <c r="E7729" t="inlineStr">
        <is>
          <t>BERG</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29534-2025</t>
        </is>
      </c>
      <c r="B7730" s="1" t="n">
        <v>45825.34476851852</v>
      </c>
      <c r="C7730" s="1" t="n">
        <v>46045</v>
      </c>
      <c r="D7730" t="inlineStr">
        <is>
          <t>JÄMTLANDS LÄN</t>
        </is>
      </c>
      <c r="E7730" t="inlineStr">
        <is>
          <t>BRÄCKE</t>
        </is>
      </c>
      <c r="F7730" t="inlineStr">
        <is>
          <t>SCA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56895-2025</t>
        </is>
      </c>
      <c r="B7731" s="1" t="n">
        <v>45978.56818287037</v>
      </c>
      <c r="C7731" s="1" t="n">
        <v>46045</v>
      </c>
      <c r="D7731" t="inlineStr">
        <is>
          <t>JÄMTLANDS LÄN</t>
        </is>
      </c>
      <c r="E7731" t="inlineStr">
        <is>
          <t>STRÖMSUND</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57111-2025</t>
        </is>
      </c>
      <c r="B7732" s="1" t="n">
        <v>45978</v>
      </c>
      <c r="C7732" s="1" t="n">
        <v>46045</v>
      </c>
      <c r="D7732" t="inlineStr">
        <is>
          <t>JÄMTLANDS LÄN</t>
        </is>
      </c>
      <c r="E7732" t="inlineStr">
        <is>
          <t>RAGUNDA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57117-2025</t>
        </is>
      </c>
      <c r="B7733" s="1" t="n">
        <v>45978</v>
      </c>
      <c r="C7733" s="1" t="n">
        <v>46045</v>
      </c>
      <c r="D7733" t="inlineStr">
        <is>
          <t>JÄMTLANDS LÄN</t>
        </is>
      </c>
      <c r="E7733" t="inlineStr">
        <is>
          <t>RAGUNDA</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53899-2023</t>
        </is>
      </c>
      <c r="B7734" s="1" t="n">
        <v>45231.54160879629</v>
      </c>
      <c r="C7734" s="1" t="n">
        <v>46045</v>
      </c>
      <c r="D7734" t="inlineStr">
        <is>
          <t>JÄMTLANDS LÄN</t>
        </is>
      </c>
      <c r="E7734" t="inlineStr">
        <is>
          <t>ÅRE</t>
        </is>
      </c>
      <c r="G7734" t="n">
        <v>20.4</v>
      </c>
      <c r="H7734" t="n">
        <v>0</v>
      </c>
      <c r="I7734" t="n">
        <v>0</v>
      </c>
      <c r="J7734" t="n">
        <v>0</v>
      </c>
      <c r="K7734" t="n">
        <v>0</v>
      </c>
      <c r="L7734" t="n">
        <v>0</v>
      </c>
      <c r="M7734" t="n">
        <v>0</v>
      </c>
      <c r="N7734" t="n">
        <v>0</v>
      </c>
      <c r="O7734" t="n">
        <v>0</v>
      </c>
      <c r="P7734" t="n">
        <v>0</v>
      </c>
      <c r="Q7734" t="n">
        <v>0</v>
      </c>
      <c r="R7734" s="2" t="inlineStr"/>
    </row>
    <row r="7735" ht="15" customHeight="1">
      <c r="A7735" t="inlineStr">
        <is>
          <t>A 28752-2023</t>
        </is>
      </c>
      <c r="B7735" s="1" t="n">
        <v>45103.94172453704</v>
      </c>
      <c r="C7735" s="1" t="n">
        <v>46045</v>
      </c>
      <c r="D7735" t="inlineStr">
        <is>
          <t>JÄMTLANDS LÄN</t>
        </is>
      </c>
      <c r="E7735" t="inlineStr">
        <is>
          <t>STRÖMSUND</t>
        </is>
      </c>
      <c r="F7735" t="inlineStr">
        <is>
          <t>SCA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63838-2025</t>
        </is>
      </c>
      <c r="B7736" s="1" t="n">
        <v>46020.4169212963</v>
      </c>
      <c r="C7736" s="1" t="n">
        <v>46045</v>
      </c>
      <c r="D7736" t="inlineStr">
        <is>
          <t>JÄMTLANDS LÄN</t>
        </is>
      </c>
      <c r="E7736" t="inlineStr">
        <is>
          <t>ÅRE</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63861-2025</t>
        </is>
      </c>
      <c r="B7737" s="1" t="n">
        <v>46020.49056712963</v>
      </c>
      <c r="C7737" s="1" t="n">
        <v>46045</v>
      </c>
      <c r="D7737" t="inlineStr">
        <is>
          <t>JÄMTLANDS LÄN</t>
        </is>
      </c>
      <c r="E7737" t="inlineStr">
        <is>
          <t>ÖSTERSUND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63863-2025</t>
        </is>
      </c>
      <c r="B7738" s="1" t="n">
        <v>46020.49924768518</v>
      </c>
      <c r="C7738" s="1" t="n">
        <v>46045</v>
      </c>
      <c r="D7738" t="inlineStr">
        <is>
          <t>JÄMTLANDS LÄN</t>
        </is>
      </c>
      <c r="E7738" t="inlineStr">
        <is>
          <t>ÅRE</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63860-2025</t>
        </is>
      </c>
      <c r="B7739" s="1" t="n">
        <v>46020.48969907407</v>
      </c>
      <c r="C7739" s="1" t="n">
        <v>46045</v>
      </c>
      <c r="D7739" t="inlineStr">
        <is>
          <t>JÄMTLANDS LÄN</t>
        </is>
      </c>
      <c r="E7739" t="inlineStr">
        <is>
          <t>ÅRE</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56535-2025</t>
        </is>
      </c>
      <c r="B7740" s="1" t="n">
        <v>45975.46998842592</v>
      </c>
      <c r="C7740" s="1" t="n">
        <v>46045</v>
      </c>
      <c r="D7740" t="inlineStr">
        <is>
          <t>JÄMTLANDS LÄN</t>
        </is>
      </c>
      <c r="E7740" t="inlineStr">
        <is>
          <t>BRÄCKE</t>
        </is>
      </c>
      <c r="F7740" t="inlineStr">
        <is>
          <t>SCA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37479-2023</t>
        </is>
      </c>
      <c r="B7741" s="1" t="n">
        <v>45156</v>
      </c>
      <c r="C7741" s="1" t="n">
        <v>46045</v>
      </c>
      <c r="D7741" t="inlineStr">
        <is>
          <t>JÄMTLANDS LÄN</t>
        </is>
      </c>
      <c r="E7741" t="inlineStr">
        <is>
          <t>RAGUNDA</t>
        </is>
      </c>
      <c r="F7741" t="inlineStr">
        <is>
          <t>SCA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56636-2025</t>
        </is>
      </c>
      <c r="B7742" s="1" t="n">
        <v>45975.61663194445</v>
      </c>
      <c r="C7742" s="1" t="n">
        <v>46045</v>
      </c>
      <c r="D7742" t="inlineStr">
        <is>
          <t>JÄMTLANDS LÄN</t>
        </is>
      </c>
      <c r="E7742" t="inlineStr">
        <is>
          <t>KROKOM</t>
        </is>
      </c>
      <c r="F7742" t="inlineStr">
        <is>
          <t>SCA</t>
        </is>
      </c>
      <c r="G7742" t="n">
        <v>37.5</v>
      </c>
      <c r="H7742" t="n">
        <v>0</v>
      </c>
      <c r="I7742" t="n">
        <v>0</v>
      </c>
      <c r="J7742" t="n">
        <v>0</v>
      </c>
      <c r="K7742" t="n">
        <v>0</v>
      </c>
      <c r="L7742" t="n">
        <v>0</v>
      </c>
      <c r="M7742" t="n">
        <v>0</v>
      </c>
      <c r="N7742" t="n">
        <v>0</v>
      </c>
      <c r="O7742" t="n">
        <v>0</v>
      </c>
      <c r="P7742" t="n">
        <v>0</v>
      </c>
      <c r="Q7742" t="n">
        <v>0</v>
      </c>
      <c r="R7742" s="2" t="inlineStr"/>
    </row>
    <row r="7743" ht="15" customHeight="1">
      <c r="A7743" t="inlineStr">
        <is>
          <t>A 56432-2025</t>
        </is>
      </c>
      <c r="B7743" s="1" t="n">
        <v>45975.34650462963</v>
      </c>
      <c r="C7743" s="1" t="n">
        <v>46045</v>
      </c>
      <c r="D7743" t="inlineStr">
        <is>
          <t>JÄMTLANDS LÄN</t>
        </is>
      </c>
      <c r="E7743" t="inlineStr">
        <is>
          <t>KROKOM</t>
        </is>
      </c>
      <c r="F7743" t="inlineStr">
        <is>
          <t>SCA</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63770-2025</t>
        </is>
      </c>
      <c r="B7744" s="1" t="n">
        <v>46018.93976851852</v>
      </c>
      <c r="C7744" s="1" t="n">
        <v>46045</v>
      </c>
      <c r="D7744" t="inlineStr">
        <is>
          <t>JÄMTLANDS LÄN</t>
        </is>
      </c>
      <c r="E7744" t="inlineStr">
        <is>
          <t>KROKOM</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63776-2025</t>
        </is>
      </c>
      <c r="B7745" s="1" t="n">
        <v>46019.2824537037</v>
      </c>
      <c r="C7745" s="1" t="n">
        <v>46045</v>
      </c>
      <c r="D7745" t="inlineStr">
        <is>
          <t>JÄMTLANDS LÄN</t>
        </is>
      </c>
      <c r="E7745" t="inlineStr">
        <is>
          <t>KROKOM</t>
        </is>
      </c>
      <c r="F7745" t="inlineStr">
        <is>
          <t>Övriga Aktiebolag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29533-2025</t>
        </is>
      </c>
      <c r="B7746" s="1" t="n">
        <v>45825.34466435185</v>
      </c>
      <c r="C7746" s="1" t="n">
        <v>46045</v>
      </c>
      <c r="D7746" t="inlineStr">
        <is>
          <t>JÄMTLANDS LÄN</t>
        </is>
      </c>
      <c r="E7746" t="inlineStr">
        <is>
          <t>BERG</t>
        </is>
      </c>
      <c r="F7746" t="inlineStr">
        <is>
          <t>SCA</t>
        </is>
      </c>
      <c r="G7746" t="n">
        <v>10</v>
      </c>
      <c r="H7746" t="n">
        <v>0</v>
      </c>
      <c r="I7746" t="n">
        <v>0</v>
      </c>
      <c r="J7746" t="n">
        <v>0</v>
      </c>
      <c r="K7746" t="n">
        <v>0</v>
      </c>
      <c r="L7746" t="n">
        <v>0</v>
      </c>
      <c r="M7746" t="n">
        <v>0</v>
      </c>
      <c r="N7746" t="n">
        <v>0</v>
      </c>
      <c r="O7746" t="n">
        <v>0</v>
      </c>
      <c r="P7746" t="n">
        <v>0</v>
      </c>
      <c r="Q7746" t="n">
        <v>0</v>
      </c>
      <c r="R7746" s="2" t="inlineStr"/>
    </row>
    <row r="7747" ht="15" customHeight="1">
      <c r="A7747" t="inlineStr">
        <is>
          <t>A 22499-2024</t>
        </is>
      </c>
      <c r="B7747" s="1" t="n">
        <v>45447.35144675926</v>
      </c>
      <c r="C7747" s="1" t="n">
        <v>46045</v>
      </c>
      <c r="D7747" t="inlineStr">
        <is>
          <t>JÄMTLANDS LÄN</t>
        </is>
      </c>
      <c r="E7747" t="inlineStr">
        <is>
          <t>HÄRJEDALEN</t>
        </is>
      </c>
      <c r="G7747" t="n">
        <v>14.1</v>
      </c>
      <c r="H7747" t="n">
        <v>0</v>
      </c>
      <c r="I7747" t="n">
        <v>0</v>
      </c>
      <c r="J7747" t="n">
        <v>0</v>
      </c>
      <c r="K7747" t="n">
        <v>0</v>
      </c>
      <c r="L7747" t="n">
        <v>0</v>
      </c>
      <c r="M7747" t="n">
        <v>0</v>
      </c>
      <c r="N7747" t="n">
        <v>0</v>
      </c>
      <c r="O7747" t="n">
        <v>0</v>
      </c>
      <c r="P7747" t="n">
        <v>0</v>
      </c>
      <c r="Q7747" t="n">
        <v>0</v>
      </c>
      <c r="R7747" s="2" t="inlineStr"/>
    </row>
    <row r="7748" ht="15" customHeight="1">
      <c r="A7748" t="inlineStr">
        <is>
          <t>A 63822-2025</t>
        </is>
      </c>
      <c r="B7748" s="1" t="n">
        <v>46020.35534722222</v>
      </c>
      <c r="C7748" s="1" t="n">
        <v>46045</v>
      </c>
      <c r="D7748" t="inlineStr">
        <is>
          <t>JÄMTLANDS LÄN</t>
        </is>
      </c>
      <c r="E7748" t="inlineStr">
        <is>
          <t>BRÄCKE</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4369-2025</t>
        </is>
      </c>
      <c r="B7749" s="1" t="n">
        <v>45686.35247685185</v>
      </c>
      <c r="C7749" s="1" t="n">
        <v>46045</v>
      </c>
      <c r="D7749" t="inlineStr">
        <is>
          <t>JÄMTLANDS LÄN</t>
        </is>
      </c>
      <c r="E7749" t="inlineStr">
        <is>
          <t>KROKOM</t>
        </is>
      </c>
      <c r="F7749" t="inlineStr">
        <is>
          <t>SCA</t>
        </is>
      </c>
      <c r="G7749" t="n">
        <v>45.4</v>
      </c>
      <c r="H7749" t="n">
        <v>0</v>
      </c>
      <c r="I7749" t="n">
        <v>0</v>
      </c>
      <c r="J7749" t="n">
        <v>0</v>
      </c>
      <c r="K7749" t="n">
        <v>0</v>
      </c>
      <c r="L7749" t="n">
        <v>0</v>
      </c>
      <c r="M7749" t="n">
        <v>0</v>
      </c>
      <c r="N7749" t="n">
        <v>0</v>
      </c>
      <c r="O7749" t="n">
        <v>0</v>
      </c>
      <c r="P7749" t="n">
        <v>0</v>
      </c>
      <c r="Q7749" t="n">
        <v>0</v>
      </c>
      <c r="R7749" s="2" t="inlineStr"/>
    </row>
    <row r="7750" ht="15" customHeight="1">
      <c r="A7750" t="inlineStr">
        <is>
          <t>A 19915-2023</t>
        </is>
      </c>
      <c r="B7750" s="1" t="n">
        <v>45054</v>
      </c>
      <c r="C7750" s="1" t="n">
        <v>46045</v>
      </c>
      <c r="D7750" t="inlineStr">
        <is>
          <t>JÄMTLANDS LÄN</t>
        </is>
      </c>
      <c r="E7750" t="inlineStr">
        <is>
          <t>HÄRJEDALEN</t>
        </is>
      </c>
      <c r="F7750" t="inlineStr">
        <is>
          <t>Sveaskog</t>
        </is>
      </c>
      <c r="G7750" t="n">
        <v>0.1</v>
      </c>
      <c r="H7750" t="n">
        <v>0</v>
      </c>
      <c r="I7750" t="n">
        <v>0</v>
      </c>
      <c r="J7750" t="n">
        <v>0</v>
      </c>
      <c r="K7750" t="n">
        <v>0</v>
      </c>
      <c r="L7750" t="n">
        <v>0</v>
      </c>
      <c r="M7750" t="n">
        <v>0</v>
      </c>
      <c r="N7750" t="n">
        <v>0</v>
      </c>
      <c r="O7750" t="n">
        <v>0</v>
      </c>
      <c r="P7750" t="n">
        <v>0</v>
      </c>
      <c r="Q7750" t="n">
        <v>0</v>
      </c>
      <c r="R7750" s="2" t="inlineStr"/>
    </row>
    <row r="7751" ht="15" customHeight="1">
      <c r="A7751" t="inlineStr">
        <is>
          <t>A 30015-2025</t>
        </is>
      </c>
      <c r="B7751" s="1" t="n">
        <v>45826.55267361111</v>
      </c>
      <c r="C7751" s="1" t="n">
        <v>46045</v>
      </c>
      <c r="D7751" t="inlineStr">
        <is>
          <t>JÄMTLANDS LÄN</t>
        </is>
      </c>
      <c r="E7751" t="inlineStr">
        <is>
          <t>STRÖMSUND</t>
        </is>
      </c>
      <c r="F7751" t="inlineStr">
        <is>
          <t>SCA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29787-2025</t>
        </is>
      </c>
      <c r="B7752" s="1" t="n">
        <v>45825.65677083333</v>
      </c>
      <c r="C7752" s="1" t="n">
        <v>46045</v>
      </c>
      <c r="D7752" t="inlineStr">
        <is>
          <t>JÄMTLANDS LÄN</t>
        </is>
      </c>
      <c r="E7752" t="inlineStr">
        <is>
          <t>STRÖMSUND</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29997-2025</t>
        </is>
      </c>
      <c r="B7753" s="1" t="n">
        <v>45826.51113425926</v>
      </c>
      <c r="C7753" s="1" t="n">
        <v>46045</v>
      </c>
      <c r="D7753" t="inlineStr">
        <is>
          <t>JÄMTLANDS LÄN</t>
        </is>
      </c>
      <c r="E7753" t="inlineStr">
        <is>
          <t>STRÖMSUND</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41936-2023</t>
        </is>
      </c>
      <c r="B7754" s="1" t="n">
        <v>45176.94594907408</v>
      </c>
      <c r="C7754" s="1" t="n">
        <v>46045</v>
      </c>
      <c r="D7754" t="inlineStr">
        <is>
          <t>JÄMTLANDS LÄN</t>
        </is>
      </c>
      <c r="E7754" t="inlineStr">
        <is>
          <t>BRÄCKE</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41940-2023</t>
        </is>
      </c>
      <c r="B7755" s="1" t="n">
        <v>45176</v>
      </c>
      <c r="C7755" s="1" t="n">
        <v>46045</v>
      </c>
      <c r="D7755" t="inlineStr">
        <is>
          <t>JÄMTLANDS LÄN</t>
        </is>
      </c>
      <c r="E7755" t="inlineStr">
        <is>
          <t>STRÖMSUND</t>
        </is>
      </c>
      <c r="F7755" t="inlineStr">
        <is>
          <t>SCA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41605-2024</t>
        </is>
      </c>
      <c r="B7756" s="1" t="n">
        <v>45560.58306712963</v>
      </c>
      <c r="C7756" s="1" t="n">
        <v>46045</v>
      </c>
      <c r="D7756" t="inlineStr">
        <is>
          <t>JÄMTLANDS LÄN</t>
        </is>
      </c>
      <c r="E7756" t="inlineStr">
        <is>
          <t>STRÖMSUND</t>
        </is>
      </c>
      <c r="F7756" t="inlineStr">
        <is>
          <t>Sveaskog</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29538-2025</t>
        </is>
      </c>
      <c r="B7757" s="1" t="n">
        <v>45825.34517361111</v>
      </c>
      <c r="C7757" s="1" t="n">
        <v>46045</v>
      </c>
      <c r="D7757" t="inlineStr">
        <is>
          <t>JÄMTLANDS LÄN</t>
        </is>
      </c>
      <c r="E7757" t="inlineStr">
        <is>
          <t>BERG</t>
        </is>
      </c>
      <c r="F7757" t="inlineStr">
        <is>
          <t>SCA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10230-2024</t>
        </is>
      </c>
      <c r="B7758" s="1" t="n">
        <v>45365.31883101852</v>
      </c>
      <c r="C7758" s="1" t="n">
        <v>46045</v>
      </c>
      <c r="D7758" t="inlineStr">
        <is>
          <t>JÄMTLANDS LÄN</t>
        </is>
      </c>
      <c r="E7758" t="inlineStr">
        <is>
          <t>BERG</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14118-2025</t>
        </is>
      </c>
      <c r="B7759" s="1" t="n">
        <v>45740.46325231482</v>
      </c>
      <c r="C7759" s="1" t="n">
        <v>46045</v>
      </c>
      <c r="D7759" t="inlineStr">
        <is>
          <t>JÄMTLANDS LÄN</t>
        </is>
      </c>
      <c r="E7759" t="inlineStr">
        <is>
          <t>ÖSTERSUND</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18144-2025</t>
        </is>
      </c>
      <c r="B7760" s="1" t="n">
        <v>45761.61501157407</v>
      </c>
      <c r="C7760" s="1" t="n">
        <v>46045</v>
      </c>
      <c r="D7760" t="inlineStr">
        <is>
          <t>JÄMTLANDS LÄN</t>
        </is>
      </c>
      <c r="E7760" t="inlineStr">
        <is>
          <t>HÄRJEDALEN</t>
        </is>
      </c>
      <c r="F7760" t="inlineStr">
        <is>
          <t>SCA</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59125-2024</t>
        </is>
      </c>
      <c r="B7761" s="1" t="n">
        <v>45637.39587962963</v>
      </c>
      <c r="C7761" s="1" t="n">
        <v>46045</v>
      </c>
      <c r="D7761" t="inlineStr">
        <is>
          <t>JÄMTLANDS LÄN</t>
        </is>
      </c>
      <c r="E7761" t="inlineStr">
        <is>
          <t>HÄRJEDALEN</t>
        </is>
      </c>
      <c r="F7761" t="inlineStr">
        <is>
          <t>Bergvik skog väst AB</t>
        </is>
      </c>
      <c r="G7761" t="n">
        <v>7.3</v>
      </c>
      <c r="H7761" t="n">
        <v>0</v>
      </c>
      <c r="I7761" t="n">
        <v>0</v>
      </c>
      <c r="J7761" t="n">
        <v>0</v>
      </c>
      <c r="K7761" t="n">
        <v>0</v>
      </c>
      <c r="L7761" t="n">
        <v>0</v>
      </c>
      <c r="M7761" t="n">
        <v>0</v>
      </c>
      <c r="N7761" t="n">
        <v>0</v>
      </c>
      <c r="O7761" t="n">
        <v>0</v>
      </c>
      <c r="P7761" t="n">
        <v>0</v>
      </c>
      <c r="Q7761" t="n">
        <v>0</v>
      </c>
      <c r="R7761" s="2" t="inlineStr"/>
    </row>
    <row r="7762" ht="15" customHeight="1">
      <c r="A7762" t="inlineStr">
        <is>
          <t>A 56576-2025</t>
        </is>
      </c>
      <c r="B7762" s="1" t="n">
        <v>45975.52893518518</v>
      </c>
      <c r="C7762" s="1" t="n">
        <v>46045</v>
      </c>
      <c r="D7762" t="inlineStr">
        <is>
          <t>JÄMTLANDS LÄN</t>
        </is>
      </c>
      <c r="E7762" t="inlineStr">
        <is>
          <t>ÅRE</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49277-2024</t>
        </is>
      </c>
      <c r="B7763" s="1" t="n">
        <v>45595.50820601852</v>
      </c>
      <c r="C7763" s="1" t="n">
        <v>46045</v>
      </c>
      <c r="D7763" t="inlineStr">
        <is>
          <t>JÄMTLANDS LÄN</t>
        </is>
      </c>
      <c r="E7763" t="inlineStr">
        <is>
          <t>BERG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56495-2025</t>
        </is>
      </c>
      <c r="B7764" s="1" t="n">
        <v>45975.42577546297</v>
      </c>
      <c r="C7764" s="1" t="n">
        <v>46045</v>
      </c>
      <c r="D7764" t="inlineStr">
        <is>
          <t>JÄMTLANDS LÄN</t>
        </is>
      </c>
      <c r="E7764" t="inlineStr">
        <is>
          <t>ÅRE</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56751-2025</t>
        </is>
      </c>
      <c r="B7765" s="1" t="n">
        <v>45978.36538194444</v>
      </c>
      <c r="C7765" s="1" t="n">
        <v>46045</v>
      </c>
      <c r="D7765" t="inlineStr">
        <is>
          <t>JÄMTLANDS LÄN</t>
        </is>
      </c>
      <c r="E7765" t="inlineStr">
        <is>
          <t>RAGUNDA</t>
        </is>
      </c>
      <c r="F7765" t="inlineStr">
        <is>
          <t>SCA</t>
        </is>
      </c>
      <c r="G7765" t="n">
        <v>34.5</v>
      </c>
      <c r="H7765" t="n">
        <v>0</v>
      </c>
      <c r="I7765" t="n">
        <v>0</v>
      </c>
      <c r="J7765" t="n">
        <v>0</v>
      </c>
      <c r="K7765" t="n">
        <v>0</v>
      </c>
      <c r="L7765" t="n">
        <v>0</v>
      </c>
      <c r="M7765" t="n">
        <v>0</v>
      </c>
      <c r="N7765" t="n">
        <v>0</v>
      </c>
      <c r="O7765" t="n">
        <v>0</v>
      </c>
      <c r="P7765" t="n">
        <v>0</v>
      </c>
      <c r="Q7765" t="n">
        <v>0</v>
      </c>
      <c r="R7765" s="2" t="inlineStr"/>
    </row>
    <row r="7766" ht="15" customHeight="1">
      <c r="A7766" t="inlineStr">
        <is>
          <t>A 63850-2025</t>
        </is>
      </c>
      <c r="B7766" s="1" t="n">
        <v>46020.45539351852</v>
      </c>
      <c r="C7766" s="1" t="n">
        <v>46045</v>
      </c>
      <c r="D7766" t="inlineStr">
        <is>
          <t>JÄMTLANDS LÄN</t>
        </is>
      </c>
      <c r="E7766" t="inlineStr">
        <is>
          <t>KROKOM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63803-2025</t>
        </is>
      </c>
      <c r="B7767" s="1" t="n">
        <v>46019.91809027778</v>
      </c>
      <c r="C7767" s="1" t="n">
        <v>46045</v>
      </c>
      <c r="D7767" t="inlineStr">
        <is>
          <t>JÄMTLANDS LÄN</t>
        </is>
      </c>
      <c r="E7767" t="inlineStr">
        <is>
          <t>BRÄCKE</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63809-2025</t>
        </is>
      </c>
      <c r="B7768" s="1" t="n">
        <v>46020.31028935185</v>
      </c>
      <c r="C7768" s="1" t="n">
        <v>46045</v>
      </c>
      <c r="D7768" t="inlineStr">
        <is>
          <t>JÄMTLANDS LÄN</t>
        </is>
      </c>
      <c r="E7768" t="inlineStr">
        <is>
          <t>BRÄCKE</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41101-2024</t>
        </is>
      </c>
      <c r="B7769" s="1" t="n">
        <v>45559.43645833333</v>
      </c>
      <c r="C7769" s="1" t="n">
        <v>46045</v>
      </c>
      <c r="D7769" t="inlineStr">
        <is>
          <t>JÄMTLANDS LÄN</t>
        </is>
      </c>
      <c r="E7769" t="inlineStr">
        <is>
          <t>HÄRJEDALEN</t>
        </is>
      </c>
      <c r="F7769" t="inlineStr">
        <is>
          <t>Holmen skog AB</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14503-2024</t>
        </is>
      </c>
      <c r="B7770" s="1" t="n">
        <v>45394.60408564815</v>
      </c>
      <c r="C7770" s="1" t="n">
        <v>46045</v>
      </c>
      <c r="D7770" t="inlineStr">
        <is>
          <t>JÄMTLANDS LÄN</t>
        </is>
      </c>
      <c r="E7770" t="inlineStr">
        <is>
          <t>BRÄCKE</t>
        </is>
      </c>
      <c r="G7770" t="n">
        <v>15.2</v>
      </c>
      <c r="H7770" t="n">
        <v>0</v>
      </c>
      <c r="I7770" t="n">
        <v>0</v>
      </c>
      <c r="J7770" t="n">
        <v>0</v>
      </c>
      <c r="K7770" t="n">
        <v>0</v>
      </c>
      <c r="L7770" t="n">
        <v>0</v>
      </c>
      <c r="M7770" t="n">
        <v>0</v>
      </c>
      <c r="N7770" t="n">
        <v>0</v>
      </c>
      <c r="O7770" t="n">
        <v>0</v>
      </c>
      <c r="P7770" t="n">
        <v>0</v>
      </c>
      <c r="Q7770" t="n">
        <v>0</v>
      </c>
      <c r="R7770" s="2" t="inlineStr"/>
    </row>
    <row r="7771" ht="15" customHeight="1">
      <c r="A7771" t="inlineStr">
        <is>
          <t>A 56690-2025</t>
        </is>
      </c>
      <c r="B7771" s="1" t="n">
        <v>45976.58684027778</v>
      </c>
      <c r="C7771" s="1" t="n">
        <v>46045</v>
      </c>
      <c r="D7771" t="inlineStr">
        <is>
          <t>JÄMTLANDS LÄN</t>
        </is>
      </c>
      <c r="E7771" t="inlineStr">
        <is>
          <t>ÖSTERSUND</t>
        </is>
      </c>
      <c r="G7771" t="n">
        <v>8.300000000000001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56449-2025</t>
        </is>
      </c>
      <c r="B7772" s="1" t="n">
        <v>45975.34864583334</v>
      </c>
      <c r="C7772" s="1" t="n">
        <v>46045</v>
      </c>
      <c r="D7772" t="inlineStr">
        <is>
          <t>JÄMTLANDS LÄN</t>
        </is>
      </c>
      <c r="E7772" t="inlineStr">
        <is>
          <t>BRÄCKE</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56452-2025</t>
        </is>
      </c>
      <c r="B7773" s="1" t="n">
        <v>45975.35422453703</v>
      </c>
      <c r="C7773" s="1" t="n">
        <v>46045</v>
      </c>
      <c r="D7773" t="inlineStr">
        <is>
          <t>JÄMTLANDS LÄN</t>
        </is>
      </c>
      <c r="E7773" t="inlineStr">
        <is>
          <t>HÄRJEDALEN</t>
        </is>
      </c>
      <c r="G7773" t="n">
        <v>8.4</v>
      </c>
      <c r="H7773" t="n">
        <v>0</v>
      </c>
      <c r="I7773" t="n">
        <v>0</v>
      </c>
      <c r="J7773" t="n">
        <v>0</v>
      </c>
      <c r="K7773" t="n">
        <v>0</v>
      </c>
      <c r="L7773" t="n">
        <v>0</v>
      </c>
      <c r="M7773" t="n">
        <v>0</v>
      </c>
      <c r="N7773" t="n">
        <v>0</v>
      </c>
      <c r="O7773" t="n">
        <v>0</v>
      </c>
      <c r="P7773" t="n">
        <v>0</v>
      </c>
      <c r="Q7773" t="n">
        <v>0</v>
      </c>
      <c r="R7773" s="2" t="inlineStr"/>
    </row>
    <row r="7774" ht="15" customHeight="1">
      <c r="A7774" t="inlineStr">
        <is>
          <t>A 41772-2024</t>
        </is>
      </c>
      <c r="B7774" s="1" t="n">
        <v>45561.34663194444</v>
      </c>
      <c r="C7774" s="1" t="n">
        <v>46045</v>
      </c>
      <c r="D7774" t="inlineStr">
        <is>
          <t>JÄMTLANDS LÄN</t>
        </is>
      </c>
      <c r="E7774" t="inlineStr">
        <is>
          <t>RAGUNDA</t>
        </is>
      </c>
      <c r="F7774" t="inlineStr">
        <is>
          <t>SCA</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56486-2025</t>
        </is>
      </c>
      <c r="B7775" s="1" t="n">
        <v>45975.40746527778</v>
      </c>
      <c r="C7775" s="1" t="n">
        <v>46045</v>
      </c>
      <c r="D7775" t="inlineStr">
        <is>
          <t>JÄMTLANDS LÄN</t>
        </is>
      </c>
      <c r="E7775" t="inlineStr">
        <is>
          <t>STRÖMSUND</t>
        </is>
      </c>
      <c r="F7775" t="inlineStr">
        <is>
          <t>SCA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33096-2024</t>
        </is>
      </c>
      <c r="B7776" s="1" t="n">
        <v>45517.69590277778</v>
      </c>
      <c r="C7776" s="1" t="n">
        <v>46045</v>
      </c>
      <c r="D7776" t="inlineStr">
        <is>
          <t>JÄMTLANDS LÄN</t>
        </is>
      </c>
      <c r="E7776" t="inlineStr">
        <is>
          <t>HÄRJEDALEN</t>
        </is>
      </c>
      <c r="F7776" t="inlineStr">
        <is>
          <t>Övriga Aktiebolag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29927-2025</t>
        </is>
      </c>
      <c r="B7777" s="1" t="n">
        <v>45826.43267361111</v>
      </c>
      <c r="C7777" s="1" t="n">
        <v>46045</v>
      </c>
      <c r="D7777" t="inlineStr">
        <is>
          <t>JÄMTLANDS LÄN</t>
        </is>
      </c>
      <c r="E7777" t="inlineStr">
        <is>
          <t>HÄRJEDALEN</t>
        </is>
      </c>
      <c r="F7777" t="inlineStr">
        <is>
          <t>Bergvik skog väst AB</t>
        </is>
      </c>
      <c r="G7777" t="n">
        <v>12.8</v>
      </c>
      <c r="H7777" t="n">
        <v>0</v>
      </c>
      <c r="I7777" t="n">
        <v>0</v>
      </c>
      <c r="J7777" t="n">
        <v>0</v>
      </c>
      <c r="K7777" t="n">
        <v>0</v>
      </c>
      <c r="L7777" t="n">
        <v>0</v>
      </c>
      <c r="M7777" t="n">
        <v>0</v>
      </c>
      <c r="N7777" t="n">
        <v>0</v>
      </c>
      <c r="O7777" t="n">
        <v>0</v>
      </c>
      <c r="P7777" t="n">
        <v>0</v>
      </c>
      <c r="Q7777" t="n">
        <v>0</v>
      </c>
      <c r="R7777" s="2" t="inlineStr"/>
    </row>
    <row r="7778" ht="15" customHeight="1">
      <c r="A7778" t="inlineStr">
        <is>
          <t>A 48198-2024</t>
        </is>
      </c>
      <c r="B7778" s="1" t="n">
        <v>45590.31899305555</v>
      </c>
      <c r="C7778" s="1" t="n">
        <v>46045</v>
      </c>
      <c r="D7778" t="inlineStr">
        <is>
          <t>JÄMTLANDS LÄN</t>
        </is>
      </c>
      <c r="E7778" t="inlineStr">
        <is>
          <t>HÄRJEDALEN</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31491-2023</t>
        </is>
      </c>
      <c r="B7779" s="1" t="n">
        <v>45114</v>
      </c>
      <c r="C7779" s="1" t="n">
        <v>46045</v>
      </c>
      <c r="D7779" t="inlineStr">
        <is>
          <t>JÄMTLANDS LÄN</t>
        </is>
      </c>
      <c r="E7779" t="inlineStr">
        <is>
          <t>STRÖMSUND</t>
        </is>
      </c>
      <c r="F7779" t="inlineStr">
        <is>
          <t>SCA</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63768-2025</t>
        </is>
      </c>
      <c r="B7780" s="1" t="n">
        <v>46018.93873842592</v>
      </c>
      <c r="C7780" s="1" t="n">
        <v>46045</v>
      </c>
      <c r="D7780" t="inlineStr">
        <is>
          <t>JÄMTLANDS LÄN</t>
        </is>
      </c>
      <c r="E7780" t="inlineStr">
        <is>
          <t>KROKOM</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63772-2025</t>
        </is>
      </c>
      <c r="B7781" s="1" t="n">
        <v>46018.98585648148</v>
      </c>
      <c r="C7781" s="1" t="n">
        <v>46045</v>
      </c>
      <c r="D7781" t="inlineStr">
        <is>
          <t>JÄMTLANDS LÄN</t>
        </is>
      </c>
      <c r="E7781" t="inlineStr">
        <is>
          <t>KROKOM</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63774-2025</t>
        </is>
      </c>
      <c r="B7782" s="1" t="n">
        <v>46019.01190972222</v>
      </c>
      <c r="C7782" s="1" t="n">
        <v>46045</v>
      </c>
      <c r="D7782" t="inlineStr">
        <is>
          <t>JÄMTLANDS LÄN</t>
        </is>
      </c>
      <c r="E7782" t="inlineStr">
        <is>
          <t>KROKOM</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56601-2025</t>
        </is>
      </c>
      <c r="B7783" s="1" t="n">
        <v>45975.57423611111</v>
      </c>
      <c r="C7783" s="1" t="n">
        <v>46045</v>
      </c>
      <c r="D7783" t="inlineStr">
        <is>
          <t>JÄMTLANDS LÄN</t>
        </is>
      </c>
      <c r="E7783" t="inlineStr">
        <is>
          <t>ÅRE</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18066-2025</t>
        </is>
      </c>
      <c r="B7784" s="1" t="n">
        <v>45761.49002314815</v>
      </c>
      <c r="C7784" s="1" t="n">
        <v>46045</v>
      </c>
      <c r="D7784" t="inlineStr">
        <is>
          <t>JÄMTLANDS LÄN</t>
        </is>
      </c>
      <c r="E7784" t="inlineStr">
        <is>
          <t>BRÄCKE</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60331-2023</t>
        </is>
      </c>
      <c r="B7785" s="1" t="n">
        <v>45258</v>
      </c>
      <c r="C7785" s="1" t="n">
        <v>46045</v>
      </c>
      <c r="D7785" t="inlineStr">
        <is>
          <t>JÄMTLANDS LÄN</t>
        </is>
      </c>
      <c r="E7785" t="inlineStr">
        <is>
          <t>BERG</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56626-2025</t>
        </is>
      </c>
      <c r="B7786" s="1" t="n">
        <v>45975.60625</v>
      </c>
      <c r="C7786" s="1" t="n">
        <v>46045</v>
      </c>
      <c r="D7786" t="inlineStr">
        <is>
          <t>JÄMTLANDS LÄN</t>
        </is>
      </c>
      <c r="E7786" t="inlineStr">
        <is>
          <t>STRÖMSUND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63771-2025</t>
        </is>
      </c>
      <c r="B7787" s="1" t="n">
        <v>46018.98166666667</v>
      </c>
      <c r="C7787" s="1" t="n">
        <v>46045</v>
      </c>
      <c r="D7787" t="inlineStr">
        <is>
          <t>JÄMTLANDS LÄN</t>
        </is>
      </c>
      <c r="E7787" t="inlineStr">
        <is>
          <t>KROKOM</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63773-2025</t>
        </is>
      </c>
      <c r="B7788" s="1" t="n">
        <v>46019.00192129629</v>
      </c>
      <c r="C7788" s="1" t="n">
        <v>46045</v>
      </c>
      <c r="D7788" t="inlineStr">
        <is>
          <t>JÄMTLANDS LÄN</t>
        </is>
      </c>
      <c r="E7788" t="inlineStr">
        <is>
          <t>KROKOM</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63775-2025</t>
        </is>
      </c>
      <c r="B7789" s="1" t="n">
        <v>46019.02924768518</v>
      </c>
      <c r="C7789" s="1" t="n">
        <v>46045</v>
      </c>
      <c r="D7789" t="inlineStr">
        <is>
          <t>JÄMTLANDS LÄN</t>
        </is>
      </c>
      <c r="E7789" t="inlineStr">
        <is>
          <t>KROKOM</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63828-2025</t>
        </is>
      </c>
      <c r="B7790" s="1" t="n">
        <v>46020.37814814815</v>
      </c>
      <c r="C7790" s="1" t="n">
        <v>46045</v>
      </c>
      <c r="D7790" t="inlineStr">
        <is>
          <t>JÄMTLANDS LÄN</t>
        </is>
      </c>
      <c r="E7790" t="inlineStr">
        <is>
          <t>RAGUNDA</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63855-2025</t>
        </is>
      </c>
      <c r="B7791" s="1" t="n">
        <v>46020.47495370371</v>
      </c>
      <c r="C7791" s="1" t="n">
        <v>46045</v>
      </c>
      <c r="D7791" t="inlineStr">
        <is>
          <t>JÄMTLANDS LÄN</t>
        </is>
      </c>
      <c r="E7791" t="inlineStr">
        <is>
          <t>KROKOM</t>
        </is>
      </c>
      <c r="G7791" t="n">
        <v>6.5</v>
      </c>
      <c r="H7791" t="n">
        <v>0</v>
      </c>
      <c r="I7791" t="n">
        <v>0</v>
      </c>
      <c r="J7791" t="n">
        <v>0</v>
      </c>
      <c r="K7791" t="n">
        <v>0</v>
      </c>
      <c r="L7791" t="n">
        <v>0</v>
      </c>
      <c r="M7791" t="n">
        <v>0</v>
      </c>
      <c r="N7791" t="n">
        <v>0</v>
      </c>
      <c r="O7791" t="n">
        <v>0</v>
      </c>
      <c r="P7791" t="n">
        <v>0</v>
      </c>
      <c r="Q7791" t="n">
        <v>0</v>
      </c>
      <c r="R7791" s="2" t="inlineStr"/>
    </row>
    <row r="7792" ht="15" customHeight="1">
      <c r="A7792" t="inlineStr">
        <is>
          <t>A 34538-2023</t>
        </is>
      </c>
      <c r="B7792" s="1" t="n">
        <v>45134</v>
      </c>
      <c r="C7792" s="1" t="n">
        <v>46045</v>
      </c>
      <c r="D7792" t="inlineStr">
        <is>
          <t>JÄMTLANDS LÄN</t>
        </is>
      </c>
      <c r="E7792" t="inlineStr">
        <is>
          <t>ÅRE</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60006-2024</t>
        </is>
      </c>
      <c r="B7793" s="1" t="n">
        <v>45642.41907407407</v>
      </c>
      <c r="C7793" s="1" t="n">
        <v>46045</v>
      </c>
      <c r="D7793" t="inlineStr">
        <is>
          <t>JÄMTLANDS LÄN</t>
        </is>
      </c>
      <c r="E7793" t="inlineStr">
        <is>
          <t>HÄRJEDALEN</t>
        </is>
      </c>
      <c r="G7793" t="n">
        <v>7.3</v>
      </c>
      <c r="H7793" t="n">
        <v>0</v>
      </c>
      <c r="I7793" t="n">
        <v>0</v>
      </c>
      <c r="J7793" t="n">
        <v>0</v>
      </c>
      <c r="K7793" t="n">
        <v>0</v>
      </c>
      <c r="L7793" t="n">
        <v>0</v>
      </c>
      <c r="M7793" t="n">
        <v>0</v>
      </c>
      <c r="N7793" t="n">
        <v>0</v>
      </c>
      <c r="O7793" t="n">
        <v>0</v>
      </c>
      <c r="P7793" t="n">
        <v>0</v>
      </c>
      <c r="Q7793" t="n">
        <v>0</v>
      </c>
      <c r="R7793" s="2" t="inlineStr"/>
    </row>
    <row r="7794" ht="15" customHeight="1">
      <c r="A7794" t="inlineStr">
        <is>
          <t>A 63820-2025</t>
        </is>
      </c>
      <c r="B7794" s="1" t="n">
        <v>46020.3547800926</v>
      </c>
      <c r="C7794" s="1" t="n">
        <v>46045</v>
      </c>
      <c r="D7794" t="inlineStr">
        <is>
          <t>JÄMTLANDS LÄN</t>
        </is>
      </c>
      <c r="E7794" t="inlineStr">
        <is>
          <t>BRÄCKE</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30060-2025</t>
        </is>
      </c>
      <c r="B7795" s="1" t="n">
        <v>45826.61493055556</v>
      </c>
      <c r="C7795" s="1" t="n">
        <v>46045</v>
      </c>
      <c r="D7795" t="inlineStr">
        <is>
          <t>JÄMTLANDS LÄN</t>
        </is>
      </c>
      <c r="E7795" t="inlineStr">
        <is>
          <t>STRÖMSUND</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29536-2025</t>
        </is>
      </c>
      <c r="B7796" s="1" t="n">
        <v>45825.34496527778</v>
      </c>
      <c r="C7796" s="1" t="n">
        <v>46045</v>
      </c>
      <c r="D7796" t="inlineStr">
        <is>
          <t>JÄMTLANDS LÄN</t>
        </is>
      </c>
      <c r="E7796" t="inlineStr">
        <is>
          <t>STRÖMSUND</t>
        </is>
      </c>
      <c r="F7796" t="inlineStr">
        <is>
          <t>SCA</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19353-2023</t>
        </is>
      </c>
      <c r="B7797" s="1" t="n">
        <v>45049.59826388889</v>
      </c>
      <c r="C7797" s="1" t="n">
        <v>46045</v>
      </c>
      <c r="D7797" t="inlineStr">
        <is>
          <t>JÄMTLANDS LÄN</t>
        </is>
      </c>
      <c r="E7797" t="inlineStr">
        <is>
          <t>HÄRJEDALEN</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56868-2025</t>
        </is>
      </c>
      <c r="B7798" s="1" t="n">
        <v>45978.5205324074</v>
      </c>
      <c r="C7798" s="1" t="n">
        <v>46045</v>
      </c>
      <c r="D7798" t="inlineStr">
        <is>
          <t>JÄMTLANDS LÄN</t>
        </is>
      </c>
      <c r="E7798" t="inlineStr">
        <is>
          <t>HÄRJEDALEN</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29902-2025</t>
        </is>
      </c>
      <c r="B7799" s="1" t="n">
        <v>45826</v>
      </c>
      <c r="C7799" s="1" t="n">
        <v>46045</v>
      </c>
      <c r="D7799" t="inlineStr">
        <is>
          <t>JÄMTLANDS LÄN</t>
        </is>
      </c>
      <c r="E7799" t="inlineStr">
        <is>
          <t>BERG</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35746-2024</t>
        </is>
      </c>
      <c r="B7800" s="1" t="n">
        <v>45532</v>
      </c>
      <c r="C7800" s="1" t="n">
        <v>46045</v>
      </c>
      <c r="D7800" t="inlineStr">
        <is>
          <t>JÄMTLANDS LÄN</t>
        </is>
      </c>
      <c r="E7800" t="inlineStr">
        <is>
          <t>STRÖMSUND</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18826-2023</t>
        </is>
      </c>
      <c r="B7801" s="1" t="n">
        <v>45042</v>
      </c>
      <c r="C7801" s="1" t="n">
        <v>46045</v>
      </c>
      <c r="D7801" t="inlineStr">
        <is>
          <t>JÄMTLANDS LÄN</t>
        </is>
      </c>
      <c r="E7801" t="inlineStr">
        <is>
          <t>KROKOM</t>
        </is>
      </c>
      <c r="G7801" t="n">
        <v>17.1</v>
      </c>
      <c r="H7801" t="n">
        <v>0</v>
      </c>
      <c r="I7801" t="n">
        <v>0</v>
      </c>
      <c r="J7801" t="n">
        <v>0</v>
      </c>
      <c r="K7801" t="n">
        <v>0</v>
      </c>
      <c r="L7801" t="n">
        <v>0</v>
      </c>
      <c r="M7801" t="n">
        <v>0</v>
      </c>
      <c r="N7801" t="n">
        <v>0</v>
      </c>
      <c r="O7801" t="n">
        <v>0</v>
      </c>
      <c r="P7801" t="n">
        <v>0</v>
      </c>
      <c r="Q7801" t="n">
        <v>0</v>
      </c>
      <c r="R7801" s="2" t="inlineStr"/>
    </row>
    <row r="7802" ht="15" customHeight="1">
      <c r="A7802" t="inlineStr">
        <is>
          <t>A 29798-2025</t>
        </is>
      </c>
      <c r="B7802" s="1" t="n">
        <v>45825.67758101852</v>
      </c>
      <c r="C7802" s="1" t="n">
        <v>46045</v>
      </c>
      <c r="D7802" t="inlineStr">
        <is>
          <t>JÄMTLANDS LÄN</t>
        </is>
      </c>
      <c r="E7802" t="inlineStr">
        <is>
          <t>STRÖMSUND</t>
        </is>
      </c>
      <c r="F7802" t="inlineStr">
        <is>
          <t>SCA</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56892-2025</t>
        </is>
      </c>
      <c r="B7803" s="1" t="n">
        <v>45978.56626157407</v>
      </c>
      <c r="C7803" s="1" t="n">
        <v>46045</v>
      </c>
      <c r="D7803" t="inlineStr">
        <is>
          <t>JÄMTLANDS LÄN</t>
        </is>
      </c>
      <c r="E7803" t="inlineStr">
        <is>
          <t>KROKOM</t>
        </is>
      </c>
      <c r="F7803" t="inlineStr">
        <is>
          <t>SCA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56900-2025</t>
        </is>
      </c>
      <c r="B7804" s="1" t="n">
        <v>45978.57273148148</v>
      </c>
      <c r="C7804" s="1" t="n">
        <v>46045</v>
      </c>
      <c r="D7804" t="inlineStr">
        <is>
          <t>JÄMTLANDS LÄN</t>
        </is>
      </c>
      <c r="E7804" t="inlineStr">
        <is>
          <t>KROKOM</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11548-2023</t>
        </is>
      </c>
      <c r="B7805" s="1" t="n">
        <v>44993.9484837963</v>
      </c>
      <c r="C7805" s="1" t="n">
        <v>46045</v>
      </c>
      <c r="D7805" t="inlineStr">
        <is>
          <t>JÄMTLANDS LÄN</t>
        </is>
      </c>
      <c r="E7805" t="inlineStr">
        <is>
          <t>BRÄCKE</t>
        </is>
      </c>
      <c r="F7805" t="inlineStr">
        <is>
          <t>SCA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29539-2025</t>
        </is>
      </c>
      <c r="B7806" s="1" t="n">
        <v>45825.34530092592</v>
      </c>
      <c r="C7806" s="1" t="n">
        <v>46045</v>
      </c>
      <c r="D7806" t="inlineStr">
        <is>
          <t>JÄMTLANDS LÄN</t>
        </is>
      </c>
      <c r="E7806" t="inlineStr">
        <is>
          <t>STRÖMSUND</t>
        </is>
      </c>
      <c r="F7806" t="inlineStr">
        <is>
          <t>SCA</t>
        </is>
      </c>
      <c r="G7806" t="n">
        <v>17.3</v>
      </c>
      <c r="H7806" t="n">
        <v>0</v>
      </c>
      <c r="I7806" t="n">
        <v>0</v>
      </c>
      <c r="J7806" t="n">
        <v>0</v>
      </c>
      <c r="K7806" t="n">
        <v>0</v>
      </c>
      <c r="L7806" t="n">
        <v>0</v>
      </c>
      <c r="M7806" t="n">
        <v>0</v>
      </c>
      <c r="N7806" t="n">
        <v>0</v>
      </c>
      <c r="O7806" t="n">
        <v>0</v>
      </c>
      <c r="P7806" t="n">
        <v>0</v>
      </c>
      <c r="Q7806" t="n">
        <v>0</v>
      </c>
      <c r="R7806" s="2" t="inlineStr"/>
    </row>
    <row r="7807" ht="15" customHeight="1">
      <c r="A7807" t="inlineStr">
        <is>
          <t>A 56451-2025</t>
        </is>
      </c>
      <c r="B7807" s="1" t="n">
        <v>45975.3537037037</v>
      </c>
      <c r="C7807" s="1" t="n">
        <v>46045</v>
      </c>
      <c r="D7807" t="inlineStr">
        <is>
          <t>JÄMTLANDS LÄN</t>
        </is>
      </c>
      <c r="E7807" t="inlineStr">
        <is>
          <t>HÄRJEDALEN</t>
        </is>
      </c>
      <c r="F7807" t="inlineStr">
        <is>
          <t>Bergvik skog väst AB</t>
        </is>
      </c>
      <c r="G7807" t="n">
        <v>10.5</v>
      </c>
      <c r="H7807" t="n">
        <v>0</v>
      </c>
      <c r="I7807" t="n">
        <v>0</v>
      </c>
      <c r="J7807" t="n">
        <v>0</v>
      </c>
      <c r="K7807" t="n">
        <v>0</v>
      </c>
      <c r="L7807" t="n">
        <v>0</v>
      </c>
      <c r="M7807" t="n">
        <v>0</v>
      </c>
      <c r="N7807" t="n">
        <v>0</v>
      </c>
      <c r="O7807" t="n">
        <v>0</v>
      </c>
      <c r="P7807" t="n">
        <v>0</v>
      </c>
      <c r="Q7807" t="n">
        <v>0</v>
      </c>
      <c r="R7807" s="2" t="inlineStr"/>
    </row>
    <row r="7808" ht="15" customHeight="1">
      <c r="A7808" t="inlineStr">
        <is>
          <t>A 30088-2025</t>
        </is>
      </c>
      <c r="B7808" s="1" t="n">
        <v>45826.65759259259</v>
      </c>
      <c r="C7808" s="1" t="n">
        <v>46045</v>
      </c>
      <c r="D7808" t="inlineStr">
        <is>
          <t>JÄMTLANDS LÄN</t>
        </is>
      </c>
      <c r="E7808" t="inlineStr">
        <is>
          <t>RAGUNDA</t>
        </is>
      </c>
      <c r="F7808" t="inlineStr">
        <is>
          <t>SCA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34601-2024</t>
        </is>
      </c>
      <c r="B7809" s="1" t="n">
        <v>45526.4034375</v>
      </c>
      <c r="C7809" s="1" t="n">
        <v>46045</v>
      </c>
      <c r="D7809" t="inlineStr">
        <is>
          <t>JÄMTLANDS LÄN</t>
        </is>
      </c>
      <c r="E7809" t="inlineStr">
        <is>
          <t>BERG</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56483-2025</t>
        </is>
      </c>
      <c r="B7810" s="1" t="n">
        <v>45975.40668981482</v>
      </c>
      <c r="C7810" s="1" t="n">
        <v>46045</v>
      </c>
      <c r="D7810" t="inlineStr">
        <is>
          <t>JÄMTLANDS LÄN</t>
        </is>
      </c>
      <c r="E7810" t="inlineStr">
        <is>
          <t>STRÖMSUND</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56485-2025</t>
        </is>
      </c>
      <c r="B7811" s="1" t="n">
        <v>45975.40730324074</v>
      </c>
      <c r="C7811" s="1" t="n">
        <v>46045</v>
      </c>
      <c r="D7811" t="inlineStr">
        <is>
          <t>JÄMTLANDS LÄN</t>
        </is>
      </c>
      <c r="E7811" t="inlineStr">
        <is>
          <t>STRÖMSUND</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12660-2024</t>
        </is>
      </c>
      <c r="B7812" s="1" t="n">
        <v>45384</v>
      </c>
      <c r="C7812" s="1" t="n">
        <v>46045</v>
      </c>
      <c r="D7812" t="inlineStr">
        <is>
          <t>JÄMTLANDS LÄN</t>
        </is>
      </c>
      <c r="E7812" t="inlineStr">
        <is>
          <t>RAGUNDA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3965-2025</t>
        </is>
      </c>
      <c r="B7813" s="1" t="n">
        <v>45684.51006944444</v>
      </c>
      <c r="C7813" s="1" t="n">
        <v>46045</v>
      </c>
      <c r="D7813" t="inlineStr">
        <is>
          <t>JÄMTLANDS LÄN</t>
        </is>
      </c>
      <c r="E7813" t="inlineStr">
        <is>
          <t>HÄRJEDALEN</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40408-2023</t>
        </is>
      </c>
      <c r="B7814" s="1" t="n">
        <v>45169.93861111111</v>
      </c>
      <c r="C7814" s="1" t="n">
        <v>46045</v>
      </c>
      <c r="D7814" t="inlineStr">
        <is>
          <t>JÄMTLANDS LÄN</t>
        </is>
      </c>
      <c r="E7814" t="inlineStr">
        <is>
          <t>STRÖMSUND</t>
        </is>
      </c>
      <c r="F7814" t="inlineStr">
        <is>
          <t>SCA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63856-2025</t>
        </is>
      </c>
      <c r="B7815" s="1" t="n">
        <v>46020.47796296296</v>
      </c>
      <c r="C7815" s="1" t="n">
        <v>46045</v>
      </c>
      <c r="D7815" t="inlineStr">
        <is>
          <t>JÄMTLANDS LÄN</t>
        </is>
      </c>
      <c r="E7815" t="inlineStr">
        <is>
          <t>ÖSTERSUND</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63881-2025</t>
        </is>
      </c>
      <c r="B7816" s="1" t="n">
        <v>46020.57334490741</v>
      </c>
      <c r="C7816" s="1" t="n">
        <v>46045</v>
      </c>
      <c r="D7816" t="inlineStr">
        <is>
          <t>JÄMTLANDS LÄN</t>
        </is>
      </c>
      <c r="E7816" t="inlineStr">
        <is>
          <t>STRÖMSUND</t>
        </is>
      </c>
      <c r="F7816" t="inlineStr">
        <is>
          <t>SCA</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56646-2025</t>
        </is>
      </c>
      <c r="B7817" s="1" t="n">
        <v>45975.634375</v>
      </c>
      <c r="C7817" s="1" t="n">
        <v>46045</v>
      </c>
      <c r="D7817" t="inlineStr">
        <is>
          <t>JÄMTLANDS LÄN</t>
        </is>
      </c>
      <c r="E7817" t="inlineStr">
        <is>
          <t>HÄRJEDALEN</t>
        </is>
      </c>
      <c r="F7817" t="inlineStr">
        <is>
          <t>Bergvik skog väst AB</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29806-2025</t>
        </is>
      </c>
      <c r="B7818" s="1" t="n">
        <v>45825.73248842593</v>
      </c>
      <c r="C7818" s="1" t="n">
        <v>46045</v>
      </c>
      <c r="D7818" t="inlineStr">
        <is>
          <t>JÄMTLANDS LÄN</t>
        </is>
      </c>
      <c r="E7818" t="inlineStr">
        <is>
          <t>STRÖMSUND</t>
        </is>
      </c>
      <c r="F7818" t="inlineStr">
        <is>
          <t>SCA</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56738-2025</t>
        </is>
      </c>
      <c r="B7819" s="1" t="n">
        <v>45978.34487268519</v>
      </c>
      <c r="C7819" s="1" t="n">
        <v>46045</v>
      </c>
      <c r="D7819" t="inlineStr">
        <is>
          <t>JÄMTLANDS LÄN</t>
        </is>
      </c>
      <c r="E7819" t="inlineStr">
        <is>
          <t>BRÄCKE</t>
        </is>
      </c>
      <c r="F7819" t="inlineStr">
        <is>
          <t>SCA</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56739-2025</t>
        </is>
      </c>
      <c r="B7820" s="1" t="n">
        <v>45978.34491898148</v>
      </c>
      <c r="C7820" s="1" t="n">
        <v>46045</v>
      </c>
      <c r="D7820" t="inlineStr">
        <is>
          <t>JÄMTLANDS LÄN</t>
        </is>
      </c>
      <c r="E7820" t="inlineStr">
        <is>
          <t>BRÄCKE</t>
        </is>
      </c>
      <c r="F7820" t="inlineStr">
        <is>
          <t>SCA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25332-2023</t>
        </is>
      </c>
      <c r="B7821" s="1" t="n">
        <v>45086.94010416666</v>
      </c>
      <c r="C7821" s="1" t="n">
        <v>46045</v>
      </c>
      <c r="D7821" t="inlineStr">
        <is>
          <t>JÄMTLANDS LÄN</t>
        </is>
      </c>
      <c r="E7821" t="inlineStr">
        <is>
          <t>RAGUNDA</t>
        </is>
      </c>
      <c r="F7821" t="inlineStr">
        <is>
          <t>SCA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19826-2023</t>
        </is>
      </c>
      <c r="B7822" s="1" t="n">
        <v>45051.94119212963</v>
      </c>
      <c r="C7822" s="1" t="n">
        <v>46045</v>
      </c>
      <c r="D7822" t="inlineStr">
        <is>
          <t>JÄMTLANDS LÄN</t>
        </is>
      </c>
      <c r="E7822" t="inlineStr">
        <is>
          <t>STRÖMSUND</t>
        </is>
      </c>
      <c r="F7822" t="inlineStr">
        <is>
          <t>SCA</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56435-2025</t>
        </is>
      </c>
      <c r="B7823" s="1" t="n">
        <v>45975.34679398148</v>
      </c>
      <c r="C7823" s="1" t="n">
        <v>46045</v>
      </c>
      <c r="D7823" t="inlineStr">
        <is>
          <t>JÄMTLANDS LÄN</t>
        </is>
      </c>
      <c r="E7823" t="inlineStr">
        <is>
          <t>RAGUNDA</t>
        </is>
      </c>
      <c r="F7823" t="inlineStr">
        <is>
          <t>SCA</t>
        </is>
      </c>
      <c r="G7823" t="n">
        <v>9.199999999999999</v>
      </c>
      <c r="H7823" t="n">
        <v>0</v>
      </c>
      <c r="I7823" t="n">
        <v>0</v>
      </c>
      <c r="J7823" t="n">
        <v>0</v>
      </c>
      <c r="K7823" t="n">
        <v>0</v>
      </c>
      <c r="L7823" t="n">
        <v>0</v>
      </c>
      <c r="M7823" t="n">
        <v>0</v>
      </c>
      <c r="N7823" t="n">
        <v>0</v>
      </c>
      <c r="O7823" t="n">
        <v>0</v>
      </c>
      <c r="P7823" t="n">
        <v>0</v>
      </c>
      <c r="Q7823" t="n">
        <v>0</v>
      </c>
      <c r="R7823" s="2" t="inlineStr"/>
      <c r="U7823">
        <f>HYPERLINK("https://klasma.github.io/Logging_2303/knärot/A 56435-2025 karta knärot.png", "A 56435-2025")</f>
        <v/>
      </c>
      <c r="V7823">
        <f>HYPERLINK("https://klasma.github.io/Logging_2303/klagomål/A 56435-2025 FSC-klagomål.docx", "A 56435-2025")</f>
        <v/>
      </c>
      <c r="W7823">
        <f>HYPERLINK("https://klasma.github.io/Logging_2303/klagomålsmail/A 56435-2025 FSC-klagomål mail.docx", "A 56435-2025")</f>
        <v/>
      </c>
      <c r="X7823">
        <f>HYPERLINK("https://klasma.github.io/Logging_2303/tillsyn/A 56435-2025 tillsynsbegäran.docx", "A 56435-2025")</f>
        <v/>
      </c>
      <c r="Y7823">
        <f>HYPERLINK("https://klasma.github.io/Logging_2303/tillsynsmail/A 56435-2025 tillsynsbegäran mail.docx", "A 56435-2025")</f>
        <v/>
      </c>
    </row>
    <row r="7824" ht="15" customHeight="1">
      <c r="A7824" t="inlineStr">
        <is>
          <t>A 28741-2023</t>
        </is>
      </c>
      <c r="B7824" s="1" t="n">
        <v>45103</v>
      </c>
      <c r="C7824" s="1" t="n">
        <v>46045</v>
      </c>
      <c r="D7824" t="inlineStr">
        <is>
          <t>JÄMTLANDS LÄN</t>
        </is>
      </c>
      <c r="E7824" t="inlineStr">
        <is>
          <t>STRÖMSUND</t>
        </is>
      </c>
      <c r="G7824" t="n">
        <v>9.5</v>
      </c>
      <c r="H7824" t="n">
        <v>0</v>
      </c>
      <c r="I7824" t="n">
        <v>0</v>
      </c>
      <c r="J7824" t="n">
        <v>0</v>
      </c>
      <c r="K7824" t="n">
        <v>0</v>
      </c>
      <c r="L7824" t="n">
        <v>0</v>
      </c>
      <c r="M7824" t="n">
        <v>0</v>
      </c>
      <c r="N7824" t="n">
        <v>0</v>
      </c>
      <c r="O7824" t="n">
        <v>0</v>
      </c>
      <c r="P7824" t="n">
        <v>0</v>
      </c>
      <c r="Q7824" t="n">
        <v>0</v>
      </c>
      <c r="R7824" s="2" t="inlineStr"/>
    </row>
    <row r="7825" ht="15" customHeight="1">
      <c r="A7825" t="inlineStr">
        <is>
          <t>A 57038-2025</t>
        </is>
      </c>
      <c r="B7825" s="1" t="n">
        <v>45979.34527777778</v>
      </c>
      <c r="C7825" s="1" t="n">
        <v>46045</v>
      </c>
      <c r="D7825" t="inlineStr">
        <is>
          <t>JÄMTLANDS LÄN</t>
        </is>
      </c>
      <c r="E7825" t="inlineStr">
        <is>
          <t>BRÄCKE</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57068-2025</t>
        </is>
      </c>
      <c r="B7826" s="1" t="n">
        <v>45979.38599537037</v>
      </c>
      <c r="C7826" s="1" t="n">
        <v>46045</v>
      </c>
      <c r="D7826" t="inlineStr">
        <is>
          <t>JÄMTLANDS LÄN</t>
        </is>
      </c>
      <c r="E7826" t="inlineStr">
        <is>
          <t>HÄRJEDALEN</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57084-2025</t>
        </is>
      </c>
      <c r="B7827" s="1" t="n">
        <v>45979.41707175926</v>
      </c>
      <c r="C7827" s="1" t="n">
        <v>46045</v>
      </c>
      <c r="D7827" t="inlineStr">
        <is>
          <t>JÄMTLANDS LÄN</t>
        </is>
      </c>
      <c r="E7827" t="inlineStr">
        <is>
          <t>BRÄCKE</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38302-2024</t>
        </is>
      </c>
      <c r="B7828" s="1" t="n">
        <v>45545.63614583333</v>
      </c>
      <c r="C7828" s="1" t="n">
        <v>46045</v>
      </c>
      <c r="D7828" t="inlineStr">
        <is>
          <t>JÄMTLANDS LÄN</t>
        </is>
      </c>
      <c r="E7828" t="inlineStr">
        <is>
          <t>BRÄCKE</t>
        </is>
      </c>
      <c r="F7828" t="inlineStr">
        <is>
          <t>SCA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63714-2025</t>
        </is>
      </c>
      <c r="B7829" s="1" t="n">
        <v>46014</v>
      </c>
      <c r="C7829" s="1" t="n">
        <v>46045</v>
      </c>
      <c r="D7829" t="inlineStr">
        <is>
          <t>JÄMTLANDS LÄN</t>
        </is>
      </c>
      <c r="E7829" t="inlineStr">
        <is>
          <t>RAGUNDA</t>
        </is>
      </c>
      <c r="F7829" t="inlineStr">
        <is>
          <t>Sveaskog</t>
        </is>
      </c>
      <c r="G7829" t="n">
        <v>8.5</v>
      </c>
      <c r="H7829" t="n">
        <v>0</v>
      </c>
      <c r="I7829" t="n">
        <v>0</v>
      </c>
      <c r="J7829" t="n">
        <v>0</v>
      </c>
      <c r="K7829" t="n">
        <v>0</v>
      </c>
      <c r="L7829" t="n">
        <v>0</v>
      </c>
      <c r="M7829" t="n">
        <v>0</v>
      </c>
      <c r="N7829" t="n">
        <v>0</v>
      </c>
      <c r="O7829" t="n">
        <v>0</v>
      </c>
      <c r="P7829" t="n">
        <v>0</v>
      </c>
      <c r="Q7829" t="n">
        <v>0</v>
      </c>
      <c r="R7829" s="2" t="inlineStr"/>
    </row>
    <row r="7830" ht="15" customHeight="1">
      <c r="A7830" t="inlineStr">
        <is>
          <t>A 61836-2025</t>
        </is>
      </c>
      <c r="B7830" s="1" t="n">
        <v>46003</v>
      </c>
      <c r="C7830" s="1" t="n">
        <v>46045</v>
      </c>
      <c r="D7830" t="inlineStr">
        <is>
          <t>JÄMTLANDS LÄN</t>
        </is>
      </c>
      <c r="E7830" t="inlineStr">
        <is>
          <t>ÖSTERSUND</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33718-2023</t>
        </is>
      </c>
      <c r="B7831" s="1" t="n">
        <v>45132.9502662037</v>
      </c>
      <c r="C7831" s="1" t="n">
        <v>46045</v>
      </c>
      <c r="D7831" t="inlineStr">
        <is>
          <t>JÄMTLANDS LÄN</t>
        </is>
      </c>
      <c r="E7831" t="inlineStr">
        <is>
          <t>STRÖMSUND</t>
        </is>
      </c>
      <c r="F7831" t="inlineStr">
        <is>
          <t>SCA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57271-2025</t>
        </is>
      </c>
      <c r="B7832" s="1" t="n">
        <v>45979.67789351852</v>
      </c>
      <c r="C7832" s="1" t="n">
        <v>46045</v>
      </c>
      <c r="D7832" t="inlineStr">
        <is>
          <t>JÄMTLANDS LÄN</t>
        </is>
      </c>
      <c r="E7832" t="inlineStr">
        <is>
          <t>BERG</t>
        </is>
      </c>
      <c r="F7832" t="inlineStr">
        <is>
          <t>SCA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33481-2023</t>
        </is>
      </c>
      <c r="B7833" s="1" t="n">
        <v>45131</v>
      </c>
      <c r="C7833" s="1" t="n">
        <v>46045</v>
      </c>
      <c r="D7833" t="inlineStr">
        <is>
          <t>JÄMTLANDS LÄN</t>
        </is>
      </c>
      <c r="E7833" t="inlineStr">
        <is>
          <t>BERG</t>
        </is>
      </c>
      <c r="F7833" t="inlineStr">
        <is>
          <t>Sveaskog</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33615-2023</t>
        </is>
      </c>
      <c r="B7834" s="1" t="n">
        <v>45119</v>
      </c>
      <c r="C7834" s="1" t="n">
        <v>46045</v>
      </c>
      <c r="D7834" t="inlineStr">
        <is>
          <t>JÄMTLANDS LÄN</t>
        </is>
      </c>
      <c r="E7834" t="inlineStr">
        <is>
          <t>RAGUNDA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43132-2023</t>
        </is>
      </c>
      <c r="B7835" s="1" t="n">
        <v>45182</v>
      </c>
      <c r="C7835" s="1" t="n">
        <v>46045</v>
      </c>
      <c r="D7835" t="inlineStr">
        <is>
          <t>JÄMTLANDS LÄN</t>
        </is>
      </c>
      <c r="E7835" t="inlineStr">
        <is>
          <t>RAGUNDA</t>
        </is>
      </c>
      <c r="F7835" t="inlineStr">
        <is>
          <t>SCA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6693-2024</t>
        </is>
      </c>
      <c r="B7836" s="1" t="n">
        <v>45341.95372685185</v>
      </c>
      <c r="C7836" s="1" t="n">
        <v>46045</v>
      </c>
      <c r="D7836" t="inlineStr">
        <is>
          <t>JÄMTLANDS LÄN</t>
        </is>
      </c>
      <c r="E7836" t="inlineStr">
        <is>
          <t>STRÖMSUND</t>
        </is>
      </c>
      <c r="F7836" t="inlineStr">
        <is>
          <t>SCA</t>
        </is>
      </c>
      <c r="G7836" t="n">
        <v>14.2</v>
      </c>
      <c r="H7836" t="n">
        <v>0</v>
      </c>
      <c r="I7836" t="n">
        <v>0</v>
      </c>
      <c r="J7836" t="n">
        <v>0</v>
      </c>
      <c r="K7836" t="n">
        <v>0</v>
      </c>
      <c r="L7836" t="n">
        <v>0</v>
      </c>
      <c r="M7836" t="n">
        <v>0</v>
      </c>
      <c r="N7836" t="n">
        <v>0</v>
      </c>
      <c r="O7836" t="n">
        <v>0</v>
      </c>
      <c r="P7836" t="n">
        <v>0</v>
      </c>
      <c r="Q7836" t="n">
        <v>0</v>
      </c>
      <c r="R7836" s="2" t="inlineStr"/>
    </row>
    <row r="7837" ht="15" customHeight="1">
      <c r="A7837" t="inlineStr">
        <is>
          <t>A 57285-2025</t>
        </is>
      </c>
      <c r="B7837" s="1" t="n">
        <v>45979.73390046296</v>
      </c>
      <c r="C7837" s="1" t="n">
        <v>46045</v>
      </c>
      <c r="D7837" t="inlineStr">
        <is>
          <t>JÄMTLANDS LÄN</t>
        </is>
      </c>
      <c r="E7837" t="inlineStr">
        <is>
          <t>ÅRE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30209-2025</t>
        </is>
      </c>
      <c r="B7838" s="1" t="n">
        <v>45827.365625</v>
      </c>
      <c r="C7838" s="1" t="n">
        <v>46045</v>
      </c>
      <c r="D7838" t="inlineStr">
        <is>
          <t>JÄMTLANDS LÄN</t>
        </is>
      </c>
      <c r="E7838" t="inlineStr">
        <is>
          <t>STRÖMSUND</t>
        </is>
      </c>
      <c r="F7838" t="inlineStr">
        <is>
          <t>SCA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30208-2025</t>
        </is>
      </c>
      <c r="B7839" s="1" t="n">
        <v>45827.36526620371</v>
      </c>
      <c r="C7839" s="1" t="n">
        <v>46045</v>
      </c>
      <c r="D7839" t="inlineStr">
        <is>
          <t>JÄMTLANDS LÄN</t>
        </is>
      </c>
      <c r="E7839" t="inlineStr">
        <is>
          <t>STRÖMSUND</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30255-2025</t>
        </is>
      </c>
      <c r="B7840" s="1" t="n">
        <v>45827.42467592593</v>
      </c>
      <c r="C7840" s="1" t="n">
        <v>46045</v>
      </c>
      <c r="D7840" t="inlineStr">
        <is>
          <t>JÄMTLANDS LÄN</t>
        </is>
      </c>
      <c r="E7840" t="inlineStr">
        <is>
          <t>HÄRJEDALEN</t>
        </is>
      </c>
      <c r="F7840" t="inlineStr">
        <is>
          <t>Holmen skog AB</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30310-2025</t>
        </is>
      </c>
      <c r="B7841" s="1" t="n">
        <v>45827.48996527777</v>
      </c>
      <c r="C7841" s="1" t="n">
        <v>46045</v>
      </c>
      <c r="D7841" t="inlineStr">
        <is>
          <t>JÄMTLANDS LÄN</t>
        </is>
      </c>
      <c r="E7841" t="inlineStr">
        <is>
          <t>BRÄCKE</t>
        </is>
      </c>
      <c r="F7841" t="inlineStr">
        <is>
          <t>SCA</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30317-2025</t>
        </is>
      </c>
      <c r="B7842" s="1" t="n">
        <v>45827.49087962963</v>
      </c>
      <c r="C7842" s="1" t="n">
        <v>46045</v>
      </c>
      <c r="D7842" t="inlineStr">
        <is>
          <t>JÄMTLANDS LÄN</t>
        </is>
      </c>
      <c r="E7842" t="inlineStr">
        <is>
          <t>BRÄCKE</t>
        </is>
      </c>
      <c r="F7842" t="inlineStr">
        <is>
          <t>SCA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30325-2025</t>
        </is>
      </c>
      <c r="B7843" s="1" t="n">
        <v>45827.50361111111</v>
      </c>
      <c r="C7843" s="1" t="n">
        <v>46045</v>
      </c>
      <c r="D7843" t="inlineStr">
        <is>
          <t>JÄMTLANDS LÄN</t>
        </is>
      </c>
      <c r="E7843" t="inlineStr">
        <is>
          <t>STRÖMSUND</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57334-2025</t>
        </is>
      </c>
      <c r="B7844" s="1" t="n">
        <v>45980.345</v>
      </c>
      <c r="C7844" s="1" t="n">
        <v>46045</v>
      </c>
      <c r="D7844" t="inlineStr">
        <is>
          <t>JÄMTLANDS LÄN</t>
        </is>
      </c>
      <c r="E7844" t="inlineStr">
        <is>
          <t>BRÄCKE</t>
        </is>
      </c>
      <c r="F7844" t="inlineStr">
        <is>
          <t>SCA</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57335-2025</t>
        </is>
      </c>
      <c r="B7845" s="1" t="n">
        <v>45980.34537037037</v>
      </c>
      <c r="C7845" s="1" t="n">
        <v>46045</v>
      </c>
      <c r="D7845" t="inlineStr">
        <is>
          <t>JÄMTLANDS LÄN</t>
        </is>
      </c>
      <c r="E7845" t="inlineStr">
        <is>
          <t>STRÖMSUND</t>
        </is>
      </c>
      <c r="F7845" t="inlineStr">
        <is>
          <t>SCA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57133-2025</t>
        </is>
      </c>
      <c r="B7846" s="1" t="n">
        <v>45979.4744212963</v>
      </c>
      <c r="C7846" s="1" t="n">
        <v>46045</v>
      </c>
      <c r="D7846" t="inlineStr">
        <is>
          <t>JÄMTLANDS LÄN</t>
        </is>
      </c>
      <c r="E7846" t="inlineStr">
        <is>
          <t>BRÄCKE</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57139-2025</t>
        </is>
      </c>
      <c r="B7847" s="1" t="n">
        <v>45979.48126157407</v>
      </c>
      <c r="C7847" s="1" t="n">
        <v>46045</v>
      </c>
      <c r="D7847" t="inlineStr">
        <is>
          <t>JÄMTLANDS LÄN</t>
        </is>
      </c>
      <c r="E7847" t="inlineStr">
        <is>
          <t>BRÄCKE</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30393-2025</t>
        </is>
      </c>
      <c r="B7848" s="1" t="n">
        <v>45827.57416666667</v>
      </c>
      <c r="C7848" s="1" t="n">
        <v>46045</v>
      </c>
      <c r="D7848" t="inlineStr">
        <is>
          <t>JÄMTLANDS LÄN</t>
        </is>
      </c>
      <c r="E7848" t="inlineStr">
        <is>
          <t>BRÄCKE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57286-2025</t>
        </is>
      </c>
      <c r="B7849" s="1" t="n">
        <v>45979.74055555555</v>
      </c>
      <c r="C7849" s="1" t="n">
        <v>46045</v>
      </c>
      <c r="D7849" t="inlineStr">
        <is>
          <t>JÄMTLANDS LÄN</t>
        </is>
      </c>
      <c r="E7849" t="inlineStr">
        <is>
          <t>ÅRE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57015-2025</t>
        </is>
      </c>
      <c r="B7850" s="1" t="n">
        <v>45978.83375</v>
      </c>
      <c r="C7850" s="1" t="n">
        <v>46045</v>
      </c>
      <c r="D7850" t="inlineStr">
        <is>
          <t>JÄMTLANDS LÄN</t>
        </is>
      </c>
      <c r="E7850" t="inlineStr">
        <is>
          <t>HÄRJEDALEN</t>
        </is>
      </c>
      <c r="F7850" t="inlineStr">
        <is>
          <t>Bergvik skog väst AB</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57070-2025</t>
        </is>
      </c>
      <c r="B7851" s="1" t="n">
        <v>45979.38703703704</v>
      </c>
      <c r="C7851" s="1" t="n">
        <v>46045</v>
      </c>
      <c r="D7851" t="inlineStr">
        <is>
          <t>JÄMTLANDS LÄN</t>
        </is>
      </c>
      <c r="E7851" t="inlineStr">
        <is>
          <t>HÄRJEDALEN</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58889-2022</t>
        </is>
      </c>
      <c r="B7852" s="1" t="n">
        <v>44896</v>
      </c>
      <c r="C7852" s="1" t="n">
        <v>46045</v>
      </c>
      <c r="D7852" t="inlineStr">
        <is>
          <t>JÄMTLANDS LÄN</t>
        </is>
      </c>
      <c r="E7852" t="inlineStr">
        <is>
          <t>ÅRE</t>
        </is>
      </c>
      <c r="G7852" t="n">
        <v>6.9</v>
      </c>
      <c r="H7852" t="n">
        <v>0</v>
      </c>
      <c r="I7852" t="n">
        <v>0</v>
      </c>
      <c r="J7852" t="n">
        <v>0</v>
      </c>
      <c r="K7852" t="n">
        <v>0</v>
      </c>
      <c r="L7852" t="n">
        <v>0</v>
      </c>
      <c r="M7852" t="n">
        <v>0</v>
      </c>
      <c r="N7852" t="n">
        <v>0</v>
      </c>
      <c r="O7852" t="n">
        <v>0</v>
      </c>
      <c r="P7852" t="n">
        <v>0</v>
      </c>
      <c r="Q7852" t="n">
        <v>0</v>
      </c>
      <c r="R7852" s="2" t="inlineStr"/>
    </row>
    <row r="7853" ht="15" customHeight="1">
      <c r="A7853" t="inlineStr">
        <is>
          <t>A 12762-2025</t>
        </is>
      </c>
      <c r="B7853" s="1" t="n">
        <v>45733.57340277778</v>
      </c>
      <c r="C7853" s="1" t="n">
        <v>46045</v>
      </c>
      <c r="D7853" t="inlineStr">
        <is>
          <t>JÄMTLANDS LÄN</t>
        </is>
      </c>
      <c r="E7853" t="inlineStr">
        <is>
          <t>BRÄCKE</t>
        </is>
      </c>
      <c r="F7853" t="inlineStr">
        <is>
          <t>SCA</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57192-2025</t>
        </is>
      </c>
      <c r="B7854" s="1" t="n">
        <v>45979.57696759259</v>
      </c>
      <c r="C7854" s="1" t="n">
        <v>46045</v>
      </c>
      <c r="D7854" t="inlineStr">
        <is>
          <t>JÄMTLANDS LÄN</t>
        </is>
      </c>
      <c r="E7854" t="inlineStr">
        <is>
          <t>BERG</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59668-2023</t>
        </is>
      </c>
      <c r="B7855" s="1" t="n">
        <v>45254</v>
      </c>
      <c r="C7855" s="1" t="n">
        <v>46045</v>
      </c>
      <c r="D7855" t="inlineStr">
        <is>
          <t>JÄMTLANDS LÄN</t>
        </is>
      </c>
      <c r="E7855" t="inlineStr">
        <is>
          <t>KROKOM</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63981-2025</t>
        </is>
      </c>
      <c r="B7856" s="1" t="n">
        <v>46021.34450231482</v>
      </c>
      <c r="C7856" s="1" t="n">
        <v>46045</v>
      </c>
      <c r="D7856" t="inlineStr">
        <is>
          <t>JÄMTLANDS LÄN</t>
        </is>
      </c>
      <c r="E7856" t="inlineStr">
        <is>
          <t>ÖSTERSUND</t>
        </is>
      </c>
      <c r="G7856" t="n">
        <v>17.7</v>
      </c>
      <c r="H7856" t="n">
        <v>0</v>
      </c>
      <c r="I7856" t="n">
        <v>0</v>
      </c>
      <c r="J7856" t="n">
        <v>0</v>
      </c>
      <c r="K7856" t="n">
        <v>0</v>
      </c>
      <c r="L7856" t="n">
        <v>0</v>
      </c>
      <c r="M7856" t="n">
        <v>0</v>
      </c>
      <c r="N7856" t="n">
        <v>0</v>
      </c>
      <c r="O7856" t="n">
        <v>0</v>
      </c>
      <c r="P7856" t="n">
        <v>0</v>
      </c>
      <c r="Q7856" t="n">
        <v>0</v>
      </c>
      <c r="R7856" s="2" t="inlineStr"/>
    </row>
    <row r="7857" ht="15" customHeight="1">
      <c r="A7857" t="inlineStr">
        <is>
          <t>A 57503-2025</t>
        </is>
      </c>
      <c r="B7857" s="1" t="n">
        <v>45980.59431712963</v>
      </c>
      <c r="C7857" s="1" t="n">
        <v>46045</v>
      </c>
      <c r="D7857" t="inlineStr">
        <is>
          <t>JÄMTLANDS LÄN</t>
        </is>
      </c>
      <c r="E7857" t="inlineStr">
        <is>
          <t>BERG</t>
        </is>
      </c>
      <c r="F7857" t="inlineStr">
        <is>
          <t>SCA</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30320-2025</t>
        </is>
      </c>
      <c r="B7858" s="1" t="n">
        <v>45827.49415509259</v>
      </c>
      <c r="C7858" s="1" t="n">
        <v>46045</v>
      </c>
      <c r="D7858" t="inlineStr">
        <is>
          <t>JÄMTLANDS LÄN</t>
        </is>
      </c>
      <c r="E7858" t="inlineStr">
        <is>
          <t>ÖSTERSUND</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13019-2023</t>
        </is>
      </c>
      <c r="B7859" s="1" t="n">
        <v>45001</v>
      </c>
      <c r="C7859" s="1" t="n">
        <v>46045</v>
      </c>
      <c r="D7859" t="inlineStr">
        <is>
          <t>JÄMTLANDS LÄN</t>
        </is>
      </c>
      <c r="E7859" t="inlineStr">
        <is>
          <t>BRÄCKE</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30363-2025</t>
        </is>
      </c>
      <c r="B7860" s="1" t="n">
        <v>45827</v>
      </c>
      <c r="C7860" s="1" t="n">
        <v>46045</v>
      </c>
      <c r="D7860" t="inlineStr">
        <is>
          <t>JÄMTLANDS LÄN</t>
        </is>
      </c>
      <c r="E7860" t="inlineStr">
        <is>
          <t>HÄRJEDALEN</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30251-2025</t>
        </is>
      </c>
      <c r="B7861" s="1" t="n">
        <v>45827.41753472222</v>
      </c>
      <c r="C7861" s="1" t="n">
        <v>46045</v>
      </c>
      <c r="D7861" t="inlineStr">
        <is>
          <t>JÄMTLANDS LÄN</t>
        </is>
      </c>
      <c r="E7861" t="inlineStr">
        <is>
          <t>HÄRJEDALEN</t>
        </is>
      </c>
      <c r="F7861" t="inlineStr">
        <is>
          <t>Bergvik skog väst AB</t>
        </is>
      </c>
      <c r="G7861" t="n">
        <v>32.1</v>
      </c>
      <c r="H7861" t="n">
        <v>0</v>
      </c>
      <c r="I7861" t="n">
        <v>0</v>
      </c>
      <c r="J7861" t="n">
        <v>0</v>
      </c>
      <c r="K7861" t="n">
        <v>0</v>
      </c>
      <c r="L7861" t="n">
        <v>0</v>
      </c>
      <c r="M7861" t="n">
        <v>0</v>
      </c>
      <c r="N7861" t="n">
        <v>0</v>
      </c>
      <c r="O7861" t="n">
        <v>0</v>
      </c>
      <c r="P7861" t="n">
        <v>0</v>
      </c>
      <c r="Q7861" t="n">
        <v>0</v>
      </c>
      <c r="R7861" s="2" t="inlineStr"/>
    </row>
    <row r="7862" ht="15" customHeight="1">
      <c r="A7862" t="inlineStr">
        <is>
          <t>A 45705-2024</t>
        </is>
      </c>
      <c r="B7862" s="1" t="n">
        <v>45579.57390046296</v>
      </c>
      <c r="C7862" s="1" t="n">
        <v>46045</v>
      </c>
      <c r="D7862" t="inlineStr">
        <is>
          <t>JÄMTLANDS LÄN</t>
        </is>
      </c>
      <c r="E7862" t="inlineStr">
        <is>
          <t>HÄRJEDALEN</t>
        </is>
      </c>
      <c r="F7862" t="inlineStr">
        <is>
          <t>Bergvik skog väst AB</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57464-2025</t>
        </is>
      </c>
      <c r="B7863" s="1" t="n">
        <v>45980</v>
      </c>
      <c r="C7863" s="1" t="n">
        <v>46045</v>
      </c>
      <c r="D7863" t="inlineStr">
        <is>
          <t>JÄMTLANDS LÄN</t>
        </is>
      </c>
      <c r="E7863" t="inlineStr">
        <is>
          <t>ÅRE</t>
        </is>
      </c>
      <c r="G7863" t="n">
        <v>8.1</v>
      </c>
      <c r="H7863" t="n">
        <v>0</v>
      </c>
      <c r="I7863" t="n">
        <v>0</v>
      </c>
      <c r="J7863" t="n">
        <v>0</v>
      </c>
      <c r="K7863" t="n">
        <v>0</v>
      </c>
      <c r="L7863" t="n">
        <v>0</v>
      </c>
      <c r="M7863" t="n">
        <v>0</v>
      </c>
      <c r="N7863" t="n">
        <v>0</v>
      </c>
      <c r="O7863" t="n">
        <v>0</v>
      </c>
      <c r="P7863" t="n">
        <v>0</v>
      </c>
      <c r="Q7863" t="n">
        <v>0</v>
      </c>
      <c r="R7863" s="2" t="inlineStr"/>
    </row>
    <row r="7864" ht="15" customHeight="1">
      <c r="A7864" t="inlineStr">
        <is>
          <t>A 31463-2024</t>
        </is>
      </c>
      <c r="B7864" s="1" t="n">
        <v>45505</v>
      </c>
      <c r="C7864" s="1" t="n">
        <v>46045</v>
      </c>
      <c r="D7864" t="inlineStr">
        <is>
          <t>JÄMTLANDS LÄN</t>
        </is>
      </c>
      <c r="E7864" t="inlineStr">
        <is>
          <t>RAGUNDA</t>
        </is>
      </c>
      <c r="F7864" t="inlineStr">
        <is>
          <t>SCA</t>
        </is>
      </c>
      <c r="G7864" t="n">
        <v>20.3</v>
      </c>
      <c r="H7864" t="n">
        <v>0</v>
      </c>
      <c r="I7864" t="n">
        <v>0</v>
      </c>
      <c r="J7864" t="n">
        <v>0</v>
      </c>
      <c r="K7864" t="n">
        <v>0</v>
      </c>
      <c r="L7864" t="n">
        <v>0</v>
      </c>
      <c r="M7864" t="n">
        <v>0</v>
      </c>
      <c r="N7864" t="n">
        <v>0</v>
      </c>
      <c r="O7864" t="n">
        <v>0</v>
      </c>
      <c r="P7864" t="n">
        <v>0</v>
      </c>
      <c r="Q7864" t="n">
        <v>0</v>
      </c>
      <c r="R7864" s="2" t="inlineStr"/>
    </row>
    <row r="7865" ht="15" customHeight="1">
      <c r="A7865" t="inlineStr">
        <is>
          <t>A 13081-2022</t>
        </is>
      </c>
      <c r="B7865" s="1" t="n">
        <v>44643.81518518519</v>
      </c>
      <c r="C7865" s="1" t="n">
        <v>46045</v>
      </c>
      <c r="D7865" t="inlineStr">
        <is>
          <t>JÄMTLANDS LÄN</t>
        </is>
      </c>
      <c r="E7865" t="inlineStr">
        <is>
          <t>HÄRJEDALEN</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30424-2025</t>
        </is>
      </c>
      <c r="B7866" s="1" t="n">
        <v>45827.61495370371</v>
      </c>
      <c r="C7866" s="1" t="n">
        <v>46045</v>
      </c>
      <c r="D7866" t="inlineStr">
        <is>
          <t>JÄMTLANDS LÄN</t>
        </is>
      </c>
      <c r="E7866" t="inlineStr">
        <is>
          <t>BRÄCKE</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63982-2025</t>
        </is>
      </c>
      <c r="B7867" s="1" t="n">
        <v>46021.34454861111</v>
      </c>
      <c r="C7867" s="1" t="n">
        <v>46045</v>
      </c>
      <c r="D7867" t="inlineStr">
        <is>
          <t>JÄMTLANDS LÄN</t>
        </is>
      </c>
      <c r="E7867" t="inlineStr">
        <is>
          <t>ÖSTERSUND</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57547-2025</t>
        </is>
      </c>
      <c r="B7868" s="1" t="n">
        <v>45980.6568287037</v>
      </c>
      <c r="C7868" s="1" t="n">
        <v>46045</v>
      </c>
      <c r="D7868" t="inlineStr">
        <is>
          <t>JÄMTLANDS LÄN</t>
        </is>
      </c>
      <c r="E7868" t="inlineStr">
        <is>
          <t>STRÖMSUND</t>
        </is>
      </c>
      <c r="F7868" t="inlineStr">
        <is>
          <t>SCA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57549-2025</t>
        </is>
      </c>
      <c r="B7869" s="1" t="n">
        <v>45980.6571875</v>
      </c>
      <c r="C7869" s="1" t="n">
        <v>46045</v>
      </c>
      <c r="D7869" t="inlineStr">
        <is>
          <t>JÄMTLANDS LÄN</t>
        </is>
      </c>
      <c r="E7869" t="inlineStr">
        <is>
          <t>STRÖMSUND</t>
        </is>
      </c>
      <c r="F7869" t="inlineStr">
        <is>
          <t>SCA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57272-2025</t>
        </is>
      </c>
      <c r="B7870" s="1" t="n">
        <v>45979.67814814814</v>
      </c>
      <c r="C7870" s="1" t="n">
        <v>46045</v>
      </c>
      <c r="D7870" t="inlineStr">
        <is>
          <t>JÄMTLANDS LÄN</t>
        </is>
      </c>
      <c r="E7870" t="inlineStr">
        <is>
          <t>BRÄCKE</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12462-2023</t>
        </is>
      </c>
      <c r="B7871" s="1" t="n">
        <v>44999.60127314815</v>
      </c>
      <c r="C7871" s="1" t="n">
        <v>46045</v>
      </c>
      <c r="D7871" t="inlineStr">
        <is>
          <t>JÄMTLANDS LÄN</t>
        </is>
      </c>
      <c r="E7871" t="inlineStr">
        <is>
          <t>HÄRJEDALEN</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4988-2023</t>
        </is>
      </c>
      <c r="B7872" s="1" t="n">
        <v>44956</v>
      </c>
      <c r="C7872" s="1" t="n">
        <v>46045</v>
      </c>
      <c r="D7872" t="inlineStr">
        <is>
          <t>JÄMTLANDS LÄN</t>
        </is>
      </c>
      <c r="E7872" t="inlineStr">
        <is>
          <t>STRÖMSUND</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57332-2025</t>
        </is>
      </c>
      <c r="B7873" s="1" t="n">
        <v>45980.34467592592</v>
      </c>
      <c r="C7873" s="1" t="n">
        <v>46045</v>
      </c>
      <c r="D7873" t="inlineStr">
        <is>
          <t>JÄMTLANDS LÄN</t>
        </is>
      </c>
      <c r="E7873" t="inlineStr">
        <is>
          <t>RAGUNDA</t>
        </is>
      </c>
      <c r="F7873" t="inlineStr">
        <is>
          <t>SCA</t>
        </is>
      </c>
      <c r="G7873" t="n">
        <v>22.6</v>
      </c>
      <c r="H7873" t="n">
        <v>0</v>
      </c>
      <c r="I7873" t="n">
        <v>0</v>
      </c>
      <c r="J7873" t="n">
        <v>0</v>
      </c>
      <c r="K7873" t="n">
        <v>0</v>
      </c>
      <c r="L7873" t="n">
        <v>0</v>
      </c>
      <c r="M7873" t="n">
        <v>0</v>
      </c>
      <c r="N7873" t="n">
        <v>0</v>
      </c>
      <c r="O7873" t="n">
        <v>0</v>
      </c>
      <c r="P7873" t="n">
        <v>0</v>
      </c>
      <c r="Q7873" t="n">
        <v>0</v>
      </c>
      <c r="R7873" s="2" t="inlineStr"/>
    </row>
    <row r="7874" ht="15" customHeight="1">
      <c r="A7874" t="inlineStr">
        <is>
          <t>A 57336-2025</t>
        </is>
      </c>
      <c r="B7874" s="1" t="n">
        <v>45980.34543981482</v>
      </c>
      <c r="C7874" s="1" t="n">
        <v>46045</v>
      </c>
      <c r="D7874" t="inlineStr">
        <is>
          <t>JÄMTLANDS LÄN</t>
        </is>
      </c>
      <c r="E7874" t="inlineStr">
        <is>
          <t>STRÖMSUND</t>
        </is>
      </c>
      <c r="F7874" t="inlineStr">
        <is>
          <t>SCA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30391-2025</t>
        </is>
      </c>
      <c r="B7875" s="1" t="n">
        <v>45827.57387731481</v>
      </c>
      <c r="C7875" s="1" t="n">
        <v>46045</v>
      </c>
      <c r="D7875" t="inlineStr">
        <is>
          <t>JÄMTLANDS LÄN</t>
        </is>
      </c>
      <c r="E7875" t="inlineStr">
        <is>
          <t>BRÄCKE</t>
        </is>
      </c>
      <c r="F7875" t="inlineStr">
        <is>
          <t>SCA</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30395-2025</t>
        </is>
      </c>
      <c r="B7876" s="1" t="n">
        <v>45827.57462962963</v>
      </c>
      <c r="C7876" s="1" t="n">
        <v>46045</v>
      </c>
      <c r="D7876" t="inlineStr">
        <is>
          <t>JÄMTLANDS LÄN</t>
        </is>
      </c>
      <c r="E7876" t="inlineStr">
        <is>
          <t>STRÖMSUND</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57046-2025</t>
        </is>
      </c>
      <c r="B7877" s="1" t="n">
        <v>45979.34672453703</v>
      </c>
      <c r="C7877" s="1" t="n">
        <v>46045</v>
      </c>
      <c r="D7877" t="inlineStr">
        <is>
          <t>JÄMTLANDS LÄN</t>
        </is>
      </c>
      <c r="E7877" t="inlineStr">
        <is>
          <t>BERG</t>
        </is>
      </c>
      <c r="F7877" t="inlineStr">
        <is>
          <t>SCA</t>
        </is>
      </c>
      <c r="G7877" t="n">
        <v>10.8</v>
      </c>
      <c r="H7877" t="n">
        <v>0</v>
      </c>
      <c r="I7877" t="n">
        <v>0</v>
      </c>
      <c r="J7877" t="n">
        <v>0</v>
      </c>
      <c r="K7877" t="n">
        <v>0</v>
      </c>
      <c r="L7877" t="n">
        <v>0</v>
      </c>
      <c r="M7877" t="n">
        <v>0</v>
      </c>
      <c r="N7877" t="n">
        <v>0</v>
      </c>
      <c r="O7877" t="n">
        <v>0</v>
      </c>
      <c r="P7877" t="n">
        <v>0</v>
      </c>
      <c r="Q7877" t="n">
        <v>0</v>
      </c>
      <c r="R7877" s="2" t="inlineStr"/>
    </row>
    <row r="7878" ht="15" customHeight="1">
      <c r="A7878" t="inlineStr">
        <is>
          <t>A 57050-2025</t>
        </is>
      </c>
      <c r="B7878" s="1" t="n">
        <v>45979.34721064815</v>
      </c>
      <c r="C7878" s="1" t="n">
        <v>46045</v>
      </c>
      <c r="D7878" t="inlineStr">
        <is>
          <t>JÄMTLANDS LÄN</t>
        </is>
      </c>
      <c r="E7878" t="inlineStr">
        <is>
          <t>BRÄCKE</t>
        </is>
      </c>
      <c r="F7878" t="inlineStr">
        <is>
          <t>SCA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57354-2025</t>
        </is>
      </c>
      <c r="B7879" s="1" t="n">
        <v>45980.36532407408</v>
      </c>
      <c r="C7879" s="1" t="n">
        <v>46045</v>
      </c>
      <c r="D7879" t="inlineStr">
        <is>
          <t>JÄMTLANDS LÄN</t>
        </is>
      </c>
      <c r="E7879" t="inlineStr">
        <is>
          <t>BRÄCKE</t>
        </is>
      </c>
      <c r="F7879" t="inlineStr">
        <is>
          <t>SCA</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62674-2021</t>
        </is>
      </c>
      <c r="B7880" s="1" t="n">
        <v>44503.94478009259</v>
      </c>
      <c r="C7880" s="1" t="n">
        <v>46045</v>
      </c>
      <c r="D7880" t="inlineStr">
        <is>
          <t>JÄMTLANDS LÄN</t>
        </is>
      </c>
      <c r="E7880" t="inlineStr">
        <is>
          <t>BRÄCKE</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8654-2024</t>
        </is>
      </c>
      <c r="B7881" s="1" t="n">
        <v>45356.03784722222</v>
      </c>
      <c r="C7881" s="1" t="n">
        <v>46045</v>
      </c>
      <c r="D7881" t="inlineStr">
        <is>
          <t>JÄMTLANDS LÄN</t>
        </is>
      </c>
      <c r="E7881" t="inlineStr">
        <is>
          <t>RAGUNDA</t>
        </is>
      </c>
      <c r="F7881" t="inlineStr">
        <is>
          <t>SCA</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57557-2025</t>
        </is>
      </c>
      <c r="B7882" s="1" t="n">
        <v>45980.69466435185</v>
      </c>
      <c r="C7882" s="1" t="n">
        <v>46045</v>
      </c>
      <c r="D7882" t="inlineStr">
        <is>
          <t>JÄMTLANDS LÄN</t>
        </is>
      </c>
      <c r="E7882" t="inlineStr">
        <is>
          <t>STRÖMSUND</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57109-2025</t>
        </is>
      </c>
      <c r="B7883" s="1" t="n">
        <v>45979.45319444445</v>
      </c>
      <c r="C7883" s="1" t="n">
        <v>46045</v>
      </c>
      <c r="D7883" t="inlineStr">
        <is>
          <t>JÄMTLANDS LÄN</t>
        </is>
      </c>
      <c r="E7883" t="inlineStr">
        <is>
          <t>HÄRJEDALEN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30425-2025</t>
        </is>
      </c>
      <c r="B7884" s="1" t="n">
        <v>45827.61511574074</v>
      </c>
      <c r="C7884" s="1" t="n">
        <v>46045</v>
      </c>
      <c r="D7884" t="inlineStr">
        <is>
          <t>JÄMTLANDS LÄN</t>
        </is>
      </c>
      <c r="E7884" t="inlineStr">
        <is>
          <t>BRÄCKE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9325-2024</t>
        </is>
      </c>
      <c r="B7885" s="1" t="n">
        <v>45358.95813657407</v>
      </c>
      <c r="C7885" s="1" t="n">
        <v>46045</v>
      </c>
      <c r="D7885" t="inlineStr">
        <is>
          <t>JÄMTLANDS LÄN</t>
        </is>
      </c>
      <c r="E7885" t="inlineStr">
        <is>
          <t>RAGUNDA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25535-2023</t>
        </is>
      </c>
      <c r="B7886" s="1" t="n">
        <v>45089.54944444444</v>
      </c>
      <c r="C7886" s="1" t="n">
        <v>46045</v>
      </c>
      <c r="D7886" t="inlineStr">
        <is>
          <t>JÄMTLANDS LÄN</t>
        </is>
      </c>
      <c r="E7886" t="inlineStr">
        <is>
          <t>ÖSTERSUND</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36588-2025</t>
        </is>
      </c>
      <c r="B7887" s="1" t="n">
        <v>45870</v>
      </c>
      <c r="C7887" s="1" t="n">
        <v>46045</v>
      </c>
      <c r="D7887" t="inlineStr">
        <is>
          <t>JÄMTLANDS LÄN</t>
        </is>
      </c>
      <c r="E7887" t="inlineStr">
        <is>
          <t>KROKOM</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30392-2025</t>
        </is>
      </c>
      <c r="B7888" s="1" t="n">
        <v>45827.5740162037</v>
      </c>
      <c r="C7888" s="1" t="n">
        <v>46045</v>
      </c>
      <c r="D7888" t="inlineStr">
        <is>
          <t>JÄMTLANDS LÄN</t>
        </is>
      </c>
      <c r="E7888" t="inlineStr">
        <is>
          <t>BRÄCKE</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30332-2025</t>
        </is>
      </c>
      <c r="B7889" s="1" t="n">
        <v>45827.5084375</v>
      </c>
      <c r="C7889" s="1" t="n">
        <v>46045</v>
      </c>
      <c r="D7889" t="inlineStr">
        <is>
          <t>JÄMTLANDS LÄN</t>
        </is>
      </c>
      <c r="E7889" t="inlineStr">
        <is>
          <t>STRÖMSUND</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30348-2025</t>
        </is>
      </c>
      <c r="B7890" s="1" t="n">
        <v>45827.53178240741</v>
      </c>
      <c r="C7890" s="1" t="n">
        <v>46045</v>
      </c>
      <c r="D7890" t="inlineStr">
        <is>
          <t>JÄMTLANDS LÄN</t>
        </is>
      </c>
      <c r="E7890" t="inlineStr">
        <is>
          <t>RAGUNDA</t>
        </is>
      </c>
      <c r="F7890" t="inlineStr">
        <is>
          <t>SCA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64081-2025</t>
        </is>
      </c>
      <c r="B7891" s="1" t="n">
        <v>46012</v>
      </c>
      <c r="C7891" s="1" t="n">
        <v>46045</v>
      </c>
      <c r="D7891" t="inlineStr">
        <is>
          <t>JÄMTLANDS LÄN</t>
        </is>
      </c>
      <c r="E7891" t="inlineStr">
        <is>
          <t>STRÖMSUND</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57561-2025</t>
        </is>
      </c>
      <c r="B7892" s="1" t="n">
        <v>45980.69885416667</v>
      </c>
      <c r="C7892" s="1" t="n">
        <v>46045</v>
      </c>
      <c r="D7892" t="inlineStr">
        <is>
          <t>JÄMTLANDS LÄN</t>
        </is>
      </c>
      <c r="E7892" t="inlineStr">
        <is>
          <t>RAGUNDA</t>
        </is>
      </c>
      <c r="F7892" t="inlineStr">
        <is>
          <t>SCA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30434-2025</t>
        </is>
      </c>
      <c r="B7893" s="1" t="n">
        <v>45827.63582175926</v>
      </c>
      <c r="C7893" s="1" t="n">
        <v>46045</v>
      </c>
      <c r="D7893" t="inlineStr">
        <is>
          <t>JÄMTLANDS LÄN</t>
        </is>
      </c>
      <c r="E7893" t="inlineStr">
        <is>
          <t>RAGUNDA</t>
        </is>
      </c>
      <c r="F7893" t="inlineStr">
        <is>
          <t>SCA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30138-2025</t>
        </is>
      </c>
      <c r="B7894" s="1" t="n">
        <v>45826.8940162037</v>
      </c>
      <c r="C7894" s="1" t="n">
        <v>46045</v>
      </c>
      <c r="D7894" t="inlineStr">
        <is>
          <t>JÄMTLANDS LÄN</t>
        </is>
      </c>
      <c r="E7894" t="inlineStr">
        <is>
          <t>STRÖMSUND</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30140-2025</t>
        </is>
      </c>
      <c r="B7895" s="1" t="n">
        <v>45826.90293981481</v>
      </c>
      <c r="C7895" s="1" t="n">
        <v>46045</v>
      </c>
      <c r="D7895" t="inlineStr">
        <is>
          <t>JÄMTLANDS LÄN</t>
        </is>
      </c>
      <c r="E7895" t="inlineStr">
        <is>
          <t>STRÖMSUND</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57152-2025</t>
        </is>
      </c>
      <c r="B7896" s="1" t="n">
        <v>45979.50850694445</v>
      </c>
      <c r="C7896" s="1" t="n">
        <v>46045</v>
      </c>
      <c r="D7896" t="inlineStr">
        <is>
          <t>JÄMTLANDS LÄN</t>
        </is>
      </c>
      <c r="E7896" t="inlineStr">
        <is>
          <t>KROKOM</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30188-2025</t>
        </is>
      </c>
      <c r="B7897" s="1" t="n">
        <v>45827.34741898148</v>
      </c>
      <c r="C7897" s="1" t="n">
        <v>46045</v>
      </c>
      <c r="D7897" t="inlineStr">
        <is>
          <t>JÄMTLANDS LÄN</t>
        </is>
      </c>
      <c r="E7897" t="inlineStr">
        <is>
          <t>STRÖMSUND</t>
        </is>
      </c>
      <c r="F7897" t="inlineStr">
        <is>
          <t>SCA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4348-2023</t>
        </is>
      </c>
      <c r="B7898" s="1" t="n">
        <v>44953</v>
      </c>
      <c r="C7898" s="1" t="n">
        <v>46045</v>
      </c>
      <c r="D7898" t="inlineStr">
        <is>
          <t>JÄMTLANDS LÄN</t>
        </is>
      </c>
      <c r="E7898" t="inlineStr">
        <is>
          <t>RAGUNDA</t>
        </is>
      </c>
      <c r="F7898" t="inlineStr">
        <is>
          <t>SCA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64760-2021</t>
        </is>
      </c>
      <c r="B7899" s="1" t="n">
        <v>44503</v>
      </c>
      <c r="C7899" s="1" t="n">
        <v>46045</v>
      </c>
      <c r="D7899" t="inlineStr">
        <is>
          <t>JÄMTLANDS LÄN</t>
        </is>
      </c>
      <c r="E7899" t="inlineStr">
        <is>
          <t>STRÖMSUND</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8678-2023</t>
        </is>
      </c>
      <c r="B7900" s="1" t="n">
        <v>44977.98660879629</v>
      </c>
      <c r="C7900" s="1" t="n">
        <v>46045</v>
      </c>
      <c r="D7900" t="inlineStr">
        <is>
          <t>JÄMTLANDS LÄN</t>
        </is>
      </c>
      <c r="E7900" t="inlineStr">
        <is>
          <t>RAGUNDA</t>
        </is>
      </c>
      <c r="F7900" t="inlineStr">
        <is>
          <t>SCA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64486-2023</t>
        </is>
      </c>
      <c r="B7901" s="1" t="n">
        <v>45280</v>
      </c>
      <c r="C7901" s="1" t="n">
        <v>46045</v>
      </c>
      <c r="D7901" t="inlineStr">
        <is>
          <t>JÄMTLANDS LÄN</t>
        </is>
      </c>
      <c r="E7901" t="inlineStr">
        <is>
          <t>BERG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64488-2023</t>
        </is>
      </c>
      <c r="B7902" s="1" t="n">
        <v>45280.92618055556</v>
      </c>
      <c r="C7902" s="1" t="n">
        <v>46045</v>
      </c>
      <c r="D7902" t="inlineStr">
        <is>
          <t>JÄMTLANDS LÄN</t>
        </is>
      </c>
      <c r="E7902" t="inlineStr">
        <is>
          <t>BERG</t>
        </is>
      </c>
      <c r="F7902" t="inlineStr">
        <is>
          <t>Övriga Aktiebolag</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30407-2025</t>
        </is>
      </c>
      <c r="B7903" s="1" t="n">
        <v>45827.59425925926</v>
      </c>
      <c r="C7903" s="1" t="n">
        <v>46045</v>
      </c>
      <c r="D7903" t="inlineStr">
        <is>
          <t>JÄMTLANDS LÄN</t>
        </is>
      </c>
      <c r="E7903" t="inlineStr">
        <is>
          <t>STRÖMSUND</t>
        </is>
      </c>
      <c r="F7903" t="inlineStr">
        <is>
          <t>SCA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30210-2025</t>
        </is>
      </c>
      <c r="B7904" s="1" t="n">
        <v>45827.36590277778</v>
      </c>
      <c r="C7904" s="1" t="n">
        <v>46045</v>
      </c>
      <c r="D7904" t="inlineStr">
        <is>
          <t>JÄMTLANDS LÄN</t>
        </is>
      </c>
      <c r="E7904" t="inlineStr">
        <is>
          <t>ÖSTERSUND</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6048-2024</t>
        </is>
      </c>
      <c r="B7905" s="1" t="n">
        <v>45336</v>
      </c>
      <c r="C7905" s="1" t="n">
        <v>46045</v>
      </c>
      <c r="D7905" t="inlineStr">
        <is>
          <t>JÄMTLANDS LÄN</t>
        </is>
      </c>
      <c r="E7905" t="inlineStr">
        <is>
          <t>ÖSTERSUND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57208-2025</t>
        </is>
      </c>
      <c r="B7906" s="1" t="n">
        <v>45979</v>
      </c>
      <c r="C7906" s="1" t="n">
        <v>46045</v>
      </c>
      <c r="D7906" t="inlineStr">
        <is>
          <t>JÄMTLANDS LÄN</t>
        </is>
      </c>
      <c r="E7906" t="inlineStr">
        <is>
          <t>STRÖMSUND</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57036-2025</t>
        </is>
      </c>
      <c r="B7907" s="1" t="n">
        <v>45979.34494212963</v>
      </c>
      <c r="C7907" s="1" t="n">
        <v>46045</v>
      </c>
      <c r="D7907" t="inlineStr">
        <is>
          <t>JÄMTLANDS LÄN</t>
        </is>
      </c>
      <c r="E7907" t="inlineStr">
        <is>
          <t>BRÄCKE</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57040-2025</t>
        </is>
      </c>
      <c r="B7908" s="1" t="n">
        <v>45979.34563657407</v>
      </c>
      <c r="C7908" s="1" t="n">
        <v>46045</v>
      </c>
      <c r="D7908" t="inlineStr">
        <is>
          <t>JÄMTLANDS LÄN</t>
        </is>
      </c>
      <c r="E7908" t="inlineStr">
        <is>
          <t>STRÖMSUND</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57560-2025</t>
        </is>
      </c>
      <c r="B7909" s="1" t="n">
        <v>45980.6987962963</v>
      </c>
      <c r="C7909" s="1" t="n">
        <v>46045</v>
      </c>
      <c r="D7909" t="inlineStr">
        <is>
          <t>JÄMTLANDS LÄN</t>
        </is>
      </c>
      <c r="E7909" t="inlineStr">
        <is>
          <t>RAGUNDA</t>
        </is>
      </c>
      <c r="F7909" t="inlineStr">
        <is>
          <t>SCA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30313-2025</t>
        </is>
      </c>
      <c r="B7910" s="1" t="n">
        <v>45827.49033564814</v>
      </c>
      <c r="C7910" s="1" t="n">
        <v>46045</v>
      </c>
      <c r="D7910" t="inlineStr">
        <is>
          <t>JÄMTLANDS LÄN</t>
        </is>
      </c>
      <c r="E7910" t="inlineStr">
        <is>
          <t>BRÄCKE</t>
        </is>
      </c>
      <c r="F7910" t="inlineStr">
        <is>
          <t>SCA</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30314-2025</t>
        </is>
      </c>
      <c r="B7911" s="1" t="n">
        <v>45827.49047453704</v>
      </c>
      <c r="C7911" s="1" t="n">
        <v>46045</v>
      </c>
      <c r="D7911" t="inlineStr">
        <is>
          <t>JÄMTLANDS LÄN</t>
        </is>
      </c>
      <c r="E7911" t="inlineStr">
        <is>
          <t>BERG</t>
        </is>
      </c>
      <c r="F7911" t="inlineStr">
        <is>
          <t>SCA</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57337-2025</t>
        </is>
      </c>
      <c r="B7912" s="1" t="n">
        <v>45980.34549768519</v>
      </c>
      <c r="C7912" s="1" t="n">
        <v>46045</v>
      </c>
      <c r="D7912" t="inlineStr">
        <is>
          <t>JÄMTLANDS LÄN</t>
        </is>
      </c>
      <c r="E7912" t="inlineStr">
        <is>
          <t>STRÖMSUND</t>
        </is>
      </c>
      <c r="F7912" t="inlineStr">
        <is>
          <t>SCA</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57352-2025</t>
        </is>
      </c>
      <c r="B7913" s="1" t="n">
        <v>45980.36506944444</v>
      </c>
      <c r="C7913" s="1" t="n">
        <v>46045</v>
      </c>
      <c r="D7913" t="inlineStr">
        <is>
          <t>JÄMTLANDS LÄN</t>
        </is>
      </c>
      <c r="E7913" t="inlineStr">
        <is>
          <t>BRÄCKE</t>
        </is>
      </c>
      <c r="F7913" t="inlineStr">
        <is>
          <t>SCA</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34502-2023</t>
        </is>
      </c>
      <c r="B7914" s="1" t="n">
        <v>45133</v>
      </c>
      <c r="C7914" s="1" t="n">
        <v>46045</v>
      </c>
      <c r="D7914" t="inlineStr">
        <is>
          <t>JÄMTLANDS LÄN</t>
        </is>
      </c>
      <c r="E7914" t="inlineStr">
        <is>
          <t>KROKOM</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61815-2021</t>
        </is>
      </c>
      <c r="B7915" s="1" t="n">
        <v>44498</v>
      </c>
      <c r="C7915" s="1" t="n">
        <v>46045</v>
      </c>
      <c r="D7915" t="inlineStr">
        <is>
          <t>JÄMTLANDS LÄN</t>
        </is>
      </c>
      <c r="E7915" t="inlineStr">
        <is>
          <t>ÅRE</t>
        </is>
      </c>
      <c r="G7915" t="n">
        <v>7.4</v>
      </c>
      <c r="H7915" t="n">
        <v>0</v>
      </c>
      <c r="I7915" t="n">
        <v>0</v>
      </c>
      <c r="J7915" t="n">
        <v>0</v>
      </c>
      <c r="K7915" t="n">
        <v>0</v>
      </c>
      <c r="L7915" t="n">
        <v>0</v>
      </c>
      <c r="M7915" t="n">
        <v>0</v>
      </c>
      <c r="N7915" t="n">
        <v>0</v>
      </c>
      <c r="O7915" t="n">
        <v>0</v>
      </c>
      <c r="P7915" t="n">
        <v>0</v>
      </c>
      <c r="Q7915" t="n">
        <v>0</v>
      </c>
      <c r="R7915" s="2" t="inlineStr"/>
    </row>
    <row r="7916" ht="15" customHeight="1">
      <c r="A7916" t="inlineStr">
        <is>
          <t>A 64505-2021</t>
        </is>
      </c>
      <c r="B7916" s="1" t="n">
        <v>44511</v>
      </c>
      <c r="C7916" s="1" t="n">
        <v>46045</v>
      </c>
      <c r="D7916" t="inlineStr">
        <is>
          <t>JÄMTLANDS LÄN</t>
        </is>
      </c>
      <c r="E7916" t="inlineStr">
        <is>
          <t>STRÖMSUND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29766-2023</t>
        </is>
      </c>
      <c r="B7917" s="1" t="n">
        <v>45098</v>
      </c>
      <c r="C7917" s="1" t="n">
        <v>46045</v>
      </c>
      <c r="D7917" t="inlineStr">
        <is>
          <t>JÄMTLANDS LÄN</t>
        </is>
      </c>
      <c r="E7917" t="inlineStr">
        <is>
          <t>RAGUNDA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58039-2021</t>
        </is>
      </c>
      <c r="B7918" s="1" t="n">
        <v>44487</v>
      </c>
      <c r="C7918" s="1" t="n">
        <v>46045</v>
      </c>
      <c r="D7918" t="inlineStr">
        <is>
          <t>JÄMTLANDS LÄN</t>
        </is>
      </c>
      <c r="E7918" t="inlineStr">
        <is>
          <t>BRÄCKE</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71307-2021</t>
        </is>
      </c>
      <c r="B7919" s="1" t="n">
        <v>44539</v>
      </c>
      <c r="C7919" s="1" t="n">
        <v>46045</v>
      </c>
      <c r="D7919" t="inlineStr">
        <is>
          <t>JÄMTLANDS LÄN</t>
        </is>
      </c>
      <c r="E7919" t="inlineStr">
        <is>
          <t>KROKOM</t>
        </is>
      </c>
      <c r="G7919" t="n">
        <v>21.5</v>
      </c>
      <c r="H7919" t="n">
        <v>0</v>
      </c>
      <c r="I7919" t="n">
        <v>0</v>
      </c>
      <c r="J7919" t="n">
        <v>0</v>
      </c>
      <c r="K7919" t="n">
        <v>0</v>
      </c>
      <c r="L7919" t="n">
        <v>0</v>
      </c>
      <c r="M7919" t="n">
        <v>0</v>
      </c>
      <c r="N7919" t="n">
        <v>0</v>
      </c>
      <c r="O7919" t="n">
        <v>0</v>
      </c>
      <c r="P7919" t="n">
        <v>0</v>
      </c>
      <c r="Q7919" t="n">
        <v>0</v>
      </c>
      <c r="R7919" s="2" t="inlineStr"/>
    </row>
    <row r="7920" ht="15" customHeight="1">
      <c r="A7920" t="inlineStr">
        <is>
          <t>A 57013-2025</t>
        </is>
      </c>
      <c r="B7920" s="1" t="n">
        <v>45978.82456018519</v>
      </c>
      <c r="C7920" s="1" t="n">
        <v>46045</v>
      </c>
      <c r="D7920" t="inlineStr">
        <is>
          <t>JÄMTLANDS LÄN</t>
        </is>
      </c>
      <c r="E7920" t="inlineStr">
        <is>
          <t>HÄRJEDALEN</t>
        </is>
      </c>
      <c r="F7920" t="inlineStr">
        <is>
          <t>Bergvik skog väst AB</t>
        </is>
      </c>
      <c r="G7920" t="n">
        <v>36.5</v>
      </c>
      <c r="H7920" t="n">
        <v>0</v>
      </c>
      <c r="I7920" t="n">
        <v>0</v>
      </c>
      <c r="J7920" t="n">
        <v>0</v>
      </c>
      <c r="K7920" t="n">
        <v>0</v>
      </c>
      <c r="L7920" t="n">
        <v>0</v>
      </c>
      <c r="M7920" t="n">
        <v>0</v>
      </c>
      <c r="N7920" t="n">
        <v>0</v>
      </c>
      <c r="O7920" t="n">
        <v>0</v>
      </c>
      <c r="P7920" t="n">
        <v>0</v>
      </c>
      <c r="Q7920" t="n">
        <v>0</v>
      </c>
      <c r="R7920" s="2" t="inlineStr"/>
    </row>
    <row r="7921" ht="15" customHeight="1">
      <c r="A7921" t="inlineStr">
        <is>
          <t>A 57039-2025</t>
        </is>
      </c>
      <c r="B7921" s="1" t="n">
        <v>45979.34543981482</v>
      </c>
      <c r="C7921" s="1" t="n">
        <v>46045</v>
      </c>
      <c r="D7921" t="inlineStr">
        <is>
          <t>JÄMTLANDS LÄN</t>
        </is>
      </c>
      <c r="E7921" t="inlineStr">
        <is>
          <t>BERG</t>
        </is>
      </c>
      <c r="F7921" t="inlineStr">
        <is>
          <t>SCA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63807-2025</t>
        </is>
      </c>
      <c r="B7922" s="1" t="n">
        <v>46019</v>
      </c>
      <c r="C7922" s="1" t="n">
        <v>46045</v>
      </c>
      <c r="D7922" t="inlineStr">
        <is>
          <t>JÄMTLANDS LÄN</t>
        </is>
      </c>
      <c r="E7922" t="inlineStr">
        <is>
          <t>ÖSTERSUND</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64108-2025</t>
        </is>
      </c>
      <c r="B7923" s="1" t="n">
        <v>46013</v>
      </c>
      <c r="C7923" s="1" t="n">
        <v>46045</v>
      </c>
      <c r="D7923" t="inlineStr">
        <is>
          <t>JÄMTLANDS LÄN</t>
        </is>
      </c>
      <c r="E7923" t="inlineStr">
        <is>
          <t>RAGUNDA</t>
        </is>
      </c>
      <c r="F7923" t="inlineStr">
        <is>
          <t>Kyrkan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41633-2024</t>
        </is>
      </c>
      <c r="B7924" s="1" t="n">
        <v>45560.61454861111</v>
      </c>
      <c r="C7924" s="1" t="n">
        <v>46045</v>
      </c>
      <c r="D7924" t="inlineStr">
        <is>
          <t>JÄMTLANDS LÄN</t>
        </is>
      </c>
      <c r="E7924" t="inlineStr">
        <is>
          <t>STRÖMSUND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57498-2025</t>
        </is>
      </c>
      <c r="B7925" s="1" t="n">
        <v>45980</v>
      </c>
      <c r="C7925" s="1" t="n">
        <v>46045</v>
      </c>
      <c r="D7925" t="inlineStr">
        <is>
          <t>JÄMTLANDS LÄN</t>
        </is>
      </c>
      <c r="E7925" t="inlineStr">
        <is>
          <t>STRÖMSUND</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57518-2025</t>
        </is>
      </c>
      <c r="B7926" s="1" t="n">
        <v>45979</v>
      </c>
      <c r="C7926" s="1" t="n">
        <v>46045</v>
      </c>
      <c r="D7926" t="inlineStr">
        <is>
          <t>JÄMTLANDS LÄN</t>
        </is>
      </c>
      <c r="E7926" t="inlineStr">
        <is>
          <t>HÄRJEDALEN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64022-2025</t>
        </is>
      </c>
      <c r="B7927" s="1" t="n">
        <v>46021.46912037037</v>
      </c>
      <c r="C7927" s="1" t="n">
        <v>46045</v>
      </c>
      <c r="D7927" t="inlineStr">
        <is>
          <t>JÄMTLANDS LÄN</t>
        </is>
      </c>
      <c r="E7927" t="inlineStr">
        <is>
          <t>ÖSTERSUND</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17313-2025</t>
        </is>
      </c>
      <c r="B7928" s="1" t="n">
        <v>45756.61498842593</v>
      </c>
      <c r="C7928" s="1" t="n">
        <v>46045</v>
      </c>
      <c r="D7928" t="inlineStr">
        <is>
          <t>JÄMTLANDS LÄN</t>
        </is>
      </c>
      <c r="E7928" t="inlineStr">
        <is>
          <t>BRÄCKE</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57184-2025</t>
        </is>
      </c>
      <c r="B7929" s="1" t="n">
        <v>45979.57361111111</v>
      </c>
      <c r="C7929" s="1" t="n">
        <v>46045</v>
      </c>
      <c r="D7929" t="inlineStr">
        <is>
          <t>JÄMTLANDS LÄN</t>
        </is>
      </c>
      <c r="E7929" t="inlineStr">
        <is>
          <t>RAGUNDA</t>
        </is>
      </c>
      <c r="F7929" t="inlineStr">
        <is>
          <t>SCA</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30755-2025</t>
        </is>
      </c>
      <c r="B7930" s="1" t="n">
        <v>45831.59438657408</v>
      </c>
      <c r="C7930" s="1" t="n">
        <v>46045</v>
      </c>
      <c r="D7930" t="inlineStr">
        <is>
          <t>JÄMTLANDS LÄN</t>
        </is>
      </c>
      <c r="E7930" t="inlineStr">
        <is>
          <t>STRÖMSUND</t>
        </is>
      </c>
      <c r="F7930" t="inlineStr">
        <is>
          <t>SCA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57513-2025</t>
        </is>
      </c>
      <c r="B7931" s="1" t="n">
        <v>45980.61142361111</v>
      </c>
      <c r="C7931" s="1" t="n">
        <v>46045</v>
      </c>
      <c r="D7931" t="inlineStr">
        <is>
          <t>JÄMTLANDS LÄN</t>
        </is>
      </c>
      <c r="E7931" t="inlineStr">
        <is>
          <t>ÖSTERSUND</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30805-2025</t>
        </is>
      </c>
      <c r="B7932" s="1" t="n">
        <v>45831.65662037037</v>
      </c>
      <c r="C7932" s="1" t="n">
        <v>46045</v>
      </c>
      <c r="D7932" t="inlineStr">
        <is>
          <t>JÄMTLANDS LÄN</t>
        </is>
      </c>
      <c r="E7932" t="inlineStr">
        <is>
          <t>STRÖMSUND</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6394-2021</t>
        </is>
      </c>
      <c r="B7933" s="1" t="n">
        <v>44232</v>
      </c>
      <c r="C7933" s="1" t="n">
        <v>46045</v>
      </c>
      <c r="D7933" t="inlineStr">
        <is>
          <t>JÄMTLANDS LÄN</t>
        </is>
      </c>
      <c r="E7933" t="inlineStr">
        <is>
          <t>STRÖMSUND</t>
        </is>
      </c>
      <c r="F7933" t="inlineStr">
        <is>
          <t>Kommuner</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58098-2025</t>
        </is>
      </c>
      <c r="B7934" s="1" t="n">
        <v>45982</v>
      </c>
      <c r="C7934" s="1" t="n">
        <v>46045</v>
      </c>
      <c r="D7934" t="inlineStr">
        <is>
          <t>JÄMTLANDS LÄN</t>
        </is>
      </c>
      <c r="E7934" t="inlineStr">
        <is>
          <t>HÄRJEDALEN</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57239-2023</t>
        </is>
      </c>
      <c r="B7935" s="1" t="n">
        <v>45245.5478125</v>
      </c>
      <c r="C7935" s="1" t="n">
        <v>46045</v>
      </c>
      <c r="D7935" t="inlineStr">
        <is>
          <t>JÄMTLANDS LÄN</t>
        </is>
      </c>
      <c r="E7935" t="inlineStr">
        <is>
          <t>KROKOM</t>
        </is>
      </c>
      <c r="F7935" t="inlineStr">
        <is>
          <t>Övriga Aktiebolag</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58099-2025</t>
        </is>
      </c>
      <c r="B7936" s="1" t="n">
        <v>45982.5862037037</v>
      </c>
      <c r="C7936" s="1" t="n">
        <v>46045</v>
      </c>
      <c r="D7936" t="inlineStr">
        <is>
          <t>JÄMTLANDS LÄN</t>
        </is>
      </c>
      <c r="E7936" t="inlineStr">
        <is>
          <t>ÖSTERSUND</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58132-2025</t>
        </is>
      </c>
      <c r="B7937" s="1" t="n">
        <v>45982.61650462963</v>
      </c>
      <c r="C7937" s="1" t="n">
        <v>46045</v>
      </c>
      <c r="D7937" t="inlineStr">
        <is>
          <t>JÄMTLANDS LÄN</t>
        </is>
      </c>
      <c r="E7937" t="inlineStr">
        <is>
          <t>BRÄCKE</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30732-2025</t>
        </is>
      </c>
      <c r="B7938" s="1" t="n">
        <v>45831.57324074074</v>
      </c>
      <c r="C7938" s="1" t="n">
        <v>46045</v>
      </c>
      <c r="D7938" t="inlineStr">
        <is>
          <t>JÄMTLANDS LÄN</t>
        </is>
      </c>
      <c r="E7938" t="inlineStr">
        <is>
          <t>BRÄCKE</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85-2026</t>
        </is>
      </c>
      <c r="B7939" s="1" t="n">
        <v>46014</v>
      </c>
      <c r="C7939" s="1" t="n">
        <v>46045</v>
      </c>
      <c r="D7939" t="inlineStr">
        <is>
          <t>JÄMTLANDS LÄN</t>
        </is>
      </c>
      <c r="E7939" t="inlineStr">
        <is>
          <t>KROKOM</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58161-2025</t>
        </is>
      </c>
      <c r="B7940" s="1" t="n">
        <v>45982</v>
      </c>
      <c r="C7940" s="1" t="n">
        <v>46045</v>
      </c>
      <c r="D7940" t="inlineStr">
        <is>
          <t>JÄMTLANDS LÄN</t>
        </is>
      </c>
      <c r="E7940" t="inlineStr">
        <is>
          <t>STRÖMSUND</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57627-2025</t>
        </is>
      </c>
      <c r="B7941" s="1" t="n">
        <v>45981.34583333333</v>
      </c>
      <c r="C7941" s="1" t="n">
        <v>46045</v>
      </c>
      <c r="D7941" t="inlineStr">
        <is>
          <t>JÄMTLANDS LÄN</t>
        </is>
      </c>
      <c r="E7941" t="inlineStr">
        <is>
          <t>ÅRE</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122-2026</t>
        </is>
      </c>
      <c r="B7942" s="1" t="n">
        <v>46024.57335648148</v>
      </c>
      <c r="C7942" s="1" t="n">
        <v>46045</v>
      </c>
      <c r="D7942" t="inlineStr">
        <is>
          <t>JÄMTLANDS LÄN</t>
        </is>
      </c>
      <c r="E7942" t="inlineStr">
        <is>
          <t>RAGUNDA</t>
        </is>
      </c>
      <c r="F7942" t="inlineStr">
        <is>
          <t>SCA</t>
        </is>
      </c>
      <c r="G7942" t="n">
        <v>15.3</v>
      </c>
      <c r="H7942" t="n">
        <v>0</v>
      </c>
      <c r="I7942" t="n">
        <v>0</v>
      </c>
      <c r="J7942" t="n">
        <v>0</v>
      </c>
      <c r="K7942" t="n">
        <v>0</v>
      </c>
      <c r="L7942" t="n">
        <v>0</v>
      </c>
      <c r="M7942" t="n">
        <v>0</v>
      </c>
      <c r="N7942" t="n">
        <v>0</v>
      </c>
      <c r="O7942" t="n">
        <v>0</v>
      </c>
      <c r="P7942" t="n">
        <v>0</v>
      </c>
      <c r="Q7942" t="n">
        <v>0</v>
      </c>
      <c r="R7942" s="2" t="inlineStr"/>
    </row>
    <row r="7943" ht="15" customHeight="1">
      <c r="A7943" t="inlineStr">
        <is>
          <t>A 57607-2025</t>
        </is>
      </c>
      <c r="B7943" s="1" t="n">
        <v>45981</v>
      </c>
      <c r="C7943" s="1" t="n">
        <v>46045</v>
      </c>
      <c r="D7943" t="inlineStr">
        <is>
          <t>JÄMTLANDS LÄN</t>
        </is>
      </c>
      <c r="E7943" t="inlineStr">
        <is>
          <t>BRÄCKE</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57602-2025</t>
        </is>
      </c>
      <c r="B7944" s="1" t="n">
        <v>45981.31667824074</v>
      </c>
      <c r="C7944" s="1" t="n">
        <v>46045</v>
      </c>
      <c r="D7944" t="inlineStr">
        <is>
          <t>JÄMTLANDS LÄN</t>
        </is>
      </c>
      <c r="E7944" t="inlineStr">
        <is>
          <t>BERG</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62579-2025</t>
        </is>
      </c>
      <c r="B7945" s="1" t="n">
        <v>46007</v>
      </c>
      <c r="C7945" s="1" t="n">
        <v>46045</v>
      </c>
      <c r="D7945" t="inlineStr">
        <is>
          <t>JÄMTLANDS LÄN</t>
        </is>
      </c>
      <c r="E7945" t="inlineStr">
        <is>
          <t>STRÖMSUND</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31148-2025</t>
        </is>
      </c>
      <c r="B7946" s="1" t="n">
        <v>45832.64047453704</v>
      </c>
      <c r="C7946" s="1" t="n">
        <v>46045</v>
      </c>
      <c r="D7946" t="inlineStr">
        <is>
          <t>JÄMTLANDS LÄN</t>
        </is>
      </c>
      <c r="E7946" t="inlineStr">
        <is>
          <t>HÄRJEDALEN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58128-2025</t>
        </is>
      </c>
      <c r="B7947" s="1" t="n">
        <v>45982.61541666667</v>
      </c>
      <c r="C7947" s="1" t="n">
        <v>46045</v>
      </c>
      <c r="D7947" t="inlineStr">
        <is>
          <t>JÄMTLANDS LÄN</t>
        </is>
      </c>
      <c r="E7947" t="inlineStr">
        <is>
          <t>KROKOM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58129-2025</t>
        </is>
      </c>
      <c r="B7948" s="1" t="n">
        <v>45982.61546296296</v>
      </c>
      <c r="C7948" s="1" t="n">
        <v>46045</v>
      </c>
      <c r="D7948" t="inlineStr">
        <is>
          <t>JÄMTLANDS LÄN</t>
        </is>
      </c>
      <c r="E7948" t="inlineStr">
        <is>
          <t>KROKOM</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58131-2025</t>
        </is>
      </c>
      <c r="B7949" s="1" t="n">
        <v>45982.61557870371</v>
      </c>
      <c r="C7949" s="1" t="n">
        <v>46045</v>
      </c>
      <c r="D7949" t="inlineStr">
        <is>
          <t>JÄMTLANDS LÄN</t>
        </is>
      </c>
      <c r="E7949" t="inlineStr">
        <is>
          <t>KROKOM</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57704-2025</t>
        </is>
      </c>
      <c r="B7950" s="1" t="n">
        <v>45981.46940972222</v>
      </c>
      <c r="C7950" s="1" t="n">
        <v>46045</v>
      </c>
      <c r="D7950" t="inlineStr">
        <is>
          <t>JÄMTLANDS LÄN</t>
        </is>
      </c>
      <c r="E7950" t="inlineStr">
        <is>
          <t>STRÖMSUND</t>
        </is>
      </c>
      <c r="G7950" t="n">
        <v>6.6</v>
      </c>
      <c r="H7950" t="n">
        <v>0</v>
      </c>
      <c r="I7950" t="n">
        <v>0</v>
      </c>
      <c r="J7950" t="n">
        <v>0</v>
      </c>
      <c r="K7950" t="n">
        <v>0</v>
      </c>
      <c r="L7950" t="n">
        <v>0</v>
      </c>
      <c r="M7950" t="n">
        <v>0</v>
      </c>
      <c r="N7950" t="n">
        <v>0</v>
      </c>
      <c r="O7950" t="n">
        <v>0</v>
      </c>
      <c r="P7950" t="n">
        <v>0</v>
      </c>
      <c r="Q7950" t="n">
        <v>0</v>
      </c>
      <c r="R7950" s="2" t="inlineStr"/>
    </row>
    <row r="7951" ht="15" customHeight="1">
      <c r="A7951" t="inlineStr">
        <is>
          <t>A 57839-2025</t>
        </is>
      </c>
      <c r="B7951" s="1" t="n">
        <v>45981.62309027778</v>
      </c>
      <c r="C7951" s="1" t="n">
        <v>46045</v>
      </c>
      <c r="D7951" t="inlineStr">
        <is>
          <t>JÄMTLANDS LÄN</t>
        </is>
      </c>
      <c r="E7951" t="inlineStr">
        <is>
          <t>HÄRJEDALEN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57849-2025</t>
        </is>
      </c>
      <c r="B7952" s="1" t="n">
        <v>45981.63472222222</v>
      </c>
      <c r="C7952" s="1" t="n">
        <v>46045</v>
      </c>
      <c r="D7952" t="inlineStr">
        <is>
          <t>JÄMTLANDS LÄN</t>
        </is>
      </c>
      <c r="E7952" t="inlineStr">
        <is>
          <t>BERG</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57714-2025</t>
        </is>
      </c>
      <c r="B7953" s="1" t="n">
        <v>45981.47986111111</v>
      </c>
      <c r="C7953" s="1" t="n">
        <v>46045</v>
      </c>
      <c r="D7953" t="inlineStr">
        <is>
          <t>JÄMTLANDS LÄN</t>
        </is>
      </c>
      <c r="E7953" t="inlineStr">
        <is>
          <t>STRÖMSUND</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57720-2025</t>
        </is>
      </c>
      <c r="B7954" s="1" t="n">
        <v>45981.48717592593</v>
      </c>
      <c r="C7954" s="1" t="n">
        <v>46045</v>
      </c>
      <c r="D7954" t="inlineStr">
        <is>
          <t>JÄMTLANDS LÄN</t>
        </is>
      </c>
      <c r="E7954" t="inlineStr">
        <is>
          <t>STRÖMSUND</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57622-2025</t>
        </is>
      </c>
      <c r="B7955" s="1" t="n">
        <v>45981.34545138889</v>
      </c>
      <c r="C7955" s="1" t="n">
        <v>46045</v>
      </c>
      <c r="D7955" t="inlineStr">
        <is>
          <t>JÄMTLANDS LÄN</t>
        </is>
      </c>
      <c r="E7955" t="inlineStr">
        <is>
          <t>ÅRE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57816-2025</t>
        </is>
      </c>
      <c r="B7956" s="1" t="n">
        <v>45981.59471064815</v>
      </c>
      <c r="C7956" s="1" t="n">
        <v>46045</v>
      </c>
      <c r="D7956" t="inlineStr">
        <is>
          <t>JÄMTLANDS LÄN</t>
        </is>
      </c>
      <c r="E7956" t="inlineStr">
        <is>
          <t>ÅRE</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57833-2025</t>
        </is>
      </c>
      <c r="B7957" s="1" t="n">
        <v>45981.61541666667</v>
      </c>
      <c r="C7957" s="1" t="n">
        <v>46045</v>
      </c>
      <c r="D7957" t="inlineStr">
        <is>
          <t>JÄMTLANDS LÄN</t>
        </is>
      </c>
      <c r="E7957" t="inlineStr">
        <is>
          <t>RAGUNDA</t>
        </is>
      </c>
      <c r="F7957" t="inlineStr">
        <is>
          <t>SCA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31096-2025</t>
        </is>
      </c>
      <c r="B7958" s="1" t="n">
        <v>45831</v>
      </c>
      <c r="C7958" s="1" t="n">
        <v>46045</v>
      </c>
      <c r="D7958" t="inlineStr">
        <is>
          <t>JÄMTLANDS LÄN</t>
        </is>
      </c>
      <c r="E7958" t="inlineStr">
        <is>
          <t>HÄRJEDALEN</t>
        </is>
      </c>
      <c r="F7958" t="inlineStr">
        <is>
          <t>Bergvik skog väst AB</t>
        </is>
      </c>
      <c r="G7958" t="n">
        <v>11.4</v>
      </c>
      <c r="H7958" t="n">
        <v>0</v>
      </c>
      <c r="I7958" t="n">
        <v>0</v>
      </c>
      <c r="J7958" t="n">
        <v>0</v>
      </c>
      <c r="K7958" t="n">
        <v>0</v>
      </c>
      <c r="L7958" t="n">
        <v>0</v>
      </c>
      <c r="M7958" t="n">
        <v>0</v>
      </c>
      <c r="N7958" t="n">
        <v>0</v>
      </c>
      <c r="O7958" t="n">
        <v>0</v>
      </c>
      <c r="P7958" t="n">
        <v>0</v>
      </c>
      <c r="Q7958" t="n">
        <v>0</v>
      </c>
      <c r="R7958" s="2" t="inlineStr"/>
    </row>
    <row r="7959" ht="15" customHeight="1">
      <c r="A7959" t="inlineStr">
        <is>
          <t>A 30883-2025</t>
        </is>
      </c>
      <c r="B7959" s="1" t="n">
        <v>45832.34552083333</v>
      </c>
      <c r="C7959" s="1" t="n">
        <v>46045</v>
      </c>
      <c r="D7959" t="inlineStr">
        <is>
          <t>JÄMTLANDS LÄN</t>
        </is>
      </c>
      <c r="E7959" t="inlineStr">
        <is>
          <t>RAGUNDA</t>
        </is>
      </c>
      <c r="F7959" t="inlineStr">
        <is>
          <t>SCA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57837-2025</t>
        </is>
      </c>
      <c r="B7960" s="1" t="n">
        <v>45981.61864583333</v>
      </c>
      <c r="C7960" s="1" t="n">
        <v>46045</v>
      </c>
      <c r="D7960" t="inlineStr">
        <is>
          <t>JÄMTLANDS LÄN</t>
        </is>
      </c>
      <c r="E7960" t="inlineStr">
        <is>
          <t>STRÖMSUND</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57850-2025</t>
        </is>
      </c>
      <c r="B7961" s="1" t="n">
        <v>45981.6360300926</v>
      </c>
      <c r="C7961" s="1" t="n">
        <v>46045</v>
      </c>
      <c r="D7961" t="inlineStr">
        <is>
          <t>JÄMTLANDS LÄN</t>
        </is>
      </c>
      <c r="E7961" t="inlineStr">
        <is>
          <t>BRÄCKE</t>
        </is>
      </c>
      <c r="F7961" t="inlineStr">
        <is>
          <t>SCA</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57851-2025</t>
        </is>
      </c>
      <c r="B7962" s="1" t="n">
        <v>45981.63633101852</v>
      </c>
      <c r="C7962" s="1" t="n">
        <v>46045</v>
      </c>
      <c r="D7962" t="inlineStr">
        <is>
          <t>JÄMTLANDS LÄN</t>
        </is>
      </c>
      <c r="E7962" t="inlineStr">
        <is>
          <t>STRÖMSUND</t>
        </is>
      </c>
      <c r="F7962" t="inlineStr">
        <is>
          <t>SCA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34023-2022</t>
        </is>
      </c>
      <c r="B7963" s="1" t="n">
        <v>44790</v>
      </c>
      <c r="C7963" s="1" t="n">
        <v>46045</v>
      </c>
      <c r="D7963" t="inlineStr">
        <is>
          <t>JÄMTLANDS LÄN</t>
        </is>
      </c>
      <c r="E7963" t="inlineStr">
        <is>
          <t>STRÖMSUND</t>
        </is>
      </c>
      <c r="G7963" t="n">
        <v>34.5</v>
      </c>
      <c r="H7963" t="n">
        <v>0</v>
      </c>
      <c r="I7963" t="n">
        <v>0</v>
      </c>
      <c r="J7963" t="n">
        <v>0</v>
      </c>
      <c r="K7963" t="n">
        <v>0</v>
      </c>
      <c r="L7963" t="n">
        <v>0</v>
      </c>
      <c r="M7963" t="n">
        <v>0</v>
      </c>
      <c r="N7963" t="n">
        <v>0</v>
      </c>
      <c r="O7963" t="n">
        <v>0</v>
      </c>
      <c r="P7963" t="n">
        <v>0</v>
      </c>
      <c r="Q7963" t="n">
        <v>0</v>
      </c>
      <c r="R7963" s="2" t="inlineStr"/>
    </row>
    <row r="7964" ht="15" customHeight="1">
      <c r="A7964" t="inlineStr">
        <is>
          <t>A 58091-2025</t>
        </is>
      </c>
      <c r="B7964" s="1" t="n">
        <v>45982.57381944444</v>
      </c>
      <c r="C7964" s="1" t="n">
        <v>46045</v>
      </c>
      <c r="D7964" t="inlineStr">
        <is>
          <t>JÄMTLANDS LÄN</t>
        </is>
      </c>
      <c r="E7964" t="inlineStr">
        <is>
          <t>BRÄCKE</t>
        </is>
      </c>
      <c r="F7964" t="inlineStr">
        <is>
          <t>SCA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31155-2025</t>
        </is>
      </c>
      <c r="B7965" s="1" t="n">
        <v>45832.65060185185</v>
      </c>
      <c r="C7965" s="1" t="n">
        <v>46045</v>
      </c>
      <c r="D7965" t="inlineStr">
        <is>
          <t>JÄMTLANDS LÄN</t>
        </is>
      </c>
      <c r="E7965" t="inlineStr">
        <is>
          <t>STRÖMSUND</t>
        </is>
      </c>
      <c r="F7965" t="inlineStr">
        <is>
          <t>Holmen skog AB</t>
        </is>
      </c>
      <c r="G7965" t="n">
        <v>8.5</v>
      </c>
      <c r="H7965" t="n">
        <v>0</v>
      </c>
      <c r="I7965" t="n">
        <v>0</v>
      </c>
      <c r="J7965" t="n">
        <v>0</v>
      </c>
      <c r="K7965" t="n">
        <v>0</v>
      </c>
      <c r="L7965" t="n">
        <v>0</v>
      </c>
      <c r="M7965" t="n">
        <v>0</v>
      </c>
      <c r="N7965" t="n">
        <v>0</v>
      </c>
      <c r="O7965" t="n">
        <v>0</v>
      </c>
      <c r="P7965" t="n">
        <v>0</v>
      </c>
      <c r="Q7965" t="n">
        <v>0</v>
      </c>
      <c r="R7965" s="2" t="inlineStr"/>
    </row>
    <row r="7966" ht="15" customHeight="1">
      <c r="A7966" t="inlineStr">
        <is>
          <t>A 58116-2025</t>
        </is>
      </c>
      <c r="B7966" s="1" t="n">
        <v>45982</v>
      </c>
      <c r="C7966" s="1" t="n">
        <v>46045</v>
      </c>
      <c r="D7966" t="inlineStr">
        <is>
          <t>JÄMTLANDS LÄN</t>
        </is>
      </c>
      <c r="E7966" t="inlineStr">
        <is>
          <t>HÄRJEDALEN</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58130-2025</t>
        </is>
      </c>
      <c r="B7967" s="1" t="n">
        <v>45982.61550925926</v>
      </c>
      <c r="C7967" s="1" t="n">
        <v>46045</v>
      </c>
      <c r="D7967" t="inlineStr">
        <is>
          <t>JÄMTLANDS LÄN</t>
        </is>
      </c>
      <c r="E7967" t="inlineStr">
        <is>
          <t>KROKOM</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58160-2025</t>
        </is>
      </c>
      <c r="B7968" s="1" t="n">
        <v>45982</v>
      </c>
      <c r="C7968" s="1" t="n">
        <v>46045</v>
      </c>
      <c r="D7968" t="inlineStr">
        <is>
          <t>JÄMTLANDS LÄN</t>
        </is>
      </c>
      <c r="E7968" t="inlineStr">
        <is>
          <t>STRÖMSUND</t>
        </is>
      </c>
      <c r="G7968" t="n">
        <v>20.8</v>
      </c>
      <c r="H7968" t="n">
        <v>0</v>
      </c>
      <c r="I7968" t="n">
        <v>0</v>
      </c>
      <c r="J7968" t="n">
        <v>0</v>
      </c>
      <c r="K7968" t="n">
        <v>0</v>
      </c>
      <c r="L7968" t="n">
        <v>0</v>
      </c>
      <c r="M7968" t="n">
        <v>0</v>
      </c>
      <c r="N7968" t="n">
        <v>0</v>
      </c>
      <c r="O7968" t="n">
        <v>0</v>
      </c>
      <c r="P7968" t="n">
        <v>0</v>
      </c>
      <c r="Q7968" t="n">
        <v>0</v>
      </c>
      <c r="R7968" s="2" t="inlineStr"/>
    </row>
    <row r="7969" ht="15" customHeight="1">
      <c r="A7969" t="inlineStr">
        <is>
          <t>A 30619-2025</t>
        </is>
      </c>
      <c r="B7969" s="1" t="n">
        <v>45831.46922453704</v>
      </c>
      <c r="C7969" s="1" t="n">
        <v>46045</v>
      </c>
      <c r="D7969" t="inlineStr">
        <is>
          <t>JÄMTLANDS LÄN</t>
        </is>
      </c>
      <c r="E7969" t="inlineStr">
        <is>
          <t>BRÄCKE</t>
        </is>
      </c>
      <c r="F7969" t="inlineStr">
        <is>
          <t>SCA</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41070-2024</t>
        </is>
      </c>
      <c r="B7970" s="1" t="n">
        <v>45559.39347222223</v>
      </c>
      <c r="C7970" s="1" t="n">
        <v>46045</v>
      </c>
      <c r="D7970" t="inlineStr">
        <is>
          <t>JÄMTLANDS LÄN</t>
        </is>
      </c>
      <c r="E7970" t="inlineStr">
        <is>
          <t>STRÖMSUND</t>
        </is>
      </c>
      <c r="F7970" t="inlineStr">
        <is>
          <t>Holmen skog AB</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31141-2025</t>
        </is>
      </c>
      <c r="B7971" s="1" t="n">
        <v>45832.63659722222</v>
      </c>
      <c r="C7971" s="1" t="n">
        <v>46045</v>
      </c>
      <c r="D7971" t="inlineStr">
        <is>
          <t>JÄMTLANDS LÄN</t>
        </is>
      </c>
      <c r="E7971" t="inlineStr">
        <is>
          <t>STRÖMSUND</t>
        </is>
      </c>
      <c r="F7971" t="inlineStr">
        <is>
          <t>SCA</t>
        </is>
      </c>
      <c r="G7971" t="n">
        <v>6.5</v>
      </c>
      <c r="H7971" t="n">
        <v>0</v>
      </c>
      <c r="I7971" t="n">
        <v>0</v>
      </c>
      <c r="J7971" t="n">
        <v>0</v>
      </c>
      <c r="K7971" t="n">
        <v>0</v>
      </c>
      <c r="L7971" t="n">
        <v>0</v>
      </c>
      <c r="M7971" t="n">
        <v>0</v>
      </c>
      <c r="N7971" t="n">
        <v>0</v>
      </c>
      <c r="O7971" t="n">
        <v>0</v>
      </c>
      <c r="P7971" t="n">
        <v>0</v>
      </c>
      <c r="Q7971" t="n">
        <v>0</v>
      </c>
      <c r="R7971" s="2" t="inlineStr"/>
    </row>
    <row r="7972" ht="15" customHeight="1">
      <c r="A7972" t="inlineStr">
        <is>
          <t>A 30890-2025</t>
        </is>
      </c>
      <c r="B7972" s="1" t="n">
        <v>45832.34630787037</v>
      </c>
      <c r="C7972" s="1" t="n">
        <v>46045</v>
      </c>
      <c r="D7972" t="inlineStr">
        <is>
          <t>JÄMTLANDS LÄN</t>
        </is>
      </c>
      <c r="E7972" t="inlineStr">
        <is>
          <t>KROKOM</t>
        </is>
      </c>
      <c r="F7972" t="inlineStr">
        <is>
          <t>SCA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58179-2025</t>
        </is>
      </c>
      <c r="B7973" s="1" t="n">
        <v>45982</v>
      </c>
      <c r="C7973" s="1" t="n">
        <v>46045</v>
      </c>
      <c r="D7973" t="inlineStr">
        <is>
          <t>JÄMTLANDS LÄN</t>
        </is>
      </c>
      <c r="E7973" t="inlineStr">
        <is>
          <t>STRÖMSUND</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58013-2025</t>
        </is>
      </c>
      <c r="B7974" s="1" t="n">
        <v>45982.46936342592</v>
      </c>
      <c r="C7974" s="1" t="n">
        <v>46045</v>
      </c>
      <c r="D7974" t="inlineStr">
        <is>
          <t>JÄMTLANDS LÄN</t>
        </is>
      </c>
      <c r="E7974" t="inlineStr">
        <is>
          <t>KROKOM</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31187-2025</t>
        </is>
      </c>
      <c r="B7975" s="1" t="n">
        <v>45832.67828703704</v>
      </c>
      <c r="C7975" s="1" t="n">
        <v>46045</v>
      </c>
      <c r="D7975" t="inlineStr">
        <is>
          <t>JÄMTLANDS LÄN</t>
        </is>
      </c>
      <c r="E7975" t="inlineStr">
        <is>
          <t>STRÖMSUND</t>
        </is>
      </c>
      <c r="F7975" t="inlineStr">
        <is>
          <t>SCA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30833-2025</t>
        </is>
      </c>
      <c r="B7976" s="1" t="n">
        <v>45831.69828703703</v>
      </c>
      <c r="C7976" s="1" t="n">
        <v>46045</v>
      </c>
      <c r="D7976" t="inlineStr">
        <is>
          <t>JÄMTLANDS LÄN</t>
        </is>
      </c>
      <c r="E7976" t="inlineStr">
        <is>
          <t>STRÖMSUND</t>
        </is>
      </c>
      <c r="F7976" t="inlineStr">
        <is>
          <t>SCA</t>
        </is>
      </c>
      <c r="G7976" t="n">
        <v>8.6</v>
      </c>
      <c r="H7976" t="n">
        <v>0</v>
      </c>
      <c r="I7976" t="n">
        <v>0</v>
      </c>
      <c r="J7976" t="n">
        <v>0</v>
      </c>
      <c r="K7976" t="n">
        <v>0</v>
      </c>
      <c r="L7976" t="n">
        <v>0</v>
      </c>
      <c r="M7976" t="n">
        <v>0</v>
      </c>
      <c r="N7976" t="n">
        <v>0</v>
      </c>
      <c r="O7976" t="n">
        <v>0</v>
      </c>
      <c r="P7976" t="n">
        <v>0</v>
      </c>
      <c r="Q7976" t="n">
        <v>0</v>
      </c>
      <c r="R7976" s="2" t="inlineStr"/>
    </row>
    <row r="7977" ht="15" customHeight="1">
      <c r="A7977" t="inlineStr">
        <is>
          <t>A 58141-2025</t>
        </is>
      </c>
      <c r="B7977" s="1" t="n">
        <v>45982.63611111111</v>
      </c>
      <c r="C7977" s="1" t="n">
        <v>46045</v>
      </c>
      <c r="D7977" t="inlineStr">
        <is>
          <t>JÄMTLANDS LÄN</t>
        </is>
      </c>
      <c r="E7977" t="inlineStr">
        <is>
          <t>HÄRJEDALEN</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57824-2025</t>
        </is>
      </c>
      <c r="B7978" s="1" t="n">
        <v>45981.60782407408</v>
      </c>
      <c r="C7978" s="1" t="n">
        <v>46045</v>
      </c>
      <c r="D7978" t="inlineStr">
        <is>
          <t>JÄMTLANDS LÄN</t>
        </is>
      </c>
      <c r="E7978" t="inlineStr">
        <is>
          <t>STRÖMSUND</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13563-2021</t>
        </is>
      </c>
      <c r="B7979" s="1" t="n">
        <v>44273</v>
      </c>
      <c r="C7979" s="1" t="n">
        <v>46045</v>
      </c>
      <c r="D7979" t="inlineStr">
        <is>
          <t>JÄMTLANDS LÄN</t>
        </is>
      </c>
      <c r="E7979" t="inlineStr">
        <is>
          <t>STRÖMSUND</t>
        </is>
      </c>
      <c r="G7979" t="n">
        <v>27.1</v>
      </c>
      <c r="H7979" t="n">
        <v>0</v>
      </c>
      <c r="I7979" t="n">
        <v>0</v>
      </c>
      <c r="J7979" t="n">
        <v>0</v>
      </c>
      <c r="K7979" t="n">
        <v>0</v>
      </c>
      <c r="L7979" t="n">
        <v>0</v>
      </c>
      <c r="M7979" t="n">
        <v>0</v>
      </c>
      <c r="N7979" t="n">
        <v>0</v>
      </c>
      <c r="O7979" t="n">
        <v>0</v>
      </c>
      <c r="P7979" t="n">
        <v>0</v>
      </c>
      <c r="Q7979" t="n">
        <v>0</v>
      </c>
      <c r="R7979" s="2" t="inlineStr"/>
    </row>
    <row r="7980" ht="15" customHeight="1">
      <c r="A7980" t="inlineStr">
        <is>
          <t>A 58162-2025</t>
        </is>
      </c>
      <c r="B7980" s="1" t="n">
        <v>45982</v>
      </c>
      <c r="C7980" s="1" t="n">
        <v>46045</v>
      </c>
      <c r="D7980" t="inlineStr">
        <is>
          <t>JÄMTLANDS LÄN</t>
        </is>
      </c>
      <c r="E7980" t="inlineStr">
        <is>
          <t>STRÖMSUND</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30-2026</t>
        </is>
      </c>
      <c r="B7981" s="1" t="n">
        <v>46024.35299768519</v>
      </c>
      <c r="C7981" s="1" t="n">
        <v>46045</v>
      </c>
      <c r="D7981" t="inlineStr">
        <is>
          <t>JÄMTLANDS LÄN</t>
        </is>
      </c>
      <c r="E7981" t="inlineStr">
        <is>
          <t>KROKOM</t>
        </is>
      </c>
      <c r="F7981" t="inlineStr">
        <is>
          <t>Övriga Aktiebolag</t>
        </is>
      </c>
      <c r="G7981" t="n">
        <v>13.5</v>
      </c>
      <c r="H7981" t="n">
        <v>0</v>
      </c>
      <c r="I7981" t="n">
        <v>0</v>
      </c>
      <c r="J7981" t="n">
        <v>0</v>
      </c>
      <c r="K7981" t="n">
        <v>0</v>
      </c>
      <c r="L7981" t="n">
        <v>0</v>
      </c>
      <c r="M7981" t="n">
        <v>0</v>
      </c>
      <c r="N7981" t="n">
        <v>0</v>
      </c>
      <c r="O7981" t="n">
        <v>0</v>
      </c>
      <c r="P7981" t="n">
        <v>0</v>
      </c>
      <c r="Q7981" t="n">
        <v>0</v>
      </c>
      <c r="R7981" s="2" t="inlineStr"/>
    </row>
    <row r="7982" ht="15" customHeight="1">
      <c r="A7982" t="inlineStr">
        <is>
          <t>A 31255-2025</t>
        </is>
      </c>
      <c r="B7982" s="1" t="n">
        <v>45832</v>
      </c>
      <c r="C7982" s="1" t="n">
        <v>46045</v>
      </c>
      <c r="D7982" t="inlineStr">
        <is>
          <t>JÄMTLANDS LÄN</t>
        </is>
      </c>
      <c r="E7982" t="inlineStr">
        <is>
          <t>HÄRJEDALEN</t>
        </is>
      </c>
      <c r="F7982" t="inlineStr">
        <is>
          <t>Bergvik skog väst AB</t>
        </is>
      </c>
      <c r="G7982" t="n">
        <v>12.9</v>
      </c>
      <c r="H7982" t="n">
        <v>0</v>
      </c>
      <c r="I7982" t="n">
        <v>0</v>
      </c>
      <c r="J7982" t="n">
        <v>0</v>
      </c>
      <c r="K7982" t="n">
        <v>0</v>
      </c>
      <c r="L7982" t="n">
        <v>0</v>
      </c>
      <c r="M7982" t="n">
        <v>0</v>
      </c>
      <c r="N7982" t="n">
        <v>0</v>
      </c>
      <c r="O7982" t="n">
        <v>0</v>
      </c>
      <c r="P7982" t="n">
        <v>0</v>
      </c>
      <c r="Q7982" t="n">
        <v>0</v>
      </c>
      <c r="R7982" s="2" t="inlineStr"/>
    </row>
    <row r="7983" ht="15" customHeight="1">
      <c r="A7983" t="inlineStr">
        <is>
          <t>A 57745-2025</t>
        </is>
      </c>
      <c r="B7983" s="1" t="n">
        <v>45981.53217592592</v>
      </c>
      <c r="C7983" s="1" t="n">
        <v>46045</v>
      </c>
      <c r="D7983" t="inlineStr">
        <is>
          <t>JÄMTLANDS LÄN</t>
        </is>
      </c>
      <c r="E7983" t="inlineStr">
        <is>
          <t>ÅRE</t>
        </is>
      </c>
      <c r="G7983" t="n">
        <v>8.4</v>
      </c>
      <c r="H7983" t="n">
        <v>0</v>
      </c>
      <c r="I7983" t="n">
        <v>0</v>
      </c>
      <c r="J7983" t="n">
        <v>0</v>
      </c>
      <c r="K7983" t="n">
        <v>0</v>
      </c>
      <c r="L7983" t="n">
        <v>0</v>
      </c>
      <c r="M7983" t="n">
        <v>0</v>
      </c>
      <c r="N7983" t="n">
        <v>0</v>
      </c>
      <c r="O7983" t="n">
        <v>0</v>
      </c>
      <c r="P7983" t="n">
        <v>0</v>
      </c>
      <c r="Q7983" t="n">
        <v>0</v>
      </c>
      <c r="R7983" s="2" t="inlineStr"/>
    </row>
    <row r="7984" ht="15" customHeight="1">
      <c r="A7984" t="inlineStr">
        <is>
          <t>A 30263-2023</t>
        </is>
      </c>
      <c r="B7984" s="1" t="n">
        <v>45099</v>
      </c>
      <c r="C7984" s="1" t="n">
        <v>46045</v>
      </c>
      <c r="D7984" t="inlineStr">
        <is>
          <t>JÄMTLANDS LÄN</t>
        </is>
      </c>
      <c r="E7984" t="inlineStr">
        <is>
          <t>ÅRE</t>
        </is>
      </c>
      <c r="G7984" t="n">
        <v>15.9</v>
      </c>
      <c r="H7984" t="n">
        <v>0</v>
      </c>
      <c r="I7984" t="n">
        <v>0</v>
      </c>
      <c r="J7984" t="n">
        <v>0</v>
      </c>
      <c r="K7984" t="n">
        <v>0</v>
      </c>
      <c r="L7984" t="n">
        <v>0</v>
      </c>
      <c r="M7984" t="n">
        <v>0</v>
      </c>
      <c r="N7984" t="n">
        <v>0</v>
      </c>
      <c r="O7984" t="n">
        <v>0</v>
      </c>
      <c r="P7984" t="n">
        <v>0</v>
      </c>
      <c r="Q7984" t="n">
        <v>0</v>
      </c>
      <c r="R7984" s="2" t="inlineStr"/>
    </row>
    <row r="7985" ht="15" customHeight="1">
      <c r="A7985" t="inlineStr">
        <is>
          <t>A 31252-2025</t>
        </is>
      </c>
      <c r="B7985" s="1" t="n">
        <v>45832</v>
      </c>
      <c r="C7985" s="1" t="n">
        <v>46045</v>
      </c>
      <c r="D7985" t="inlineStr">
        <is>
          <t>JÄMTLANDS LÄN</t>
        </is>
      </c>
      <c r="E7985" t="inlineStr">
        <is>
          <t>HÄRJEDALEN</t>
        </is>
      </c>
      <c r="F7985" t="inlineStr">
        <is>
          <t>Bergvik skog väst AB</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16242-2024</t>
        </is>
      </c>
      <c r="B7986" s="1" t="n">
        <v>45407.05734953703</v>
      </c>
      <c r="C7986" s="1" t="n">
        <v>46045</v>
      </c>
      <c r="D7986" t="inlineStr">
        <is>
          <t>JÄMTLANDS LÄN</t>
        </is>
      </c>
      <c r="E7986" t="inlineStr">
        <is>
          <t>STRÖMSUND</t>
        </is>
      </c>
      <c r="F7986" t="inlineStr">
        <is>
          <t>SCA</t>
        </is>
      </c>
      <c r="G7986" t="n">
        <v>31.2</v>
      </c>
      <c r="H7986" t="n">
        <v>0</v>
      </c>
      <c r="I7986" t="n">
        <v>0</v>
      </c>
      <c r="J7986" t="n">
        <v>0</v>
      </c>
      <c r="K7986" t="n">
        <v>0</v>
      </c>
      <c r="L7986" t="n">
        <v>0</v>
      </c>
      <c r="M7986" t="n">
        <v>0</v>
      </c>
      <c r="N7986" t="n">
        <v>0</v>
      </c>
      <c r="O7986" t="n">
        <v>0</v>
      </c>
      <c r="P7986" t="n">
        <v>0</v>
      </c>
      <c r="Q7986" t="n">
        <v>0</v>
      </c>
      <c r="R7986" s="2" t="inlineStr"/>
    </row>
    <row r="7987" ht="15" customHeight="1">
      <c r="A7987" t="inlineStr">
        <is>
          <t>A 31032-2025</t>
        </is>
      </c>
      <c r="B7987" s="1" t="n">
        <v>45832.53935185185</v>
      </c>
      <c r="C7987" s="1" t="n">
        <v>46045</v>
      </c>
      <c r="D7987" t="inlineStr">
        <is>
          <t>JÄMTLANDS LÄN</t>
        </is>
      </c>
      <c r="E7987" t="inlineStr">
        <is>
          <t>KROKOM</t>
        </is>
      </c>
      <c r="F7987" t="inlineStr">
        <is>
          <t>Övriga Aktiebolag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30922-2025</t>
        </is>
      </c>
      <c r="B7988" s="1" t="n">
        <v>45832.3859837963</v>
      </c>
      <c r="C7988" s="1" t="n">
        <v>46045</v>
      </c>
      <c r="D7988" t="inlineStr">
        <is>
          <t>JÄMTLANDS LÄN</t>
        </is>
      </c>
      <c r="E7988" t="inlineStr">
        <is>
          <t>HÄRJEDALEN</t>
        </is>
      </c>
      <c r="F7988" t="inlineStr">
        <is>
          <t>SCA</t>
        </is>
      </c>
      <c r="G7988" t="n">
        <v>17.7</v>
      </c>
      <c r="H7988" t="n">
        <v>0</v>
      </c>
      <c r="I7988" t="n">
        <v>0</v>
      </c>
      <c r="J7988" t="n">
        <v>0</v>
      </c>
      <c r="K7988" t="n">
        <v>0</v>
      </c>
      <c r="L7988" t="n">
        <v>0</v>
      </c>
      <c r="M7988" t="n">
        <v>0</v>
      </c>
      <c r="N7988" t="n">
        <v>0</v>
      </c>
      <c r="O7988" t="n">
        <v>0</v>
      </c>
      <c r="P7988" t="n">
        <v>0</v>
      </c>
      <c r="Q7988" t="n">
        <v>0</v>
      </c>
      <c r="R7988" s="2" t="inlineStr"/>
    </row>
    <row r="7989" ht="15" customHeight="1">
      <c r="A7989" t="inlineStr">
        <is>
          <t>A 16247-2024</t>
        </is>
      </c>
      <c r="B7989" s="1" t="n">
        <v>45407.05797453703</v>
      </c>
      <c r="C7989" s="1" t="n">
        <v>46045</v>
      </c>
      <c r="D7989" t="inlineStr">
        <is>
          <t>JÄMTLANDS LÄN</t>
        </is>
      </c>
      <c r="E7989" t="inlineStr">
        <is>
          <t>BERG</t>
        </is>
      </c>
      <c r="F7989" t="inlineStr">
        <is>
          <t>SCA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57763-2025</t>
        </is>
      </c>
      <c r="B7990" s="1" t="n">
        <v>45981.55693287037</v>
      </c>
      <c r="C7990" s="1" t="n">
        <v>46045</v>
      </c>
      <c r="D7990" t="inlineStr">
        <is>
          <t>JÄMTLANDS LÄN</t>
        </is>
      </c>
      <c r="E7990" t="inlineStr">
        <is>
          <t>BERG</t>
        </is>
      </c>
      <c r="F7990" t="inlineStr">
        <is>
          <t>Övriga Aktiebolag</t>
        </is>
      </c>
      <c r="G7990" t="n">
        <v>13.1</v>
      </c>
      <c r="H7990" t="n">
        <v>0</v>
      </c>
      <c r="I7990" t="n">
        <v>0</v>
      </c>
      <c r="J7990" t="n">
        <v>0</v>
      </c>
      <c r="K7990" t="n">
        <v>0</v>
      </c>
      <c r="L7990" t="n">
        <v>0</v>
      </c>
      <c r="M7990" t="n">
        <v>0</v>
      </c>
      <c r="N7990" t="n">
        <v>0</v>
      </c>
      <c r="O7990" t="n">
        <v>0</v>
      </c>
      <c r="P7990" t="n">
        <v>0</v>
      </c>
      <c r="Q7990" t="n">
        <v>0</v>
      </c>
      <c r="R7990" s="2" t="inlineStr"/>
    </row>
    <row r="7991" ht="15" customHeight="1">
      <c r="A7991" t="inlineStr">
        <is>
          <t>A 11639-2024</t>
        </is>
      </c>
      <c r="B7991" s="1" t="n">
        <v>45373</v>
      </c>
      <c r="C7991" s="1" t="n">
        <v>46045</v>
      </c>
      <c r="D7991" t="inlineStr">
        <is>
          <t>JÄMTLANDS LÄN</t>
        </is>
      </c>
      <c r="E7991" t="inlineStr">
        <is>
          <t>KROKOM</t>
        </is>
      </c>
      <c r="G7991" t="n">
        <v>22.2</v>
      </c>
      <c r="H7991" t="n">
        <v>0</v>
      </c>
      <c r="I7991" t="n">
        <v>0</v>
      </c>
      <c r="J7991" t="n">
        <v>0</v>
      </c>
      <c r="K7991" t="n">
        <v>0</v>
      </c>
      <c r="L7991" t="n">
        <v>0</v>
      </c>
      <c r="M7991" t="n">
        <v>0</v>
      </c>
      <c r="N7991" t="n">
        <v>0</v>
      </c>
      <c r="O7991" t="n">
        <v>0</v>
      </c>
      <c r="P7991" t="n">
        <v>0</v>
      </c>
      <c r="Q7991" t="n">
        <v>0</v>
      </c>
      <c r="R7991" s="2" t="inlineStr"/>
    </row>
    <row r="7992" ht="15" customHeight="1">
      <c r="A7992" t="inlineStr">
        <is>
          <t>A 31138-2025</t>
        </is>
      </c>
      <c r="B7992" s="1" t="n">
        <v>45832.63618055556</v>
      </c>
      <c r="C7992" s="1" t="n">
        <v>46045</v>
      </c>
      <c r="D7992" t="inlineStr">
        <is>
          <t>JÄMTLANDS LÄN</t>
        </is>
      </c>
      <c r="E7992" t="inlineStr">
        <is>
          <t>BRÄCKE</t>
        </is>
      </c>
      <c r="F7992" t="inlineStr">
        <is>
          <t>SCA</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31142-2025</t>
        </is>
      </c>
      <c r="B7993" s="1" t="n">
        <v>45832.63677083333</v>
      </c>
      <c r="C7993" s="1" t="n">
        <v>46045</v>
      </c>
      <c r="D7993" t="inlineStr">
        <is>
          <t>JÄMTLANDS LÄN</t>
        </is>
      </c>
      <c r="E7993" t="inlineStr">
        <is>
          <t>STRÖMSUND</t>
        </is>
      </c>
      <c r="F7993" t="inlineStr">
        <is>
          <t>SCA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31091-2025</t>
        </is>
      </c>
      <c r="B7994" s="1" t="n">
        <v>45832.59475694445</v>
      </c>
      <c r="C7994" s="1" t="n">
        <v>46045</v>
      </c>
      <c r="D7994" t="inlineStr">
        <is>
          <t>JÄMTLANDS LÄN</t>
        </is>
      </c>
      <c r="E7994" t="inlineStr">
        <is>
          <t>STRÖMSUND</t>
        </is>
      </c>
      <c r="F7994" t="inlineStr">
        <is>
          <t>SCA</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31027-2025</t>
        </is>
      </c>
      <c r="B7995" s="1" t="n">
        <v>45832.53225694445</v>
      </c>
      <c r="C7995" s="1" t="n">
        <v>46045</v>
      </c>
      <c r="D7995" t="inlineStr">
        <is>
          <t>JÄMTLANDS LÄN</t>
        </is>
      </c>
      <c r="E7995" t="inlineStr">
        <is>
          <t>KROKOM</t>
        </is>
      </c>
      <c r="F7995" t="inlineStr">
        <is>
          <t>Övriga Aktiebolag</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33502-2022</t>
        </is>
      </c>
      <c r="B7996" s="1" t="n">
        <v>44788.92712962963</v>
      </c>
      <c r="C7996" s="1" t="n">
        <v>46045</v>
      </c>
      <c r="D7996" t="inlineStr">
        <is>
          <t>JÄMTLANDS LÄN</t>
        </is>
      </c>
      <c r="E7996" t="inlineStr">
        <is>
          <t>STRÖMSUND</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57616-2025</t>
        </is>
      </c>
      <c r="B7997" s="1" t="n">
        <v>45981.34456018519</v>
      </c>
      <c r="C7997" s="1" t="n">
        <v>46045</v>
      </c>
      <c r="D7997" t="inlineStr">
        <is>
          <t>JÄMTLANDS LÄN</t>
        </is>
      </c>
      <c r="E7997" t="inlineStr">
        <is>
          <t>BRÄCKE</t>
        </is>
      </c>
      <c r="F7997" t="inlineStr">
        <is>
          <t>SCA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57853-2025</t>
        </is>
      </c>
      <c r="B7998" s="1" t="n">
        <v>45981.63655092593</v>
      </c>
      <c r="C7998" s="1" t="n">
        <v>46045</v>
      </c>
      <c r="D7998" t="inlineStr">
        <is>
          <t>JÄMTLANDS LÄN</t>
        </is>
      </c>
      <c r="E7998" t="inlineStr">
        <is>
          <t>STRÖMSUND</t>
        </is>
      </c>
      <c r="F7998" t="inlineStr">
        <is>
          <t>SCA</t>
        </is>
      </c>
      <c r="G7998" t="n">
        <v>19.1</v>
      </c>
      <c r="H7998" t="n">
        <v>0</v>
      </c>
      <c r="I7998" t="n">
        <v>0</v>
      </c>
      <c r="J7998" t="n">
        <v>0</v>
      </c>
      <c r="K7998" t="n">
        <v>0</v>
      </c>
      <c r="L7998" t="n">
        <v>0</v>
      </c>
      <c r="M7998" t="n">
        <v>0</v>
      </c>
      <c r="N7998" t="n">
        <v>0</v>
      </c>
      <c r="O7998" t="n">
        <v>0</v>
      </c>
      <c r="P7998" t="n">
        <v>0</v>
      </c>
      <c r="Q7998" t="n">
        <v>0</v>
      </c>
      <c r="R7998" s="2" t="inlineStr"/>
    </row>
    <row r="7999" ht="15" customHeight="1">
      <c r="A7999" t="inlineStr">
        <is>
          <t>A 57857-2025</t>
        </is>
      </c>
      <c r="B7999" s="1" t="n">
        <v>45981.63960648148</v>
      </c>
      <c r="C7999" s="1" t="n">
        <v>46045</v>
      </c>
      <c r="D7999" t="inlineStr">
        <is>
          <t>JÄMTLANDS LÄN</t>
        </is>
      </c>
      <c r="E7999" t="inlineStr">
        <is>
          <t>KROKOM</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60935-2024</t>
        </is>
      </c>
      <c r="B8000" s="1" t="n">
        <v>45645.36740740741</v>
      </c>
      <c r="C8000" s="1" t="n">
        <v>46045</v>
      </c>
      <c r="D8000" t="inlineStr">
        <is>
          <t>JÄMTLANDS LÄN</t>
        </is>
      </c>
      <c r="E8000" t="inlineStr">
        <is>
          <t>RAGUNDA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38943-2024</t>
        </is>
      </c>
      <c r="B8001" s="1" t="n">
        <v>45548.34490740741</v>
      </c>
      <c r="C8001" s="1" t="n">
        <v>46045</v>
      </c>
      <c r="D8001" t="inlineStr">
        <is>
          <t>JÄMTLANDS LÄN</t>
        </is>
      </c>
      <c r="E8001" t="inlineStr">
        <is>
          <t>BRÄCKE</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4870-2021</t>
        </is>
      </c>
      <c r="B8002" s="1" t="n">
        <v>44225</v>
      </c>
      <c r="C8002" s="1" t="n">
        <v>46045</v>
      </c>
      <c r="D8002" t="inlineStr">
        <is>
          <t>JÄMTLANDS LÄN</t>
        </is>
      </c>
      <c r="E8002" t="inlineStr">
        <is>
          <t>ÅRE</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57861-2025</t>
        </is>
      </c>
      <c r="B8003" s="1" t="n">
        <v>45981.64236111111</v>
      </c>
      <c r="C8003" s="1" t="n">
        <v>46045</v>
      </c>
      <c r="D8003" t="inlineStr">
        <is>
          <t>JÄMTLANDS LÄN</t>
        </is>
      </c>
      <c r="E8003" t="inlineStr">
        <is>
          <t>BERG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58336-2025</t>
        </is>
      </c>
      <c r="B8004" s="1" t="n">
        <v>45982</v>
      </c>
      <c r="C8004" s="1" t="n">
        <v>46045</v>
      </c>
      <c r="D8004" t="inlineStr">
        <is>
          <t>JÄMTLANDS LÄN</t>
        </is>
      </c>
      <c r="E8004" t="inlineStr">
        <is>
          <t>STRÖMSUND</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58345-2025</t>
        </is>
      </c>
      <c r="B8005" s="1" t="n">
        <v>45982</v>
      </c>
      <c r="C8005" s="1" t="n">
        <v>46045</v>
      </c>
      <c r="D8005" t="inlineStr">
        <is>
          <t>JÄMTLANDS LÄN</t>
        </is>
      </c>
      <c r="E8005" t="inlineStr">
        <is>
          <t>STRÖMSUND</t>
        </is>
      </c>
      <c r="G8005" t="n">
        <v>10.2</v>
      </c>
      <c r="H8005" t="n">
        <v>0</v>
      </c>
      <c r="I8005" t="n">
        <v>0</v>
      </c>
      <c r="J8005" t="n">
        <v>0</v>
      </c>
      <c r="K8005" t="n">
        <v>0</v>
      </c>
      <c r="L8005" t="n">
        <v>0</v>
      </c>
      <c r="M8005" t="n">
        <v>0</v>
      </c>
      <c r="N8005" t="n">
        <v>0</v>
      </c>
      <c r="O8005" t="n">
        <v>0</v>
      </c>
      <c r="P8005" t="n">
        <v>0</v>
      </c>
      <c r="Q8005" t="n">
        <v>0</v>
      </c>
      <c r="R8005" s="2" t="inlineStr"/>
    </row>
    <row r="8006" ht="15" customHeight="1">
      <c r="A8006" t="inlineStr">
        <is>
          <t>A 57868-2025</t>
        </is>
      </c>
      <c r="B8006" s="1" t="n">
        <v>45981.65143518519</v>
      </c>
      <c r="C8006" s="1" t="n">
        <v>46045</v>
      </c>
      <c r="D8006" t="inlineStr">
        <is>
          <t>JÄMTLANDS LÄN</t>
        </is>
      </c>
      <c r="E8006" t="inlineStr">
        <is>
          <t>HÄRJEDALEN</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31253-2025</t>
        </is>
      </c>
      <c r="B8007" s="1" t="n">
        <v>45832</v>
      </c>
      <c r="C8007" s="1" t="n">
        <v>46045</v>
      </c>
      <c r="D8007" t="inlineStr">
        <is>
          <t>JÄMTLANDS LÄN</t>
        </is>
      </c>
      <c r="E8007" t="inlineStr">
        <is>
          <t>HÄRJEDALEN</t>
        </is>
      </c>
      <c r="F8007" t="inlineStr">
        <is>
          <t>Bergvik skog väst AB</t>
        </is>
      </c>
      <c r="G8007" t="n">
        <v>24.9</v>
      </c>
      <c r="H8007" t="n">
        <v>0</v>
      </c>
      <c r="I8007" t="n">
        <v>0</v>
      </c>
      <c r="J8007" t="n">
        <v>0</v>
      </c>
      <c r="K8007" t="n">
        <v>0</v>
      </c>
      <c r="L8007" t="n">
        <v>0</v>
      </c>
      <c r="M8007" t="n">
        <v>0</v>
      </c>
      <c r="N8007" t="n">
        <v>0</v>
      </c>
      <c r="O8007" t="n">
        <v>0</v>
      </c>
      <c r="P8007" t="n">
        <v>0</v>
      </c>
      <c r="Q8007" t="n">
        <v>0</v>
      </c>
      <c r="R8007" s="2" t="inlineStr"/>
    </row>
    <row r="8008" ht="15" customHeight="1">
      <c r="A8008" t="inlineStr">
        <is>
          <t>A 25306-2023</t>
        </is>
      </c>
      <c r="B8008" s="1" t="n">
        <v>45086</v>
      </c>
      <c r="C8008" s="1" t="n">
        <v>46045</v>
      </c>
      <c r="D8008" t="inlineStr">
        <is>
          <t>JÄMTLANDS LÄN</t>
        </is>
      </c>
      <c r="E8008" t="inlineStr">
        <is>
          <t>BERG</t>
        </is>
      </c>
      <c r="G8008" t="n">
        <v>23.3</v>
      </c>
      <c r="H8008" t="n">
        <v>0</v>
      </c>
      <c r="I8008" t="n">
        <v>0</v>
      </c>
      <c r="J8008" t="n">
        <v>0</v>
      </c>
      <c r="K8008" t="n">
        <v>0</v>
      </c>
      <c r="L8008" t="n">
        <v>0</v>
      </c>
      <c r="M8008" t="n">
        <v>0</v>
      </c>
      <c r="N8008" t="n">
        <v>0</v>
      </c>
      <c r="O8008" t="n">
        <v>0</v>
      </c>
      <c r="P8008" t="n">
        <v>0</v>
      </c>
      <c r="Q8008" t="n">
        <v>0</v>
      </c>
      <c r="R8008" s="2" t="inlineStr"/>
    </row>
    <row r="8009" ht="15" customHeight="1">
      <c r="A8009" t="inlineStr">
        <is>
          <t>A 57713-2025</t>
        </is>
      </c>
      <c r="B8009" s="1" t="n">
        <v>45981.4775</v>
      </c>
      <c r="C8009" s="1" t="n">
        <v>46045</v>
      </c>
      <c r="D8009" t="inlineStr">
        <is>
          <t>JÄMTLANDS LÄN</t>
        </is>
      </c>
      <c r="E8009" t="inlineStr">
        <is>
          <t>STRÖMSUND</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59387-2022</t>
        </is>
      </c>
      <c r="B8010" s="1" t="n">
        <v>44905</v>
      </c>
      <c r="C8010" s="1" t="n">
        <v>46045</v>
      </c>
      <c r="D8010" t="inlineStr">
        <is>
          <t>JÄMTLANDS LÄN</t>
        </is>
      </c>
      <c r="E8010" t="inlineStr">
        <is>
          <t>ÅRE</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30807-2025</t>
        </is>
      </c>
      <c r="B8011" s="1" t="n">
        <v>45831.65692129629</v>
      </c>
      <c r="C8011" s="1" t="n">
        <v>46045</v>
      </c>
      <c r="D8011" t="inlineStr">
        <is>
          <t>JÄMTLANDS LÄN</t>
        </is>
      </c>
      <c r="E8011" t="inlineStr">
        <is>
          <t>STRÖMSUND</t>
        </is>
      </c>
      <c r="F8011" t="inlineStr">
        <is>
          <t>SCA</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30712-2025</t>
        </is>
      </c>
      <c r="B8012" s="1" t="n">
        <v>45831.55253472222</v>
      </c>
      <c r="C8012" s="1" t="n">
        <v>46045</v>
      </c>
      <c r="D8012" t="inlineStr">
        <is>
          <t>JÄMTLANDS LÄN</t>
        </is>
      </c>
      <c r="E8012" t="inlineStr">
        <is>
          <t>STRÖMSUND</t>
        </is>
      </c>
      <c r="F8012" t="inlineStr">
        <is>
          <t>SCA</t>
        </is>
      </c>
      <c r="G8012" t="n">
        <v>6.1</v>
      </c>
      <c r="H8012" t="n">
        <v>0</v>
      </c>
      <c r="I8012" t="n">
        <v>0</v>
      </c>
      <c r="J8012" t="n">
        <v>0</v>
      </c>
      <c r="K8012" t="n">
        <v>0</v>
      </c>
      <c r="L8012" t="n">
        <v>0</v>
      </c>
      <c r="M8012" t="n">
        <v>0</v>
      </c>
      <c r="N8012" t="n">
        <v>0</v>
      </c>
      <c r="O8012" t="n">
        <v>0</v>
      </c>
      <c r="P8012" t="n">
        <v>0</v>
      </c>
      <c r="Q8012" t="n">
        <v>0</v>
      </c>
      <c r="R8012" s="2" t="inlineStr"/>
    </row>
    <row r="8013" ht="15" customHeight="1">
      <c r="A8013" t="inlineStr">
        <is>
          <t>A 8217-2021</t>
        </is>
      </c>
      <c r="B8013" s="1" t="n">
        <v>44244</v>
      </c>
      <c r="C8013" s="1" t="n">
        <v>46045</v>
      </c>
      <c r="D8013" t="inlineStr">
        <is>
          <t>JÄMTLANDS LÄN</t>
        </is>
      </c>
      <c r="E8013" t="inlineStr">
        <is>
          <t>ÅRE</t>
        </is>
      </c>
      <c r="G8013" t="n">
        <v>51.8</v>
      </c>
      <c r="H8013" t="n">
        <v>0</v>
      </c>
      <c r="I8013" t="n">
        <v>0</v>
      </c>
      <c r="J8013" t="n">
        <v>0</v>
      </c>
      <c r="K8013" t="n">
        <v>0</v>
      </c>
      <c r="L8013" t="n">
        <v>0</v>
      </c>
      <c r="M8013" t="n">
        <v>0</v>
      </c>
      <c r="N8013" t="n">
        <v>0</v>
      </c>
      <c r="O8013" t="n">
        <v>0</v>
      </c>
      <c r="P8013" t="n">
        <v>0</v>
      </c>
      <c r="Q8013" t="n">
        <v>0</v>
      </c>
      <c r="R8013" s="2" t="inlineStr"/>
    </row>
    <row r="8014" ht="15" customHeight="1">
      <c r="A8014" t="inlineStr">
        <is>
          <t>A 58076-2025</t>
        </is>
      </c>
      <c r="B8014" s="1" t="n">
        <v>45982.55273148148</v>
      </c>
      <c r="C8014" s="1" t="n">
        <v>46045</v>
      </c>
      <c r="D8014" t="inlineStr">
        <is>
          <t>JÄMTLANDS LÄN</t>
        </is>
      </c>
      <c r="E8014" t="inlineStr">
        <is>
          <t>RAGUNDA</t>
        </is>
      </c>
      <c r="G8014" t="n">
        <v>0.1</v>
      </c>
      <c r="H8014" t="n">
        <v>0</v>
      </c>
      <c r="I8014" t="n">
        <v>0</v>
      </c>
      <c r="J8014" t="n">
        <v>0</v>
      </c>
      <c r="K8014" t="n">
        <v>0</v>
      </c>
      <c r="L8014" t="n">
        <v>0</v>
      </c>
      <c r="M8014" t="n">
        <v>0</v>
      </c>
      <c r="N8014" t="n">
        <v>0</v>
      </c>
      <c r="O8014" t="n">
        <v>0</v>
      </c>
      <c r="P8014" t="n">
        <v>0</v>
      </c>
      <c r="Q8014" t="n">
        <v>0</v>
      </c>
      <c r="R8014" s="2" t="inlineStr"/>
    </row>
    <row r="8015" ht="15" customHeight="1">
      <c r="A8015" t="inlineStr">
        <is>
          <t>A 58081-2025</t>
        </is>
      </c>
      <c r="B8015" s="1" t="n">
        <v>45982.56142361111</v>
      </c>
      <c r="C8015" s="1" t="n">
        <v>46045</v>
      </c>
      <c r="D8015" t="inlineStr">
        <is>
          <t>JÄMTLANDS LÄN</t>
        </is>
      </c>
      <c r="E8015" t="inlineStr">
        <is>
          <t>HÄRJEDALEN</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58092-2025</t>
        </is>
      </c>
      <c r="B8016" s="1" t="n">
        <v>45982.57399305556</v>
      </c>
      <c r="C8016" s="1" t="n">
        <v>46045</v>
      </c>
      <c r="D8016" t="inlineStr">
        <is>
          <t>JÄMTLANDS LÄN</t>
        </is>
      </c>
      <c r="E8016" t="inlineStr">
        <is>
          <t>STRÖMSUND</t>
        </is>
      </c>
      <c r="F8016" t="inlineStr">
        <is>
          <t>SCA</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58093-2025</t>
        </is>
      </c>
      <c r="B8017" s="1" t="n">
        <v>45982.5741087963</v>
      </c>
      <c r="C8017" s="1" t="n">
        <v>46045</v>
      </c>
      <c r="D8017" t="inlineStr">
        <is>
          <t>JÄMTLANDS LÄN</t>
        </is>
      </c>
      <c r="E8017" t="inlineStr">
        <is>
          <t>RAGUNDA</t>
        </is>
      </c>
      <c r="G8017" t="n">
        <v>22.2</v>
      </c>
      <c r="H8017" t="n">
        <v>0</v>
      </c>
      <c r="I8017" t="n">
        <v>0</v>
      </c>
      <c r="J8017" t="n">
        <v>0</v>
      </c>
      <c r="K8017" t="n">
        <v>0</v>
      </c>
      <c r="L8017" t="n">
        <v>0</v>
      </c>
      <c r="M8017" t="n">
        <v>0</v>
      </c>
      <c r="N8017" t="n">
        <v>0</v>
      </c>
      <c r="O8017" t="n">
        <v>0</v>
      </c>
      <c r="P8017" t="n">
        <v>0</v>
      </c>
      <c r="Q8017" t="n">
        <v>0</v>
      </c>
      <c r="R8017" s="2" t="inlineStr"/>
    </row>
    <row r="8018" ht="15" customHeight="1">
      <c r="A8018" t="inlineStr">
        <is>
          <t>A 19413-2025</t>
        </is>
      </c>
      <c r="B8018" s="1" t="n">
        <v>45769.69850694444</v>
      </c>
      <c r="C8018" s="1" t="n">
        <v>46045</v>
      </c>
      <c r="D8018" t="inlineStr">
        <is>
          <t>JÄMTLANDS LÄN</t>
        </is>
      </c>
      <c r="E8018" t="inlineStr">
        <is>
          <t>STRÖMSUND</t>
        </is>
      </c>
      <c r="F8018" t="inlineStr">
        <is>
          <t>SCA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58122-2025</t>
        </is>
      </c>
      <c r="B8019" s="1" t="n">
        <v>45982.61043981482</v>
      </c>
      <c r="C8019" s="1" t="n">
        <v>46045</v>
      </c>
      <c r="D8019" t="inlineStr">
        <is>
          <t>JÄMTLANDS LÄN</t>
        </is>
      </c>
      <c r="E8019" t="inlineStr">
        <is>
          <t>ÖSTERSUND</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58159-2025</t>
        </is>
      </c>
      <c r="B8020" s="1" t="n">
        <v>45982</v>
      </c>
      <c r="C8020" s="1" t="n">
        <v>46045</v>
      </c>
      <c r="D8020" t="inlineStr">
        <is>
          <t>JÄMTLANDS LÄN</t>
        </is>
      </c>
      <c r="E8020" t="inlineStr">
        <is>
          <t>STRÖMSUND</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57658-2025</t>
        </is>
      </c>
      <c r="B8021" s="1" t="n">
        <v>45981</v>
      </c>
      <c r="C8021" s="1" t="n">
        <v>46045</v>
      </c>
      <c r="D8021" t="inlineStr">
        <is>
          <t>JÄMTLANDS LÄN</t>
        </is>
      </c>
      <c r="E8021" t="inlineStr">
        <is>
          <t>STRÖMSUND</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63-2026</t>
        </is>
      </c>
      <c r="B8022" s="1" t="n">
        <v>46024.44586805555</v>
      </c>
      <c r="C8022" s="1" t="n">
        <v>46045</v>
      </c>
      <c r="D8022" t="inlineStr">
        <is>
          <t>JÄMTLANDS LÄN</t>
        </is>
      </c>
      <c r="E8022" t="inlineStr">
        <is>
          <t>HÄRJEDALEN</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57914-2025</t>
        </is>
      </c>
      <c r="B8023" s="1" t="n">
        <v>45981</v>
      </c>
      <c r="C8023" s="1" t="n">
        <v>46045</v>
      </c>
      <c r="D8023" t="inlineStr">
        <is>
          <t>JÄMTLANDS LÄN</t>
        </is>
      </c>
      <c r="E8023" t="inlineStr">
        <is>
          <t>RAGUNDA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30880-2025</t>
        </is>
      </c>
      <c r="B8024" s="1" t="n">
        <v>45832.34524305556</v>
      </c>
      <c r="C8024" s="1" t="n">
        <v>46045</v>
      </c>
      <c r="D8024" t="inlineStr">
        <is>
          <t>JÄMTLANDS LÄN</t>
        </is>
      </c>
      <c r="E8024" t="inlineStr">
        <is>
          <t>RAGUNDA</t>
        </is>
      </c>
      <c r="G8024" t="n">
        <v>9.300000000000001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30887-2025</t>
        </is>
      </c>
      <c r="B8025" s="1" t="n">
        <v>45832.3459375</v>
      </c>
      <c r="C8025" s="1" t="n">
        <v>46045</v>
      </c>
      <c r="D8025" t="inlineStr">
        <is>
          <t>JÄMTLANDS LÄN</t>
        </is>
      </c>
      <c r="E8025" t="inlineStr">
        <is>
          <t>RAGUNDA</t>
        </is>
      </c>
      <c r="F8025" t="inlineStr">
        <is>
          <t>SCA</t>
        </is>
      </c>
      <c r="G8025" t="n">
        <v>10.1</v>
      </c>
      <c r="H8025" t="n">
        <v>0</v>
      </c>
      <c r="I8025" t="n">
        <v>0</v>
      </c>
      <c r="J8025" t="n">
        <v>0</v>
      </c>
      <c r="K8025" t="n">
        <v>0</v>
      </c>
      <c r="L8025" t="n">
        <v>0</v>
      </c>
      <c r="M8025" t="n">
        <v>0</v>
      </c>
      <c r="N8025" t="n">
        <v>0</v>
      </c>
      <c r="O8025" t="n">
        <v>0</v>
      </c>
      <c r="P8025" t="n">
        <v>0</v>
      </c>
      <c r="Q8025" t="n">
        <v>0</v>
      </c>
      <c r="R8025" s="2" t="inlineStr"/>
    </row>
    <row r="8026" ht="15" customHeight="1">
      <c r="A8026" t="inlineStr">
        <is>
          <t>A 57717-2025</t>
        </is>
      </c>
      <c r="B8026" s="1" t="n">
        <v>45981.48142361111</v>
      </c>
      <c r="C8026" s="1" t="n">
        <v>46045</v>
      </c>
      <c r="D8026" t="inlineStr">
        <is>
          <t>JÄMTLANDS LÄN</t>
        </is>
      </c>
      <c r="E8026" t="inlineStr">
        <is>
          <t>STRÖMSUND</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57721-2025</t>
        </is>
      </c>
      <c r="B8027" s="1" t="n">
        <v>45981.4884837963</v>
      </c>
      <c r="C8027" s="1" t="n">
        <v>46045</v>
      </c>
      <c r="D8027" t="inlineStr">
        <is>
          <t>JÄMTLANDS LÄN</t>
        </is>
      </c>
      <c r="E8027" t="inlineStr">
        <is>
          <t>STRÖMSUND</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58110-2025</t>
        </is>
      </c>
      <c r="B8028" s="1" t="n">
        <v>45982</v>
      </c>
      <c r="C8028" s="1" t="n">
        <v>46045</v>
      </c>
      <c r="D8028" t="inlineStr">
        <is>
          <t>JÄMTLANDS LÄN</t>
        </is>
      </c>
      <c r="E8028" t="inlineStr">
        <is>
          <t>HÄRJEDALEN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58120-2025</t>
        </is>
      </c>
      <c r="B8029" s="1" t="n">
        <v>45982.60930555555</v>
      </c>
      <c r="C8029" s="1" t="n">
        <v>46045</v>
      </c>
      <c r="D8029" t="inlineStr">
        <is>
          <t>JÄMTLANDS LÄN</t>
        </is>
      </c>
      <c r="E8029" t="inlineStr">
        <is>
          <t>HÄRJEDALEN</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30714-2025</t>
        </is>
      </c>
      <c r="B8030" s="1" t="n">
        <v>45831.55284722222</v>
      </c>
      <c r="C8030" s="1" t="n">
        <v>46045</v>
      </c>
      <c r="D8030" t="inlineStr">
        <is>
          <t>JÄMTLANDS LÄN</t>
        </is>
      </c>
      <c r="E8030" t="inlineStr">
        <is>
          <t>BRÄCKE</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57889-2025</t>
        </is>
      </c>
      <c r="B8031" s="1" t="n">
        <v>45981.67798611111</v>
      </c>
      <c r="C8031" s="1" t="n">
        <v>46045</v>
      </c>
      <c r="D8031" t="inlineStr">
        <is>
          <t>JÄMTLANDS LÄN</t>
        </is>
      </c>
      <c r="E8031" t="inlineStr">
        <is>
          <t>STRÖMSUND</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42828-2023</t>
        </is>
      </c>
      <c r="B8032" s="1" t="n">
        <v>45182</v>
      </c>
      <c r="C8032" s="1" t="n">
        <v>46045</v>
      </c>
      <c r="D8032" t="inlineStr">
        <is>
          <t>JÄMTLANDS LÄN</t>
        </is>
      </c>
      <c r="E8032" t="inlineStr">
        <is>
          <t>KROKOM</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65-2026</t>
        </is>
      </c>
      <c r="B8033" s="1" t="n">
        <v>46014</v>
      </c>
      <c r="C8033" s="1" t="n">
        <v>46045</v>
      </c>
      <c r="D8033" t="inlineStr">
        <is>
          <t>JÄMTLANDS LÄN</t>
        </is>
      </c>
      <c r="E8033" t="inlineStr">
        <is>
          <t>KROKOM</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63651-2025</t>
        </is>
      </c>
      <c r="B8034" s="1" t="n">
        <v>46014</v>
      </c>
      <c r="C8034" s="1" t="n">
        <v>46045</v>
      </c>
      <c r="D8034" t="inlineStr">
        <is>
          <t>JÄMTLANDS LÄN</t>
        </is>
      </c>
      <c r="E8034" t="inlineStr">
        <is>
          <t>BRÄCKE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57915-2025</t>
        </is>
      </c>
      <c r="B8035" s="1" t="n">
        <v>45981</v>
      </c>
      <c r="C8035" s="1" t="n">
        <v>46045</v>
      </c>
      <c r="D8035" t="inlineStr">
        <is>
          <t>JÄMTLANDS LÄN</t>
        </is>
      </c>
      <c r="E8035" t="inlineStr">
        <is>
          <t>RAGUNDA</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31059-2025</t>
        </is>
      </c>
      <c r="B8036" s="1" t="n">
        <v>45832.5734837963</v>
      </c>
      <c r="C8036" s="1" t="n">
        <v>46045</v>
      </c>
      <c r="D8036" t="inlineStr">
        <is>
          <t>JÄMTLANDS LÄN</t>
        </is>
      </c>
      <c r="E8036" t="inlineStr">
        <is>
          <t>BRÄCKE</t>
        </is>
      </c>
      <c r="F8036" t="inlineStr">
        <is>
          <t>SCA</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57963-2025</t>
        </is>
      </c>
      <c r="B8037" s="1" t="n">
        <v>45982.37800925926</v>
      </c>
      <c r="C8037" s="1" t="n">
        <v>46045</v>
      </c>
      <c r="D8037" t="inlineStr">
        <is>
          <t>JÄMTLANDS LÄN</t>
        </is>
      </c>
      <c r="E8037" t="inlineStr">
        <is>
          <t>RAGUNDA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58173-2025</t>
        </is>
      </c>
      <c r="B8038" s="1" t="n">
        <v>45982</v>
      </c>
      <c r="C8038" s="1" t="n">
        <v>46045</v>
      </c>
      <c r="D8038" t="inlineStr">
        <is>
          <t>JÄMTLANDS LÄN</t>
        </is>
      </c>
      <c r="E8038" t="inlineStr">
        <is>
          <t>STRÖMSUND</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57928-2025</t>
        </is>
      </c>
      <c r="B8039" s="1" t="n">
        <v>45981.88722222222</v>
      </c>
      <c r="C8039" s="1" t="n">
        <v>46045</v>
      </c>
      <c r="D8039" t="inlineStr">
        <is>
          <t>JÄMTLANDS LÄN</t>
        </is>
      </c>
      <c r="E8039" t="inlineStr">
        <is>
          <t>ÅRE</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57948-2025</t>
        </is>
      </c>
      <c r="B8040" s="1" t="n">
        <v>45982.34452546296</v>
      </c>
      <c r="C8040" s="1" t="n">
        <v>46045</v>
      </c>
      <c r="D8040" t="inlineStr">
        <is>
          <t>JÄMTLANDS LÄN</t>
        </is>
      </c>
      <c r="E8040" t="inlineStr">
        <is>
          <t>BRÄCKE</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57916-2025</t>
        </is>
      </c>
      <c r="B8041" s="1" t="n">
        <v>45981</v>
      </c>
      <c r="C8041" s="1" t="n">
        <v>46045</v>
      </c>
      <c r="D8041" t="inlineStr">
        <is>
          <t>JÄMTLANDS LÄN</t>
        </is>
      </c>
      <c r="E8041" t="inlineStr">
        <is>
          <t>RAGUNDA</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31015-2025</t>
        </is>
      </c>
      <c r="B8042" s="1" t="n">
        <v>45832.51086805556</v>
      </c>
      <c r="C8042" s="1" t="n">
        <v>46045</v>
      </c>
      <c r="D8042" t="inlineStr">
        <is>
          <t>JÄMTLANDS LÄN</t>
        </is>
      </c>
      <c r="E8042" t="inlineStr">
        <is>
          <t>BERG</t>
        </is>
      </c>
      <c r="F8042" t="inlineStr">
        <is>
          <t>SCA</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57970-2025</t>
        </is>
      </c>
      <c r="B8043" s="1" t="n">
        <v>45982.38582175926</v>
      </c>
      <c r="C8043" s="1" t="n">
        <v>46045</v>
      </c>
      <c r="D8043" t="inlineStr">
        <is>
          <t>JÄMTLANDS LÄN</t>
        </is>
      </c>
      <c r="E8043" t="inlineStr">
        <is>
          <t>RAGUNDA</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57981-2025</t>
        </is>
      </c>
      <c r="B8044" s="1" t="n">
        <v>45982.40675925926</v>
      </c>
      <c r="C8044" s="1" t="n">
        <v>46045</v>
      </c>
      <c r="D8044" t="inlineStr">
        <is>
          <t>JÄMTLANDS LÄN</t>
        </is>
      </c>
      <c r="E8044" t="inlineStr">
        <is>
          <t>STRÖMSUND</t>
        </is>
      </c>
      <c r="F8044" t="inlineStr">
        <is>
          <t>SCA</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31017-2025</t>
        </is>
      </c>
      <c r="B8045" s="1" t="n">
        <v>45832.51111111111</v>
      </c>
      <c r="C8045" s="1" t="n">
        <v>46045</v>
      </c>
      <c r="D8045" t="inlineStr">
        <is>
          <t>JÄMTLANDS LÄN</t>
        </is>
      </c>
      <c r="E8045" t="inlineStr">
        <is>
          <t>BERG</t>
        </is>
      </c>
      <c r="F8045" t="inlineStr">
        <is>
          <t>SCA</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58024-2025</t>
        </is>
      </c>
      <c r="B8046" s="1" t="n">
        <v>45982.48206018518</v>
      </c>
      <c r="C8046" s="1" t="n">
        <v>46045</v>
      </c>
      <c r="D8046" t="inlineStr">
        <is>
          <t>JÄMTLANDS LÄN</t>
        </is>
      </c>
      <c r="E8046" t="inlineStr">
        <is>
          <t>HÄRJEDALEN</t>
        </is>
      </c>
      <c r="F8046" t="inlineStr">
        <is>
          <t>Bergvik skog väst AB</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31136-2025</t>
        </is>
      </c>
      <c r="B8047" s="1" t="n">
        <v>45832.63599537037</v>
      </c>
      <c r="C8047" s="1" t="n">
        <v>46045</v>
      </c>
      <c r="D8047" t="inlineStr">
        <is>
          <t>JÄMTLANDS LÄN</t>
        </is>
      </c>
      <c r="E8047" t="inlineStr">
        <is>
          <t>BERG</t>
        </is>
      </c>
      <c r="F8047" t="inlineStr">
        <is>
          <t>SCA</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57785-2025</t>
        </is>
      </c>
      <c r="B8048" s="1" t="n">
        <v>45981.57393518519</v>
      </c>
      <c r="C8048" s="1" t="n">
        <v>46045</v>
      </c>
      <c r="D8048" t="inlineStr">
        <is>
          <t>JÄMTLANDS LÄN</t>
        </is>
      </c>
      <c r="E8048" t="inlineStr">
        <is>
          <t>RAGUNDA</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31160-2025</t>
        </is>
      </c>
      <c r="B8049" s="1" t="n">
        <v>45832.65451388889</v>
      </c>
      <c r="C8049" s="1" t="n">
        <v>46045</v>
      </c>
      <c r="D8049" t="inlineStr">
        <is>
          <t>JÄMTLANDS LÄN</t>
        </is>
      </c>
      <c r="E8049" t="inlineStr">
        <is>
          <t>STRÖMSUND</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31184-2025</t>
        </is>
      </c>
      <c r="B8050" s="1" t="n">
        <v>45832.67788194444</v>
      </c>
      <c r="C8050" s="1" t="n">
        <v>46045</v>
      </c>
      <c r="D8050" t="inlineStr">
        <is>
          <t>JÄMTLANDS LÄN</t>
        </is>
      </c>
      <c r="E8050" t="inlineStr">
        <is>
          <t>STRÖMSUND</t>
        </is>
      </c>
      <c r="F8050" t="inlineStr">
        <is>
          <t>SCA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58006-2025</t>
        </is>
      </c>
      <c r="B8051" s="1" t="n">
        <v>45982.44869212963</v>
      </c>
      <c r="C8051" s="1" t="n">
        <v>46045</v>
      </c>
      <c r="D8051" t="inlineStr">
        <is>
          <t>JÄMTLANDS LÄN</t>
        </is>
      </c>
      <c r="E8051" t="inlineStr">
        <is>
          <t>ÅRE</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279-2026</t>
        </is>
      </c>
      <c r="B8052" s="1" t="n">
        <v>46027.47453703704</v>
      </c>
      <c r="C8052" s="1" t="n">
        <v>46045</v>
      </c>
      <c r="D8052" t="inlineStr">
        <is>
          <t>JÄMTLANDS LÄN</t>
        </is>
      </c>
      <c r="E8052" t="inlineStr">
        <is>
          <t>HÄRJEDALEN</t>
        </is>
      </c>
      <c r="F8052" t="inlineStr">
        <is>
          <t>Holmen skog AB</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58354-2025</t>
        </is>
      </c>
      <c r="B8053" s="1" t="n">
        <v>45985.51131944444</v>
      </c>
      <c r="C8053" s="1" t="n">
        <v>46045</v>
      </c>
      <c r="D8053" t="inlineStr">
        <is>
          <t>JÄMTLANDS LÄN</t>
        </is>
      </c>
      <c r="E8053" t="inlineStr">
        <is>
          <t>ÖSTERSUND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31070-2025</t>
        </is>
      </c>
      <c r="B8054" s="1" t="n">
        <v>45832.57887731482</v>
      </c>
      <c r="C8054" s="1" t="n">
        <v>46045</v>
      </c>
      <c r="D8054" t="inlineStr">
        <is>
          <t>JÄMTLANDS LÄN</t>
        </is>
      </c>
      <c r="E8054" t="inlineStr">
        <is>
          <t>BERG</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58432-2025</t>
        </is>
      </c>
      <c r="B8055" s="1" t="n">
        <v>45985.60774305555</v>
      </c>
      <c r="C8055" s="1" t="n">
        <v>46045</v>
      </c>
      <c r="D8055" t="inlineStr">
        <is>
          <t>JÄMTLANDS LÄN</t>
        </is>
      </c>
      <c r="E8055" t="inlineStr">
        <is>
          <t>ÅRE</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58438-2025</t>
        </is>
      </c>
      <c r="B8056" s="1" t="n">
        <v>45985.61513888889</v>
      </c>
      <c r="C8056" s="1" t="n">
        <v>46045</v>
      </c>
      <c r="D8056" t="inlineStr">
        <is>
          <t>JÄMTLANDS LÄN</t>
        </is>
      </c>
      <c r="E8056" t="inlineStr">
        <is>
          <t>BERG</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58440-2025</t>
        </is>
      </c>
      <c r="B8057" s="1" t="n">
        <v>45985.61524305555</v>
      </c>
      <c r="C8057" s="1" t="n">
        <v>46045</v>
      </c>
      <c r="D8057" t="inlineStr">
        <is>
          <t>JÄMTLANDS LÄN</t>
        </is>
      </c>
      <c r="E8057" t="inlineStr">
        <is>
          <t>ÖSTERSUND</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31090-2025</t>
        </is>
      </c>
      <c r="B8058" s="1" t="n">
        <v>45832.59436342592</v>
      </c>
      <c r="C8058" s="1" t="n">
        <v>46045</v>
      </c>
      <c r="D8058" t="inlineStr">
        <is>
          <t>JÄMTLANDS LÄN</t>
        </is>
      </c>
      <c r="E8058" t="inlineStr">
        <is>
          <t>BERG</t>
        </is>
      </c>
      <c r="F8058" t="inlineStr">
        <is>
          <t>SCA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30568-2025</t>
        </is>
      </c>
      <c r="B8059" s="1" t="n">
        <v>45831.40677083333</v>
      </c>
      <c r="C8059" s="1" t="n">
        <v>46045</v>
      </c>
      <c r="D8059" t="inlineStr">
        <is>
          <t>JÄMTLANDS LÄN</t>
        </is>
      </c>
      <c r="E8059" t="inlineStr">
        <is>
          <t>STRÖMSUND</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58413-2025</t>
        </is>
      </c>
      <c r="B8060" s="1" t="n">
        <v>45985.57662037037</v>
      </c>
      <c r="C8060" s="1" t="n">
        <v>46045</v>
      </c>
      <c r="D8060" t="inlineStr">
        <is>
          <t>JÄMTLANDS LÄN</t>
        </is>
      </c>
      <c r="E8060" t="inlineStr">
        <is>
          <t>BERG</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31769-2025</t>
        </is>
      </c>
      <c r="B8061" s="1" t="n">
        <v>45834.5025</v>
      </c>
      <c r="C8061" s="1" t="n">
        <v>46045</v>
      </c>
      <c r="D8061" t="inlineStr">
        <is>
          <t>JÄMTLANDS LÄN</t>
        </is>
      </c>
      <c r="E8061" t="inlineStr">
        <is>
          <t>STRÖMSUND</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31772-2025</t>
        </is>
      </c>
      <c r="B8062" s="1" t="n">
        <v>45834.51079861111</v>
      </c>
      <c r="C8062" s="1" t="n">
        <v>46045</v>
      </c>
      <c r="D8062" t="inlineStr">
        <is>
          <t>JÄMTLANDS LÄN</t>
        </is>
      </c>
      <c r="E8062" t="inlineStr">
        <is>
          <t>HÄRJEDALEN</t>
        </is>
      </c>
      <c r="F8062" t="inlineStr">
        <is>
          <t>SCA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52529-2024</t>
        </is>
      </c>
      <c r="B8063" s="1" t="n">
        <v>45609.61483796296</v>
      </c>
      <c r="C8063" s="1" t="n">
        <v>46045</v>
      </c>
      <c r="D8063" t="inlineStr">
        <is>
          <t>JÄMTLANDS LÄN</t>
        </is>
      </c>
      <c r="E8063" t="inlineStr">
        <is>
          <t>BRÄCKE</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58932-2025</t>
        </is>
      </c>
      <c r="B8064" s="1" t="n">
        <v>45986</v>
      </c>
      <c r="C8064" s="1" t="n">
        <v>46045</v>
      </c>
      <c r="D8064" t="inlineStr">
        <is>
          <t>JÄMTLANDS LÄN</t>
        </is>
      </c>
      <c r="E8064" t="inlineStr">
        <is>
          <t>STRÖMSUND</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31668-2025</t>
        </is>
      </c>
      <c r="B8065" s="1" t="n">
        <v>45834.36533564814</v>
      </c>
      <c r="C8065" s="1" t="n">
        <v>46045</v>
      </c>
      <c r="D8065" t="inlineStr">
        <is>
          <t>JÄMTLANDS LÄN</t>
        </is>
      </c>
      <c r="E8065" t="inlineStr">
        <is>
          <t>BRÄCKE</t>
        </is>
      </c>
      <c r="F8065" t="inlineStr">
        <is>
          <t>SCA</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31694-2025</t>
        </is>
      </c>
      <c r="B8066" s="1" t="n">
        <v>45834.40692129629</v>
      </c>
      <c r="C8066" s="1" t="n">
        <v>46045</v>
      </c>
      <c r="D8066" t="inlineStr">
        <is>
          <t>JÄMTLANDS LÄN</t>
        </is>
      </c>
      <c r="E8066" t="inlineStr">
        <is>
          <t>STRÖMSUND</t>
        </is>
      </c>
      <c r="F8066" t="inlineStr">
        <is>
          <t>SCA</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58696-2025</t>
        </is>
      </c>
      <c r="B8067" s="1" t="n">
        <v>45986</v>
      </c>
      <c r="C8067" s="1" t="n">
        <v>46045</v>
      </c>
      <c r="D8067" t="inlineStr">
        <is>
          <t>JÄMTLANDS LÄN</t>
        </is>
      </c>
      <c r="E8067" t="inlineStr">
        <is>
          <t>STRÖMSUND</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31806-2025</t>
        </is>
      </c>
      <c r="B8068" s="1" t="n">
        <v>45834.55449074074</v>
      </c>
      <c r="C8068" s="1" t="n">
        <v>46045</v>
      </c>
      <c r="D8068" t="inlineStr">
        <is>
          <t>JÄMTLANDS LÄN</t>
        </is>
      </c>
      <c r="E8068" t="inlineStr">
        <is>
          <t>BRÄCKE</t>
        </is>
      </c>
      <c r="F8068" t="inlineStr">
        <is>
          <t>Övriga Aktiebolag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31425-2025</t>
        </is>
      </c>
      <c r="B8069" s="1" t="n">
        <v>45833.49023148148</v>
      </c>
      <c r="C8069" s="1" t="n">
        <v>46045</v>
      </c>
      <c r="D8069" t="inlineStr">
        <is>
          <t>JÄMTLANDS LÄN</t>
        </is>
      </c>
      <c r="E8069" t="inlineStr">
        <is>
          <t>BRÄCKE</t>
        </is>
      </c>
      <c r="F8069" t="inlineStr">
        <is>
          <t>SCA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31441-2025</t>
        </is>
      </c>
      <c r="B8070" s="1" t="n">
        <v>45833.51097222222</v>
      </c>
      <c r="C8070" s="1" t="n">
        <v>46045</v>
      </c>
      <c r="D8070" t="inlineStr">
        <is>
          <t>JÄMTLANDS LÄN</t>
        </is>
      </c>
      <c r="E8070" t="inlineStr">
        <is>
          <t>STRÖMSUND</t>
        </is>
      </c>
      <c r="F8070" t="inlineStr">
        <is>
          <t>SCA</t>
        </is>
      </c>
      <c r="G8070" t="n">
        <v>10.1</v>
      </c>
      <c r="H8070" t="n">
        <v>0</v>
      </c>
      <c r="I8070" t="n">
        <v>0</v>
      </c>
      <c r="J8070" t="n">
        <v>0</v>
      </c>
      <c r="K8070" t="n">
        <v>0</v>
      </c>
      <c r="L8070" t="n">
        <v>0</v>
      </c>
      <c r="M8070" t="n">
        <v>0</v>
      </c>
      <c r="N8070" t="n">
        <v>0</v>
      </c>
      <c r="O8070" t="n">
        <v>0</v>
      </c>
      <c r="P8070" t="n">
        <v>0</v>
      </c>
      <c r="Q8070" t="n">
        <v>0</v>
      </c>
      <c r="R8070" s="2" t="inlineStr"/>
    </row>
    <row r="8071" ht="15" customHeight="1">
      <c r="A8071" t="inlineStr">
        <is>
          <t>A 31482-2025</t>
        </is>
      </c>
      <c r="B8071" s="1" t="n">
        <v>45833.57390046296</v>
      </c>
      <c r="C8071" s="1" t="n">
        <v>46045</v>
      </c>
      <c r="D8071" t="inlineStr">
        <is>
          <t>JÄMTLANDS LÄN</t>
        </is>
      </c>
      <c r="E8071" t="inlineStr">
        <is>
          <t>BRÄCKE</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265-2026</t>
        </is>
      </c>
      <c r="B8072" s="1" t="n">
        <v>46027.44956018519</v>
      </c>
      <c r="C8072" s="1" t="n">
        <v>46045</v>
      </c>
      <c r="D8072" t="inlineStr">
        <is>
          <t>JÄMTLANDS LÄN</t>
        </is>
      </c>
      <c r="E8072" t="inlineStr">
        <is>
          <t>RAGUNDA</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58596-2025</t>
        </is>
      </c>
      <c r="B8073" s="1" t="n">
        <v>45986.42089120371</v>
      </c>
      <c r="C8073" s="1" t="n">
        <v>46045</v>
      </c>
      <c r="D8073" t="inlineStr">
        <is>
          <t>JÄMTLANDS LÄN</t>
        </is>
      </c>
      <c r="E8073" t="inlineStr">
        <is>
          <t>KROKOM</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58581-2025</t>
        </is>
      </c>
      <c r="B8074" s="1" t="n">
        <v>45986.38626157407</v>
      </c>
      <c r="C8074" s="1" t="n">
        <v>46045</v>
      </c>
      <c r="D8074" t="inlineStr">
        <is>
          <t>JÄMTLANDS LÄN</t>
        </is>
      </c>
      <c r="E8074" t="inlineStr">
        <is>
          <t>BERG</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58602-2025</t>
        </is>
      </c>
      <c r="B8075" s="1" t="n">
        <v>45986.42805555555</v>
      </c>
      <c r="C8075" s="1" t="n">
        <v>46045</v>
      </c>
      <c r="D8075" t="inlineStr">
        <is>
          <t>JÄMTLANDS LÄN</t>
        </is>
      </c>
      <c r="E8075" t="inlineStr">
        <is>
          <t>HÄRJEDALEN</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58351-2025</t>
        </is>
      </c>
      <c r="B8076" s="1" t="n">
        <v>45985.5109375</v>
      </c>
      <c r="C8076" s="1" t="n">
        <v>46045</v>
      </c>
      <c r="D8076" t="inlineStr">
        <is>
          <t>JÄMTLANDS LÄN</t>
        </is>
      </c>
      <c r="E8076" t="inlineStr">
        <is>
          <t>BRÄCKE</t>
        </is>
      </c>
      <c r="F8076" t="inlineStr">
        <is>
          <t>SCA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10465-2023</t>
        </is>
      </c>
      <c r="B8077" s="1" t="n">
        <v>44987.60319444445</v>
      </c>
      <c r="C8077" s="1" t="n">
        <v>46045</v>
      </c>
      <c r="D8077" t="inlineStr">
        <is>
          <t>JÄMTLANDS LÄN</t>
        </is>
      </c>
      <c r="E8077" t="inlineStr">
        <is>
          <t>BERG</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3390-2024</t>
        </is>
      </c>
      <c r="B8078" s="1" t="n">
        <v>45317.94108796296</v>
      </c>
      <c r="C8078" s="1" t="n">
        <v>46045</v>
      </c>
      <c r="D8078" t="inlineStr">
        <is>
          <t>JÄMTLANDS LÄN</t>
        </is>
      </c>
      <c r="E8078" t="inlineStr">
        <is>
          <t>BRÄCKE</t>
        </is>
      </c>
      <c r="F8078" t="inlineStr">
        <is>
          <t>SCA</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3625-2024</t>
        </is>
      </c>
      <c r="B8079" s="1" t="n">
        <v>45320</v>
      </c>
      <c r="C8079" s="1" t="n">
        <v>46045</v>
      </c>
      <c r="D8079" t="inlineStr">
        <is>
          <t>JÄMTLANDS LÄN</t>
        </is>
      </c>
      <c r="E8079" t="inlineStr">
        <is>
          <t>BERG</t>
        </is>
      </c>
      <c r="F8079" t="inlineStr">
        <is>
          <t>SCA</t>
        </is>
      </c>
      <c r="G8079" t="n">
        <v>23.7</v>
      </c>
      <c r="H8079" t="n">
        <v>0</v>
      </c>
      <c r="I8079" t="n">
        <v>0</v>
      </c>
      <c r="J8079" t="n">
        <v>0</v>
      </c>
      <c r="K8079" t="n">
        <v>0</v>
      </c>
      <c r="L8079" t="n">
        <v>0</v>
      </c>
      <c r="M8079" t="n">
        <v>0</v>
      </c>
      <c r="N8079" t="n">
        <v>0</v>
      </c>
      <c r="O8079" t="n">
        <v>0</v>
      </c>
      <c r="P8079" t="n">
        <v>0</v>
      </c>
      <c r="Q8079" t="n">
        <v>0</v>
      </c>
      <c r="R8079" s="2" t="inlineStr"/>
    </row>
    <row r="8080" ht="15" customHeight="1">
      <c r="A8080" t="inlineStr">
        <is>
          <t>A 31794-2025</t>
        </is>
      </c>
      <c r="B8080" s="1" t="n">
        <v>45834.54390046297</v>
      </c>
      <c r="C8080" s="1" t="n">
        <v>46045</v>
      </c>
      <c r="D8080" t="inlineStr">
        <is>
          <t>JÄMTLANDS LÄN</t>
        </is>
      </c>
      <c r="E8080" t="inlineStr">
        <is>
          <t>BRÄCKE</t>
        </is>
      </c>
      <c r="F8080" t="inlineStr">
        <is>
          <t>Övriga Aktiebolag</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31819-2025</t>
        </is>
      </c>
      <c r="B8081" s="1" t="n">
        <v>45834.57891203704</v>
      </c>
      <c r="C8081" s="1" t="n">
        <v>46045</v>
      </c>
      <c r="D8081" t="inlineStr">
        <is>
          <t>JÄMTLANDS LÄN</t>
        </is>
      </c>
      <c r="E8081" t="inlineStr">
        <is>
          <t>BRÄCKE</t>
        </is>
      </c>
      <c r="F8081" t="inlineStr">
        <is>
          <t>Övriga Aktiebolag</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58762-2025</t>
        </is>
      </c>
      <c r="B8082" s="1" t="n">
        <v>45986.6568287037</v>
      </c>
      <c r="C8082" s="1" t="n">
        <v>46045</v>
      </c>
      <c r="D8082" t="inlineStr">
        <is>
          <t>JÄMTLANDS LÄN</t>
        </is>
      </c>
      <c r="E8082" t="inlineStr">
        <is>
          <t>BRÄCKE</t>
        </is>
      </c>
      <c r="F8082" t="inlineStr">
        <is>
          <t>SCA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23159-2024</t>
        </is>
      </c>
      <c r="B8083" s="1" t="n">
        <v>45450.7033912037</v>
      </c>
      <c r="C8083" s="1" t="n">
        <v>46045</v>
      </c>
      <c r="D8083" t="inlineStr">
        <is>
          <t>JÄMTLANDS LÄN</t>
        </is>
      </c>
      <c r="E8083" t="inlineStr">
        <is>
          <t>ÅRE</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14156-2024</t>
        </is>
      </c>
      <c r="B8084" s="1" t="n">
        <v>45392</v>
      </c>
      <c r="C8084" s="1" t="n">
        <v>46045</v>
      </c>
      <c r="D8084" t="inlineStr">
        <is>
          <t>JÄMTLANDS LÄN</t>
        </is>
      </c>
      <c r="E8084" t="inlineStr">
        <is>
          <t>RAGUNDA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14157-2024</t>
        </is>
      </c>
      <c r="B8085" s="1" t="n">
        <v>45392.92903935185</v>
      </c>
      <c r="C8085" s="1" t="n">
        <v>46045</v>
      </c>
      <c r="D8085" t="inlineStr">
        <is>
          <t>JÄMTLANDS LÄN</t>
        </is>
      </c>
      <c r="E8085" t="inlineStr">
        <is>
          <t>RAGUNDA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31832-2025</t>
        </is>
      </c>
      <c r="B8086" s="1" t="n">
        <v>45834.59207175926</v>
      </c>
      <c r="C8086" s="1" t="n">
        <v>46045</v>
      </c>
      <c r="D8086" t="inlineStr">
        <is>
          <t>JÄMTLANDS LÄN</t>
        </is>
      </c>
      <c r="E8086" t="inlineStr">
        <is>
          <t>BRÄCKE</t>
        </is>
      </c>
      <c r="F8086" t="inlineStr">
        <is>
          <t>Övriga Aktiebolag</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31910-2025</t>
        </is>
      </c>
      <c r="B8087" s="1" t="n">
        <v>45834.69577546296</v>
      </c>
      <c r="C8087" s="1" t="n">
        <v>46045</v>
      </c>
      <c r="D8087" t="inlineStr">
        <is>
          <t>JÄMTLANDS LÄN</t>
        </is>
      </c>
      <c r="E8087" t="inlineStr">
        <is>
          <t>HÄRJEDALEN</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31915-2025</t>
        </is>
      </c>
      <c r="B8088" s="1" t="n">
        <v>45834.71440972222</v>
      </c>
      <c r="C8088" s="1" t="n">
        <v>46045</v>
      </c>
      <c r="D8088" t="inlineStr">
        <is>
          <t>JÄMTLANDS LÄN</t>
        </is>
      </c>
      <c r="E8088" t="inlineStr">
        <is>
          <t>HÄRJEDALEN</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31274-2025</t>
        </is>
      </c>
      <c r="B8089" s="1" t="n">
        <v>45833.34435185185</v>
      </c>
      <c r="C8089" s="1" t="n">
        <v>46045</v>
      </c>
      <c r="D8089" t="inlineStr">
        <is>
          <t>JÄMTLANDS LÄN</t>
        </is>
      </c>
      <c r="E8089" t="inlineStr">
        <is>
          <t>BRÄCKE</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58607-2025</t>
        </is>
      </c>
      <c r="B8090" s="1" t="n">
        <v>45986.44212962963</v>
      </c>
      <c r="C8090" s="1" t="n">
        <v>46045</v>
      </c>
      <c r="D8090" t="inlineStr">
        <is>
          <t>JÄMTLANDS LÄN</t>
        </is>
      </c>
      <c r="E8090" t="inlineStr">
        <is>
          <t>HÄRJEDALEN</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58617-2025</t>
        </is>
      </c>
      <c r="B8091" s="1" t="n">
        <v>45986.46921296296</v>
      </c>
      <c r="C8091" s="1" t="n">
        <v>46045</v>
      </c>
      <c r="D8091" t="inlineStr">
        <is>
          <t>JÄMTLANDS LÄN</t>
        </is>
      </c>
      <c r="E8091" t="inlineStr">
        <is>
          <t>KROKOM</t>
        </is>
      </c>
      <c r="F8091" t="inlineStr">
        <is>
          <t>SCA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379-2026</t>
        </is>
      </c>
      <c r="B8092" s="1" t="n">
        <v>46027.7344212963</v>
      </c>
      <c r="C8092" s="1" t="n">
        <v>46045</v>
      </c>
      <c r="D8092" t="inlineStr">
        <is>
          <t>JÄMTLANDS LÄN</t>
        </is>
      </c>
      <c r="E8092" t="inlineStr">
        <is>
          <t>ÖSTERSUND</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277-2026</t>
        </is>
      </c>
      <c r="B8093" s="1" t="n">
        <v>46027.46945601852</v>
      </c>
      <c r="C8093" s="1" t="n">
        <v>46045</v>
      </c>
      <c r="D8093" t="inlineStr">
        <is>
          <t>JÄMTLANDS LÄN</t>
        </is>
      </c>
      <c r="E8093" t="inlineStr">
        <is>
          <t>BRÄCKE</t>
        </is>
      </c>
      <c r="F8093" t="inlineStr">
        <is>
          <t>SCA</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289-2026</t>
        </is>
      </c>
      <c r="B8094" s="1" t="n">
        <v>46027.49865740741</v>
      </c>
      <c r="C8094" s="1" t="n">
        <v>46045</v>
      </c>
      <c r="D8094" t="inlineStr">
        <is>
          <t>JÄMTLANDS LÄN</t>
        </is>
      </c>
      <c r="E8094" t="inlineStr">
        <is>
          <t>HÄRJEDALEN</t>
        </is>
      </c>
      <c r="F8094" t="inlineStr">
        <is>
          <t>Holmen skog AB</t>
        </is>
      </c>
      <c r="G8094" t="n">
        <v>14.4</v>
      </c>
      <c r="H8094" t="n">
        <v>0</v>
      </c>
      <c r="I8094" t="n">
        <v>0</v>
      </c>
      <c r="J8094" t="n">
        <v>0</v>
      </c>
      <c r="K8094" t="n">
        <v>0</v>
      </c>
      <c r="L8094" t="n">
        <v>0</v>
      </c>
      <c r="M8094" t="n">
        <v>0</v>
      </c>
      <c r="N8094" t="n">
        <v>0</v>
      </c>
      <c r="O8094" t="n">
        <v>0</v>
      </c>
      <c r="P8094" t="n">
        <v>0</v>
      </c>
      <c r="Q8094" t="n">
        <v>0</v>
      </c>
      <c r="R8094" s="2" t="inlineStr"/>
    </row>
    <row r="8095" ht="15" customHeight="1">
      <c r="A8095" t="inlineStr">
        <is>
          <t>A 27375-2023</t>
        </is>
      </c>
      <c r="B8095" s="1" t="n">
        <v>45096.93879629629</v>
      </c>
      <c r="C8095" s="1" t="n">
        <v>46045</v>
      </c>
      <c r="D8095" t="inlineStr">
        <is>
          <t>JÄMTLANDS LÄN</t>
        </is>
      </c>
      <c r="E8095" t="inlineStr">
        <is>
          <t>STRÖMSUND</t>
        </is>
      </c>
      <c r="F8095" t="inlineStr">
        <is>
          <t>SCA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58719-2025</t>
        </is>
      </c>
      <c r="B8096" s="1" t="n">
        <v>45986.61526620371</v>
      </c>
      <c r="C8096" s="1" t="n">
        <v>46045</v>
      </c>
      <c r="D8096" t="inlineStr">
        <is>
          <t>JÄMTLANDS LÄN</t>
        </is>
      </c>
      <c r="E8096" t="inlineStr">
        <is>
          <t>STRÖMSUND</t>
        </is>
      </c>
      <c r="F8096" t="inlineStr">
        <is>
          <t>SCA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308-2026</t>
        </is>
      </c>
      <c r="B8097" s="1" t="n">
        <v>46027.55262731481</v>
      </c>
      <c r="C8097" s="1" t="n">
        <v>46045</v>
      </c>
      <c r="D8097" t="inlineStr">
        <is>
          <t>JÄMTLANDS LÄN</t>
        </is>
      </c>
      <c r="E8097" t="inlineStr">
        <is>
          <t>STRÖMSUND</t>
        </is>
      </c>
      <c r="F8097" t="inlineStr">
        <is>
          <t>SCA</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318-2026</t>
        </is>
      </c>
      <c r="B8098" s="1" t="n">
        <v>46027.57334490741</v>
      </c>
      <c r="C8098" s="1" t="n">
        <v>46045</v>
      </c>
      <c r="D8098" t="inlineStr">
        <is>
          <t>JÄMTLANDS LÄN</t>
        </is>
      </c>
      <c r="E8098" t="inlineStr">
        <is>
          <t>ÖSTERSUND</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31498-2025</t>
        </is>
      </c>
      <c r="B8099" s="1" t="n">
        <v>45833</v>
      </c>
      <c r="C8099" s="1" t="n">
        <v>46045</v>
      </c>
      <c r="D8099" t="inlineStr">
        <is>
          <t>JÄMTLANDS LÄN</t>
        </is>
      </c>
      <c r="E8099" t="inlineStr">
        <is>
          <t>HÄRJEDALEN</t>
        </is>
      </c>
      <c r="F8099" t="inlineStr">
        <is>
          <t>Bergvik skog väst AB</t>
        </is>
      </c>
      <c r="G8099" t="n">
        <v>9.6</v>
      </c>
      <c r="H8099" t="n">
        <v>0</v>
      </c>
      <c r="I8099" t="n">
        <v>0</v>
      </c>
      <c r="J8099" t="n">
        <v>0</v>
      </c>
      <c r="K8099" t="n">
        <v>0</v>
      </c>
      <c r="L8099" t="n">
        <v>0</v>
      </c>
      <c r="M8099" t="n">
        <v>0</v>
      </c>
      <c r="N8099" t="n">
        <v>0</v>
      </c>
      <c r="O8099" t="n">
        <v>0</v>
      </c>
      <c r="P8099" t="n">
        <v>0</v>
      </c>
      <c r="Q8099" t="n">
        <v>0</v>
      </c>
      <c r="R8099" s="2" t="inlineStr"/>
    </row>
    <row r="8100" ht="15" customHeight="1">
      <c r="A8100" t="inlineStr">
        <is>
          <t>A 325-2026</t>
        </is>
      </c>
      <c r="B8100" s="1" t="n">
        <v>46027.5891087963</v>
      </c>
      <c r="C8100" s="1" t="n">
        <v>46045</v>
      </c>
      <c r="D8100" t="inlineStr">
        <is>
          <t>JÄMTLANDS LÄN</t>
        </is>
      </c>
      <c r="E8100" t="inlineStr">
        <is>
          <t>HÄRJEDALEN</t>
        </is>
      </c>
      <c r="F8100" t="inlineStr">
        <is>
          <t>Holmen skog AB</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7112-2024</t>
        </is>
      </c>
      <c r="B8101" s="1" t="n">
        <v>45343.95170138889</v>
      </c>
      <c r="C8101" s="1" t="n">
        <v>46045</v>
      </c>
      <c r="D8101" t="inlineStr">
        <is>
          <t>JÄMTLANDS LÄN</t>
        </is>
      </c>
      <c r="E8101" t="inlineStr">
        <is>
          <t>STRÖMSUND</t>
        </is>
      </c>
      <c r="F8101" t="inlineStr">
        <is>
          <t>SCA</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31877-2025</t>
        </is>
      </c>
      <c r="B8102" s="1" t="n">
        <v>45834.65267361111</v>
      </c>
      <c r="C8102" s="1" t="n">
        <v>46045</v>
      </c>
      <c r="D8102" t="inlineStr">
        <is>
          <t>JÄMTLANDS LÄN</t>
        </is>
      </c>
      <c r="E8102" t="inlineStr">
        <is>
          <t>STRÖMSUND</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31882-2025</t>
        </is>
      </c>
      <c r="B8103" s="1" t="n">
        <v>45834.65662037037</v>
      </c>
      <c r="C8103" s="1" t="n">
        <v>46045</v>
      </c>
      <c r="D8103" t="inlineStr">
        <is>
          <t>JÄMTLANDS LÄN</t>
        </is>
      </c>
      <c r="E8103" t="inlineStr">
        <is>
          <t>RAGUNDA</t>
        </is>
      </c>
      <c r="F8103" t="inlineStr">
        <is>
          <t>SCA</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58506-2025</t>
        </is>
      </c>
      <c r="B8104" s="1" t="n">
        <v>45985.69854166666</v>
      </c>
      <c r="C8104" s="1" t="n">
        <v>46045</v>
      </c>
      <c r="D8104" t="inlineStr">
        <is>
          <t>JÄMTLANDS LÄN</t>
        </is>
      </c>
      <c r="E8104" t="inlineStr">
        <is>
          <t>STRÖMSUND</t>
        </is>
      </c>
      <c r="F8104" t="inlineStr">
        <is>
          <t>SCA</t>
        </is>
      </c>
      <c r="G8104" t="n">
        <v>47.5</v>
      </c>
      <c r="H8104" t="n">
        <v>0</v>
      </c>
      <c r="I8104" t="n">
        <v>0</v>
      </c>
      <c r="J8104" t="n">
        <v>0</v>
      </c>
      <c r="K8104" t="n">
        <v>0</v>
      </c>
      <c r="L8104" t="n">
        <v>0</v>
      </c>
      <c r="M8104" t="n">
        <v>0</v>
      </c>
      <c r="N8104" t="n">
        <v>0</v>
      </c>
      <c r="O8104" t="n">
        <v>0</v>
      </c>
      <c r="P8104" t="n">
        <v>0</v>
      </c>
      <c r="Q8104" t="n">
        <v>0</v>
      </c>
      <c r="R8104" s="2" t="inlineStr"/>
    </row>
    <row r="8105" ht="15" customHeight="1">
      <c r="A8105" t="inlineStr">
        <is>
          <t>A 31290-2025</t>
        </is>
      </c>
      <c r="B8105" s="1" t="n">
        <v>45833.36050925926</v>
      </c>
      <c r="C8105" s="1" t="n">
        <v>46045</v>
      </c>
      <c r="D8105" t="inlineStr">
        <is>
          <t>JÄMTLANDS LÄN</t>
        </is>
      </c>
      <c r="E8105" t="inlineStr">
        <is>
          <t>KROKOM</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31291-2025</t>
        </is>
      </c>
      <c r="B8106" s="1" t="n">
        <v>45833.36083333333</v>
      </c>
      <c r="C8106" s="1" t="n">
        <v>46045</v>
      </c>
      <c r="D8106" t="inlineStr">
        <is>
          <t>JÄMTLANDS LÄN</t>
        </is>
      </c>
      <c r="E8106" t="inlineStr">
        <is>
          <t>KROKOM</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31294-2025</t>
        </is>
      </c>
      <c r="B8107" s="1" t="n">
        <v>45833.36467592593</v>
      </c>
      <c r="C8107" s="1" t="n">
        <v>46045</v>
      </c>
      <c r="D8107" t="inlineStr">
        <is>
          <t>JÄMTLANDS LÄN</t>
        </is>
      </c>
      <c r="E8107" t="inlineStr">
        <is>
          <t>HÄRJEDALEN</t>
        </is>
      </c>
      <c r="F8107" t="inlineStr">
        <is>
          <t>Bergvik skog väst AB</t>
        </is>
      </c>
      <c r="G8107" t="n">
        <v>22.1</v>
      </c>
      <c r="H8107" t="n">
        <v>0</v>
      </c>
      <c r="I8107" t="n">
        <v>0</v>
      </c>
      <c r="J8107" t="n">
        <v>0</v>
      </c>
      <c r="K8107" t="n">
        <v>0</v>
      </c>
      <c r="L8107" t="n">
        <v>0</v>
      </c>
      <c r="M8107" t="n">
        <v>0</v>
      </c>
      <c r="N8107" t="n">
        <v>0</v>
      </c>
      <c r="O8107" t="n">
        <v>0</v>
      </c>
      <c r="P8107" t="n">
        <v>0</v>
      </c>
      <c r="Q8107" t="n">
        <v>0</v>
      </c>
      <c r="R8107" s="2" t="inlineStr"/>
    </row>
    <row r="8108" ht="15" customHeight="1">
      <c r="A8108" t="inlineStr">
        <is>
          <t>A 58539-2025</t>
        </is>
      </c>
      <c r="B8108" s="1" t="n">
        <v>45985.89577546297</v>
      </c>
      <c r="C8108" s="1" t="n">
        <v>46045</v>
      </c>
      <c r="D8108" t="inlineStr">
        <is>
          <t>JÄMTLANDS LÄN</t>
        </is>
      </c>
      <c r="E8108" t="inlineStr">
        <is>
          <t>HÄRJEDALEN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55512-2022</t>
        </is>
      </c>
      <c r="B8109" s="1" t="n">
        <v>44887</v>
      </c>
      <c r="C8109" s="1" t="n">
        <v>46045</v>
      </c>
      <c r="D8109" t="inlineStr">
        <is>
          <t>JÄMTLANDS LÄN</t>
        </is>
      </c>
      <c r="E8109" t="inlineStr">
        <is>
          <t>BRÄCKE</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58618-2025</t>
        </is>
      </c>
      <c r="B8110" s="1" t="n">
        <v>45986.46935185185</v>
      </c>
      <c r="C8110" s="1" t="n">
        <v>46045</v>
      </c>
      <c r="D8110" t="inlineStr">
        <is>
          <t>JÄMTLANDS LÄN</t>
        </is>
      </c>
      <c r="E8110" t="inlineStr">
        <is>
          <t>BRÄCKE</t>
        </is>
      </c>
      <c r="F8110" t="inlineStr">
        <is>
          <t>SCA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55520-2022</t>
        </is>
      </c>
      <c r="B8111" s="1" t="n">
        <v>44887</v>
      </c>
      <c r="C8111" s="1" t="n">
        <v>46045</v>
      </c>
      <c r="D8111" t="inlineStr">
        <is>
          <t>JÄMTLANDS LÄN</t>
        </is>
      </c>
      <c r="E8111" t="inlineStr">
        <is>
          <t>BRÄCKE</t>
        </is>
      </c>
      <c r="F8111" t="inlineStr">
        <is>
          <t>SCA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55529-2022</t>
        </is>
      </c>
      <c r="B8112" s="1" t="n">
        <v>44887.95256944445</v>
      </c>
      <c r="C8112" s="1" t="n">
        <v>46045</v>
      </c>
      <c r="D8112" t="inlineStr">
        <is>
          <t>JÄMTLANDS LÄN</t>
        </is>
      </c>
      <c r="E8112" t="inlineStr">
        <is>
          <t>BRÄCKE</t>
        </is>
      </c>
      <c r="F8112" t="inlineStr">
        <is>
          <t>SCA</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13436-2024</t>
        </is>
      </c>
      <c r="B8113" s="1" t="n">
        <v>45387.4865625</v>
      </c>
      <c r="C8113" s="1" t="n">
        <v>46045</v>
      </c>
      <c r="D8113" t="inlineStr">
        <is>
          <t>JÄMTLANDS LÄN</t>
        </is>
      </c>
      <c r="E8113" t="inlineStr">
        <is>
          <t>BERG</t>
        </is>
      </c>
      <c r="G8113" t="n">
        <v>28.9</v>
      </c>
      <c r="H8113" t="n">
        <v>0</v>
      </c>
      <c r="I8113" t="n">
        <v>0</v>
      </c>
      <c r="J8113" t="n">
        <v>0</v>
      </c>
      <c r="K8113" t="n">
        <v>0</v>
      </c>
      <c r="L8113" t="n">
        <v>0</v>
      </c>
      <c r="M8113" t="n">
        <v>0</v>
      </c>
      <c r="N8113" t="n">
        <v>0</v>
      </c>
      <c r="O8113" t="n">
        <v>0</v>
      </c>
      <c r="P8113" t="n">
        <v>0</v>
      </c>
      <c r="Q8113" t="n">
        <v>0</v>
      </c>
      <c r="R8113" s="2" t="inlineStr"/>
    </row>
    <row r="8114" ht="15" customHeight="1">
      <c r="A8114" t="inlineStr">
        <is>
          <t>A 11763-2024</t>
        </is>
      </c>
      <c r="B8114" s="1" t="n">
        <v>45373.94820601852</v>
      </c>
      <c r="C8114" s="1" t="n">
        <v>46045</v>
      </c>
      <c r="D8114" t="inlineStr">
        <is>
          <t>JÄMTLANDS LÄN</t>
        </is>
      </c>
      <c r="E8114" t="inlineStr">
        <is>
          <t>STRÖMSUND</t>
        </is>
      </c>
      <c r="F8114" t="inlineStr">
        <is>
          <t>SCA</t>
        </is>
      </c>
      <c r="G8114" t="n">
        <v>31.6</v>
      </c>
      <c r="H8114" t="n">
        <v>0</v>
      </c>
      <c r="I8114" t="n">
        <v>0</v>
      </c>
      <c r="J8114" t="n">
        <v>0</v>
      </c>
      <c r="K8114" t="n">
        <v>0</v>
      </c>
      <c r="L8114" t="n">
        <v>0</v>
      </c>
      <c r="M8114" t="n">
        <v>0</v>
      </c>
      <c r="N8114" t="n">
        <v>0</v>
      </c>
      <c r="O8114" t="n">
        <v>0</v>
      </c>
      <c r="P8114" t="n">
        <v>0</v>
      </c>
      <c r="Q8114" t="n">
        <v>0</v>
      </c>
      <c r="R8114" s="2" t="inlineStr"/>
    </row>
    <row r="8115" ht="15" customHeight="1">
      <c r="A8115" t="inlineStr">
        <is>
          <t>A 58459-2025</t>
        </is>
      </c>
      <c r="B8115" s="1" t="n">
        <v>45985.63585648148</v>
      </c>
      <c r="C8115" s="1" t="n">
        <v>46045</v>
      </c>
      <c r="D8115" t="inlineStr">
        <is>
          <t>JÄMTLANDS LÄN</t>
        </is>
      </c>
      <c r="E8115" t="inlineStr">
        <is>
          <t>STRÖMSUND</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58495-2025</t>
        </is>
      </c>
      <c r="B8116" s="1" t="n">
        <v>45985.67776620371</v>
      </c>
      <c r="C8116" s="1" t="n">
        <v>46045</v>
      </c>
      <c r="D8116" t="inlineStr">
        <is>
          <t>JÄMTLANDS LÄN</t>
        </is>
      </c>
      <c r="E8116" t="inlineStr">
        <is>
          <t>BRÄCKE</t>
        </is>
      </c>
      <c r="F8116" t="inlineStr">
        <is>
          <t>SCA</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58469-2025</t>
        </is>
      </c>
      <c r="B8117" s="1" t="n">
        <v>45985.63699074074</v>
      </c>
      <c r="C8117" s="1" t="n">
        <v>46045</v>
      </c>
      <c r="D8117" t="inlineStr">
        <is>
          <t>JÄMTLANDS LÄN</t>
        </is>
      </c>
      <c r="E8117" t="inlineStr">
        <is>
          <t>ÅRE</t>
        </is>
      </c>
      <c r="F8117" t="inlineStr">
        <is>
          <t>Övriga Aktiebolag</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36551-2024</t>
        </is>
      </c>
      <c r="B8118" s="1" t="n">
        <v>45537.468125</v>
      </c>
      <c r="C8118" s="1" t="n">
        <v>46045</v>
      </c>
      <c r="D8118" t="inlineStr">
        <is>
          <t>JÄMTLANDS LÄN</t>
        </is>
      </c>
      <c r="E8118" t="inlineStr">
        <is>
          <t>BRÄCKE</t>
        </is>
      </c>
      <c r="F8118" t="inlineStr">
        <is>
          <t>SCA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73800-2021</t>
        </is>
      </c>
      <c r="B8119" s="1" t="n">
        <v>44552</v>
      </c>
      <c r="C8119" s="1" t="n">
        <v>46045</v>
      </c>
      <c r="D8119" t="inlineStr">
        <is>
          <t>JÄMTLANDS LÄN</t>
        </is>
      </c>
      <c r="E8119" t="inlineStr">
        <is>
          <t>ÅRE</t>
        </is>
      </c>
      <c r="G8119" t="n">
        <v>8.6</v>
      </c>
      <c r="H8119" t="n">
        <v>0</v>
      </c>
      <c r="I8119" t="n">
        <v>0</v>
      </c>
      <c r="J8119" t="n">
        <v>0</v>
      </c>
      <c r="K8119" t="n">
        <v>0</v>
      </c>
      <c r="L8119" t="n">
        <v>0</v>
      </c>
      <c r="M8119" t="n">
        <v>0</v>
      </c>
      <c r="N8119" t="n">
        <v>0</v>
      </c>
      <c r="O8119" t="n">
        <v>0</v>
      </c>
      <c r="P8119" t="n">
        <v>0</v>
      </c>
      <c r="Q8119" t="n">
        <v>0</v>
      </c>
      <c r="R8119" s="2" t="inlineStr"/>
    </row>
    <row r="8120" ht="15" customHeight="1">
      <c r="A8120" t="inlineStr">
        <is>
          <t>A 58436-2025</t>
        </is>
      </c>
      <c r="B8120" s="1" t="n">
        <v>45985.61510416667</v>
      </c>
      <c r="C8120" s="1" t="n">
        <v>46045</v>
      </c>
      <c r="D8120" t="inlineStr">
        <is>
          <t>JÄMTLANDS LÄN</t>
        </is>
      </c>
      <c r="E8120" t="inlineStr">
        <is>
          <t>BERG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44727-2024</t>
        </is>
      </c>
      <c r="B8121" s="1" t="n">
        <v>45574.57967592592</v>
      </c>
      <c r="C8121" s="1" t="n">
        <v>46045</v>
      </c>
      <c r="D8121" t="inlineStr">
        <is>
          <t>JÄMTLANDS LÄN</t>
        </is>
      </c>
      <c r="E8121" t="inlineStr">
        <is>
          <t>RAGUNDA</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58186-2025</t>
        </is>
      </c>
      <c r="B8122" s="1" t="n">
        <v>45983.47826388889</v>
      </c>
      <c r="C8122" s="1" t="n">
        <v>46045</v>
      </c>
      <c r="D8122" t="inlineStr">
        <is>
          <t>JÄMTLANDS LÄN</t>
        </is>
      </c>
      <c r="E8122" t="inlineStr">
        <is>
          <t>KROKOM</t>
        </is>
      </c>
      <c r="G8122" t="n">
        <v>7.9</v>
      </c>
      <c r="H8122" t="n">
        <v>0</v>
      </c>
      <c r="I8122" t="n">
        <v>0</v>
      </c>
      <c r="J8122" t="n">
        <v>0</v>
      </c>
      <c r="K8122" t="n">
        <v>0</v>
      </c>
      <c r="L8122" t="n">
        <v>0</v>
      </c>
      <c r="M8122" t="n">
        <v>0</v>
      </c>
      <c r="N8122" t="n">
        <v>0</v>
      </c>
      <c r="O8122" t="n">
        <v>0</v>
      </c>
      <c r="P8122" t="n">
        <v>0</v>
      </c>
      <c r="Q8122" t="n">
        <v>0</v>
      </c>
      <c r="R8122" s="2" t="inlineStr"/>
    </row>
    <row r="8123" ht="15" customHeight="1">
      <c r="A8123" t="inlineStr">
        <is>
          <t>A 400-2026</t>
        </is>
      </c>
      <c r="B8123" s="1" t="n">
        <v>46028.65902777778</v>
      </c>
      <c r="C8123" s="1" t="n">
        <v>46045</v>
      </c>
      <c r="D8123" t="inlineStr">
        <is>
          <t>JÄMTLANDS LÄN</t>
        </is>
      </c>
      <c r="E8123" t="inlineStr">
        <is>
          <t>KROKOM</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31654-2025</t>
        </is>
      </c>
      <c r="B8124" s="1" t="n">
        <v>45834.34726851852</v>
      </c>
      <c r="C8124" s="1" t="n">
        <v>46045</v>
      </c>
      <c r="D8124" t="inlineStr">
        <is>
          <t>JÄMTLANDS LÄN</t>
        </is>
      </c>
      <c r="E8124" t="inlineStr">
        <is>
          <t>KROKOM</t>
        </is>
      </c>
      <c r="F8124" t="inlineStr">
        <is>
          <t>SCA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58431-2025</t>
        </is>
      </c>
      <c r="B8125" s="1" t="n">
        <v>45985.60621527778</v>
      </c>
      <c r="C8125" s="1" t="n">
        <v>46045</v>
      </c>
      <c r="D8125" t="inlineStr">
        <is>
          <t>JÄMTLANDS LÄN</t>
        </is>
      </c>
      <c r="E8125" t="inlineStr">
        <is>
          <t>HÄRJEDALEN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237-2026</t>
        </is>
      </c>
      <c r="B8126" s="1" t="n">
        <v>46027.36506944444</v>
      </c>
      <c r="C8126" s="1" t="n">
        <v>46045</v>
      </c>
      <c r="D8126" t="inlineStr">
        <is>
          <t>JÄMTLANDS LÄN</t>
        </is>
      </c>
      <c r="E8126" t="inlineStr">
        <is>
          <t>STRÖMSUND</t>
        </is>
      </c>
      <c r="F8126" t="inlineStr">
        <is>
          <t>SCA</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31379-2025</t>
        </is>
      </c>
      <c r="B8127" s="1" t="n">
        <v>45833.44856481482</v>
      </c>
      <c r="C8127" s="1" t="n">
        <v>46045</v>
      </c>
      <c r="D8127" t="inlineStr">
        <is>
          <t>JÄMTLANDS LÄN</t>
        </is>
      </c>
      <c r="E8127" t="inlineStr">
        <is>
          <t>BRÄCKE</t>
        </is>
      </c>
      <c r="F8127" t="inlineStr">
        <is>
          <t>SCA</t>
        </is>
      </c>
      <c r="G8127" t="n">
        <v>10.2</v>
      </c>
      <c r="H8127" t="n">
        <v>0</v>
      </c>
      <c r="I8127" t="n">
        <v>0</v>
      </c>
      <c r="J8127" t="n">
        <v>0</v>
      </c>
      <c r="K8127" t="n">
        <v>0</v>
      </c>
      <c r="L8127" t="n">
        <v>0</v>
      </c>
      <c r="M8127" t="n">
        <v>0</v>
      </c>
      <c r="N8127" t="n">
        <v>0</v>
      </c>
      <c r="O8127" t="n">
        <v>0</v>
      </c>
      <c r="P8127" t="n">
        <v>0</v>
      </c>
      <c r="Q8127" t="n">
        <v>0</v>
      </c>
      <c r="R8127" s="2" t="inlineStr"/>
    </row>
    <row r="8128" ht="15" customHeight="1">
      <c r="A8128" t="inlineStr">
        <is>
          <t>A 58694-2025</t>
        </is>
      </c>
      <c r="B8128" s="1" t="n">
        <v>45986.585</v>
      </c>
      <c r="C8128" s="1" t="n">
        <v>46045</v>
      </c>
      <c r="D8128" t="inlineStr">
        <is>
          <t>JÄMTLANDS LÄN</t>
        </is>
      </c>
      <c r="E8128" t="inlineStr">
        <is>
          <t>HÄRJEDALEN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58437-2025</t>
        </is>
      </c>
      <c r="B8129" s="1" t="n">
        <v>45985.61512731481</v>
      </c>
      <c r="C8129" s="1" t="n">
        <v>46045</v>
      </c>
      <c r="D8129" t="inlineStr">
        <is>
          <t>JÄMTLANDS LÄN</t>
        </is>
      </c>
      <c r="E8129" t="inlineStr">
        <is>
          <t>BERG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31522-2025</t>
        </is>
      </c>
      <c r="B8130" s="1" t="n">
        <v>45833.6081712963</v>
      </c>
      <c r="C8130" s="1" t="n">
        <v>46045</v>
      </c>
      <c r="D8130" t="inlineStr">
        <is>
          <t>JÄMTLANDS LÄN</t>
        </is>
      </c>
      <c r="E8130" t="inlineStr">
        <is>
          <t>HÄRJEDALEN</t>
        </is>
      </c>
      <c r="F8130" t="inlineStr">
        <is>
          <t>Bergvik skog väst AB</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58645-2025</t>
        </is>
      </c>
      <c r="B8131" s="1" t="n">
        <v>45986.49688657407</v>
      </c>
      <c r="C8131" s="1" t="n">
        <v>46045</v>
      </c>
      <c r="D8131" t="inlineStr">
        <is>
          <t>JÄMTLANDS LÄN</t>
        </is>
      </c>
      <c r="E8131" t="inlineStr">
        <is>
          <t>HÄRJEDALEN</t>
        </is>
      </c>
      <c r="F8131" t="inlineStr">
        <is>
          <t>Bergvik skog väst AB</t>
        </is>
      </c>
      <c r="G8131" t="n">
        <v>23.4</v>
      </c>
      <c r="H8131" t="n">
        <v>0</v>
      </c>
      <c r="I8131" t="n">
        <v>0</v>
      </c>
      <c r="J8131" t="n">
        <v>0</v>
      </c>
      <c r="K8131" t="n">
        <v>0</v>
      </c>
      <c r="L8131" t="n">
        <v>0</v>
      </c>
      <c r="M8131" t="n">
        <v>0</v>
      </c>
      <c r="N8131" t="n">
        <v>0</v>
      </c>
      <c r="O8131" t="n">
        <v>0</v>
      </c>
      <c r="P8131" t="n">
        <v>0</v>
      </c>
      <c r="Q8131" t="n">
        <v>0</v>
      </c>
      <c r="R8131" s="2" t="inlineStr"/>
    </row>
    <row r="8132" ht="15" customHeight="1">
      <c r="A8132" t="inlineStr">
        <is>
          <t>A 58723-2025</t>
        </is>
      </c>
      <c r="B8132" s="1" t="n">
        <v>45986.61724537037</v>
      </c>
      <c r="C8132" s="1" t="n">
        <v>46045</v>
      </c>
      <c r="D8132" t="inlineStr">
        <is>
          <t>JÄMTLANDS LÄN</t>
        </is>
      </c>
      <c r="E8132" t="inlineStr">
        <is>
          <t>HÄRJEDALEN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58306-2025</t>
        </is>
      </c>
      <c r="B8133" s="1" t="n">
        <v>45985.46265046296</v>
      </c>
      <c r="C8133" s="1" t="n">
        <v>46045</v>
      </c>
      <c r="D8133" t="inlineStr">
        <is>
          <t>JÄMTLANDS LÄN</t>
        </is>
      </c>
      <c r="E8133" t="inlineStr">
        <is>
          <t>STRÖMSUND</t>
        </is>
      </c>
      <c r="G8133" t="n">
        <v>7</v>
      </c>
      <c r="H8133" t="n">
        <v>0</v>
      </c>
      <c r="I8133" t="n">
        <v>0</v>
      </c>
      <c r="J8133" t="n">
        <v>0</v>
      </c>
      <c r="K8133" t="n">
        <v>0</v>
      </c>
      <c r="L8133" t="n">
        <v>0</v>
      </c>
      <c r="M8133" t="n">
        <v>0</v>
      </c>
      <c r="N8133" t="n">
        <v>0</v>
      </c>
      <c r="O8133" t="n">
        <v>0</v>
      </c>
      <c r="P8133" t="n">
        <v>0</v>
      </c>
      <c r="Q8133" t="n">
        <v>0</v>
      </c>
      <c r="R8133" s="2" t="inlineStr"/>
    </row>
    <row r="8134" ht="15" customHeight="1">
      <c r="A8134" t="inlineStr">
        <is>
          <t>A 9132-2023</t>
        </is>
      </c>
      <c r="B8134" s="1" t="n">
        <v>44974</v>
      </c>
      <c r="C8134" s="1" t="n">
        <v>46045</v>
      </c>
      <c r="D8134" t="inlineStr">
        <is>
          <t>JÄMTLANDS LÄN</t>
        </is>
      </c>
      <c r="E8134" t="inlineStr">
        <is>
          <t>KROKOM</t>
        </is>
      </c>
      <c r="F8134" t="inlineStr">
        <is>
          <t>SCA</t>
        </is>
      </c>
      <c r="G8134" t="n">
        <v>22.7</v>
      </c>
      <c r="H8134" t="n">
        <v>0</v>
      </c>
      <c r="I8134" t="n">
        <v>0</v>
      </c>
      <c r="J8134" t="n">
        <v>0</v>
      </c>
      <c r="K8134" t="n">
        <v>0</v>
      </c>
      <c r="L8134" t="n">
        <v>0</v>
      </c>
      <c r="M8134" t="n">
        <v>0</v>
      </c>
      <c r="N8134" t="n">
        <v>0</v>
      </c>
      <c r="O8134" t="n">
        <v>0</v>
      </c>
      <c r="P8134" t="n">
        <v>0</v>
      </c>
      <c r="Q8134" t="n">
        <v>0</v>
      </c>
      <c r="R8134" s="2" t="inlineStr"/>
    </row>
    <row r="8135" ht="15" customHeight="1">
      <c r="A8135" t="inlineStr">
        <is>
          <t>A 58387-2025</t>
        </is>
      </c>
      <c r="B8135" s="1" t="n">
        <v>45985.54607638889</v>
      </c>
      <c r="C8135" s="1" t="n">
        <v>46045</v>
      </c>
      <c r="D8135" t="inlineStr">
        <is>
          <t>JÄMTLANDS LÄN</t>
        </is>
      </c>
      <c r="E8135" t="inlineStr">
        <is>
          <t>STRÖMSUND</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31526-2025</t>
        </is>
      </c>
      <c r="B8136" s="1" t="n">
        <v>45833</v>
      </c>
      <c r="C8136" s="1" t="n">
        <v>46045</v>
      </c>
      <c r="D8136" t="inlineStr">
        <is>
          <t>JÄMTLANDS LÄN</t>
        </is>
      </c>
      <c r="E8136" t="inlineStr">
        <is>
          <t>HÄRJEDALEN</t>
        </is>
      </c>
      <c r="F8136" t="inlineStr">
        <is>
          <t>Bergvik skog väst AB</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31712-2025</t>
        </is>
      </c>
      <c r="B8137" s="1" t="n">
        <v>45834.44834490741</v>
      </c>
      <c r="C8137" s="1" t="n">
        <v>46045</v>
      </c>
      <c r="D8137" t="inlineStr">
        <is>
          <t>JÄMTLANDS LÄN</t>
        </is>
      </c>
      <c r="E8137" t="inlineStr">
        <is>
          <t>STRÖMSUND</t>
        </is>
      </c>
      <c r="F8137" t="inlineStr">
        <is>
          <t>SCA</t>
        </is>
      </c>
      <c r="G8137" t="n">
        <v>10.8</v>
      </c>
      <c r="H8137" t="n">
        <v>0</v>
      </c>
      <c r="I8137" t="n">
        <v>0</v>
      </c>
      <c r="J8137" t="n">
        <v>0</v>
      </c>
      <c r="K8137" t="n">
        <v>0</v>
      </c>
      <c r="L8137" t="n">
        <v>0</v>
      </c>
      <c r="M8137" t="n">
        <v>0</v>
      </c>
      <c r="N8137" t="n">
        <v>0</v>
      </c>
      <c r="O8137" t="n">
        <v>0</v>
      </c>
      <c r="P8137" t="n">
        <v>0</v>
      </c>
      <c r="Q8137" t="n">
        <v>0</v>
      </c>
      <c r="R8137" s="2" t="inlineStr"/>
    </row>
    <row r="8138" ht="15" customHeight="1">
      <c r="A8138" t="inlineStr">
        <is>
          <t>A 58638-2025</t>
        </is>
      </c>
      <c r="B8138" s="1" t="n">
        <v>45986.49016203704</v>
      </c>
      <c r="C8138" s="1" t="n">
        <v>46045</v>
      </c>
      <c r="D8138" t="inlineStr">
        <is>
          <t>JÄMTLANDS LÄN</t>
        </is>
      </c>
      <c r="E8138" t="inlineStr">
        <is>
          <t>RAGUNDA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58708-2025</t>
        </is>
      </c>
      <c r="B8139" s="1" t="n">
        <v>45986.60412037037</v>
      </c>
      <c r="C8139" s="1" t="n">
        <v>46045</v>
      </c>
      <c r="D8139" t="inlineStr">
        <is>
          <t>JÄMTLANDS LÄN</t>
        </is>
      </c>
      <c r="E8139" t="inlineStr">
        <is>
          <t>BERG</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44955-2024</t>
        </is>
      </c>
      <c r="B8140" s="1" t="n">
        <v>45575</v>
      </c>
      <c r="C8140" s="1" t="n">
        <v>46045</v>
      </c>
      <c r="D8140" t="inlineStr">
        <is>
          <t>JÄMTLANDS LÄN</t>
        </is>
      </c>
      <c r="E8140" t="inlineStr">
        <is>
          <t>HÄRJEDALEN</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58353-2025</t>
        </is>
      </c>
      <c r="B8141" s="1" t="n">
        <v>45985.51128472222</v>
      </c>
      <c r="C8141" s="1" t="n">
        <v>46045</v>
      </c>
      <c r="D8141" t="inlineStr">
        <is>
          <t>JÄMTLANDS LÄN</t>
        </is>
      </c>
      <c r="E8141" t="inlineStr">
        <is>
          <t>ÖSTERSUND</t>
        </is>
      </c>
      <c r="G8141" t="n">
        <v>9.300000000000001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31570-2025</t>
        </is>
      </c>
      <c r="B8142" s="1" t="n">
        <v>45833</v>
      </c>
      <c r="C8142" s="1" t="n">
        <v>46045</v>
      </c>
      <c r="D8142" t="inlineStr">
        <is>
          <t>JÄMTLANDS LÄN</t>
        </is>
      </c>
      <c r="E8142" t="inlineStr">
        <is>
          <t>HÄRJEDALEN</t>
        </is>
      </c>
      <c r="F8142" t="inlineStr">
        <is>
          <t>Bergvik skog väst AB</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58716-2025</t>
        </is>
      </c>
      <c r="B8143" s="1" t="n">
        <v>45986.61413194444</v>
      </c>
      <c r="C8143" s="1" t="n">
        <v>46045</v>
      </c>
      <c r="D8143" t="inlineStr">
        <is>
          <t>JÄMTLANDS LÄN</t>
        </is>
      </c>
      <c r="E8143" t="inlineStr">
        <is>
          <t>HÄRJEDALEN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31884-2025</t>
        </is>
      </c>
      <c r="B8144" s="1" t="n">
        <v>45834.6568287037</v>
      </c>
      <c r="C8144" s="1" t="n">
        <v>46045</v>
      </c>
      <c r="D8144" t="inlineStr">
        <is>
          <t>JÄMTLANDS LÄN</t>
        </is>
      </c>
      <c r="E8144" t="inlineStr">
        <is>
          <t>HÄRJEDALEN</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31913-2025</t>
        </is>
      </c>
      <c r="B8145" s="1" t="n">
        <v>45834.7087962963</v>
      </c>
      <c r="C8145" s="1" t="n">
        <v>46045</v>
      </c>
      <c r="D8145" t="inlineStr">
        <is>
          <t>JÄMTLANDS LÄN</t>
        </is>
      </c>
      <c r="E8145" t="inlineStr">
        <is>
          <t>HÄRJEDALEN</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58744-2025</t>
        </is>
      </c>
      <c r="B8146" s="1" t="n">
        <v>45986.6365162037</v>
      </c>
      <c r="C8146" s="1" t="n">
        <v>46045</v>
      </c>
      <c r="D8146" t="inlineStr">
        <is>
          <t>JÄMTLANDS LÄN</t>
        </is>
      </c>
      <c r="E8146" t="inlineStr">
        <is>
          <t>BRÄCKE</t>
        </is>
      </c>
      <c r="F8146" t="inlineStr">
        <is>
          <t>SCA</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280-2026</t>
        </is>
      </c>
      <c r="B8147" s="1" t="n">
        <v>46027.47597222222</v>
      </c>
      <c r="C8147" s="1" t="n">
        <v>46045</v>
      </c>
      <c r="D8147" t="inlineStr">
        <is>
          <t>JÄMTLANDS LÄN</t>
        </is>
      </c>
      <c r="E8147" t="inlineStr">
        <is>
          <t>HÄRJEDALEN</t>
        </is>
      </c>
      <c r="F8147" t="inlineStr">
        <is>
          <t>Holmen skog AB</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31722-2025</t>
        </is>
      </c>
      <c r="B8148" s="1" t="n">
        <v>45834.46181712963</v>
      </c>
      <c r="C8148" s="1" t="n">
        <v>46045</v>
      </c>
      <c r="D8148" t="inlineStr">
        <is>
          <t>JÄMTLANDS LÄN</t>
        </is>
      </c>
      <c r="E8148" t="inlineStr">
        <is>
          <t>STRÖMSUND</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31728-2025</t>
        </is>
      </c>
      <c r="B8149" s="1" t="n">
        <v>45834.46925925926</v>
      </c>
      <c r="C8149" s="1" t="n">
        <v>46045</v>
      </c>
      <c r="D8149" t="inlineStr">
        <is>
          <t>JÄMTLANDS LÄN</t>
        </is>
      </c>
      <c r="E8149" t="inlineStr">
        <is>
          <t>BRÄCKE</t>
        </is>
      </c>
      <c r="F8149" t="inlineStr">
        <is>
          <t>SCA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58589-2025</t>
        </is>
      </c>
      <c r="B8150" s="1" t="n">
        <v>45986.40680555555</v>
      </c>
      <c r="C8150" s="1" t="n">
        <v>46045</v>
      </c>
      <c r="D8150" t="inlineStr">
        <is>
          <t>JÄMTLANDS LÄN</t>
        </is>
      </c>
      <c r="E8150" t="inlineStr">
        <is>
          <t>KROKOM</t>
        </is>
      </c>
      <c r="F8150" t="inlineStr">
        <is>
          <t>SCA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58285-2025</t>
        </is>
      </c>
      <c r="B8151" s="1" t="n">
        <v>45985.44381944444</v>
      </c>
      <c r="C8151" s="1" t="n">
        <v>46045</v>
      </c>
      <c r="D8151" t="inlineStr">
        <is>
          <t>JÄMTLANDS LÄN</t>
        </is>
      </c>
      <c r="E8151" t="inlineStr">
        <is>
          <t>STRÖMSUND</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222-2026</t>
        </is>
      </c>
      <c r="B8152" s="1" t="n">
        <v>46026.84054398148</v>
      </c>
      <c r="C8152" s="1" t="n">
        <v>46045</v>
      </c>
      <c r="D8152" t="inlineStr">
        <is>
          <t>JÄMTLANDS LÄN</t>
        </is>
      </c>
      <c r="E8152" t="inlineStr">
        <is>
          <t>RAGUNDA</t>
        </is>
      </c>
      <c r="G8152" t="n">
        <v>10.6</v>
      </c>
      <c r="H8152" t="n">
        <v>0</v>
      </c>
      <c r="I8152" t="n">
        <v>0</v>
      </c>
      <c r="J8152" t="n">
        <v>0</v>
      </c>
      <c r="K8152" t="n">
        <v>0</v>
      </c>
      <c r="L8152" t="n">
        <v>0</v>
      </c>
      <c r="M8152" t="n">
        <v>0</v>
      </c>
      <c r="N8152" t="n">
        <v>0</v>
      </c>
      <c r="O8152" t="n">
        <v>0</v>
      </c>
      <c r="P8152" t="n">
        <v>0</v>
      </c>
      <c r="Q8152" t="n">
        <v>0</v>
      </c>
      <c r="R8152" s="2" t="inlineStr"/>
    </row>
    <row r="8153" ht="15" customHeight="1">
      <c r="A8153" t="inlineStr">
        <is>
          <t>A 276-2026</t>
        </is>
      </c>
      <c r="B8153" s="1" t="n">
        <v>46027.469375</v>
      </c>
      <c r="C8153" s="1" t="n">
        <v>46045</v>
      </c>
      <c r="D8153" t="inlineStr">
        <is>
          <t>JÄMTLANDS LÄN</t>
        </is>
      </c>
      <c r="E8153" t="inlineStr">
        <is>
          <t>BRÄCKE</t>
        </is>
      </c>
      <c r="F8153" t="inlineStr">
        <is>
          <t>SCA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322-2026</t>
        </is>
      </c>
      <c r="B8154" s="1" t="n">
        <v>46027.58601851852</v>
      </c>
      <c r="C8154" s="1" t="n">
        <v>46045</v>
      </c>
      <c r="D8154" t="inlineStr">
        <is>
          <t>JÄMTLANDS LÄN</t>
        </is>
      </c>
      <c r="E8154" t="inlineStr">
        <is>
          <t>HÄRJEDALEN</t>
        </is>
      </c>
      <c r="F8154" t="inlineStr">
        <is>
          <t>Holmen skog AB</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58296-2025</t>
        </is>
      </c>
      <c r="B8155" s="1" t="n">
        <v>45985.45633101852</v>
      </c>
      <c r="C8155" s="1" t="n">
        <v>46045</v>
      </c>
      <c r="D8155" t="inlineStr">
        <is>
          <t>JÄMTLANDS LÄN</t>
        </is>
      </c>
      <c r="E8155" t="inlineStr">
        <is>
          <t>HÄRJEDALEN</t>
        </is>
      </c>
      <c r="F8155" t="inlineStr">
        <is>
          <t>Bergvik skog väst AB</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58559-2025</t>
        </is>
      </c>
      <c r="B8156" s="1" t="n">
        <v>45986.34475694445</v>
      </c>
      <c r="C8156" s="1" t="n">
        <v>46045</v>
      </c>
      <c r="D8156" t="inlineStr">
        <is>
          <t>JÄMTLANDS LÄN</t>
        </is>
      </c>
      <c r="E8156" t="inlineStr">
        <is>
          <t>RAGUNDA</t>
        </is>
      </c>
      <c r="F8156" t="inlineStr">
        <is>
          <t>SCA</t>
        </is>
      </c>
      <c r="G8156" t="n">
        <v>8.300000000000001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31820-2025</t>
        </is>
      </c>
      <c r="B8157" s="1" t="n">
        <v>45834.57930555556</v>
      </c>
      <c r="C8157" s="1" t="n">
        <v>46045</v>
      </c>
      <c r="D8157" t="inlineStr">
        <is>
          <t>JÄMTLANDS LÄN</t>
        </is>
      </c>
      <c r="E8157" t="inlineStr">
        <is>
          <t>BERG</t>
        </is>
      </c>
      <c r="G8157" t="n">
        <v>13.9</v>
      </c>
      <c r="H8157" t="n">
        <v>0</v>
      </c>
      <c r="I8157" t="n">
        <v>0</v>
      </c>
      <c r="J8157" t="n">
        <v>0</v>
      </c>
      <c r="K8157" t="n">
        <v>0</v>
      </c>
      <c r="L8157" t="n">
        <v>0</v>
      </c>
      <c r="M8157" t="n">
        <v>0</v>
      </c>
      <c r="N8157" t="n">
        <v>0</v>
      </c>
      <c r="O8157" t="n">
        <v>0</v>
      </c>
      <c r="P8157" t="n">
        <v>0</v>
      </c>
      <c r="Q8157" t="n">
        <v>0</v>
      </c>
      <c r="R8157" s="2" t="inlineStr"/>
    </row>
    <row r="8158" ht="15" customHeight="1">
      <c r="A8158" t="inlineStr">
        <is>
          <t>A 58583-2025</t>
        </is>
      </c>
      <c r="B8158" s="1" t="n">
        <v>45986.39024305555</v>
      </c>
      <c r="C8158" s="1" t="n">
        <v>46045</v>
      </c>
      <c r="D8158" t="inlineStr">
        <is>
          <t>JÄMTLANDS LÄN</t>
        </is>
      </c>
      <c r="E8158" t="inlineStr">
        <is>
          <t>ÖSTERSUND</t>
        </is>
      </c>
      <c r="G8158" t="n">
        <v>43.1</v>
      </c>
      <c r="H8158" t="n">
        <v>0</v>
      </c>
      <c r="I8158" t="n">
        <v>0</v>
      </c>
      <c r="J8158" t="n">
        <v>0</v>
      </c>
      <c r="K8158" t="n">
        <v>0</v>
      </c>
      <c r="L8158" t="n">
        <v>0</v>
      </c>
      <c r="M8158" t="n">
        <v>0</v>
      </c>
      <c r="N8158" t="n">
        <v>0</v>
      </c>
      <c r="O8158" t="n">
        <v>0</v>
      </c>
      <c r="P8158" t="n">
        <v>0</v>
      </c>
      <c r="Q8158" t="n">
        <v>0</v>
      </c>
      <c r="R8158" s="2" t="inlineStr"/>
    </row>
    <row r="8159" ht="15" customHeight="1">
      <c r="A8159" t="inlineStr">
        <is>
          <t>A 58591-2025</t>
        </is>
      </c>
      <c r="B8159" s="1" t="n">
        <v>45986.40993055556</v>
      </c>
      <c r="C8159" s="1" t="n">
        <v>46045</v>
      </c>
      <c r="D8159" t="inlineStr">
        <is>
          <t>JÄMTLANDS LÄN</t>
        </is>
      </c>
      <c r="E8159" t="inlineStr">
        <is>
          <t>KROKOM</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31852-2025</t>
        </is>
      </c>
      <c r="B8160" s="1" t="n">
        <v>45834.61517361111</v>
      </c>
      <c r="C8160" s="1" t="n">
        <v>46045</v>
      </c>
      <c r="D8160" t="inlineStr">
        <is>
          <t>JÄMTLANDS LÄN</t>
        </is>
      </c>
      <c r="E8160" t="inlineStr">
        <is>
          <t>KROKOM</t>
        </is>
      </c>
      <c r="F8160" t="inlineStr">
        <is>
          <t>SCA</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31696-2025</t>
        </is>
      </c>
      <c r="B8161" s="1" t="n">
        <v>45834.40726851852</v>
      </c>
      <c r="C8161" s="1" t="n">
        <v>46045</v>
      </c>
      <c r="D8161" t="inlineStr">
        <is>
          <t>JÄMTLANDS LÄN</t>
        </is>
      </c>
      <c r="E8161" t="inlineStr">
        <is>
          <t>BRÄCKE</t>
        </is>
      </c>
      <c r="F8161" t="inlineStr">
        <is>
          <t>SCA</t>
        </is>
      </c>
      <c r="G8161" t="n">
        <v>15.8</v>
      </c>
      <c r="H8161" t="n">
        <v>0</v>
      </c>
      <c r="I8161" t="n">
        <v>0</v>
      </c>
      <c r="J8161" t="n">
        <v>0</v>
      </c>
      <c r="K8161" t="n">
        <v>0</v>
      </c>
      <c r="L8161" t="n">
        <v>0</v>
      </c>
      <c r="M8161" t="n">
        <v>0</v>
      </c>
      <c r="N8161" t="n">
        <v>0</v>
      </c>
      <c r="O8161" t="n">
        <v>0</v>
      </c>
      <c r="P8161" t="n">
        <v>0</v>
      </c>
      <c r="Q8161" t="n">
        <v>0</v>
      </c>
      <c r="R8161" s="2" t="inlineStr"/>
    </row>
    <row r="8162" ht="15" customHeight="1">
      <c r="A8162" t="inlineStr">
        <is>
          <t>A 58470-2025</t>
        </is>
      </c>
      <c r="B8162" s="1" t="n">
        <v>45985.63704861111</v>
      </c>
      <c r="C8162" s="1" t="n">
        <v>46045</v>
      </c>
      <c r="D8162" t="inlineStr">
        <is>
          <t>JÄMTLANDS LÄN</t>
        </is>
      </c>
      <c r="E8162" t="inlineStr">
        <is>
          <t>BERG</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261-2026</t>
        </is>
      </c>
      <c r="B8163" s="1" t="n">
        <v>46027.44835648148</v>
      </c>
      <c r="C8163" s="1" t="n">
        <v>46045</v>
      </c>
      <c r="D8163" t="inlineStr">
        <is>
          <t>JÄMTLANDS LÄN</t>
        </is>
      </c>
      <c r="E8163" t="inlineStr">
        <is>
          <t>BRÄCKE</t>
        </is>
      </c>
      <c r="F8163" t="inlineStr">
        <is>
          <t>SCA</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262-2026</t>
        </is>
      </c>
      <c r="B8164" s="1" t="n">
        <v>46027.44850694444</v>
      </c>
      <c r="C8164" s="1" t="n">
        <v>46045</v>
      </c>
      <c r="D8164" t="inlineStr">
        <is>
          <t>JÄMTLANDS LÄN</t>
        </is>
      </c>
      <c r="E8164" t="inlineStr">
        <is>
          <t>BRÄCKE</t>
        </is>
      </c>
      <c r="F8164" t="inlineStr">
        <is>
          <t>SCA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282-2026</t>
        </is>
      </c>
      <c r="B8165" s="1" t="n">
        <v>46027.48473379629</v>
      </c>
      <c r="C8165" s="1" t="n">
        <v>46045</v>
      </c>
      <c r="D8165" t="inlineStr">
        <is>
          <t>JÄMTLANDS LÄN</t>
        </is>
      </c>
      <c r="E8165" t="inlineStr">
        <is>
          <t>HÄRJEDALEN</t>
        </is>
      </c>
      <c r="F8165" t="inlineStr">
        <is>
          <t>Holmen skog AB</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21661-2023</t>
        </is>
      </c>
      <c r="B8166" s="1" t="n">
        <v>45063</v>
      </c>
      <c r="C8166" s="1" t="n">
        <v>46045</v>
      </c>
      <c r="D8166" t="inlineStr">
        <is>
          <t>JÄMTLANDS LÄN</t>
        </is>
      </c>
      <c r="E8166" t="inlineStr">
        <is>
          <t>RAGUNDA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31292-2025</t>
        </is>
      </c>
      <c r="B8167" s="1" t="n">
        <v>45833.36111111111</v>
      </c>
      <c r="C8167" s="1" t="n">
        <v>46045</v>
      </c>
      <c r="D8167" t="inlineStr">
        <is>
          <t>JÄMTLANDS LÄN</t>
        </is>
      </c>
      <c r="E8167" t="inlineStr">
        <is>
          <t>KROKOM</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31749-2025</t>
        </is>
      </c>
      <c r="B8168" s="1" t="n">
        <v>45834.48164351852</v>
      </c>
      <c r="C8168" s="1" t="n">
        <v>46045</v>
      </c>
      <c r="D8168" t="inlineStr">
        <is>
          <t>JÄMTLANDS LÄN</t>
        </is>
      </c>
      <c r="E8168" t="inlineStr">
        <is>
          <t>BRÄCKE</t>
        </is>
      </c>
      <c r="F8168" t="inlineStr">
        <is>
          <t>Övriga Aktiebolag</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238-2026</t>
        </is>
      </c>
      <c r="B8169" s="1" t="n">
        <v>46027.36778935185</v>
      </c>
      <c r="C8169" s="1" t="n">
        <v>46045</v>
      </c>
      <c r="D8169" t="inlineStr">
        <is>
          <t>JÄMTLANDS LÄN</t>
        </is>
      </c>
      <c r="E8169" t="inlineStr">
        <is>
          <t>HÄRJEDALEN</t>
        </is>
      </c>
      <c r="F8169" t="inlineStr">
        <is>
          <t>Holmen skog AB</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58720-2025</t>
        </is>
      </c>
      <c r="B8170" s="1" t="n">
        <v>45986.61543981481</v>
      </c>
      <c r="C8170" s="1" t="n">
        <v>46045</v>
      </c>
      <c r="D8170" t="inlineStr">
        <is>
          <t>JÄMTLANDS LÄN</t>
        </is>
      </c>
      <c r="E8170" t="inlineStr">
        <is>
          <t>STRÖMSUND</t>
        </is>
      </c>
      <c r="F8170" t="inlineStr">
        <is>
          <t>SCA</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330-2026</t>
        </is>
      </c>
      <c r="B8171" s="1" t="n">
        <v>46027.59451388889</v>
      </c>
      <c r="C8171" s="1" t="n">
        <v>46045</v>
      </c>
      <c r="D8171" t="inlineStr">
        <is>
          <t>JÄMTLANDS LÄN</t>
        </is>
      </c>
      <c r="E8171" t="inlineStr">
        <is>
          <t>ÖSTERSUND</t>
        </is>
      </c>
      <c r="F8171" t="inlineStr">
        <is>
          <t>SCA</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44925-2024</t>
        </is>
      </c>
      <c r="B8172" s="1" t="n">
        <v>45575.40700231482</v>
      </c>
      <c r="C8172" s="1" t="n">
        <v>46045</v>
      </c>
      <c r="D8172" t="inlineStr">
        <is>
          <t>JÄMTLANDS LÄN</t>
        </is>
      </c>
      <c r="E8172" t="inlineStr">
        <is>
          <t>ÅRE</t>
        </is>
      </c>
      <c r="F8172" t="inlineStr">
        <is>
          <t>Övriga Aktiebolag</t>
        </is>
      </c>
      <c r="G8172" t="n">
        <v>22.3</v>
      </c>
      <c r="H8172" t="n">
        <v>0</v>
      </c>
      <c r="I8172" t="n">
        <v>0</v>
      </c>
      <c r="J8172" t="n">
        <v>0</v>
      </c>
      <c r="K8172" t="n">
        <v>0</v>
      </c>
      <c r="L8172" t="n">
        <v>0</v>
      </c>
      <c r="M8172" t="n">
        <v>0</v>
      </c>
      <c r="N8172" t="n">
        <v>0</v>
      </c>
      <c r="O8172" t="n">
        <v>0</v>
      </c>
      <c r="P8172" t="n">
        <v>0</v>
      </c>
      <c r="Q8172" t="n">
        <v>0</v>
      </c>
      <c r="R8172" s="2" t="inlineStr"/>
    </row>
    <row r="8173" ht="15" customHeight="1">
      <c r="A8173" t="inlineStr">
        <is>
          <t>A 58703-2025</t>
        </is>
      </c>
      <c r="B8173" s="1" t="n">
        <v>45986.59430555555</v>
      </c>
      <c r="C8173" s="1" t="n">
        <v>46045</v>
      </c>
      <c r="D8173" t="inlineStr">
        <is>
          <t>JÄMTLANDS LÄN</t>
        </is>
      </c>
      <c r="E8173" t="inlineStr">
        <is>
          <t>STRÖMSUND</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32657-2025</t>
        </is>
      </c>
      <c r="B8174" s="1" t="n">
        <v>45838.67841435185</v>
      </c>
      <c r="C8174" s="1" t="n">
        <v>46045</v>
      </c>
      <c r="D8174" t="inlineStr">
        <is>
          <t>JÄMTLANDS LÄN</t>
        </is>
      </c>
      <c r="E8174" t="inlineStr">
        <is>
          <t>STRÖMSUND</t>
        </is>
      </c>
      <c r="G8174" t="n">
        <v>15.4</v>
      </c>
      <c r="H8174" t="n">
        <v>0</v>
      </c>
      <c r="I8174" t="n">
        <v>0</v>
      </c>
      <c r="J8174" t="n">
        <v>0</v>
      </c>
      <c r="K8174" t="n">
        <v>0</v>
      </c>
      <c r="L8174" t="n">
        <v>0</v>
      </c>
      <c r="M8174" t="n">
        <v>0</v>
      </c>
      <c r="N8174" t="n">
        <v>0</v>
      </c>
      <c r="O8174" t="n">
        <v>0</v>
      </c>
      <c r="P8174" t="n">
        <v>0</v>
      </c>
      <c r="Q8174" t="n">
        <v>0</v>
      </c>
      <c r="R8174" s="2" t="inlineStr"/>
    </row>
    <row r="8175" ht="15" customHeight="1">
      <c r="A8175" t="inlineStr">
        <is>
          <t>A 24049-2023</t>
        </is>
      </c>
      <c r="B8175" s="1" t="n">
        <v>45078.93966435185</v>
      </c>
      <c r="C8175" s="1" t="n">
        <v>46045</v>
      </c>
      <c r="D8175" t="inlineStr">
        <is>
          <t>JÄMTLANDS LÄN</t>
        </is>
      </c>
      <c r="E8175" t="inlineStr">
        <is>
          <t>BRÄCKE</t>
        </is>
      </c>
      <c r="G8175" t="n">
        <v>15.2</v>
      </c>
      <c r="H8175" t="n">
        <v>0</v>
      </c>
      <c r="I8175" t="n">
        <v>0</v>
      </c>
      <c r="J8175" t="n">
        <v>0</v>
      </c>
      <c r="K8175" t="n">
        <v>0</v>
      </c>
      <c r="L8175" t="n">
        <v>0</v>
      </c>
      <c r="M8175" t="n">
        <v>0</v>
      </c>
      <c r="N8175" t="n">
        <v>0</v>
      </c>
      <c r="O8175" t="n">
        <v>0</v>
      </c>
      <c r="P8175" t="n">
        <v>0</v>
      </c>
      <c r="Q8175" t="n">
        <v>0</v>
      </c>
      <c r="R8175" s="2" t="inlineStr"/>
    </row>
    <row r="8176" ht="15" customHeight="1">
      <c r="A8176" t="inlineStr">
        <is>
          <t>A 32149-2025</t>
        </is>
      </c>
      <c r="B8176" s="1" t="n">
        <v>45835.53086805555</v>
      </c>
      <c r="C8176" s="1" t="n">
        <v>46045</v>
      </c>
      <c r="D8176" t="inlineStr">
        <is>
          <t>JÄMTLANDS LÄN</t>
        </is>
      </c>
      <c r="E8176" t="inlineStr">
        <is>
          <t>BRÄCKE</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58237-2025</t>
        </is>
      </c>
      <c r="B8177" s="1" t="n">
        <v>45985.38751157407</v>
      </c>
      <c r="C8177" s="1" t="n">
        <v>46045</v>
      </c>
      <c r="D8177" t="inlineStr">
        <is>
          <t>JÄMTLANDS LÄN</t>
        </is>
      </c>
      <c r="E8177" t="inlineStr">
        <is>
          <t>BERG</t>
        </is>
      </c>
      <c r="F8177" t="inlineStr">
        <is>
          <t>SCA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32762-2025</t>
        </is>
      </c>
      <c r="B8178" s="1" t="n">
        <v>45838</v>
      </c>
      <c r="C8178" s="1" t="n">
        <v>46045</v>
      </c>
      <c r="D8178" t="inlineStr">
        <is>
          <t>JÄMTLANDS LÄN</t>
        </is>
      </c>
      <c r="E8178" t="inlineStr">
        <is>
          <t>RAGUNDA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31962-2025</t>
        </is>
      </c>
      <c r="B8179" s="1" t="n">
        <v>45835.34466435185</v>
      </c>
      <c r="C8179" s="1" t="n">
        <v>46045</v>
      </c>
      <c r="D8179" t="inlineStr">
        <is>
          <t>JÄMTLANDS LÄN</t>
        </is>
      </c>
      <c r="E8179" t="inlineStr">
        <is>
          <t>BRÄCKE</t>
        </is>
      </c>
      <c r="F8179" t="inlineStr">
        <is>
          <t>SCA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58373-2025</t>
        </is>
      </c>
      <c r="B8180" s="1" t="n">
        <v>45985.53162037037</v>
      </c>
      <c r="C8180" s="1" t="n">
        <v>46045</v>
      </c>
      <c r="D8180" t="inlineStr">
        <is>
          <t>JÄMTLANDS LÄN</t>
        </is>
      </c>
      <c r="E8180" t="inlineStr">
        <is>
          <t>ÖSTERSUND</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58269-2025</t>
        </is>
      </c>
      <c r="B8181" s="1" t="n">
        <v>45985</v>
      </c>
      <c r="C8181" s="1" t="n">
        <v>46045</v>
      </c>
      <c r="D8181" t="inlineStr">
        <is>
          <t>JÄMTLANDS LÄN</t>
        </is>
      </c>
      <c r="E8181" t="inlineStr">
        <is>
          <t>STRÖMSUND</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24073-2023</t>
        </is>
      </c>
      <c r="B8182" s="1" t="n">
        <v>45078.9421412037</v>
      </c>
      <c r="C8182" s="1" t="n">
        <v>46045</v>
      </c>
      <c r="D8182" t="inlineStr">
        <is>
          <t>JÄMTLANDS LÄN</t>
        </is>
      </c>
      <c r="E8182" t="inlineStr">
        <is>
          <t>STRÖMSUND</t>
        </is>
      </c>
      <c r="F8182" t="inlineStr">
        <is>
          <t>SCA</t>
        </is>
      </c>
      <c r="G8182" t="n">
        <v>9.9</v>
      </c>
      <c r="H8182" t="n">
        <v>0</v>
      </c>
      <c r="I8182" t="n">
        <v>0</v>
      </c>
      <c r="J8182" t="n">
        <v>0</v>
      </c>
      <c r="K8182" t="n">
        <v>0</v>
      </c>
      <c r="L8182" t="n">
        <v>0</v>
      </c>
      <c r="M8182" t="n">
        <v>0</v>
      </c>
      <c r="N8182" t="n">
        <v>0</v>
      </c>
      <c r="O8182" t="n">
        <v>0</v>
      </c>
      <c r="P8182" t="n">
        <v>0</v>
      </c>
      <c r="Q8182" t="n">
        <v>0</v>
      </c>
      <c r="R8182" s="2" t="inlineStr"/>
    </row>
    <row r="8183" ht="15" customHeight="1">
      <c r="A8183" t="inlineStr">
        <is>
          <t>A 59321-2025</t>
        </is>
      </c>
      <c r="B8183" s="1" t="n">
        <v>45988</v>
      </c>
      <c r="C8183" s="1" t="n">
        <v>46045</v>
      </c>
      <c r="D8183" t="inlineStr">
        <is>
          <t>JÄMTLANDS LÄN</t>
        </is>
      </c>
      <c r="E8183" t="inlineStr">
        <is>
          <t>HÄRJEDALEN</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50514-2023</t>
        </is>
      </c>
      <c r="B8184" s="1" t="n">
        <v>45216</v>
      </c>
      <c r="C8184" s="1" t="n">
        <v>46045</v>
      </c>
      <c r="D8184" t="inlineStr">
        <is>
          <t>JÄMTLANDS LÄN</t>
        </is>
      </c>
      <c r="E8184" t="inlineStr">
        <is>
          <t>BRÄCKE</t>
        </is>
      </c>
      <c r="F8184" t="inlineStr">
        <is>
          <t>SCA</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34343-2024</t>
        </is>
      </c>
      <c r="B8185" s="1" t="n">
        <v>45525</v>
      </c>
      <c r="C8185" s="1" t="n">
        <v>46045</v>
      </c>
      <c r="D8185" t="inlineStr">
        <is>
          <t>JÄMTLANDS LÄN</t>
        </is>
      </c>
      <c r="E8185" t="inlineStr">
        <is>
          <t>STRÖMSUND</t>
        </is>
      </c>
      <c r="F8185" t="inlineStr">
        <is>
          <t>Holmen skog AB</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32297-2025</t>
        </is>
      </c>
      <c r="B8186" s="1" t="n">
        <v>45835.71186342592</v>
      </c>
      <c r="C8186" s="1" t="n">
        <v>46045</v>
      </c>
      <c r="D8186" t="inlineStr">
        <is>
          <t>JÄMTLANDS LÄN</t>
        </is>
      </c>
      <c r="E8186" t="inlineStr">
        <is>
          <t>STRÖMSUND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32473-2025</t>
        </is>
      </c>
      <c r="B8187" s="1" t="n">
        <v>45838.42783564814</v>
      </c>
      <c r="C8187" s="1" t="n">
        <v>46045</v>
      </c>
      <c r="D8187" t="inlineStr">
        <is>
          <t>JÄMTLANDS LÄN</t>
        </is>
      </c>
      <c r="E8187" t="inlineStr">
        <is>
          <t>STRÖMSUND</t>
        </is>
      </c>
      <c r="F8187" t="inlineStr">
        <is>
          <t>SCA</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58955-2025</t>
        </is>
      </c>
      <c r="B8188" s="1" t="n">
        <v>45987.59428240741</v>
      </c>
      <c r="C8188" s="1" t="n">
        <v>46045</v>
      </c>
      <c r="D8188" t="inlineStr">
        <is>
          <t>JÄMTLANDS LÄN</t>
        </is>
      </c>
      <c r="E8188" t="inlineStr">
        <is>
          <t>STRÖMSUND</t>
        </is>
      </c>
      <c r="F8188" t="inlineStr">
        <is>
          <t>SCA</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58959-2025</t>
        </is>
      </c>
      <c r="B8189" s="1" t="n">
        <v>45987.59555555556</v>
      </c>
      <c r="C8189" s="1" t="n">
        <v>46045</v>
      </c>
      <c r="D8189" t="inlineStr">
        <is>
          <t>JÄMTLANDS LÄN</t>
        </is>
      </c>
      <c r="E8189" t="inlineStr">
        <is>
          <t>STRÖMSUND</t>
        </is>
      </c>
      <c r="F8189" t="inlineStr">
        <is>
          <t>SCA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32279-2025</t>
        </is>
      </c>
      <c r="B8190" s="1" t="n">
        <v>45835.67109953704</v>
      </c>
      <c r="C8190" s="1" t="n">
        <v>46045</v>
      </c>
      <c r="D8190" t="inlineStr">
        <is>
          <t>JÄMTLANDS LÄN</t>
        </is>
      </c>
      <c r="E8190" t="inlineStr">
        <is>
          <t>ÖSTERSUND</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941-2026</t>
        </is>
      </c>
      <c r="B8191" s="1" t="n">
        <v>46030.53171296296</v>
      </c>
      <c r="C8191" s="1" t="n">
        <v>46045</v>
      </c>
      <c r="D8191" t="inlineStr">
        <is>
          <t>JÄMTLANDS LÄN</t>
        </is>
      </c>
      <c r="E8191" t="inlineStr">
        <is>
          <t>STRÖMSUND</t>
        </is>
      </c>
      <c r="F8191" t="inlineStr">
        <is>
          <t>SCA</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32353-2025</t>
        </is>
      </c>
      <c r="B8192" s="1" t="n">
        <v>45837.51741898148</v>
      </c>
      <c r="C8192" s="1" t="n">
        <v>46045</v>
      </c>
      <c r="D8192" t="inlineStr">
        <is>
          <t>JÄMTLANDS LÄN</t>
        </is>
      </c>
      <c r="E8192" t="inlineStr">
        <is>
          <t>ÖSTERSUND</t>
        </is>
      </c>
      <c r="F8192" t="inlineStr">
        <is>
          <t>Övriga Aktiebolag</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942-2026</t>
        </is>
      </c>
      <c r="B8193" s="1" t="n">
        <v>46030.53194444445</v>
      </c>
      <c r="C8193" s="1" t="n">
        <v>46045</v>
      </c>
      <c r="D8193" t="inlineStr">
        <is>
          <t>JÄMTLANDS LÄN</t>
        </is>
      </c>
      <c r="E8193" t="inlineStr">
        <is>
          <t>STRÖMSUND</t>
        </is>
      </c>
      <c r="F8193" t="inlineStr">
        <is>
          <t>SCA</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32567-2025</t>
        </is>
      </c>
      <c r="B8194" s="1" t="n">
        <v>45838.5737037037</v>
      </c>
      <c r="C8194" s="1" t="n">
        <v>46045</v>
      </c>
      <c r="D8194" t="inlineStr">
        <is>
          <t>JÄMTLANDS LÄN</t>
        </is>
      </c>
      <c r="E8194" t="inlineStr">
        <is>
          <t>STRÖMSUND</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962-2026</t>
        </is>
      </c>
      <c r="B8195" s="1" t="n">
        <v>46030.55704861111</v>
      </c>
      <c r="C8195" s="1" t="n">
        <v>46045</v>
      </c>
      <c r="D8195" t="inlineStr">
        <is>
          <t>JÄMTLANDS LÄN</t>
        </is>
      </c>
      <c r="E8195" t="inlineStr">
        <is>
          <t>BRÄCKE</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974-2026</t>
        </is>
      </c>
      <c r="B8196" s="1" t="n">
        <v>46030.56853009259</v>
      </c>
      <c r="C8196" s="1" t="n">
        <v>46045</v>
      </c>
      <c r="D8196" t="inlineStr">
        <is>
          <t>JÄMTLANDS LÄN</t>
        </is>
      </c>
      <c r="E8196" t="inlineStr">
        <is>
          <t>BRÄCKE</t>
        </is>
      </c>
      <c r="G8196" t="n">
        <v>10</v>
      </c>
      <c r="H8196" t="n">
        <v>0</v>
      </c>
      <c r="I8196" t="n">
        <v>0</v>
      </c>
      <c r="J8196" t="n">
        <v>0</v>
      </c>
      <c r="K8196" t="n">
        <v>0</v>
      </c>
      <c r="L8196" t="n">
        <v>0</v>
      </c>
      <c r="M8196" t="n">
        <v>0</v>
      </c>
      <c r="N8196" t="n">
        <v>0</v>
      </c>
      <c r="O8196" t="n">
        <v>0</v>
      </c>
      <c r="P8196" t="n">
        <v>0</v>
      </c>
      <c r="Q8196" t="n">
        <v>0</v>
      </c>
      <c r="R8196" s="2" t="inlineStr"/>
    </row>
    <row r="8197" ht="15" customHeight="1">
      <c r="A8197" t="inlineStr">
        <is>
          <t>A 978-2026</t>
        </is>
      </c>
      <c r="B8197" s="1" t="n">
        <v>46030.57378472222</v>
      </c>
      <c r="C8197" s="1" t="n">
        <v>46045</v>
      </c>
      <c r="D8197" t="inlineStr">
        <is>
          <t>JÄMTLANDS LÄN</t>
        </is>
      </c>
      <c r="E8197" t="inlineStr">
        <is>
          <t>KROKOM</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32180-2025</t>
        </is>
      </c>
      <c r="B8198" s="1" t="n">
        <v>45835.55998842593</v>
      </c>
      <c r="C8198" s="1" t="n">
        <v>46045</v>
      </c>
      <c r="D8198" t="inlineStr">
        <is>
          <t>JÄMTLANDS LÄN</t>
        </is>
      </c>
      <c r="E8198" t="inlineStr">
        <is>
          <t>HÄRJEDALEN</t>
        </is>
      </c>
      <c r="F8198" t="inlineStr">
        <is>
          <t>Sveaskog</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57304-2021</t>
        </is>
      </c>
      <c r="B8199" s="1" t="n">
        <v>44483.42253472222</v>
      </c>
      <c r="C8199" s="1" t="n">
        <v>46045</v>
      </c>
      <c r="D8199" t="inlineStr">
        <is>
          <t>JÄMTLANDS LÄN</t>
        </is>
      </c>
      <c r="E8199" t="inlineStr">
        <is>
          <t>KROKOM</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31723-2025</t>
        </is>
      </c>
      <c r="B8200" s="1" t="n">
        <v>45834</v>
      </c>
      <c r="C8200" s="1" t="n">
        <v>46045</v>
      </c>
      <c r="D8200" t="inlineStr">
        <is>
          <t>JÄMTLANDS LÄN</t>
        </is>
      </c>
      <c r="E8200" t="inlineStr">
        <is>
          <t>HÄRJEDALEN</t>
        </is>
      </c>
      <c r="G8200" t="n">
        <v>8.9</v>
      </c>
      <c r="H8200" t="n">
        <v>0</v>
      </c>
      <c r="I8200" t="n">
        <v>0</v>
      </c>
      <c r="J8200" t="n">
        <v>0</v>
      </c>
      <c r="K8200" t="n">
        <v>0</v>
      </c>
      <c r="L8200" t="n">
        <v>0</v>
      </c>
      <c r="M8200" t="n">
        <v>0</v>
      </c>
      <c r="N8200" t="n">
        <v>0</v>
      </c>
      <c r="O8200" t="n">
        <v>0</v>
      </c>
      <c r="P8200" t="n">
        <v>0</v>
      </c>
      <c r="Q8200" t="n">
        <v>0</v>
      </c>
      <c r="R8200" s="2" t="inlineStr"/>
    </row>
    <row r="8201" ht="15" customHeight="1">
      <c r="A8201" t="inlineStr">
        <is>
          <t>A 54331-2021</t>
        </is>
      </c>
      <c r="B8201" s="1" t="n">
        <v>44472</v>
      </c>
      <c r="C8201" s="1" t="n">
        <v>46045</v>
      </c>
      <c r="D8201" t="inlineStr">
        <is>
          <t>JÄMTLANDS LÄN</t>
        </is>
      </c>
      <c r="E8201" t="inlineStr">
        <is>
          <t>HÄRJEDALEN</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6566-2024</t>
        </is>
      </c>
      <c r="B8202" s="1" t="n">
        <v>45341.46119212963</v>
      </c>
      <c r="C8202" s="1" t="n">
        <v>46045</v>
      </c>
      <c r="D8202" t="inlineStr">
        <is>
          <t>JÄMTLANDS LÄN</t>
        </is>
      </c>
      <c r="E8202" t="inlineStr">
        <is>
          <t>STRÖMSUND</t>
        </is>
      </c>
      <c r="G8202" t="n">
        <v>10.5</v>
      </c>
      <c r="H8202" t="n">
        <v>0</v>
      </c>
      <c r="I8202" t="n">
        <v>0</v>
      </c>
      <c r="J8202" t="n">
        <v>0</v>
      </c>
      <c r="K8202" t="n">
        <v>0</v>
      </c>
      <c r="L8202" t="n">
        <v>0</v>
      </c>
      <c r="M8202" t="n">
        <v>0</v>
      </c>
      <c r="N8202" t="n">
        <v>0</v>
      </c>
      <c r="O8202" t="n">
        <v>0</v>
      </c>
      <c r="P8202" t="n">
        <v>0</v>
      </c>
      <c r="Q8202" t="n">
        <v>0</v>
      </c>
      <c r="R8202" s="2" t="inlineStr"/>
    </row>
    <row r="8203" ht="15" customHeight="1">
      <c r="A8203" t="inlineStr">
        <is>
          <t>A 59139-2025</t>
        </is>
      </c>
      <c r="B8203" s="1" t="n">
        <v>45988.50719907408</v>
      </c>
      <c r="C8203" s="1" t="n">
        <v>46045</v>
      </c>
      <c r="D8203" t="inlineStr">
        <is>
          <t>JÄMTLANDS LÄN</t>
        </is>
      </c>
      <c r="E8203" t="inlineStr">
        <is>
          <t>STRÖMSUND</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59152-2025</t>
        </is>
      </c>
      <c r="B8204" s="1" t="n">
        <v>45988.53221064815</v>
      </c>
      <c r="C8204" s="1" t="n">
        <v>46045</v>
      </c>
      <c r="D8204" t="inlineStr">
        <is>
          <t>JÄMTLANDS LÄN</t>
        </is>
      </c>
      <c r="E8204" t="inlineStr">
        <is>
          <t>KROKOM</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59419-2023</t>
        </is>
      </c>
      <c r="B8205" s="1" t="n">
        <v>45253.96864583333</v>
      </c>
      <c r="C8205" s="1" t="n">
        <v>46045</v>
      </c>
      <c r="D8205" t="inlineStr">
        <is>
          <t>JÄMTLANDS LÄN</t>
        </is>
      </c>
      <c r="E8205" t="inlineStr">
        <is>
          <t>BRÄCKE</t>
        </is>
      </c>
      <c r="F8205" t="inlineStr">
        <is>
          <t>SCA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59424-2023</t>
        </is>
      </c>
      <c r="B8206" s="1" t="n">
        <v>45254</v>
      </c>
      <c r="C8206" s="1" t="n">
        <v>46045</v>
      </c>
      <c r="D8206" t="inlineStr">
        <is>
          <t>JÄMTLANDS LÄN</t>
        </is>
      </c>
      <c r="E8206" t="inlineStr">
        <is>
          <t>HÄRJEDALEN</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32306-2025</t>
        </is>
      </c>
      <c r="B8207" s="1" t="n">
        <v>45835.72046296296</v>
      </c>
      <c r="C8207" s="1" t="n">
        <v>46045</v>
      </c>
      <c r="D8207" t="inlineStr">
        <is>
          <t>JÄMTLANDS LÄN</t>
        </is>
      </c>
      <c r="E8207" t="inlineStr">
        <is>
          <t>RAGUNDA</t>
        </is>
      </c>
      <c r="G8207" t="n">
        <v>10.2</v>
      </c>
      <c r="H8207" t="n">
        <v>0</v>
      </c>
      <c r="I8207" t="n">
        <v>0</v>
      </c>
      <c r="J8207" t="n">
        <v>0</v>
      </c>
      <c r="K8207" t="n">
        <v>0</v>
      </c>
      <c r="L8207" t="n">
        <v>0</v>
      </c>
      <c r="M8207" t="n">
        <v>0</v>
      </c>
      <c r="N8207" t="n">
        <v>0</v>
      </c>
      <c r="O8207" t="n">
        <v>0</v>
      </c>
      <c r="P8207" t="n">
        <v>0</v>
      </c>
      <c r="Q8207" t="n">
        <v>0</v>
      </c>
      <c r="R8207" s="2" t="inlineStr"/>
    </row>
    <row r="8208" ht="15" customHeight="1">
      <c r="A8208" t="inlineStr">
        <is>
          <t>A 7233-2024</t>
        </is>
      </c>
      <c r="B8208" s="1" t="n">
        <v>45344</v>
      </c>
      <c r="C8208" s="1" t="n">
        <v>46045</v>
      </c>
      <c r="D8208" t="inlineStr">
        <is>
          <t>JÄMTLANDS LÄN</t>
        </is>
      </c>
      <c r="E8208" t="inlineStr">
        <is>
          <t>ÖSTERSUND</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7281-2024</t>
        </is>
      </c>
      <c r="B8209" s="1" t="n">
        <v>45344</v>
      </c>
      <c r="C8209" s="1" t="n">
        <v>46045</v>
      </c>
      <c r="D8209" t="inlineStr">
        <is>
          <t>JÄMTLANDS LÄN</t>
        </is>
      </c>
      <c r="E8209" t="inlineStr">
        <is>
          <t>RAGUNDA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32358-2025</t>
        </is>
      </c>
      <c r="B8210" s="1" t="n">
        <v>45837.57481481481</v>
      </c>
      <c r="C8210" s="1" t="n">
        <v>46045</v>
      </c>
      <c r="D8210" t="inlineStr">
        <is>
          <t>JÄMTLANDS LÄN</t>
        </is>
      </c>
      <c r="E8210" t="inlineStr">
        <is>
          <t>ÖSTERSUND</t>
        </is>
      </c>
      <c r="F8210" t="inlineStr">
        <is>
          <t>Övriga Aktiebolag</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7313-2024</t>
        </is>
      </c>
      <c r="B8211" s="1" t="n">
        <v>45345.35003472222</v>
      </c>
      <c r="C8211" s="1" t="n">
        <v>46045</v>
      </c>
      <c r="D8211" t="inlineStr">
        <is>
          <t>JÄMTLANDS LÄN</t>
        </is>
      </c>
      <c r="E8211" t="inlineStr">
        <is>
          <t>HÄRJEDALEN</t>
        </is>
      </c>
      <c r="F8211" t="inlineStr">
        <is>
          <t>Holmen skog AB</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64245-2021</t>
        </is>
      </c>
      <c r="B8212" s="1" t="n">
        <v>44510</v>
      </c>
      <c r="C8212" s="1" t="n">
        <v>46045</v>
      </c>
      <c r="D8212" t="inlineStr">
        <is>
          <t>JÄMTLANDS LÄN</t>
        </is>
      </c>
      <c r="E8212" t="inlineStr">
        <is>
          <t>ÅRE</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32369-2025</t>
        </is>
      </c>
      <c r="B8213" s="1" t="n">
        <v>45837.67381944445</v>
      </c>
      <c r="C8213" s="1" t="n">
        <v>46045</v>
      </c>
      <c r="D8213" t="inlineStr">
        <is>
          <t>JÄMTLANDS LÄN</t>
        </is>
      </c>
      <c r="E8213" t="inlineStr">
        <is>
          <t>ÖSTERSUND</t>
        </is>
      </c>
      <c r="F8213" t="inlineStr">
        <is>
          <t>Övriga Aktiebolag</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629-2026</t>
        </is>
      </c>
      <c r="B8214" s="1" t="n">
        <v>46029.5528125</v>
      </c>
      <c r="C8214" s="1" t="n">
        <v>46045</v>
      </c>
      <c r="D8214" t="inlineStr">
        <is>
          <t>JÄMTLANDS LÄN</t>
        </is>
      </c>
      <c r="E8214" t="inlineStr">
        <is>
          <t>STRÖMSUND</t>
        </is>
      </c>
      <c r="F8214" t="inlineStr">
        <is>
          <t>SCA</t>
        </is>
      </c>
      <c r="G8214" t="n">
        <v>22.9</v>
      </c>
      <c r="H8214" t="n">
        <v>0</v>
      </c>
      <c r="I8214" t="n">
        <v>0</v>
      </c>
      <c r="J8214" t="n">
        <v>0</v>
      </c>
      <c r="K8214" t="n">
        <v>0</v>
      </c>
      <c r="L8214" t="n">
        <v>0</v>
      </c>
      <c r="M8214" t="n">
        <v>0</v>
      </c>
      <c r="N8214" t="n">
        <v>0</v>
      </c>
      <c r="O8214" t="n">
        <v>0</v>
      </c>
      <c r="P8214" t="n">
        <v>0</v>
      </c>
      <c r="Q8214" t="n">
        <v>0</v>
      </c>
      <c r="R8214" s="2" t="inlineStr"/>
    </row>
    <row r="8215" ht="15" customHeight="1">
      <c r="A8215" t="inlineStr">
        <is>
          <t>A 32757-2025</t>
        </is>
      </c>
      <c r="B8215" s="1" t="n">
        <v>45838</v>
      </c>
      <c r="C8215" s="1" t="n">
        <v>46045</v>
      </c>
      <c r="D8215" t="inlineStr">
        <is>
          <t>JÄMTLANDS LÄN</t>
        </is>
      </c>
      <c r="E8215" t="inlineStr">
        <is>
          <t>RAGUNDA</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32471-2025</t>
        </is>
      </c>
      <c r="B8216" s="1" t="n">
        <v>45838.42762731481</v>
      </c>
      <c r="C8216" s="1" t="n">
        <v>46045</v>
      </c>
      <c r="D8216" t="inlineStr">
        <is>
          <t>JÄMTLANDS LÄN</t>
        </is>
      </c>
      <c r="E8216" t="inlineStr">
        <is>
          <t>STRÖMSUND</t>
        </is>
      </c>
      <c r="F8216" t="inlineStr">
        <is>
          <t>SCA</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31921-2025</t>
        </is>
      </c>
      <c r="B8217" s="1" t="n">
        <v>45834.80229166667</v>
      </c>
      <c r="C8217" s="1" t="n">
        <v>46045</v>
      </c>
      <c r="D8217" t="inlineStr">
        <is>
          <t>JÄMTLANDS LÄN</t>
        </is>
      </c>
      <c r="E8217" t="inlineStr">
        <is>
          <t>HÄRJEDALEN</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846-2026</t>
        </is>
      </c>
      <c r="B8218" s="1" t="n">
        <v>46030.38630787037</v>
      </c>
      <c r="C8218" s="1" t="n">
        <v>46045</v>
      </c>
      <c r="D8218" t="inlineStr">
        <is>
          <t>JÄMTLANDS LÄN</t>
        </is>
      </c>
      <c r="E8218" t="inlineStr">
        <is>
          <t>STRÖMSUND</t>
        </is>
      </c>
      <c r="F8218" t="inlineStr">
        <is>
          <t>SCA</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32595-2025</t>
        </is>
      </c>
      <c r="B8219" s="1" t="n">
        <v>45838.61568287037</v>
      </c>
      <c r="C8219" s="1" t="n">
        <v>46045</v>
      </c>
      <c r="D8219" t="inlineStr">
        <is>
          <t>JÄMTLANDS LÄN</t>
        </is>
      </c>
      <c r="E8219" t="inlineStr">
        <is>
          <t>STRÖMSUND</t>
        </is>
      </c>
      <c r="F8219" t="inlineStr">
        <is>
          <t>SCA</t>
        </is>
      </c>
      <c r="G8219" t="n">
        <v>9.199999999999999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32659-2025</t>
        </is>
      </c>
      <c r="B8220" s="1" t="n">
        <v>45838.67873842592</v>
      </c>
      <c r="C8220" s="1" t="n">
        <v>46045</v>
      </c>
      <c r="D8220" t="inlineStr">
        <is>
          <t>JÄMTLANDS LÄN</t>
        </is>
      </c>
      <c r="E8220" t="inlineStr">
        <is>
          <t>BRÄCKE</t>
        </is>
      </c>
      <c r="F8220" t="inlineStr">
        <is>
          <t>SCA</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32660-2025</t>
        </is>
      </c>
      <c r="B8221" s="1" t="n">
        <v>45838.67887731481</v>
      </c>
      <c r="C8221" s="1" t="n">
        <v>46045</v>
      </c>
      <c r="D8221" t="inlineStr">
        <is>
          <t>JÄMTLANDS LÄN</t>
        </is>
      </c>
      <c r="E8221" t="inlineStr">
        <is>
          <t>RAGUNDA</t>
        </is>
      </c>
      <c r="F8221" t="inlineStr">
        <is>
          <t>SCA</t>
        </is>
      </c>
      <c r="G8221" t="n">
        <v>10.3</v>
      </c>
      <c r="H8221" t="n">
        <v>0</v>
      </c>
      <c r="I8221" t="n">
        <v>0</v>
      </c>
      <c r="J8221" t="n">
        <v>0</v>
      </c>
      <c r="K8221" t="n">
        <v>0</v>
      </c>
      <c r="L8221" t="n">
        <v>0</v>
      </c>
      <c r="M8221" t="n">
        <v>0</v>
      </c>
      <c r="N8221" t="n">
        <v>0</v>
      </c>
      <c r="O8221" t="n">
        <v>0</v>
      </c>
      <c r="P8221" t="n">
        <v>0</v>
      </c>
      <c r="Q8221" t="n">
        <v>0</v>
      </c>
      <c r="R8221" s="2" t="inlineStr"/>
    </row>
    <row r="8222" ht="15" customHeight="1">
      <c r="A8222" t="inlineStr">
        <is>
          <t>A 32146-2025</t>
        </is>
      </c>
      <c r="B8222" s="1" t="n">
        <v>45835.52730324074</v>
      </c>
      <c r="C8222" s="1" t="n">
        <v>46045</v>
      </c>
      <c r="D8222" t="inlineStr">
        <is>
          <t>JÄMTLANDS LÄN</t>
        </is>
      </c>
      <c r="E8222" t="inlineStr">
        <is>
          <t>BRÄCKE</t>
        </is>
      </c>
      <c r="G8222" t="n">
        <v>9.5</v>
      </c>
      <c r="H8222" t="n">
        <v>0</v>
      </c>
      <c r="I8222" t="n">
        <v>0</v>
      </c>
      <c r="J8222" t="n">
        <v>0</v>
      </c>
      <c r="K8222" t="n">
        <v>0</v>
      </c>
      <c r="L8222" t="n">
        <v>0</v>
      </c>
      <c r="M8222" t="n">
        <v>0</v>
      </c>
      <c r="N8222" t="n">
        <v>0</v>
      </c>
      <c r="O8222" t="n">
        <v>0</v>
      </c>
      <c r="P8222" t="n">
        <v>0</v>
      </c>
      <c r="Q8222" t="n">
        <v>0</v>
      </c>
      <c r="R8222" s="2" t="inlineStr"/>
    </row>
    <row r="8223" ht="15" customHeight="1">
      <c r="A8223" t="inlineStr">
        <is>
          <t>A 679-2026</t>
        </is>
      </c>
      <c r="B8223" s="1" t="n">
        <v>46029.60032407408</v>
      </c>
      <c r="C8223" s="1" t="n">
        <v>46045</v>
      </c>
      <c r="D8223" t="inlineStr">
        <is>
          <t>JÄMTLANDS LÄN</t>
        </is>
      </c>
      <c r="E8223" t="inlineStr">
        <is>
          <t>BERG</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32596-2025</t>
        </is>
      </c>
      <c r="B8224" s="1" t="n">
        <v>45838.61584490741</v>
      </c>
      <c r="C8224" s="1" t="n">
        <v>46045</v>
      </c>
      <c r="D8224" t="inlineStr">
        <is>
          <t>JÄMTLANDS LÄN</t>
        </is>
      </c>
      <c r="E8224" t="inlineStr">
        <is>
          <t>BRÄCKE</t>
        </is>
      </c>
      <c r="F8224" t="inlineStr">
        <is>
          <t>SCA</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43591-2024</t>
        </is>
      </c>
      <c r="B8225" s="1" t="n">
        <v>45569</v>
      </c>
      <c r="C8225" s="1" t="n">
        <v>46045</v>
      </c>
      <c r="D8225" t="inlineStr">
        <is>
          <t>JÄMTLANDS LÄN</t>
        </is>
      </c>
      <c r="E8225" t="inlineStr">
        <is>
          <t>HÄRJEDALEN</t>
        </is>
      </c>
      <c r="F8225" t="inlineStr">
        <is>
          <t>Bergvik skog väst AB</t>
        </is>
      </c>
      <c r="G8225" t="n">
        <v>50.5</v>
      </c>
      <c r="H8225" t="n">
        <v>0</v>
      </c>
      <c r="I8225" t="n">
        <v>0</v>
      </c>
      <c r="J8225" t="n">
        <v>0</v>
      </c>
      <c r="K8225" t="n">
        <v>0</v>
      </c>
      <c r="L8225" t="n">
        <v>0</v>
      </c>
      <c r="M8225" t="n">
        <v>0</v>
      </c>
      <c r="N8225" t="n">
        <v>0</v>
      </c>
      <c r="O8225" t="n">
        <v>0</v>
      </c>
      <c r="P8225" t="n">
        <v>0</v>
      </c>
      <c r="Q8225" t="n">
        <v>0</v>
      </c>
      <c r="R8225" s="2" t="inlineStr"/>
    </row>
    <row r="8226" ht="15" customHeight="1">
      <c r="A8226" t="inlineStr">
        <is>
          <t>A 54527-2024</t>
        </is>
      </c>
      <c r="B8226" s="1" t="n">
        <v>45617</v>
      </c>
      <c r="C8226" s="1" t="n">
        <v>46045</v>
      </c>
      <c r="D8226" t="inlineStr">
        <is>
          <t>JÄMTLANDS LÄN</t>
        </is>
      </c>
      <c r="E8226" t="inlineStr">
        <is>
          <t>HÄRJEDALEN</t>
        </is>
      </c>
      <c r="F8226" t="inlineStr">
        <is>
          <t>Holmen skog AB</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30024-2022</t>
        </is>
      </c>
      <c r="B8227" s="1" t="n">
        <v>44756.9447337963</v>
      </c>
      <c r="C8227" s="1" t="n">
        <v>46045</v>
      </c>
      <c r="D8227" t="inlineStr">
        <is>
          <t>JÄMTLANDS LÄN</t>
        </is>
      </c>
      <c r="E8227" t="inlineStr">
        <is>
          <t>STRÖMSUND</t>
        </is>
      </c>
      <c r="F8227" t="inlineStr">
        <is>
          <t>SCA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32527-2025</t>
        </is>
      </c>
      <c r="B8228" s="1" t="n">
        <v>45838.48996527777</v>
      </c>
      <c r="C8228" s="1" t="n">
        <v>46045</v>
      </c>
      <c r="D8228" t="inlineStr">
        <is>
          <t>JÄMTLANDS LÄN</t>
        </is>
      </c>
      <c r="E8228" t="inlineStr">
        <is>
          <t>RAGUNDA</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32006-2025</t>
        </is>
      </c>
      <c r="B8229" s="1" t="n">
        <v>45835.38586805556</v>
      </c>
      <c r="C8229" s="1" t="n">
        <v>46045</v>
      </c>
      <c r="D8229" t="inlineStr">
        <is>
          <t>JÄMTLANDS LÄN</t>
        </is>
      </c>
      <c r="E8229" t="inlineStr">
        <is>
          <t>STRÖMSUND</t>
        </is>
      </c>
      <c r="F8229" t="inlineStr">
        <is>
          <t>SCA</t>
        </is>
      </c>
      <c r="G8229" t="n">
        <v>7.6</v>
      </c>
      <c r="H8229" t="n">
        <v>0</v>
      </c>
      <c r="I8229" t="n">
        <v>0</v>
      </c>
      <c r="J8229" t="n">
        <v>0</v>
      </c>
      <c r="K8229" t="n">
        <v>0</v>
      </c>
      <c r="L8229" t="n">
        <v>0</v>
      </c>
      <c r="M8229" t="n">
        <v>0</v>
      </c>
      <c r="N8229" t="n">
        <v>0</v>
      </c>
      <c r="O8229" t="n">
        <v>0</v>
      </c>
      <c r="P8229" t="n">
        <v>0</v>
      </c>
      <c r="Q8229" t="n">
        <v>0</v>
      </c>
      <c r="R8229" s="2" t="inlineStr"/>
    </row>
    <row r="8230" ht="15" customHeight="1">
      <c r="A8230" t="inlineStr">
        <is>
          <t>A 32023-2025</t>
        </is>
      </c>
      <c r="B8230" s="1" t="n">
        <v>45835.40689814815</v>
      </c>
      <c r="C8230" s="1" t="n">
        <v>46045</v>
      </c>
      <c r="D8230" t="inlineStr">
        <is>
          <t>JÄMTLANDS LÄN</t>
        </is>
      </c>
      <c r="E8230" t="inlineStr">
        <is>
          <t>STRÖMSUND</t>
        </is>
      </c>
      <c r="F8230" t="inlineStr">
        <is>
          <t>SCA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32027-2025</t>
        </is>
      </c>
      <c r="B8231" s="1" t="n">
        <v>45835.40758101852</v>
      </c>
      <c r="C8231" s="1" t="n">
        <v>46045</v>
      </c>
      <c r="D8231" t="inlineStr">
        <is>
          <t>JÄMTLANDS LÄN</t>
        </is>
      </c>
      <c r="E8231" t="inlineStr">
        <is>
          <t>STRÖMSUND</t>
        </is>
      </c>
      <c r="F8231" t="inlineStr">
        <is>
          <t>SCA</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32038-2025</t>
        </is>
      </c>
      <c r="B8232" s="1" t="n">
        <v>45835.42712962963</v>
      </c>
      <c r="C8232" s="1" t="n">
        <v>46045</v>
      </c>
      <c r="D8232" t="inlineStr">
        <is>
          <t>JÄMTLANDS LÄN</t>
        </is>
      </c>
      <c r="E8232" t="inlineStr">
        <is>
          <t>KROKOM</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32103-2025</t>
        </is>
      </c>
      <c r="B8233" s="1" t="n">
        <v>45835.46946759259</v>
      </c>
      <c r="C8233" s="1" t="n">
        <v>46045</v>
      </c>
      <c r="D8233" t="inlineStr">
        <is>
          <t>JÄMTLANDS LÄN</t>
        </is>
      </c>
      <c r="E8233" t="inlineStr">
        <is>
          <t>STRÖMSUND</t>
        </is>
      </c>
      <c r="F8233" t="inlineStr">
        <is>
          <t>SCA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696-2026</t>
        </is>
      </c>
      <c r="B8234" s="1" t="n">
        <v>46029.61527777778</v>
      </c>
      <c r="C8234" s="1" t="n">
        <v>46045</v>
      </c>
      <c r="D8234" t="inlineStr">
        <is>
          <t>JÄMTLANDS LÄN</t>
        </is>
      </c>
      <c r="E8234" t="inlineStr">
        <is>
          <t>STRÖMSUND</t>
        </is>
      </c>
      <c r="F8234" t="inlineStr">
        <is>
          <t>SCA</t>
        </is>
      </c>
      <c r="G8234" t="n">
        <v>24.1</v>
      </c>
      <c r="H8234" t="n">
        <v>0</v>
      </c>
      <c r="I8234" t="n">
        <v>0</v>
      </c>
      <c r="J8234" t="n">
        <v>0</v>
      </c>
      <c r="K8234" t="n">
        <v>0</v>
      </c>
      <c r="L8234" t="n">
        <v>0</v>
      </c>
      <c r="M8234" t="n">
        <v>0</v>
      </c>
      <c r="N8234" t="n">
        <v>0</v>
      </c>
      <c r="O8234" t="n">
        <v>0</v>
      </c>
      <c r="P8234" t="n">
        <v>0</v>
      </c>
      <c r="Q8234" t="n">
        <v>0</v>
      </c>
      <c r="R8234" s="2" t="inlineStr"/>
    </row>
    <row r="8235" ht="15" customHeight="1">
      <c r="A8235" t="inlineStr">
        <is>
          <t>A 700-2026</t>
        </is>
      </c>
      <c r="B8235" s="1" t="n">
        <v>46029.61557870371</v>
      </c>
      <c r="C8235" s="1" t="n">
        <v>46045</v>
      </c>
      <c r="D8235" t="inlineStr">
        <is>
          <t>JÄMTLANDS LÄN</t>
        </is>
      </c>
      <c r="E8235" t="inlineStr">
        <is>
          <t>STRÖMSUND</t>
        </is>
      </c>
      <c r="F8235" t="inlineStr">
        <is>
          <t>SCA</t>
        </is>
      </c>
      <c r="G8235" t="n">
        <v>32.7</v>
      </c>
      <c r="H8235" t="n">
        <v>0</v>
      </c>
      <c r="I8235" t="n">
        <v>0</v>
      </c>
      <c r="J8235" t="n">
        <v>0</v>
      </c>
      <c r="K8235" t="n">
        <v>0</v>
      </c>
      <c r="L8235" t="n">
        <v>0</v>
      </c>
      <c r="M8235" t="n">
        <v>0</v>
      </c>
      <c r="N8235" t="n">
        <v>0</v>
      </c>
      <c r="O8235" t="n">
        <v>0</v>
      </c>
      <c r="P8235" t="n">
        <v>0</v>
      </c>
      <c r="Q8235" t="n">
        <v>0</v>
      </c>
      <c r="R8235" s="2" t="inlineStr"/>
    </row>
    <row r="8236" ht="15" customHeight="1">
      <c r="A8236" t="inlineStr">
        <is>
          <t>A 32178-2025</t>
        </is>
      </c>
      <c r="B8236" s="1" t="n">
        <v>45835.5583912037</v>
      </c>
      <c r="C8236" s="1" t="n">
        <v>46045</v>
      </c>
      <c r="D8236" t="inlineStr">
        <is>
          <t>JÄMTLANDS LÄN</t>
        </is>
      </c>
      <c r="E8236" t="inlineStr">
        <is>
          <t>HÄRJEDALEN</t>
        </is>
      </c>
      <c r="F8236" t="inlineStr">
        <is>
          <t>Sveaskog</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59151-2025</t>
        </is>
      </c>
      <c r="B8237" s="1" t="n">
        <v>45988.53212962963</v>
      </c>
      <c r="C8237" s="1" t="n">
        <v>46045</v>
      </c>
      <c r="D8237" t="inlineStr">
        <is>
          <t>JÄMTLANDS LÄN</t>
        </is>
      </c>
      <c r="E8237" t="inlineStr">
        <is>
          <t>KROKOM</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979-2026</t>
        </is>
      </c>
      <c r="B8238" s="1" t="n">
        <v>46030.5737962963</v>
      </c>
      <c r="C8238" s="1" t="n">
        <v>46045</v>
      </c>
      <c r="D8238" t="inlineStr">
        <is>
          <t>JÄMTLANDS LÄN</t>
        </is>
      </c>
      <c r="E8238" t="inlineStr">
        <is>
          <t>KROKOM</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32272-2025</t>
        </is>
      </c>
      <c r="B8239" s="1" t="n">
        <v>45835.6568287037</v>
      </c>
      <c r="C8239" s="1" t="n">
        <v>46045</v>
      </c>
      <c r="D8239" t="inlineStr">
        <is>
          <t>JÄMTLANDS LÄN</t>
        </is>
      </c>
      <c r="E8239" t="inlineStr">
        <is>
          <t>BRÄCKE</t>
        </is>
      </c>
      <c r="F8239" t="inlineStr">
        <is>
          <t>SCA</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9613-2021</t>
        </is>
      </c>
      <c r="B8240" s="1" t="n">
        <v>44251</v>
      </c>
      <c r="C8240" s="1" t="n">
        <v>46045</v>
      </c>
      <c r="D8240" t="inlineStr">
        <is>
          <t>JÄMTLANDS LÄN</t>
        </is>
      </c>
      <c r="E8240" t="inlineStr">
        <is>
          <t>ÅRE</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32190-2025</t>
        </is>
      </c>
      <c r="B8241" s="1" t="n">
        <v>45835.57069444445</v>
      </c>
      <c r="C8241" s="1" t="n">
        <v>46045</v>
      </c>
      <c r="D8241" t="inlineStr">
        <is>
          <t>JÄMTLANDS LÄN</t>
        </is>
      </c>
      <c r="E8241" t="inlineStr">
        <is>
          <t>HÄRJEDALEN</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1080-2026</t>
        </is>
      </c>
      <c r="B8242" s="1" t="n">
        <v>46029</v>
      </c>
      <c r="C8242" s="1" t="n">
        <v>46045</v>
      </c>
      <c r="D8242" t="inlineStr">
        <is>
          <t>JÄMTLANDS LÄN</t>
        </is>
      </c>
      <c r="E8242" t="inlineStr">
        <is>
          <t>BRÄCKE</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19382-2025</t>
        </is>
      </c>
      <c r="B8243" s="1" t="n">
        <v>45769.65659722222</v>
      </c>
      <c r="C8243" s="1" t="n">
        <v>46045</v>
      </c>
      <c r="D8243" t="inlineStr">
        <is>
          <t>JÄMTLANDS LÄN</t>
        </is>
      </c>
      <c r="E8243" t="inlineStr">
        <is>
          <t>RAGUNDA</t>
        </is>
      </c>
      <c r="F8243" t="inlineStr">
        <is>
          <t>SCA</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19403-2025</t>
        </is>
      </c>
      <c r="B8244" s="1" t="n">
        <v>45769.67790509259</v>
      </c>
      <c r="C8244" s="1" t="n">
        <v>46045</v>
      </c>
      <c r="D8244" t="inlineStr">
        <is>
          <t>JÄMTLANDS LÄN</t>
        </is>
      </c>
      <c r="E8244" t="inlineStr">
        <is>
          <t>RAGUNDA</t>
        </is>
      </c>
      <c r="F8244" t="inlineStr">
        <is>
          <t>SCA</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59014-2025</t>
        </is>
      </c>
      <c r="B8245" s="1" t="n">
        <v>45987.81232638889</v>
      </c>
      <c r="C8245" s="1" t="n">
        <v>46045</v>
      </c>
      <c r="D8245" t="inlineStr">
        <is>
          <t>JÄMTLANDS LÄN</t>
        </is>
      </c>
      <c r="E8245" t="inlineStr">
        <is>
          <t>ÅRE</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59058-2025</t>
        </is>
      </c>
      <c r="B8246" s="1" t="n">
        <v>45988.40060185185</v>
      </c>
      <c r="C8246" s="1" t="n">
        <v>46045</v>
      </c>
      <c r="D8246" t="inlineStr">
        <is>
          <t>JÄMTLANDS LÄN</t>
        </is>
      </c>
      <c r="E8246" t="inlineStr">
        <is>
          <t>STRÖMSUND</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32021-2025</t>
        </is>
      </c>
      <c r="B8247" s="1" t="n">
        <v>45835.40668981482</v>
      </c>
      <c r="C8247" s="1" t="n">
        <v>46045</v>
      </c>
      <c r="D8247" t="inlineStr">
        <is>
          <t>JÄMTLANDS LÄN</t>
        </is>
      </c>
      <c r="E8247" t="inlineStr">
        <is>
          <t>RAGUNDA</t>
        </is>
      </c>
      <c r="F8247" t="inlineStr">
        <is>
          <t>SCA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32028-2025</t>
        </is>
      </c>
      <c r="B8248" s="1" t="n">
        <v>45835.40774305556</v>
      </c>
      <c r="C8248" s="1" t="n">
        <v>46045</v>
      </c>
      <c r="D8248" t="inlineStr">
        <is>
          <t>JÄMTLANDS LÄN</t>
        </is>
      </c>
      <c r="E8248" t="inlineStr">
        <is>
          <t>STRÖMSUND</t>
        </is>
      </c>
      <c r="F8248" t="inlineStr">
        <is>
          <t>SCA</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59010-2025</t>
        </is>
      </c>
      <c r="B8249" s="1" t="n">
        <v>45987</v>
      </c>
      <c r="C8249" s="1" t="n">
        <v>46045</v>
      </c>
      <c r="D8249" t="inlineStr">
        <is>
          <t>JÄMTLANDS LÄN</t>
        </is>
      </c>
      <c r="E8249" t="inlineStr">
        <is>
          <t>BERG</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59087-2025</t>
        </is>
      </c>
      <c r="B8250" s="1" t="n">
        <v>45988.44469907408</v>
      </c>
      <c r="C8250" s="1" t="n">
        <v>46045</v>
      </c>
      <c r="D8250" t="inlineStr">
        <is>
          <t>JÄMTLANDS LÄN</t>
        </is>
      </c>
      <c r="E8250" t="inlineStr">
        <is>
          <t>KROKOM</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27440-2024</t>
        </is>
      </c>
      <c r="B8251" s="1" t="n">
        <v>45474</v>
      </c>
      <c r="C8251" s="1" t="n">
        <v>46045</v>
      </c>
      <c r="D8251" t="inlineStr">
        <is>
          <t>JÄMTLANDS LÄN</t>
        </is>
      </c>
      <c r="E8251" t="inlineStr">
        <is>
          <t>KROKOM</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32652-2025</t>
        </is>
      </c>
      <c r="B8252" s="1" t="n">
        <v>45838.67770833334</v>
      </c>
      <c r="C8252" s="1" t="n">
        <v>46045</v>
      </c>
      <c r="D8252" t="inlineStr">
        <is>
          <t>JÄMTLANDS LÄN</t>
        </is>
      </c>
      <c r="E8252" t="inlineStr">
        <is>
          <t>STRÖMSUND</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64764-2023</t>
        </is>
      </c>
      <c r="B8253" s="1" t="n">
        <v>45282</v>
      </c>
      <c r="C8253" s="1" t="n">
        <v>46045</v>
      </c>
      <c r="D8253" t="inlineStr">
        <is>
          <t>JÄMTLANDS LÄN</t>
        </is>
      </c>
      <c r="E8253" t="inlineStr">
        <is>
          <t>KROKOM</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32655-2025</t>
        </is>
      </c>
      <c r="B8254" s="1" t="n">
        <v>45838.67800925926</v>
      </c>
      <c r="C8254" s="1" t="n">
        <v>46045</v>
      </c>
      <c r="D8254" t="inlineStr">
        <is>
          <t>JÄMTLANDS LÄN</t>
        </is>
      </c>
      <c r="E8254" t="inlineStr">
        <is>
          <t>RAGUNDA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24432-2024</t>
        </is>
      </c>
      <c r="B8255" s="1" t="n">
        <v>45457.96054398148</v>
      </c>
      <c r="C8255" s="1" t="n">
        <v>46045</v>
      </c>
      <c r="D8255" t="inlineStr">
        <is>
          <t>JÄMTLANDS LÄN</t>
        </is>
      </c>
      <c r="E8255" t="inlineStr">
        <is>
          <t>BRÄCKE</t>
        </is>
      </c>
      <c r="F8255" t="inlineStr">
        <is>
          <t>SCA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58818-2025</t>
        </is>
      </c>
      <c r="B8256" s="1" t="n">
        <v>45987.33479166667</v>
      </c>
      <c r="C8256" s="1" t="n">
        <v>46045</v>
      </c>
      <c r="D8256" t="inlineStr">
        <is>
          <t>JÄMTLANDS LÄN</t>
        </is>
      </c>
      <c r="E8256" t="inlineStr">
        <is>
          <t>ÖSTERSUND</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58824-2025</t>
        </is>
      </c>
      <c r="B8257" s="1" t="n">
        <v>45987.34543981482</v>
      </c>
      <c r="C8257" s="1" t="n">
        <v>46045</v>
      </c>
      <c r="D8257" t="inlineStr">
        <is>
          <t>JÄMTLANDS LÄN</t>
        </is>
      </c>
      <c r="E8257" t="inlineStr">
        <is>
          <t>ÖSTERSUND</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32160-2025</t>
        </is>
      </c>
      <c r="B8258" s="1" t="n">
        <v>45835.54142361111</v>
      </c>
      <c r="C8258" s="1" t="n">
        <v>46045</v>
      </c>
      <c r="D8258" t="inlineStr">
        <is>
          <t>JÄMTLANDS LÄN</t>
        </is>
      </c>
      <c r="E8258" t="inlineStr">
        <is>
          <t>BERG</t>
        </is>
      </c>
      <c r="G8258" t="n">
        <v>10.3</v>
      </c>
      <c r="H8258" t="n">
        <v>0</v>
      </c>
      <c r="I8258" t="n">
        <v>0</v>
      </c>
      <c r="J8258" t="n">
        <v>0</v>
      </c>
      <c r="K8258" t="n">
        <v>0</v>
      </c>
      <c r="L8258" t="n">
        <v>0</v>
      </c>
      <c r="M8258" t="n">
        <v>0</v>
      </c>
      <c r="N8258" t="n">
        <v>0</v>
      </c>
      <c r="O8258" t="n">
        <v>0</v>
      </c>
      <c r="P8258" t="n">
        <v>0</v>
      </c>
      <c r="Q8258" t="n">
        <v>0</v>
      </c>
      <c r="R8258" s="2" t="inlineStr"/>
    </row>
    <row r="8259" ht="15" customHeight="1">
      <c r="A8259" t="inlineStr">
        <is>
          <t>A 58861-2025</t>
        </is>
      </c>
      <c r="B8259" s="1" t="n">
        <v>45987.42820601852</v>
      </c>
      <c r="C8259" s="1" t="n">
        <v>46045</v>
      </c>
      <c r="D8259" t="inlineStr">
        <is>
          <t>JÄMTLANDS LÄN</t>
        </is>
      </c>
      <c r="E8259" t="inlineStr">
        <is>
          <t>BERG</t>
        </is>
      </c>
      <c r="G8259" t="n">
        <v>29.3</v>
      </c>
      <c r="H8259" t="n">
        <v>0</v>
      </c>
      <c r="I8259" t="n">
        <v>0</v>
      </c>
      <c r="J8259" t="n">
        <v>0</v>
      </c>
      <c r="K8259" t="n">
        <v>0</v>
      </c>
      <c r="L8259" t="n">
        <v>0</v>
      </c>
      <c r="M8259" t="n">
        <v>0</v>
      </c>
      <c r="N8259" t="n">
        <v>0</v>
      </c>
      <c r="O8259" t="n">
        <v>0</v>
      </c>
      <c r="P8259" t="n">
        <v>0</v>
      </c>
      <c r="Q8259" t="n">
        <v>0</v>
      </c>
      <c r="R8259" s="2" t="inlineStr"/>
    </row>
    <row r="8260" ht="15" customHeight="1">
      <c r="A8260" t="inlineStr">
        <is>
          <t>A 701-2026</t>
        </is>
      </c>
      <c r="B8260" s="1" t="n">
        <v>46029.61577546296</v>
      </c>
      <c r="C8260" s="1" t="n">
        <v>46045</v>
      </c>
      <c r="D8260" t="inlineStr">
        <is>
          <t>JÄMTLANDS LÄN</t>
        </is>
      </c>
      <c r="E8260" t="inlineStr">
        <is>
          <t>STRÖMSUND</t>
        </is>
      </c>
      <c r="F8260" t="inlineStr">
        <is>
          <t>SCA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32443-2025</t>
        </is>
      </c>
      <c r="B8261" s="1" t="n">
        <v>45838.38613425926</v>
      </c>
      <c r="C8261" s="1" t="n">
        <v>46045</v>
      </c>
      <c r="D8261" t="inlineStr">
        <is>
          <t>JÄMTLANDS LÄN</t>
        </is>
      </c>
      <c r="E8261" t="inlineStr">
        <is>
          <t>BRÄCKE</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48737-2024</t>
        </is>
      </c>
      <c r="B8262" s="1" t="n">
        <v>45593.57327546296</v>
      </c>
      <c r="C8262" s="1" t="n">
        <v>46045</v>
      </c>
      <c r="D8262" t="inlineStr">
        <is>
          <t>JÄMTLANDS LÄN</t>
        </is>
      </c>
      <c r="E8262" t="inlineStr">
        <is>
          <t>ÖSTERSUND</t>
        </is>
      </c>
      <c r="F8262" t="inlineStr">
        <is>
          <t>SCA</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32418-2025</t>
        </is>
      </c>
      <c r="B8263" s="1" t="n">
        <v>45838.34474537037</v>
      </c>
      <c r="C8263" s="1" t="n">
        <v>46045</v>
      </c>
      <c r="D8263" t="inlineStr">
        <is>
          <t>JÄMTLANDS LÄN</t>
        </is>
      </c>
      <c r="E8263" t="inlineStr">
        <is>
          <t>STRÖMSUND</t>
        </is>
      </c>
      <c r="F8263" t="inlineStr">
        <is>
          <t>SCA</t>
        </is>
      </c>
      <c r="G8263" t="n">
        <v>12.3</v>
      </c>
      <c r="H8263" t="n">
        <v>0</v>
      </c>
      <c r="I8263" t="n">
        <v>0</v>
      </c>
      <c r="J8263" t="n">
        <v>0</v>
      </c>
      <c r="K8263" t="n">
        <v>0</v>
      </c>
      <c r="L8263" t="n">
        <v>0</v>
      </c>
      <c r="M8263" t="n">
        <v>0</v>
      </c>
      <c r="N8263" t="n">
        <v>0</v>
      </c>
      <c r="O8263" t="n">
        <v>0</v>
      </c>
      <c r="P8263" t="n">
        <v>0</v>
      </c>
      <c r="Q8263" t="n">
        <v>0</v>
      </c>
      <c r="R8263" s="2" t="inlineStr"/>
    </row>
    <row r="8264" ht="15" customHeight="1">
      <c r="A8264" t="inlineStr">
        <is>
          <t>A 32151-2025</t>
        </is>
      </c>
      <c r="B8264" s="1" t="n">
        <v>45835.53166666667</v>
      </c>
      <c r="C8264" s="1" t="n">
        <v>46045</v>
      </c>
      <c r="D8264" t="inlineStr">
        <is>
          <t>JÄMTLANDS LÄN</t>
        </is>
      </c>
      <c r="E8264" t="inlineStr">
        <is>
          <t>RAGUNDA</t>
        </is>
      </c>
      <c r="F8264" t="inlineStr">
        <is>
          <t>SCA</t>
        </is>
      </c>
      <c r="G8264" t="n">
        <v>12.3</v>
      </c>
      <c r="H8264" t="n">
        <v>0</v>
      </c>
      <c r="I8264" t="n">
        <v>0</v>
      </c>
      <c r="J8264" t="n">
        <v>0</v>
      </c>
      <c r="K8264" t="n">
        <v>0</v>
      </c>
      <c r="L8264" t="n">
        <v>0</v>
      </c>
      <c r="M8264" t="n">
        <v>0</v>
      </c>
      <c r="N8264" t="n">
        <v>0</v>
      </c>
      <c r="O8264" t="n">
        <v>0</v>
      </c>
      <c r="P8264" t="n">
        <v>0</v>
      </c>
      <c r="Q8264" t="n">
        <v>0</v>
      </c>
      <c r="R8264" s="2" t="inlineStr"/>
    </row>
    <row r="8265" ht="15" customHeight="1">
      <c r="A8265" t="inlineStr">
        <is>
          <t>A 58854-2025</t>
        </is>
      </c>
      <c r="B8265" s="1" t="n">
        <v>45987.40699074074</v>
      </c>
      <c r="C8265" s="1" t="n">
        <v>46045</v>
      </c>
      <c r="D8265" t="inlineStr">
        <is>
          <t>JÄMTLANDS LÄN</t>
        </is>
      </c>
      <c r="E8265" t="inlineStr">
        <is>
          <t>BRÄCKE</t>
        </is>
      </c>
      <c r="F8265" t="inlineStr">
        <is>
          <t>SCA</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58865-2025</t>
        </is>
      </c>
      <c r="B8266" s="1" t="n">
        <v>45987.44751157407</v>
      </c>
      <c r="C8266" s="1" t="n">
        <v>46045</v>
      </c>
      <c r="D8266" t="inlineStr">
        <is>
          <t>JÄMTLANDS LÄN</t>
        </is>
      </c>
      <c r="E8266" t="inlineStr">
        <is>
          <t>HÄRJEDALEN</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59274-2025</t>
        </is>
      </c>
      <c r="B8267" s="1" t="n">
        <v>45988.69846064815</v>
      </c>
      <c r="C8267" s="1" t="n">
        <v>46045</v>
      </c>
      <c r="D8267" t="inlineStr">
        <is>
          <t>JÄMTLANDS LÄN</t>
        </is>
      </c>
      <c r="E8267" t="inlineStr">
        <is>
          <t>STRÖMSUND</t>
        </is>
      </c>
      <c r="F8267" t="inlineStr">
        <is>
          <t>SCA</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468-2026</t>
        </is>
      </c>
      <c r="B8268" s="1" t="n">
        <v>46029.38601851852</v>
      </c>
      <c r="C8268" s="1" t="n">
        <v>46045</v>
      </c>
      <c r="D8268" t="inlineStr">
        <is>
          <t>JÄMTLANDS LÄN</t>
        </is>
      </c>
      <c r="E8268" t="inlineStr">
        <is>
          <t>HÄRJEDALEN</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60225-2022</t>
        </is>
      </c>
      <c r="B8269" s="1" t="n">
        <v>44903</v>
      </c>
      <c r="C8269" s="1" t="n">
        <v>46045</v>
      </c>
      <c r="D8269" t="inlineStr">
        <is>
          <t>JÄMTLANDS LÄN</t>
        </is>
      </c>
      <c r="E8269" t="inlineStr">
        <is>
          <t>RAGUNDA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60249-2022</t>
        </is>
      </c>
      <c r="B8270" s="1" t="n">
        <v>44903</v>
      </c>
      <c r="C8270" s="1" t="n">
        <v>46045</v>
      </c>
      <c r="D8270" t="inlineStr">
        <is>
          <t>JÄMTLANDS LÄN</t>
        </is>
      </c>
      <c r="E8270" t="inlineStr">
        <is>
          <t>BERG</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32368-2025</t>
        </is>
      </c>
      <c r="B8271" s="1" t="n">
        <v>45837.66230324074</v>
      </c>
      <c r="C8271" s="1" t="n">
        <v>46045</v>
      </c>
      <c r="D8271" t="inlineStr">
        <is>
          <t>JÄMTLANDS LÄN</t>
        </is>
      </c>
      <c r="E8271" t="inlineStr">
        <is>
          <t>ÖSTERSUND</t>
        </is>
      </c>
      <c r="F8271" t="inlineStr">
        <is>
          <t>Övriga Aktiebolag</t>
        </is>
      </c>
      <c r="G8271" t="n">
        <v>19.5</v>
      </c>
      <c r="H8271" t="n">
        <v>0</v>
      </c>
      <c r="I8271" t="n">
        <v>0</v>
      </c>
      <c r="J8271" t="n">
        <v>0</v>
      </c>
      <c r="K8271" t="n">
        <v>0</v>
      </c>
      <c r="L8271" t="n">
        <v>0</v>
      </c>
      <c r="M8271" t="n">
        <v>0</v>
      </c>
      <c r="N8271" t="n">
        <v>0</v>
      </c>
      <c r="O8271" t="n">
        <v>0</v>
      </c>
      <c r="P8271" t="n">
        <v>0</v>
      </c>
      <c r="Q8271" t="n">
        <v>0</v>
      </c>
      <c r="R8271" s="2" t="inlineStr"/>
    </row>
    <row r="8272" ht="15" customHeight="1">
      <c r="A8272" t="inlineStr">
        <is>
          <t>A 1000-2026</t>
        </is>
      </c>
      <c r="B8272" s="1" t="n">
        <v>46030.59482638889</v>
      </c>
      <c r="C8272" s="1" t="n">
        <v>46045</v>
      </c>
      <c r="D8272" t="inlineStr">
        <is>
          <t>JÄMTLANDS LÄN</t>
        </is>
      </c>
      <c r="E8272" t="inlineStr">
        <is>
          <t>STRÖMSUND</t>
        </is>
      </c>
      <c r="F8272" t="inlineStr">
        <is>
          <t>SCA</t>
        </is>
      </c>
      <c r="G8272" t="n">
        <v>32.2</v>
      </c>
      <c r="H8272" t="n">
        <v>0</v>
      </c>
      <c r="I8272" t="n">
        <v>0</v>
      </c>
      <c r="J8272" t="n">
        <v>0</v>
      </c>
      <c r="K8272" t="n">
        <v>0</v>
      </c>
      <c r="L8272" t="n">
        <v>0</v>
      </c>
      <c r="M8272" t="n">
        <v>0</v>
      </c>
      <c r="N8272" t="n">
        <v>0</v>
      </c>
      <c r="O8272" t="n">
        <v>0</v>
      </c>
      <c r="P8272" t="n">
        <v>0</v>
      </c>
      <c r="Q8272" t="n">
        <v>0</v>
      </c>
      <c r="R8272" s="2" t="inlineStr"/>
    </row>
    <row r="8273" ht="15" customHeight="1">
      <c r="A8273" t="inlineStr">
        <is>
          <t>A 53109-2025</t>
        </is>
      </c>
      <c r="B8273" s="1" t="n">
        <v>45958</v>
      </c>
      <c r="C8273" s="1" t="n">
        <v>46045</v>
      </c>
      <c r="D8273" t="inlineStr">
        <is>
          <t>JÄMTLANDS LÄN</t>
        </is>
      </c>
      <c r="E8273" t="inlineStr">
        <is>
          <t>RAGUNDA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59267-2025</t>
        </is>
      </c>
      <c r="B8274" s="1" t="n">
        <v>45988.66127314815</v>
      </c>
      <c r="C8274" s="1" t="n">
        <v>46045</v>
      </c>
      <c r="D8274" t="inlineStr">
        <is>
          <t>JÄMTLANDS LÄN</t>
        </is>
      </c>
      <c r="E8274" t="inlineStr">
        <is>
          <t>BERG</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32096-2025</t>
        </is>
      </c>
      <c r="B8275" s="1" t="n">
        <v>45835.46334490741</v>
      </c>
      <c r="C8275" s="1" t="n">
        <v>46045</v>
      </c>
      <c r="D8275" t="inlineStr">
        <is>
          <t>JÄMTLANDS LÄN</t>
        </is>
      </c>
      <c r="E8275" t="inlineStr">
        <is>
          <t>RAGUNDA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37465-2025</t>
        </is>
      </c>
      <c r="B8276" s="1" t="n">
        <v>45877.57403935185</v>
      </c>
      <c r="C8276" s="1" t="n">
        <v>46045</v>
      </c>
      <c r="D8276" t="inlineStr">
        <is>
          <t>JÄMTLANDS LÄN</t>
        </is>
      </c>
      <c r="E8276" t="inlineStr">
        <is>
          <t>KROKOM</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50515-2023</t>
        </is>
      </c>
      <c r="B8277" s="1" t="n">
        <v>45216</v>
      </c>
      <c r="C8277" s="1" t="n">
        <v>46045</v>
      </c>
      <c r="D8277" t="inlineStr">
        <is>
          <t>JÄMTLANDS LÄN</t>
        </is>
      </c>
      <c r="E8277" t="inlineStr">
        <is>
          <t>BRÄCKE</t>
        </is>
      </c>
      <c r="F8277" t="inlineStr">
        <is>
          <t>SCA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58821-2025</t>
        </is>
      </c>
      <c r="B8278" s="1" t="n">
        <v>45987.34473379629</v>
      </c>
      <c r="C8278" s="1" t="n">
        <v>46045</v>
      </c>
      <c r="D8278" t="inlineStr">
        <is>
          <t>JÄMTLANDS LÄN</t>
        </is>
      </c>
      <c r="E8278" t="inlineStr">
        <is>
          <t>STRÖMSUND</t>
        </is>
      </c>
      <c r="F8278" t="inlineStr">
        <is>
          <t>SCA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58822-2025</t>
        </is>
      </c>
      <c r="B8279" s="1" t="n">
        <v>45987.34506944445</v>
      </c>
      <c r="C8279" s="1" t="n">
        <v>46045</v>
      </c>
      <c r="D8279" t="inlineStr">
        <is>
          <t>JÄMTLANDS LÄN</t>
        </is>
      </c>
      <c r="E8279" t="inlineStr">
        <is>
          <t>BERG</t>
        </is>
      </c>
      <c r="F8279" t="inlineStr">
        <is>
          <t>SCA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58826-2025</t>
        </is>
      </c>
      <c r="B8280" s="1" t="n">
        <v>45987.346875</v>
      </c>
      <c r="C8280" s="1" t="n">
        <v>46045</v>
      </c>
      <c r="D8280" t="inlineStr">
        <is>
          <t>JÄMTLANDS LÄN</t>
        </is>
      </c>
      <c r="E8280" t="inlineStr">
        <is>
          <t>BRÄCKE</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1084-2026</t>
        </is>
      </c>
      <c r="B8281" s="1" t="n">
        <v>46030.65706018519</v>
      </c>
      <c r="C8281" s="1" t="n">
        <v>46045</v>
      </c>
      <c r="D8281" t="inlineStr">
        <is>
          <t>JÄMTLANDS LÄN</t>
        </is>
      </c>
      <c r="E8281" t="inlineStr">
        <is>
          <t>STRÖMSUND</t>
        </is>
      </c>
      <c r="F8281" t="inlineStr">
        <is>
          <t>SCA</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522-2026</t>
        </is>
      </c>
      <c r="B8282" s="1" t="n">
        <v>46029.44835648148</v>
      </c>
      <c r="C8282" s="1" t="n">
        <v>46045</v>
      </c>
      <c r="D8282" t="inlineStr">
        <is>
          <t>JÄMTLANDS LÄN</t>
        </is>
      </c>
      <c r="E8282" t="inlineStr">
        <is>
          <t>KROKOM</t>
        </is>
      </c>
      <c r="G8282" t="n">
        <v>10.1</v>
      </c>
      <c r="H8282" t="n">
        <v>0</v>
      </c>
      <c r="I8282" t="n">
        <v>0</v>
      </c>
      <c r="J8282" t="n">
        <v>0</v>
      </c>
      <c r="K8282" t="n">
        <v>0</v>
      </c>
      <c r="L8282" t="n">
        <v>0</v>
      </c>
      <c r="M8282" t="n">
        <v>0</v>
      </c>
      <c r="N8282" t="n">
        <v>0</v>
      </c>
      <c r="O8282" t="n">
        <v>0</v>
      </c>
      <c r="P8282" t="n">
        <v>0</v>
      </c>
      <c r="Q8282" t="n">
        <v>0</v>
      </c>
      <c r="R8282" s="2" t="inlineStr"/>
    </row>
    <row r="8283" ht="15" customHeight="1">
      <c r="A8283" t="inlineStr">
        <is>
          <t>A 523-2026</t>
        </is>
      </c>
      <c r="B8283" s="1" t="n">
        <v>46029.44899305556</v>
      </c>
      <c r="C8283" s="1" t="n">
        <v>46045</v>
      </c>
      <c r="D8283" t="inlineStr">
        <is>
          <t>JÄMTLANDS LÄN</t>
        </is>
      </c>
      <c r="E8283" t="inlineStr">
        <is>
          <t>STRÖMSUND</t>
        </is>
      </c>
      <c r="G8283" t="n">
        <v>23.5</v>
      </c>
      <c r="H8283" t="n">
        <v>0</v>
      </c>
      <c r="I8283" t="n">
        <v>0</v>
      </c>
      <c r="J8283" t="n">
        <v>0</v>
      </c>
      <c r="K8283" t="n">
        <v>0</v>
      </c>
      <c r="L8283" t="n">
        <v>0</v>
      </c>
      <c r="M8283" t="n">
        <v>0</v>
      </c>
      <c r="N8283" t="n">
        <v>0</v>
      </c>
      <c r="O8283" t="n">
        <v>0</v>
      </c>
      <c r="P8283" t="n">
        <v>0</v>
      </c>
      <c r="Q8283" t="n">
        <v>0</v>
      </c>
      <c r="R8283" s="2" t="inlineStr"/>
    </row>
    <row r="8284" ht="15" customHeight="1">
      <c r="A8284" t="inlineStr">
        <is>
          <t>A 59188-2025</t>
        </is>
      </c>
      <c r="B8284" s="1" t="n">
        <v>45988.58856481482</v>
      </c>
      <c r="C8284" s="1" t="n">
        <v>46045</v>
      </c>
      <c r="D8284" t="inlineStr">
        <is>
          <t>JÄMTLANDS LÄN</t>
        </is>
      </c>
      <c r="E8284" t="inlineStr">
        <is>
          <t>ÖSTERSUND</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28016-2023</t>
        </is>
      </c>
      <c r="B8285" s="1" t="n">
        <v>45098.93996527778</v>
      </c>
      <c r="C8285" s="1" t="n">
        <v>46045</v>
      </c>
      <c r="D8285" t="inlineStr">
        <is>
          <t>JÄMTLANDS LÄN</t>
        </is>
      </c>
      <c r="E8285" t="inlineStr">
        <is>
          <t>STRÖMSUND</t>
        </is>
      </c>
      <c r="F8285" t="inlineStr">
        <is>
          <t>SCA</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41313-2024</t>
        </is>
      </c>
      <c r="B8286" s="1" t="n">
        <v>45559.6359837963</v>
      </c>
      <c r="C8286" s="1" t="n">
        <v>46045</v>
      </c>
      <c r="D8286" t="inlineStr">
        <is>
          <t>JÄMTLANDS LÄN</t>
        </is>
      </c>
      <c r="E8286" t="inlineStr">
        <is>
          <t>BRÄCKE</t>
        </is>
      </c>
      <c r="F8286" t="inlineStr">
        <is>
          <t>SCA</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28595-2024</t>
        </is>
      </c>
      <c r="B8287" s="1" t="n">
        <v>45478.42063657408</v>
      </c>
      <c r="C8287" s="1" t="n">
        <v>46045</v>
      </c>
      <c r="D8287" t="inlineStr">
        <is>
          <t>JÄMTLANDS LÄN</t>
        </is>
      </c>
      <c r="E8287" t="inlineStr">
        <is>
          <t>KROKOM</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41317-2024</t>
        </is>
      </c>
      <c r="B8288" s="1" t="n">
        <v>45559.63664351852</v>
      </c>
      <c r="C8288" s="1" t="n">
        <v>46045</v>
      </c>
      <c r="D8288" t="inlineStr">
        <is>
          <t>JÄMTLANDS LÄN</t>
        </is>
      </c>
      <c r="E8288" t="inlineStr">
        <is>
          <t>STRÖMSUND</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32281-2025</t>
        </is>
      </c>
      <c r="B8289" s="1" t="n">
        <v>45835.67778935185</v>
      </c>
      <c r="C8289" s="1" t="n">
        <v>46045</v>
      </c>
      <c r="D8289" t="inlineStr">
        <is>
          <t>JÄMTLANDS LÄN</t>
        </is>
      </c>
      <c r="E8289" t="inlineStr">
        <is>
          <t>BRÄCKE</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32071-2025</t>
        </is>
      </c>
      <c r="B8290" s="1" t="n">
        <v>45835.4491087963</v>
      </c>
      <c r="C8290" s="1" t="n">
        <v>46045</v>
      </c>
      <c r="D8290" t="inlineStr">
        <is>
          <t>JÄMTLANDS LÄN</t>
        </is>
      </c>
      <c r="E8290" t="inlineStr">
        <is>
          <t>ÖSTERSUND</t>
        </is>
      </c>
      <c r="F8290" t="inlineStr">
        <is>
          <t>SCA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59214-2025</t>
        </is>
      </c>
      <c r="B8291" s="1" t="n">
        <v>45988.61623842592</v>
      </c>
      <c r="C8291" s="1" t="n">
        <v>46045</v>
      </c>
      <c r="D8291" t="inlineStr">
        <is>
          <t>JÄMTLANDS LÄN</t>
        </is>
      </c>
      <c r="E8291" t="inlineStr">
        <is>
          <t>RAGUNDA</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59219-2025</t>
        </is>
      </c>
      <c r="B8292" s="1" t="n">
        <v>45988.61748842592</v>
      </c>
      <c r="C8292" s="1" t="n">
        <v>46045</v>
      </c>
      <c r="D8292" t="inlineStr">
        <is>
          <t>JÄMTLANDS LÄN</t>
        </is>
      </c>
      <c r="E8292" t="inlineStr">
        <is>
          <t>STRÖMSUND</t>
        </is>
      </c>
      <c r="F8292" t="inlineStr">
        <is>
          <t>SCA</t>
        </is>
      </c>
      <c r="G8292" t="n">
        <v>8.6</v>
      </c>
      <c r="H8292" t="n">
        <v>0</v>
      </c>
      <c r="I8292" t="n">
        <v>0</v>
      </c>
      <c r="J8292" t="n">
        <v>0</v>
      </c>
      <c r="K8292" t="n">
        <v>0</v>
      </c>
      <c r="L8292" t="n">
        <v>0</v>
      </c>
      <c r="M8292" t="n">
        <v>0</v>
      </c>
      <c r="N8292" t="n">
        <v>0</v>
      </c>
      <c r="O8292" t="n">
        <v>0</v>
      </c>
      <c r="P8292" t="n">
        <v>0</v>
      </c>
      <c r="Q8292" t="n">
        <v>0</v>
      </c>
      <c r="R8292" s="2" t="inlineStr"/>
    </row>
    <row r="8293" ht="15" customHeight="1">
      <c r="A8293" t="inlineStr">
        <is>
          <t>A 61045-2022</t>
        </is>
      </c>
      <c r="B8293" s="1" t="n">
        <v>44914</v>
      </c>
      <c r="C8293" s="1" t="n">
        <v>46045</v>
      </c>
      <c r="D8293" t="inlineStr">
        <is>
          <t>JÄMTLANDS LÄN</t>
        </is>
      </c>
      <c r="E8293" t="inlineStr">
        <is>
          <t>RAGUNDA</t>
        </is>
      </c>
      <c r="F8293" t="inlineStr">
        <is>
          <t>SCA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32072-2025</t>
        </is>
      </c>
      <c r="B8294" s="1" t="n">
        <v>45835.44925925926</v>
      </c>
      <c r="C8294" s="1" t="n">
        <v>46045</v>
      </c>
      <c r="D8294" t="inlineStr">
        <is>
          <t>JÄMTLANDS LÄN</t>
        </is>
      </c>
      <c r="E8294" t="inlineStr">
        <is>
          <t>STRÖMSUND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59258-2025</t>
        </is>
      </c>
      <c r="B8295" s="1" t="n">
        <v>45988.65729166667</v>
      </c>
      <c r="C8295" s="1" t="n">
        <v>46045</v>
      </c>
      <c r="D8295" t="inlineStr">
        <is>
          <t>JÄMTLANDS LÄN</t>
        </is>
      </c>
      <c r="E8295" t="inlineStr">
        <is>
          <t>STRÖMSUND</t>
        </is>
      </c>
      <c r="F8295" t="inlineStr">
        <is>
          <t>SCA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27118-2023</t>
        </is>
      </c>
      <c r="B8296" s="1" t="n">
        <v>45096</v>
      </c>
      <c r="C8296" s="1" t="n">
        <v>46045</v>
      </c>
      <c r="D8296" t="inlineStr">
        <is>
          <t>JÄMTLANDS LÄN</t>
        </is>
      </c>
      <c r="E8296" t="inlineStr">
        <is>
          <t>ÖSTERSUND</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869-2026</t>
        </is>
      </c>
      <c r="B8297" s="1" t="n">
        <v>46030.43342592593</v>
      </c>
      <c r="C8297" s="1" t="n">
        <v>46045</v>
      </c>
      <c r="D8297" t="inlineStr">
        <is>
          <t>JÄMTLANDS LÄN</t>
        </is>
      </c>
      <c r="E8297" t="inlineStr">
        <is>
          <t>KROKOM</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32748-2025</t>
        </is>
      </c>
      <c r="B8298" s="1" t="n">
        <v>45839.42822916667</v>
      </c>
      <c r="C8298" s="1" t="n">
        <v>46045</v>
      </c>
      <c r="D8298" t="inlineStr">
        <is>
          <t>JÄMTLANDS LÄN</t>
        </is>
      </c>
      <c r="E8298" t="inlineStr">
        <is>
          <t>RAGUNDA</t>
        </is>
      </c>
      <c r="F8298" t="inlineStr">
        <is>
          <t>SCA</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32750-2025</t>
        </is>
      </c>
      <c r="B8299" s="1" t="n">
        <v>45839.42850694444</v>
      </c>
      <c r="C8299" s="1" t="n">
        <v>46045</v>
      </c>
      <c r="D8299" t="inlineStr">
        <is>
          <t>JÄMTLANDS LÄN</t>
        </is>
      </c>
      <c r="E8299" t="inlineStr">
        <is>
          <t>STRÖMSUND</t>
        </is>
      </c>
      <c r="F8299" t="inlineStr">
        <is>
          <t>SCA</t>
        </is>
      </c>
      <c r="G8299" t="n">
        <v>11.7</v>
      </c>
      <c r="H8299" t="n">
        <v>0</v>
      </c>
      <c r="I8299" t="n">
        <v>0</v>
      </c>
      <c r="J8299" t="n">
        <v>0</v>
      </c>
      <c r="K8299" t="n">
        <v>0</v>
      </c>
      <c r="L8299" t="n">
        <v>0</v>
      </c>
      <c r="M8299" t="n">
        <v>0</v>
      </c>
      <c r="N8299" t="n">
        <v>0</v>
      </c>
      <c r="O8299" t="n">
        <v>0</v>
      </c>
      <c r="P8299" t="n">
        <v>0</v>
      </c>
      <c r="Q8299" t="n">
        <v>0</v>
      </c>
      <c r="R8299" s="2" t="inlineStr"/>
    </row>
    <row r="8300" ht="15" customHeight="1">
      <c r="A8300" t="inlineStr">
        <is>
          <t>A 36645-2024</t>
        </is>
      </c>
      <c r="B8300" s="1" t="n">
        <v>45537.60471064815</v>
      </c>
      <c r="C8300" s="1" t="n">
        <v>46045</v>
      </c>
      <c r="D8300" t="inlineStr">
        <is>
          <t>JÄMTLANDS LÄN</t>
        </is>
      </c>
      <c r="E8300" t="inlineStr">
        <is>
          <t>HÄRJEDALEN</t>
        </is>
      </c>
      <c r="F8300" t="inlineStr">
        <is>
          <t>Holmen skog AB</t>
        </is>
      </c>
      <c r="G8300" t="n">
        <v>16.8</v>
      </c>
      <c r="H8300" t="n">
        <v>0</v>
      </c>
      <c r="I8300" t="n">
        <v>0</v>
      </c>
      <c r="J8300" t="n">
        <v>0</v>
      </c>
      <c r="K8300" t="n">
        <v>0</v>
      </c>
      <c r="L8300" t="n">
        <v>0</v>
      </c>
      <c r="M8300" t="n">
        <v>0</v>
      </c>
      <c r="N8300" t="n">
        <v>0</v>
      </c>
      <c r="O8300" t="n">
        <v>0</v>
      </c>
      <c r="P8300" t="n">
        <v>0</v>
      </c>
      <c r="Q8300" t="n">
        <v>0</v>
      </c>
      <c r="R8300" s="2" t="inlineStr"/>
    </row>
    <row r="8301" ht="15" customHeight="1">
      <c r="A8301" t="inlineStr">
        <is>
          <t>A 32777-2025</t>
        </is>
      </c>
      <c r="B8301" s="1" t="n">
        <v>45839.46915509259</v>
      </c>
      <c r="C8301" s="1" t="n">
        <v>46045</v>
      </c>
      <c r="D8301" t="inlineStr">
        <is>
          <t>JÄMTLANDS LÄN</t>
        </is>
      </c>
      <c r="E8301" t="inlineStr">
        <is>
          <t>RAGUNDA</t>
        </is>
      </c>
      <c r="F8301" t="inlineStr">
        <is>
          <t>SCA</t>
        </is>
      </c>
      <c r="G8301" t="n">
        <v>21.7</v>
      </c>
      <c r="H8301" t="n">
        <v>0</v>
      </c>
      <c r="I8301" t="n">
        <v>0</v>
      </c>
      <c r="J8301" t="n">
        <v>0</v>
      </c>
      <c r="K8301" t="n">
        <v>0</v>
      </c>
      <c r="L8301" t="n">
        <v>0</v>
      </c>
      <c r="M8301" t="n">
        <v>0</v>
      </c>
      <c r="N8301" t="n">
        <v>0</v>
      </c>
      <c r="O8301" t="n">
        <v>0</v>
      </c>
      <c r="P8301" t="n">
        <v>0</v>
      </c>
      <c r="Q8301" t="n">
        <v>0</v>
      </c>
      <c r="R8301" s="2" t="inlineStr"/>
    </row>
    <row r="8302" ht="15" customHeight="1">
      <c r="A8302" t="inlineStr">
        <is>
          <t>A 623-2026</t>
        </is>
      </c>
      <c r="B8302" s="1" t="n">
        <v>46024</v>
      </c>
      <c r="C8302" s="1" t="n">
        <v>46045</v>
      </c>
      <c r="D8302" t="inlineStr">
        <is>
          <t>JÄMTLANDS LÄN</t>
        </is>
      </c>
      <c r="E8302" t="inlineStr">
        <is>
          <t>ÖSTERSUND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65508-2021</t>
        </is>
      </c>
      <c r="B8303" s="1" t="n">
        <v>44516</v>
      </c>
      <c r="C8303" s="1" t="n">
        <v>46045</v>
      </c>
      <c r="D8303" t="inlineStr">
        <is>
          <t>JÄMTLANDS LÄN</t>
        </is>
      </c>
      <c r="E8303" t="inlineStr">
        <is>
          <t>KROKOM</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32734-2025</t>
        </is>
      </c>
      <c r="B8304" s="1" t="n">
        <v>45839.40707175926</v>
      </c>
      <c r="C8304" s="1" t="n">
        <v>46045</v>
      </c>
      <c r="D8304" t="inlineStr">
        <is>
          <t>JÄMTLANDS LÄN</t>
        </is>
      </c>
      <c r="E8304" t="inlineStr">
        <is>
          <t>STRÖMSUND</t>
        </is>
      </c>
      <c r="F8304" t="inlineStr">
        <is>
          <t>SCA</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32841-2025</t>
        </is>
      </c>
      <c r="B8305" s="1" t="n">
        <v>45839.5658912037</v>
      </c>
      <c r="C8305" s="1" t="n">
        <v>46045</v>
      </c>
      <c r="D8305" t="inlineStr">
        <is>
          <t>JÄMTLANDS LÄN</t>
        </is>
      </c>
      <c r="E8305" t="inlineStr">
        <is>
          <t>HÄRJEDALEN</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32851-2025</t>
        </is>
      </c>
      <c r="B8306" s="1" t="n">
        <v>45839.57388888889</v>
      </c>
      <c r="C8306" s="1" t="n">
        <v>46045</v>
      </c>
      <c r="D8306" t="inlineStr">
        <is>
          <t>JÄMTLANDS LÄN</t>
        </is>
      </c>
      <c r="E8306" t="inlineStr">
        <is>
          <t>BRÄCKE</t>
        </is>
      </c>
      <c r="F8306" t="inlineStr">
        <is>
          <t>SCA</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32919-2025</t>
        </is>
      </c>
      <c r="B8307" s="1" t="n">
        <v>45839.64721064815</v>
      </c>
      <c r="C8307" s="1" t="n">
        <v>46045</v>
      </c>
      <c r="D8307" t="inlineStr">
        <is>
          <t>JÄMTLANDS LÄN</t>
        </is>
      </c>
      <c r="E8307" t="inlineStr">
        <is>
          <t>BERG</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58872-2025</t>
        </is>
      </c>
      <c r="B8308" s="1" t="n">
        <v>45987.46554398148</v>
      </c>
      <c r="C8308" s="1" t="n">
        <v>46045</v>
      </c>
      <c r="D8308" t="inlineStr">
        <is>
          <t>JÄMTLANDS LÄN</t>
        </is>
      </c>
      <c r="E8308" t="inlineStr">
        <is>
          <t>ÅRE</t>
        </is>
      </c>
      <c r="G8308" t="n">
        <v>8</v>
      </c>
      <c r="H8308" t="n">
        <v>0</v>
      </c>
      <c r="I8308" t="n">
        <v>0</v>
      </c>
      <c r="J8308" t="n">
        <v>0</v>
      </c>
      <c r="K8308" t="n">
        <v>0</v>
      </c>
      <c r="L8308" t="n">
        <v>0</v>
      </c>
      <c r="M8308" t="n">
        <v>0</v>
      </c>
      <c r="N8308" t="n">
        <v>0</v>
      </c>
      <c r="O8308" t="n">
        <v>0</v>
      </c>
      <c r="P8308" t="n">
        <v>0</v>
      </c>
      <c r="Q8308" t="n">
        <v>0</v>
      </c>
      <c r="R8308" s="2" t="inlineStr"/>
    </row>
    <row r="8309" ht="15" customHeight="1">
      <c r="A8309" t="inlineStr">
        <is>
          <t>A 33054-2025</t>
        </is>
      </c>
      <c r="B8309" s="1" t="n">
        <v>45840.42746527777</v>
      </c>
      <c r="C8309" s="1" t="n">
        <v>46045</v>
      </c>
      <c r="D8309" t="inlineStr">
        <is>
          <t>JÄMTLANDS LÄN</t>
        </is>
      </c>
      <c r="E8309" t="inlineStr">
        <is>
          <t>BERG</t>
        </is>
      </c>
      <c r="F8309" t="inlineStr">
        <is>
          <t>SCA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32925-2025</t>
        </is>
      </c>
      <c r="B8310" s="1" t="n">
        <v>45839.65662037037</v>
      </c>
      <c r="C8310" s="1" t="n">
        <v>46045</v>
      </c>
      <c r="D8310" t="inlineStr">
        <is>
          <t>JÄMTLANDS LÄN</t>
        </is>
      </c>
      <c r="E8310" t="inlineStr">
        <is>
          <t>STRÖMSUND</t>
        </is>
      </c>
      <c r="F8310" t="inlineStr">
        <is>
          <t>SCA</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58917-2025</t>
        </is>
      </c>
      <c r="B8311" s="1" t="n">
        <v>45987.52949074074</v>
      </c>
      <c r="C8311" s="1" t="n">
        <v>46045</v>
      </c>
      <c r="D8311" t="inlineStr">
        <is>
          <t>JÄMTLANDS LÄN</t>
        </is>
      </c>
      <c r="E8311" t="inlineStr">
        <is>
          <t>ÖSTERSUND</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58918-2025</t>
        </is>
      </c>
      <c r="B8312" s="1" t="n">
        <v>45987.52952546296</v>
      </c>
      <c r="C8312" s="1" t="n">
        <v>46045</v>
      </c>
      <c r="D8312" t="inlineStr">
        <is>
          <t>JÄMTLANDS LÄN</t>
        </is>
      </c>
      <c r="E8312" t="inlineStr">
        <is>
          <t>RAGUNDA</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58957-2025</t>
        </is>
      </c>
      <c r="B8313" s="1" t="n">
        <v>45987.59512731482</v>
      </c>
      <c r="C8313" s="1" t="n">
        <v>46045</v>
      </c>
      <c r="D8313" t="inlineStr">
        <is>
          <t>JÄMTLANDS LÄN</t>
        </is>
      </c>
      <c r="E8313" t="inlineStr">
        <is>
          <t>BRÄCKE</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32430-2025</t>
        </is>
      </c>
      <c r="B8314" s="1" t="n">
        <v>45838.36532407408</v>
      </c>
      <c r="C8314" s="1" t="n">
        <v>46045</v>
      </c>
      <c r="D8314" t="inlineStr">
        <is>
          <t>JÄMTLANDS LÄN</t>
        </is>
      </c>
      <c r="E8314" t="inlineStr">
        <is>
          <t>RAGUNDA</t>
        </is>
      </c>
      <c r="F8314" t="inlineStr">
        <is>
          <t>SCA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32442-2025</t>
        </is>
      </c>
      <c r="B8315" s="1" t="n">
        <v>45838.38597222222</v>
      </c>
      <c r="C8315" s="1" t="n">
        <v>46045</v>
      </c>
      <c r="D8315" t="inlineStr">
        <is>
          <t>JÄMTLANDS LÄN</t>
        </is>
      </c>
      <c r="E8315" t="inlineStr">
        <is>
          <t>STRÖMSUND</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59253-2025</t>
        </is>
      </c>
      <c r="B8316" s="1" t="n">
        <v>45988.65121527778</v>
      </c>
      <c r="C8316" s="1" t="n">
        <v>46045</v>
      </c>
      <c r="D8316" t="inlineStr">
        <is>
          <t>JÄMTLANDS LÄN</t>
        </is>
      </c>
      <c r="E8316" t="inlineStr">
        <is>
          <t>BERG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58891-2025</t>
        </is>
      </c>
      <c r="B8317" s="1" t="n">
        <v>45987.49034722222</v>
      </c>
      <c r="C8317" s="1" t="n">
        <v>46045</v>
      </c>
      <c r="D8317" t="inlineStr">
        <is>
          <t>JÄMTLANDS LÄN</t>
        </is>
      </c>
      <c r="E8317" t="inlineStr">
        <is>
          <t>ÅRE</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32697-2025</t>
        </is>
      </c>
      <c r="B8318" s="1" t="n">
        <v>45839.34427083333</v>
      </c>
      <c r="C8318" s="1" t="n">
        <v>46045</v>
      </c>
      <c r="D8318" t="inlineStr">
        <is>
          <t>JÄMTLANDS LÄN</t>
        </is>
      </c>
      <c r="E8318" t="inlineStr">
        <is>
          <t>BRÄCKE</t>
        </is>
      </c>
      <c r="F8318" t="inlineStr">
        <is>
          <t>SCA</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25934-2024</t>
        </is>
      </c>
      <c r="B8319" s="1" t="n">
        <v>45467.62287037037</v>
      </c>
      <c r="C8319" s="1" t="n">
        <v>46045</v>
      </c>
      <c r="D8319" t="inlineStr">
        <is>
          <t>JÄMTLANDS LÄN</t>
        </is>
      </c>
      <c r="E8319" t="inlineStr">
        <is>
          <t>BRÄCKE</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32733-2025</t>
        </is>
      </c>
      <c r="B8320" s="1" t="n">
        <v>45839.40694444445</v>
      </c>
      <c r="C8320" s="1" t="n">
        <v>46045</v>
      </c>
      <c r="D8320" t="inlineStr">
        <is>
          <t>JÄMTLANDS LÄN</t>
        </is>
      </c>
      <c r="E8320" t="inlineStr">
        <is>
          <t>STRÖMSUND</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36439-2023</t>
        </is>
      </c>
      <c r="B8321" s="1" t="n">
        <v>45152</v>
      </c>
      <c r="C8321" s="1" t="n">
        <v>46045</v>
      </c>
      <c r="D8321" t="inlineStr">
        <is>
          <t>JÄMTLANDS LÄN</t>
        </is>
      </c>
      <c r="E8321" t="inlineStr">
        <is>
          <t>KROKOM</t>
        </is>
      </c>
      <c r="F8321" t="inlineStr">
        <is>
          <t>Övriga Aktiebolag</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61924-2022</t>
        </is>
      </c>
      <c r="B8322" s="1" t="n">
        <v>44917</v>
      </c>
      <c r="C8322" s="1" t="n">
        <v>46045</v>
      </c>
      <c r="D8322" t="inlineStr">
        <is>
          <t>JÄMTLANDS LÄN</t>
        </is>
      </c>
      <c r="E8322" t="inlineStr">
        <is>
          <t>ÅRE</t>
        </is>
      </c>
      <c r="G8322" t="n">
        <v>39.8</v>
      </c>
      <c r="H8322" t="n">
        <v>0</v>
      </c>
      <c r="I8322" t="n">
        <v>0</v>
      </c>
      <c r="J8322" t="n">
        <v>0</v>
      </c>
      <c r="K8322" t="n">
        <v>0</v>
      </c>
      <c r="L8322" t="n">
        <v>0</v>
      </c>
      <c r="M8322" t="n">
        <v>0</v>
      </c>
      <c r="N8322" t="n">
        <v>0</v>
      </c>
      <c r="O8322" t="n">
        <v>0</v>
      </c>
      <c r="P8322" t="n">
        <v>0</v>
      </c>
      <c r="Q8322" t="n">
        <v>0</v>
      </c>
      <c r="R8322" s="2" t="inlineStr"/>
    </row>
    <row r="8323" ht="15" customHeight="1">
      <c r="A8323" t="inlineStr">
        <is>
          <t>A 36497-2023</t>
        </is>
      </c>
      <c r="B8323" s="1" t="n">
        <v>45152</v>
      </c>
      <c r="C8323" s="1" t="n">
        <v>46045</v>
      </c>
      <c r="D8323" t="inlineStr">
        <is>
          <t>JÄMTLANDS LÄN</t>
        </is>
      </c>
      <c r="E8323" t="inlineStr">
        <is>
          <t>BRÄCKE</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58992-2025</t>
        </is>
      </c>
      <c r="B8324" s="1" t="n">
        <v>45987</v>
      </c>
      <c r="C8324" s="1" t="n">
        <v>46045</v>
      </c>
      <c r="D8324" t="inlineStr">
        <is>
          <t>JÄMTLANDS LÄN</t>
        </is>
      </c>
      <c r="E8324" t="inlineStr">
        <is>
          <t>KROKOM</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58857-2025</t>
        </is>
      </c>
      <c r="B8325" s="1" t="n">
        <v>45987.41665509259</v>
      </c>
      <c r="C8325" s="1" t="n">
        <v>46045</v>
      </c>
      <c r="D8325" t="inlineStr">
        <is>
          <t>JÄMTLANDS LÄN</t>
        </is>
      </c>
      <c r="E8325" t="inlineStr">
        <is>
          <t>STRÖMSUND</t>
        </is>
      </c>
      <c r="G8325" t="n">
        <v>6.7</v>
      </c>
      <c r="H8325" t="n">
        <v>0</v>
      </c>
      <c r="I8325" t="n">
        <v>0</v>
      </c>
      <c r="J8325" t="n">
        <v>0</v>
      </c>
      <c r="K8325" t="n">
        <v>0</v>
      </c>
      <c r="L8325" t="n">
        <v>0</v>
      </c>
      <c r="M8325" t="n">
        <v>0</v>
      </c>
      <c r="N8325" t="n">
        <v>0</v>
      </c>
      <c r="O8325" t="n">
        <v>0</v>
      </c>
      <c r="P8325" t="n">
        <v>0</v>
      </c>
      <c r="Q8325" t="n">
        <v>0</v>
      </c>
      <c r="R8325" s="2" t="inlineStr"/>
    </row>
    <row r="8326" ht="15" customHeight="1">
      <c r="A8326" t="inlineStr">
        <is>
          <t>A 32796-2025</t>
        </is>
      </c>
      <c r="B8326" s="1" t="n">
        <v>45839.49082175926</v>
      </c>
      <c r="C8326" s="1" t="n">
        <v>46045</v>
      </c>
      <c r="D8326" t="inlineStr">
        <is>
          <t>JÄMTLANDS LÄN</t>
        </is>
      </c>
      <c r="E8326" t="inlineStr">
        <is>
          <t>RAGUNDA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58958-2025</t>
        </is>
      </c>
      <c r="B8327" s="1" t="n">
        <v>45987.59548611111</v>
      </c>
      <c r="C8327" s="1" t="n">
        <v>46045</v>
      </c>
      <c r="D8327" t="inlineStr">
        <is>
          <t>JÄMTLANDS LÄN</t>
        </is>
      </c>
      <c r="E8327" t="inlineStr">
        <is>
          <t>STRÖMSUND</t>
        </is>
      </c>
      <c r="F8327" t="inlineStr">
        <is>
          <t>SCA</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33275-2025</t>
        </is>
      </c>
      <c r="B8328" s="1" t="n">
        <v>45840.69829861111</v>
      </c>
      <c r="C8328" s="1" t="n">
        <v>46045</v>
      </c>
      <c r="D8328" t="inlineStr">
        <is>
          <t>JÄMTLANDS LÄN</t>
        </is>
      </c>
      <c r="E8328" t="inlineStr">
        <is>
          <t>BRÄCKE</t>
        </is>
      </c>
      <c r="F8328" t="inlineStr">
        <is>
          <t>SCA</t>
        </is>
      </c>
      <c r="G8328" t="n">
        <v>10.2</v>
      </c>
      <c r="H8328" t="n">
        <v>0</v>
      </c>
      <c r="I8328" t="n">
        <v>0</v>
      </c>
      <c r="J8328" t="n">
        <v>0</v>
      </c>
      <c r="K8328" t="n">
        <v>0</v>
      </c>
      <c r="L8328" t="n">
        <v>0</v>
      </c>
      <c r="M8328" t="n">
        <v>0</v>
      </c>
      <c r="N8328" t="n">
        <v>0</v>
      </c>
      <c r="O8328" t="n">
        <v>0</v>
      </c>
      <c r="P8328" t="n">
        <v>0</v>
      </c>
      <c r="Q8328" t="n">
        <v>0</v>
      </c>
      <c r="R8328" s="2" t="inlineStr"/>
    </row>
    <row r="8329" ht="15" customHeight="1">
      <c r="A8329" t="inlineStr">
        <is>
          <t>A 33045-2025</t>
        </is>
      </c>
      <c r="B8329" s="1" t="n">
        <v>45840.40717592592</v>
      </c>
      <c r="C8329" s="1" t="n">
        <v>46045</v>
      </c>
      <c r="D8329" t="inlineStr">
        <is>
          <t>JÄMTLANDS LÄN</t>
        </is>
      </c>
      <c r="E8329" t="inlineStr">
        <is>
          <t>KROKOM</t>
        </is>
      </c>
      <c r="F8329" t="inlineStr">
        <is>
          <t>SCA</t>
        </is>
      </c>
      <c r="G8329" t="n">
        <v>18.7</v>
      </c>
      <c r="H8329" t="n">
        <v>0</v>
      </c>
      <c r="I8329" t="n">
        <v>0</v>
      </c>
      <c r="J8329" t="n">
        <v>0</v>
      </c>
      <c r="K8329" t="n">
        <v>0</v>
      </c>
      <c r="L8329" t="n">
        <v>0</v>
      </c>
      <c r="M8329" t="n">
        <v>0</v>
      </c>
      <c r="N8329" t="n">
        <v>0</v>
      </c>
      <c r="O8329" t="n">
        <v>0</v>
      </c>
      <c r="P8329" t="n">
        <v>0</v>
      </c>
      <c r="Q8329" t="n">
        <v>0</v>
      </c>
      <c r="R8329" s="2" t="inlineStr"/>
    </row>
    <row r="8330" ht="15" customHeight="1">
      <c r="A8330" t="inlineStr">
        <is>
          <t>A 41277-2025</t>
        </is>
      </c>
      <c r="B8330" s="1" t="n">
        <v>45898</v>
      </c>
      <c r="C8330" s="1" t="n">
        <v>46045</v>
      </c>
      <c r="D8330" t="inlineStr">
        <is>
          <t>JÄMTLANDS LÄN</t>
        </is>
      </c>
      <c r="E8330" t="inlineStr">
        <is>
          <t>STRÖMSUND</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33133-2025</t>
        </is>
      </c>
      <c r="B8331" s="1" t="n">
        <v>45840.5050462963</v>
      </c>
      <c r="C8331" s="1" t="n">
        <v>46045</v>
      </c>
      <c r="D8331" t="inlineStr">
        <is>
          <t>JÄMTLANDS LÄN</t>
        </is>
      </c>
      <c r="E8331" t="inlineStr">
        <is>
          <t>BRÄCKE</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32895-2025</t>
        </is>
      </c>
      <c r="B8332" s="1" t="n">
        <v>45839.61513888889</v>
      </c>
      <c r="C8332" s="1" t="n">
        <v>46045</v>
      </c>
      <c r="D8332" t="inlineStr">
        <is>
          <t>JÄMTLANDS LÄN</t>
        </is>
      </c>
      <c r="E8332" t="inlineStr">
        <is>
          <t>STRÖMSUND</t>
        </is>
      </c>
      <c r="F8332" t="inlineStr">
        <is>
          <t>SCA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32896-2025</t>
        </is>
      </c>
      <c r="B8333" s="1" t="n">
        <v>45839.61541666667</v>
      </c>
      <c r="C8333" s="1" t="n">
        <v>46045</v>
      </c>
      <c r="D8333" t="inlineStr">
        <is>
          <t>JÄMTLANDS LÄN</t>
        </is>
      </c>
      <c r="E8333" t="inlineStr">
        <is>
          <t>KROKOM</t>
        </is>
      </c>
      <c r="F8333" t="inlineStr">
        <is>
          <t>SCA</t>
        </is>
      </c>
      <c r="G8333" t="n">
        <v>17.9</v>
      </c>
      <c r="H8333" t="n">
        <v>0</v>
      </c>
      <c r="I8333" t="n">
        <v>0</v>
      </c>
      <c r="J8333" t="n">
        <v>0</v>
      </c>
      <c r="K8333" t="n">
        <v>0</v>
      </c>
      <c r="L8333" t="n">
        <v>0</v>
      </c>
      <c r="M8333" t="n">
        <v>0</v>
      </c>
      <c r="N8333" t="n">
        <v>0</v>
      </c>
      <c r="O8333" t="n">
        <v>0</v>
      </c>
      <c r="P8333" t="n">
        <v>0</v>
      </c>
      <c r="Q8333" t="n">
        <v>0</v>
      </c>
      <c r="R8333" s="2" t="inlineStr"/>
    </row>
    <row r="8334" ht="15" customHeight="1">
      <c r="A8334" t="inlineStr">
        <is>
          <t>A 32897-2025</t>
        </is>
      </c>
      <c r="B8334" s="1" t="n">
        <v>45839.61563657408</v>
      </c>
      <c r="C8334" s="1" t="n">
        <v>46045</v>
      </c>
      <c r="D8334" t="inlineStr">
        <is>
          <t>JÄMTLANDS LÄN</t>
        </is>
      </c>
      <c r="E8334" t="inlineStr">
        <is>
          <t>KROKOM</t>
        </is>
      </c>
      <c r="F8334" t="inlineStr">
        <is>
          <t>SCA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59117-2025</t>
        </is>
      </c>
      <c r="B8335" s="1" t="n">
        <v>45988.49011574074</v>
      </c>
      <c r="C8335" s="1" t="n">
        <v>46045</v>
      </c>
      <c r="D8335" t="inlineStr">
        <is>
          <t>JÄMTLANDS LÄN</t>
        </is>
      </c>
      <c r="E8335" t="inlineStr">
        <is>
          <t>HÄRJEDALEN</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63852-2025</t>
        </is>
      </c>
      <c r="B8336" s="1" t="n">
        <v>46020</v>
      </c>
      <c r="C8336" s="1" t="n">
        <v>46045</v>
      </c>
      <c r="D8336" t="inlineStr">
        <is>
          <t>JÄMTLANDS LÄN</t>
        </is>
      </c>
      <c r="E8336" t="inlineStr">
        <is>
          <t>KROKOM</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485-2026</t>
        </is>
      </c>
      <c r="B8337" s="1" t="n">
        <v>46029.41560185186</v>
      </c>
      <c r="C8337" s="1" t="n">
        <v>46045</v>
      </c>
      <c r="D8337" t="inlineStr">
        <is>
          <t>JÄMTLANDS LÄN</t>
        </is>
      </c>
      <c r="E8337" t="inlineStr">
        <is>
          <t>ÖSTERSUND</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33212-2025</t>
        </is>
      </c>
      <c r="B8338" s="1" t="n">
        <v>45840.62780092593</v>
      </c>
      <c r="C8338" s="1" t="n">
        <v>46045</v>
      </c>
      <c r="D8338" t="inlineStr">
        <is>
          <t>JÄMTLANDS LÄN</t>
        </is>
      </c>
      <c r="E8338" t="inlineStr">
        <is>
          <t>STRÖMSUND</t>
        </is>
      </c>
      <c r="G8338" t="n">
        <v>17.9</v>
      </c>
      <c r="H8338" t="n">
        <v>0</v>
      </c>
      <c r="I8338" t="n">
        <v>0</v>
      </c>
      <c r="J8338" t="n">
        <v>0</v>
      </c>
      <c r="K8338" t="n">
        <v>0</v>
      </c>
      <c r="L8338" t="n">
        <v>0</v>
      </c>
      <c r="M8338" t="n">
        <v>0</v>
      </c>
      <c r="N8338" t="n">
        <v>0</v>
      </c>
      <c r="O8338" t="n">
        <v>0</v>
      </c>
      <c r="P8338" t="n">
        <v>0</v>
      </c>
      <c r="Q8338" t="n">
        <v>0</v>
      </c>
      <c r="R8338" s="2" t="inlineStr"/>
    </row>
    <row r="8339" ht="15" customHeight="1">
      <c r="A8339" t="inlineStr">
        <is>
          <t>A 528-2026</t>
        </is>
      </c>
      <c r="B8339" s="1" t="n">
        <v>46029.44922453703</v>
      </c>
      <c r="C8339" s="1" t="n">
        <v>46045</v>
      </c>
      <c r="D8339" t="inlineStr">
        <is>
          <t>JÄMTLANDS LÄN</t>
        </is>
      </c>
      <c r="E8339" t="inlineStr">
        <is>
          <t>STRÖMSUND</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32746-2025</t>
        </is>
      </c>
      <c r="B8340" s="1" t="n">
        <v>45839.42783564814</v>
      </c>
      <c r="C8340" s="1" t="n">
        <v>46045</v>
      </c>
      <c r="D8340" t="inlineStr">
        <is>
          <t>JÄMTLANDS LÄN</t>
        </is>
      </c>
      <c r="E8340" t="inlineStr">
        <is>
          <t>STRÖMSUND</t>
        </is>
      </c>
      <c r="F8340" t="inlineStr">
        <is>
          <t>SCA</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32747-2025</t>
        </is>
      </c>
      <c r="B8341" s="1" t="n">
        <v>45839.42810185185</v>
      </c>
      <c r="C8341" s="1" t="n">
        <v>46045</v>
      </c>
      <c r="D8341" t="inlineStr">
        <is>
          <t>JÄMTLANDS LÄN</t>
        </is>
      </c>
      <c r="E8341" t="inlineStr">
        <is>
          <t>RAGUNDA</t>
        </is>
      </c>
      <c r="F8341" t="inlineStr">
        <is>
          <t>SCA</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32913-2025</t>
        </is>
      </c>
      <c r="B8342" s="1" t="n">
        <v>45839.63605324074</v>
      </c>
      <c r="C8342" s="1" t="n">
        <v>46045</v>
      </c>
      <c r="D8342" t="inlineStr">
        <is>
          <t>JÄMTLANDS LÄN</t>
        </is>
      </c>
      <c r="E8342" t="inlineStr">
        <is>
          <t>BRÄCKE</t>
        </is>
      </c>
      <c r="F8342" t="inlineStr">
        <is>
          <t>SCA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557-2026</t>
        </is>
      </c>
      <c r="B8343" s="1" t="n">
        <v>46021</v>
      </c>
      <c r="C8343" s="1" t="n">
        <v>46045</v>
      </c>
      <c r="D8343" t="inlineStr">
        <is>
          <t>JÄMTLANDS LÄN</t>
        </is>
      </c>
      <c r="E8343" t="inlineStr">
        <is>
          <t>RAGUNDA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900-2026</t>
        </is>
      </c>
      <c r="B8344" s="1" t="n">
        <v>46030.46925925926</v>
      </c>
      <c r="C8344" s="1" t="n">
        <v>46045</v>
      </c>
      <c r="D8344" t="inlineStr">
        <is>
          <t>JÄMTLANDS LÄN</t>
        </is>
      </c>
      <c r="E8344" t="inlineStr">
        <is>
          <t>STRÖMSUND</t>
        </is>
      </c>
      <c r="F8344" t="inlineStr">
        <is>
          <t>SCA</t>
        </is>
      </c>
      <c r="G8344" t="n">
        <v>15.2</v>
      </c>
      <c r="H8344" t="n">
        <v>0</v>
      </c>
      <c r="I8344" t="n">
        <v>0</v>
      </c>
      <c r="J8344" t="n">
        <v>0</v>
      </c>
      <c r="K8344" t="n">
        <v>0</v>
      </c>
      <c r="L8344" t="n">
        <v>0</v>
      </c>
      <c r="M8344" t="n">
        <v>0</v>
      </c>
      <c r="N8344" t="n">
        <v>0</v>
      </c>
      <c r="O8344" t="n">
        <v>0</v>
      </c>
      <c r="P8344" t="n">
        <v>0</v>
      </c>
      <c r="Q8344" t="n">
        <v>0</v>
      </c>
      <c r="R8344" s="2" t="inlineStr"/>
    </row>
    <row r="8345" ht="15" customHeight="1">
      <c r="A8345" t="inlineStr">
        <is>
          <t>A 10133-2025</t>
        </is>
      </c>
      <c r="B8345" s="1" t="n">
        <v>45719</v>
      </c>
      <c r="C8345" s="1" t="n">
        <v>46045</v>
      </c>
      <c r="D8345" t="inlineStr">
        <is>
          <t>JÄMTLANDS LÄN</t>
        </is>
      </c>
      <c r="E8345" t="inlineStr">
        <is>
          <t>KROKOM</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55318-2024</t>
        </is>
      </c>
      <c r="B8346" s="1" t="n">
        <v>45621</v>
      </c>
      <c r="C8346" s="1" t="n">
        <v>46045</v>
      </c>
      <c r="D8346" t="inlineStr">
        <is>
          <t>JÄMTLANDS LÄN</t>
        </is>
      </c>
      <c r="E8346" t="inlineStr">
        <is>
          <t>HÄRJEDALEN</t>
        </is>
      </c>
      <c r="F8346" t="inlineStr">
        <is>
          <t>Bergvik skog väst AB</t>
        </is>
      </c>
      <c r="G8346" t="n">
        <v>136.1</v>
      </c>
      <c r="H8346" t="n">
        <v>0</v>
      </c>
      <c r="I8346" t="n">
        <v>0</v>
      </c>
      <c r="J8346" t="n">
        <v>0</v>
      </c>
      <c r="K8346" t="n">
        <v>0</v>
      </c>
      <c r="L8346" t="n">
        <v>0</v>
      </c>
      <c r="M8346" t="n">
        <v>0</v>
      </c>
      <c r="N8346" t="n">
        <v>0</v>
      </c>
      <c r="O8346" t="n">
        <v>0</v>
      </c>
      <c r="P8346" t="n">
        <v>0</v>
      </c>
      <c r="Q8346" t="n">
        <v>0</v>
      </c>
      <c r="R8346" s="2" t="inlineStr"/>
    </row>
    <row r="8347" ht="15" customHeight="1">
      <c r="A8347" t="inlineStr">
        <is>
          <t>A 59281-2025</t>
        </is>
      </c>
      <c r="B8347" s="1" t="n">
        <v>45988.7234375</v>
      </c>
      <c r="C8347" s="1" t="n">
        <v>46045</v>
      </c>
      <c r="D8347" t="inlineStr">
        <is>
          <t>JÄMTLANDS LÄN</t>
        </is>
      </c>
      <c r="E8347" t="inlineStr">
        <is>
          <t>BERG</t>
        </is>
      </c>
      <c r="G8347" t="n">
        <v>16.7</v>
      </c>
      <c r="H8347" t="n">
        <v>0</v>
      </c>
      <c r="I8347" t="n">
        <v>0</v>
      </c>
      <c r="J8347" t="n">
        <v>0</v>
      </c>
      <c r="K8347" t="n">
        <v>0</v>
      </c>
      <c r="L8347" t="n">
        <v>0</v>
      </c>
      <c r="M8347" t="n">
        <v>0</v>
      </c>
      <c r="N8347" t="n">
        <v>0</v>
      </c>
      <c r="O8347" t="n">
        <v>0</v>
      </c>
      <c r="P8347" t="n">
        <v>0</v>
      </c>
      <c r="Q8347" t="n">
        <v>0</v>
      </c>
      <c r="R8347" s="2" t="inlineStr"/>
    </row>
    <row r="8348" ht="15" customHeight="1">
      <c r="A8348" t="inlineStr">
        <is>
          <t>A 647-2026</t>
        </is>
      </c>
      <c r="B8348" s="1" t="n">
        <v>46029.57357638889</v>
      </c>
      <c r="C8348" s="1" t="n">
        <v>46045</v>
      </c>
      <c r="D8348" t="inlineStr">
        <is>
          <t>JÄMTLANDS LÄN</t>
        </is>
      </c>
      <c r="E8348" t="inlineStr">
        <is>
          <t>RAGUNDA</t>
        </is>
      </c>
      <c r="F8348" t="inlineStr">
        <is>
          <t>SCA</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33014-2025</t>
        </is>
      </c>
      <c r="B8349" s="1" t="n">
        <v>45840.36533564814</v>
      </c>
      <c r="C8349" s="1" t="n">
        <v>46045</v>
      </c>
      <c r="D8349" t="inlineStr">
        <is>
          <t>JÄMTLANDS LÄN</t>
        </is>
      </c>
      <c r="E8349" t="inlineStr">
        <is>
          <t>STRÖMSUND</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565-2026</t>
        </is>
      </c>
      <c r="B8350" s="1" t="n">
        <v>46029.46939814815</v>
      </c>
      <c r="C8350" s="1" t="n">
        <v>46045</v>
      </c>
      <c r="D8350" t="inlineStr">
        <is>
          <t>JÄMTLANDS LÄN</t>
        </is>
      </c>
      <c r="E8350" t="inlineStr">
        <is>
          <t>STRÖMSUND</t>
        </is>
      </c>
      <c r="F8350" t="inlineStr">
        <is>
          <t>SCA</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33235-2025</t>
        </is>
      </c>
      <c r="B8351" s="1" t="n">
        <v>45840.64394675926</v>
      </c>
      <c r="C8351" s="1" t="n">
        <v>46045</v>
      </c>
      <c r="D8351" t="inlineStr">
        <is>
          <t>JÄMTLANDS LÄN</t>
        </is>
      </c>
      <c r="E8351" t="inlineStr">
        <is>
          <t>HÄRJEDALEN</t>
        </is>
      </c>
      <c r="F8351" t="inlineStr">
        <is>
          <t>Bergvik skog väst AB</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568-2026</t>
        </is>
      </c>
      <c r="B8352" s="1" t="n">
        <v>46029.46987268519</v>
      </c>
      <c r="C8352" s="1" t="n">
        <v>46045</v>
      </c>
      <c r="D8352" t="inlineStr">
        <is>
          <t>JÄMTLANDS LÄN</t>
        </is>
      </c>
      <c r="E8352" t="inlineStr">
        <is>
          <t>BERG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58962-2025</t>
        </is>
      </c>
      <c r="B8353" s="1" t="n">
        <v>45987.5959375</v>
      </c>
      <c r="C8353" s="1" t="n">
        <v>46045</v>
      </c>
      <c r="D8353" t="inlineStr">
        <is>
          <t>JÄMTLANDS LÄN</t>
        </is>
      </c>
      <c r="E8353" t="inlineStr">
        <is>
          <t>STRÖMSUND</t>
        </is>
      </c>
      <c r="F8353" t="inlineStr">
        <is>
          <t>SCA</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58974-2025</t>
        </is>
      </c>
      <c r="B8354" s="1" t="n">
        <v>45987.61545138889</v>
      </c>
      <c r="C8354" s="1" t="n">
        <v>46045</v>
      </c>
      <c r="D8354" t="inlineStr">
        <is>
          <t>JÄMTLANDS LÄN</t>
        </is>
      </c>
      <c r="E8354" t="inlineStr">
        <is>
          <t>STRÖMSUND</t>
        </is>
      </c>
      <c r="F8354" t="inlineStr">
        <is>
          <t>SCA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32966-2025</t>
        </is>
      </c>
      <c r="B8355" s="1" t="n">
        <v>45839.72320601852</v>
      </c>
      <c r="C8355" s="1" t="n">
        <v>46045</v>
      </c>
      <c r="D8355" t="inlineStr">
        <is>
          <t>JÄMTLANDS LÄN</t>
        </is>
      </c>
      <c r="E8355" t="inlineStr">
        <is>
          <t>KROKOM</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32999-2025</t>
        </is>
      </c>
      <c r="B8356" s="1" t="n">
        <v>45840.34418981482</v>
      </c>
      <c r="C8356" s="1" t="n">
        <v>46045</v>
      </c>
      <c r="D8356" t="inlineStr">
        <is>
          <t>JÄMTLANDS LÄN</t>
        </is>
      </c>
      <c r="E8356" t="inlineStr">
        <is>
          <t>STRÖMSUND</t>
        </is>
      </c>
      <c r="F8356" t="inlineStr">
        <is>
          <t>SCA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496-2026</t>
        </is>
      </c>
      <c r="B8357" s="1" t="n">
        <v>46029.43114583333</v>
      </c>
      <c r="C8357" s="1" t="n">
        <v>46045</v>
      </c>
      <c r="D8357" t="inlineStr">
        <is>
          <t>JÄMTLANDS LÄN</t>
        </is>
      </c>
      <c r="E8357" t="inlineStr">
        <is>
          <t>BRÄCKE</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500-2026</t>
        </is>
      </c>
      <c r="B8358" s="1" t="n">
        <v>46029.43557870371</v>
      </c>
      <c r="C8358" s="1" t="n">
        <v>46045</v>
      </c>
      <c r="D8358" t="inlineStr">
        <is>
          <t>JÄMTLANDS LÄN</t>
        </is>
      </c>
      <c r="E8358" t="inlineStr">
        <is>
          <t>ÅRE</t>
        </is>
      </c>
      <c r="F8358" t="inlineStr">
        <is>
          <t>Övriga Aktiebolag</t>
        </is>
      </c>
      <c r="G8358" t="n">
        <v>8.5</v>
      </c>
      <c r="H8358" t="n">
        <v>0</v>
      </c>
      <c r="I8358" t="n">
        <v>0</v>
      </c>
      <c r="J8358" t="n">
        <v>0</v>
      </c>
      <c r="K8358" t="n">
        <v>0</v>
      </c>
      <c r="L8358" t="n">
        <v>0</v>
      </c>
      <c r="M8358" t="n">
        <v>0</v>
      </c>
      <c r="N8358" t="n">
        <v>0</v>
      </c>
      <c r="O8358" t="n">
        <v>0</v>
      </c>
      <c r="P8358" t="n">
        <v>0</v>
      </c>
      <c r="Q8358" t="n">
        <v>0</v>
      </c>
      <c r="R8358" s="2" t="inlineStr"/>
    </row>
    <row r="8359" ht="15" customHeight="1">
      <c r="A8359" t="inlineStr">
        <is>
          <t>A 32472-2025</t>
        </is>
      </c>
      <c r="B8359" s="1" t="n">
        <v>45838.42770833334</v>
      </c>
      <c r="C8359" s="1" t="n">
        <v>46045</v>
      </c>
      <c r="D8359" t="inlineStr">
        <is>
          <t>JÄMTLANDS LÄN</t>
        </is>
      </c>
      <c r="E8359" t="inlineStr">
        <is>
          <t>STRÖMSUND</t>
        </is>
      </c>
      <c r="F8359" t="inlineStr">
        <is>
          <t>SCA</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32898-2025</t>
        </is>
      </c>
      <c r="B8360" s="1" t="n">
        <v>45839.61582175926</v>
      </c>
      <c r="C8360" s="1" t="n">
        <v>46045</v>
      </c>
      <c r="D8360" t="inlineStr">
        <is>
          <t>JÄMTLANDS LÄN</t>
        </is>
      </c>
      <c r="E8360" t="inlineStr">
        <is>
          <t>KROKOM</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32899-2025</t>
        </is>
      </c>
      <c r="B8361" s="1" t="n">
        <v>45839.61594907408</v>
      </c>
      <c r="C8361" s="1" t="n">
        <v>46045</v>
      </c>
      <c r="D8361" t="inlineStr">
        <is>
          <t>JÄMTLANDS LÄN</t>
        </is>
      </c>
      <c r="E8361" t="inlineStr">
        <is>
          <t>KROKOM</t>
        </is>
      </c>
      <c r="F8361" t="inlineStr">
        <is>
          <t>SCA</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28403-2025</t>
        </is>
      </c>
      <c r="B8362" s="1" t="n">
        <v>45819</v>
      </c>
      <c r="C8362" s="1" t="n">
        <v>46045</v>
      </c>
      <c r="D8362" t="inlineStr">
        <is>
          <t>JÄMTLANDS LÄN</t>
        </is>
      </c>
      <c r="E8362" t="inlineStr">
        <is>
          <t>BERG</t>
        </is>
      </c>
      <c r="F8362" t="inlineStr">
        <is>
          <t>SCA</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59161-2025</t>
        </is>
      </c>
      <c r="B8363" s="1" t="n">
        <v>45988.55300925926</v>
      </c>
      <c r="C8363" s="1" t="n">
        <v>46045</v>
      </c>
      <c r="D8363" t="inlineStr">
        <is>
          <t>JÄMTLANDS LÄN</t>
        </is>
      </c>
      <c r="E8363" t="inlineStr">
        <is>
          <t>ÅRE</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39493-2023</t>
        </is>
      </c>
      <c r="B8364" s="1" t="n">
        <v>45166.9569675926</v>
      </c>
      <c r="C8364" s="1" t="n">
        <v>46045</v>
      </c>
      <c r="D8364" t="inlineStr">
        <is>
          <t>JÄMTLANDS LÄN</t>
        </is>
      </c>
      <c r="E8364" t="inlineStr">
        <is>
          <t>ÖSTERSUND</t>
        </is>
      </c>
      <c r="F8364" t="inlineStr">
        <is>
          <t>SCA</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33264-2025</t>
        </is>
      </c>
      <c r="B8365" s="1" t="n">
        <v>45840.67819444444</v>
      </c>
      <c r="C8365" s="1" t="n">
        <v>46045</v>
      </c>
      <c r="D8365" t="inlineStr">
        <is>
          <t>JÄMTLANDS LÄN</t>
        </is>
      </c>
      <c r="E8365" t="inlineStr">
        <is>
          <t>STRÖMSUND</t>
        </is>
      </c>
      <c r="F8365" t="inlineStr">
        <is>
          <t>SCA</t>
        </is>
      </c>
      <c r="G8365" t="n">
        <v>13.4</v>
      </c>
      <c r="H8365" t="n">
        <v>0</v>
      </c>
      <c r="I8365" t="n">
        <v>0</v>
      </c>
      <c r="J8365" t="n">
        <v>0</v>
      </c>
      <c r="K8365" t="n">
        <v>0</v>
      </c>
      <c r="L8365" t="n">
        <v>0</v>
      </c>
      <c r="M8365" t="n">
        <v>0</v>
      </c>
      <c r="N8365" t="n">
        <v>0</v>
      </c>
      <c r="O8365" t="n">
        <v>0</v>
      </c>
      <c r="P8365" t="n">
        <v>0</v>
      </c>
      <c r="Q8365" t="n">
        <v>0</v>
      </c>
      <c r="R8365" s="2" t="inlineStr"/>
    </row>
    <row r="8366" ht="15" customHeight="1">
      <c r="A8366" t="inlineStr">
        <is>
          <t>A 32706-2025</t>
        </is>
      </c>
      <c r="B8366" s="1" t="n">
        <v>45839.36495370371</v>
      </c>
      <c r="C8366" s="1" t="n">
        <v>46045</v>
      </c>
      <c r="D8366" t="inlineStr">
        <is>
          <t>JÄMTLANDS LÄN</t>
        </is>
      </c>
      <c r="E8366" t="inlineStr">
        <is>
          <t>STRÖMSUND</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32713-2025</t>
        </is>
      </c>
      <c r="B8367" s="1" t="n">
        <v>45839.36935185185</v>
      </c>
      <c r="C8367" s="1" t="n">
        <v>46045</v>
      </c>
      <c r="D8367" t="inlineStr">
        <is>
          <t>JÄMTLANDS LÄN</t>
        </is>
      </c>
      <c r="E8367" t="inlineStr">
        <is>
          <t>BERG</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59285-2025</t>
        </is>
      </c>
      <c r="B8368" s="1" t="n">
        <v>45988.73943287037</v>
      </c>
      <c r="C8368" s="1" t="n">
        <v>46045</v>
      </c>
      <c r="D8368" t="inlineStr">
        <is>
          <t>JÄMTLANDS LÄN</t>
        </is>
      </c>
      <c r="E8368" t="inlineStr">
        <is>
          <t>BRÄCKE</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59085-2025</t>
        </is>
      </c>
      <c r="B8369" s="1" t="n">
        <v>45988.44043981482</v>
      </c>
      <c r="C8369" s="1" t="n">
        <v>46045</v>
      </c>
      <c r="D8369" t="inlineStr">
        <is>
          <t>JÄMTLANDS LÄN</t>
        </is>
      </c>
      <c r="E8369" t="inlineStr">
        <is>
          <t>STRÖMSUND</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32699-2025</t>
        </is>
      </c>
      <c r="B8370" s="1" t="n">
        <v>45839.34450231482</v>
      </c>
      <c r="C8370" s="1" t="n">
        <v>46045</v>
      </c>
      <c r="D8370" t="inlineStr">
        <is>
          <t>JÄMTLANDS LÄN</t>
        </is>
      </c>
      <c r="E8370" t="inlineStr">
        <is>
          <t>STRÖMSUND</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32751-2025</t>
        </is>
      </c>
      <c r="B8371" s="1" t="n">
        <v>45839.42864583333</v>
      </c>
      <c r="C8371" s="1" t="n">
        <v>46045</v>
      </c>
      <c r="D8371" t="inlineStr">
        <is>
          <t>JÄMTLANDS LÄN</t>
        </is>
      </c>
      <c r="E8371" t="inlineStr">
        <is>
          <t>RAGUNDA</t>
        </is>
      </c>
      <c r="F8371" t="inlineStr">
        <is>
          <t>SCA</t>
        </is>
      </c>
      <c r="G8371" t="n">
        <v>10</v>
      </c>
      <c r="H8371" t="n">
        <v>0</v>
      </c>
      <c r="I8371" t="n">
        <v>0</v>
      </c>
      <c r="J8371" t="n">
        <v>0</v>
      </c>
      <c r="K8371" t="n">
        <v>0</v>
      </c>
      <c r="L8371" t="n">
        <v>0</v>
      </c>
      <c r="M8371" t="n">
        <v>0</v>
      </c>
      <c r="N8371" t="n">
        <v>0</v>
      </c>
      <c r="O8371" t="n">
        <v>0</v>
      </c>
      <c r="P8371" t="n">
        <v>0</v>
      </c>
      <c r="Q8371" t="n">
        <v>0</v>
      </c>
      <c r="R8371" s="2" t="inlineStr"/>
    </row>
    <row r="8372" ht="15" customHeight="1">
      <c r="A8372" t="inlineStr">
        <is>
          <t>A 59210-2025</t>
        </is>
      </c>
      <c r="B8372" s="1" t="n">
        <v>45988.61516203704</v>
      </c>
      <c r="C8372" s="1" t="n">
        <v>46045</v>
      </c>
      <c r="D8372" t="inlineStr">
        <is>
          <t>JÄMTLANDS LÄN</t>
        </is>
      </c>
      <c r="E8372" t="inlineStr">
        <is>
          <t>BERG</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32732-2025</t>
        </is>
      </c>
      <c r="B8373" s="1" t="n">
        <v>45839.40679398148</v>
      </c>
      <c r="C8373" s="1" t="n">
        <v>46045</v>
      </c>
      <c r="D8373" t="inlineStr">
        <is>
          <t>JÄMTLANDS LÄN</t>
        </is>
      </c>
      <c r="E8373" t="inlineStr">
        <is>
          <t>STRÖMSUND</t>
        </is>
      </c>
      <c r="F8373" t="inlineStr">
        <is>
          <t>SCA</t>
        </is>
      </c>
      <c r="G8373" t="n">
        <v>7.4</v>
      </c>
      <c r="H8373" t="n">
        <v>0</v>
      </c>
      <c r="I8373" t="n">
        <v>0</v>
      </c>
      <c r="J8373" t="n">
        <v>0</v>
      </c>
      <c r="K8373" t="n">
        <v>0</v>
      </c>
      <c r="L8373" t="n">
        <v>0</v>
      </c>
      <c r="M8373" t="n">
        <v>0</v>
      </c>
      <c r="N8373" t="n">
        <v>0</v>
      </c>
      <c r="O8373" t="n">
        <v>0</v>
      </c>
      <c r="P8373" t="n">
        <v>0</v>
      </c>
      <c r="Q8373" t="n">
        <v>0</v>
      </c>
      <c r="R8373" s="2" t="inlineStr"/>
    </row>
    <row r="8374" ht="15" customHeight="1">
      <c r="A8374" t="inlineStr">
        <is>
          <t>A 32846-2025</t>
        </is>
      </c>
      <c r="B8374" s="1" t="n">
        <v>45839.57331018519</v>
      </c>
      <c r="C8374" s="1" t="n">
        <v>46045</v>
      </c>
      <c r="D8374" t="inlineStr">
        <is>
          <t>JÄMTLANDS LÄN</t>
        </is>
      </c>
      <c r="E8374" t="inlineStr">
        <is>
          <t>RAGUNDA</t>
        </is>
      </c>
      <c r="F8374" t="inlineStr">
        <is>
          <t>SCA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14812-2024</t>
        </is>
      </c>
      <c r="B8375" s="1" t="n">
        <v>45397</v>
      </c>
      <c r="C8375" s="1" t="n">
        <v>46045</v>
      </c>
      <c r="D8375" t="inlineStr">
        <is>
          <t>JÄMTLANDS LÄN</t>
        </is>
      </c>
      <c r="E8375" t="inlineStr">
        <is>
          <t>STRÖMSUND</t>
        </is>
      </c>
      <c r="F8375" t="inlineStr">
        <is>
          <t>SCA</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33140-2025</t>
        </is>
      </c>
      <c r="B8376" s="1" t="n">
        <v>45840.52225694444</v>
      </c>
      <c r="C8376" s="1" t="n">
        <v>46045</v>
      </c>
      <c r="D8376" t="inlineStr">
        <is>
          <t>JÄMTLANDS LÄN</t>
        </is>
      </c>
      <c r="E8376" t="inlineStr">
        <is>
          <t>RAGUNDA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34344-2024</t>
        </is>
      </c>
      <c r="B8377" s="1" t="n">
        <v>45525</v>
      </c>
      <c r="C8377" s="1" t="n">
        <v>46045</v>
      </c>
      <c r="D8377" t="inlineStr">
        <is>
          <t>JÄMTLANDS LÄN</t>
        </is>
      </c>
      <c r="E8377" t="inlineStr">
        <is>
          <t>STRÖMSUND</t>
        </is>
      </c>
      <c r="F8377" t="inlineStr">
        <is>
          <t>Holmen skog AB</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59116-2025</t>
        </is>
      </c>
      <c r="B8378" s="1" t="n">
        <v>45988.49009259259</v>
      </c>
      <c r="C8378" s="1" t="n">
        <v>46045</v>
      </c>
      <c r="D8378" t="inlineStr">
        <is>
          <t>JÄMTLANDS LÄN</t>
        </is>
      </c>
      <c r="E8378" t="inlineStr">
        <is>
          <t>HÄRJEDALEN</t>
        </is>
      </c>
      <c r="G8378" t="n">
        <v>10.5</v>
      </c>
      <c r="H8378" t="n">
        <v>0</v>
      </c>
      <c r="I8378" t="n">
        <v>0</v>
      </c>
      <c r="J8378" t="n">
        <v>0</v>
      </c>
      <c r="K8378" t="n">
        <v>0</v>
      </c>
      <c r="L8378" t="n">
        <v>0</v>
      </c>
      <c r="M8378" t="n">
        <v>0</v>
      </c>
      <c r="N8378" t="n">
        <v>0</v>
      </c>
      <c r="O8378" t="n">
        <v>0</v>
      </c>
      <c r="P8378" t="n">
        <v>0</v>
      </c>
      <c r="Q8378" t="n">
        <v>0</v>
      </c>
      <c r="R8378" s="2" t="inlineStr"/>
    </row>
    <row r="8379" ht="15" customHeight="1">
      <c r="A8379" t="inlineStr">
        <is>
          <t>A 59118-2025</t>
        </is>
      </c>
      <c r="B8379" s="1" t="n">
        <v>45988.49023148148</v>
      </c>
      <c r="C8379" s="1" t="n">
        <v>46045</v>
      </c>
      <c r="D8379" t="inlineStr">
        <is>
          <t>JÄMTLANDS LÄN</t>
        </is>
      </c>
      <c r="E8379" t="inlineStr">
        <is>
          <t>HÄRJEDALEN</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59213-2025</t>
        </is>
      </c>
      <c r="B8380" s="1" t="n">
        <v>45988.61596064815</v>
      </c>
      <c r="C8380" s="1" t="n">
        <v>46045</v>
      </c>
      <c r="D8380" t="inlineStr">
        <is>
          <t>JÄMTLANDS LÄN</t>
        </is>
      </c>
      <c r="E8380" t="inlineStr">
        <is>
          <t>STRÖMSUND</t>
        </is>
      </c>
      <c r="F8380" t="inlineStr">
        <is>
          <t>SCA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59217-2025</t>
        </is>
      </c>
      <c r="B8381" s="1" t="n">
        <v>45988.61693287037</v>
      </c>
      <c r="C8381" s="1" t="n">
        <v>46045</v>
      </c>
      <c r="D8381" t="inlineStr">
        <is>
          <t>JÄMTLANDS LÄN</t>
        </is>
      </c>
      <c r="E8381" t="inlineStr">
        <is>
          <t>STRÖMSUND</t>
        </is>
      </c>
      <c r="F8381" t="inlineStr">
        <is>
          <t>SCA</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33055-2025</t>
        </is>
      </c>
      <c r="B8382" s="1" t="n">
        <v>45840.42765046296</v>
      </c>
      <c r="C8382" s="1" t="n">
        <v>46045</v>
      </c>
      <c r="D8382" t="inlineStr">
        <is>
          <t>JÄMTLANDS LÄN</t>
        </is>
      </c>
      <c r="E8382" t="inlineStr">
        <is>
          <t>STRÖMSUND</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33956-2025</t>
        </is>
      </c>
      <c r="B8383" s="1" t="n">
        <v>45842.67746527777</v>
      </c>
      <c r="C8383" s="1" t="n">
        <v>46045</v>
      </c>
      <c r="D8383" t="inlineStr">
        <is>
          <t>JÄMTLANDS LÄN</t>
        </is>
      </c>
      <c r="E8383" t="inlineStr">
        <is>
          <t>BRÄCKE</t>
        </is>
      </c>
      <c r="F8383" t="inlineStr">
        <is>
          <t>SCA</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631-2026</t>
        </is>
      </c>
      <c r="B8384" s="1" t="n">
        <v>46029.55525462963</v>
      </c>
      <c r="C8384" s="1" t="n">
        <v>46045</v>
      </c>
      <c r="D8384" t="inlineStr">
        <is>
          <t>JÄMTLANDS LÄN</t>
        </is>
      </c>
      <c r="E8384" t="inlineStr">
        <is>
          <t>STRÖMSUND</t>
        </is>
      </c>
      <c r="G8384" t="n">
        <v>7.9</v>
      </c>
      <c r="H8384" t="n">
        <v>0</v>
      </c>
      <c r="I8384" t="n">
        <v>0</v>
      </c>
      <c r="J8384" t="n">
        <v>0</v>
      </c>
      <c r="K8384" t="n">
        <v>0</v>
      </c>
      <c r="L8384" t="n">
        <v>0</v>
      </c>
      <c r="M8384" t="n">
        <v>0</v>
      </c>
      <c r="N8384" t="n">
        <v>0</v>
      </c>
      <c r="O8384" t="n">
        <v>0</v>
      </c>
      <c r="P8384" t="n">
        <v>0</v>
      </c>
      <c r="Q8384" t="n">
        <v>0</v>
      </c>
      <c r="R8384" s="2" t="inlineStr"/>
    </row>
    <row r="8385" ht="15" customHeight="1">
      <c r="A8385" t="inlineStr">
        <is>
          <t>A 54502-2024</t>
        </is>
      </c>
      <c r="B8385" s="1" t="n">
        <v>45617</v>
      </c>
      <c r="C8385" s="1" t="n">
        <v>46045</v>
      </c>
      <c r="D8385" t="inlineStr">
        <is>
          <t>JÄMTLANDS LÄN</t>
        </is>
      </c>
      <c r="E8385" t="inlineStr">
        <is>
          <t>HÄRJEDALEN</t>
        </is>
      </c>
      <c r="F8385" t="inlineStr">
        <is>
          <t>Holmen skog AB</t>
        </is>
      </c>
      <c r="G8385" t="n">
        <v>8.4</v>
      </c>
      <c r="H8385" t="n">
        <v>0</v>
      </c>
      <c r="I8385" t="n">
        <v>0</v>
      </c>
      <c r="J8385" t="n">
        <v>0</v>
      </c>
      <c r="K8385" t="n">
        <v>0</v>
      </c>
      <c r="L8385" t="n">
        <v>0</v>
      </c>
      <c r="M8385" t="n">
        <v>0</v>
      </c>
      <c r="N8385" t="n">
        <v>0</v>
      </c>
      <c r="O8385" t="n">
        <v>0</v>
      </c>
      <c r="P8385" t="n">
        <v>0</v>
      </c>
      <c r="Q8385" t="n">
        <v>0</v>
      </c>
      <c r="R8385" s="2" t="inlineStr"/>
    </row>
    <row r="8386" ht="15" customHeight="1">
      <c r="A8386" t="inlineStr">
        <is>
          <t>A 58972-2025</t>
        </is>
      </c>
      <c r="B8386" s="1" t="n">
        <v>45987</v>
      </c>
      <c r="C8386" s="1" t="n">
        <v>46045</v>
      </c>
      <c r="D8386" t="inlineStr">
        <is>
          <t>JÄMTLANDS LÄN</t>
        </is>
      </c>
      <c r="E8386" t="inlineStr">
        <is>
          <t>BRÄCKE</t>
        </is>
      </c>
      <c r="F8386" t="inlineStr">
        <is>
          <t>SCA</t>
        </is>
      </c>
      <c r="G8386" t="n">
        <v>8.800000000000001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998-2026</t>
        </is>
      </c>
      <c r="B8387" s="1" t="n">
        <v>46030.59447916667</v>
      </c>
      <c r="C8387" s="1" t="n">
        <v>46045</v>
      </c>
      <c r="D8387" t="inlineStr">
        <is>
          <t>JÄMTLANDS LÄN</t>
        </is>
      </c>
      <c r="E8387" t="inlineStr">
        <is>
          <t>BRÄCKE</t>
        </is>
      </c>
      <c r="F8387" t="inlineStr">
        <is>
          <t>SCA</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33677-2025</t>
        </is>
      </c>
      <c r="B8388" s="1" t="n">
        <v>45841.67834490741</v>
      </c>
      <c r="C8388" s="1" t="n">
        <v>46045</v>
      </c>
      <c r="D8388" t="inlineStr">
        <is>
          <t>JÄMTLANDS LÄN</t>
        </is>
      </c>
      <c r="E8388" t="inlineStr">
        <is>
          <t>KROKOM</t>
        </is>
      </c>
      <c r="F8388" t="inlineStr">
        <is>
          <t>SCA</t>
        </is>
      </c>
      <c r="G8388" t="n">
        <v>13.7</v>
      </c>
      <c r="H8388" t="n">
        <v>0</v>
      </c>
      <c r="I8388" t="n">
        <v>0</v>
      </c>
      <c r="J8388" t="n">
        <v>0</v>
      </c>
      <c r="K8388" t="n">
        <v>0</v>
      </c>
      <c r="L8388" t="n">
        <v>0</v>
      </c>
      <c r="M8388" t="n">
        <v>0</v>
      </c>
      <c r="N8388" t="n">
        <v>0</v>
      </c>
      <c r="O8388" t="n">
        <v>0</v>
      </c>
      <c r="P8388" t="n">
        <v>0</v>
      </c>
      <c r="Q8388" t="n">
        <v>0</v>
      </c>
      <c r="R8388" s="2" t="inlineStr"/>
    </row>
    <row r="8389" ht="15" customHeight="1">
      <c r="A8389" t="inlineStr">
        <is>
          <t>A 493-2026</t>
        </is>
      </c>
      <c r="B8389" s="1" t="n">
        <v>46029.42780092593</v>
      </c>
      <c r="C8389" s="1" t="n">
        <v>46045</v>
      </c>
      <c r="D8389" t="inlineStr">
        <is>
          <t>JÄMTLANDS LÄN</t>
        </is>
      </c>
      <c r="E8389" t="inlineStr">
        <is>
          <t>STRÖMSUND</t>
        </is>
      </c>
      <c r="F8389" t="inlineStr">
        <is>
          <t>SCA</t>
        </is>
      </c>
      <c r="G8389" t="n">
        <v>20.8</v>
      </c>
      <c r="H8389" t="n">
        <v>0</v>
      </c>
      <c r="I8389" t="n">
        <v>0</v>
      </c>
      <c r="J8389" t="n">
        <v>0</v>
      </c>
      <c r="K8389" t="n">
        <v>0</v>
      </c>
      <c r="L8389" t="n">
        <v>0</v>
      </c>
      <c r="M8389" t="n">
        <v>0</v>
      </c>
      <c r="N8389" t="n">
        <v>0</v>
      </c>
      <c r="O8389" t="n">
        <v>0</v>
      </c>
      <c r="P8389" t="n">
        <v>0</v>
      </c>
      <c r="Q8389" t="n">
        <v>0</v>
      </c>
      <c r="R8389" s="2" t="inlineStr"/>
    </row>
    <row r="8390" ht="15" customHeight="1">
      <c r="A8390" t="inlineStr">
        <is>
          <t>A 566-2026</t>
        </is>
      </c>
      <c r="B8390" s="1" t="n">
        <v>46029.46950231482</v>
      </c>
      <c r="C8390" s="1" t="n">
        <v>46045</v>
      </c>
      <c r="D8390" t="inlineStr">
        <is>
          <t>JÄMTLANDS LÄN</t>
        </is>
      </c>
      <c r="E8390" t="inlineStr">
        <is>
          <t>STRÖMSUND</t>
        </is>
      </c>
      <c r="G8390" t="n">
        <v>14.6</v>
      </c>
      <c r="H8390" t="n">
        <v>0</v>
      </c>
      <c r="I8390" t="n">
        <v>0</v>
      </c>
      <c r="J8390" t="n">
        <v>0</v>
      </c>
      <c r="K8390" t="n">
        <v>0</v>
      </c>
      <c r="L8390" t="n">
        <v>0</v>
      </c>
      <c r="M8390" t="n">
        <v>0</v>
      </c>
      <c r="N8390" t="n">
        <v>0</v>
      </c>
      <c r="O8390" t="n">
        <v>0</v>
      </c>
      <c r="P8390" t="n">
        <v>0</v>
      </c>
      <c r="Q8390" t="n">
        <v>0</v>
      </c>
      <c r="R8390" s="2" t="inlineStr"/>
    </row>
    <row r="8391" ht="15" customHeight="1">
      <c r="A8391" t="inlineStr">
        <is>
          <t>A 58983-2025</t>
        </is>
      </c>
      <c r="B8391" s="1" t="n">
        <v>45987.63885416667</v>
      </c>
      <c r="C8391" s="1" t="n">
        <v>46045</v>
      </c>
      <c r="D8391" t="inlineStr">
        <is>
          <t>JÄMTLANDS LÄN</t>
        </is>
      </c>
      <c r="E8391" t="inlineStr">
        <is>
          <t>ÅRE</t>
        </is>
      </c>
      <c r="G8391" t="n">
        <v>9.9</v>
      </c>
      <c r="H8391" t="n">
        <v>0</v>
      </c>
      <c r="I8391" t="n">
        <v>0</v>
      </c>
      <c r="J8391" t="n">
        <v>0</v>
      </c>
      <c r="K8391" t="n">
        <v>0</v>
      </c>
      <c r="L8391" t="n">
        <v>0</v>
      </c>
      <c r="M8391" t="n">
        <v>0</v>
      </c>
      <c r="N8391" t="n">
        <v>0</v>
      </c>
      <c r="O8391" t="n">
        <v>0</v>
      </c>
      <c r="P8391" t="n">
        <v>0</v>
      </c>
      <c r="Q8391" t="n">
        <v>0</v>
      </c>
      <c r="R8391" s="2" t="inlineStr"/>
    </row>
    <row r="8392" ht="15" customHeight="1">
      <c r="A8392" t="inlineStr">
        <is>
          <t>A 33690-2025</t>
        </is>
      </c>
      <c r="B8392" s="1" t="n">
        <v>45841.69273148148</v>
      </c>
      <c r="C8392" s="1" t="n">
        <v>46045</v>
      </c>
      <c r="D8392" t="inlineStr">
        <is>
          <t>JÄMTLANDS LÄN</t>
        </is>
      </c>
      <c r="E8392" t="inlineStr">
        <is>
          <t>HÄRJEDALEN</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502-2026</t>
        </is>
      </c>
      <c r="B8393" s="1" t="n">
        <v>46029.43747685185</v>
      </c>
      <c r="C8393" s="1" t="n">
        <v>46045</v>
      </c>
      <c r="D8393" t="inlineStr">
        <is>
          <t>JÄMTLANDS LÄN</t>
        </is>
      </c>
      <c r="E8393" t="inlineStr">
        <is>
          <t>KROKOM</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504-2026</t>
        </is>
      </c>
      <c r="B8394" s="1" t="n">
        <v>46029.43922453704</v>
      </c>
      <c r="C8394" s="1" t="n">
        <v>46045</v>
      </c>
      <c r="D8394" t="inlineStr">
        <is>
          <t>JÄMTLANDS LÄN</t>
        </is>
      </c>
      <c r="E8394" t="inlineStr">
        <is>
          <t>KROKOM</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65209-2023</t>
        </is>
      </c>
      <c r="B8395" s="1" t="n">
        <v>45289</v>
      </c>
      <c r="C8395" s="1" t="n">
        <v>46045</v>
      </c>
      <c r="D8395" t="inlineStr">
        <is>
          <t>JÄMTLANDS LÄN</t>
        </is>
      </c>
      <c r="E8395" t="inlineStr">
        <is>
          <t>BERG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33326-2025</t>
        </is>
      </c>
      <c r="B8396" s="1" t="n">
        <v>45841.34584490741</v>
      </c>
      <c r="C8396" s="1" t="n">
        <v>46045</v>
      </c>
      <c r="D8396" t="inlineStr">
        <is>
          <t>JÄMTLANDS LÄN</t>
        </is>
      </c>
      <c r="E8396" t="inlineStr">
        <is>
          <t>STRÖMSUND</t>
        </is>
      </c>
      <c r="F8396" t="inlineStr">
        <is>
          <t>SCA</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33358-2025</t>
        </is>
      </c>
      <c r="B8397" s="1" t="n">
        <v>45841.38054398148</v>
      </c>
      <c r="C8397" s="1" t="n">
        <v>46045</v>
      </c>
      <c r="D8397" t="inlineStr">
        <is>
          <t>JÄMTLANDS LÄN</t>
        </is>
      </c>
      <c r="E8397" t="inlineStr">
        <is>
          <t>ÖSTERSUND</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33854-2025</t>
        </is>
      </c>
      <c r="B8398" s="1" t="n">
        <v>45842.51112268519</v>
      </c>
      <c r="C8398" s="1" t="n">
        <v>46045</v>
      </c>
      <c r="D8398" t="inlineStr">
        <is>
          <t>JÄMTLANDS LÄN</t>
        </is>
      </c>
      <c r="E8398" t="inlineStr">
        <is>
          <t>BRÄCKE</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59424-2025</t>
        </is>
      </c>
      <c r="B8399" s="1" t="n">
        <v>45989.53782407408</v>
      </c>
      <c r="C8399" s="1" t="n">
        <v>46045</v>
      </c>
      <c r="D8399" t="inlineStr">
        <is>
          <t>JÄMTLANDS LÄN</t>
        </is>
      </c>
      <c r="E8399" t="inlineStr">
        <is>
          <t>BERG</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33753-2025</t>
        </is>
      </c>
      <c r="B8400" s="1" t="n">
        <v>45842.37199074074</v>
      </c>
      <c r="C8400" s="1" t="n">
        <v>46045</v>
      </c>
      <c r="D8400" t="inlineStr">
        <is>
          <t>JÄMTLANDS LÄN</t>
        </is>
      </c>
      <c r="E8400" t="inlineStr">
        <is>
          <t>BERG</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59509-2025</t>
        </is>
      </c>
      <c r="B8401" s="1" t="n">
        <v>45989.64364583333</v>
      </c>
      <c r="C8401" s="1" t="n">
        <v>46045</v>
      </c>
      <c r="D8401" t="inlineStr">
        <is>
          <t>JÄMTLANDS LÄN</t>
        </is>
      </c>
      <c r="E8401" t="inlineStr">
        <is>
          <t>HÄRJEDALEN</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33777-2025</t>
        </is>
      </c>
      <c r="B8402" s="1" t="n">
        <v>45842.39587962963</v>
      </c>
      <c r="C8402" s="1" t="n">
        <v>46045</v>
      </c>
      <c r="D8402" t="inlineStr">
        <is>
          <t>JÄMTLANDS LÄN</t>
        </is>
      </c>
      <c r="E8402" t="inlineStr">
        <is>
          <t>KROKOM</t>
        </is>
      </c>
      <c r="F8402" t="inlineStr">
        <is>
          <t>Övriga Aktiebolag</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33779-2025</t>
        </is>
      </c>
      <c r="B8403" s="1" t="n">
        <v>45842.40013888889</v>
      </c>
      <c r="C8403" s="1" t="n">
        <v>46045</v>
      </c>
      <c r="D8403" t="inlineStr">
        <is>
          <t>JÄMTLANDS LÄN</t>
        </is>
      </c>
      <c r="E8403" t="inlineStr">
        <is>
          <t>KROKOM</t>
        </is>
      </c>
      <c r="F8403" t="inlineStr">
        <is>
          <t>Övriga Aktiebolag</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59542-2025</t>
        </is>
      </c>
      <c r="B8404" s="1" t="n">
        <v>45990.34454861111</v>
      </c>
      <c r="C8404" s="1" t="n">
        <v>46045</v>
      </c>
      <c r="D8404" t="inlineStr">
        <is>
          <t>JÄMTLANDS LÄN</t>
        </is>
      </c>
      <c r="E8404" t="inlineStr">
        <is>
          <t>BRÄCKE</t>
        </is>
      </c>
      <c r="F8404" t="inlineStr">
        <is>
          <t>SCA</t>
        </is>
      </c>
      <c r="G8404" t="n">
        <v>9.9</v>
      </c>
      <c r="H8404" t="n">
        <v>0</v>
      </c>
      <c r="I8404" t="n">
        <v>0</v>
      </c>
      <c r="J8404" t="n">
        <v>0</v>
      </c>
      <c r="K8404" t="n">
        <v>0</v>
      </c>
      <c r="L8404" t="n">
        <v>0</v>
      </c>
      <c r="M8404" t="n">
        <v>0</v>
      </c>
      <c r="N8404" t="n">
        <v>0</v>
      </c>
      <c r="O8404" t="n">
        <v>0</v>
      </c>
      <c r="P8404" t="n">
        <v>0</v>
      </c>
      <c r="Q8404" t="n">
        <v>0</v>
      </c>
      <c r="R8404" s="2" t="inlineStr"/>
    </row>
    <row r="8405" ht="15" customHeight="1">
      <c r="A8405" t="inlineStr">
        <is>
          <t>A 59545-2025</t>
        </is>
      </c>
      <c r="B8405" s="1" t="n">
        <v>45990.34488425926</v>
      </c>
      <c r="C8405" s="1" t="n">
        <v>46045</v>
      </c>
      <c r="D8405" t="inlineStr">
        <is>
          <t>JÄMTLANDS LÄN</t>
        </is>
      </c>
      <c r="E8405" t="inlineStr">
        <is>
          <t>BRÄCKE</t>
        </is>
      </c>
      <c r="F8405" t="inlineStr">
        <is>
          <t>SCA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33447-2025</t>
        </is>
      </c>
      <c r="B8406" s="1" t="n">
        <v>45841.46512731481</v>
      </c>
      <c r="C8406" s="1" t="n">
        <v>46045</v>
      </c>
      <c r="D8406" t="inlineStr">
        <is>
          <t>JÄMTLANDS LÄN</t>
        </is>
      </c>
      <c r="E8406" t="inlineStr">
        <is>
          <t>HÄRJEDALEN</t>
        </is>
      </c>
      <c r="F8406" t="inlineStr">
        <is>
          <t>Bergvik skog väst AB</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1189-2026</t>
        </is>
      </c>
      <c r="B8407" s="1" t="n">
        <v>46031.3650462963</v>
      </c>
      <c r="C8407" s="1" t="n">
        <v>46045</v>
      </c>
      <c r="D8407" t="inlineStr">
        <is>
          <t>JÄMTLANDS LÄN</t>
        </is>
      </c>
      <c r="E8407" t="inlineStr">
        <is>
          <t>STRÖMSUND</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1227-2026</t>
        </is>
      </c>
      <c r="B8408" s="1" t="n">
        <v>46031.40693287037</v>
      </c>
      <c r="C8408" s="1" t="n">
        <v>46045</v>
      </c>
      <c r="D8408" t="inlineStr">
        <is>
          <t>JÄMTLANDS LÄN</t>
        </is>
      </c>
      <c r="E8408" t="inlineStr">
        <is>
          <t>BRÄCKE</t>
        </is>
      </c>
      <c r="F8408" t="inlineStr">
        <is>
          <t>SCA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33756-2025</t>
        </is>
      </c>
      <c r="B8409" s="1" t="n">
        <v>45842.37733796296</v>
      </c>
      <c r="C8409" s="1" t="n">
        <v>46045</v>
      </c>
      <c r="D8409" t="inlineStr">
        <is>
          <t>JÄMTLANDS LÄN</t>
        </is>
      </c>
      <c r="E8409" t="inlineStr">
        <is>
          <t>STRÖMSUND</t>
        </is>
      </c>
      <c r="G8409" t="n">
        <v>10.1</v>
      </c>
      <c r="H8409" t="n">
        <v>0</v>
      </c>
      <c r="I8409" t="n">
        <v>0</v>
      </c>
      <c r="J8409" t="n">
        <v>0</v>
      </c>
      <c r="K8409" t="n">
        <v>0</v>
      </c>
      <c r="L8409" t="n">
        <v>0</v>
      </c>
      <c r="M8409" t="n">
        <v>0</v>
      </c>
      <c r="N8409" t="n">
        <v>0</v>
      </c>
      <c r="O8409" t="n">
        <v>0</v>
      </c>
      <c r="P8409" t="n">
        <v>0</v>
      </c>
      <c r="Q8409" t="n">
        <v>0</v>
      </c>
      <c r="R8409" s="2" t="inlineStr"/>
    </row>
    <row r="8410" ht="15" customHeight="1">
      <c r="A8410" t="inlineStr">
        <is>
          <t>A 1282-2026</t>
        </is>
      </c>
      <c r="B8410" s="1" t="n">
        <v>46031.49096064815</v>
      </c>
      <c r="C8410" s="1" t="n">
        <v>46045</v>
      </c>
      <c r="D8410" t="inlineStr">
        <is>
          <t>JÄMTLANDS LÄN</t>
        </is>
      </c>
      <c r="E8410" t="inlineStr">
        <is>
          <t>BERG</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33648-2025</t>
        </is>
      </c>
      <c r="B8411" s="1" t="n">
        <v>45841.65681712963</v>
      </c>
      <c r="C8411" s="1" t="n">
        <v>46045</v>
      </c>
      <c r="D8411" t="inlineStr">
        <is>
          <t>JÄMTLANDS LÄN</t>
        </is>
      </c>
      <c r="E8411" t="inlineStr">
        <is>
          <t>BRÄCKE</t>
        </is>
      </c>
      <c r="F8411" t="inlineStr">
        <is>
          <t>SCA</t>
        </is>
      </c>
      <c r="G8411" t="n">
        <v>9.800000000000001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1603-2026</t>
        </is>
      </c>
      <c r="B8412" s="1" t="n">
        <v>46034.45974537037</v>
      </c>
      <c r="C8412" s="1" t="n">
        <v>46045</v>
      </c>
      <c r="D8412" t="inlineStr">
        <is>
          <t>JÄMTLANDS LÄN</t>
        </is>
      </c>
      <c r="E8412" t="inlineStr">
        <is>
          <t>ÅRE</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1611-2026</t>
        </is>
      </c>
      <c r="B8413" s="1" t="n">
        <v>46034.46922453704</v>
      </c>
      <c r="C8413" s="1" t="n">
        <v>46045</v>
      </c>
      <c r="D8413" t="inlineStr">
        <is>
          <t>JÄMTLANDS LÄN</t>
        </is>
      </c>
      <c r="E8413" t="inlineStr">
        <is>
          <t>STRÖMSUND</t>
        </is>
      </c>
      <c r="F8413" t="inlineStr">
        <is>
          <t>SCA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1653-2026</t>
        </is>
      </c>
      <c r="B8414" s="1" t="n">
        <v>46034.53180555555</v>
      </c>
      <c r="C8414" s="1" t="n">
        <v>46045</v>
      </c>
      <c r="D8414" t="inlineStr">
        <is>
          <t>JÄMTLANDS LÄN</t>
        </is>
      </c>
      <c r="E8414" t="inlineStr">
        <is>
          <t>KROKOM</t>
        </is>
      </c>
      <c r="F8414" t="inlineStr">
        <is>
          <t>SCA</t>
        </is>
      </c>
      <c r="G8414" t="n">
        <v>10.2</v>
      </c>
      <c r="H8414" t="n">
        <v>0</v>
      </c>
      <c r="I8414" t="n">
        <v>0</v>
      </c>
      <c r="J8414" t="n">
        <v>0</v>
      </c>
      <c r="K8414" t="n">
        <v>0</v>
      </c>
      <c r="L8414" t="n">
        <v>0</v>
      </c>
      <c r="M8414" t="n">
        <v>0</v>
      </c>
      <c r="N8414" t="n">
        <v>0</v>
      </c>
      <c r="O8414" t="n">
        <v>0</v>
      </c>
      <c r="P8414" t="n">
        <v>0</v>
      </c>
      <c r="Q8414" t="n">
        <v>0</v>
      </c>
      <c r="R8414" s="2" t="inlineStr"/>
    </row>
    <row r="8415" ht="15" customHeight="1">
      <c r="A8415" t="inlineStr">
        <is>
          <t>A 33438-2025</t>
        </is>
      </c>
      <c r="B8415" s="1" t="n">
        <v>45841.45137731481</v>
      </c>
      <c r="C8415" s="1" t="n">
        <v>46045</v>
      </c>
      <c r="D8415" t="inlineStr">
        <is>
          <t>JÄMTLANDS LÄN</t>
        </is>
      </c>
      <c r="E8415" t="inlineStr">
        <is>
          <t>HÄRJEDALEN</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1229-2026</t>
        </is>
      </c>
      <c r="B8416" s="1" t="n">
        <v>46031.40704861111</v>
      </c>
      <c r="C8416" s="1" t="n">
        <v>46045</v>
      </c>
      <c r="D8416" t="inlineStr">
        <is>
          <t>JÄMTLANDS LÄN</t>
        </is>
      </c>
      <c r="E8416" t="inlineStr">
        <is>
          <t>STRÖMSUND</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1287-2026</t>
        </is>
      </c>
      <c r="B8417" s="1" t="n">
        <v>46031.49944444445</v>
      </c>
      <c r="C8417" s="1" t="n">
        <v>46045</v>
      </c>
      <c r="D8417" t="inlineStr">
        <is>
          <t>JÄMTLANDS LÄN</t>
        </is>
      </c>
      <c r="E8417" t="inlineStr">
        <is>
          <t>BERG</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20592-2023</t>
        </is>
      </c>
      <c r="B8418" s="1" t="n">
        <v>45057</v>
      </c>
      <c r="C8418" s="1" t="n">
        <v>46045</v>
      </c>
      <c r="D8418" t="inlineStr">
        <is>
          <t>JÄMTLANDS LÄN</t>
        </is>
      </c>
      <c r="E8418" t="inlineStr">
        <is>
          <t>STRÖMSUND</t>
        </is>
      </c>
      <c r="F8418" t="inlineStr">
        <is>
          <t>SCA</t>
        </is>
      </c>
      <c r="G8418" t="n">
        <v>8.800000000000001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59841-2025</t>
        </is>
      </c>
      <c r="B8419" s="1" t="n">
        <v>45992</v>
      </c>
      <c r="C8419" s="1" t="n">
        <v>46045</v>
      </c>
      <c r="D8419" t="inlineStr">
        <is>
          <t>JÄMTLANDS LÄN</t>
        </is>
      </c>
      <c r="E8419" t="inlineStr">
        <is>
          <t>BERG</t>
        </is>
      </c>
      <c r="G8419" t="n">
        <v>14.9</v>
      </c>
      <c r="H8419" t="n">
        <v>0</v>
      </c>
      <c r="I8419" t="n">
        <v>0</v>
      </c>
      <c r="J8419" t="n">
        <v>0</v>
      </c>
      <c r="K8419" t="n">
        <v>0</v>
      </c>
      <c r="L8419" t="n">
        <v>0</v>
      </c>
      <c r="M8419" t="n">
        <v>0</v>
      </c>
      <c r="N8419" t="n">
        <v>0</v>
      </c>
      <c r="O8419" t="n">
        <v>0</v>
      </c>
      <c r="P8419" t="n">
        <v>0</v>
      </c>
      <c r="Q8419" t="n">
        <v>0</v>
      </c>
      <c r="R8419" s="2" t="inlineStr"/>
    </row>
    <row r="8420" ht="15" customHeight="1">
      <c r="A8420" t="inlineStr">
        <is>
          <t>A 33327-2025</t>
        </is>
      </c>
      <c r="B8420" s="1" t="n">
        <v>45841.34599537037</v>
      </c>
      <c r="C8420" s="1" t="n">
        <v>46045</v>
      </c>
      <c r="D8420" t="inlineStr">
        <is>
          <t>JÄMTLANDS LÄN</t>
        </is>
      </c>
      <c r="E8420" t="inlineStr">
        <is>
          <t>STRÖMSUND</t>
        </is>
      </c>
      <c r="F8420" t="inlineStr">
        <is>
          <t>SCA</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33868-2025</t>
        </is>
      </c>
      <c r="B8421" s="1" t="n">
        <v>45842.53967592592</v>
      </c>
      <c r="C8421" s="1" t="n">
        <v>46045</v>
      </c>
      <c r="D8421" t="inlineStr">
        <is>
          <t>JÄMTLANDS LÄN</t>
        </is>
      </c>
      <c r="E8421" t="inlineStr">
        <is>
          <t>BRÄCKE</t>
        </is>
      </c>
      <c r="F8421" t="inlineStr">
        <is>
          <t>Övriga Aktiebolag</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33889-2025</t>
        </is>
      </c>
      <c r="B8422" s="1" t="n">
        <v>45842.57365740741</v>
      </c>
      <c r="C8422" s="1" t="n">
        <v>46045</v>
      </c>
      <c r="D8422" t="inlineStr">
        <is>
          <t>JÄMTLANDS LÄN</t>
        </is>
      </c>
      <c r="E8422" t="inlineStr">
        <is>
          <t>STRÖMSUND</t>
        </is>
      </c>
      <c r="F8422" t="inlineStr">
        <is>
          <t>SCA</t>
        </is>
      </c>
      <c r="G8422" t="n">
        <v>10.5</v>
      </c>
      <c r="H8422" t="n">
        <v>0</v>
      </c>
      <c r="I8422" t="n">
        <v>0</v>
      </c>
      <c r="J8422" t="n">
        <v>0</v>
      </c>
      <c r="K8422" t="n">
        <v>0</v>
      </c>
      <c r="L8422" t="n">
        <v>0</v>
      </c>
      <c r="M8422" t="n">
        <v>0</v>
      </c>
      <c r="N8422" t="n">
        <v>0</v>
      </c>
      <c r="O8422" t="n">
        <v>0</v>
      </c>
      <c r="P8422" t="n">
        <v>0</v>
      </c>
      <c r="Q8422" t="n">
        <v>0</v>
      </c>
      <c r="R8422" s="2" t="inlineStr"/>
    </row>
    <row r="8423" ht="15" customHeight="1">
      <c r="A8423" t="inlineStr">
        <is>
          <t>A 33900-2025</t>
        </is>
      </c>
      <c r="B8423" s="1" t="n">
        <v>45842.59454861111</v>
      </c>
      <c r="C8423" s="1" t="n">
        <v>46045</v>
      </c>
      <c r="D8423" t="inlineStr">
        <is>
          <t>JÄMTLANDS LÄN</t>
        </is>
      </c>
      <c r="E8423" t="inlineStr">
        <is>
          <t>BRÄCKE</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26910-2024</t>
        </is>
      </c>
      <c r="B8424" s="1" t="n">
        <v>45470.76403935185</v>
      </c>
      <c r="C8424" s="1" t="n">
        <v>46045</v>
      </c>
      <c r="D8424" t="inlineStr">
        <is>
          <t>JÄMTLANDS LÄN</t>
        </is>
      </c>
      <c r="E8424" t="inlineStr">
        <is>
          <t>BRÄCKE</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33937-2025</t>
        </is>
      </c>
      <c r="B8425" s="1" t="n">
        <v>45842.63650462963</v>
      </c>
      <c r="C8425" s="1" t="n">
        <v>46045</v>
      </c>
      <c r="D8425" t="inlineStr">
        <is>
          <t>JÄMTLANDS LÄN</t>
        </is>
      </c>
      <c r="E8425" t="inlineStr">
        <is>
          <t>BRÄCKE</t>
        </is>
      </c>
      <c r="F8425" t="inlineStr">
        <is>
          <t>SCA</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33898-2025</t>
        </is>
      </c>
      <c r="B8426" s="1" t="n">
        <v>45842.59422453704</v>
      </c>
      <c r="C8426" s="1" t="n">
        <v>46045</v>
      </c>
      <c r="D8426" t="inlineStr">
        <is>
          <t>JÄMTLANDS LÄN</t>
        </is>
      </c>
      <c r="E8426" t="inlineStr">
        <is>
          <t>STRÖMSUND</t>
        </is>
      </c>
      <c r="F8426" t="inlineStr">
        <is>
          <t>SCA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17899-2024</t>
        </is>
      </c>
      <c r="B8427" s="1" t="n">
        <v>45419.49334490741</v>
      </c>
      <c r="C8427" s="1" t="n">
        <v>46045</v>
      </c>
      <c r="D8427" t="inlineStr">
        <is>
          <t>JÄMTLANDS LÄN</t>
        </is>
      </c>
      <c r="E8427" t="inlineStr">
        <is>
          <t>BERG</t>
        </is>
      </c>
      <c r="F8427" t="inlineStr">
        <is>
          <t>Holmen skog AB</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33902-2025</t>
        </is>
      </c>
      <c r="B8428" s="1" t="n">
        <v>45842.59513888889</v>
      </c>
      <c r="C8428" s="1" t="n">
        <v>46045</v>
      </c>
      <c r="D8428" t="inlineStr">
        <is>
          <t>JÄMTLANDS LÄN</t>
        </is>
      </c>
      <c r="E8428" t="inlineStr">
        <is>
          <t>BRÄCKE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62739-2021</t>
        </is>
      </c>
      <c r="B8429" s="1" t="n">
        <v>44504</v>
      </c>
      <c r="C8429" s="1" t="n">
        <v>46045</v>
      </c>
      <c r="D8429" t="inlineStr">
        <is>
          <t>JÄMTLANDS LÄN</t>
        </is>
      </c>
      <c r="E8429" t="inlineStr">
        <is>
          <t>KROKOM</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33748-2025</t>
        </is>
      </c>
      <c r="B8430" s="1" t="n">
        <v>45842.35685185185</v>
      </c>
      <c r="C8430" s="1" t="n">
        <v>46045</v>
      </c>
      <c r="D8430" t="inlineStr">
        <is>
          <t>JÄMTLANDS LÄN</t>
        </is>
      </c>
      <c r="E8430" t="inlineStr">
        <is>
          <t>BERG</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33776-2025</t>
        </is>
      </c>
      <c r="B8431" s="1" t="n">
        <v>45842.39412037037</v>
      </c>
      <c r="C8431" s="1" t="n">
        <v>46045</v>
      </c>
      <c r="D8431" t="inlineStr">
        <is>
          <t>JÄMTLANDS LÄN</t>
        </is>
      </c>
      <c r="E8431" t="inlineStr">
        <is>
          <t>BRÄCKE</t>
        </is>
      </c>
      <c r="F8431" t="inlineStr">
        <is>
          <t>Övriga Aktiebolag</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16306-2025</t>
        </is>
      </c>
      <c r="B8432" s="1" t="n">
        <v>45751.34664351852</v>
      </c>
      <c r="C8432" s="1" t="n">
        <v>46045</v>
      </c>
      <c r="D8432" t="inlineStr">
        <is>
          <t>JÄMTLANDS LÄN</t>
        </is>
      </c>
      <c r="E8432" t="inlineStr">
        <is>
          <t>ÖSTERSUND</t>
        </is>
      </c>
      <c r="F8432" t="inlineStr">
        <is>
          <t>SCA</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16320-2025</t>
        </is>
      </c>
      <c r="B8433" s="1" t="n">
        <v>45751.34859953704</v>
      </c>
      <c r="C8433" s="1" t="n">
        <v>46045</v>
      </c>
      <c r="D8433" t="inlineStr">
        <is>
          <t>JÄMTLANDS LÄN</t>
        </is>
      </c>
      <c r="E8433" t="inlineStr">
        <is>
          <t>RAGUNDA</t>
        </is>
      </c>
      <c r="F8433" t="inlineStr">
        <is>
          <t>SCA</t>
        </is>
      </c>
      <c r="G8433" t="n">
        <v>16.2</v>
      </c>
      <c r="H8433" t="n">
        <v>0</v>
      </c>
      <c r="I8433" t="n">
        <v>0</v>
      </c>
      <c r="J8433" t="n">
        <v>0</v>
      </c>
      <c r="K8433" t="n">
        <v>0</v>
      </c>
      <c r="L8433" t="n">
        <v>0</v>
      </c>
      <c r="M8433" t="n">
        <v>0</v>
      </c>
      <c r="N8433" t="n">
        <v>0</v>
      </c>
      <c r="O8433" t="n">
        <v>0</v>
      </c>
      <c r="P8433" t="n">
        <v>0</v>
      </c>
      <c r="Q8433" t="n">
        <v>0</v>
      </c>
      <c r="R8433" s="2" t="inlineStr"/>
    </row>
    <row r="8434" ht="15" customHeight="1">
      <c r="A8434" t="inlineStr">
        <is>
          <t>A 33434-2025</t>
        </is>
      </c>
      <c r="B8434" s="1" t="n">
        <v>45841.44868055556</v>
      </c>
      <c r="C8434" s="1" t="n">
        <v>46045</v>
      </c>
      <c r="D8434" t="inlineStr">
        <is>
          <t>JÄMTLANDS LÄN</t>
        </is>
      </c>
      <c r="E8434" t="inlineStr">
        <is>
          <t>STRÖMSUND</t>
        </is>
      </c>
      <c r="F8434" t="inlineStr">
        <is>
          <t>SCA</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59619-2025</t>
        </is>
      </c>
      <c r="B8435" s="1" t="n">
        <v>45992.38109953704</v>
      </c>
      <c r="C8435" s="1" t="n">
        <v>46045</v>
      </c>
      <c r="D8435" t="inlineStr">
        <is>
          <t>JÄMTLANDS LÄN</t>
        </is>
      </c>
      <c r="E8435" t="inlineStr">
        <is>
          <t>ÖSTERSUND</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59652-2025</t>
        </is>
      </c>
      <c r="B8436" s="1" t="n">
        <v>45992</v>
      </c>
      <c r="C8436" s="1" t="n">
        <v>46045</v>
      </c>
      <c r="D8436" t="inlineStr">
        <is>
          <t>JÄMTLANDS LÄN</t>
        </is>
      </c>
      <c r="E8436" t="inlineStr">
        <is>
          <t>BERG</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59692-2025</t>
        </is>
      </c>
      <c r="B8437" s="1" t="n">
        <v>45992.49001157407</v>
      </c>
      <c r="C8437" s="1" t="n">
        <v>46045</v>
      </c>
      <c r="D8437" t="inlineStr">
        <is>
          <t>JÄMTLANDS LÄN</t>
        </is>
      </c>
      <c r="E8437" t="inlineStr">
        <is>
          <t>RAGUNDA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59693-2025</t>
        </is>
      </c>
      <c r="B8438" s="1" t="n">
        <v>45992.49009259259</v>
      </c>
      <c r="C8438" s="1" t="n">
        <v>46045</v>
      </c>
      <c r="D8438" t="inlineStr">
        <is>
          <t>JÄMTLANDS LÄN</t>
        </is>
      </c>
      <c r="E8438" t="inlineStr">
        <is>
          <t>RAGUNDA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59704-2025</t>
        </is>
      </c>
      <c r="B8439" s="1" t="n">
        <v>45992.50162037037</v>
      </c>
      <c r="C8439" s="1" t="n">
        <v>46045</v>
      </c>
      <c r="D8439" t="inlineStr">
        <is>
          <t>JÄMTLANDS LÄN</t>
        </is>
      </c>
      <c r="E8439" t="inlineStr">
        <is>
          <t>STRÖMSUND</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59543-2025</t>
        </is>
      </c>
      <c r="B8440" s="1" t="n">
        <v>45990.34466435185</v>
      </c>
      <c r="C8440" s="1" t="n">
        <v>46045</v>
      </c>
      <c r="D8440" t="inlineStr">
        <is>
          <t>JÄMTLANDS LÄN</t>
        </is>
      </c>
      <c r="E8440" t="inlineStr">
        <is>
          <t>BRÄCKE</t>
        </is>
      </c>
      <c r="F8440" t="inlineStr">
        <is>
          <t>SCA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33406-2025</t>
        </is>
      </c>
      <c r="B8441" s="1" t="n">
        <v>45841.4312037037</v>
      </c>
      <c r="C8441" s="1" t="n">
        <v>46045</v>
      </c>
      <c r="D8441" t="inlineStr">
        <is>
          <t>JÄMTLANDS LÄN</t>
        </is>
      </c>
      <c r="E8441" t="inlineStr">
        <is>
          <t>HÄRJEDALEN</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59644-2025</t>
        </is>
      </c>
      <c r="B8442" s="1" t="n">
        <v>45992.42762731481</v>
      </c>
      <c r="C8442" s="1" t="n">
        <v>46045</v>
      </c>
      <c r="D8442" t="inlineStr">
        <is>
          <t>JÄMTLANDS LÄN</t>
        </is>
      </c>
      <c r="E8442" t="inlineStr">
        <is>
          <t>STRÖMSUND</t>
        </is>
      </c>
      <c r="F8442" t="inlineStr">
        <is>
          <t>SCA</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59653-2025</t>
        </is>
      </c>
      <c r="B8443" s="1" t="n">
        <v>45992.43616898148</v>
      </c>
      <c r="C8443" s="1" t="n">
        <v>46045</v>
      </c>
      <c r="D8443" t="inlineStr">
        <is>
          <t>JÄMTLANDS LÄN</t>
        </is>
      </c>
      <c r="E8443" t="inlineStr">
        <is>
          <t>ÅRE</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59659-2025</t>
        </is>
      </c>
      <c r="B8444" s="1" t="n">
        <v>45992.44748842593</v>
      </c>
      <c r="C8444" s="1" t="n">
        <v>46045</v>
      </c>
      <c r="D8444" t="inlineStr">
        <is>
          <t>JÄMTLANDS LÄN</t>
        </is>
      </c>
      <c r="E8444" t="inlineStr">
        <is>
          <t>ÅRE</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33556-2025</t>
        </is>
      </c>
      <c r="B8445" s="1" t="n">
        <v>45841.57427083333</v>
      </c>
      <c r="C8445" s="1" t="n">
        <v>46045</v>
      </c>
      <c r="D8445" t="inlineStr">
        <is>
          <t>JÄMTLANDS LÄN</t>
        </is>
      </c>
      <c r="E8445" t="inlineStr">
        <is>
          <t>RAGUNDA</t>
        </is>
      </c>
      <c r="F8445" t="inlineStr">
        <is>
          <t>SCA</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1495-2026</t>
        </is>
      </c>
      <c r="B8446" s="1" t="n">
        <v>46034.32285879629</v>
      </c>
      <c r="C8446" s="1" t="n">
        <v>46045</v>
      </c>
      <c r="D8446" t="inlineStr">
        <is>
          <t>JÄMTLANDS LÄN</t>
        </is>
      </c>
      <c r="E8446" t="inlineStr">
        <is>
          <t>BERG</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59491-2025</t>
        </is>
      </c>
      <c r="B8447" s="1" t="n">
        <v>45989.60376157407</v>
      </c>
      <c r="C8447" s="1" t="n">
        <v>46045</v>
      </c>
      <c r="D8447" t="inlineStr">
        <is>
          <t>JÄMTLANDS LÄN</t>
        </is>
      </c>
      <c r="E8447" t="inlineStr">
        <is>
          <t>RAGUNDA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59646-2025</t>
        </is>
      </c>
      <c r="B8448" s="1" t="n">
        <v>45992.42811342593</v>
      </c>
      <c r="C8448" s="1" t="n">
        <v>46045</v>
      </c>
      <c r="D8448" t="inlineStr">
        <is>
          <t>JÄMTLANDS LÄN</t>
        </is>
      </c>
      <c r="E8448" t="inlineStr">
        <is>
          <t>STRÖMSUND</t>
        </is>
      </c>
      <c r="F8448" t="inlineStr">
        <is>
          <t>SCA</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33845-2025</t>
        </is>
      </c>
      <c r="B8449" s="1" t="n">
        <v>45842.48990740741</v>
      </c>
      <c r="C8449" s="1" t="n">
        <v>46045</v>
      </c>
      <c r="D8449" t="inlineStr">
        <is>
          <t>JÄMTLANDS LÄN</t>
        </is>
      </c>
      <c r="E8449" t="inlineStr">
        <is>
          <t>HÄRJEDALEN</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59690-2025</t>
        </is>
      </c>
      <c r="B8450" s="1" t="n">
        <v>45992.48541666667</v>
      </c>
      <c r="C8450" s="1" t="n">
        <v>46045</v>
      </c>
      <c r="D8450" t="inlineStr">
        <is>
          <t>JÄMTLANDS LÄN</t>
        </is>
      </c>
      <c r="E8450" t="inlineStr">
        <is>
          <t>ÅRE</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59845-2025</t>
        </is>
      </c>
      <c r="B8451" s="1" t="n">
        <v>45992.68405092593</v>
      </c>
      <c r="C8451" s="1" t="n">
        <v>46045</v>
      </c>
      <c r="D8451" t="inlineStr">
        <is>
          <t>JÄMTLANDS LÄN</t>
        </is>
      </c>
      <c r="E8451" t="inlineStr">
        <is>
          <t>KROKOM</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1571-2026</t>
        </is>
      </c>
      <c r="B8452" s="1" t="n">
        <v>46034.40717592592</v>
      </c>
      <c r="C8452" s="1" t="n">
        <v>46045</v>
      </c>
      <c r="D8452" t="inlineStr">
        <is>
          <t>JÄMTLANDS LÄN</t>
        </is>
      </c>
      <c r="E8452" t="inlineStr">
        <is>
          <t>STRÖMSUND</t>
        </is>
      </c>
      <c r="F8452" t="inlineStr">
        <is>
          <t>SCA</t>
        </is>
      </c>
      <c r="G8452" t="n">
        <v>12.1</v>
      </c>
      <c r="H8452" t="n">
        <v>0</v>
      </c>
      <c r="I8452" t="n">
        <v>0</v>
      </c>
      <c r="J8452" t="n">
        <v>0</v>
      </c>
      <c r="K8452" t="n">
        <v>0</v>
      </c>
      <c r="L8452" t="n">
        <v>0</v>
      </c>
      <c r="M8452" t="n">
        <v>0</v>
      </c>
      <c r="N8452" t="n">
        <v>0</v>
      </c>
      <c r="O8452" t="n">
        <v>0</v>
      </c>
      <c r="P8452" t="n">
        <v>0</v>
      </c>
      <c r="Q8452" t="n">
        <v>0</v>
      </c>
      <c r="R8452" s="2" t="inlineStr"/>
    </row>
    <row r="8453" ht="15" customHeight="1">
      <c r="A8453" t="inlineStr">
        <is>
          <t>A 59369-2025</t>
        </is>
      </c>
      <c r="B8453" s="1" t="n">
        <v>45989.44903935185</v>
      </c>
      <c r="C8453" s="1" t="n">
        <v>46045</v>
      </c>
      <c r="D8453" t="inlineStr">
        <is>
          <t>JÄMTLANDS LÄN</t>
        </is>
      </c>
      <c r="E8453" t="inlineStr">
        <is>
          <t>KROKOM</t>
        </is>
      </c>
      <c r="G8453" t="n">
        <v>25.2</v>
      </c>
      <c r="H8453" t="n">
        <v>0</v>
      </c>
      <c r="I8453" t="n">
        <v>0</v>
      </c>
      <c r="J8453" t="n">
        <v>0</v>
      </c>
      <c r="K8453" t="n">
        <v>0</v>
      </c>
      <c r="L8453" t="n">
        <v>0</v>
      </c>
      <c r="M8453" t="n">
        <v>0</v>
      </c>
      <c r="N8453" t="n">
        <v>0</v>
      </c>
      <c r="O8453" t="n">
        <v>0</v>
      </c>
      <c r="P8453" t="n">
        <v>0</v>
      </c>
      <c r="Q8453" t="n">
        <v>0</v>
      </c>
      <c r="R8453" s="2" t="inlineStr"/>
    </row>
    <row r="8454" ht="15" customHeight="1">
      <c r="A8454" t="inlineStr">
        <is>
          <t>A 59371-2025</t>
        </is>
      </c>
      <c r="B8454" s="1" t="n">
        <v>45989.44918981481</v>
      </c>
      <c r="C8454" s="1" t="n">
        <v>46045</v>
      </c>
      <c r="D8454" t="inlineStr">
        <is>
          <t>JÄMTLANDS LÄN</t>
        </is>
      </c>
      <c r="E8454" t="inlineStr">
        <is>
          <t>KROKOM</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33790-2025</t>
        </is>
      </c>
      <c r="B8455" s="1" t="n">
        <v>45842.42608796297</v>
      </c>
      <c r="C8455" s="1" t="n">
        <v>46045</v>
      </c>
      <c r="D8455" t="inlineStr">
        <is>
          <t>JÄMTLANDS LÄN</t>
        </is>
      </c>
      <c r="E8455" t="inlineStr">
        <is>
          <t>RAGUNDA</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33796-2025</t>
        </is>
      </c>
      <c r="B8456" s="1" t="n">
        <v>45842.43670138889</v>
      </c>
      <c r="C8456" s="1" t="n">
        <v>46045</v>
      </c>
      <c r="D8456" t="inlineStr">
        <is>
          <t>JÄMTLANDS LÄN</t>
        </is>
      </c>
      <c r="E8456" t="inlineStr">
        <is>
          <t>BRÄCKE</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33797-2025</t>
        </is>
      </c>
      <c r="B8457" s="1" t="n">
        <v>45842.436875</v>
      </c>
      <c r="C8457" s="1" t="n">
        <v>46045</v>
      </c>
      <c r="D8457" t="inlineStr">
        <is>
          <t>JÄMTLANDS LÄN</t>
        </is>
      </c>
      <c r="E8457" t="inlineStr">
        <is>
          <t>STRÖMSUND</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51378-2024</t>
        </is>
      </c>
      <c r="B8458" s="1" t="n">
        <v>45604.38572916666</v>
      </c>
      <c r="C8458" s="1" t="n">
        <v>46045</v>
      </c>
      <c r="D8458" t="inlineStr">
        <is>
          <t>JÄMTLANDS LÄN</t>
        </is>
      </c>
      <c r="E8458" t="inlineStr">
        <is>
          <t>BRÄCKE</t>
        </is>
      </c>
      <c r="F8458" t="inlineStr">
        <is>
          <t>SCA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33843-2025</t>
        </is>
      </c>
      <c r="B8459" s="1" t="n">
        <v>45842.48445601852</v>
      </c>
      <c r="C8459" s="1" t="n">
        <v>46045</v>
      </c>
      <c r="D8459" t="inlineStr">
        <is>
          <t>JÄMTLANDS LÄN</t>
        </is>
      </c>
      <c r="E8459" t="inlineStr">
        <is>
          <t>STRÖMSUND</t>
        </is>
      </c>
      <c r="F8459" t="inlineStr">
        <is>
          <t>Holmen skog AB</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59404-2025</t>
        </is>
      </c>
      <c r="B8460" s="1" t="n">
        <v>45989.48997685185</v>
      </c>
      <c r="C8460" s="1" t="n">
        <v>46045</v>
      </c>
      <c r="D8460" t="inlineStr">
        <is>
          <t>JÄMTLANDS LÄN</t>
        </is>
      </c>
      <c r="E8460" t="inlineStr">
        <is>
          <t>BERG</t>
        </is>
      </c>
      <c r="F8460" t="inlineStr">
        <is>
          <t>SCA</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29766-2024</t>
        </is>
      </c>
      <c r="B8461" s="1" t="n">
        <v>45485</v>
      </c>
      <c r="C8461" s="1" t="n">
        <v>46045</v>
      </c>
      <c r="D8461" t="inlineStr">
        <is>
          <t>JÄMTLANDS LÄN</t>
        </is>
      </c>
      <c r="E8461" t="inlineStr">
        <is>
          <t>HÄRJEDALEN</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33626-2025</t>
        </is>
      </c>
      <c r="B8462" s="1" t="n">
        <v>45841.63570601852</v>
      </c>
      <c r="C8462" s="1" t="n">
        <v>46045</v>
      </c>
      <c r="D8462" t="inlineStr">
        <is>
          <t>JÄMTLANDS LÄN</t>
        </is>
      </c>
      <c r="E8462" t="inlineStr">
        <is>
          <t>STRÖMSUND</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59496-2025</t>
        </is>
      </c>
      <c r="B8463" s="1" t="n">
        <v>45989.61563657408</v>
      </c>
      <c r="C8463" s="1" t="n">
        <v>46045</v>
      </c>
      <c r="D8463" t="inlineStr">
        <is>
          <t>JÄMTLANDS LÄN</t>
        </is>
      </c>
      <c r="E8463" t="inlineStr">
        <is>
          <t>HÄRJEDALEN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59499-2025</t>
        </is>
      </c>
      <c r="B8464" s="1" t="n">
        <v>45989.61846064815</v>
      </c>
      <c r="C8464" s="1" t="n">
        <v>46045</v>
      </c>
      <c r="D8464" t="inlineStr">
        <is>
          <t>JÄMTLANDS LÄN</t>
        </is>
      </c>
      <c r="E8464" t="inlineStr">
        <is>
          <t>RAGUNDA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59507-2025</t>
        </is>
      </c>
      <c r="B8465" s="1" t="n">
        <v>45989.64166666667</v>
      </c>
      <c r="C8465" s="1" t="n">
        <v>46045</v>
      </c>
      <c r="D8465" t="inlineStr">
        <is>
          <t>JÄMTLANDS LÄN</t>
        </is>
      </c>
      <c r="E8465" t="inlineStr">
        <is>
          <t>HÄRJEDALEN</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19031-2025</t>
        </is>
      </c>
      <c r="B8466" s="1" t="n">
        <v>45764.65657407408</v>
      </c>
      <c r="C8466" s="1" t="n">
        <v>46045</v>
      </c>
      <c r="D8466" t="inlineStr">
        <is>
          <t>JÄMTLANDS LÄN</t>
        </is>
      </c>
      <c r="E8466" t="inlineStr">
        <is>
          <t>STRÖMSUND</t>
        </is>
      </c>
      <c r="F8466" t="inlineStr">
        <is>
          <t>SCA</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19100-2025</t>
        </is>
      </c>
      <c r="B8467" s="1" t="n">
        <v>45768.29630787037</v>
      </c>
      <c r="C8467" s="1" t="n">
        <v>46045</v>
      </c>
      <c r="D8467" t="inlineStr">
        <is>
          <t>JÄMTLANDS LÄN</t>
        </is>
      </c>
      <c r="E8467" t="inlineStr">
        <is>
          <t>HÄRJEDALEN</t>
        </is>
      </c>
      <c r="F8467" t="inlineStr">
        <is>
          <t>Sveaskog</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19106-2025</t>
        </is>
      </c>
      <c r="B8468" s="1" t="n">
        <v>45768.30954861111</v>
      </c>
      <c r="C8468" s="1" t="n">
        <v>46045</v>
      </c>
      <c r="D8468" t="inlineStr">
        <is>
          <t>JÄMTLANDS LÄN</t>
        </is>
      </c>
      <c r="E8468" t="inlineStr">
        <is>
          <t>HÄRJEDALEN</t>
        </is>
      </c>
      <c r="F8468" t="inlineStr">
        <is>
          <t>Sveaskog</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33435-2025</t>
        </is>
      </c>
      <c r="B8469" s="1" t="n">
        <v>45841.4488425926</v>
      </c>
      <c r="C8469" s="1" t="n">
        <v>46045</v>
      </c>
      <c r="D8469" t="inlineStr">
        <is>
          <t>JÄMTLANDS LÄN</t>
        </is>
      </c>
      <c r="E8469" t="inlineStr">
        <is>
          <t>STRÖMSUND</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19181-2025</t>
        </is>
      </c>
      <c r="B8470" s="1" t="n">
        <v>45769.40174768519</v>
      </c>
      <c r="C8470" s="1" t="n">
        <v>46045</v>
      </c>
      <c r="D8470" t="inlineStr">
        <is>
          <t>JÄMTLANDS LÄN</t>
        </is>
      </c>
      <c r="E8470" t="inlineStr">
        <is>
          <t>BERG</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37729-2023</t>
        </is>
      </c>
      <c r="B8471" s="1" t="n">
        <v>45159</v>
      </c>
      <c r="C8471" s="1" t="n">
        <v>46045</v>
      </c>
      <c r="D8471" t="inlineStr">
        <is>
          <t>JÄMTLANDS LÄN</t>
        </is>
      </c>
      <c r="E8471" t="inlineStr">
        <is>
          <t>ÅRE</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59335-2025</t>
        </is>
      </c>
      <c r="B8472" s="1" t="n">
        <v>45989.36508101852</v>
      </c>
      <c r="C8472" s="1" t="n">
        <v>46045</v>
      </c>
      <c r="D8472" t="inlineStr">
        <is>
          <t>JÄMTLANDS LÄN</t>
        </is>
      </c>
      <c r="E8472" t="inlineStr">
        <is>
          <t>KROKOM</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33915-2025</t>
        </is>
      </c>
      <c r="B8473" s="1" t="n">
        <v>45842.6099537037</v>
      </c>
      <c r="C8473" s="1" t="n">
        <v>46045</v>
      </c>
      <c r="D8473" t="inlineStr">
        <is>
          <t>JÄMTLANDS LÄN</t>
        </is>
      </c>
      <c r="E8473" t="inlineStr">
        <is>
          <t>KROKOM</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59503-2025</t>
        </is>
      </c>
      <c r="B8474" s="1" t="n">
        <v>45989.62703703704</v>
      </c>
      <c r="C8474" s="1" t="n">
        <v>46045</v>
      </c>
      <c r="D8474" t="inlineStr">
        <is>
          <t>JÄMTLANDS LÄN</t>
        </is>
      </c>
      <c r="E8474" t="inlineStr">
        <is>
          <t>RAGUNDA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33418-2025</t>
        </is>
      </c>
      <c r="B8475" s="1" t="n">
        <v>45841.43987268519</v>
      </c>
      <c r="C8475" s="1" t="n">
        <v>46045</v>
      </c>
      <c r="D8475" t="inlineStr">
        <is>
          <t>JÄMTLANDS LÄN</t>
        </is>
      </c>
      <c r="E8475" t="inlineStr">
        <is>
          <t>KROKOM</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1719-2026</t>
        </is>
      </c>
      <c r="B8476" s="1" t="n">
        <v>46034.61515046296</v>
      </c>
      <c r="C8476" s="1" t="n">
        <v>46045</v>
      </c>
      <c r="D8476" t="inlineStr">
        <is>
          <t>JÄMTLANDS LÄN</t>
        </is>
      </c>
      <c r="E8476" t="inlineStr">
        <is>
          <t>STRÖMSUND</t>
        </is>
      </c>
      <c r="F8476" t="inlineStr">
        <is>
          <t>SCA</t>
        </is>
      </c>
      <c r="G8476" t="n">
        <v>15.7</v>
      </c>
      <c r="H8476" t="n">
        <v>0</v>
      </c>
      <c r="I8476" t="n">
        <v>0</v>
      </c>
      <c r="J8476" t="n">
        <v>0</v>
      </c>
      <c r="K8476" t="n">
        <v>0</v>
      </c>
      <c r="L8476" t="n">
        <v>0</v>
      </c>
      <c r="M8476" t="n">
        <v>0</v>
      </c>
      <c r="N8476" t="n">
        <v>0</v>
      </c>
      <c r="O8476" t="n">
        <v>0</v>
      </c>
      <c r="P8476" t="n">
        <v>0</v>
      </c>
      <c r="Q8476" t="n">
        <v>0</v>
      </c>
      <c r="R8476" s="2" t="inlineStr"/>
    </row>
    <row r="8477" ht="15" customHeight="1">
      <c r="A8477" t="inlineStr">
        <is>
          <t>A 33750-2025</t>
        </is>
      </c>
      <c r="B8477" s="1" t="n">
        <v>45842.36243055556</v>
      </c>
      <c r="C8477" s="1" t="n">
        <v>46045</v>
      </c>
      <c r="D8477" t="inlineStr">
        <is>
          <t>JÄMTLANDS LÄN</t>
        </is>
      </c>
      <c r="E8477" t="inlineStr">
        <is>
          <t>BERG</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59323-2025</t>
        </is>
      </c>
      <c r="B8478" s="1" t="n">
        <v>45989.34443287037</v>
      </c>
      <c r="C8478" s="1" t="n">
        <v>46045</v>
      </c>
      <c r="D8478" t="inlineStr">
        <is>
          <t>JÄMTLANDS LÄN</t>
        </is>
      </c>
      <c r="E8478" t="inlineStr">
        <is>
          <t>BRÄCKE</t>
        </is>
      </c>
      <c r="F8478" t="inlineStr">
        <is>
          <t>SCA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59360-2025</t>
        </is>
      </c>
      <c r="B8479" s="1" t="n">
        <v>45989.42842592593</v>
      </c>
      <c r="C8479" s="1" t="n">
        <v>46045</v>
      </c>
      <c r="D8479" t="inlineStr">
        <is>
          <t>JÄMTLANDS LÄN</t>
        </is>
      </c>
      <c r="E8479" t="inlineStr">
        <is>
          <t>HÄRJEDALEN</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59364-2025</t>
        </is>
      </c>
      <c r="B8480" s="1" t="n">
        <v>45989.4393287037</v>
      </c>
      <c r="C8480" s="1" t="n">
        <v>46045</v>
      </c>
      <c r="D8480" t="inlineStr">
        <is>
          <t>JÄMTLANDS LÄN</t>
        </is>
      </c>
      <c r="E8480" t="inlineStr">
        <is>
          <t>HÄRJEDALEN</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48134-2024</t>
        </is>
      </c>
      <c r="B8481" s="1" t="n">
        <v>45589</v>
      </c>
      <c r="C8481" s="1" t="n">
        <v>46045</v>
      </c>
      <c r="D8481" t="inlineStr">
        <is>
          <t>JÄMTLANDS LÄN</t>
        </is>
      </c>
      <c r="E8481" t="inlineStr">
        <is>
          <t>STRÖMSUND</t>
        </is>
      </c>
      <c r="G8481" t="n">
        <v>27.3</v>
      </c>
      <c r="H8481" t="n">
        <v>0</v>
      </c>
      <c r="I8481" t="n">
        <v>0</v>
      </c>
      <c r="J8481" t="n">
        <v>0</v>
      </c>
      <c r="K8481" t="n">
        <v>0</v>
      </c>
      <c r="L8481" t="n">
        <v>0</v>
      </c>
      <c r="M8481" t="n">
        <v>0</v>
      </c>
      <c r="N8481" t="n">
        <v>0</v>
      </c>
      <c r="O8481" t="n">
        <v>0</v>
      </c>
      <c r="P8481" t="n">
        <v>0</v>
      </c>
      <c r="Q8481" t="n">
        <v>0</v>
      </c>
      <c r="R8481" s="2" t="inlineStr"/>
    </row>
    <row r="8482" ht="15" customHeight="1">
      <c r="A8482" t="inlineStr">
        <is>
          <t>A 8253-2024</t>
        </is>
      </c>
      <c r="B8482" s="1" t="n">
        <v>45350</v>
      </c>
      <c r="C8482" s="1" t="n">
        <v>46045</v>
      </c>
      <c r="D8482" t="inlineStr">
        <is>
          <t>JÄMTLANDS LÄN</t>
        </is>
      </c>
      <c r="E8482" t="inlineStr">
        <is>
          <t>BRÄCKE</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59015-2025</t>
        </is>
      </c>
      <c r="B8483" s="1" t="n">
        <v>45987.83457175926</v>
      </c>
      <c r="C8483" s="1" t="n">
        <v>46045</v>
      </c>
      <c r="D8483" t="inlineStr">
        <is>
          <t>JÄMTLANDS LÄN</t>
        </is>
      </c>
      <c r="E8483" t="inlineStr">
        <is>
          <t>ÖSTERSUND</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59740-2025</t>
        </is>
      </c>
      <c r="B8484" s="1" t="n">
        <v>45992.5743287037</v>
      </c>
      <c r="C8484" s="1" t="n">
        <v>46045</v>
      </c>
      <c r="D8484" t="inlineStr">
        <is>
          <t>JÄMTLANDS LÄN</t>
        </is>
      </c>
      <c r="E8484" t="inlineStr">
        <is>
          <t>RAGUNDA</t>
        </is>
      </c>
      <c r="F8484" t="inlineStr">
        <is>
          <t>SCA</t>
        </is>
      </c>
      <c r="G8484" t="n">
        <v>14.1</v>
      </c>
      <c r="H8484" t="n">
        <v>0</v>
      </c>
      <c r="I8484" t="n">
        <v>0</v>
      </c>
      <c r="J8484" t="n">
        <v>0</v>
      </c>
      <c r="K8484" t="n">
        <v>0</v>
      </c>
      <c r="L8484" t="n">
        <v>0</v>
      </c>
      <c r="M8484" t="n">
        <v>0</v>
      </c>
      <c r="N8484" t="n">
        <v>0</v>
      </c>
      <c r="O8484" t="n">
        <v>0</v>
      </c>
      <c r="P8484" t="n">
        <v>0</v>
      </c>
      <c r="Q8484" t="n">
        <v>0</v>
      </c>
      <c r="R8484" s="2" t="inlineStr"/>
    </row>
    <row r="8485" ht="15" customHeight="1">
      <c r="A8485" t="inlineStr">
        <is>
          <t>A 59716-2025</t>
        </is>
      </c>
      <c r="B8485" s="1" t="n">
        <v>45992.53180555555</v>
      </c>
      <c r="C8485" s="1" t="n">
        <v>46045</v>
      </c>
      <c r="D8485" t="inlineStr">
        <is>
          <t>JÄMTLANDS LÄN</t>
        </is>
      </c>
      <c r="E8485" t="inlineStr">
        <is>
          <t>STRÖMSUND</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2609-2023</t>
        </is>
      </c>
      <c r="B8486" s="1" t="n">
        <v>44939</v>
      </c>
      <c r="C8486" s="1" t="n">
        <v>46045</v>
      </c>
      <c r="D8486" t="inlineStr">
        <is>
          <t>JÄMTLANDS LÄN</t>
        </is>
      </c>
      <c r="E8486" t="inlineStr">
        <is>
          <t>KROKOM</t>
        </is>
      </c>
      <c r="G8486" t="n">
        <v>16.9</v>
      </c>
      <c r="H8486" t="n">
        <v>0</v>
      </c>
      <c r="I8486" t="n">
        <v>0</v>
      </c>
      <c r="J8486" t="n">
        <v>0</v>
      </c>
      <c r="K8486" t="n">
        <v>0</v>
      </c>
      <c r="L8486" t="n">
        <v>0</v>
      </c>
      <c r="M8486" t="n">
        <v>0</v>
      </c>
      <c r="N8486" t="n">
        <v>0</v>
      </c>
      <c r="O8486" t="n">
        <v>0</v>
      </c>
      <c r="P8486" t="n">
        <v>0</v>
      </c>
      <c r="Q8486" t="n">
        <v>0</v>
      </c>
      <c r="R8486" s="2" t="inlineStr"/>
    </row>
    <row r="8487" ht="15" customHeight="1">
      <c r="A8487" t="inlineStr">
        <is>
          <t>A 59763-2025</t>
        </is>
      </c>
      <c r="B8487" s="1" t="n">
        <v>45992.59430555555</v>
      </c>
      <c r="C8487" s="1" t="n">
        <v>46045</v>
      </c>
      <c r="D8487" t="inlineStr">
        <is>
          <t>JÄMTLANDS LÄN</t>
        </is>
      </c>
      <c r="E8487" t="inlineStr">
        <is>
          <t>BERG</t>
        </is>
      </c>
      <c r="F8487" t="inlineStr">
        <is>
          <t>SCA</t>
        </is>
      </c>
      <c r="G8487" t="n">
        <v>16.5</v>
      </c>
      <c r="H8487" t="n">
        <v>0</v>
      </c>
      <c r="I8487" t="n">
        <v>0</v>
      </c>
      <c r="J8487" t="n">
        <v>0</v>
      </c>
      <c r="K8487" t="n">
        <v>0</v>
      </c>
      <c r="L8487" t="n">
        <v>0</v>
      </c>
      <c r="M8487" t="n">
        <v>0</v>
      </c>
      <c r="N8487" t="n">
        <v>0</v>
      </c>
      <c r="O8487" t="n">
        <v>0</v>
      </c>
      <c r="P8487" t="n">
        <v>0</v>
      </c>
      <c r="Q8487" t="n">
        <v>0</v>
      </c>
      <c r="R8487" s="2" t="inlineStr"/>
    </row>
    <row r="8488" ht="15" customHeight="1">
      <c r="A8488" t="inlineStr">
        <is>
          <t>A 33873-2025</t>
        </is>
      </c>
      <c r="B8488" s="1" t="n">
        <v>45842.54912037037</v>
      </c>
      <c r="C8488" s="1" t="n">
        <v>46045</v>
      </c>
      <c r="D8488" t="inlineStr">
        <is>
          <t>JÄMTLANDS LÄN</t>
        </is>
      </c>
      <c r="E8488" t="inlineStr">
        <is>
          <t>BRÄCKE</t>
        </is>
      </c>
      <c r="F8488" t="inlineStr">
        <is>
          <t>Övriga Aktiebolag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50099-2021</t>
        </is>
      </c>
      <c r="B8489" s="1" t="n">
        <v>44456</v>
      </c>
      <c r="C8489" s="1" t="n">
        <v>46045</v>
      </c>
      <c r="D8489" t="inlineStr">
        <is>
          <t>JÄMTLANDS LÄN</t>
        </is>
      </c>
      <c r="E8489" t="inlineStr">
        <is>
          <t>ÅRE</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33888-2025</t>
        </is>
      </c>
      <c r="B8490" s="1" t="n">
        <v>45842.57351851852</v>
      </c>
      <c r="C8490" s="1" t="n">
        <v>46045</v>
      </c>
      <c r="D8490" t="inlineStr">
        <is>
          <t>JÄMTLANDS LÄN</t>
        </is>
      </c>
      <c r="E8490" t="inlineStr">
        <is>
          <t>STRÖMSUND</t>
        </is>
      </c>
      <c r="F8490" t="inlineStr">
        <is>
          <t>SCA</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1374-2026</t>
        </is>
      </c>
      <c r="B8491" s="1" t="n">
        <v>46031.6141087963</v>
      </c>
      <c r="C8491" s="1" t="n">
        <v>46045</v>
      </c>
      <c r="D8491" t="inlineStr">
        <is>
          <t>JÄMTLANDS LÄN</t>
        </is>
      </c>
      <c r="E8491" t="inlineStr">
        <is>
          <t>ÖSTERSUND</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23771-2023</t>
        </is>
      </c>
      <c r="B8492" s="1" t="n">
        <v>45077</v>
      </c>
      <c r="C8492" s="1" t="n">
        <v>46045</v>
      </c>
      <c r="D8492" t="inlineStr">
        <is>
          <t>JÄMTLANDS LÄN</t>
        </is>
      </c>
      <c r="E8492" t="inlineStr">
        <is>
          <t>BRÄCKE</t>
        </is>
      </c>
      <c r="F8492" t="inlineStr">
        <is>
          <t>SCA</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34186-2025</t>
        </is>
      </c>
      <c r="B8493" s="1" t="n">
        <v>45845.61497685185</v>
      </c>
      <c r="C8493" s="1" t="n">
        <v>46045</v>
      </c>
      <c r="D8493" t="inlineStr">
        <is>
          <t>JÄMTLANDS LÄN</t>
        </is>
      </c>
      <c r="E8493" t="inlineStr">
        <is>
          <t>STRÖMSUND</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59823-2025</t>
        </is>
      </c>
      <c r="B8494" s="1" t="n">
        <v>45992.64878472222</v>
      </c>
      <c r="C8494" s="1" t="n">
        <v>46045</v>
      </c>
      <c r="D8494" t="inlineStr">
        <is>
          <t>JÄMTLANDS LÄN</t>
        </is>
      </c>
      <c r="E8494" t="inlineStr">
        <is>
          <t>ÅRE</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34189-2025</t>
        </is>
      </c>
      <c r="B8495" s="1" t="n">
        <v>45845.61555555555</v>
      </c>
      <c r="C8495" s="1" t="n">
        <v>46045</v>
      </c>
      <c r="D8495" t="inlineStr">
        <is>
          <t>JÄMTLANDS LÄN</t>
        </is>
      </c>
      <c r="E8495" t="inlineStr">
        <is>
          <t>BRÄCKE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34338-2025</t>
        </is>
      </c>
      <c r="B8496" s="1" t="n">
        <v>45846.45711805556</v>
      </c>
      <c r="C8496" s="1" t="n">
        <v>46045</v>
      </c>
      <c r="D8496" t="inlineStr">
        <is>
          <t>JÄMTLANDS LÄN</t>
        </is>
      </c>
      <c r="E8496" t="inlineStr">
        <is>
          <t>BRÄCKE</t>
        </is>
      </c>
      <c r="G8496" t="n">
        <v>13.3</v>
      </c>
      <c r="H8496" t="n">
        <v>0</v>
      </c>
      <c r="I8496" t="n">
        <v>0</v>
      </c>
      <c r="J8496" t="n">
        <v>0</v>
      </c>
      <c r="K8496" t="n">
        <v>0</v>
      </c>
      <c r="L8496" t="n">
        <v>0</v>
      </c>
      <c r="M8496" t="n">
        <v>0</v>
      </c>
      <c r="N8496" t="n">
        <v>0</v>
      </c>
      <c r="O8496" t="n">
        <v>0</v>
      </c>
      <c r="P8496" t="n">
        <v>0</v>
      </c>
      <c r="Q8496" t="n">
        <v>0</v>
      </c>
      <c r="R8496" s="2" t="inlineStr"/>
    </row>
    <row r="8497" ht="15" customHeight="1">
      <c r="A8497" t="inlineStr">
        <is>
          <t>A 39202-2025</t>
        </is>
      </c>
      <c r="B8497" s="1" t="n">
        <v>45888.72116898148</v>
      </c>
      <c r="C8497" s="1" t="n">
        <v>46045</v>
      </c>
      <c r="D8497" t="inlineStr">
        <is>
          <t>JÄMTLANDS LÄN</t>
        </is>
      </c>
      <c r="E8497" t="inlineStr">
        <is>
          <t>ÅRE</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11557-2023</t>
        </is>
      </c>
      <c r="B8498" s="1" t="n">
        <v>44993.94950231481</v>
      </c>
      <c r="C8498" s="1" t="n">
        <v>46045</v>
      </c>
      <c r="D8498" t="inlineStr">
        <is>
          <t>JÄMTLANDS LÄN</t>
        </is>
      </c>
      <c r="E8498" t="inlineStr">
        <is>
          <t>RAGUNDA</t>
        </is>
      </c>
      <c r="F8498" t="inlineStr">
        <is>
          <t>SCA</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11562-2023</t>
        </is>
      </c>
      <c r="B8499" s="1" t="n">
        <v>44993</v>
      </c>
      <c r="C8499" s="1" t="n">
        <v>46045</v>
      </c>
      <c r="D8499" t="inlineStr">
        <is>
          <t>JÄMTLANDS LÄN</t>
        </is>
      </c>
      <c r="E8499" t="inlineStr">
        <is>
          <t>RAGUNDA</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39263-2024</t>
        </is>
      </c>
      <c r="B8500" s="1" t="n">
        <v>45551.34414351852</v>
      </c>
      <c r="C8500" s="1" t="n">
        <v>46045</v>
      </c>
      <c r="D8500" t="inlineStr">
        <is>
          <t>JÄMTLANDS LÄN</t>
        </is>
      </c>
      <c r="E8500" t="inlineStr">
        <is>
          <t>KROKOM</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24307-2024</t>
        </is>
      </c>
      <c r="B8501" s="1" t="n">
        <v>45457.49471064815</v>
      </c>
      <c r="C8501" s="1" t="n">
        <v>46045</v>
      </c>
      <c r="D8501" t="inlineStr">
        <is>
          <t>JÄMTLANDS LÄN</t>
        </is>
      </c>
      <c r="E8501" t="inlineStr">
        <is>
          <t>BRÄCKE</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59358-2025</t>
        </is>
      </c>
      <c r="B8502" s="1" t="n">
        <v>45989.42762731481</v>
      </c>
      <c r="C8502" s="1" t="n">
        <v>46045</v>
      </c>
      <c r="D8502" t="inlineStr">
        <is>
          <t>JÄMTLANDS LÄN</t>
        </is>
      </c>
      <c r="E8502" t="inlineStr">
        <is>
          <t>STRÖMSUND</t>
        </is>
      </c>
      <c r="F8502" t="inlineStr">
        <is>
          <t>SCA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1226-2026</t>
        </is>
      </c>
      <c r="B8503" s="1" t="n">
        <v>46031.40679398148</v>
      </c>
      <c r="C8503" s="1" t="n">
        <v>46045</v>
      </c>
      <c r="D8503" t="inlineStr">
        <is>
          <t>JÄMTLANDS LÄN</t>
        </is>
      </c>
      <c r="E8503" t="inlineStr">
        <is>
          <t>BRÄCKE</t>
        </is>
      </c>
      <c r="F8503" t="inlineStr">
        <is>
          <t>SCA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1549-2026</t>
        </is>
      </c>
      <c r="B8504" s="1" t="n">
        <v>46034.3871412037</v>
      </c>
      <c r="C8504" s="1" t="n">
        <v>46045</v>
      </c>
      <c r="D8504" t="inlineStr">
        <is>
          <t>JÄMTLANDS LÄN</t>
        </is>
      </c>
      <c r="E8504" t="inlineStr">
        <is>
          <t>STRÖMSUND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1552-2026</t>
        </is>
      </c>
      <c r="B8505" s="1" t="n">
        <v>46034.38729166667</v>
      </c>
      <c r="C8505" s="1" t="n">
        <v>46045</v>
      </c>
      <c r="D8505" t="inlineStr">
        <is>
          <t>JÄMTLANDS LÄN</t>
        </is>
      </c>
      <c r="E8505" t="inlineStr">
        <is>
          <t>ÖSTERSUND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25413-2024</t>
        </is>
      </c>
      <c r="B8506" s="1" t="n">
        <v>45462</v>
      </c>
      <c r="C8506" s="1" t="n">
        <v>46045</v>
      </c>
      <c r="D8506" t="inlineStr">
        <is>
          <t>JÄMTLANDS LÄN</t>
        </is>
      </c>
      <c r="E8506" t="inlineStr">
        <is>
          <t>BRÄCKE</t>
        </is>
      </c>
      <c r="F8506" t="inlineStr">
        <is>
          <t>SCA</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36539-2025</t>
        </is>
      </c>
      <c r="B8507" s="1" t="n">
        <v>45869</v>
      </c>
      <c r="C8507" s="1" t="n">
        <v>46045</v>
      </c>
      <c r="D8507" t="inlineStr">
        <is>
          <t>JÄMTLANDS LÄN</t>
        </is>
      </c>
      <c r="E8507" t="inlineStr">
        <is>
          <t>HÄRJEDALEN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59430-2025</t>
        </is>
      </c>
      <c r="B8508" s="1" t="n">
        <v>45989.54789351852</v>
      </c>
      <c r="C8508" s="1" t="n">
        <v>46045</v>
      </c>
      <c r="D8508" t="inlineStr">
        <is>
          <t>JÄMTLANDS LÄN</t>
        </is>
      </c>
      <c r="E8508" t="inlineStr">
        <is>
          <t>HÄRJEDALEN</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39115-2025</t>
        </is>
      </c>
      <c r="B8509" s="1" t="n">
        <v>45888.55096064815</v>
      </c>
      <c r="C8509" s="1" t="n">
        <v>46045</v>
      </c>
      <c r="D8509" t="inlineStr">
        <is>
          <t>JÄMTLANDS LÄN</t>
        </is>
      </c>
      <c r="E8509" t="inlineStr">
        <is>
          <t>ÅRE</t>
        </is>
      </c>
      <c r="F8509" t="inlineStr">
        <is>
          <t>Övriga statliga verk och myndigheter</t>
        </is>
      </c>
      <c r="G8509" t="n">
        <v>11.4</v>
      </c>
      <c r="H8509" t="n">
        <v>0</v>
      </c>
      <c r="I8509" t="n">
        <v>0</v>
      </c>
      <c r="J8509" t="n">
        <v>0</v>
      </c>
      <c r="K8509" t="n">
        <v>0</v>
      </c>
      <c r="L8509" t="n">
        <v>0</v>
      </c>
      <c r="M8509" t="n">
        <v>0</v>
      </c>
      <c r="N8509" t="n">
        <v>0</v>
      </c>
      <c r="O8509" t="n">
        <v>0</v>
      </c>
      <c r="P8509" t="n">
        <v>0</v>
      </c>
      <c r="Q8509" t="n">
        <v>0</v>
      </c>
      <c r="R8509" s="2" t="inlineStr"/>
    </row>
    <row r="8510" ht="15" customHeight="1">
      <c r="A8510" t="inlineStr">
        <is>
          <t>A 33945-2025</t>
        </is>
      </c>
      <c r="B8510" s="1" t="n">
        <v>45842</v>
      </c>
      <c r="C8510" s="1" t="n">
        <v>46045</v>
      </c>
      <c r="D8510" t="inlineStr">
        <is>
          <t>JÄMTLANDS LÄN</t>
        </is>
      </c>
      <c r="E8510" t="inlineStr">
        <is>
          <t>KROKOM</t>
        </is>
      </c>
      <c r="G8510" t="n">
        <v>7</v>
      </c>
      <c r="H8510" t="n">
        <v>0</v>
      </c>
      <c r="I8510" t="n">
        <v>0</v>
      </c>
      <c r="J8510" t="n">
        <v>0</v>
      </c>
      <c r="K8510" t="n">
        <v>0</v>
      </c>
      <c r="L8510" t="n">
        <v>0</v>
      </c>
      <c r="M8510" t="n">
        <v>0</v>
      </c>
      <c r="N8510" t="n">
        <v>0</v>
      </c>
      <c r="O8510" t="n">
        <v>0</v>
      </c>
      <c r="P8510" t="n">
        <v>0</v>
      </c>
      <c r="Q8510" t="n">
        <v>0</v>
      </c>
      <c r="R8510" s="2" t="inlineStr"/>
    </row>
    <row r="8511" ht="15" customHeight="1">
      <c r="A8511" t="inlineStr">
        <is>
          <t>A 8780-2025</t>
        </is>
      </c>
      <c r="B8511" s="1" t="n">
        <v>45712.615625</v>
      </c>
      <c r="C8511" s="1" t="n">
        <v>46045</v>
      </c>
      <c r="D8511" t="inlineStr">
        <is>
          <t>JÄMTLANDS LÄN</t>
        </is>
      </c>
      <c r="E8511" t="inlineStr">
        <is>
          <t>BRÄCKE</t>
        </is>
      </c>
      <c r="F8511" t="inlineStr">
        <is>
          <t>SCA</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1401-2026</t>
        </is>
      </c>
      <c r="B8512" s="1" t="n">
        <v>46031.64333333333</v>
      </c>
      <c r="C8512" s="1" t="n">
        <v>46045</v>
      </c>
      <c r="D8512" t="inlineStr">
        <is>
          <t>JÄMTLANDS LÄN</t>
        </is>
      </c>
      <c r="E8512" t="inlineStr">
        <is>
          <t>BERG</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1407-2026</t>
        </is>
      </c>
      <c r="B8513" s="1" t="n">
        <v>46031.64733796296</v>
      </c>
      <c r="C8513" s="1" t="n">
        <v>46045</v>
      </c>
      <c r="D8513" t="inlineStr">
        <is>
          <t>JÄMTLANDS LÄN</t>
        </is>
      </c>
      <c r="E8513" t="inlineStr">
        <is>
          <t>BERG</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59447-2025</t>
        </is>
      </c>
      <c r="B8514" s="1" t="n">
        <v>45989</v>
      </c>
      <c r="C8514" s="1" t="n">
        <v>46045</v>
      </c>
      <c r="D8514" t="inlineStr">
        <is>
          <t>JÄMTLANDS LÄN</t>
        </is>
      </c>
      <c r="E8514" t="inlineStr">
        <is>
          <t>BERG</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34222-2025</t>
        </is>
      </c>
      <c r="B8515" s="1" t="n">
        <v>45845.65076388889</v>
      </c>
      <c r="C8515" s="1" t="n">
        <v>46045</v>
      </c>
      <c r="D8515" t="inlineStr">
        <is>
          <t>JÄMTLANDS LÄN</t>
        </is>
      </c>
      <c r="E8515" t="inlineStr">
        <is>
          <t>STRÖMSUND</t>
        </is>
      </c>
      <c r="F8515" t="inlineStr">
        <is>
          <t>Holmen skog AB</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34294-2025</t>
        </is>
      </c>
      <c r="B8516" s="1" t="n">
        <v>45846.34422453704</v>
      </c>
      <c r="C8516" s="1" t="n">
        <v>46045</v>
      </c>
      <c r="D8516" t="inlineStr">
        <is>
          <t>JÄMTLANDS LÄN</t>
        </is>
      </c>
      <c r="E8516" t="inlineStr">
        <is>
          <t>BRÄCKE</t>
        </is>
      </c>
      <c r="F8516" t="inlineStr">
        <is>
          <t>SCA</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58989-2025</t>
        </is>
      </c>
      <c r="B8517" s="1" t="n">
        <v>45987</v>
      </c>
      <c r="C8517" s="1" t="n">
        <v>46045</v>
      </c>
      <c r="D8517" t="inlineStr">
        <is>
          <t>JÄMTLANDS LÄN</t>
        </is>
      </c>
      <c r="E8517" t="inlineStr">
        <is>
          <t>STRÖMSUND</t>
        </is>
      </c>
      <c r="F8517" t="inlineStr">
        <is>
          <t>SCA</t>
        </is>
      </c>
      <c r="G8517" t="n">
        <v>10.2</v>
      </c>
      <c r="H8517" t="n">
        <v>0</v>
      </c>
      <c r="I8517" t="n">
        <v>0</v>
      </c>
      <c r="J8517" t="n">
        <v>0</v>
      </c>
      <c r="K8517" t="n">
        <v>0</v>
      </c>
      <c r="L8517" t="n">
        <v>0</v>
      </c>
      <c r="M8517" t="n">
        <v>0</v>
      </c>
      <c r="N8517" t="n">
        <v>0</v>
      </c>
      <c r="O8517" t="n">
        <v>0</v>
      </c>
      <c r="P8517" t="n">
        <v>0</v>
      </c>
      <c r="Q8517" t="n">
        <v>0</v>
      </c>
      <c r="R8517" s="2" t="inlineStr"/>
    </row>
    <row r="8518" ht="15" customHeight="1">
      <c r="A8518" t="inlineStr">
        <is>
          <t>A 59612-2025</t>
        </is>
      </c>
      <c r="B8518" s="1" t="n">
        <v>45992.3706712963</v>
      </c>
      <c r="C8518" s="1" t="n">
        <v>46045</v>
      </c>
      <c r="D8518" t="inlineStr">
        <is>
          <t>JÄMTLANDS LÄN</t>
        </is>
      </c>
      <c r="E8518" t="inlineStr">
        <is>
          <t>ÖSTERSUND</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37290-2025</t>
        </is>
      </c>
      <c r="B8519" s="1" t="n">
        <v>45876</v>
      </c>
      <c r="C8519" s="1" t="n">
        <v>46045</v>
      </c>
      <c r="D8519" t="inlineStr">
        <is>
          <t>JÄMTLANDS LÄN</t>
        </is>
      </c>
      <c r="E8519" t="inlineStr">
        <is>
          <t>HÄRJEDALEN</t>
        </is>
      </c>
      <c r="F8519" t="inlineStr">
        <is>
          <t>Bergvik skog väst AB</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59730-2025</t>
        </is>
      </c>
      <c r="B8520" s="1" t="n">
        <v>45992.56011574074</v>
      </c>
      <c r="C8520" s="1" t="n">
        <v>46045</v>
      </c>
      <c r="D8520" t="inlineStr">
        <is>
          <t>JÄMTLANDS LÄN</t>
        </is>
      </c>
      <c r="E8520" t="inlineStr">
        <is>
          <t>STRÖMSUND</t>
        </is>
      </c>
      <c r="G8520" t="n">
        <v>6.7</v>
      </c>
      <c r="H8520" t="n">
        <v>0</v>
      </c>
      <c r="I8520" t="n">
        <v>0</v>
      </c>
      <c r="J8520" t="n">
        <v>0</v>
      </c>
      <c r="K8520" t="n">
        <v>0</v>
      </c>
      <c r="L8520" t="n">
        <v>0</v>
      </c>
      <c r="M8520" t="n">
        <v>0</v>
      </c>
      <c r="N8520" t="n">
        <v>0</v>
      </c>
      <c r="O8520" t="n">
        <v>0</v>
      </c>
      <c r="P8520" t="n">
        <v>0</v>
      </c>
      <c r="Q8520" t="n">
        <v>0</v>
      </c>
      <c r="R8520" s="2" t="inlineStr"/>
    </row>
    <row r="8521" ht="15" customHeight="1">
      <c r="A8521" t="inlineStr">
        <is>
          <t>A 34254-2025</t>
        </is>
      </c>
      <c r="B8521" s="1" t="n">
        <v>45845.6920949074</v>
      </c>
      <c r="C8521" s="1" t="n">
        <v>46045</v>
      </c>
      <c r="D8521" t="inlineStr">
        <is>
          <t>JÄMTLANDS LÄN</t>
        </is>
      </c>
      <c r="E8521" t="inlineStr">
        <is>
          <t>HÄRJEDALEN</t>
        </is>
      </c>
      <c r="F8521" t="inlineStr">
        <is>
          <t>Kyrkan</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59738-2025</t>
        </is>
      </c>
      <c r="B8522" s="1" t="n">
        <v>45992.57408564815</v>
      </c>
      <c r="C8522" s="1" t="n">
        <v>46045</v>
      </c>
      <c r="D8522" t="inlineStr">
        <is>
          <t>JÄMTLANDS LÄN</t>
        </is>
      </c>
      <c r="E8522" t="inlineStr">
        <is>
          <t>RAGUNDA</t>
        </is>
      </c>
      <c r="F8522" t="inlineStr">
        <is>
          <t>SCA</t>
        </is>
      </c>
      <c r="G8522" t="n">
        <v>12.5</v>
      </c>
      <c r="H8522" t="n">
        <v>0</v>
      </c>
      <c r="I8522" t="n">
        <v>0</v>
      </c>
      <c r="J8522" t="n">
        <v>0</v>
      </c>
      <c r="K8522" t="n">
        <v>0</v>
      </c>
      <c r="L8522" t="n">
        <v>0</v>
      </c>
      <c r="M8522" t="n">
        <v>0</v>
      </c>
      <c r="N8522" t="n">
        <v>0</v>
      </c>
      <c r="O8522" t="n">
        <v>0</v>
      </c>
      <c r="P8522" t="n">
        <v>0</v>
      </c>
      <c r="Q8522" t="n">
        <v>0</v>
      </c>
      <c r="R8522" s="2" t="inlineStr"/>
    </row>
    <row r="8523" ht="15" customHeight="1">
      <c r="A8523" t="inlineStr">
        <is>
          <t>A 59739-2025</t>
        </is>
      </c>
      <c r="B8523" s="1" t="n">
        <v>45992.57417824074</v>
      </c>
      <c r="C8523" s="1" t="n">
        <v>46045</v>
      </c>
      <c r="D8523" t="inlineStr">
        <is>
          <t>JÄMTLANDS LÄN</t>
        </is>
      </c>
      <c r="E8523" t="inlineStr">
        <is>
          <t>RAGUNDA</t>
        </is>
      </c>
      <c r="F8523" t="inlineStr">
        <is>
          <t>SCA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59824-2025</t>
        </is>
      </c>
      <c r="B8524" s="1" t="n">
        <v>45992.65116898148</v>
      </c>
      <c r="C8524" s="1" t="n">
        <v>46045</v>
      </c>
      <c r="D8524" t="inlineStr">
        <is>
          <t>JÄMTLANDS LÄN</t>
        </is>
      </c>
      <c r="E8524" t="inlineStr">
        <is>
          <t>BERG</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34296-2025</t>
        </is>
      </c>
      <c r="B8525" s="1" t="n">
        <v>45846.34454861111</v>
      </c>
      <c r="C8525" s="1" t="n">
        <v>46045</v>
      </c>
      <c r="D8525" t="inlineStr">
        <is>
          <t>JÄMTLANDS LÄN</t>
        </is>
      </c>
      <c r="E8525" t="inlineStr">
        <is>
          <t>RAGUNDA</t>
        </is>
      </c>
      <c r="F8525" t="inlineStr">
        <is>
          <t>SCA</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59687-2025</t>
        </is>
      </c>
      <c r="B8526" s="1" t="n">
        <v>45992.47729166667</v>
      </c>
      <c r="C8526" s="1" t="n">
        <v>46045</v>
      </c>
      <c r="D8526" t="inlineStr">
        <is>
          <t>JÄMTLANDS LÄN</t>
        </is>
      </c>
      <c r="E8526" t="inlineStr">
        <is>
          <t>ÖSTERSUND</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59470-2025</t>
        </is>
      </c>
      <c r="B8527" s="1" t="n">
        <v>45989.58270833334</v>
      </c>
      <c r="C8527" s="1" t="n">
        <v>46045</v>
      </c>
      <c r="D8527" t="inlineStr">
        <is>
          <t>JÄMTLANDS LÄN</t>
        </is>
      </c>
      <c r="E8527" t="inlineStr">
        <is>
          <t>HÄRJEDALEN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63546-2023</t>
        </is>
      </c>
      <c r="B8528" s="1" t="n">
        <v>45275</v>
      </c>
      <c r="C8528" s="1" t="n">
        <v>46045</v>
      </c>
      <c r="D8528" t="inlineStr">
        <is>
          <t>JÄMTLANDS LÄN</t>
        </is>
      </c>
      <c r="E8528" t="inlineStr">
        <is>
          <t>HÄRJEDALEN</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34036-2025</t>
        </is>
      </c>
      <c r="B8529" s="1" t="n">
        <v>45845.36954861111</v>
      </c>
      <c r="C8529" s="1" t="n">
        <v>46045</v>
      </c>
      <c r="D8529" t="inlineStr">
        <is>
          <t>JÄMTLANDS LÄN</t>
        </is>
      </c>
      <c r="E8529" t="inlineStr">
        <is>
          <t>BERG</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34030-2025</t>
        </is>
      </c>
      <c r="B8530" s="1" t="n">
        <v>45845.3633912037</v>
      </c>
      <c r="C8530" s="1" t="n">
        <v>46045</v>
      </c>
      <c r="D8530" t="inlineStr">
        <is>
          <t>JÄMTLANDS LÄN</t>
        </is>
      </c>
      <c r="E8530" t="inlineStr">
        <is>
          <t>BERG</t>
        </is>
      </c>
      <c r="G8530" t="n">
        <v>13.5</v>
      </c>
      <c r="H8530" t="n">
        <v>0</v>
      </c>
      <c r="I8530" t="n">
        <v>0</v>
      </c>
      <c r="J8530" t="n">
        <v>0</v>
      </c>
      <c r="K8530" t="n">
        <v>0</v>
      </c>
      <c r="L8530" t="n">
        <v>0</v>
      </c>
      <c r="M8530" t="n">
        <v>0</v>
      </c>
      <c r="N8530" t="n">
        <v>0</v>
      </c>
      <c r="O8530" t="n">
        <v>0</v>
      </c>
      <c r="P8530" t="n">
        <v>0</v>
      </c>
      <c r="Q8530" t="n">
        <v>0</v>
      </c>
      <c r="R8530" s="2" t="inlineStr"/>
    </row>
    <row r="8531" ht="15" customHeight="1">
      <c r="A8531" t="inlineStr">
        <is>
          <t>A 59705-2025</t>
        </is>
      </c>
      <c r="B8531" s="1" t="n">
        <v>45992.50228009259</v>
      </c>
      <c r="C8531" s="1" t="n">
        <v>46045</v>
      </c>
      <c r="D8531" t="inlineStr">
        <is>
          <t>JÄMTLANDS LÄN</t>
        </is>
      </c>
      <c r="E8531" t="inlineStr">
        <is>
          <t>KROKOM</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59417-2025</t>
        </is>
      </c>
      <c r="B8532" s="1" t="n">
        <v>45989.51085648148</v>
      </c>
      <c r="C8532" s="1" t="n">
        <v>46045</v>
      </c>
      <c r="D8532" t="inlineStr">
        <is>
          <t>JÄMTLANDS LÄN</t>
        </is>
      </c>
      <c r="E8532" t="inlineStr">
        <is>
          <t>KROKOM</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59480-2025</t>
        </is>
      </c>
      <c r="B8533" s="1" t="n">
        <v>45989.58947916667</v>
      </c>
      <c r="C8533" s="1" t="n">
        <v>46045</v>
      </c>
      <c r="D8533" t="inlineStr">
        <is>
          <t>JÄMTLANDS LÄN</t>
        </is>
      </c>
      <c r="E8533" t="inlineStr">
        <is>
          <t>HÄRJEDALEN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59547-2025</t>
        </is>
      </c>
      <c r="B8534" s="1" t="n">
        <v>45990.34509259259</v>
      </c>
      <c r="C8534" s="1" t="n">
        <v>46045</v>
      </c>
      <c r="D8534" t="inlineStr">
        <is>
          <t>JÄMTLANDS LÄN</t>
        </is>
      </c>
      <c r="E8534" t="inlineStr">
        <is>
          <t>BRÄCKE</t>
        </is>
      </c>
      <c r="F8534" t="inlineStr">
        <is>
          <t>SCA</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59553-2025</t>
        </is>
      </c>
      <c r="B8535" s="1" t="n">
        <v>45990.51078703703</v>
      </c>
      <c r="C8535" s="1" t="n">
        <v>46045</v>
      </c>
      <c r="D8535" t="inlineStr">
        <is>
          <t>JÄMTLANDS LÄN</t>
        </is>
      </c>
      <c r="E8535" t="inlineStr">
        <is>
          <t>STRÖMSUND</t>
        </is>
      </c>
      <c r="F8535" t="inlineStr">
        <is>
          <t>SCA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43294-2024</t>
        </is>
      </c>
      <c r="B8536" s="1" t="n">
        <v>45568</v>
      </c>
      <c r="C8536" s="1" t="n">
        <v>46045</v>
      </c>
      <c r="D8536" t="inlineStr">
        <is>
          <t>JÄMTLANDS LÄN</t>
        </is>
      </c>
      <c r="E8536" t="inlineStr">
        <is>
          <t>HÄRJEDALEN</t>
        </is>
      </c>
      <c r="F8536" t="inlineStr">
        <is>
          <t>SCA</t>
        </is>
      </c>
      <c r="G8536" t="n">
        <v>18.5</v>
      </c>
      <c r="H8536" t="n">
        <v>0</v>
      </c>
      <c r="I8536" t="n">
        <v>0</v>
      </c>
      <c r="J8536" t="n">
        <v>0</v>
      </c>
      <c r="K8536" t="n">
        <v>0</v>
      </c>
      <c r="L8536" t="n">
        <v>0</v>
      </c>
      <c r="M8536" t="n">
        <v>0</v>
      </c>
      <c r="N8536" t="n">
        <v>0</v>
      </c>
      <c r="O8536" t="n">
        <v>0</v>
      </c>
      <c r="P8536" t="n">
        <v>0</v>
      </c>
      <c r="Q8536" t="n">
        <v>0</v>
      </c>
      <c r="R8536" s="2" t="inlineStr"/>
    </row>
    <row r="8537" ht="15" customHeight="1">
      <c r="A8537" t="inlineStr">
        <is>
          <t>A 34322-2025</t>
        </is>
      </c>
      <c r="B8537" s="1" t="n">
        <v>45846.42747685185</v>
      </c>
      <c r="C8537" s="1" t="n">
        <v>46045</v>
      </c>
      <c r="D8537" t="inlineStr">
        <is>
          <t>JÄMTLANDS LÄN</t>
        </is>
      </c>
      <c r="E8537" t="inlineStr">
        <is>
          <t>BRÄCKE</t>
        </is>
      </c>
      <c r="F8537" t="inlineStr">
        <is>
          <t>SCA</t>
        </is>
      </c>
      <c r="G8537" t="n">
        <v>32.6</v>
      </c>
      <c r="H8537" t="n">
        <v>0</v>
      </c>
      <c r="I8537" t="n">
        <v>0</v>
      </c>
      <c r="J8537" t="n">
        <v>0</v>
      </c>
      <c r="K8537" t="n">
        <v>0</v>
      </c>
      <c r="L8537" t="n">
        <v>0</v>
      </c>
      <c r="M8537" t="n">
        <v>0</v>
      </c>
      <c r="N8537" t="n">
        <v>0</v>
      </c>
      <c r="O8537" t="n">
        <v>0</v>
      </c>
      <c r="P8537" t="n">
        <v>0</v>
      </c>
      <c r="Q8537" t="n">
        <v>0</v>
      </c>
      <c r="R8537" s="2" t="inlineStr"/>
    </row>
    <row r="8538" ht="15" customHeight="1">
      <c r="A8538" t="inlineStr">
        <is>
          <t>A 12813-2023</t>
        </is>
      </c>
      <c r="B8538" s="1" t="n">
        <v>45000</v>
      </c>
      <c r="C8538" s="1" t="n">
        <v>46045</v>
      </c>
      <c r="D8538" t="inlineStr">
        <is>
          <t>JÄMTLANDS LÄN</t>
        </is>
      </c>
      <c r="E8538" t="inlineStr">
        <is>
          <t>KROKOM</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34144-2025</t>
        </is>
      </c>
      <c r="B8539" s="1" t="n">
        <v>45845.55270833334</v>
      </c>
      <c r="C8539" s="1" t="n">
        <v>46045</v>
      </c>
      <c r="D8539" t="inlineStr">
        <is>
          <t>JÄMTLANDS LÄN</t>
        </is>
      </c>
      <c r="E8539" t="inlineStr">
        <is>
          <t>HÄRJEDALEN</t>
        </is>
      </c>
      <c r="G8539" t="n">
        <v>8.5</v>
      </c>
      <c r="H8539" t="n">
        <v>0</v>
      </c>
      <c r="I8539" t="n">
        <v>0</v>
      </c>
      <c r="J8539" t="n">
        <v>0</v>
      </c>
      <c r="K8539" t="n">
        <v>0</v>
      </c>
      <c r="L8539" t="n">
        <v>0</v>
      </c>
      <c r="M8539" t="n">
        <v>0</v>
      </c>
      <c r="N8539" t="n">
        <v>0</v>
      </c>
      <c r="O8539" t="n">
        <v>0</v>
      </c>
      <c r="P8539" t="n">
        <v>0</v>
      </c>
      <c r="Q8539" t="n">
        <v>0</v>
      </c>
      <c r="R8539" s="2" t="inlineStr"/>
    </row>
    <row r="8540" ht="15" customHeight="1">
      <c r="A8540" t="inlineStr">
        <is>
          <t>A 34187-2025</t>
        </is>
      </c>
      <c r="B8540" s="1" t="n">
        <v>45845.61516203704</v>
      </c>
      <c r="C8540" s="1" t="n">
        <v>46045</v>
      </c>
      <c r="D8540" t="inlineStr">
        <is>
          <t>JÄMTLANDS LÄN</t>
        </is>
      </c>
      <c r="E8540" t="inlineStr">
        <is>
          <t>STRÖMSUND</t>
        </is>
      </c>
      <c r="F8540" t="inlineStr">
        <is>
          <t>SCA</t>
        </is>
      </c>
      <c r="G8540" t="n">
        <v>8.6</v>
      </c>
      <c r="H8540" t="n">
        <v>0</v>
      </c>
      <c r="I8540" t="n">
        <v>0</v>
      </c>
      <c r="J8540" t="n">
        <v>0</v>
      </c>
      <c r="K8540" t="n">
        <v>0</v>
      </c>
      <c r="L8540" t="n">
        <v>0</v>
      </c>
      <c r="M8540" t="n">
        <v>0</v>
      </c>
      <c r="N8540" t="n">
        <v>0</v>
      </c>
      <c r="O8540" t="n">
        <v>0</v>
      </c>
      <c r="P8540" t="n">
        <v>0</v>
      </c>
      <c r="Q8540" t="n">
        <v>0</v>
      </c>
      <c r="R8540" s="2" t="inlineStr"/>
    </row>
    <row r="8541" ht="15" customHeight="1">
      <c r="A8541" t="inlineStr">
        <is>
          <t>A 73106-2021</t>
        </is>
      </c>
      <c r="B8541" s="1" t="n">
        <v>44550.45646990741</v>
      </c>
      <c r="C8541" s="1" t="n">
        <v>46045</v>
      </c>
      <c r="D8541" t="inlineStr">
        <is>
          <t>JÄMTLANDS LÄN</t>
        </is>
      </c>
      <c r="E8541" t="inlineStr">
        <is>
          <t>BRÄCKE</t>
        </is>
      </c>
      <c r="F8541" t="inlineStr">
        <is>
          <t>Sveaskog</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34143-2025</t>
        </is>
      </c>
      <c r="B8542" s="1" t="n">
        <v>45845.55266203704</v>
      </c>
      <c r="C8542" s="1" t="n">
        <v>46045</v>
      </c>
      <c r="D8542" t="inlineStr">
        <is>
          <t>JÄMTLANDS LÄN</t>
        </is>
      </c>
      <c r="E8542" t="inlineStr">
        <is>
          <t>HÄRJEDALEN</t>
        </is>
      </c>
      <c r="G8542" t="n">
        <v>5.9</v>
      </c>
      <c r="H8542" t="n">
        <v>0</v>
      </c>
      <c r="I8542" t="n">
        <v>0</v>
      </c>
      <c r="J8542" t="n">
        <v>0</v>
      </c>
      <c r="K8542" t="n">
        <v>0</v>
      </c>
      <c r="L8542" t="n">
        <v>0</v>
      </c>
      <c r="M8542" t="n">
        <v>0</v>
      </c>
      <c r="N8542" t="n">
        <v>0</v>
      </c>
      <c r="O8542" t="n">
        <v>0</v>
      </c>
      <c r="P8542" t="n">
        <v>0</v>
      </c>
      <c r="Q8542" t="n">
        <v>0</v>
      </c>
      <c r="R8542" s="2" t="inlineStr"/>
    </row>
    <row r="8543" ht="15" customHeight="1">
      <c r="A8543" t="inlineStr">
        <is>
          <t>A 59607-2025</t>
        </is>
      </c>
      <c r="B8543" s="1" t="n">
        <v>45992.36519675926</v>
      </c>
      <c r="C8543" s="1" t="n">
        <v>46045</v>
      </c>
      <c r="D8543" t="inlineStr">
        <is>
          <t>JÄMTLANDS LÄN</t>
        </is>
      </c>
      <c r="E8543" t="inlineStr">
        <is>
          <t>STRÖMSUND</t>
        </is>
      </c>
      <c r="F8543" t="inlineStr">
        <is>
          <t>SCA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59608-2025</t>
        </is>
      </c>
      <c r="B8544" s="1" t="n">
        <v>45992.3653587963</v>
      </c>
      <c r="C8544" s="1" t="n">
        <v>46045</v>
      </c>
      <c r="D8544" t="inlineStr">
        <is>
          <t>JÄMTLANDS LÄN</t>
        </is>
      </c>
      <c r="E8544" t="inlineStr">
        <is>
          <t>HÄRJEDALEN</t>
        </is>
      </c>
      <c r="G8544" t="n">
        <v>12.2</v>
      </c>
      <c r="H8544" t="n">
        <v>0</v>
      </c>
      <c r="I8544" t="n">
        <v>0</v>
      </c>
      <c r="J8544" t="n">
        <v>0</v>
      </c>
      <c r="K8544" t="n">
        <v>0</v>
      </c>
      <c r="L8544" t="n">
        <v>0</v>
      </c>
      <c r="M8544" t="n">
        <v>0</v>
      </c>
      <c r="N8544" t="n">
        <v>0</v>
      </c>
      <c r="O8544" t="n">
        <v>0</v>
      </c>
      <c r="P8544" t="n">
        <v>0</v>
      </c>
      <c r="Q8544" t="n">
        <v>0</v>
      </c>
      <c r="R8544" s="2" t="inlineStr"/>
    </row>
    <row r="8545" ht="15" customHeight="1">
      <c r="A8545" t="inlineStr">
        <is>
          <t>A 59613-2025</t>
        </is>
      </c>
      <c r="B8545" s="1" t="n">
        <v>45992.37172453704</v>
      </c>
      <c r="C8545" s="1" t="n">
        <v>46045</v>
      </c>
      <c r="D8545" t="inlineStr">
        <is>
          <t>JÄMTLANDS LÄN</t>
        </is>
      </c>
      <c r="E8545" t="inlineStr">
        <is>
          <t>ÖSTERSUND</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59367-2025</t>
        </is>
      </c>
      <c r="B8546" s="1" t="n">
        <v>45989.44711805556</v>
      </c>
      <c r="C8546" s="1" t="n">
        <v>46045</v>
      </c>
      <c r="D8546" t="inlineStr">
        <is>
          <t>JÄMTLANDS LÄN</t>
        </is>
      </c>
      <c r="E8546" t="inlineStr">
        <is>
          <t>ÅRE</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59741-2025</t>
        </is>
      </c>
      <c r="B8547" s="1" t="n">
        <v>45992.57445601852</v>
      </c>
      <c r="C8547" s="1" t="n">
        <v>46045</v>
      </c>
      <c r="D8547" t="inlineStr">
        <is>
          <t>JÄMTLANDS LÄN</t>
        </is>
      </c>
      <c r="E8547" t="inlineStr">
        <is>
          <t>STRÖMSUND</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1403-2026</t>
        </is>
      </c>
      <c r="B8548" s="1" t="n">
        <v>46031.64429398148</v>
      </c>
      <c r="C8548" s="1" t="n">
        <v>46045</v>
      </c>
      <c r="D8548" t="inlineStr">
        <is>
          <t>JÄMTLANDS LÄN</t>
        </is>
      </c>
      <c r="E8548" t="inlineStr">
        <is>
          <t>HÄRJEDALEN</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59540-2025</t>
        </is>
      </c>
      <c r="B8549" s="1" t="n">
        <v>45990.34428240741</v>
      </c>
      <c r="C8549" s="1" t="n">
        <v>46045</v>
      </c>
      <c r="D8549" t="inlineStr">
        <is>
          <t>JÄMTLANDS LÄN</t>
        </is>
      </c>
      <c r="E8549" t="inlineStr">
        <is>
          <t>STRÖMSUND</t>
        </is>
      </c>
      <c r="F8549" t="inlineStr">
        <is>
          <t>SCA</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1386-2026</t>
        </is>
      </c>
      <c r="B8550" s="1" t="n">
        <v>46031.62633101852</v>
      </c>
      <c r="C8550" s="1" t="n">
        <v>46045</v>
      </c>
      <c r="D8550" t="inlineStr">
        <is>
          <t>JÄMTLANDS LÄN</t>
        </is>
      </c>
      <c r="E8550" t="inlineStr">
        <is>
          <t>BERG</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1391-2026</t>
        </is>
      </c>
      <c r="B8551" s="1" t="n">
        <v>46031.63359953704</v>
      </c>
      <c r="C8551" s="1" t="n">
        <v>46045</v>
      </c>
      <c r="D8551" t="inlineStr">
        <is>
          <t>JÄMTLANDS LÄN</t>
        </is>
      </c>
      <c r="E8551" t="inlineStr">
        <is>
          <t>BERG</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52714-2022</t>
        </is>
      </c>
      <c r="B8552" s="1" t="n">
        <v>44874.95511574074</v>
      </c>
      <c r="C8552" s="1" t="n">
        <v>46045</v>
      </c>
      <c r="D8552" t="inlineStr">
        <is>
          <t>JÄMTLANDS LÄN</t>
        </is>
      </c>
      <c r="E8552" t="inlineStr">
        <is>
          <t>BRÄCKE</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59007-2025</t>
        </is>
      </c>
      <c r="B8553" s="1" t="n">
        <v>45987.69552083333</v>
      </c>
      <c r="C8553" s="1" t="n">
        <v>46045</v>
      </c>
      <c r="D8553" t="inlineStr">
        <is>
          <t>JÄMTLANDS LÄN</t>
        </is>
      </c>
      <c r="E8553" t="inlineStr">
        <is>
          <t>ÖSTERSUND</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59714-2025</t>
        </is>
      </c>
      <c r="B8554" s="1" t="n">
        <v>45992.53175925926</v>
      </c>
      <c r="C8554" s="1" t="n">
        <v>46045</v>
      </c>
      <c r="D8554" t="inlineStr">
        <is>
          <t>JÄMTLANDS LÄN</t>
        </is>
      </c>
      <c r="E8554" t="inlineStr">
        <is>
          <t>STRÖMSUND</t>
        </is>
      </c>
      <c r="G8554" t="n">
        <v>8.699999999999999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59715-2025</t>
        </is>
      </c>
      <c r="B8555" s="1" t="n">
        <v>45992.53178240741</v>
      </c>
      <c r="C8555" s="1" t="n">
        <v>46045</v>
      </c>
      <c r="D8555" t="inlineStr">
        <is>
          <t>JÄMTLANDS LÄN</t>
        </is>
      </c>
      <c r="E8555" t="inlineStr">
        <is>
          <t>STRÖMSUND</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34087-2025</t>
        </is>
      </c>
      <c r="B8556" s="1" t="n">
        <v>45845.46913194445</v>
      </c>
      <c r="C8556" s="1" t="n">
        <v>46045</v>
      </c>
      <c r="D8556" t="inlineStr">
        <is>
          <t>JÄMTLANDS LÄN</t>
        </is>
      </c>
      <c r="E8556" t="inlineStr">
        <is>
          <t>BRÄCKE</t>
        </is>
      </c>
      <c r="F8556" t="inlineStr">
        <is>
          <t>SCA</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1196-2026</t>
        </is>
      </c>
      <c r="B8557" s="1" t="n">
        <v>46031.3709837963</v>
      </c>
      <c r="C8557" s="1" t="n">
        <v>46045</v>
      </c>
      <c r="D8557" t="inlineStr">
        <is>
          <t>JÄMTLANDS LÄN</t>
        </is>
      </c>
      <c r="E8557" t="inlineStr">
        <is>
          <t>HÄRJEDALEN</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1498-2026</t>
        </is>
      </c>
      <c r="B8558" s="1" t="n">
        <v>46034.331875</v>
      </c>
      <c r="C8558" s="1" t="n">
        <v>46045</v>
      </c>
      <c r="D8558" t="inlineStr">
        <is>
          <t>JÄMTLANDS LÄN</t>
        </is>
      </c>
      <c r="E8558" t="inlineStr">
        <is>
          <t>BERG</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20480-2024</t>
        </is>
      </c>
      <c r="B8559" s="1" t="n">
        <v>45435.71126157408</v>
      </c>
      <c r="C8559" s="1" t="n">
        <v>46045</v>
      </c>
      <c r="D8559" t="inlineStr">
        <is>
          <t>JÄMTLANDS LÄN</t>
        </is>
      </c>
      <c r="E8559" t="inlineStr">
        <is>
          <t>ÅRE</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30287-2024</t>
        </is>
      </c>
      <c r="B8560" s="1" t="n">
        <v>45490.6452199074</v>
      </c>
      <c r="C8560" s="1" t="n">
        <v>46045</v>
      </c>
      <c r="D8560" t="inlineStr">
        <is>
          <t>JÄMTLANDS LÄN</t>
        </is>
      </c>
      <c r="E8560" t="inlineStr">
        <is>
          <t>BRÄCKE</t>
        </is>
      </c>
      <c r="G8560" t="n">
        <v>8.300000000000001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5175-2023</t>
        </is>
      </c>
      <c r="B8561" s="1" t="n">
        <v>44958.94298611111</v>
      </c>
      <c r="C8561" s="1" t="n">
        <v>46045</v>
      </c>
      <c r="D8561" t="inlineStr">
        <is>
          <t>JÄMTLANDS LÄN</t>
        </is>
      </c>
      <c r="E8561" t="inlineStr">
        <is>
          <t>RAGUNDA</t>
        </is>
      </c>
      <c r="F8561" t="inlineStr">
        <is>
          <t>SCA</t>
        </is>
      </c>
      <c r="G8561" t="n">
        <v>17.9</v>
      </c>
      <c r="H8561" t="n">
        <v>0</v>
      </c>
      <c r="I8561" t="n">
        <v>0</v>
      </c>
      <c r="J8561" t="n">
        <v>0</v>
      </c>
      <c r="K8561" t="n">
        <v>0</v>
      </c>
      <c r="L8561" t="n">
        <v>0</v>
      </c>
      <c r="M8561" t="n">
        <v>0</v>
      </c>
      <c r="N8561" t="n">
        <v>0</v>
      </c>
      <c r="O8561" t="n">
        <v>0</v>
      </c>
      <c r="P8561" t="n">
        <v>0</v>
      </c>
      <c r="Q8561" t="n">
        <v>0</v>
      </c>
      <c r="R8561" s="2" t="inlineStr"/>
    </row>
    <row r="8562" ht="15" customHeight="1">
      <c r="A8562" t="inlineStr">
        <is>
          <t>A 34207-2025</t>
        </is>
      </c>
      <c r="B8562" s="1" t="n">
        <v>45845.63596064815</v>
      </c>
      <c r="C8562" s="1" t="n">
        <v>46045</v>
      </c>
      <c r="D8562" t="inlineStr">
        <is>
          <t>JÄMTLANDS LÄN</t>
        </is>
      </c>
      <c r="E8562" t="inlineStr">
        <is>
          <t>STRÖMSUND</t>
        </is>
      </c>
      <c r="F8562" t="inlineStr">
        <is>
          <t>SCA</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1351-2026</t>
        </is>
      </c>
      <c r="B8563" s="1" t="n">
        <v>46031.59424768519</v>
      </c>
      <c r="C8563" s="1" t="n">
        <v>46045</v>
      </c>
      <c r="D8563" t="inlineStr">
        <is>
          <t>JÄMTLANDS LÄN</t>
        </is>
      </c>
      <c r="E8563" t="inlineStr">
        <is>
          <t>STRÖMSUND</t>
        </is>
      </c>
      <c r="F8563" t="inlineStr">
        <is>
          <t>SCA</t>
        </is>
      </c>
      <c r="G8563" t="n">
        <v>33.4</v>
      </c>
      <c r="H8563" t="n">
        <v>0</v>
      </c>
      <c r="I8563" t="n">
        <v>0</v>
      </c>
      <c r="J8563" t="n">
        <v>0</v>
      </c>
      <c r="K8563" t="n">
        <v>0</v>
      </c>
      <c r="L8563" t="n">
        <v>0</v>
      </c>
      <c r="M8563" t="n">
        <v>0</v>
      </c>
      <c r="N8563" t="n">
        <v>0</v>
      </c>
      <c r="O8563" t="n">
        <v>0</v>
      </c>
      <c r="P8563" t="n">
        <v>0</v>
      </c>
      <c r="Q8563" t="n">
        <v>0</v>
      </c>
      <c r="R8563" s="2" t="inlineStr"/>
    </row>
    <row r="8564" ht="15" customHeight="1">
      <c r="A8564" t="inlineStr">
        <is>
          <t>A 59401-2025</t>
        </is>
      </c>
      <c r="B8564" s="1" t="n">
        <v>45989.48791666667</v>
      </c>
      <c r="C8564" s="1" t="n">
        <v>46045</v>
      </c>
      <c r="D8564" t="inlineStr">
        <is>
          <t>JÄMTLANDS LÄN</t>
        </is>
      </c>
      <c r="E8564" t="inlineStr">
        <is>
          <t>BERG</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59411-2025</t>
        </is>
      </c>
      <c r="B8565" s="1" t="n">
        <v>45989.49638888889</v>
      </c>
      <c r="C8565" s="1" t="n">
        <v>46045</v>
      </c>
      <c r="D8565" t="inlineStr">
        <is>
          <t>JÄMTLANDS LÄN</t>
        </is>
      </c>
      <c r="E8565" t="inlineStr">
        <is>
          <t>BERG</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59415-2025</t>
        </is>
      </c>
      <c r="B8566" s="1" t="n">
        <v>45989.50196759259</v>
      </c>
      <c r="C8566" s="1" t="n">
        <v>46045</v>
      </c>
      <c r="D8566" t="inlineStr">
        <is>
          <t>JÄMTLANDS LÄN</t>
        </is>
      </c>
      <c r="E8566" t="inlineStr">
        <is>
          <t>BERG</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1228-2026</t>
        </is>
      </c>
      <c r="B8567" s="1" t="n">
        <v>46031.40701388889</v>
      </c>
      <c r="C8567" s="1" t="n">
        <v>46045</v>
      </c>
      <c r="D8567" t="inlineStr">
        <is>
          <t>JÄMTLANDS LÄN</t>
        </is>
      </c>
      <c r="E8567" t="inlineStr">
        <is>
          <t>STRÖMSUND</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34206-2025</t>
        </is>
      </c>
      <c r="B8568" s="1" t="n">
        <v>45845.6358912037</v>
      </c>
      <c r="C8568" s="1" t="n">
        <v>46045</v>
      </c>
      <c r="D8568" t="inlineStr">
        <is>
          <t>JÄMTLANDS LÄN</t>
        </is>
      </c>
      <c r="E8568" t="inlineStr">
        <is>
          <t>STRÖMSUND</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34331-2025</t>
        </is>
      </c>
      <c r="B8569" s="1" t="n">
        <v>45846.44827546296</v>
      </c>
      <c r="C8569" s="1" t="n">
        <v>46045</v>
      </c>
      <c r="D8569" t="inlineStr">
        <is>
          <t>JÄMTLANDS LÄN</t>
        </is>
      </c>
      <c r="E8569" t="inlineStr">
        <is>
          <t>ÖSTERSUND</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34142-2025</t>
        </is>
      </c>
      <c r="B8570" s="1" t="n">
        <v>45845.55259259259</v>
      </c>
      <c r="C8570" s="1" t="n">
        <v>46045</v>
      </c>
      <c r="D8570" t="inlineStr">
        <is>
          <t>JÄMTLANDS LÄN</t>
        </is>
      </c>
      <c r="E8570" t="inlineStr">
        <is>
          <t>HÄRJEDALEN</t>
        </is>
      </c>
      <c r="G8570" t="n">
        <v>10.7</v>
      </c>
      <c r="H8570" t="n">
        <v>0</v>
      </c>
      <c r="I8570" t="n">
        <v>0</v>
      </c>
      <c r="J8570" t="n">
        <v>0</v>
      </c>
      <c r="K8570" t="n">
        <v>0</v>
      </c>
      <c r="L8570" t="n">
        <v>0</v>
      </c>
      <c r="M8570" t="n">
        <v>0</v>
      </c>
      <c r="N8570" t="n">
        <v>0</v>
      </c>
      <c r="O8570" t="n">
        <v>0</v>
      </c>
      <c r="P8570" t="n">
        <v>0</v>
      </c>
      <c r="Q8570" t="n">
        <v>0</v>
      </c>
      <c r="R8570" s="2" t="inlineStr"/>
    </row>
    <row r="8571" ht="15" customHeight="1">
      <c r="A8571" t="inlineStr">
        <is>
          <t>A 34155-2025</t>
        </is>
      </c>
      <c r="B8571" s="1" t="n">
        <v>45845.57334490741</v>
      </c>
      <c r="C8571" s="1" t="n">
        <v>46045</v>
      </c>
      <c r="D8571" t="inlineStr">
        <is>
          <t>JÄMTLANDS LÄN</t>
        </is>
      </c>
      <c r="E8571" t="inlineStr">
        <is>
          <t>BRÄCKE</t>
        </is>
      </c>
      <c r="F8571" t="inlineStr">
        <is>
          <t>SCA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33925-2025</t>
        </is>
      </c>
      <c r="B8572" s="1" t="n">
        <v>45842</v>
      </c>
      <c r="C8572" s="1" t="n">
        <v>46045</v>
      </c>
      <c r="D8572" t="inlineStr">
        <is>
          <t>JÄMTLANDS LÄN</t>
        </is>
      </c>
      <c r="E8572" t="inlineStr">
        <is>
          <t>KROKOM</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5935-2025</t>
        </is>
      </c>
      <c r="B8573" s="1" t="n">
        <v>45695.45013888889</v>
      </c>
      <c r="C8573" s="1" t="n">
        <v>46045</v>
      </c>
      <c r="D8573" t="inlineStr">
        <is>
          <t>JÄMTLANDS LÄN</t>
        </is>
      </c>
      <c r="E8573" t="inlineStr">
        <is>
          <t>KROKOM</t>
        </is>
      </c>
      <c r="F8573" t="inlineStr">
        <is>
          <t>Övriga Aktiebolag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34156-2025</t>
        </is>
      </c>
      <c r="B8574" s="1" t="n">
        <v>45845.57354166666</v>
      </c>
      <c r="C8574" s="1" t="n">
        <v>46045</v>
      </c>
      <c r="D8574" t="inlineStr">
        <is>
          <t>JÄMTLANDS LÄN</t>
        </is>
      </c>
      <c r="E8574" t="inlineStr">
        <is>
          <t>STRÖMSUND</t>
        </is>
      </c>
      <c r="F8574" t="inlineStr">
        <is>
          <t>SCA</t>
        </is>
      </c>
      <c r="G8574" t="n">
        <v>7.6</v>
      </c>
      <c r="H8574" t="n">
        <v>0</v>
      </c>
      <c r="I8574" t="n">
        <v>0</v>
      </c>
      <c r="J8574" t="n">
        <v>0</v>
      </c>
      <c r="K8574" t="n">
        <v>0</v>
      </c>
      <c r="L8574" t="n">
        <v>0</v>
      </c>
      <c r="M8574" t="n">
        <v>0</v>
      </c>
      <c r="N8574" t="n">
        <v>0</v>
      </c>
      <c r="O8574" t="n">
        <v>0</v>
      </c>
      <c r="P8574" t="n">
        <v>0</v>
      </c>
      <c r="Q8574" t="n">
        <v>0</v>
      </c>
      <c r="R8574" s="2" t="inlineStr"/>
    </row>
    <row r="8575" ht="15" customHeight="1">
      <c r="A8575" t="inlineStr">
        <is>
          <t>A 34188-2025</t>
        </is>
      </c>
      <c r="B8575" s="1" t="n">
        <v>45845.61542824074</v>
      </c>
      <c r="C8575" s="1" t="n">
        <v>46045</v>
      </c>
      <c r="D8575" t="inlineStr">
        <is>
          <t>JÄMTLANDS LÄN</t>
        </is>
      </c>
      <c r="E8575" t="inlineStr">
        <is>
          <t>STRÖMSUND</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62041-2025</t>
        </is>
      </c>
      <c r="B8576" s="1" t="n">
        <v>46005</v>
      </c>
      <c r="C8576" s="1" t="n">
        <v>46045</v>
      </c>
      <c r="D8576" t="inlineStr">
        <is>
          <t>JÄMTLANDS LÄN</t>
        </is>
      </c>
      <c r="E8576" t="inlineStr">
        <is>
          <t>KROKOM</t>
        </is>
      </c>
      <c r="F8576" t="inlineStr">
        <is>
          <t>Övriga Aktiebolag</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59544-2025</t>
        </is>
      </c>
      <c r="B8577" s="1" t="n">
        <v>45990.34483796296</v>
      </c>
      <c r="C8577" s="1" t="n">
        <v>46045</v>
      </c>
      <c r="D8577" t="inlineStr">
        <is>
          <t>JÄMTLANDS LÄN</t>
        </is>
      </c>
      <c r="E8577" t="inlineStr">
        <is>
          <t>BRÄCKE</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62392-2025</t>
        </is>
      </c>
      <c r="B8578" s="1" t="n">
        <v>46007</v>
      </c>
      <c r="C8578" s="1" t="n">
        <v>46045</v>
      </c>
      <c r="D8578" t="inlineStr">
        <is>
          <t>JÄMTLANDS LÄN</t>
        </is>
      </c>
      <c r="E8578" t="inlineStr">
        <is>
          <t>KROKOM</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30404-2024</t>
        </is>
      </c>
      <c r="B8579" s="1" t="n">
        <v>45491.5859375</v>
      </c>
      <c r="C8579" s="1" t="n">
        <v>46045</v>
      </c>
      <c r="D8579" t="inlineStr">
        <is>
          <t>JÄMTLANDS LÄN</t>
        </is>
      </c>
      <c r="E8579" t="inlineStr">
        <is>
          <t>HÄRJEDALEN</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1333-2026</t>
        </is>
      </c>
      <c r="B8580" s="1" t="n">
        <v>46031.57340277778</v>
      </c>
      <c r="C8580" s="1" t="n">
        <v>46045</v>
      </c>
      <c r="D8580" t="inlineStr">
        <is>
          <t>JÄMTLANDS LÄN</t>
        </is>
      </c>
      <c r="E8580" t="inlineStr">
        <is>
          <t>RAGUNDA</t>
        </is>
      </c>
      <c r="F8580" t="inlineStr">
        <is>
          <t>SCA</t>
        </is>
      </c>
      <c r="G8580" t="n">
        <v>6.2</v>
      </c>
      <c r="H8580" t="n">
        <v>0</v>
      </c>
      <c r="I8580" t="n">
        <v>0</v>
      </c>
      <c r="J8580" t="n">
        <v>0</v>
      </c>
      <c r="K8580" t="n">
        <v>0</v>
      </c>
      <c r="L8580" t="n">
        <v>0</v>
      </c>
      <c r="M8580" t="n">
        <v>0</v>
      </c>
      <c r="N8580" t="n">
        <v>0</v>
      </c>
      <c r="O8580" t="n">
        <v>0</v>
      </c>
      <c r="P8580" t="n">
        <v>0</v>
      </c>
      <c r="Q8580" t="n">
        <v>0</v>
      </c>
      <c r="R8580" s="2" t="inlineStr"/>
    </row>
    <row r="8581" ht="15" customHeight="1">
      <c r="A8581" t="inlineStr">
        <is>
          <t>A 1172-2025</t>
        </is>
      </c>
      <c r="B8581" s="1" t="n">
        <v>45667</v>
      </c>
      <c r="C8581" s="1" t="n">
        <v>46045</v>
      </c>
      <c r="D8581" t="inlineStr">
        <is>
          <t>JÄMTLANDS LÄN</t>
        </is>
      </c>
      <c r="E8581" t="inlineStr">
        <is>
          <t>HÄRJEDALEN</t>
        </is>
      </c>
      <c r="F8581" t="inlineStr">
        <is>
          <t>Bergvik skog väst AB</t>
        </is>
      </c>
      <c r="G8581" t="n">
        <v>8.699999999999999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2313-2026</t>
        </is>
      </c>
      <c r="B8582" s="1" t="n">
        <v>46036.59523148148</v>
      </c>
      <c r="C8582" s="1" t="n">
        <v>46045</v>
      </c>
      <c r="D8582" t="inlineStr">
        <is>
          <t>JÄMTLANDS LÄN</t>
        </is>
      </c>
      <c r="E8582" t="inlineStr">
        <is>
          <t>HÄRJEDALEN</t>
        </is>
      </c>
      <c r="G8582" t="n">
        <v>23.6</v>
      </c>
      <c r="H8582" t="n">
        <v>0</v>
      </c>
      <c r="I8582" t="n">
        <v>0</v>
      </c>
      <c r="J8582" t="n">
        <v>0</v>
      </c>
      <c r="K8582" t="n">
        <v>0</v>
      </c>
      <c r="L8582" t="n">
        <v>0</v>
      </c>
      <c r="M8582" t="n">
        <v>0</v>
      </c>
      <c r="N8582" t="n">
        <v>0</v>
      </c>
      <c r="O8582" t="n">
        <v>0</v>
      </c>
      <c r="P8582" t="n">
        <v>0</v>
      </c>
      <c r="Q8582" t="n">
        <v>0</v>
      </c>
      <c r="R8582" s="2" t="inlineStr"/>
    </row>
    <row r="8583" ht="15" customHeight="1">
      <c r="A8583" t="inlineStr">
        <is>
          <t>A 2316-2026</t>
        </is>
      </c>
      <c r="B8583" s="1" t="n">
        <v>46036.59826388889</v>
      </c>
      <c r="C8583" s="1" t="n">
        <v>46045</v>
      </c>
      <c r="D8583" t="inlineStr">
        <is>
          <t>JÄMTLANDS LÄN</t>
        </is>
      </c>
      <c r="E8583" t="inlineStr">
        <is>
          <t>RAGUNDA</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34773-2025</t>
        </is>
      </c>
      <c r="B8584" s="1" t="n">
        <v>45848.65672453704</v>
      </c>
      <c r="C8584" s="1" t="n">
        <v>46045</v>
      </c>
      <c r="D8584" t="inlineStr">
        <is>
          <t>JÄMTLANDS LÄN</t>
        </is>
      </c>
      <c r="E8584" t="inlineStr">
        <is>
          <t>BRÄCKE</t>
        </is>
      </c>
      <c r="F8584" t="inlineStr">
        <is>
          <t>SCA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62641-2022</t>
        </is>
      </c>
      <c r="B8585" s="1" t="n">
        <v>44925</v>
      </c>
      <c r="C8585" s="1" t="n">
        <v>46045</v>
      </c>
      <c r="D8585" t="inlineStr">
        <is>
          <t>JÄMTLANDS LÄN</t>
        </is>
      </c>
      <c r="E8585" t="inlineStr">
        <is>
          <t>HÄRJEDALEN</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34490-2025</t>
        </is>
      </c>
      <c r="B8586" s="1" t="n">
        <v>45847.40722222222</v>
      </c>
      <c r="C8586" s="1" t="n">
        <v>46045</v>
      </c>
      <c r="D8586" t="inlineStr">
        <is>
          <t>JÄMTLANDS LÄN</t>
        </is>
      </c>
      <c r="E8586" t="inlineStr">
        <is>
          <t>ÖSTERSUND</t>
        </is>
      </c>
      <c r="F8586" t="inlineStr">
        <is>
          <t>SCA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34701-2025</t>
        </is>
      </c>
      <c r="B8587" s="1" t="n">
        <v>45848.48070601852</v>
      </c>
      <c r="C8587" s="1" t="n">
        <v>46045</v>
      </c>
      <c r="D8587" t="inlineStr">
        <is>
          <t>JÄMTLANDS LÄN</t>
        </is>
      </c>
      <c r="E8587" t="inlineStr">
        <is>
          <t>KROKOM</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34726-2025</t>
        </is>
      </c>
      <c r="B8588" s="1" t="n">
        <v>45848.57644675926</v>
      </c>
      <c r="C8588" s="1" t="n">
        <v>46045</v>
      </c>
      <c r="D8588" t="inlineStr">
        <is>
          <t>JÄMTLANDS LÄN</t>
        </is>
      </c>
      <c r="E8588" t="inlineStr">
        <is>
          <t>HÄRJEDALEN</t>
        </is>
      </c>
      <c r="F8588" t="inlineStr">
        <is>
          <t>Kyrkan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60130-2025</t>
        </is>
      </c>
      <c r="B8589" s="1" t="n">
        <v>45994.34467592592</v>
      </c>
      <c r="C8589" s="1" t="n">
        <v>46045</v>
      </c>
      <c r="D8589" t="inlineStr">
        <is>
          <t>JÄMTLANDS LÄN</t>
        </is>
      </c>
      <c r="E8589" t="inlineStr">
        <is>
          <t>RAGUNDA</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34746-2025</t>
        </is>
      </c>
      <c r="B8590" s="1" t="n">
        <v>45848.61505787037</v>
      </c>
      <c r="C8590" s="1" t="n">
        <v>46045</v>
      </c>
      <c r="D8590" t="inlineStr">
        <is>
          <t>JÄMTLANDS LÄN</t>
        </is>
      </c>
      <c r="E8590" t="inlineStr">
        <is>
          <t>BRÄCKE</t>
        </is>
      </c>
      <c r="F8590" t="inlineStr">
        <is>
          <t>SCA</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34750-2025</t>
        </is>
      </c>
      <c r="B8591" s="1" t="n">
        <v>45848.61577546296</v>
      </c>
      <c r="C8591" s="1" t="n">
        <v>46045</v>
      </c>
      <c r="D8591" t="inlineStr">
        <is>
          <t>JÄMTLANDS LÄN</t>
        </is>
      </c>
      <c r="E8591" t="inlineStr">
        <is>
          <t>STRÖMSUND</t>
        </is>
      </c>
      <c r="F8591" t="inlineStr">
        <is>
          <t>SCA</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1901-2026</t>
        </is>
      </c>
      <c r="B8592" s="1" t="n">
        <v>46032</v>
      </c>
      <c r="C8592" s="1" t="n">
        <v>46045</v>
      </c>
      <c r="D8592" t="inlineStr">
        <is>
          <t>JÄMTLANDS LÄN</t>
        </is>
      </c>
      <c r="E8592" t="inlineStr">
        <is>
          <t>ÖSTERSUND</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34461-2025</t>
        </is>
      </c>
      <c r="B8593" s="1" t="n">
        <v>45847.34474537037</v>
      </c>
      <c r="C8593" s="1" t="n">
        <v>46045</v>
      </c>
      <c r="D8593" t="inlineStr">
        <is>
          <t>JÄMTLANDS LÄN</t>
        </is>
      </c>
      <c r="E8593" t="inlineStr">
        <is>
          <t>RAGUNDA</t>
        </is>
      </c>
      <c r="F8593" t="inlineStr">
        <is>
          <t>SCA</t>
        </is>
      </c>
      <c r="G8593" t="n">
        <v>44.8</v>
      </c>
      <c r="H8593" t="n">
        <v>0</v>
      </c>
      <c r="I8593" t="n">
        <v>0</v>
      </c>
      <c r="J8593" t="n">
        <v>0</v>
      </c>
      <c r="K8593" t="n">
        <v>0</v>
      </c>
      <c r="L8593" t="n">
        <v>0</v>
      </c>
      <c r="M8593" t="n">
        <v>0</v>
      </c>
      <c r="N8593" t="n">
        <v>0</v>
      </c>
      <c r="O8593" t="n">
        <v>0</v>
      </c>
      <c r="P8593" t="n">
        <v>0</v>
      </c>
      <c r="Q8593" t="n">
        <v>0</v>
      </c>
      <c r="R8593" s="2" t="inlineStr"/>
    </row>
    <row r="8594" ht="15" customHeight="1">
      <c r="A8594" t="inlineStr">
        <is>
          <t>A 34464-2025</t>
        </is>
      </c>
      <c r="B8594" s="1" t="n">
        <v>45847.34528935186</v>
      </c>
      <c r="C8594" s="1" t="n">
        <v>46045</v>
      </c>
      <c r="D8594" t="inlineStr">
        <is>
          <t>JÄMTLANDS LÄN</t>
        </is>
      </c>
      <c r="E8594" t="inlineStr">
        <is>
          <t>RAGUNDA</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34757-2025</t>
        </is>
      </c>
      <c r="B8595" s="1" t="n">
        <v>45848.62873842593</v>
      </c>
      <c r="C8595" s="1" t="n">
        <v>46045</v>
      </c>
      <c r="D8595" t="inlineStr">
        <is>
          <t>JÄMTLANDS LÄN</t>
        </is>
      </c>
      <c r="E8595" t="inlineStr">
        <is>
          <t>HÄRJEDALEN</t>
        </is>
      </c>
      <c r="G8595" t="n">
        <v>19.6</v>
      </c>
      <c r="H8595" t="n">
        <v>0</v>
      </c>
      <c r="I8595" t="n">
        <v>0</v>
      </c>
      <c r="J8595" t="n">
        <v>0</v>
      </c>
      <c r="K8595" t="n">
        <v>0</v>
      </c>
      <c r="L8595" t="n">
        <v>0</v>
      </c>
      <c r="M8595" t="n">
        <v>0</v>
      </c>
      <c r="N8595" t="n">
        <v>0</v>
      </c>
      <c r="O8595" t="n">
        <v>0</v>
      </c>
      <c r="P8595" t="n">
        <v>0</v>
      </c>
      <c r="Q8595" t="n">
        <v>0</v>
      </c>
      <c r="R8595" s="2" t="inlineStr"/>
    </row>
    <row r="8596" ht="15" customHeight="1">
      <c r="A8596" t="inlineStr">
        <is>
          <t>A 34761-2025</t>
        </is>
      </c>
      <c r="B8596" s="1" t="n">
        <v>45848.639375</v>
      </c>
      <c r="C8596" s="1" t="n">
        <v>46045</v>
      </c>
      <c r="D8596" t="inlineStr">
        <is>
          <t>JÄMTLANDS LÄN</t>
        </is>
      </c>
      <c r="E8596" t="inlineStr">
        <is>
          <t>HÄRJEDALEN</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34775-2025</t>
        </is>
      </c>
      <c r="B8597" s="1" t="n">
        <v>45848.6568287037</v>
      </c>
      <c r="C8597" s="1" t="n">
        <v>46045</v>
      </c>
      <c r="D8597" t="inlineStr">
        <is>
          <t>JÄMTLANDS LÄN</t>
        </is>
      </c>
      <c r="E8597" t="inlineStr">
        <is>
          <t>HÄRJEDALEN</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2122-2026</t>
        </is>
      </c>
      <c r="B8598" s="1" t="n">
        <v>46036.38601851852</v>
      </c>
      <c r="C8598" s="1" t="n">
        <v>46045</v>
      </c>
      <c r="D8598" t="inlineStr">
        <is>
          <t>JÄMTLANDS LÄN</t>
        </is>
      </c>
      <c r="E8598" t="inlineStr">
        <is>
          <t>STRÖMSUND</t>
        </is>
      </c>
      <c r="F8598" t="inlineStr">
        <is>
          <t>SCA</t>
        </is>
      </c>
      <c r="G8598" t="n">
        <v>23.8</v>
      </c>
      <c r="H8598" t="n">
        <v>0</v>
      </c>
      <c r="I8598" t="n">
        <v>0</v>
      </c>
      <c r="J8598" t="n">
        <v>0</v>
      </c>
      <c r="K8598" t="n">
        <v>0</v>
      </c>
      <c r="L8598" t="n">
        <v>0</v>
      </c>
      <c r="M8598" t="n">
        <v>0</v>
      </c>
      <c r="N8598" t="n">
        <v>0</v>
      </c>
      <c r="O8598" t="n">
        <v>0</v>
      </c>
      <c r="P8598" t="n">
        <v>0</v>
      </c>
      <c r="Q8598" t="n">
        <v>0</v>
      </c>
      <c r="R8598" s="2" t="inlineStr"/>
    </row>
    <row r="8599" ht="15" customHeight="1">
      <c r="A8599" t="inlineStr">
        <is>
          <t>A 34790-2025</t>
        </is>
      </c>
      <c r="B8599" s="1" t="n">
        <v>45848.68640046296</v>
      </c>
      <c r="C8599" s="1" t="n">
        <v>46045</v>
      </c>
      <c r="D8599" t="inlineStr">
        <is>
          <t>JÄMTLANDS LÄN</t>
        </is>
      </c>
      <c r="E8599" t="inlineStr">
        <is>
          <t>HÄRJEDALEN</t>
        </is>
      </c>
      <c r="F8599" t="inlineStr">
        <is>
          <t>Bergvik skog väst AB</t>
        </is>
      </c>
      <c r="G8599" t="n">
        <v>32.2</v>
      </c>
      <c r="H8599" t="n">
        <v>0</v>
      </c>
      <c r="I8599" t="n">
        <v>0</v>
      </c>
      <c r="J8599" t="n">
        <v>0</v>
      </c>
      <c r="K8599" t="n">
        <v>0</v>
      </c>
      <c r="L8599" t="n">
        <v>0</v>
      </c>
      <c r="M8599" t="n">
        <v>0</v>
      </c>
      <c r="N8599" t="n">
        <v>0</v>
      </c>
      <c r="O8599" t="n">
        <v>0</v>
      </c>
      <c r="P8599" t="n">
        <v>0</v>
      </c>
      <c r="Q8599" t="n">
        <v>0</v>
      </c>
      <c r="R8599" s="2" t="inlineStr"/>
    </row>
    <row r="8600" ht="15" customHeight="1">
      <c r="A8600" t="inlineStr">
        <is>
          <t>A 34702-2025</t>
        </is>
      </c>
      <c r="B8600" s="1" t="n">
        <v>45848</v>
      </c>
      <c r="C8600" s="1" t="n">
        <v>46045</v>
      </c>
      <c r="D8600" t="inlineStr">
        <is>
          <t>JÄMTLANDS LÄN</t>
        </is>
      </c>
      <c r="E8600" t="inlineStr">
        <is>
          <t>HÄRJEDALEN</t>
        </is>
      </c>
      <c r="F8600" t="inlineStr">
        <is>
          <t>Bergvik skog väst AB</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34653-2025</t>
        </is>
      </c>
      <c r="B8601" s="1" t="n">
        <v>45848.35400462963</v>
      </c>
      <c r="C8601" s="1" t="n">
        <v>46045</v>
      </c>
      <c r="D8601" t="inlineStr">
        <is>
          <t>JÄMTLANDS LÄN</t>
        </is>
      </c>
      <c r="E8601" t="inlineStr">
        <is>
          <t>HÄRJEDALEN</t>
        </is>
      </c>
      <c r="G8601" t="n">
        <v>26.8</v>
      </c>
      <c r="H8601" t="n">
        <v>0</v>
      </c>
      <c r="I8601" t="n">
        <v>0</v>
      </c>
      <c r="J8601" t="n">
        <v>0</v>
      </c>
      <c r="K8601" t="n">
        <v>0</v>
      </c>
      <c r="L8601" t="n">
        <v>0</v>
      </c>
      <c r="M8601" t="n">
        <v>0</v>
      </c>
      <c r="N8601" t="n">
        <v>0</v>
      </c>
      <c r="O8601" t="n">
        <v>0</v>
      </c>
      <c r="P8601" t="n">
        <v>0</v>
      </c>
      <c r="Q8601" t="n">
        <v>0</v>
      </c>
      <c r="R8601" s="2" t="inlineStr"/>
    </row>
    <row r="8602" ht="15" customHeight="1">
      <c r="A8602" t="inlineStr">
        <is>
          <t>A 34786-2025</t>
        </is>
      </c>
      <c r="B8602" s="1" t="n">
        <v>45848.67784722222</v>
      </c>
      <c r="C8602" s="1" t="n">
        <v>46045</v>
      </c>
      <c r="D8602" t="inlineStr">
        <is>
          <t>JÄMTLANDS LÄN</t>
        </is>
      </c>
      <c r="E8602" t="inlineStr">
        <is>
          <t>BRÄCKE</t>
        </is>
      </c>
      <c r="F8602" t="inlineStr">
        <is>
          <t>SCA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34535-2025</t>
        </is>
      </c>
      <c r="B8603" s="1" t="n">
        <v>45847.51106481482</v>
      </c>
      <c r="C8603" s="1" t="n">
        <v>46045</v>
      </c>
      <c r="D8603" t="inlineStr">
        <is>
          <t>JÄMTLANDS LÄN</t>
        </is>
      </c>
      <c r="E8603" t="inlineStr">
        <is>
          <t>KROKOM</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2123-2026</t>
        </is>
      </c>
      <c r="B8604" s="1" t="n">
        <v>46036.38618055556</v>
      </c>
      <c r="C8604" s="1" t="n">
        <v>46045</v>
      </c>
      <c r="D8604" t="inlineStr">
        <is>
          <t>JÄMTLANDS LÄN</t>
        </is>
      </c>
      <c r="E8604" t="inlineStr">
        <is>
          <t>RAGUNDA</t>
        </is>
      </c>
      <c r="F8604" t="inlineStr">
        <is>
          <t>SCA</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34518-2025</t>
        </is>
      </c>
      <c r="B8605" s="1" t="n">
        <v>45847.46910879629</v>
      </c>
      <c r="C8605" s="1" t="n">
        <v>46045</v>
      </c>
      <c r="D8605" t="inlineStr">
        <is>
          <t>JÄMTLANDS LÄN</t>
        </is>
      </c>
      <c r="E8605" t="inlineStr">
        <is>
          <t>BRÄCKE</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59931-2025</t>
        </is>
      </c>
      <c r="B8606" s="1" t="n">
        <v>45993.40177083333</v>
      </c>
      <c r="C8606" s="1" t="n">
        <v>46045</v>
      </c>
      <c r="D8606" t="inlineStr">
        <is>
          <t>JÄMTLANDS LÄN</t>
        </is>
      </c>
      <c r="E8606" t="inlineStr">
        <is>
          <t>RAGUNDA</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60051-2025</t>
        </is>
      </c>
      <c r="B8607" s="1" t="n">
        <v>45993.6353125</v>
      </c>
      <c r="C8607" s="1" t="n">
        <v>46045</v>
      </c>
      <c r="D8607" t="inlineStr">
        <is>
          <t>JÄMTLANDS LÄN</t>
        </is>
      </c>
      <c r="E8607" t="inlineStr">
        <is>
          <t>BERG</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60052-2025</t>
        </is>
      </c>
      <c r="B8608" s="1" t="n">
        <v>45993.63590277778</v>
      </c>
      <c r="C8608" s="1" t="n">
        <v>46045</v>
      </c>
      <c r="D8608" t="inlineStr">
        <is>
          <t>JÄMTLANDS LÄN</t>
        </is>
      </c>
      <c r="E8608" t="inlineStr">
        <is>
          <t>BRÄCKE</t>
        </is>
      </c>
      <c r="F8608" t="inlineStr">
        <is>
          <t>SCA</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60062-2025</t>
        </is>
      </c>
      <c r="B8609" s="1" t="n">
        <v>45993.65694444445</v>
      </c>
      <c r="C8609" s="1" t="n">
        <v>46045</v>
      </c>
      <c r="D8609" t="inlineStr">
        <is>
          <t>JÄMTLANDS LÄN</t>
        </is>
      </c>
      <c r="E8609" t="inlineStr">
        <is>
          <t>RAGUNDA</t>
        </is>
      </c>
      <c r="F8609" t="inlineStr">
        <is>
          <t>SCA</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60053-2025</t>
        </is>
      </c>
      <c r="B8610" s="1" t="n">
        <v>45993.63614583333</v>
      </c>
      <c r="C8610" s="1" t="n">
        <v>46045</v>
      </c>
      <c r="D8610" t="inlineStr">
        <is>
          <t>JÄMTLANDS LÄN</t>
        </is>
      </c>
      <c r="E8610" t="inlineStr">
        <is>
          <t>BRÄCKE</t>
        </is>
      </c>
      <c r="F8610" t="inlineStr">
        <is>
          <t>SCA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34589-2025</t>
        </is>
      </c>
      <c r="B8611" s="1" t="n">
        <v>45847.61561342593</v>
      </c>
      <c r="C8611" s="1" t="n">
        <v>46045</v>
      </c>
      <c r="D8611" t="inlineStr">
        <is>
          <t>JÄMTLANDS LÄN</t>
        </is>
      </c>
      <c r="E8611" t="inlineStr">
        <is>
          <t>ÖSTERSUND</t>
        </is>
      </c>
      <c r="F8611" t="inlineStr">
        <is>
          <t>SCA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60321-2025</t>
        </is>
      </c>
      <c r="B8612" s="1" t="n">
        <v>45994.71998842592</v>
      </c>
      <c r="C8612" s="1" t="n">
        <v>46045</v>
      </c>
      <c r="D8612" t="inlineStr">
        <is>
          <t>JÄMTLANDS LÄN</t>
        </is>
      </c>
      <c r="E8612" t="inlineStr">
        <is>
          <t>BRÄCKE</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34685-2025</t>
        </is>
      </c>
      <c r="B8613" s="1" t="n">
        <v>45848.42905092592</v>
      </c>
      <c r="C8613" s="1" t="n">
        <v>46045</v>
      </c>
      <c r="D8613" t="inlineStr">
        <is>
          <t>JÄMTLANDS LÄN</t>
        </is>
      </c>
      <c r="E8613" t="inlineStr">
        <is>
          <t>STRÖMSUND</t>
        </is>
      </c>
      <c r="F8613" t="inlineStr">
        <is>
          <t>SCA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60026-2025</t>
        </is>
      </c>
      <c r="B8614" s="1" t="n">
        <v>45993.60280092592</v>
      </c>
      <c r="C8614" s="1" t="n">
        <v>46045</v>
      </c>
      <c r="D8614" t="inlineStr">
        <is>
          <t>JÄMTLANDS LÄN</t>
        </is>
      </c>
      <c r="E8614" t="inlineStr">
        <is>
          <t>STRÖMSUND</t>
        </is>
      </c>
      <c r="F8614" t="inlineStr">
        <is>
          <t>SCA</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34608-2025</t>
        </is>
      </c>
      <c r="B8615" s="1" t="n">
        <v>45847.65717592592</v>
      </c>
      <c r="C8615" s="1" t="n">
        <v>46045</v>
      </c>
      <c r="D8615" t="inlineStr">
        <is>
          <t>JÄMTLANDS LÄN</t>
        </is>
      </c>
      <c r="E8615" t="inlineStr">
        <is>
          <t>KROKOM</t>
        </is>
      </c>
      <c r="F8615" t="inlineStr">
        <is>
          <t>SCA</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34460-2025</t>
        </is>
      </c>
      <c r="B8616" s="1" t="n">
        <v>45847.34458333333</v>
      </c>
      <c r="C8616" s="1" t="n">
        <v>46045</v>
      </c>
      <c r="D8616" t="inlineStr">
        <is>
          <t>JÄMTLANDS LÄN</t>
        </is>
      </c>
      <c r="E8616" t="inlineStr">
        <is>
          <t>BRÄCKE</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34468-2025</t>
        </is>
      </c>
      <c r="B8617" s="1" t="n">
        <v>45847.34597222223</v>
      </c>
      <c r="C8617" s="1" t="n">
        <v>46045</v>
      </c>
      <c r="D8617" t="inlineStr">
        <is>
          <t>JÄMTLANDS LÄN</t>
        </is>
      </c>
      <c r="E8617" t="inlineStr">
        <is>
          <t>RAGUNDA</t>
        </is>
      </c>
      <c r="F8617" t="inlineStr">
        <is>
          <t>SCA</t>
        </is>
      </c>
      <c r="G8617" t="n">
        <v>10</v>
      </c>
      <c r="H8617" t="n">
        <v>0</v>
      </c>
      <c r="I8617" t="n">
        <v>0</v>
      </c>
      <c r="J8617" t="n">
        <v>0</v>
      </c>
      <c r="K8617" t="n">
        <v>0</v>
      </c>
      <c r="L8617" t="n">
        <v>0</v>
      </c>
      <c r="M8617" t="n">
        <v>0</v>
      </c>
      <c r="N8617" t="n">
        <v>0</v>
      </c>
      <c r="O8617" t="n">
        <v>0</v>
      </c>
      <c r="P8617" t="n">
        <v>0</v>
      </c>
      <c r="Q8617" t="n">
        <v>0</v>
      </c>
      <c r="R8617" s="2" t="inlineStr"/>
    </row>
    <row r="8618" ht="15" customHeight="1">
      <c r="A8618" t="inlineStr">
        <is>
          <t>A 34491-2025</t>
        </is>
      </c>
      <c r="B8618" s="1" t="n">
        <v>45847.40736111111</v>
      </c>
      <c r="C8618" s="1" t="n">
        <v>46045</v>
      </c>
      <c r="D8618" t="inlineStr">
        <is>
          <t>JÄMTLANDS LÄN</t>
        </is>
      </c>
      <c r="E8618" t="inlineStr">
        <is>
          <t>STRÖMSUND</t>
        </is>
      </c>
      <c r="F8618" t="inlineStr">
        <is>
          <t>SCA</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60163-2025</t>
        </is>
      </c>
      <c r="B8619" s="1" t="n">
        <v>45994.43094907407</v>
      </c>
      <c r="C8619" s="1" t="n">
        <v>46045</v>
      </c>
      <c r="D8619" t="inlineStr">
        <is>
          <t>JÄMTLANDS LÄN</t>
        </is>
      </c>
      <c r="E8619" t="inlineStr">
        <is>
          <t>BERG</t>
        </is>
      </c>
      <c r="F8619" t="inlineStr">
        <is>
          <t>Övriga Aktiebolag</t>
        </is>
      </c>
      <c r="G8619" t="n">
        <v>7</v>
      </c>
      <c r="H8619" t="n">
        <v>0</v>
      </c>
      <c r="I8619" t="n">
        <v>0</v>
      </c>
      <c r="J8619" t="n">
        <v>0</v>
      </c>
      <c r="K8619" t="n">
        <v>0</v>
      </c>
      <c r="L8619" t="n">
        <v>0</v>
      </c>
      <c r="M8619" t="n">
        <v>0</v>
      </c>
      <c r="N8619" t="n">
        <v>0</v>
      </c>
      <c r="O8619" t="n">
        <v>0</v>
      </c>
      <c r="P8619" t="n">
        <v>0</v>
      </c>
      <c r="Q8619" t="n">
        <v>0</v>
      </c>
      <c r="R8619" s="2" t="inlineStr"/>
    </row>
    <row r="8620" ht="15" customHeight="1">
      <c r="A8620" t="inlineStr">
        <is>
          <t>A 60176-2025</t>
        </is>
      </c>
      <c r="B8620" s="1" t="n">
        <v>45994.45447916666</v>
      </c>
      <c r="C8620" s="1" t="n">
        <v>46045</v>
      </c>
      <c r="D8620" t="inlineStr">
        <is>
          <t>JÄMTLANDS LÄN</t>
        </is>
      </c>
      <c r="E8620" t="inlineStr">
        <is>
          <t>KROKOM</t>
        </is>
      </c>
      <c r="G8620" t="n">
        <v>9.4</v>
      </c>
      <c r="H8620" t="n">
        <v>0</v>
      </c>
      <c r="I8620" t="n">
        <v>0</v>
      </c>
      <c r="J8620" t="n">
        <v>0</v>
      </c>
      <c r="K8620" t="n">
        <v>0</v>
      </c>
      <c r="L8620" t="n">
        <v>0</v>
      </c>
      <c r="M8620" t="n">
        <v>0</v>
      </c>
      <c r="N8620" t="n">
        <v>0</v>
      </c>
      <c r="O8620" t="n">
        <v>0</v>
      </c>
      <c r="P8620" t="n">
        <v>0</v>
      </c>
      <c r="Q8620" t="n">
        <v>0</v>
      </c>
      <c r="R8620" s="2" t="inlineStr"/>
    </row>
    <row r="8621" ht="15" customHeight="1">
      <c r="A8621" t="inlineStr">
        <is>
          <t>A 34586-2025</t>
        </is>
      </c>
      <c r="B8621" s="1" t="n">
        <v>45847.61513888889</v>
      </c>
      <c r="C8621" s="1" t="n">
        <v>46045</v>
      </c>
      <c r="D8621" t="inlineStr">
        <is>
          <t>JÄMTLANDS LÄN</t>
        </is>
      </c>
      <c r="E8621" t="inlineStr">
        <is>
          <t>RAGUNDA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34587-2025</t>
        </is>
      </c>
      <c r="B8622" s="1" t="n">
        <v>45847.61533564814</v>
      </c>
      <c r="C8622" s="1" t="n">
        <v>46045</v>
      </c>
      <c r="D8622" t="inlineStr">
        <is>
          <t>JÄMTLANDS LÄN</t>
        </is>
      </c>
      <c r="E8622" t="inlineStr">
        <is>
          <t>ÖSTERSUND</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34607-2025</t>
        </is>
      </c>
      <c r="B8623" s="1" t="n">
        <v>45847.65703703704</v>
      </c>
      <c r="C8623" s="1" t="n">
        <v>46045</v>
      </c>
      <c r="D8623" t="inlineStr">
        <is>
          <t>JÄMTLANDS LÄN</t>
        </is>
      </c>
      <c r="E8623" t="inlineStr">
        <is>
          <t>RAGUNDA</t>
        </is>
      </c>
      <c r="F8623" t="inlineStr">
        <is>
          <t>SCA</t>
        </is>
      </c>
      <c r="G8623" t="n">
        <v>31.4</v>
      </c>
      <c r="H8623" t="n">
        <v>0</v>
      </c>
      <c r="I8623" t="n">
        <v>0</v>
      </c>
      <c r="J8623" t="n">
        <v>0</v>
      </c>
      <c r="K8623" t="n">
        <v>0</v>
      </c>
      <c r="L8623" t="n">
        <v>0</v>
      </c>
      <c r="M8623" t="n">
        <v>0</v>
      </c>
      <c r="N8623" t="n">
        <v>0</v>
      </c>
      <c r="O8623" t="n">
        <v>0</v>
      </c>
      <c r="P8623" t="n">
        <v>0</v>
      </c>
      <c r="Q8623" t="n">
        <v>0</v>
      </c>
      <c r="R8623" s="2" t="inlineStr"/>
    </row>
    <row r="8624" ht="15" customHeight="1">
      <c r="A8624" t="inlineStr">
        <is>
          <t>A 34613-2025</t>
        </is>
      </c>
      <c r="B8624" s="1" t="n">
        <v>45847.67751157407</v>
      </c>
      <c r="C8624" s="1" t="n">
        <v>46045</v>
      </c>
      <c r="D8624" t="inlineStr">
        <is>
          <t>JÄMTLANDS LÄN</t>
        </is>
      </c>
      <c r="E8624" t="inlineStr">
        <is>
          <t>BRÄCKE</t>
        </is>
      </c>
      <c r="F8624" t="inlineStr">
        <is>
          <t>SCA</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34614-2025</t>
        </is>
      </c>
      <c r="B8625" s="1" t="n">
        <v>45847.67768518518</v>
      </c>
      <c r="C8625" s="1" t="n">
        <v>46045</v>
      </c>
      <c r="D8625" t="inlineStr">
        <is>
          <t>JÄMTLANDS LÄN</t>
        </is>
      </c>
      <c r="E8625" t="inlineStr">
        <is>
          <t>BRÄCKE</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34683-2025</t>
        </is>
      </c>
      <c r="B8626" s="1" t="n">
        <v>45848.42895833333</v>
      </c>
      <c r="C8626" s="1" t="n">
        <v>46045</v>
      </c>
      <c r="D8626" t="inlineStr">
        <is>
          <t>JÄMTLANDS LÄN</t>
        </is>
      </c>
      <c r="E8626" t="inlineStr">
        <is>
          <t>STRÖMSUND</t>
        </is>
      </c>
      <c r="F8626" t="inlineStr">
        <is>
          <t>SCA</t>
        </is>
      </c>
      <c r="G8626" t="n">
        <v>12.5</v>
      </c>
      <c r="H8626" t="n">
        <v>0</v>
      </c>
      <c r="I8626" t="n">
        <v>0</v>
      </c>
      <c r="J8626" t="n">
        <v>0</v>
      </c>
      <c r="K8626" t="n">
        <v>0</v>
      </c>
      <c r="L8626" t="n">
        <v>0</v>
      </c>
      <c r="M8626" t="n">
        <v>0</v>
      </c>
      <c r="N8626" t="n">
        <v>0</v>
      </c>
      <c r="O8626" t="n">
        <v>0</v>
      </c>
      <c r="P8626" t="n">
        <v>0</v>
      </c>
      <c r="Q8626" t="n">
        <v>0</v>
      </c>
      <c r="R8626" s="2" t="inlineStr"/>
    </row>
    <row r="8627" ht="15" customHeight="1">
      <c r="A8627" t="inlineStr">
        <is>
          <t>A 34691-2025</t>
        </is>
      </c>
      <c r="B8627" s="1" t="n">
        <v>45848.45113425926</v>
      </c>
      <c r="C8627" s="1" t="n">
        <v>46045</v>
      </c>
      <c r="D8627" t="inlineStr">
        <is>
          <t>JÄMTLANDS LÄN</t>
        </is>
      </c>
      <c r="E8627" t="inlineStr">
        <is>
          <t>HÄRJEDALEN</t>
        </is>
      </c>
      <c r="F8627" t="inlineStr">
        <is>
          <t>Bergvik skog väst AB</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1816-2026</t>
        </is>
      </c>
      <c r="B8628" s="1" t="n">
        <v>46035.34453703704</v>
      </c>
      <c r="C8628" s="1" t="n">
        <v>46045</v>
      </c>
      <c r="D8628" t="inlineStr">
        <is>
          <t>JÄMTLANDS LÄN</t>
        </is>
      </c>
      <c r="E8628" t="inlineStr">
        <is>
          <t>BRÄCKE</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25500-2022</t>
        </is>
      </c>
      <c r="B8629" s="1" t="n">
        <v>44732</v>
      </c>
      <c r="C8629" s="1" t="n">
        <v>46045</v>
      </c>
      <c r="D8629" t="inlineStr">
        <is>
          <t>JÄMTLANDS LÄN</t>
        </is>
      </c>
      <c r="E8629" t="inlineStr">
        <is>
          <t>HÄRJEDALEN</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2170-2026</t>
        </is>
      </c>
      <c r="B8630" s="1" t="n">
        <v>46036.44859953703</v>
      </c>
      <c r="C8630" s="1" t="n">
        <v>46045</v>
      </c>
      <c r="D8630" t="inlineStr">
        <is>
          <t>JÄMTLANDS LÄN</t>
        </is>
      </c>
      <c r="E8630" t="inlineStr">
        <is>
          <t>BRÄCKE</t>
        </is>
      </c>
      <c r="F8630" t="inlineStr">
        <is>
          <t>SCA</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34767-2025</t>
        </is>
      </c>
      <c r="B8631" s="1" t="n">
        <v>45848.65003472222</v>
      </c>
      <c r="C8631" s="1" t="n">
        <v>46045</v>
      </c>
      <c r="D8631" t="inlineStr">
        <is>
          <t>JÄMTLANDS LÄN</t>
        </is>
      </c>
      <c r="E8631" t="inlineStr">
        <is>
          <t>HÄRJEDALEN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34772-2025</t>
        </is>
      </c>
      <c r="B8632" s="1" t="n">
        <v>45848.65658564815</v>
      </c>
      <c r="C8632" s="1" t="n">
        <v>46045</v>
      </c>
      <c r="D8632" t="inlineStr">
        <is>
          <t>JÄMTLANDS LÄN</t>
        </is>
      </c>
      <c r="E8632" t="inlineStr">
        <is>
          <t>RAGUNDA</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34783-2025</t>
        </is>
      </c>
      <c r="B8633" s="1" t="n">
        <v>45848.67740740741</v>
      </c>
      <c r="C8633" s="1" t="n">
        <v>46045</v>
      </c>
      <c r="D8633" t="inlineStr">
        <is>
          <t>JÄMTLANDS LÄN</t>
        </is>
      </c>
      <c r="E8633" t="inlineStr">
        <is>
          <t>BRÄCKE</t>
        </is>
      </c>
      <c r="F8633" t="inlineStr">
        <is>
          <t>SCA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34466-2025</t>
        </is>
      </c>
      <c r="B8634" s="1" t="n">
        <v>45847.34565972222</v>
      </c>
      <c r="C8634" s="1" t="n">
        <v>46045</v>
      </c>
      <c r="D8634" t="inlineStr">
        <is>
          <t>JÄMTLANDS LÄN</t>
        </is>
      </c>
      <c r="E8634" t="inlineStr">
        <is>
          <t>RAGUNDA</t>
        </is>
      </c>
      <c r="F8634" t="inlineStr">
        <is>
          <t>SCA</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37147-2024</t>
        </is>
      </c>
      <c r="B8635" s="1" t="n">
        <v>45539.60231481482</v>
      </c>
      <c r="C8635" s="1" t="n">
        <v>46045</v>
      </c>
      <c r="D8635" t="inlineStr">
        <is>
          <t>JÄMTLANDS LÄN</t>
        </is>
      </c>
      <c r="E8635" t="inlineStr">
        <is>
          <t>STRÖMSUND</t>
        </is>
      </c>
      <c r="F8635" t="inlineStr">
        <is>
          <t>SCA</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34684-2025</t>
        </is>
      </c>
      <c r="B8636" s="1" t="n">
        <v>45848.42901620371</v>
      </c>
      <c r="C8636" s="1" t="n">
        <v>46045</v>
      </c>
      <c r="D8636" t="inlineStr">
        <is>
          <t>JÄMTLANDS LÄN</t>
        </is>
      </c>
      <c r="E8636" t="inlineStr">
        <is>
          <t>STRÖMSUND</t>
        </is>
      </c>
      <c r="F8636" t="inlineStr">
        <is>
          <t>SCA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37150-2024</t>
        </is>
      </c>
      <c r="B8637" s="1" t="n">
        <v>45539</v>
      </c>
      <c r="C8637" s="1" t="n">
        <v>46045</v>
      </c>
      <c r="D8637" t="inlineStr">
        <is>
          <t>JÄMTLANDS LÄN</t>
        </is>
      </c>
      <c r="E8637" t="inlineStr">
        <is>
          <t>STRÖMSUND</t>
        </is>
      </c>
      <c r="F8637" t="inlineStr">
        <is>
          <t>SCA</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60221-2025</t>
        </is>
      </c>
      <c r="B8638" s="1" t="n">
        <v>45994.54357638889</v>
      </c>
      <c r="C8638" s="1" t="n">
        <v>46045</v>
      </c>
      <c r="D8638" t="inlineStr">
        <is>
          <t>JÄMTLANDS LÄN</t>
        </is>
      </c>
      <c r="E8638" t="inlineStr">
        <is>
          <t>BRÄCKE</t>
        </is>
      </c>
      <c r="G8638" t="n">
        <v>6.6</v>
      </c>
      <c r="H8638" t="n">
        <v>0</v>
      </c>
      <c r="I8638" t="n">
        <v>0</v>
      </c>
      <c r="J8638" t="n">
        <v>0</v>
      </c>
      <c r="K8638" t="n">
        <v>0</v>
      </c>
      <c r="L8638" t="n">
        <v>0</v>
      </c>
      <c r="M8638" t="n">
        <v>0</v>
      </c>
      <c r="N8638" t="n">
        <v>0</v>
      </c>
      <c r="O8638" t="n">
        <v>0</v>
      </c>
      <c r="P8638" t="n">
        <v>0</v>
      </c>
      <c r="Q8638" t="n">
        <v>0</v>
      </c>
      <c r="R8638" s="2" t="inlineStr"/>
    </row>
    <row r="8639" ht="15" customHeight="1">
      <c r="A8639" t="inlineStr">
        <is>
          <t>A 34648-2025</t>
        </is>
      </c>
      <c r="B8639" s="1" t="n">
        <v>45848.34487268519</v>
      </c>
      <c r="C8639" s="1" t="n">
        <v>46045</v>
      </c>
      <c r="D8639" t="inlineStr">
        <is>
          <t>JÄMTLANDS LÄN</t>
        </is>
      </c>
      <c r="E8639" t="inlineStr">
        <is>
          <t>BRÄCKE</t>
        </is>
      </c>
      <c r="F8639" t="inlineStr">
        <is>
          <t>SCA</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34570-2025</t>
        </is>
      </c>
      <c r="B8640" s="1" t="n">
        <v>45847.58865740741</v>
      </c>
      <c r="C8640" s="1" t="n">
        <v>46045</v>
      </c>
      <c r="D8640" t="inlineStr">
        <is>
          <t>JÄMTLANDS LÄN</t>
        </is>
      </c>
      <c r="E8640" t="inlineStr">
        <is>
          <t>HÄRJEDALEN</t>
        </is>
      </c>
      <c r="F8640" t="inlineStr">
        <is>
          <t>Bergvik skog väst AB</t>
        </is>
      </c>
      <c r="G8640" t="n">
        <v>19.1</v>
      </c>
      <c r="H8640" t="n">
        <v>0</v>
      </c>
      <c r="I8640" t="n">
        <v>0</v>
      </c>
      <c r="J8640" t="n">
        <v>0</v>
      </c>
      <c r="K8640" t="n">
        <v>0</v>
      </c>
      <c r="L8640" t="n">
        <v>0</v>
      </c>
      <c r="M8640" t="n">
        <v>0</v>
      </c>
      <c r="N8640" t="n">
        <v>0</v>
      </c>
      <c r="O8640" t="n">
        <v>0</v>
      </c>
      <c r="P8640" t="n">
        <v>0</v>
      </c>
      <c r="Q8640" t="n">
        <v>0</v>
      </c>
      <c r="R8640" s="2" t="inlineStr"/>
    </row>
    <row r="8641" ht="15" customHeight="1">
      <c r="A8641" t="inlineStr">
        <is>
          <t>A 34588-2025</t>
        </is>
      </c>
      <c r="B8641" s="1" t="n">
        <v>45847.61548611111</v>
      </c>
      <c r="C8641" s="1" t="n">
        <v>46045</v>
      </c>
      <c r="D8641" t="inlineStr">
        <is>
          <t>JÄMTLANDS LÄN</t>
        </is>
      </c>
      <c r="E8641" t="inlineStr">
        <is>
          <t>RAGUNDA</t>
        </is>
      </c>
      <c r="G8641" t="n">
        <v>32.3</v>
      </c>
      <c r="H8641" t="n">
        <v>0</v>
      </c>
      <c r="I8641" t="n">
        <v>0</v>
      </c>
      <c r="J8641" t="n">
        <v>0</v>
      </c>
      <c r="K8641" t="n">
        <v>0</v>
      </c>
      <c r="L8641" t="n">
        <v>0</v>
      </c>
      <c r="M8641" t="n">
        <v>0</v>
      </c>
      <c r="N8641" t="n">
        <v>0</v>
      </c>
      <c r="O8641" t="n">
        <v>0</v>
      </c>
      <c r="P8641" t="n">
        <v>0</v>
      </c>
      <c r="Q8641" t="n">
        <v>0</v>
      </c>
      <c r="R8641" s="2" t="inlineStr"/>
    </row>
    <row r="8642" ht="15" customHeight="1">
      <c r="A8642" t="inlineStr">
        <is>
          <t>A 2173-2026</t>
        </is>
      </c>
      <c r="B8642" s="1" t="n">
        <v>46036.44984953704</v>
      </c>
      <c r="C8642" s="1" t="n">
        <v>46045</v>
      </c>
      <c r="D8642" t="inlineStr">
        <is>
          <t>JÄMTLANDS LÄN</t>
        </is>
      </c>
      <c r="E8642" t="inlineStr">
        <is>
          <t>RAGUNDA</t>
        </is>
      </c>
      <c r="F8642" t="inlineStr">
        <is>
          <t>SCA</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1942-2026</t>
        </is>
      </c>
      <c r="B8643" s="1" t="n">
        <v>46035.59452546296</v>
      </c>
      <c r="C8643" s="1" t="n">
        <v>46045</v>
      </c>
      <c r="D8643" t="inlineStr">
        <is>
          <t>JÄMTLANDS LÄN</t>
        </is>
      </c>
      <c r="E8643" t="inlineStr">
        <is>
          <t>BRÄCKE</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60281-2025</t>
        </is>
      </c>
      <c r="B8644" s="1" t="n">
        <v>45994.639375</v>
      </c>
      <c r="C8644" s="1" t="n">
        <v>46045</v>
      </c>
      <c r="D8644" t="inlineStr">
        <is>
          <t>JÄMTLANDS LÄN</t>
        </is>
      </c>
      <c r="E8644" t="inlineStr">
        <is>
          <t>KROKOM</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34680-2025</t>
        </is>
      </c>
      <c r="B8645" s="1" t="n">
        <v>45848.42799768518</v>
      </c>
      <c r="C8645" s="1" t="n">
        <v>46045</v>
      </c>
      <c r="D8645" t="inlineStr">
        <is>
          <t>JÄMTLANDS LÄN</t>
        </is>
      </c>
      <c r="E8645" t="inlineStr">
        <is>
          <t>BRÄCKE</t>
        </is>
      </c>
      <c r="F8645" t="inlineStr">
        <is>
          <t>SCA</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24509-2022</t>
        </is>
      </c>
      <c r="B8646" s="1" t="n">
        <v>44726</v>
      </c>
      <c r="C8646" s="1" t="n">
        <v>46045</v>
      </c>
      <c r="D8646" t="inlineStr">
        <is>
          <t>JÄMTLANDS LÄN</t>
        </is>
      </c>
      <c r="E8646" t="inlineStr">
        <is>
          <t>STRÖMSUND</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59949-2025</t>
        </is>
      </c>
      <c r="B8647" s="1" t="n">
        <v>45993.45402777778</v>
      </c>
      <c r="C8647" s="1" t="n">
        <v>46045</v>
      </c>
      <c r="D8647" t="inlineStr">
        <is>
          <t>JÄMTLANDS LÄN</t>
        </is>
      </c>
      <c r="E8647" t="inlineStr">
        <is>
          <t>STRÖMSUND</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62249-2021</t>
        </is>
      </c>
      <c r="B8648" s="1" t="n">
        <v>44503</v>
      </c>
      <c r="C8648" s="1" t="n">
        <v>46045</v>
      </c>
      <c r="D8648" t="inlineStr">
        <is>
          <t>JÄMTLANDS LÄN</t>
        </is>
      </c>
      <c r="E8648" t="inlineStr">
        <is>
          <t>BRÄCKE</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34467-2025</t>
        </is>
      </c>
      <c r="B8649" s="1" t="n">
        <v>45847.34582175926</v>
      </c>
      <c r="C8649" s="1" t="n">
        <v>46045</v>
      </c>
      <c r="D8649" t="inlineStr">
        <is>
          <t>JÄMTLANDS LÄN</t>
        </is>
      </c>
      <c r="E8649" t="inlineStr">
        <is>
          <t>STRÖMSUND</t>
        </is>
      </c>
      <c r="F8649" t="inlineStr">
        <is>
          <t>SCA</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1941-2026</t>
        </is>
      </c>
      <c r="B8650" s="1" t="n">
        <v>46035.59439814815</v>
      </c>
      <c r="C8650" s="1" t="n">
        <v>46045</v>
      </c>
      <c r="D8650" t="inlineStr">
        <is>
          <t>JÄMTLANDS LÄN</t>
        </is>
      </c>
      <c r="E8650" t="inlineStr">
        <is>
          <t>BRÄCKE</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34463-2025</t>
        </is>
      </c>
      <c r="B8651" s="1" t="n">
        <v>45847.34515046296</v>
      </c>
      <c r="C8651" s="1" t="n">
        <v>46045</v>
      </c>
      <c r="D8651" t="inlineStr">
        <is>
          <t>JÄMTLANDS LÄN</t>
        </is>
      </c>
      <c r="E8651" t="inlineStr">
        <is>
          <t>RAGUNDA</t>
        </is>
      </c>
      <c r="F8651" t="inlineStr">
        <is>
          <t>SCA</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34469-2025</t>
        </is>
      </c>
      <c r="B8652" s="1" t="n">
        <v>45847.34608796296</v>
      </c>
      <c r="C8652" s="1" t="n">
        <v>46045</v>
      </c>
      <c r="D8652" t="inlineStr">
        <is>
          <t>JÄMTLANDS LÄN</t>
        </is>
      </c>
      <c r="E8652" t="inlineStr">
        <is>
          <t>BRÄCKE</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34737-2025</t>
        </is>
      </c>
      <c r="B8653" s="1" t="n">
        <v>45848.60371527778</v>
      </c>
      <c r="C8653" s="1" t="n">
        <v>46045</v>
      </c>
      <c r="D8653" t="inlineStr">
        <is>
          <t>JÄMTLANDS LÄN</t>
        </is>
      </c>
      <c r="E8653" t="inlineStr">
        <is>
          <t>KROKOM</t>
        </is>
      </c>
      <c r="G8653" t="n">
        <v>7.5</v>
      </c>
      <c r="H8653" t="n">
        <v>0</v>
      </c>
      <c r="I8653" t="n">
        <v>0</v>
      </c>
      <c r="J8653" t="n">
        <v>0</v>
      </c>
      <c r="K8653" t="n">
        <v>0</v>
      </c>
      <c r="L8653" t="n">
        <v>0</v>
      </c>
      <c r="M8653" t="n">
        <v>0</v>
      </c>
      <c r="N8653" t="n">
        <v>0</v>
      </c>
      <c r="O8653" t="n">
        <v>0</v>
      </c>
      <c r="P8653" t="n">
        <v>0</v>
      </c>
      <c r="Q8653" t="n">
        <v>0</v>
      </c>
      <c r="R8653" s="2" t="inlineStr"/>
    </row>
    <row r="8654" ht="15" customHeight="1">
      <c r="A8654" t="inlineStr">
        <is>
          <t>A 1810-2026</t>
        </is>
      </c>
      <c r="B8654" s="1" t="n">
        <v>46035.33962962963</v>
      </c>
      <c r="C8654" s="1" t="n">
        <v>46045</v>
      </c>
      <c r="D8654" t="inlineStr">
        <is>
          <t>JÄMTLANDS LÄN</t>
        </is>
      </c>
      <c r="E8654" t="inlineStr">
        <is>
          <t>BRÄCKE</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52313-2024</t>
        </is>
      </c>
      <c r="B8655" s="1" t="n">
        <v>45608.86341435185</v>
      </c>
      <c r="C8655" s="1" t="n">
        <v>46045</v>
      </c>
      <c r="D8655" t="inlineStr">
        <is>
          <t>JÄMTLANDS LÄN</t>
        </is>
      </c>
      <c r="E8655" t="inlineStr">
        <is>
          <t>KROKOM</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50638-2024</t>
        </is>
      </c>
      <c r="B8656" s="1" t="n">
        <v>45601.6775</v>
      </c>
      <c r="C8656" s="1" t="n">
        <v>46045</v>
      </c>
      <c r="D8656" t="inlineStr">
        <is>
          <t>JÄMTLANDS LÄN</t>
        </is>
      </c>
      <c r="E8656" t="inlineStr">
        <is>
          <t>STRÖMSUND</t>
        </is>
      </c>
      <c r="F8656" t="inlineStr">
        <is>
          <t>SCA</t>
        </is>
      </c>
      <c r="G8656" t="n">
        <v>9.6</v>
      </c>
      <c r="H8656" t="n">
        <v>0</v>
      </c>
      <c r="I8656" t="n">
        <v>0</v>
      </c>
      <c r="J8656" t="n">
        <v>0</v>
      </c>
      <c r="K8656" t="n">
        <v>0</v>
      </c>
      <c r="L8656" t="n">
        <v>0</v>
      </c>
      <c r="M8656" t="n">
        <v>0</v>
      </c>
      <c r="N8656" t="n">
        <v>0</v>
      </c>
      <c r="O8656" t="n">
        <v>0</v>
      </c>
      <c r="P8656" t="n">
        <v>0</v>
      </c>
      <c r="Q8656" t="n">
        <v>0</v>
      </c>
      <c r="R8656" s="2" t="inlineStr"/>
    </row>
    <row r="8657" ht="15" customHeight="1">
      <c r="A8657" t="inlineStr">
        <is>
          <t>A 59922-2025</t>
        </is>
      </c>
      <c r="B8657" s="1" t="n">
        <v>45993.38613425926</v>
      </c>
      <c r="C8657" s="1" t="n">
        <v>46045</v>
      </c>
      <c r="D8657" t="inlineStr">
        <is>
          <t>JÄMTLANDS LÄN</t>
        </is>
      </c>
      <c r="E8657" t="inlineStr">
        <is>
          <t>KROKOM</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34710-2025</t>
        </is>
      </c>
      <c r="B8658" s="1" t="n">
        <v>45848.49774305556</v>
      </c>
      <c r="C8658" s="1" t="n">
        <v>46045</v>
      </c>
      <c r="D8658" t="inlineStr">
        <is>
          <t>JÄMTLANDS LÄN</t>
        </is>
      </c>
      <c r="E8658" t="inlineStr">
        <is>
          <t>RAGUNDA</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34912-2025</t>
        </is>
      </c>
      <c r="B8659" s="1" t="n">
        <v>45849.5378587963</v>
      </c>
      <c r="C8659" s="1" t="n">
        <v>46045</v>
      </c>
      <c r="D8659" t="inlineStr">
        <is>
          <t>JÄMTLANDS LÄN</t>
        </is>
      </c>
      <c r="E8659" t="inlineStr">
        <is>
          <t>BRÄCKE</t>
        </is>
      </c>
      <c r="F8659" t="inlineStr">
        <is>
          <t>Sveaskog</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34983-2025</t>
        </is>
      </c>
      <c r="B8660" s="1" t="n">
        <v>45849.71234953704</v>
      </c>
      <c r="C8660" s="1" t="n">
        <v>46045</v>
      </c>
      <c r="D8660" t="inlineStr">
        <is>
          <t>JÄMTLANDS LÄN</t>
        </is>
      </c>
      <c r="E8660" t="inlineStr">
        <is>
          <t>BRÄCKE</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60222-2025</t>
        </is>
      </c>
      <c r="B8661" s="1" t="n">
        <v>45994</v>
      </c>
      <c r="C8661" s="1" t="n">
        <v>46045</v>
      </c>
      <c r="D8661" t="inlineStr">
        <is>
          <t>JÄMTLANDS LÄN</t>
        </is>
      </c>
      <c r="E8661" t="inlineStr">
        <is>
          <t>KROKOM</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60248-2025</t>
        </is>
      </c>
      <c r="B8662" s="1" t="n">
        <v>45994.59428240741</v>
      </c>
      <c r="C8662" s="1" t="n">
        <v>46045</v>
      </c>
      <c r="D8662" t="inlineStr">
        <is>
          <t>JÄMTLANDS LÄN</t>
        </is>
      </c>
      <c r="E8662" t="inlineStr">
        <is>
          <t>BRÄCKE</t>
        </is>
      </c>
      <c r="F8662" t="inlineStr">
        <is>
          <t>SCA</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20100-2023</t>
        </is>
      </c>
      <c r="B8663" s="1" t="n">
        <v>45054.94239583334</v>
      </c>
      <c r="C8663" s="1" t="n">
        <v>46045</v>
      </c>
      <c r="D8663" t="inlineStr">
        <is>
          <t>JÄMTLANDS LÄN</t>
        </is>
      </c>
      <c r="E8663" t="inlineStr">
        <is>
          <t>BRÄCKE</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20101-2023</t>
        </is>
      </c>
      <c r="B8664" s="1" t="n">
        <v>45054.94247685185</v>
      </c>
      <c r="C8664" s="1" t="n">
        <v>46045</v>
      </c>
      <c r="D8664" t="inlineStr">
        <is>
          <t>JÄMTLANDS LÄN</t>
        </is>
      </c>
      <c r="E8664" t="inlineStr">
        <is>
          <t>BRÄCKE</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34925-2025</t>
        </is>
      </c>
      <c r="B8665" s="1" t="n">
        <v>45849</v>
      </c>
      <c r="C8665" s="1" t="n">
        <v>46045</v>
      </c>
      <c r="D8665" t="inlineStr">
        <is>
          <t>JÄMTLANDS LÄN</t>
        </is>
      </c>
      <c r="E8665" t="inlineStr">
        <is>
          <t>ÅRE</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44841-2024</t>
        </is>
      </c>
      <c r="B8666" s="1" t="n">
        <v>45574.71900462963</v>
      </c>
      <c r="C8666" s="1" t="n">
        <v>46045</v>
      </c>
      <c r="D8666" t="inlineStr">
        <is>
          <t>JÄMTLANDS LÄN</t>
        </is>
      </c>
      <c r="E8666" t="inlineStr">
        <is>
          <t>BRÄCKE</t>
        </is>
      </c>
      <c r="F8666" t="inlineStr">
        <is>
          <t>SCA</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34884-2025</t>
        </is>
      </c>
      <c r="B8667" s="1" t="n">
        <v>45849.46958333333</v>
      </c>
      <c r="C8667" s="1" t="n">
        <v>46045</v>
      </c>
      <c r="D8667" t="inlineStr">
        <is>
          <t>JÄMTLANDS LÄN</t>
        </is>
      </c>
      <c r="E8667" t="inlineStr">
        <is>
          <t>STRÖMSUND</t>
        </is>
      </c>
      <c r="F8667" t="inlineStr">
        <is>
          <t>SCA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2210-2026</t>
        </is>
      </c>
      <c r="B8668" s="1" t="n">
        <v>46036.48995370371</v>
      </c>
      <c r="C8668" s="1" t="n">
        <v>46045</v>
      </c>
      <c r="D8668" t="inlineStr">
        <is>
          <t>JÄMTLANDS LÄN</t>
        </is>
      </c>
      <c r="E8668" t="inlineStr">
        <is>
          <t>KROKOM</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60077-2025</t>
        </is>
      </c>
      <c r="B8669" s="1" t="n">
        <v>45993.67987268518</v>
      </c>
      <c r="C8669" s="1" t="n">
        <v>46045</v>
      </c>
      <c r="D8669" t="inlineStr">
        <is>
          <t>JÄMTLANDS LÄN</t>
        </is>
      </c>
      <c r="E8669" t="inlineStr">
        <is>
          <t>BERG</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34815-2025</t>
        </is>
      </c>
      <c r="B8670" s="1" t="n">
        <v>45849.35287037037</v>
      </c>
      <c r="C8670" s="1" t="n">
        <v>46045</v>
      </c>
      <c r="D8670" t="inlineStr">
        <is>
          <t>JÄMTLANDS LÄN</t>
        </is>
      </c>
      <c r="E8670" t="inlineStr">
        <is>
          <t>STRÖMSUND</t>
        </is>
      </c>
      <c r="G8670" t="n">
        <v>9.6</v>
      </c>
      <c r="H8670" t="n">
        <v>0</v>
      </c>
      <c r="I8670" t="n">
        <v>0</v>
      </c>
      <c r="J8670" t="n">
        <v>0</v>
      </c>
      <c r="K8670" t="n">
        <v>0</v>
      </c>
      <c r="L8670" t="n">
        <v>0</v>
      </c>
      <c r="M8670" t="n">
        <v>0</v>
      </c>
      <c r="N8670" t="n">
        <v>0</v>
      </c>
      <c r="O8670" t="n">
        <v>0</v>
      </c>
      <c r="P8670" t="n">
        <v>0</v>
      </c>
      <c r="Q8670" t="n">
        <v>0</v>
      </c>
      <c r="R8670" s="2" t="inlineStr"/>
    </row>
    <row r="8671" ht="15" customHeight="1">
      <c r="A8671" t="inlineStr">
        <is>
          <t>A 59890-2025</t>
        </is>
      </c>
      <c r="B8671" s="1" t="n">
        <v>45993.33128472222</v>
      </c>
      <c r="C8671" s="1" t="n">
        <v>46045</v>
      </c>
      <c r="D8671" t="inlineStr">
        <is>
          <t>JÄMTLANDS LÄN</t>
        </is>
      </c>
      <c r="E8671" t="inlineStr">
        <is>
          <t>BERG</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1811-2026</t>
        </is>
      </c>
      <c r="B8672" s="1" t="n">
        <v>46035.34351851852</v>
      </c>
      <c r="C8672" s="1" t="n">
        <v>46045</v>
      </c>
      <c r="D8672" t="inlineStr">
        <is>
          <t>JÄMTLANDS LÄN</t>
        </is>
      </c>
      <c r="E8672" t="inlineStr">
        <is>
          <t>BRÄCKE</t>
        </is>
      </c>
      <c r="G8672" t="n">
        <v>6.7</v>
      </c>
      <c r="H8672" t="n">
        <v>0</v>
      </c>
      <c r="I8672" t="n">
        <v>0</v>
      </c>
      <c r="J8672" t="n">
        <v>0</v>
      </c>
      <c r="K8672" t="n">
        <v>0</v>
      </c>
      <c r="L8672" t="n">
        <v>0</v>
      </c>
      <c r="M8672" t="n">
        <v>0</v>
      </c>
      <c r="N8672" t="n">
        <v>0</v>
      </c>
      <c r="O8672" t="n">
        <v>0</v>
      </c>
      <c r="P8672" t="n">
        <v>0</v>
      </c>
      <c r="Q8672" t="n">
        <v>0</v>
      </c>
      <c r="R8672" s="2" t="inlineStr"/>
    </row>
    <row r="8673" ht="15" customHeight="1">
      <c r="A8673" t="inlineStr">
        <is>
          <t>A 35154-2025</t>
        </is>
      </c>
      <c r="B8673" s="1" t="n">
        <v>45852</v>
      </c>
      <c r="C8673" s="1" t="n">
        <v>46045</v>
      </c>
      <c r="D8673" t="inlineStr">
        <is>
          <t>JÄMTLANDS LÄN</t>
        </is>
      </c>
      <c r="E8673" t="inlineStr">
        <is>
          <t>HÄRJEDALEN</t>
        </is>
      </c>
      <c r="G8673" t="n">
        <v>14.1</v>
      </c>
      <c r="H8673" t="n">
        <v>0</v>
      </c>
      <c r="I8673" t="n">
        <v>0</v>
      </c>
      <c r="J8673" t="n">
        <v>0</v>
      </c>
      <c r="K8673" t="n">
        <v>0</v>
      </c>
      <c r="L8673" t="n">
        <v>0</v>
      </c>
      <c r="M8673" t="n">
        <v>0</v>
      </c>
      <c r="N8673" t="n">
        <v>0</v>
      </c>
      <c r="O8673" t="n">
        <v>0</v>
      </c>
      <c r="P8673" t="n">
        <v>0</v>
      </c>
      <c r="Q8673" t="n">
        <v>0</v>
      </c>
      <c r="R8673" s="2" t="inlineStr"/>
    </row>
    <row r="8674" ht="15" customHeight="1">
      <c r="A8674" t="inlineStr">
        <is>
          <t>A 34891-2025</t>
        </is>
      </c>
      <c r="B8674" s="1" t="n">
        <v>45849.49033564814</v>
      </c>
      <c r="C8674" s="1" t="n">
        <v>46045</v>
      </c>
      <c r="D8674" t="inlineStr">
        <is>
          <t>JÄMTLANDS LÄN</t>
        </is>
      </c>
      <c r="E8674" t="inlineStr">
        <is>
          <t>STRÖMSUND</t>
        </is>
      </c>
      <c r="F8674" t="inlineStr">
        <is>
          <t>SCA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35070-2025</t>
        </is>
      </c>
      <c r="B8675" s="1" t="n">
        <v>45852.46909722222</v>
      </c>
      <c r="C8675" s="1" t="n">
        <v>46045</v>
      </c>
      <c r="D8675" t="inlineStr">
        <is>
          <t>JÄMTLANDS LÄN</t>
        </is>
      </c>
      <c r="E8675" t="inlineStr">
        <is>
          <t>STRÖMSUND</t>
        </is>
      </c>
      <c r="F8675" t="inlineStr">
        <is>
          <t>SCA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60128-2025</t>
        </is>
      </c>
      <c r="B8676" s="1" t="n">
        <v>45994.34456018519</v>
      </c>
      <c r="C8676" s="1" t="n">
        <v>46045</v>
      </c>
      <c r="D8676" t="inlineStr">
        <is>
          <t>JÄMTLANDS LÄN</t>
        </is>
      </c>
      <c r="E8676" t="inlineStr">
        <is>
          <t>RAGUNDA</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60132-2025</t>
        </is>
      </c>
      <c r="B8677" s="1" t="n">
        <v>45994.34591435185</v>
      </c>
      <c r="C8677" s="1" t="n">
        <v>46045</v>
      </c>
      <c r="D8677" t="inlineStr">
        <is>
          <t>JÄMTLANDS LÄN</t>
        </is>
      </c>
      <c r="E8677" t="inlineStr">
        <is>
          <t>BRÄCKE</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60295-2025</t>
        </is>
      </c>
      <c r="B8678" s="1" t="n">
        <v>45994.65680555555</v>
      </c>
      <c r="C8678" s="1" t="n">
        <v>46045</v>
      </c>
      <c r="D8678" t="inlineStr">
        <is>
          <t>JÄMTLANDS LÄN</t>
        </is>
      </c>
      <c r="E8678" t="inlineStr">
        <is>
          <t>BRÄCKE</t>
        </is>
      </c>
      <c r="F8678" t="inlineStr">
        <is>
          <t>SCA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60307-2025</t>
        </is>
      </c>
      <c r="B8679" s="1" t="n">
        <v>45994.6842824074</v>
      </c>
      <c r="C8679" s="1" t="n">
        <v>46045</v>
      </c>
      <c r="D8679" t="inlineStr">
        <is>
          <t>JÄMTLANDS LÄN</t>
        </is>
      </c>
      <c r="E8679" t="inlineStr">
        <is>
          <t>RAGUNDA</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34829-2025</t>
        </is>
      </c>
      <c r="B8680" s="1" t="n">
        <v>45849.3859837963</v>
      </c>
      <c r="C8680" s="1" t="n">
        <v>46045</v>
      </c>
      <c r="D8680" t="inlineStr">
        <is>
          <t>JÄMTLANDS LÄN</t>
        </is>
      </c>
      <c r="E8680" t="inlineStr">
        <is>
          <t>KROKOM</t>
        </is>
      </c>
      <c r="F8680" t="inlineStr">
        <is>
          <t>SCA</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41628-2024</t>
        </is>
      </c>
      <c r="B8681" s="1" t="n">
        <v>45560</v>
      </c>
      <c r="C8681" s="1" t="n">
        <v>46045</v>
      </c>
      <c r="D8681" t="inlineStr">
        <is>
          <t>JÄMTLANDS LÄN</t>
        </is>
      </c>
      <c r="E8681" t="inlineStr">
        <is>
          <t>KROKOM</t>
        </is>
      </c>
      <c r="F8681" t="inlineStr">
        <is>
          <t>Övriga Aktiebolag</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34709-2025</t>
        </is>
      </c>
      <c r="B8682" s="1" t="n">
        <v>45848.49761574074</v>
      </c>
      <c r="C8682" s="1" t="n">
        <v>46045</v>
      </c>
      <c r="D8682" t="inlineStr">
        <is>
          <t>JÄMTLANDS LÄN</t>
        </is>
      </c>
      <c r="E8682" t="inlineStr">
        <is>
          <t>RAGUNDA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1965-2026</t>
        </is>
      </c>
      <c r="B8683" s="1" t="n">
        <v>46035.63621527778</v>
      </c>
      <c r="C8683" s="1" t="n">
        <v>46045</v>
      </c>
      <c r="D8683" t="inlineStr">
        <is>
          <t>JÄMTLANDS LÄN</t>
        </is>
      </c>
      <c r="E8683" t="inlineStr">
        <is>
          <t>KROKOM</t>
        </is>
      </c>
      <c r="F8683" t="inlineStr">
        <is>
          <t>SCA</t>
        </is>
      </c>
      <c r="G8683" t="n">
        <v>30</v>
      </c>
      <c r="H8683" t="n">
        <v>0</v>
      </c>
      <c r="I8683" t="n">
        <v>0</v>
      </c>
      <c r="J8683" t="n">
        <v>0</v>
      </c>
      <c r="K8683" t="n">
        <v>0</v>
      </c>
      <c r="L8683" t="n">
        <v>0</v>
      </c>
      <c r="M8683" t="n">
        <v>0</v>
      </c>
      <c r="N8683" t="n">
        <v>0</v>
      </c>
      <c r="O8683" t="n">
        <v>0</v>
      </c>
      <c r="P8683" t="n">
        <v>0</v>
      </c>
      <c r="Q8683" t="n">
        <v>0</v>
      </c>
      <c r="R8683" s="2" t="inlineStr"/>
    </row>
    <row r="8684" ht="15" customHeight="1">
      <c r="A8684" t="inlineStr">
        <is>
          <t>A 1985-2026</t>
        </is>
      </c>
      <c r="B8684" s="1" t="n">
        <v>46035.65681712963</v>
      </c>
      <c r="C8684" s="1" t="n">
        <v>46045</v>
      </c>
      <c r="D8684" t="inlineStr">
        <is>
          <t>JÄMTLANDS LÄN</t>
        </is>
      </c>
      <c r="E8684" t="inlineStr">
        <is>
          <t>STRÖMSUND</t>
        </is>
      </c>
      <c r="F8684" t="inlineStr">
        <is>
          <t>SCA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2407-2026</t>
        </is>
      </c>
      <c r="B8685" s="1" t="n">
        <v>46036.71928240741</v>
      </c>
      <c r="C8685" s="1" t="n">
        <v>46045</v>
      </c>
      <c r="D8685" t="inlineStr">
        <is>
          <t>JÄMTLANDS LÄN</t>
        </is>
      </c>
      <c r="E8685" t="inlineStr">
        <is>
          <t>STRÖMSUND</t>
        </is>
      </c>
      <c r="F8685" t="inlineStr">
        <is>
          <t>SCA</t>
        </is>
      </c>
      <c r="G8685" t="n">
        <v>18.6</v>
      </c>
      <c r="H8685" t="n">
        <v>0</v>
      </c>
      <c r="I8685" t="n">
        <v>0</v>
      </c>
      <c r="J8685" t="n">
        <v>0</v>
      </c>
      <c r="K8685" t="n">
        <v>0</v>
      </c>
      <c r="L8685" t="n">
        <v>0</v>
      </c>
      <c r="M8685" t="n">
        <v>0</v>
      </c>
      <c r="N8685" t="n">
        <v>0</v>
      </c>
      <c r="O8685" t="n">
        <v>0</v>
      </c>
      <c r="P8685" t="n">
        <v>0</v>
      </c>
      <c r="Q8685" t="n">
        <v>0</v>
      </c>
      <c r="R8685" s="2" t="inlineStr"/>
    </row>
    <row r="8686" ht="15" customHeight="1">
      <c r="A8686" t="inlineStr">
        <is>
          <t>A 34892-2025</t>
        </is>
      </c>
      <c r="B8686" s="1" t="n">
        <v>45849.49047453704</v>
      </c>
      <c r="C8686" s="1" t="n">
        <v>46045</v>
      </c>
      <c r="D8686" t="inlineStr">
        <is>
          <t>JÄMTLANDS LÄN</t>
        </is>
      </c>
      <c r="E8686" t="inlineStr">
        <is>
          <t>BERG</t>
        </is>
      </c>
      <c r="F8686" t="inlineStr">
        <is>
          <t>SCA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37173-2024</t>
        </is>
      </c>
      <c r="B8687" s="1" t="n">
        <v>45539.63597222222</v>
      </c>
      <c r="C8687" s="1" t="n">
        <v>46045</v>
      </c>
      <c r="D8687" t="inlineStr">
        <is>
          <t>JÄMTLANDS LÄN</t>
        </is>
      </c>
      <c r="E8687" t="inlineStr">
        <is>
          <t>BRÄCKE</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1877-2026</t>
        </is>
      </c>
      <c r="B8688" s="1" t="n">
        <v>46035.46924768519</v>
      </c>
      <c r="C8688" s="1" t="n">
        <v>46045</v>
      </c>
      <c r="D8688" t="inlineStr">
        <is>
          <t>JÄMTLANDS LÄN</t>
        </is>
      </c>
      <c r="E8688" t="inlineStr">
        <is>
          <t>BRÄCKE</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1878-2026</t>
        </is>
      </c>
      <c r="B8689" s="1" t="n">
        <v>46035.46946759259</v>
      </c>
      <c r="C8689" s="1" t="n">
        <v>46045</v>
      </c>
      <c r="D8689" t="inlineStr">
        <is>
          <t>JÄMTLANDS LÄN</t>
        </is>
      </c>
      <c r="E8689" t="inlineStr">
        <is>
          <t>BRÄCKE</t>
        </is>
      </c>
      <c r="F8689" t="inlineStr">
        <is>
          <t>SCA</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2355-2026</t>
        </is>
      </c>
      <c r="B8690" s="1" t="n">
        <v>46036.6362037037</v>
      </c>
      <c r="C8690" s="1" t="n">
        <v>46045</v>
      </c>
      <c r="D8690" t="inlineStr">
        <is>
          <t>JÄMTLANDS LÄN</t>
        </is>
      </c>
      <c r="E8690" t="inlineStr">
        <is>
          <t>BRÄCKE</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34882-2025</t>
        </is>
      </c>
      <c r="B8691" s="1" t="n">
        <v>45849.46928240741</v>
      </c>
      <c r="C8691" s="1" t="n">
        <v>46045</v>
      </c>
      <c r="D8691" t="inlineStr">
        <is>
          <t>JÄMTLANDS LÄN</t>
        </is>
      </c>
      <c r="E8691" t="inlineStr">
        <is>
          <t>STRÖMSUND</t>
        </is>
      </c>
      <c r="F8691" t="inlineStr">
        <is>
          <t>SCA</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35058-2025</t>
        </is>
      </c>
      <c r="B8692" s="1" t="n">
        <v>45849</v>
      </c>
      <c r="C8692" s="1" t="n">
        <v>46045</v>
      </c>
      <c r="D8692" t="inlineStr">
        <is>
          <t>JÄMTLANDS LÄN</t>
        </is>
      </c>
      <c r="E8692" t="inlineStr">
        <is>
          <t>ÅRE</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41343-2024</t>
        </is>
      </c>
      <c r="B8693" s="1" t="n">
        <v>45559.67745370371</v>
      </c>
      <c r="C8693" s="1" t="n">
        <v>46045</v>
      </c>
      <c r="D8693" t="inlineStr">
        <is>
          <t>JÄMTLANDS LÄN</t>
        </is>
      </c>
      <c r="E8693" t="inlineStr">
        <is>
          <t>RAGUNDA</t>
        </is>
      </c>
      <c r="F8693" t="inlineStr">
        <is>
          <t>SCA</t>
        </is>
      </c>
      <c r="G8693" t="n">
        <v>25.1</v>
      </c>
      <c r="H8693" t="n">
        <v>0</v>
      </c>
      <c r="I8693" t="n">
        <v>0</v>
      </c>
      <c r="J8693" t="n">
        <v>0</v>
      </c>
      <c r="K8693" t="n">
        <v>0</v>
      </c>
      <c r="L8693" t="n">
        <v>0</v>
      </c>
      <c r="M8693" t="n">
        <v>0</v>
      </c>
      <c r="N8693" t="n">
        <v>0</v>
      </c>
      <c r="O8693" t="n">
        <v>0</v>
      </c>
      <c r="P8693" t="n">
        <v>0</v>
      </c>
      <c r="Q8693" t="n">
        <v>0</v>
      </c>
      <c r="R8693" s="2" t="inlineStr"/>
    </row>
    <row r="8694" ht="15" customHeight="1">
      <c r="A8694" t="inlineStr">
        <is>
          <t>A 39809-2025</t>
        </is>
      </c>
      <c r="B8694" s="1" t="n">
        <v>45891</v>
      </c>
      <c r="C8694" s="1" t="n">
        <v>46045</v>
      </c>
      <c r="D8694" t="inlineStr">
        <is>
          <t>JÄMTLANDS LÄN</t>
        </is>
      </c>
      <c r="E8694" t="inlineStr">
        <is>
          <t>BERG</t>
        </is>
      </c>
      <c r="F8694" t="inlineStr">
        <is>
          <t>SCA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35092-2025</t>
        </is>
      </c>
      <c r="B8695" s="1" t="n">
        <v>45852.53185185185</v>
      </c>
      <c r="C8695" s="1" t="n">
        <v>46045</v>
      </c>
      <c r="D8695" t="inlineStr">
        <is>
          <t>JÄMTLANDS LÄN</t>
        </is>
      </c>
      <c r="E8695" t="inlineStr">
        <is>
          <t>RAGUNDA</t>
        </is>
      </c>
      <c r="F8695" t="inlineStr">
        <is>
          <t>SCA</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2346-2026</t>
        </is>
      </c>
      <c r="B8696" s="1" t="n">
        <v>46036.62737268519</v>
      </c>
      <c r="C8696" s="1" t="n">
        <v>46045</v>
      </c>
      <c r="D8696" t="inlineStr">
        <is>
          <t>JÄMTLANDS LÄN</t>
        </is>
      </c>
      <c r="E8696" t="inlineStr">
        <is>
          <t>BERG</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44596-2024</t>
        </is>
      </c>
      <c r="B8697" s="1" t="n">
        <v>45574.5106712963</v>
      </c>
      <c r="C8697" s="1" t="n">
        <v>46045</v>
      </c>
      <c r="D8697" t="inlineStr">
        <is>
          <t>JÄMTLANDS LÄN</t>
        </is>
      </c>
      <c r="E8697" t="inlineStr">
        <is>
          <t>STRÖMSUND</t>
        </is>
      </c>
      <c r="F8697" t="inlineStr">
        <is>
          <t>SCA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39742-2025</t>
        </is>
      </c>
      <c r="B8698" s="1" t="n">
        <v>45891.37998842593</v>
      </c>
      <c r="C8698" s="1" t="n">
        <v>46045</v>
      </c>
      <c r="D8698" t="inlineStr">
        <is>
          <t>JÄMTLANDS LÄN</t>
        </is>
      </c>
      <c r="E8698" t="inlineStr">
        <is>
          <t>ÅRE</t>
        </is>
      </c>
      <c r="F8698" t="inlineStr">
        <is>
          <t>Övriga statliga verk och myndigheter</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59976-2025</t>
        </is>
      </c>
      <c r="B8699" s="1" t="n">
        <v>45993.51091435185</v>
      </c>
      <c r="C8699" s="1" t="n">
        <v>46045</v>
      </c>
      <c r="D8699" t="inlineStr">
        <is>
          <t>JÄMTLANDS LÄN</t>
        </is>
      </c>
      <c r="E8699" t="inlineStr">
        <is>
          <t>BRÄCKE</t>
        </is>
      </c>
      <c r="F8699" t="inlineStr">
        <is>
          <t>SCA</t>
        </is>
      </c>
      <c r="G8699" t="n">
        <v>9</v>
      </c>
      <c r="H8699" t="n">
        <v>0</v>
      </c>
      <c r="I8699" t="n">
        <v>0</v>
      </c>
      <c r="J8699" t="n">
        <v>0</v>
      </c>
      <c r="K8699" t="n">
        <v>0</v>
      </c>
      <c r="L8699" t="n">
        <v>0</v>
      </c>
      <c r="M8699" t="n">
        <v>0</v>
      </c>
      <c r="N8699" t="n">
        <v>0</v>
      </c>
      <c r="O8699" t="n">
        <v>0</v>
      </c>
      <c r="P8699" t="n">
        <v>0</v>
      </c>
      <c r="Q8699" t="n">
        <v>0</v>
      </c>
      <c r="R8699" s="2" t="inlineStr"/>
    </row>
    <row r="8700" ht="15" customHeight="1">
      <c r="A8700" t="inlineStr">
        <is>
          <t>A 59981-2025</t>
        </is>
      </c>
      <c r="B8700" s="1" t="n">
        <v>45993.53554398148</v>
      </c>
      <c r="C8700" s="1" t="n">
        <v>46045</v>
      </c>
      <c r="D8700" t="inlineStr">
        <is>
          <t>JÄMTLANDS LÄN</t>
        </is>
      </c>
      <c r="E8700" t="inlineStr">
        <is>
          <t>HÄRJEDALEN</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34998-2025</t>
        </is>
      </c>
      <c r="B8701" s="1" t="n">
        <v>45850.34434027778</v>
      </c>
      <c r="C8701" s="1" t="n">
        <v>46045</v>
      </c>
      <c r="D8701" t="inlineStr">
        <is>
          <t>JÄMTLANDS LÄN</t>
        </is>
      </c>
      <c r="E8701" t="inlineStr">
        <is>
          <t>RAGUNDA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41401-2024</t>
        </is>
      </c>
      <c r="B8702" s="1" t="n">
        <v>45560.33311342593</v>
      </c>
      <c r="C8702" s="1" t="n">
        <v>46045</v>
      </c>
      <c r="D8702" t="inlineStr">
        <is>
          <t>JÄMTLANDS LÄN</t>
        </is>
      </c>
      <c r="E8702" t="inlineStr">
        <is>
          <t>HÄRJEDALEN</t>
        </is>
      </c>
      <c r="F8702" t="inlineStr">
        <is>
          <t>Bergvik skog väst AB</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41418-2024</t>
        </is>
      </c>
      <c r="B8703" s="1" t="n">
        <v>45560.34599537037</v>
      </c>
      <c r="C8703" s="1" t="n">
        <v>46045</v>
      </c>
      <c r="D8703" t="inlineStr">
        <is>
          <t>JÄMTLANDS LÄN</t>
        </is>
      </c>
      <c r="E8703" t="inlineStr">
        <is>
          <t>BRÄCKE</t>
        </is>
      </c>
      <c r="F8703" t="inlineStr">
        <is>
          <t>SCA</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41419-2024</t>
        </is>
      </c>
      <c r="B8704" s="1" t="n">
        <v>45560</v>
      </c>
      <c r="C8704" s="1" t="n">
        <v>46045</v>
      </c>
      <c r="D8704" t="inlineStr">
        <is>
          <t>JÄMTLANDS LÄN</t>
        </is>
      </c>
      <c r="E8704" t="inlineStr">
        <is>
          <t>BRÄCKE</t>
        </is>
      </c>
      <c r="F8704" t="inlineStr">
        <is>
          <t>SCA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39939-2024</t>
        </is>
      </c>
      <c r="B8705" s="1" t="n">
        <v>45553</v>
      </c>
      <c r="C8705" s="1" t="n">
        <v>46045</v>
      </c>
      <c r="D8705" t="inlineStr">
        <is>
          <t>JÄMTLANDS LÄN</t>
        </is>
      </c>
      <c r="E8705" t="inlineStr">
        <is>
          <t>STRÖMSUND</t>
        </is>
      </c>
      <c r="F8705" t="inlineStr">
        <is>
          <t>Kyrkan</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34805-2025</t>
        </is>
      </c>
      <c r="B8706" s="1" t="n">
        <v>45849.33071759259</v>
      </c>
      <c r="C8706" s="1" t="n">
        <v>46045</v>
      </c>
      <c r="D8706" t="inlineStr">
        <is>
          <t>JÄMTLANDS LÄN</t>
        </is>
      </c>
      <c r="E8706" t="inlineStr">
        <is>
          <t>ÅRE</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34811-2025</t>
        </is>
      </c>
      <c r="B8707" s="1" t="n">
        <v>45849.34430555555</v>
      </c>
      <c r="C8707" s="1" t="n">
        <v>46045</v>
      </c>
      <c r="D8707" t="inlineStr">
        <is>
          <t>JÄMTLANDS LÄN</t>
        </is>
      </c>
      <c r="E8707" t="inlineStr">
        <is>
          <t>STRÖMSUND</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34812-2025</t>
        </is>
      </c>
      <c r="B8708" s="1" t="n">
        <v>45849.34442129629</v>
      </c>
      <c r="C8708" s="1" t="n">
        <v>46045</v>
      </c>
      <c r="D8708" t="inlineStr">
        <is>
          <t>JÄMTLANDS LÄN</t>
        </is>
      </c>
      <c r="E8708" t="inlineStr">
        <is>
          <t>STRÖMSUND</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41868-2024</t>
        </is>
      </c>
      <c r="B8709" s="1" t="n">
        <v>45561.46900462963</v>
      </c>
      <c r="C8709" s="1" t="n">
        <v>46045</v>
      </c>
      <c r="D8709" t="inlineStr">
        <is>
          <t>JÄMTLANDS LÄN</t>
        </is>
      </c>
      <c r="E8709" t="inlineStr">
        <is>
          <t>BERG</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34828-2025</t>
        </is>
      </c>
      <c r="B8710" s="1" t="n">
        <v>45849.38579861111</v>
      </c>
      <c r="C8710" s="1" t="n">
        <v>46045</v>
      </c>
      <c r="D8710" t="inlineStr">
        <is>
          <t>JÄMTLANDS LÄN</t>
        </is>
      </c>
      <c r="E8710" t="inlineStr">
        <is>
          <t>BRÄCKE</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59899-2025</t>
        </is>
      </c>
      <c r="B8711" s="1" t="n">
        <v>45993.34460648148</v>
      </c>
      <c r="C8711" s="1" t="n">
        <v>46045</v>
      </c>
      <c r="D8711" t="inlineStr">
        <is>
          <t>JÄMTLANDS LÄN</t>
        </is>
      </c>
      <c r="E8711" t="inlineStr">
        <is>
          <t>STRÖMSUND</t>
        </is>
      </c>
      <c r="F8711" t="inlineStr">
        <is>
          <t>SCA</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34833-2025</t>
        </is>
      </c>
      <c r="B8712" s="1" t="n">
        <v>45849.38658564815</v>
      </c>
      <c r="C8712" s="1" t="n">
        <v>46045</v>
      </c>
      <c r="D8712" t="inlineStr">
        <is>
          <t>JÄMTLANDS LÄN</t>
        </is>
      </c>
      <c r="E8712" t="inlineStr">
        <is>
          <t>STRÖMSUND</t>
        </is>
      </c>
      <c r="F8712" t="inlineStr">
        <is>
          <t>Sveaskog</t>
        </is>
      </c>
      <c r="G8712" t="n">
        <v>8.699999999999999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34838-2025</t>
        </is>
      </c>
      <c r="B8713" s="1" t="n">
        <v>45849.39423611111</v>
      </c>
      <c r="C8713" s="1" t="n">
        <v>46045</v>
      </c>
      <c r="D8713" t="inlineStr">
        <is>
          <t>JÄMTLANDS LÄN</t>
        </is>
      </c>
      <c r="E8713" t="inlineStr">
        <is>
          <t>STRÖMSUND</t>
        </is>
      </c>
      <c r="F8713" t="inlineStr">
        <is>
          <t>Sveaskog</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34841-2025</t>
        </is>
      </c>
      <c r="B8714" s="1" t="n">
        <v>45849.3993287037</v>
      </c>
      <c r="C8714" s="1" t="n">
        <v>46045</v>
      </c>
      <c r="D8714" t="inlineStr">
        <is>
          <t>JÄMTLANDS LÄN</t>
        </is>
      </c>
      <c r="E8714" t="inlineStr">
        <is>
          <t>STRÖMSUND</t>
        </is>
      </c>
      <c r="F8714" t="inlineStr">
        <is>
          <t>Sveaskog</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34968-2025</t>
        </is>
      </c>
      <c r="B8715" s="1" t="n">
        <v>45849.65663194445</v>
      </c>
      <c r="C8715" s="1" t="n">
        <v>46045</v>
      </c>
      <c r="D8715" t="inlineStr">
        <is>
          <t>JÄMTLANDS LÄN</t>
        </is>
      </c>
      <c r="E8715" t="inlineStr">
        <is>
          <t>RAGUNDA</t>
        </is>
      </c>
      <c r="F8715" t="inlineStr">
        <is>
          <t>SCA</t>
        </is>
      </c>
      <c r="G8715" t="n">
        <v>20.2</v>
      </c>
      <c r="H8715" t="n">
        <v>0</v>
      </c>
      <c r="I8715" t="n">
        <v>0</v>
      </c>
      <c r="J8715" t="n">
        <v>0</v>
      </c>
      <c r="K8715" t="n">
        <v>0</v>
      </c>
      <c r="L8715" t="n">
        <v>0</v>
      </c>
      <c r="M8715" t="n">
        <v>0</v>
      </c>
      <c r="N8715" t="n">
        <v>0</v>
      </c>
      <c r="O8715" t="n">
        <v>0</v>
      </c>
      <c r="P8715" t="n">
        <v>0</v>
      </c>
      <c r="Q8715" t="n">
        <v>0</v>
      </c>
      <c r="R8715" s="2" t="inlineStr"/>
    </row>
    <row r="8716" ht="15" customHeight="1">
      <c r="A8716" t="inlineStr">
        <is>
          <t>A 35081-2025</t>
        </is>
      </c>
      <c r="B8716" s="1" t="n">
        <v>45852.48996527777</v>
      </c>
      <c r="C8716" s="1" t="n">
        <v>46045</v>
      </c>
      <c r="D8716" t="inlineStr">
        <is>
          <t>JÄMTLANDS LÄN</t>
        </is>
      </c>
      <c r="E8716" t="inlineStr">
        <is>
          <t>STRÖMSUND</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1998-2026</t>
        </is>
      </c>
      <c r="B8717" s="1" t="n">
        <v>46035.67759259259</v>
      </c>
      <c r="C8717" s="1" t="n">
        <v>46045</v>
      </c>
      <c r="D8717" t="inlineStr">
        <is>
          <t>JÄMTLANDS LÄN</t>
        </is>
      </c>
      <c r="E8717" t="inlineStr">
        <is>
          <t>BRÄCKE</t>
        </is>
      </c>
      <c r="F8717" t="inlineStr">
        <is>
          <t>SCA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34897-2025</t>
        </is>
      </c>
      <c r="B8718" s="1" t="n">
        <v>45849</v>
      </c>
      <c r="C8718" s="1" t="n">
        <v>46045</v>
      </c>
      <c r="D8718" t="inlineStr">
        <is>
          <t>JÄMTLANDS LÄN</t>
        </is>
      </c>
      <c r="E8718" t="inlineStr">
        <is>
          <t>ÅRE</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50919-2024</t>
        </is>
      </c>
      <c r="B8719" s="1" t="n">
        <v>45602</v>
      </c>
      <c r="C8719" s="1" t="n">
        <v>46045</v>
      </c>
      <c r="D8719" t="inlineStr">
        <is>
          <t>JÄMTLANDS LÄN</t>
        </is>
      </c>
      <c r="E8719" t="inlineStr">
        <is>
          <t>KROKOM</t>
        </is>
      </c>
      <c r="G8719" t="n">
        <v>33.7</v>
      </c>
      <c r="H8719" t="n">
        <v>0</v>
      </c>
      <c r="I8719" t="n">
        <v>0</v>
      </c>
      <c r="J8719" t="n">
        <v>0</v>
      </c>
      <c r="K8719" t="n">
        <v>0</v>
      </c>
      <c r="L8719" t="n">
        <v>0</v>
      </c>
      <c r="M8719" t="n">
        <v>0</v>
      </c>
      <c r="N8719" t="n">
        <v>0</v>
      </c>
      <c r="O8719" t="n">
        <v>0</v>
      </c>
      <c r="P8719" t="n">
        <v>0</v>
      </c>
      <c r="Q8719" t="n">
        <v>0</v>
      </c>
      <c r="R8719" s="2" t="inlineStr"/>
    </row>
    <row r="8720" ht="15" customHeight="1">
      <c r="A8720" t="inlineStr">
        <is>
          <t>A 2156-2026</t>
        </is>
      </c>
      <c r="B8720" s="1" t="n">
        <v>46036.42771990741</v>
      </c>
      <c r="C8720" s="1" t="n">
        <v>46045</v>
      </c>
      <c r="D8720" t="inlineStr">
        <is>
          <t>JÄMTLANDS LÄN</t>
        </is>
      </c>
      <c r="E8720" t="inlineStr">
        <is>
          <t>RAGUNDA</t>
        </is>
      </c>
      <c r="F8720" t="inlineStr">
        <is>
          <t>SCA</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35054-2025</t>
        </is>
      </c>
      <c r="B8721" s="1" t="n">
        <v>45849</v>
      </c>
      <c r="C8721" s="1" t="n">
        <v>46045</v>
      </c>
      <c r="D8721" t="inlineStr">
        <is>
          <t>JÄMTLANDS LÄN</t>
        </is>
      </c>
      <c r="E8721" t="inlineStr">
        <is>
          <t>ÅRE</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1908-2026</t>
        </is>
      </c>
      <c r="B8722" s="1" t="n">
        <v>46035.55284722222</v>
      </c>
      <c r="C8722" s="1" t="n">
        <v>46045</v>
      </c>
      <c r="D8722" t="inlineStr">
        <is>
          <t>JÄMTLANDS LÄN</t>
        </is>
      </c>
      <c r="E8722" t="inlineStr">
        <is>
          <t>STRÖMSUND</t>
        </is>
      </c>
      <c r="F8722" t="inlineStr">
        <is>
          <t>SCA</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35060-2025</t>
        </is>
      </c>
      <c r="B8723" s="1" t="n">
        <v>45852.42747685185</v>
      </c>
      <c r="C8723" s="1" t="n">
        <v>46045</v>
      </c>
      <c r="D8723" t="inlineStr">
        <is>
          <t>JÄMTLANDS LÄN</t>
        </is>
      </c>
      <c r="E8723" t="inlineStr">
        <is>
          <t>BRÄCKE</t>
        </is>
      </c>
      <c r="F8723" t="inlineStr">
        <is>
          <t>SCA</t>
        </is>
      </c>
      <c r="G8723" t="n">
        <v>9.5</v>
      </c>
      <c r="H8723" t="n">
        <v>0</v>
      </c>
      <c r="I8723" t="n">
        <v>0</v>
      </c>
      <c r="J8723" t="n">
        <v>0</v>
      </c>
      <c r="K8723" t="n">
        <v>0</v>
      </c>
      <c r="L8723" t="n">
        <v>0</v>
      </c>
      <c r="M8723" t="n">
        <v>0</v>
      </c>
      <c r="N8723" t="n">
        <v>0</v>
      </c>
      <c r="O8723" t="n">
        <v>0</v>
      </c>
      <c r="P8723" t="n">
        <v>0</v>
      </c>
      <c r="Q8723" t="n">
        <v>0</v>
      </c>
      <c r="R8723" s="2" t="inlineStr"/>
    </row>
    <row r="8724" ht="15" customHeight="1">
      <c r="A8724" t="inlineStr">
        <is>
          <t>A 34999-2025</t>
        </is>
      </c>
      <c r="B8724" s="1" t="n">
        <v>45850.34450231482</v>
      </c>
      <c r="C8724" s="1" t="n">
        <v>46045</v>
      </c>
      <c r="D8724" t="inlineStr">
        <is>
          <t>JÄMTLANDS LÄN</t>
        </is>
      </c>
      <c r="E8724" t="inlineStr">
        <is>
          <t>RAGUNDA</t>
        </is>
      </c>
      <c r="F8724" t="inlineStr">
        <is>
          <t>SCA</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39744-2025</t>
        </is>
      </c>
      <c r="B8725" s="1" t="n">
        <v>45891.38489583333</v>
      </c>
      <c r="C8725" s="1" t="n">
        <v>46045</v>
      </c>
      <c r="D8725" t="inlineStr">
        <is>
          <t>JÄMTLANDS LÄN</t>
        </is>
      </c>
      <c r="E8725" t="inlineStr">
        <is>
          <t>ÅRE</t>
        </is>
      </c>
      <c r="F8725" t="inlineStr">
        <is>
          <t>Övriga statliga verk och myndigheter</t>
        </is>
      </c>
      <c r="G8725" t="n">
        <v>14.4</v>
      </c>
      <c r="H8725" t="n">
        <v>0</v>
      </c>
      <c r="I8725" t="n">
        <v>0</v>
      </c>
      <c r="J8725" t="n">
        <v>0</v>
      </c>
      <c r="K8725" t="n">
        <v>0</v>
      </c>
      <c r="L8725" t="n">
        <v>0</v>
      </c>
      <c r="M8725" t="n">
        <v>0</v>
      </c>
      <c r="N8725" t="n">
        <v>0</v>
      </c>
      <c r="O8725" t="n">
        <v>0</v>
      </c>
      <c r="P8725" t="n">
        <v>0</v>
      </c>
      <c r="Q8725" t="n">
        <v>0</v>
      </c>
      <c r="R8725" s="2" t="inlineStr"/>
    </row>
    <row r="8726" ht="15" customHeight="1">
      <c r="A8726" t="inlineStr">
        <is>
          <t>A 50433-2024</t>
        </is>
      </c>
      <c r="B8726" s="1" t="n">
        <v>45601</v>
      </c>
      <c r="C8726" s="1" t="n">
        <v>46045</v>
      </c>
      <c r="D8726" t="inlineStr">
        <is>
          <t>JÄMTLANDS LÄN</t>
        </is>
      </c>
      <c r="E8726" t="inlineStr">
        <is>
          <t>KROKOM</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35091-2025</t>
        </is>
      </c>
      <c r="B8727" s="1" t="n">
        <v>45852.53168981482</v>
      </c>
      <c r="C8727" s="1" t="n">
        <v>46045</v>
      </c>
      <c r="D8727" t="inlineStr">
        <is>
          <t>JÄMTLANDS LÄN</t>
        </is>
      </c>
      <c r="E8727" t="inlineStr">
        <is>
          <t>RAGUNDA</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34807-2025</t>
        </is>
      </c>
      <c r="B8728" s="1" t="n">
        <v>45849</v>
      </c>
      <c r="C8728" s="1" t="n">
        <v>46045</v>
      </c>
      <c r="D8728" t="inlineStr">
        <is>
          <t>JÄMTLANDS LÄN</t>
        </is>
      </c>
      <c r="E8728" t="inlineStr">
        <is>
          <t>HÄRJEDALEN</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2354-2026</t>
        </is>
      </c>
      <c r="B8729" s="1" t="n">
        <v>46036.63600694444</v>
      </c>
      <c r="C8729" s="1" t="n">
        <v>46045</v>
      </c>
      <c r="D8729" t="inlineStr">
        <is>
          <t>JÄMTLANDS LÄN</t>
        </is>
      </c>
      <c r="E8729" t="inlineStr">
        <is>
          <t>STRÖMSUND</t>
        </is>
      </c>
      <c r="F8729" t="inlineStr">
        <is>
          <t>SCA</t>
        </is>
      </c>
      <c r="G8729" t="n">
        <v>12.5</v>
      </c>
      <c r="H8729" t="n">
        <v>0</v>
      </c>
      <c r="I8729" t="n">
        <v>0</v>
      </c>
      <c r="J8729" t="n">
        <v>0</v>
      </c>
      <c r="K8729" t="n">
        <v>0</v>
      </c>
      <c r="L8729" t="n">
        <v>0</v>
      </c>
      <c r="M8729" t="n">
        <v>0</v>
      </c>
      <c r="N8729" t="n">
        <v>0</v>
      </c>
      <c r="O8729" t="n">
        <v>0</v>
      </c>
      <c r="P8729" t="n">
        <v>0</v>
      </c>
      <c r="Q8729" t="n">
        <v>0</v>
      </c>
      <c r="R8729" s="2" t="inlineStr"/>
    </row>
    <row r="8730" ht="15" customHeight="1">
      <c r="A8730" t="inlineStr">
        <is>
          <t>A 2356-2026</t>
        </is>
      </c>
      <c r="B8730" s="1" t="n">
        <v>46036.6363425926</v>
      </c>
      <c r="C8730" s="1" t="n">
        <v>46045</v>
      </c>
      <c r="D8730" t="inlineStr">
        <is>
          <t>JÄMTLANDS LÄN</t>
        </is>
      </c>
      <c r="E8730" t="inlineStr">
        <is>
          <t>KROKOM</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37281-2024</t>
        </is>
      </c>
      <c r="B8731" s="1" t="n">
        <v>45540.4264699074</v>
      </c>
      <c r="C8731" s="1" t="n">
        <v>46045</v>
      </c>
      <c r="D8731" t="inlineStr">
        <is>
          <t>JÄMTLANDS LÄN</t>
        </is>
      </c>
      <c r="E8731" t="inlineStr">
        <is>
          <t>HÄRJEDALEN</t>
        </is>
      </c>
      <c r="F8731" t="inlineStr">
        <is>
          <t>Bergvik skog väst AB</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2192-2026</t>
        </is>
      </c>
      <c r="B8732" s="1" t="n">
        <v>46036.46925925926</v>
      </c>
      <c r="C8732" s="1" t="n">
        <v>46045</v>
      </c>
      <c r="D8732" t="inlineStr">
        <is>
          <t>JÄMTLANDS LÄN</t>
        </is>
      </c>
      <c r="E8732" t="inlineStr">
        <is>
          <t>STRÖMSUND</t>
        </is>
      </c>
      <c r="F8732" t="inlineStr">
        <is>
          <t>SCA</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60080-2025</t>
        </is>
      </c>
      <c r="B8733" s="1" t="n">
        <v>45993.69013888889</v>
      </c>
      <c r="C8733" s="1" t="n">
        <v>46045</v>
      </c>
      <c r="D8733" t="inlineStr">
        <is>
          <t>JÄMTLANDS LÄN</t>
        </is>
      </c>
      <c r="E8733" t="inlineStr">
        <is>
          <t>HÄRJEDALEN</t>
        </is>
      </c>
      <c r="F8733" t="inlineStr">
        <is>
          <t>Bergvik skog väst AB</t>
        </is>
      </c>
      <c r="G8733" t="n">
        <v>12.1</v>
      </c>
      <c r="H8733" t="n">
        <v>0</v>
      </c>
      <c r="I8733" t="n">
        <v>0</v>
      </c>
      <c r="J8733" t="n">
        <v>0</v>
      </c>
      <c r="K8733" t="n">
        <v>0</v>
      </c>
      <c r="L8733" t="n">
        <v>0</v>
      </c>
      <c r="M8733" t="n">
        <v>0</v>
      </c>
      <c r="N8733" t="n">
        <v>0</v>
      </c>
      <c r="O8733" t="n">
        <v>0</v>
      </c>
      <c r="P8733" t="n">
        <v>0</v>
      </c>
      <c r="Q8733" t="n">
        <v>0</v>
      </c>
      <c r="R8733" s="2" t="inlineStr"/>
    </row>
    <row r="8734" ht="15" customHeight="1">
      <c r="A8734" t="inlineStr">
        <is>
          <t>A 2312-2026</t>
        </is>
      </c>
      <c r="B8734" s="1" t="n">
        <v>46036.59519675926</v>
      </c>
      <c r="C8734" s="1" t="n">
        <v>46045</v>
      </c>
      <c r="D8734" t="inlineStr">
        <is>
          <t>JÄMTLANDS LÄN</t>
        </is>
      </c>
      <c r="E8734" t="inlineStr">
        <is>
          <t>BERG</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59666-2023</t>
        </is>
      </c>
      <c r="B8735" s="1" t="n">
        <v>45254.96476851852</v>
      </c>
      <c r="C8735" s="1" t="n">
        <v>46045</v>
      </c>
      <c r="D8735" t="inlineStr">
        <is>
          <t>JÄMTLANDS LÄN</t>
        </is>
      </c>
      <c r="E8735" t="inlineStr">
        <is>
          <t>ÅRE</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35229-2025</t>
        </is>
      </c>
      <c r="B8736" s="1" t="n">
        <v>45853.59420138889</v>
      </c>
      <c r="C8736" s="1" t="n">
        <v>46045</v>
      </c>
      <c r="D8736" t="inlineStr">
        <is>
          <t>JÄMTLANDS LÄN</t>
        </is>
      </c>
      <c r="E8736" t="inlineStr">
        <is>
          <t>BRÄCKE</t>
        </is>
      </c>
      <c r="F8736" t="inlineStr">
        <is>
          <t>SCA</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35241-2025</t>
        </is>
      </c>
      <c r="B8737" s="1" t="n">
        <v>45853.61865740741</v>
      </c>
      <c r="C8737" s="1" t="n">
        <v>46045</v>
      </c>
      <c r="D8737" t="inlineStr">
        <is>
          <t>JÄMTLANDS LÄN</t>
        </is>
      </c>
      <c r="E8737" t="inlineStr">
        <is>
          <t>HÄRJEDALEN</t>
        </is>
      </c>
      <c r="G8737" t="n">
        <v>8.6</v>
      </c>
      <c r="H8737" t="n">
        <v>0</v>
      </c>
      <c r="I8737" t="n">
        <v>0</v>
      </c>
      <c r="J8737" t="n">
        <v>0</v>
      </c>
      <c r="K8737" t="n">
        <v>0</v>
      </c>
      <c r="L8737" t="n">
        <v>0</v>
      </c>
      <c r="M8737" t="n">
        <v>0</v>
      </c>
      <c r="N8737" t="n">
        <v>0</v>
      </c>
      <c r="O8737" t="n">
        <v>0</v>
      </c>
      <c r="P8737" t="n">
        <v>0</v>
      </c>
      <c r="Q8737" t="n">
        <v>0</v>
      </c>
      <c r="R8737" s="2" t="inlineStr"/>
    </row>
    <row r="8738" ht="15" customHeight="1">
      <c r="A8738" t="inlineStr">
        <is>
          <t>A 35243-2025</t>
        </is>
      </c>
      <c r="B8738" s="1" t="n">
        <v>45853.62415509259</v>
      </c>
      <c r="C8738" s="1" t="n">
        <v>46045</v>
      </c>
      <c r="D8738" t="inlineStr">
        <is>
          <t>JÄMTLANDS LÄN</t>
        </is>
      </c>
      <c r="E8738" t="inlineStr">
        <is>
          <t>HÄRJEDALEN</t>
        </is>
      </c>
      <c r="F8738" t="inlineStr">
        <is>
          <t>Bergvik skog väst AB</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32692-2023</t>
        </is>
      </c>
      <c r="B8739" s="1" t="n">
        <v>45112</v>
      </c>
      <c r="C8739" s="1" t="n">
        <v>46045</v>
      </c>
      <c r="D8739" t="inlineStr">
        <is>
          <t>JÄMTLANDS LÄN</t>
        </is>
      </c>
      <c r="E8739" t="inlineStr">
        <is>
          <t>KROKOM</t>
        </is>
      </c>
      <c r="G8739" t="n">
        <v>6.6</v>
      </c>
      <c r="H8739" t="n">
        <v>0</v>
      </c>
      <c r="I8739" t="n">
        <v>0</v>
      </c>
      <c r="J8739" t="n">
        <v>0</v>
      </c>
      <c r="K8739" t="n">
        <v>0</v>
      </c>
      <c r="L8739" t="n">
        <v>0</v>
      </c>
      <c r="M8739" t="n">
        <v>0</v>
      </c>
      <c r="N8739" t="n">
        <v>0</v>
      </c>
      <c r="O8739" t="n">
        <v>0</v>
      </c>
      <c r="P8739" t="n">
        <v>0</v>
      </c>
      <c r="Q8739" t="n">
        <v>0</v>
      </c>
      <c r="R8739" s="2" t="inlineStr"/>
    </row>
    <row r="8740" ht="15" customHeight="1">
      <c r="A8740" t="inlineStr">
        <is>
          <t>A 2271-2026</t>
        </is>
      </c>
      <c r="B8740" s="1" t="n">
        <v>46036.57347222222</v>
      </c>
      <c r="C8740" s="1" t="n">
        <v>46045</v>
      </c>
      <c r="D8740" t="inlineStr">
        <is>
          <t>JÄMTLANDS LÄN</t>
        </is>
      </c>
      <c r="E8740" t="inlineStr">
        <is>
          <t>RAGUNDA</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35325-2025</t>
        </is>
      </c>
      <c r="B8741" s="1" t="n">
        <v>45854.52606481482</v>
      </c>
      <c r="C8741" s="1" t="n">
        <v>46045</v>
      </c>
      <c r="D8741" t="inlineStr">
        <is>
          <t>JÄMTLANDS LÄN</t>
        </is>
      </c>
      <c r="E8741" t="inlineStr">
        <is>
          <t>BRÄCKE</t>
        </is>
      </c>
      <c r="F8741" t="inlineStr">
        <is>
          <t>Sveaskog</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17820-2024</t>
        </is>
      </c>
      <c r="B8742" s="1" t="n">
        <v>45418.94616898148</v>
      </c>
      <c r="C8742" s="1" t="n">
        <v>46045</v>
      </c>
      <c r="D8742" t="inlineStr">
        <is>
          <t>JÄMTLANDS LÄN</t>
        </is>
      </c>
      <c r="E8742" t="inlineStr">
        <is>
          <t>KROKOM</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35182-2025</t>
        </is>
      </c>
      <c r="B8743" s="1" t="n">
        <v>45853.28325231482</v>
      </c>
      <c r="C8743" s="1" t="n">
        <v>46045</v>
      </c>
      <c r="D8743" t="inlineStr">
        <is>
          <t>JÄMTLANDS LÄN</t>
        </is>
      </c>
      <c r="E8743" t="inlineStr">
        <is>
          <t>HÄRJEDALEN</t>
        </is>
      </c>
      <c r="G8743" t="n">
        <v>32.6</v>
      </c>
      <c r="H8743" t="n">
        <v>0</v>
      </c>
      <c r="I8743" t="n">
        <v>0</v>
      </c>
      <c r="J8743" t="n">
        <v>0</v>
      </c>
      <c r="K8743" t="n">
        <v>0</v>
      </c>
      <c r="L8743" t="n">
        <v>0</v>
      </c>
      <c r="M8743" t="n">
        <v>0</v>
      </c>
      <c r="N8743" t="n">
        <v>0</v>
      </c>
      <c r="O8743" t="n">
        <v>0</v>
      </c>
      <c r="P8743" t="n">
        <v>0</v>
      </c>
      <c r="Q8743" t="n">
        <v>0</v>
      </c>
      <c r="R8743" s="2" t="inlineStr"/>
    </row>
    <row r="8744" ht="15" customHeight="1">
      <c r="A8744" t="inlineStr">
        <is>
          <t>A 2234-2026</t>
        </is>
      </c>
      <c r="B8744" s="1" t="n">
        <v>46036.53228009259</v>
      </c>
      <c r="C8744" s="1" t="n">
        <v>46045</v>
      </c>
      <c r="D8744" t="inlineStr">
        <is>
          <t>JÄMTLANDS LÄN</t>
        </is>
      </c>
      <c r="E8744" t="inlineStr">
        <is>
          <t>STRÖMSUND</t>
        </is>
      </c>
      <c r="F8744" t="inlineStr">
        <is>
          <t>SCA</t>
        </is>
      </c>
      <c r="G8744" t="n">
        <v>25.7</v>
      </c>
      <c r="H8744" t="n">
        <v>0</v>
      </c>
      <c r="I8744" t="n">
        <v>0</v>
      </c>
      <c r="J8744" t="n">
        <v>0</v>
      </c>
      <c r="K8744" t="n">
        <v>0</v>
      </c>
      <c r="L8744" t="n">
        <v>0</v>
      </c>
      <c r="M8744" t="n">
        <v>0</v>
      </c>
      <c r="N8744" t="n">
        <v>0</v>
      </c>
      <c r="O8744" t="n">
        <v>0</v>
      </c>
      <c r="P8744" t="n">
        <v>0</v>
      </c>
      <c r="Q8744" t="n">
        <v>0</v>
      </c>
      <c r="R8744" s="2" t="inlineStr"/>
    </row>
    <row r="8745" ht="15" customHeight="1">
      <c r="A8745" t="inlineStr">
        <is>
          <t>A 2035-2026</t>
        </is>
      </c>
      <c r="B8745" s="1" t="n">
        <v>46035.77960648148</v>
      </c>
      <c r="C8745" s="1" t="n">
        <v>46045</v>
      </c>
      <c r="D8745" t="inlineStr">
        <is>
          <t>JÄMTLANDS LÄN</t>
        </is>
      </c>
      <c r="E8745" t="inlineStr">
        <is>
          <t>STRÖMSUND</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1026-2026</t>
        </is>
      </c>
      <c r="B8746" s="1" t="n">
        <v>46030.61326388889</v>
      </c>
      <c r="C8746" s="1" t="n">
        <v>46045</v>
      </c>
      <c r="D8746" t="inlineStr">
        <is>
          <t>JÄMTLANDS LÄN</t>
        </is>
      </c>
      <c r="E8746" t="inlineStr">
        <is>
          <t>ÖSTERSUND</t>
        </is>
      </c>
      <c r="G8746" t="n">
        <v>6.6</v>
      </c>
      <c r="H8746" t="n">
        <v>0</v>
      </c>
      <c r="I8746" t="n">
        <v>0</v>
      </c>
      <c r="J8746" t="n">
        <v>0</v>
      </c>
      <c r="K8746" t="n">
        <v>0</v>
      </c>
      <c r="L8746" t="n">
        <v>0</v>
      </c>
      <c r="M8746" t="n">
        <v>0</v>
      </c>
      <c r="N8746" t="n">
        <v>0</v>
      </c>
      <c r="O8746" t="n">
        <v>0</v>
      </c>
      <c r="P8746" t="n">
        <v>0</v>
      </c>
      <c r="Q8746" t="n">
        <v>0</v>
      </c>
      <c r="R8746" s="2" t="inlineStr"/>
    </row>
    <row r="8747" ht="15" customHeight="1">
      <c r="A8747" t="inlineStr">
        <is>
          <t>A 35183-2025</t>
        </is>
      </c>
      <c r="B8747" s="1" t="n">
        <v>45853.29931712963</v>
      </c>
      <c r="C8747" s="1" t="n">
        <v>46045</v>
      </c>
      <c r="D8747" t="inlineStr">
        <is>
          <t>JÄMTLANDS LÄN</t>
        </is>
      </c>
      <c r="E8747" t="inlineStr">
        <is>
          <t>BERG</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35308-2025</t>
        </is>
      </c>
      <c r="B8748" s="1" t="n">
        <v>45854.44831018519</v>
      </c>
      <c r="C8748" s="1" t="n">
        <v>46045</v>
      </c>
      <c r="D8748" t="inlineStr">
        <is>
          <t>JÄMTLANDS LÄN</t>
        </is>
      </c>
      <c r="E8748" t="inlineStr">
        <is>
          <t>STRÖMSUND</t>
        </is>
      </c>
      <c r="F8748" t="inlineStr">
        <is>
          <t>SCA</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59954-2025</t>
        </is>
      </c>
      <c r="B8749" s="1" t="n">
        <v>45993.45922453704</v>
      </c>
      <c r="C8749" s="1" t="n">
        <v>46045</v>
      </c>
      <c r="D8749" t="inlineStr">
        <is>
          <t>JÄMTLANDS LÄN</t>
        </is>
      </c>
      <c r="E8749" t="inlineStr">
        <is>
          <t>STRÖMSUND</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35324-2025</t>
        </is>
      </c>
      <c r="B8750" s="1" t="n">
        <v>45854.51079861111</v>
      </c>
      <c r="C8750" s="1" t="n">
        <v>46045</v>
      </c>
      <c r="D8750" t="inlineStr">
        <is>
          <t>JÄMTLANDS LÄN</t>
        </is>
      </c>
      <c r="E8750" t="inlineStr">
        <is>
          <t>BRÄCKE</t>
        </is>
      </c>
      <c r="F8750" t="inlineStr">
        <is>
          <t>SCA</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35326-2025</t>
        </is>
      </c>
      <c r="B8751" s="1" t="n">
        <v>45854.52724537037</v>
      </c>
      <c r="C8751" s="1" t="n">
        <v>46045</v>
      </c>
      <c r="D8751" t="inlineStr">
        <is>
          <t>JÄMTLANDS LÄN</t>
        </is>
      </c>
      <c r="E8751" t="inlineStr">
        <is>
          <t>BRÄCKE</t>
        </is>
      </c>
      <c r="F8751" t="inlineStr">
        <is>
          <t>Sveaskog</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35327-2025</t>
        </is>
      </c>
      <c r="B8752" s="1" t="n">
        <v>45854.5283449074</v>
      </c>
      <c r="C8752" s="1" t="n">
        <v>46045</v>
      </c>
      <c r="D8752" t="inlineStr">
        <is>
          <t>JÄMTLANDS LÄN</t>
        </is>
      </c>
      <c r="E8752" t="inlineStr">
        <is>
          <t>BRÄCKE</t>
        </is>
      </c>
      <c r="F8752" t="inlineStr">
        <is>
          <t>Sveaskog</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2282-2026</t>
        </is>
      </c>
      <c r="B8753" s="1" t="n">
        <v>46036.57798611111</v>
      </c>
      <c r="C8753" s="1" t="n">
        <v>46045</v>
      </c>
      <c r="D8753" t="inlineStr">
        <is>
          <t>JÄMTLANDS LÄN</t>
        </is>
      </c>
      <c r="E8753" t="inlineStr">
        <is>
          <t>RAGUNDA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35354-2025</t>
        </is>
      </c>
      <c r="B8754" s="1" t="n">
        <v>45854.65378472222</v>
      </c>
      <c r="C8754" s="1" t="n">
        <v>46045</v>
      </c>
      <c r="D8754" t="inlineStr">
        <is>
          <t>JÄMTLANDS LÄN</t>
        </is>
      </c>
      <c r="E8754" t="inlineStr">
        <is>
          <t>KROKOM</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35363-2025</t>
        </is>
      </c>
      <c r="B8755" s="1" t="n">
        <v>45854.67538194444</v>
      </c>
      <c r="C8755" s="1" t="n">
        <v>46045</v>
      </c>
      <c r="D8755" t="inlineStr">
        <is>
          <t>JÄMTLANDS LÄN</t>
        </is>
      </c>
      <c r="E8755" t="inlineStr">
        <is>
          <t>BERG</t>
        </is>
      </c>
      <c r="G8755" t="n">
        <v>9.5</v>
      </c>
      <c r="H8755" t="n">
        <v>0</v>
      </c>
      <c r="I8755" t="n">
        <v>0</v>
      </c>
      <c r="J8755" t="n">
        <v>0</v>
      </c>
      <c r="K8755" t="n">
        <v>0</v>
      </c>
      <c r="L8755" t="n">
        <v>0</v>
      </c>
      <c r="M8755" t="n">
        <v>0</v>
      </c>
      <c r="N8755" t="n">
        <v>0</v>
      </c>
      <c r="O8755" t="n">
        <v>0</v>
      </c>
      <c r="P8755" t="n">
        <v>0</v>
      </c>
      <c r="Q8755" t="n">
        <v>0</v>
      </c>
      <c r="R8755" s="2" t="inlineStr"/>
    </row>
    <row r="8756" ht="15" customHeight="1">
      <c r="A8756" t="inlineStr">
        <is>
          <t>A 60035-2025</t>
        </is>
      </c>
      <c r="B8756" s="1" t="n">
        <v>45993.61509259259</v>
      </c>
      <c r="C8756" s="1" t="n">
        <v>46045</v>
      </c>
      <c r="D8756" t="inlineStr">
        <is>
          <t>JÄMTLANDS LÄN</t>
        </is>
      </c>
      <c r="E8756" t="inlineStr">
        <is>
          <t>STRÖMSUND</t>
        </is>
      </c>
      <c r="G8756" t="n">
        <v>11.7</v>
      </c>
      <c r="H8756" t="n">
        <v>0</v>
      </c>
      <c r="I8756" t="n">
        <v>0</v>
      </c>
      <c r="J8756" t="n">
        <v>0</v>
      </c>
      <c r="K8756" t="n">
        <v>0</v>
      </c>
      <c r="L8756" t="n">
        <v>0</v>
      </c>
      <c r="M8756" t="n">
        <v>0</v>
      </c>
      <c r="N8756" t="n">
        <v>0</v>
      </c>
      <c r="O8756" t="n">
        <v>0</v>
      </c>
      <c r="P8756" t="n">
        <v>0</v>
      </c>
      <c r="Q8756" t="n">
        <v>0</v>
      </c>
      <c r="R8756" s="2" t="inlineStr"/>
    </row>
    <row r="8757" ht="15" customHeight="1">
      <c r="A8757" t="inlineStr">
        <is>
          <t>A 12039-2023</t>
        </is>
      </c>
      <c r="B8757" s="1" t="n">
        <v>44995.98341435185</v>
      </c>
      <c r="C8757" s="1" t="n">
        <v>46045</v>
      </c>
      <c r="D8757" t="inlineStr">
        <is>
          <t>JÄMTLANDS LÄN</t>
        </is>
      </c>
      <c r="E8757" t="inlineStr">
        <is>
          <t>RAGUNDA</t>
        </is>
      </c>
      <c r="F8757" t="inlineStr">
        <is>
          <t>SCA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12042-2023</t>
        </is>
      </c>
      <c r="B8758" s="1" t="n">
        <v>44995.98364583333</v>
      </c>
      <c r="C8758" s="1" t="n">
        <v>46045</v>
      </c>
      <c r="D8758" t="inlineStr">
        <is>
          <t>JÄMTLANDS LÄN</t>
        </is>
      </c>
      <c r="E8758" t="inlineStr">
        <is>
          <t>STRÖMSUND</t>
        </is>
      </c>
      <c r="F8758" t="inlineStr">
        <is>
          <t>SCA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12050-2023</t>
        </is>
      </c>
      <c r="B8759" s="1" t="n">
        <v>44995.98644675926</v>
      </c>
      <c r="C8759" s="1" t="n">
        <v>46045</v>
      </c>
      <c r="D8759" t="inlineStr">
        <is>
          <t>JÄMTLANDS LÄN</t>
        </is>
      </c>
      <c r="E8759" t="inlineStr">
        <is>
          <t>RAGUNDA</t>
        </is>
      </c>
      <c r="F8759" t="inlineStr">
        <is>
          <t>SCA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12063-2023</t>
        </is>
      </c>
      <c r="B8760" s="1" t="n">
        <v>44996</v>
      </c>
      <c r="C8760" s="1" t="n">
        <v>46045</v>
      </c>
      <c r="D8760" t="inlineStr">
        <is>
          <t>JÄMTLANDS LÄN</t>
        </is>
      </c>
      <c r="E8760" t="inlineStr">
        <is>
          <t>BRÄCKE</t>
        </is>
      </c>
      <c r="G8760" t="n">
        <v>7.1</v>
      </c>
      <c r="H8760" t="n">
        <v>0</v>
      </c>
      <c r="I8760" t="n">
        <v>0</v>
      </c>
      <c r="J8760" t="n">
        <v>0</v>
      </c>
      <c r="K8760" t="n">
        <v>0</v>
      </c>
      <c r="L8760" t="n">
        <v>0</v>
      </c>
      <c r="M8760" t="n">
        <v>0</v>
      </c>
      <c r="N8760" t="n">
        <v>0</v>
      </c>
      <c r="O8760" t="n">
        <v>0</v>
      </c>
      <c r="P8760" t="n">
        <v>0</v>
      </c>
      <c r="Q8760" t="n">
        <v>0</v>
      </c>
      <c r="R8760" s="2" t="inlineStr"/>
    </row>
    <row r="8761" ht="15" customHeight="1">
      <c r="A8761" t="inlineStr">
        <is>
          <t>A 29107-2025</t>
        </is>
      </c>
      <c r="B8761" s="1" t="n">
        <v>45821.58030092593</v>
      </c>
      <c r="C8761" s="1" t="n">
        <v>46045</v>
      </c>
      <c r="D8761" t="inlineStr">
        <is>
          <t>JÄMTLANDS LÄN</t>
        </is>
      </c>
      <c r="E8761" t="inlineStr">
        <is>
          <t>BRÄCKE</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60148-2025</t>
        </is>
      </c>
      <c r="B8762" s="1" t="n">
        <v>45994.38572916666</v>
      </c>
      <c r="C8762" s="1" t="n">
        <v>46045</v>
      </c>
      <c r="D8762" t="inlineStr">
        <is>
          <t>JÄMTLANDS LÄN</t>
        </is>
      </c>
      <c r="E8762" t="inlineStr">
        <is>
          <t>STRÖMSUND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1939-2026</t>
        </is>
      </c>
      <c r="B8763" s="1" t="n">
        <v>46035.58862268519</v>
      </c>
      <c r="C8763" s="1" t="n">
        <v>46045</v>
      </c>
      <c r="D8763" t="inlineStr">
        <is>
          <t>JÄMTLANDS LÄN</t>
        </is>
      </c>
      <c r="E8763" t="inlineStr">
        <is>
          <t>BERG</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35340-2025</t>
        </is>
      </c>
      <c r="B8764" s="1" t="n">
        <v>45854.59417824074</v>
      </c>
      <c r="C8764" s="1" t="n">
        <v>46045</v>
      </c>
      <c r="D8764" t="inlineStr">
        <is>
          <t>JÄMTLANDS LÄN</t>
        </is>
      </c>
      <c r="E8764" t="inlineStr">
        <is>
          <t>STRÖMSUND</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35297-2025</t>
        </is>
      </c>
      <c r="B8765" s="1" t="n">
        <v>45854.40662037037</v>
      </c>
      <c r="C8765" s="1" t="n">
        <v>46045</v>
      </c>
      <c r="D8765" t="inlineStr">
        <is>
          <t>JÄMTLANDS LÄN</t>
        </is>
      </c>
      <c r="E8765" t="inlineStr">
        <is>
          <t>HÄRJEDALEN</t>
        </is>
      </c>
      <c r="F8765" t="inlineStr">
        <is>
          <t>SCA</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34845-2023</t>
        </is>
      </c>
      <c r="B8766" s="1" t="n">
        <v>45141.95964120371</v>
      </c>
      <c r="C8766" s="1" t="n">
        <v>46045</v>
      </c>
      <c r="D8766" t="inlineStr">
        <is>
          <t>JÄMTLANDS LÄN</t>
        </is>
      </c>
      <c r="E8766" t="inlineStr">
        <is>
          <t>BERG</t>
        </is>
      </c>
      <c r="F8766" t="inlineStr">
        <is>
          <t>SCA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2096-2026</t>
        </is>
      </c>
      <c r="B8767" s="1" t="n">
        <v>46036.36533564814</v>
      </c>
      <c r="C8767" s="1" t="n">
        <v>46045</v>
      </c>
      <c r="D8767" t="inlineStr">
        <is>
          <t>JÄMTLANDS LÄN</t>
        </is>
      </c>
      <c r="E8767" t="inlineStr">
        <is>
          <t>KROKOM</t>
        </is>
      </c>
      <c r="G8767" t="n">
        <v>14.1</v>
      </c>
      <c r="H8767" t="n">
        <v>0</v>
      </c>
      <c r="I8767" t="n">
        <v>0</v>
      </c>
      <c r="J8767" t="n">
        <v>0</v>
      </c>
      <c r="K8767" t="n">
        <v>0</v>
      </c>
      <c r="L8767" t="n">
        <v>0</v>
      </c>
      <c r="M8767" t="n">
        <v>0</v>
      </c>
      <c r="N8767" t="n">
        <v>0</v>
      </c>
      <c r="O8767" t="n">
        <v>0</v>
      </c>
      <c r="P8767" t="n">
        <v>0</v>
      </c>
      <c r="Q8767" t="n">
        <v>0</v>
      </c>
      <c r="R8767" s="2" t="inlineStr"/>
    </row>
    <row r="8768" ht="15" customHeight="1">
      <c r="A8768" t="inlineStr">
        <is>
          <t>A 2105-2026</t>
        </is>
      </c>
      <c r="B8768" s="1" t="n">
        <v>46036.3758912037</v>
      </c>
      <c r="C8768" s="1" t="n">
        <v>46045</v>
      </c>
      <c r="D8768" t="inlineStr">
        <is>
          <t>JÄMTLANDS LÄN</t>
        </is>
      </c>
      <c r="E8768" t="inlineStr">
        <is>
          <t>ÅRE</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2337-2026</t>
        </is>
      </c>
      <c r="B8769" s="1" t="n">
        <v>46036.61510416667</v>
      </c>
      <c r="C8769" s="1" t="n">
        <v>46045</v>
      </c>
      <c r="D8769" t="inlineStr">
        <is>
          <t>JÄMTLANDS LÄN</t>
        </is>
      </c>
      <c r="E8769" t="inlineStr">
        <is>
          <t>STRÖMSUND</t>
        </is>
      </c>
      <c r="F8769" t="inlineStr">
        <is>
          <t>SCA</t>
        </is>
      </c>
      <c r="G8769" t="n">
        <v>22.1</v>
      </c>
      <c r="H8769" t="n">
        <v>0</v>
      </c>
      <c r="I8769" t="n">
        <v>0</v>
      </c>
      <c r="J8769" t="n">
        <v>0</v>
      </c>
      <c r="K8769" t="n">
        <v>0</v>
      </c>
      <c r="L8769" t="n">
        <v>0</v>
      </c>
      <c r="M8769" t="n">
        <v>0</v>
      </c>
      <c r="N8769" t="n">
        <v>0</v>
      </c>
      <c r="O8769" t="n">
        <v>0</v>
      </c>
      <c r="P8769" t="n">
        <v>0</v>
      </c>
      <c r="Q8769" t="n">
        <v>0</v>
      </c>
      <c r="R8769" s="2" t="inlineStr"/>
    </row>
    <row r="8770" ht="15" customHeight="1">
      <c r="A8770" t="inlineStr">
        <is>
          <t>A 40412-2025</t>
        </is>
      </c>
      <c r="B8770" s="1" t="n">
        <v>45895</v>
      </c>
      <c r="C8770" s="1" t="n">
        <v>46045</v>
      </c>
      <c r="D8770" t="inlineStr">
        <is>
          <t>JÄMTLANDS LÄN</t>
        </is>
      </c>
      <c r="E8770" t="inlineStr">
        <is>
          <t>STRÖMSUND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35331-2025</t>
        </is>
      </c>
      <c r="B8771" s="1" t="n">
        <v>45854.57344907407</v>
      </c>
      <c r="C8771" s="1" t="n">
        <v>46045</v>
      </c>
      <c r="D8771" t="inlineStr">
        <is>
          <t>JÄMTLANDS LÄN</t>
        </is>
      </c>
      <c r="E8771" t="inlineStr">
        <is>
          <t>BRÄCKE</t>
        </is>
      </c>
      <c r="F8771" t="inlineStr">
        <is>
          <t>SCA</t>
        </is>
      </c>
      <c r="G8771" t="n">
        <v>5.6</v>
      </c>
      <c r="H8771" t="n">
        <v>0</v>
      </c>
      <c r="I8771" t="n">
        <v>0</v>
      </c>
      <c r="J8771" t="n">
        <v>0</v>
      </c>
      <c r="K8771" t="n">
        <v>0</v>
      </c>
      <c r="L8771" t="n">
        <v>0</v>
      </c>
      <c r="M8771" t="n">
        <v>0</v>
      </c>
      <c r="N8771" t="n">
        <v>0</v>
      </c>
      <c r="O8771" t="n">
        <v>0</v>
      </c>
      <c r="P8771" t="n">
        <v>0</v>
      </c>
      <c r="Q8771" t="n">
        <v>0</v>
      </c>
      <c r="R8771" s="2" t="inlineStr"/>
    </row>
    <row r="8772" ht="15" customHeight="1">
      <c r="A8772" t="inlineStr">
        <is>
          <t>A 2233-2026</t>
        </is>
      </c>
      <c r="B8772" s="1" t="n">
        <v>46036.53207175926</v>
      </c>
      <c r="C8772" s="1" t="n">
        <v>46045</v>
      </c>
      <c r="D8772" t="inlineStr">
        <is>
          <t>JÄMTLANDS LÄN</t>
        </is>
      </c>
      <c r="E8772" t="inlineStr">
        <is>
          <t>RAGUNDA</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2310-2026</t>
        </is>
      </c>
      <c r="B8773" s="1" t="n">
        <v>46036.59472222222</v>
      </c>
      <c r="C8773" s="1" t="n">
        <v>46045</v>
      </c>
      <c r="D8773" t="inlineStr">
        <is>
          <t>JÄMTLANDS LÄN</t>
        </is>
      </c>
      <c r="E8773" t="inlineStr">
        <is>
          <t>BRÄCKE</t>
        </is>
      </c>
      <c r="F8773" t="inlineStr">
        <is>
          <t>SCA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35355-2025</t>
        </is>
      </c>
      <c r="B8774" s="1" t="n">
        <v>45854.65663194445</v>
      </c>
      <c r="C8774" s="1" t="n">
        <v>46045</v>
      </c>
      <c r="D8774" t="inlineStr">
        <is>
          <t>JÄMTLANDS LÄN</t>
        </is>
      </c>
      <c r="E8774" t="inlineStr">
        <is>
          <t>RAGUNDA</t>
        </is>
      </c>
      <c r="F8774" t="inlineStr">
        <is>
          <t>SCA</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2109-2024</t>
        </is>
      </c>
      <c r="B8775" s="1" t="n">
        <v>45309</v>
      </c>
      <c r="C8775" s="1" t="n">
        <v>46045</v>
      </c>
      <c r="D8775" t="inlineStr">
        <is>
          <t>JÄMTLANDS LÄN</t>
        </is>
      </c>
      <c r="E8775" t="inlineStr">
        <is>
          <t>STRÖMSUND</t>
        </is>
      </c>
      <c r="G8775" t="n">
        <v>23.5</v>
      </c>
      <c r="H8775" t="n">
        <v>0</v>
      </c>
      <c r="I8775" t="n">
        <v>0</v>
      </c>
      <c r="J8775" t="n">
        <v>0</v>
      </c>
      <c r="K8775" t="n">
        <v>0</v>
      </c>
      <c r="L8775" t="n">
        <v>0</v>
      </c>
      <c r="M8775" t="n">
        <v>0</v>
      </c>
      <c r="N8775" t="n">
        <v>0</v>
      </c>
      <c r="O8775" t="n">
        <v>0</v>
      </c>
      <c r="P8775" t="n">
        <v>0</v>
      </c>
      <c r="Q8775" t="n">
        <v>0</v>
      </c>
      <c r="R8775" s="2" t="inlineStr"/>
    </row>
    <row r="8776" ht="15" customHeight="1">
      <c r="A8776" t="inlineStr">
        <is>
          <t>A 35213-2025</t>
        </is>
      </c>
      <c r="B8776" s="1" t="n">
        <v>45853.46494212963</v>
      </c>
      <c r="C8776" s="1" t="n">
        <v>46045</v>
      </c>
      <c r="D8776" t="inlineStr">
        <is>
          <t>JÄMTLANDS LÄN</t>
        </is>
      </c>
      <c r="E8776" t="inlineStr">
        <is>
          <t>BERG</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35219-2025</t>
        </is>
      </c>
      <c r="B8777" s="1" t="n">
        <v>45853.51078703703</v>
      </c>
      <c r="C8777" s="1" t="n">
        <v>46045</v>
      </c>
      <c r="D8777" t="inlineStr">
        <is>
          <t>JÄMTLANDS LÄN</t>
        </is>
      </c>
      <c r="E8777" t="inlineStr">
        <is>
          <t>STRÖMSUND</t>
        </is>
      </c>
      <c r="F8777" t="inlineStr">
        <is>
          <t>SCA</t>
        </is>
      </c>
      <c r="G8777" t="n">
        <v>5.5</v>
      </c>
      <c r="H8777" t="n">
        <v>0</v>
      </c>
      <c r="I8777" t="n">
        <v>0</v>
      </c>
      <c r="J8777" t="n">
        <v>0</v>
      </c>
      <c r="K8777" t="n">
        <v>0</v>
      </c>
      <c r="L8777" t="n">
        <v>0</v>
      </c>
      <c r="M8777" t="n">
        <v>0</v>
      </c>
      <c r="N8777" t="n">
        <v>0</v>
      </c>
      <c r="O8777" t="n">
        <v>0</v>
      </c>
      <c r="P8777" t="n">
        <v>0</v>
      </c>
      <c r="Q8777" t="n">
        <v>0</v>
      </c>
      <c r="R8777" s="2" t="inlineStr"/>
    </row>
    <row r="8778" ht="15" customHeight="1">
      <c r="A8778" t="inlineStr">
        <is>
          <t>A 2751-2024</t>
        </is>
      </c>
      <c r="B8778" s="1" t="n">
        <v>45314</v>
      </c>
      <c r="C8778" s="1" t="n">
        <v>46045</v>
      </c>
      <c r="D8778" t="inlineStr">
        <is>
          <t>JÄMTLANDS LÄN</t>
        </is>
      </c>
      <c r="E8778" t="inlineStr">
        <is>
          <t>RAGUNDA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2756-2024</t>
        </is>
      </c>
      <c r="B8779" s="1" t="n">
        <v>45314.58785879629</v>
      </c>
      <c r="C8779" s="1" t="n">
        <v>46045</v>
      </c>
      <c r="D8779" t="inlineStr">
        <is>
          <t>JÄMTLANDS LÄN</t>
        </is>
      </c>
      <c r="E8779" t="inlineStr">
        <is>
          <t>ÖSTERSUND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35238-2025</t>
        </is>
      </c>
      <c r="B8780" s="1" t="n">
        <v>45853.6156712963</v>
      </c>
      <c r="C8780" s="1" t="n">
        <v>46045</v>
      </c>
      <c r="D8780" t="inlineStr">
        <is>
          <t>JÄMTLANDS LÄN</t>
        </is>
      </c>
      <c r="E8780" t="inlineStr">
        <is>
          <t>KROKOM</t>
        </is>
      </c>
      <c r="F8780" t="inlineStr">
        <is>
          <t>Övriga Aktiebolag</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64014-2025</t>
        </is>
      </c>
      <c r="B8781" s="1" t="n">
        <v>46021</v>
      </c>
      <c r="C8781" s="1" t="n">
        <v>46045</v>
      </c>
      <c r="D8781" t="inlineStr">
        <is>
          <t>JÄMTLANDS LÄN</t>
        </is>
      </c>
      <c r="E8781" t="inlineStr">
        <is>
          <t>HÄRJEDALEN</t>
        </is>
      </c>
      <c r="G8781" t="n">
        <v>20</v>
      </c>
      <c r="H8781" t="n">
        <v>0</v>
      </c>
      <c r="I8781" t="n">
        <v>0</v>
      </c>
      <c r="J8781" t="n">
        <v>0</v>
      </c>
      <c r="K8781" t="n">
        <v>0</v>
      </c>
      <c r="L8781" t="n">
        <v>0</v>
      </c>
      <c r="M8781" t="n">
        <v>0</v>
      </c>
      <c r="N8781" t="n">
        <v>0</v>
      </c>
      <c r="O8781" t="n">
        <v>0</v>
      </c>
      <c r="P8781" t="n">
        <v>0</v>
      </c>
      <c r="Q8781" t="n">
        <v>0</v>
      </c>
      <c r="R8781" s="2" t="inlineStr"/>
    </row>
    <row r="8782" ht="15" customHeight="1">
      <c r="A8782" t="inlineStr">
        <is>
          <t>A 36986-2023</t>
        </is>
      </c>
      <c r="B8782" s="1" t="n">
        <v>45154.95525462963</v>
      </c>
      <c r="C8782" s="1" t="n">
        <v>46045</v>
      </c>
      <c r="D8782" t="inlineStr">
        <is>
          <t>JÄMTLANDS LÄN</t>
        </is>
      </c>
      <c r="E8782" t="inlineStr">
        <is>
          <t>RAGUNDA</t>
        </is>
      </c>
      <c r="F8782" t="inlineStr">
        <is>
          <t>SCA</t>
        </is>
      </c>
      <c r="G8782" t="n">
        <v>0.2</v>
      </c>
      <c r="H8782" t="n">
        <v>0</v>
      </c>
      <c r="I8782" t="n">
        <v>0</v>
      </c>
      <c r="J8782" t="n">
        <v>0</v>
      </c>
      <c r="K8782" t="n">
        <v>0</v>
      </c>
      <c r="L8782" t="n">
        <v>0</v>
      </c>
      <c r="M8782" t="n">
        <v>0</v>
      </c>
      <c r="N8782" t="n">
        <v>0</v>
      </c>
      <c r="O8782" t="n">
        <v>0</v>
      </c>
      <c r="P8782" t="n">
        <v>0</v>
      </c>
      <c r="Q8782" t="n">
        <v>0</v>
      </c>
      <c r="R8782" s="2" t="inlineStr"/>
    </row>
    <row r="8783" ht="15" customHeight="1">
      <c r="A8783" t="inlineStr">
        <is>
          <t>A 35184-2025</t>
        </is>
      </c>
      <c r="B8783" s="1" t="n">
        <v>45853.30270833334</v>
      </c>
      <c r="C8783" s="1" t="n">
        <v>46045</v>
      </c>
      <c r="D8783" t="inlineStr">
        <is>
          <t>JÄMTLANDS LÄN</t>
        </is>
      </c>
      <c r="E8783" t="inlineStr">
        <is>
          <t>BERG</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2694-2026</t>
        </is>
      </c>
      <c r="B8784" s="1" t="n">
        <v>46037.6703125</v>
      </c>
      <c r="C8784" s="1" t="n">
        <v>46045</v>
      </c>
      <c r="D8784" t="inlineStr">
        <is>
          <t>JÄMTLANDS LÄN</t>
        </is>
      </c>
      <c r="E8784" t="inlineStr">
        <is>
          <t>ÖSTERSUND</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35360-2025</t>
        </is>
      </c>
      <c r="B8785" s="1" t="n">
        <v>45854.66877314815</v>
      </c>
      <c r="C8785" s="1" t="n">
        <v>46045</v>
      </c>
      <c r="D8785" t="inlineStr">
        <is>
          <t>JÄMTLANDS LÄN</t>
        </is>
      </c>
      <c r="E8785" t="inlineStr">
        <is>
          <t>BERG</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35359-2025</t>
        </is>
      </c>
      <c r="B8786" s="1" t="n">
        <v>45854.66518518519</v>
      </c>
      <c r="C8786" s="1" t="n">
        <v>46045</v>
      </c>
      <c r="D8786" t="inlineStr">
        <is>
          <t>JÄMTLANDS LÄN</t>
        </is>
      </c>
      <c r="E8786" t="inlineStr">
        <is>
          <t>KROKOM</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35309-2025</t>
        </is>
      </c>
      <c r="B8787" s="1" t="n">
        <v>45854.44850694444</v>
      </c>
      <c r="C8787" s="1" t="n">
        <v>46045</v>
      </c>
      <c r="D8787" t="inlineStr">
        <is>
          <t>JÄMTLANDS LÄN</t>
        </is>
      </c>
      <c r="E8787" t="inlineStr">
        <is>
          <t>HÄRJEDALEN</t>
        </is>
      </c>
      <c r="F8787" t="inlineStr">
        <is>
          <t>SCA</t>
        </is>
      </c>
      <c r="G8787" t="n">
        <v>10.2</v>
      </c>
      <c r="H8787" t="n">
        <v>0</v>
      </c>
      <c r="I8787" t="n">
        <v>0</v>
      </c>
      <c r="J8787" t="n">
        <v>0</v>
      </c>
      <c r="K8787" t="n">
        <v>0</v>
      </c>
      <c r="L8787" t="n">
        <v>0</v>
      </c>
      <c r="M8787" t="n">
        <v>0</v>
      </c>
      <c r="N8787" t="n">
        <v>0</v>
      </c>
      <c r="O8787" t="n">
        <v>0</v>
      </c>
      <c r="P8787" t="n">
        <v>0</v>
      </c>
      <c r="Q8787" t="n">
        <v>0</v>
      </c>
      <c r="R8787" s="2" t="inlineStr"/>
    </row>
    <row r="8788" ht="15" customHeight="1">
      <c r="A8788" t="inlineStr">
        <is>
          <t>A 35310-2025</t>
        </is>
      </c>
      <c r="B8788" s="1" t="n">
        <v>45854.44864583333</v>
      </c>
      <c r="C8788" s="1" t="n">
        <v>46045</v>
      </c>
      <c r="D8788" t="inlineStr">
        <is>
          <t>JÄMTLANDS LÄN</t>
        </is>
      </c>
      <c r="E8788" t="inlineStr">
        <is>
          <t>HÄRJEDALEN</t>
        </is>
      </c>
      <c r="F8788" t="inlineStr">
        <is>
          <t>SCA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2466-2026</t>
        </is>
      </c>
      <c r="B8789" s="1" t="n">
        <v>46037.36509259259</v>
      </c>
      <c r="C8789" s="1" t="n">
        <v>46045</v>
      </c>
      <c r="D8789" t="inlineStr">
        <is>
          <t>JÄMTLANDS LÄN</t>
        </is>
      </c>
      <c r="E8789" t="inlineStr">
        <is>
          <t>STRÖMSUND</t>
        </is>
      </c>
      <c r="F8789" t="inlineStr">
        <is>
          <t>SCA</t>
        </is>
      </c>
      <c r="G8789" t="n">
        <v>6.7</v>
      </c>
      <c r="H8789" t="n">
        <v>0</v>
      </c>
      <c r="I8789" t="n">
        <v>0</v>
      </c>
      <c r="J8789" t="n">
        <v>0</v>
      </c>
      <c r="K8789" t="n">
        <v>0</v>
      </c>
      <c r="L8789" t="n">
        <v>0</v>
      </c>
      <c r="M8789" t="n">
        <v>0</v>
      </c>
      <c r="N8789" t="n">
        <v>0</v>
      </c>
      <c r="O8789" t="n">
        <v>0</v>
      </c>
      <c r="P8789" t="n">
        <v>0</v>
      </c>
      <c r="Q8789" t="n">
        <v>0</v>
      </c>
      <c r="R8789" s="2" t="inlineStr"/>
    </row>
    <row r="8790" ht="15" customHeight="1">
      <c r="A8790" t="inlineStr">
        <is>
          <t>A 60674-2025</t>
        </is>
      </c>
      <c r="B8790" s="1" t="n">
        <v>45996.55619212963</v>
      </c>
      <c r="C8790" s="1" t="n">
        <v>46045</v>
      </c>
      <c r="D8790" t="inlineStr">
        <is>
          <t>JÄMTLANDS LÄN</t>
        </is>
      </c>
      <c r="E8790" t="inlineStr">
        <is>
          <t>HÄRJEDALEN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60432-2025</t>
        </is>
      </c>
      <c r="B8791" s="1" t="n">
        <v>45995.47159722223</v>
      </c>
      <c r="C8791" s="1" t="n">
        <v>46045</v>
      </c>
      <c r="D8791" t="inlineStr">
        <is>
          <t>JÄMTLANDS LÄN</t>
        </is>
      </c>
      <c r="E8791" t="inlineStr">
        <is>
          <t>BRÄCKE</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15944-2025</t>
        </is>
      </c>
      <c r="B8792" s="1" t="n">
        <v>45749.48545138889</v>
      </c>
      <c r="C8792" s="1" t="n">
        <v>46045</v>
      </c>
      <c r="D8792" t="inlineStr">
        <is>
          <t>JÄMTLANDS LÄN</t>
        </is>
      </c>
      <c r="E8792" t="inlineStr">
        <is>
          <t>BRÄCKE</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47331-2024</t>
        </is>
      </c>
      <c r="B8793" s="1" t="n">
        <v>45587.38944444444</v>
      </c>
      <c r="C8793" s="1" t="n">
        <v>46045</v>
      </c>
      <c r="D8793" t="inlineStr">
        <is>
          <t>JÄMTLANDS LÄN</t>
        </is>
      </c>
      <c r="E8793" t="inlineStr">
        <is>
          <t>STRÖMSUND</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8294-2021</t>
        </is>
      </c>
      <c r="B8794" s="1" t="n">
        <v>44243</v>
      </c>
      <c r="C8794" s="1" t="n">
        <v>46045</v>
      </c>
      <c r="D8794" t="inlineStr">
        <is>
          <t>JÄMTLANDS LÄN</t>
        </is>
      </c>
      <c r="E8794" t="inlineStr">
        <is>
          <t>ÅRE</t>
        </is>
      </c>
      <c r="G8794" t="n">
        <v>16.5</v>
      </c>
      <c r="H8794" t="n">
        <v>0</v>
      </c>
      <c r="I8794" t="n">
        <v>0</v>
      </c>
      <c r="J8794" t="n">
        <v>0</v>
      </c>
      <c r="K8794" t="n">
        <v>0</v>
      </c>
      <c r="L8794" t="n">
        <v>0</v>
      </c>
      <c r="M8794" t="n">
        <v>0</v>
      </c>
      <c r="N8794" t="n">
        <v>0</v>
      </c>
      <c r="O8794" t="n">
        <v>0</v>
      </c>
      <c r="P8794" t="n">
        <v>0</v>
      </c>
      <c r="Q8794" t="n">
        <v>0</v>
      </c>
      <c r="R8794" s="2" t="inlineStr"/>
    </row>
    <row r="8795" ht="15" customHeight="1">
      <c r="A8795" t="inlineStr">
        <is>
          <t>A 2700-2026</t>
        </is>
      </c>
      <c r="B8795" s="1" t="n">
        <v>46037.6787962963</v>
      </c>
      <c r="C8795" s="1" t="n">
        <v>46045</v>
      </c>
      <c r="D8795" t="inlineStr">
        <is>
          <t>JÄMTLANDS LÄN</t>
        </is>
      </c>
      <c r="E8795" t="inlineStr">
        <is>
          <t>ÖSTERSUND</t>
        </is>
      </c>
      <c r="G8795" t="n">
        <v>8.6</v>
      </c>
      <c r="H8795" t="n">
        <v>0</v>
      </c>
      <c r="I8795" t="n">
        <v>0</v>
      </c>
      <c r="J8795" t="n">
        <v>0</v>
      </c>
      <c r="K8795" t="n">
        <v>0</v>
      </c>
      <c r="L8795" t="n">
        <v>0</v>
      </c>
      <c r="M8795" t="n">
        <v>0</v>
      </c>
      <c r="N8795" t="n">
        <v>0</v>
      </c>
      <c r="O8795" t="n">
        <v>0</v>
      </c>
      <c r="P8795" t="n">
        <v>0</v>
      </c>
      <c r="Q8795" t="n">
        <v>0</v>
      </c>
      <c r="R8795" s="2" t="inlineStr"/>
    </row>
    <row r="8796" ht="15" customHeight="1">
      <c r="A8796" t="inlineStr">
        <is>
          <t>A 2702-2026</t>
        </is>
      </c>
      <c r="B8796" s="1" t="n">
        <v>46037.68489583334</v>
      </c>
      <c r="C8796" s="1" t="n">
        <v>46045</v>
      </c>
      <c r="D8796" t="inlineStr">
        <is>
          <t>JÄMTLANDS LÄN</t>
        </is>
      </c>
      <c r="E8796" t="inlineStr">
        <is>
          <t>ÖSTERSUND</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35445-2025</t>
        </is>
      </c>
      <c r="B8797" s="1" t="n">
        <v>45855.53196759259</v>
      </c>
      <c r="C8797" s="1" t="n">
        <v>46045</v>
      </c>
      <c r="D8797" t="inlineStr">
        <is>
          <t>JÄMTLANDS LÄN</t>
        </is>
      </c>
      <c r="E8797" t="inlineStr">
        <is>
          <t>BRÄCKE</t>
        </is>
      </c>
      <c r="F8797" t="inlineStr">
        <is>
          <t>SCA</t>
        </is>
      </c>
      <c r="G8797" t="n">
        <v>10</v>
      </c>
      <c r="H8797" t="n">
        <v>0</v>
      </c>
      <c r="I8797" t="n">
        <v>0</v>
      </c>
      <c r="J8797" t="n">
        <v>0</v>
      </c>
      <c r="K8797" t="n">
        <v>0</v>
      </c>
      <c r="L8797" t="n">
        <v>0</v>
      </c>
      <c r="M8797" t="n">
        <v>0</v>
      </c>
      <c r="N8797" t="n">
        <v>0</v>
      </c>
      <c r="O8797" t="n">
        <v>0</v>
      </c>
      <c r="P8797" t="n">
        <v>0</v>
      </c>
      <c r="Q8797" t="n">
        <v>0</v>
      </c>
      <c r="R8797" s="2" t="inlineStr"/>
    </row>
    <row r="8798" ht="15" customHeight="1">
      <c r="A8798" t="inlineStr">
        <is>
          <t>A 32172-2025</t>
        </is>
      </c>
      <c r="B8798" s="1" t="n">
        <v>45835</v>
      </c>
      <c r="C8798" s="1" t="n">
        <v>46045</v>
      </c>
      <c r="D8798" t="inlineStr">
        <is>
          <t>JÄMTLANDS LÄN</t>
        </is>
      </c>
      <c r="E8798" t="inlineStr">
        <is>
          <t>STRÖMSUND</t>
        </is>
      </c>
      <c r="F8798" t="inlineStr">
        <is>
          <t>Övriga statliga verk och myndigheter</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60660-2025</t>
        </is>
      </c>
      <c r="B8799" s="1" t="n">
        <v>45996.48990740741</v>
      </c>
      <c r="C8799" s="1" t="n">
        <v>46045</v>
      </c>
      <c r="D8799" t="inlineStr">
        <is>
          <t>JÄMTLANDS LÄN</t>
        </is>
      </c>
      <c r="E8799" t="inlineStr">
        <is>
          <t>BRÄCKE</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60537-2025</t>
        </is>
      </c>
      <c r="B8800" s="1" t="n">
        <v>45995</v>
      </c>
      <c r="C8800" s="1" t="n">
        <v>46045</v>
      </c>
      <c r="D8800" t="inlineStr">
        <is>
          <t>JÄMTLANDS LÄN</t>
        </is>
      </c>
      <c r="E8800" t="inlineStr">
        <is>
          <t>ÖSTERSUND</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11056-2025</t>
        </is>
      </c>
      <c r="B8801" s="1" t="n">
        <v>45723.50841435185</v>
      </c>
      <c r="C8801" s="1" t="n">
        <v>46045</v>
      </c>
      <c r="D8801" t="inlineStr">
        <is>
          <t>JÄMTLANDS LÄN</t>
        </is>
      </c>
      <c r="E8801" t="inlineStr">
        <is>
          <t>KROKOM</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60728-2025</t>
        </is>
      </c>
      <c r="B8802" s="1" t="n">
        <v>45996.68180555556</v>
      </c>
      <c r="C8802" s="1" t="n">
        <v>46045</v>
      </c>
      <c r="D8802" t="inlineStr">
        <is>
          <t>JÄMTLANDS LÄN</t>
        </is>
      </c>
      <c r="E8802" t="inlineStr">
        <is>
          <t>STRÖMSUND</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35507-2025</t>
        </is>
      </c>
      <c r="B8803" s="1" t="n">
        <v>45856.34442129629</v>
      </c>
      <c r="C8803" s="1" t="n">
        <v>46045</v>
      </c>
      <c r="D8803" t="inlineStr">
        <is>
          <t>JÄMTLANDS LÄN</t>
        </is>
      </c>
      <c r="E8803" t="inlineStr">
        <is>
          <t>STRÖMSUND</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60353-2025</t>
        </is>
      </c>
      <c r="B8804" s="1" t="n">
        <v>45995.30998842593</v>
      </c>
      <c r="C8804" s="1" t="n">
        <v>46045</v>
      </c>
      <c r="D8804" t="inlineStr">
        <is>
          <t>JÄMTLANDS LÄN</t>
        </is>
      </c>
      <c r="E8804" t="inlineStr">
        <is>
          <t>BRÄCKE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60355-2025</t>
        </is>
      </c>
      <c r="B8805" s="1" t="n">
        <v>45995.31350694445</v>
      </c>
      <c r="C8805" s="1" t="n">
        <v>46045</v>
      </c>
      <c r="D8805" t="inlineStr">
        <is>
          <t>JÄMTLANDS LÄN</t>
        </is>
      </c>
      <c r="E8805" t="inlineStr">
        <is>
          <t>BRÄCKE</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35576-2025</t>
        </is>
      </c>
      <c r="B8806" s="1" t="n">
        <v>45856.63608796296</v>
      </c>
      <c r="C8806" s="1" t="n">
        <v>46045</v>
      </c>
      <c r="D8806" t="inlineStr">
        <is>
          <t>JÄMTLANDS LÄN</t>
        </is>
      </c>
      <c r="E8806" t="inlineStr">
        <is>
          <t>BERG</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36502-2023</t>
        </is>
      </c>
      <c r="B8807" s="1" t="n">
        <v>45152.95280092592</v>
      </c>
      <c r="C8807" s="1" t="n">
        <v>46045</v>
      </c>
      <c r="D8807" t="inlineStr">
        <is>
          <t>JÄMTLANDS LÄN</t>
        </is>
      </c>
      <c r="E8807" t="inlineStr">
        <is>
          <t>STRÖMSUND</t>
        </is>
      </c>
      <c r="F8807" t="inlineStr">
        <is>
          <t>SCA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35477-2025</t>
        </is>
      </c>
      <c r="B8808" s="1" t="n">
        <v>45855.67899305555</v>
      </c>
      <c r="C8808" s="1" t="n">
        <v>46045</v>
      </c>
      <c r="D8808" t="inlineStr">
        <is>
          <t>JÄMTLANDS LÄN</t>
        </is>
      </c>
      <c r="E8808" t="inlineStr">
        <is>
          <t>RAGUNDA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35541-2025</t>
        </is>
      </c>
      <c r="B8809" s="1" t="n">
        <v>45856.46931712963</v>
      </c>
      <c r="C8809" s="1" t="n">
        <v>46045</v>
      </c>
      <c r="D8809" t="inlineStr">
        <is>
          <t>JÄMTLANDS LÄN</t>
        </is>
      </c>
      <c r="E8809" t="inlineStr">
        <is>
          <t>RAGUNDA</t>
        </is>
      </c>
      <c r="F8809" t="inlineStr">
        <is>
          <t>SCA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31330-2024</t>
        </is>
      </c>
      <c r="B8810" s="1" t="n">
        <v>45504</v>
      </c>
      <c r="C8810" s="1" t="n">
        <v>46045</v>
      </c>
      <c r="D8810" t="inlineStr">
        <is>
          <t>JÄMTLANDS LÄN</t>
        </is>
      </c>
      <c r="E8810" t="inlineStr">
        <is>
          <t>BERG</t>
        </is>
      </c>
      <c r="G8810" t="n">
        <v>30.5</v>
      </c>
      <c r="H8810" t="n">
        <v>0</v>
      </c>
      <c r="I8810" t="n">
        <v>0</v>
      </c>
      <c r="J8810" t="n">
        <v>0</v>
      </c>
      <c r="K8810" t="n">
        <v>0</v>
      </c>
      <c r="L8810" t="n">
        <v>0</v>
      </c>
      <c r="M8810" t="n">
        <v>0</v>
      </c>
      <c r="N8810" t="n">
        <v>0</v>
      </c>
      <c r="O8810" t="n">
        <v>0</v>
      </c>
      <c r="P8810" t="n">
        <v>0</v>
      </c>
      <c r="Q8810" t="n">
        <v>0</v>
      </c>
      <c r="R8810" s="2" t="inlineStr"/>
    </row>
    <row r="8811" ht="15" customHeight="1">
      <c r="A8811" t="inlineStr">
        <is>
          <t>A 35460-2025</t>
        </is>
      </c>
      <c r="B8811" s="1" t="n">
        <v>45855.61193287037</v>
      </c>
      <c r="C8811" s="1" t="n">
        <v>46045</v>
      </c>
      <c r="D8811" t="inlineStr">
        <is>
          <t>JÄMTLANDS LÄN</t>
        </is>
      </c>
      <c r="E8811" t="inlineStr">
        <is>
          <t>KROKOM</t>
        </is>
      </c>
      <c r="F8811" t="inlineStr">
        <is>
          <t>Övriga Aktiebolag</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35462-2025</t>
        </is>
      </c>
      <c r="B8812" s="1" t="n">
        <v>45855.61523148148</v>
      </c>
      <c r="C8812" s="1" t="n">
        <v>46045</v>
      </c>
      <c r="D8812" t="inlineStr">
        <is>
          <t>JÄMTLANDS LÄN</t>
        </is>
      </c>
      <c r="E8812" t="inlineStr">
        <is>
          <t>RAGUNDA</t>
        </is>
      </c>
      <c r="F8812" t="inlineStr">
        <is>
          <t>SCA</t>
        </is>
      </c>
      <c r="G8812" t="n">
        <v>5.7</v>
      </c>
      <c r="H8812" t="n">
        <v>0</v>
      </c>
      <c r="I8812" t="n">
        <v>0</v>
      </c>
      <c r="J8812" t="n">
        <v>0</v>
      </c>
      <c r="K8812" t="n">
        <v>0</v>
      </c>
      <c r="L8812" t="n">
        <v>0</v>
      </c>
      <c r="M8812" t="n">
        <v>0</v>
      </c>
      <c r="N8812" t="n">
        <v>0</v>
      </c>
      <c r="O8812" t="n">
        <v>0</v>
      </c>
      <c r="P8812" t="n">
        <v>0</v>
      </c>
      <c r="Q8812" t="n">
        <v>0</v>
      </c>
      <c r="R8812" s="2" t="inlineStr"/>
    </row>
    <row r="8813" ht="15" customHeight="1">
      <c r="A8813" t="inlineStr">
        <is>
          <t>A 60370-2025</t>
        </is>
      </c>
      <c r="B8813" s="1" t="n">
        <v>45995.34466435185</v>
      </c>
      <c r="C8813" s="1" t="n">
        <v>46045</v>
      </c>
      <c r="D8813" t="inlineStr">
        <is>
          <t>JÄMTLANDS LÄN</t>
        </is>
      </c>
      <c r="E8813" t="inlineStr">
        <is>
          <t>STRÖMSUND</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60389-2025</t>
        </is>
      </c>
      <c r="B8814" s="1" t="n">
        <v>45995.38628472222</v>
      </c>
      <c r="C8814" s="1" t="n">
        <v>46045</v>
      </c>
      <c r="D8814" t="inlineStr">
        <is>
          <t>JÄMTLANDS LÄN</t>
        </is>
      </c>
      <c r="E8814" t="inlineStr">
        <is>
          <t>RAGUNDA</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14368-2024</t>
        </is>
      </c>
      <c r="B8815" s="1" t="n">
        <v>45393.94431712963</v>
      </c>
      <c r="C8815" s="1" t="n">
        <v>46045</v>
      </c>
      <c r="D8815" t="inlineStr">
        <is>
          <t>JÄMTLANDS LÄN</t>
        </is>
      </c>
      <c r="E8815" t="inlineStr">
        <is>
          <t>RAGUNDA</t>
        </is>
      </c>
      <c r="F8815" t="inlineStr">
        <is>
          <t>Naturvårdsverket</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14373-2024</t>
        </is>
      </c>
      <c r="B8816" s="1" t="n">
        <v>45393</v>
      </c>
      <c r="C8816" s="1" t="n">
        <v>46045</v>
      </c>
      <c r="D8816" t="inlineStr">
        <is>
          <t>JÄMTLANDS LÄN</t>
        </is>
      </c>
      <c r="E8816" t="inlineStr">
        <is>
          <t>BRÄCKE</t>
        </is>
      </c>
      <c r="F8816" t="inlineStr">
        <is>
          <t>SCA</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36048-2023</t>
        </is>
      </c>
      <c r="B8817" s="1" t="n">
        <v>45149.42868055555</v>
      </c>
      <c r="C8817" s="1" t="n">
        <v>46045</v>
      </c>
      <c r="D8817" t="inlineStr">
        <is>
          <t>JÄMTLANDS LÄN</t>
        </is>
      </c>
      <c r="E8817" t="inlineStr">
        <is>
          <t>ÅRE</t>
        </is>
      </c>
      <c r="G8817" t="n">
        <v>11.4</v>
      </c>
      <c r="H8817" t="n">
        <v>0</v>
      </c>
      <c r="I8817" t="n">
        <v>0</v>
      </c>
      <c r="J8817" t="n">
        <v>0</v>
      </c>
      <c r="K8817" t="n">
        <v>0</v>
      </c>
      <c r="L8817" t="n">
        <v>0</v>
      </c>
      <c r="M8817" t="n">
        <v>0</v>
      </c>
      <c r="N8817" t="n">
        <v>0</v>
      </c>
      <c r="O8817" t="n">
        <v>0</v>
      </c>
      <c r="P8817" t="n">
        <v>0</v>
      </c>
      <c r="Q8817" t="n">
        <v>0</v>
      </c>
      <c r="R8817" s="2" t="inlineStr"/>
    </row>
    <row r="8818" ht="15" customHeight="1">
      <c r="A8818" t="inlineStr">
        <is>
          <t>A 2873-2026</t>
        </is>
      </c>
      <c r="B8818" s="1" t="n">
        <v>46038.51086805556</v>
      </c>
      <c r="C8818" s="1" t="n">
        <v>46045</v>
      </c>
      <c r="D8818" t="inlineStr">
        <is>
          <t>JÄMTLANDS LÄN</t>
        </is>
      </c>
      <c r="E8818" t="inlineStr">
        <is>
          <t>STRÖMSUND</t>
        </is>
      </c>
      <c r="F8818" t="inlineStr">
        <is>
          <t>SCA</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2780-2026</t>
        </is>
      </c>
      <c r="B8819" s="1" t="n">
        <v>46038.38592592593</v>
      </c>
      <c r="C8819" s="1" t="n">
        <v>46045</v>
      </c>
      <c r="D8819" t="inlineStr">
        <is>
          <t>JÄMTLANDS LÄN</t>
        </is>
      </c>
      <c r="E8819" t="inlineStr">
        <is>
          <t>STRÖMSUND</t>
        </is>
      </c>
      <c r="F8819" t="inlineStr">
        <is>
          <t>SCA</t>
        </is>
      </c>
      <c r="G8819" t="n">
        <v>12.1</v>
      </c>
      <c r="H8819" t="n">
        <v>0</v>
      </c>
      <c r="I8819" t="n">
        <v>0</v>
      </c>
      <c r="J8819" t="n">
        <v>0</v>
      </c>
      <c r="K8819" t="n">
        <v>0</v>
      </c>
      <c r="L8819" t="n">
        <v>0</v>
      </c>
      <c r="M8819" t="n">
        <v>0</v>
      </c>
      <c r="N8819" t="n">
        <v>0</v>
      </c>
      <c r="O8819" t="n">
        <v>0</v>
      </c>
      <c r="P8819" t="n">
        <v>0</v>
      </c>
      <c r="Q8819" t="n">
        <v>0</v>
      </c>
      <c r="R8819" s="2" t="inlineStr"/>
    </row>
    <row r="8820" ht="15" customHeight="1">
      <c r="A8820" t="inlineStr">
        <is>
          <t>A 2781-2026</t>
        </is>
      </c>
      <c r="B8820" s="1" t="n">
        <v>46038.3860300926</v>
      </c>
      <c r="C8820" s="1" t="n">
        <v>46045</v>
      </c>
      <c r="D8820" t="inlineStr">
        <is>
          <t>JÄMTLANDS LÄN</t>
        </is>
      </c>
      <c r="E8820" t="inlineStr">
        <is>
          <t>HÄRJEDALEN</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2632-2026</t>
        </is>
      </c>
      <c r="B8821" s="1" t="n">
        <v>46035</v>
      </c>
      <c r="C8821" s="1" t="n">
        <v>46045</v>
      </c>
      <c r="D8821" t="inlineStr">
        <is>
          <t>JÄMTLANDS LÄN</t>
        </is>
      </c>
      <c r="E8821" t="inlineStr">
        <is>
          <t>BERG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2989-2026</t>
        </is>
      </c>
      <c r="B8822" s="1" t="n">
        <v>46038.63608796296</v>
      </c>
      <c r="C8822" s="1" t="n">
        <v>46045</v>
      </c>
      <c r="D8822" t="inlineStr">
        <is>
          <t>JÄMTLANDS LÄN</t>
        </is>
      </c>
      <c r="E8822" t="inlineStr">
        <is>
          <t>STRÖMSUND</t>
        </is>
      </c>
      <c r="F8822" t="inlineStr">
        <is>
          <t>SCA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60602-2025</t>
        </is>
      </c>
      <c r="B8823" s="1" t="n">
        <v>45996.3533912037</v>
      </c>
      <c r="C8823" s="1" t="n">
        <v>46045</v>
      </c>
      <c r="D8823" t="inlineStr">
        <is>
          <t>JÄMTLANDS LÄN</t>
        </is>
      </c>
      <c r="E8823" t="inlineStr">
        <is>
          <t>HÄRJEDALEN</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60609-2025</t>
        </is>
      </c>
      <c r="B8824" s="1" t="n">
        <v>45996.36501157407</v>
      </c>
      <c r="C8824" s="1" t="n">
        <v>46045</v>
      </c>
      <c r="D8824" t="inlineStr">
        <is>
          <t>JÄMTLANDS LÄN</t>
        </is>
      </c>
      <c r="E8824" t="inlineStr">
        <is>
          <t>KROKOM</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60377-2025</t>
        </is>
      </c>
      <c r="B8825" s="1" t="n">
        <v>45995.36479166667</v>
      </c>
      <c r="C8825" s="1" t="n">
        <v>46045</v>
      </c>
      <c r="D8825" t="inlineStr">
        <is>
          <t>JÄMTLANDS LÄN</t>
        </is>
      </c>
      <c r="E8825" t="inlineStr">
        <is>
          <t>BRÄCKE</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35512-2025</t>
        </is>
      </c>
      <c r="B8826" s="1" t="n">
        <v>45856.36510416667</v>
      </c>
      <c r="C8826" s="1" t="n">
        <v>46045</v>
      </c>
      <c r="D8826" t="inlineStr">
        <is>
          <t>JÄMTLANDS LÄN</t>
        </is>
      </c>
      <c r="E8826" t="inlineStr">
        <is>
          <t>STRÖMSUND</t>
        </is>
      </c>
      <c r="F8826" t="inlineStr">
        <is>
          <t>SCA</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2964-2026</t>
        </is>
      </c>
      <c r="B8827" s="1" t="n">
        <v>46038.61510416667</v>
      </c>
      <c r="C8827" s="1" t="n">
        <v>46045</v>
      </c>
      <c r="D8827" t="inlineStr">
        <is>
          <t>JÄMTLANDS LÄN</t>
        </is>
      </c>
      <c r="E8827" t="inlineStr">
        <is>
          <t>STRÖMSUND</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2971-2026</t>
        </is>
      </c>
      <c r="B8828" s="1" t="n">
        <v>46038.62047453703</v>
      </c>
      <c r="C8828" s="1" t="n">
        <v>46045</v>
      </c>
      <c r="D8828" t="inlineStr">
        <is>
          <t>JÄMTLANDS LÄN</t>
        </is>
      </c>
      <c r="E8828" t="inlineStr">
        <is>
          <t>ÖSTERSUND</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2988-2026</t>
        </is>
      </c>
      <c r="B8829" s="1" t="n">
        <v>46038.6360300926</v>
      </c>
      <c r="C8829" s="1" t="n">
        <v>46045</v>
      </c>
      <c r="D8829" t="inlineStr">
        <is>
          <t>JÄMTLANDS LÄN</t>
        </is>
      </c>
      <c r="E8829" t="inlineStr">
        <is>
          <t>ÖSTERSUND</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33584-2024</t>
        </is>
      </c>
      <c r="B8830" s="1" t="n">
        <v>45520.34630787037</v>
      </c>
      <c r="C8830" s="1" t="n">
        <v>46045</v>
      </c>
      <c r="D8830" t="inlineStr">
        <is>
          <t>JÄMTLANDS LÄN</t>
        </is>
      </c>
      <c r="E8830" t="inlineStr">
        <is>
          <t>STRÖMSUND</t>
        </is>
      </c>
      <c r="F8830" t="inlineStr">
        <is>
          <t>SCA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2684-2026</t>
        </is>
      </c>
      <c r="B8831" s="1" t="n">
        <v>46037.65673611111</v>
      </c>
      <c r="C8831" s="1" t="n">
        <v>46045</v>
      </c>
      <c r="D8831" t="inlineStr">
        <is>
          <t>JÄMTLANDS LÄN</t>
        </is>
      </c>
      <c r="E8831" t="inlineStr">
        <is>
          <t>BRÄCKE</t>
        </is>
      </c>
      <c r="F8831" t="inlineStr">
        <is>
          <t>SCA</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2698-2026</t>
        </is>
      </c>
      <c r="B8832" s="1" t="n">
        <v>46037.67755787037</v>
      </c>
      <c r="C8832" s="1" t="n">
        <v>46045</v>
      </c>
      <c r="D8832" t="inlineStr">
        <is>
          <t>JÄMTLANDS LÄN</t>
        </is>
      </c>
      <c r="E8832" t="inlineStr">
        <is>
          <t>STRÖMSUND</t>
        </is>
      </c>
      <c r="F8832" t="inlineStr">
        <is>
          <t>SCA</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35689-2025</t>
        </is>
      </c>
      <c r="B8833" s="1" t="n">
        <v>45860.30229166667</v>
      </c>
      <c r="C8833" s="1" t="n">
        <v>46045</v>
      </c>
      <c r="D8833" t="inlineStr">
        <is>
          <t>JÄMTLANDS LÄN</t>
        </is>
      </c>
      <c r="E8833" t="inlineStr">
        <is>
          <t>RAGUNDA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2828-2026</t>
        </is>
      </c>
      <c r="B8834" s="1" t="n">
        <v>46036</v>
      </c>
      <c r="C8834" s="1" t="n">
        <v>46045</v>
      </c>
      <c r="D8834" t="inlineStr">
        <is>
          <t>JÄMTLANDS LÄN</t>
        </is>
      </c>
      <c r="E8834" t="inlineStr">
        <is>
          <t>KROKOM</t>
        </is>
      </c>
      <c r="G8834" t="n">
        <v>35.7</v>
      </c>
      <c r="H8834" t="n">
        <v>0</v>
      </c>
      <c r="I8834" t="n">
        <v>0</v>
      </c>
      <c r="J8834" t="n">
        <v>0</v>
      </c>
      <c r="K8834" t="n">
        <v>0</v>
      </c>
      <c r="L8834" t="n">
        <v>0</v>
      </c>
      <c r="M8834" t="n">
        <v>0</v>
      </c>
      <c r="N8834" t="n">
        <v>0</v>
      </c>
      <c r="O8834" t="n">
        <v>0</v>
      </c>
      <c r="P8834" t="n">
        <v>0</v>
      </c>
      <c r="Q8834" t="n">
        <v>0</v>
      </c>
      <c r="R8834" s="2" t="inlineStr"/>
    </row>
    <row r="8835" ht="15" customHeight="1">
      <c r="A8835" t="inlineStr">
        <is>
          <t>A 27223-2025</t>
        </is>
      </c>
      <c r="B8835" s="1" t="n">
        <v>45812.42733796296</v>
      </c>
      <c r="C8835" s="1" t="n">
        <v>46045</v>
      </c>
      <c r="D8835" t="inlineStr">
        <is>
          <t>JÄMTLANDS LÄN</t>
        </is>
      </c>
      <c r="E8835" t="inlineStr">
        <is>
          <t>STRÖMSUND</t>
        </is>
      </c>
      <c r="G8835" t="n">
        <v>30.5</v>
      </c>
      <c r="H8835" t="n">
        <v>0</v>
      </c>
      <c r="I8835" t="n">
        <v>0</v>
      </c>
      <c r="J8835" t="n">
        <v>0</v>
      </c>
      <c r="K8835" t="n">
        <v>0</v>
      </c>
      <c r="L8835" t="n">
        <v>0</v>
      </c>
      <c r="M8835" t="n">
        <v>0</v>
      </c>
      <c r="N8835" t="n">
        <v>0</v>
      </c>
      <c r="O8835" t="n">
        <v>0</v>
      </c>
      <c r="P8835" t="n">
        <v>0</v>
      </c>
      <c r="Q8835" t="n">
        <v>0</v>
      </c>
      <c r="R8835" s="2" t="inlineStr"/>
    </row>
    <row r="8836" ht="15" customHeight="1">
      <c r="A8836" t="inlineStr">
        <is>
          <t>A 2270-2026</t>
        </is>
      </c>
      <c r="B8836" s="1" t="n">
        <v>46029</v>
      </c>
      <c r="C8836" s="1" t="n">
        <v>46045</v>
      </c>
      <c r="D8836" t="inlineStr">
        <is>
          <t>JÄMTLANDS LÄN</t>
        </is>
      </c>
      <c r="E8836" t="inlineStr">
        <is>
          <t>BERG</t>
        </is>
      </c>
      <c r="F8836" t="inlineStr">
        <is>
          <t>SCA</t>
        </is>
      </c>
      <c r="G8836" t="n">
        <v>7.1</v>
      </c>
      <c r="H8836" t="n">
        <v>0</v>
      </c>
      <c r="I8836" t="n">
        <v>0</v>
      </c>
      <c r="J8836" t="n">
        <v>0</v>
      </c>
      <c r="K8836" t="n">
        <v>0</v>
      </c>
      <c r="L8836" t="n">
        <v>0</v>
      </c>
      <c r="M8836" t="n">
        <v>0</v>
      </c>
      <c r="N8836" t="n">
        <v>0</v>
      </c>
      <c r="O8836" t="n">
        <v>0</v>
      </c>
      <c r="P8836" t="n">
        <v>0</v>
      </c>
      <c r="Q8836" t="n">
        <v>0</v>
      </c>
      <c r="R8836" s="2" t="inlineStr"/>
    </row>
    <row r="8837" ht="15" customHeight="1">
      <c r="A8837" t="inlineStr">
        <is>
          <t>A 36528-2025</t>
        </is>
      </c>
      <c r="B8837" s="1" t="n">
        <v>45869</v>
      </c>
      <c r="C8837" s="1" t="n">
        <v>46045</v>
      </c>
      <c r="D8837" t="inlineStr">
        <is>
          <t>JÄMTLANDS LÄN</t>
        </is>
      </c>
      <c r="E8837" t="inlineStr">
        <is>
          <t>HÄRJEDALEN</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36537-2025</t>
        </is>
      </c>
      <c r="B8838" s="1" t="n">
        <v>45869</v>
      </c>
      <c r="C8838" s="1" t="n">
        <v>46045</v>
      </c>
      <c r="D8838" t="inlineStr">
        <is>
          <t>JÄMTLANDS LÄN</t>
        </is>
      </c>
      <c r="E8838" t="inlineStr">
        <is>
          <t>HÄRJEDALEN</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60387-2025</t>
        </is>
      </c>
      <c r="B8839" s="1" t="n">
        <v>45995.38611111111</v>
      </c>
      <c r="C8839" s="1" t="n">
        <v>46045</v>
      </c>
      <c r="D8839" t="inlineStr">
        <is>
          <t>JÄMTLANDS LÄN</t>
        </is>
      </c>
      <c r="E8839" t="inlineStr">
        <is>
          <t>RAGUNDA</t>
        </is>
      </c>
      <c r="G8839" t="n">
        <v>8.5</v>
      </c>
      <c r="H8839" t="n">
        <v>0</v>
      </c>
      <c r="I8839" t="n">
        <v>0</v>
      </c>
      <c r="J8839" t="n">
        <v>0</v>
      </c>
      <c r="K8839" t="n">
        <v>0</v>
      </c>
      <c r="L8839" t="n">
        <v>0</v>
      </c>
      <c r="M8839" t="n">
        <v>0</v>
      </c>
      <c r="N8839" t="n">
        <v>0</v>
      </c>
      <c r="O8839" t="n">
        <v>0</v>
      </c>
      <c r="P8839" t="n">
        <v>0</v>
      </c>
      <c r="Q8839" t="n">
        <v>0</v>
      </c>
      <c r="R8839" s="2" t="inlineStr"/>
    </row>
    <row r="8840" ht="15" customHeight="1">
      <c r="A8840" t="inlineStr">
        <is>
          <t>A 60388-2025</t>
        </is>
      </c>
      <c r="B8840" s="1" t="n">
        <v>45995.3862037037</v>
      </c>
      <c r="C8840" s="1" t="n">
        <v>46045</v>
      </c>
      <c r="D8840" t="inlineStr">
        <is>
          <t>JÄMTLANDS LÄN</t>
        </is>
      </c>
      <c r="E8840" t="inlineStr">
        <is>
          <t>STRÖMSUND</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60398-2025</t>
        </is>
      </c>
      <c r="B8841" s="1" t="n">
        <v>45995.3990162037</v>
      </c>
      <c r="C8841" s="1" t="n">
        <v>46045</v>
      </c>
      <c r="D8841" t="inlineStr">
        <is>
          <t>JÄMTLANDS LÄN</t>
        </is>
      </c>
      <c r="E8841" t="inlineStr">
        <is>
          <t>ÅRE</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35642-2025</t>
        </is>
      </c>
      <c r="B8842" s="1" t="n">
        <v>45859.48991898148</v>
      </c>
      <c r="C8842" s="1" t="n">
        <v>46045</v>
      </c>
      <c r="D8842" t="inlineStr">
        <is>
          <t>JÄMTLANDS LÄN</t>
        </is>
      </c>
      <c r="E8842" t="inlineStr">
        <is>
          <t>BRÄCKE</t>
        </is>
      </c>
      <c r="F8842" t="inlineStr">
        <is>
          <t>SCA</t>
        </is>
      </c>
      <c r="G8842" t="n">
        <v>14.3</v>
      </c>
      <c r="H8842" t="n">
        <v>0</v>
      </c>
      <c r="I8842" t="n">
        <v>0</v>
      </c>
      <c r="J8842" t="n">
        <v>0</v>
      </c>
      <c r="K8842" t="n">
        <v>0</v>
      </c>
      <c r="L8842" t="n">
        <v>0</v>
      </c>
      <c r="M8842" t="n">
        <v>0</v>
      </c>
      <c r="N8842" t="n">
        <v>0</v>
      </c>
      <c r="O8842" t="n">
        <v>0</v>
      </c>
      <c r="P8842" t="n">
        <v>0</v>
      </c>
      <c r="Q8842" t="n">
        <v>0</v>
      </c>
      <c r="R8842" s="2" t="inlineStr"/>
    </row>
    <row r="8843" ht="15" customHeight="1">
      <c r="A8843" t="inlineStr">
        <is>
          <t>A 60463-2025</t>
        </is>
      </c>
      <c r="B8843" s="1" t="n">
        <v>45995.55276620371</v>
      </c>
      <c r="C8843" s="1" t="n">
        <v>46045</v>
      </c>
      <c r="D8843" t="inlineStr">
        <is>
          <t>JÄMTLANDS LÄN</t>
        </is>
      </c>
      <c r="E8843" t="inlineStr">
        <is>
          <t>BERG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35712-2025</t>
        </is>
      </c>
      <c r="B8844" s="1" t="n">
        <v>45860.40660879629</v>
      </c>
      <c r="C8844" s="1" t="n">
        <v>46045</v>
      </c>
      <c r="D8844" t="inlineStr">
        <is>
          <t>JÄMTLANDS LÄN</t>
        </is>
      </c>
      <c r="E8844" t="inlineStr">
        <is>
          <t>BRÄCKE</t>
        </is>
      </c>
      <c r="F8844" t="inlineStr">
        <is>
          <t>SCA</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53427-2025</t>
        </is>
      </c>
      <c r="B8845" s="1" t="n">
        <v>45959</v>
      </c>
      <c r="C8845" s="1" t="n">
        <v>46045</v>
      </c>
      <c r="D8845" t="inlineStr">
        <is>
          <t>JÄMTLANDS LÄN</t>
        </is>
      </c>
      <c r="E8845" t="inlineStr">
        <is>
          <t>BERG</t>
        </is>
      </c>
      <c r="F8845" t="inlineStr">
        <is>
          <t>SCA</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3018-2026</t>
        </is>
      </c>
      <c r="B8846" s="1" t="n">
        <v>46038.66943287037</v>
      </c>
      <c r="C8846" s="1" t="n">
        <v>46045</v>
      </c>
      <c r="D8846" t="inlineStr">
        <is>
          <t>JÄMTLANDS LÄN</t>
        </is>
      </c>
      <c r="E8846" t="inlineStr">
        <is>
          <t>ÅRE</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35731-2025</t>
        </is>
      </c>
      <c r="B8847" s="1" t="n">
        <v>45860.46923611111</v>
      </c>
      <c r="C8847" s="1" t="n">
        <v>46045</v>
      </c>
      <c r="D8847" t="inlineStr">
        <is>
          <t>JÄMTLANDS LÄN</t>
        </is>
      </c>
      <c r="E8847" t="inlineStr">
        <is>
          <t>BRÄCKE</t>
        </is>
      </c>
      <c r="F8847" t="inlineStr">
        <is>
          <t>SCA</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35657-2025</t>
        </is>
      </c>
      <c r="B8848" s="1" t="n">
        <v>45859.59420138889</v>
      </c>
      <c r="C8848" s="1" t="n">
        <v>46045</v>
      </c>
      <c r="D8848" t="inlineStr">
        <is>
          <t>JÄMTLANDS LÄN</t>
        </is>
      </c>
      <c r="E8848" t="inlineStr">
        <is>
          <t>STRÖMSUND</t>
        </is>
      </c>
      <c r="F8848" t="inlineStr">
        <is>
          <t>SCA</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35668-2025</t>
        </is>
      </c>
      <c r="B8849" s="1" t="n">
        <v>45859.61552083334</v>
      </c>
      <c r="C8849" s="1" t="n">
        <v>46045</v>
      </c>
      <c r="D8849" t="inlineStr">
        <is>
          <t>JÄMTLANDS LÄN</t>
        </is>
      </c>
      <c r="E8849" t="inlineStr">
        <is>
          <t>BRÄCKE</t>
        </is>
      </c>
      <c r="G8849" t="n">
        <v>7.2</v>
      </c>
      <c r="H8849" t="n">
        <v>0</v>
      </c>
      <c r="I8849" t="n">
        <v>0</v>
      </c>
      <c r="J8849" t="n">
        <v>0</v>
      </c>
      <c r="K8849" t="n">
        <v>0</v>
      </c>
      <c r="L8849" t="n">
        <v>0</v>
      </c>
      <c r="M8849" t="n">
        <v>0</v>
      </c>
      <c r="N8849" t="n">
        <v>0</v>
      </c>
      <c r="O8849" t="n">
        <v>0</v>
      </c>
      <c r="P8849" t="n">
        <v>0</v>
      </c>
      <c r="Q8849" t="n">
        <v>0</v>
      </c>
      <c r="R8849" s="2" t="inlineStr"/>
    </row>
    <row r="8850" ht="15" customHeight="1">
      <c r="A8850" t="inlineStr">
        <is>
          <t>A 44618-2024</t>
        </is>
      </c>
      <c r="B8850" s="1" t="n">
        <v>45574.51304398148</v>
      </c>
      <c r="C8850" s="1" t="n">
        <v>46045</v>
      </c>
      <c r="D8850" t="inlineStr">
        <is>
          <t>JÄMTLANDS LÄN</t>
        </is>
      </c>
      <c r="E8850" t="inlineStr">
        <is>
          <t>STRÖMSUND</t>
        </is>
      </c>
      <c r="F8850" t="inlineStr">
        <is>
          <t>SCA</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2657-2026</t>
        </is>
      </c>
      <c r="B8851" s="1" t="n">
        <v>46037</v>
      </c>
      <c r="C8851" s="1" t="n">
        <v>46045</v>
      </c>
      <c r="D8851" t="inlineStr">
        <is>
          <t>JÄMTLANDS LÄN</t>
        </is>
      </c>
      <c r="E8851" t="inlineStr">
        <is>
          <t>KROKOM</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35658-2025</t>
        </is>
      </c>
      <c r="B8852" s="1" t="n">
        <v>45859.594375</v>
      </c>
      <c r="C8852" s="1" t="n">
        <v>46045</v>
      </c>
      <c r="D8852" t="inlineStr">
        <is>
          <t>JÄMTLANDS LÄN</t>
        </is>
      </c>
      <c r="E8852" t="inlineStr">
        <is>
          <t>RAGUNDA</t>
        </is>
      </c>
      <c r="F8852" t="inlineStr">
        <is>
          <t>SCA</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35663-2025</t>
        </is>
      </c>
      <c r="B8853" s="1" t="n">
        <v>45859.61510416667</v>
      </c>
      <c r="C8853" s="1" t="n">
        <v>46045</v>
      </c>
      <c r="D8853" t="inlineStr">
        <is>
          <t>JÄMTLANDS LÄN</t>
        </is>
      </c>
      <c r="E8853" t="inlineStr">
        <is>
          <t>STRÖMSUND</t>
        </is>
      </c>
      <c r="F8853" t="inlineStr">
        <is>
          <t>SCA</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2770-2026</t>
        </is>
      </c>
      <c r="B8854" s="1" t="n">
        <v>46038.36815972222</v>
      </c>
      <c r="C8854" s="1" t="n">
        <v>46045</v>
      </c>
      <c r="D8854" t="inlineStr">
        <is>
          <t>JÄMTLANDS LÄN</t>
        </is>
      </c>
      <c r="E8854" t="inlineStr">
        <is>
          <t>HÄRJEDALEN</t>
        </is>
      </c>
      <c r="G8854" t="n">
        <v>12.9</v>
      </c>
      <c r="H8854" t="n">
        <v>0</v>
      </c>
      <c r="I8854" t="n">
        <v>0</v>
      </c>
      <c r="J8854" t="n">
        <v>0</v>
      </c>
      <c r="K8854" t="n">
        <v>0</v>
      </c>
      <c r="L8854" t="n">
        <v>0</v>
      </c>
      <c r="M8854" t="n">
        <v>0</v>
      </c>
      <c r="N8854" t="n">
        <v>0</v>
      </c>
      <c r="O8854" t="n">
        <v>0</v>
      </c>
      <c r="P8854" t="n">
        <v>0</v>
      </c>
      <c r="Q8854" t="n">
        <v>0</v>
      </c>
      <c r="R8854" s="2" t="inlineStr"/>
    </row>
    <row r="8855" ht="15" customHeight="1">
      <c r="A8855" t="inlineStr">
        <is>
          <t>A 35691-2025</t>
        </is>
      </c>
      <c r="B8855" s="1" t="n">
        <v>45860.344375</v>
      </c>
      <c r="C8855" s="1" t="n">
        <v>46045</v>
      </c>
      <c r="D8855" t="inlineStr">
        <is>
          <t>JÄMTLANDS LÄN</t>
        </is>
      </c>
      <c r="E8855" t="inlineStr">
        <is>
          <t>BERG</t>
        </is>
      </c>
      <c r="F8855" t="inlineStr">
        <is>
          <t>SCA</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2986-2026</t>
        </is>
      </c>
      <c r="B8856" s="1" t="n">
        <v>46038.6322337963</v>
      </c>
      <c r="C8856" s="1" t="n">
        <v>46045</v>
      </c>
      <c r="D8856" t="inlineStr">
        <is>
          <t>JÄMTLANDS LÄN</t>
        </is>
      </c>
      <c r="E8856" t="inlineStr">
        <is>
          <t>ÖSTERSUND</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35778-2025</t>
        </is>
      </c>
      <c r="B8857" s="1" t="n">
        <v>45860</v>
      </c>
      <c r="C8857" s="1" t="n">
        <v>46045</v>
      </c>
      <c r="D8857" t="inlineStr">
        <is>
          <t>JÄMTLANDS LÄN</t>
        </is>
      </c>
      <c r="E8857" t="inlineStr">
        <is>
          <t>KROKOM</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29772-2023</t>
        </is>
      </c>
      <c r="B8858" s="1" t="n">
        <v>45107</v>
      </c>
      <c r="C8858" s="1" t="n">
        <v>46045</v>
      </c>
      <c r="D8858" t="inlineStr">
        <is>
          <t>JÄMTLANDS LÄN</t>
        </is>
      </c>
      <c r="E8858" t="inlineStr">
        <is>
          <t>HÄRJEDALEN</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2874-2026</t>
        </is>
      </c>
      <c r="B8859" s="1" t="n">
        <v>46038.51106481482</v>
      </c>
      <c r="C8859" s="1" t="n">
        <v>46045</v>
      </c>
      <c r="D8859" t="inlineStr">
        <is>
          <t>JÄMTLANDS LÄN</t>
        </is>
      </c>
      <c r="E8859" t="inlineStr">
        <is>
          <t>STRÖMSUND</t>
        </is>
      </c>
      <c r="F8859" t="inlineStr">
        <is>
          <t>SCA</t>
        </is>
      </c>
      <c r="G8859" t="n">
        <v>19.5</v>
      </c>
      <c r="H8859" t="n">
        <v>0</v>
      </c>
      <c r="I8859" t="n">
        <v>0</v>
      </c>
      <c r="J8859" t="n">
        <v>0</v>
      </c>
      <c r="K8859" t="n">
        <v>0</v>
      </c>
      <c r="L8859" t="n">
        <v>0</v>
      </c>
      <c r="M8859" t="n">
        <v>0</v>
      </c>
      <c r="N8859" t="n">
        <v>0</v>
      </c>
      <c r="O8859" t="n">
        <v>0</v>
      </c>
      <c r="P8859" t="n">
        <v>0</v>
      </c>
      <c r="Q8859" t="n">
        <v>0</v>
      </c>
      <c r="R8859" s="2" t="inlineStr"/>
    </row>
    <row r="8860" ht="15" customHeight="1">
      <c r="A8860" t="inlineStr">
        <is>
          <t>A 35661-2025</t>
        </is>
      </c>
      <c r="B8860" s="1" t="n">
        <v>45859.61494212963</v>
      </c>
      <c r="C8860" s="1" t="n">
        <v>46045</v>
      </c>
      <c r="D8860" t="inlineStr">
        <is>
          <t>JÄMTLANDS LÄN</t>
        </is>
      </c>
      <c r="E8860" t="inlineStr">
        <is>
          <t>STRÖMSUND</t>
        </is>
      </c>
      <c r="F8860" t="inlineStr">
        <is>
          <t>SCA</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35681-2025</t>
        </is>
      </c>
      <c r="B8861" s="1" t="n">
        <v>45859.77703703703</v>
      </c>
      <c r="C8861" s="1" t="n">
        <v>46045</v>
      </c>
      <c r="D8861" t="inlineStr">
        <is>
          <t>JÄMTLANDS LÄN</t>
        </is>
      </c>
      <c r="E8861" t="inlineStr">
        <is>
          <t>BERG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35684-2025</t>
        </is>
      </c>
      <c r="B8862" s="1" t="n">
        <v>45859.88079861111</v>
      </c>
      <c r="C8862" s="1" t="n">
        <v>46045</v>
      </c>
      <c r="D8862" t="inlineStr">
        <is>
          <t>JÄMTLANDS LÄN</t>
        </is>
      </c>
      <c r="E8862" t="inlineStr">
        <is>
          <t>BERG</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60413-2025</t>
        </is>
      </c>
      <c r="B8863" s="1" t="n">
        <v>45995.44887731481</v>
      </c>
      <c r="C8863" s="1" t="n">
        <v>46045</v>
      </c>
      <c r="D8863" t="inlineStr">
        <is>
          <t>JÄMTLANDS LÄN</t>
        </is>
      </c>
      <c r="E8863" t="inlineStr">
        <is>
          <t>HÄRJEDALEN</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60546-2025</t>
        </is>
      </c>
      <c r="B8864" s="1" t="n">
        <v>45995.69835648148</v>
      </c>
      <c r="C8864" s="1" t="n">
        <v>46045</v>
      </c>
      <c r="D8864" t="inlineStr">
        <is>
          <t>JÄMTLANDS LÄN</t>
        </is>
      </c>
      <c r="E8864" t="inlineStr">
        <is>
          <t>STRÖMSUND</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62490-2025</t>
        </is>
      </c>
      <c r="B8865" s="1" t="n">
        <v>46007.5697337963</v>
      </c>
      <c r="C8865" s="1" t="n">
        <v>46045</v>
      </c>
      <c r="D8865" t="inlineStr">
        <is>
          <t>JÄMTLANDS LÄN</t>
        </is>
      </c>
      <c r="E8865" t="inlineStr">
        <is>
          <t>RAGUNDA</t>
        </is>
      </c>
      <c r="F8865" t="inlineStr">
        <is>
          <t>Kommuner</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21663-2025</t>
        </is>
      </c>
      <c r="B8866" s="1" t="n">
        <v>45783</v>
      </c>
      <c r="C8866" s="1" t="n">
        <v>46045</v>
      </c>
      <c r="D8866" t="inlineStr">
        <is>
          <t>JÄMTLANDS LÄN</t>
        </is>
      </c>
      <c r="E8866" t="inlineStr">
        <is>
          <t>KROKOM</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60385-2025</t>
        </is>
      </c>
      <c r="B8867" s="1" t="n">
        <v>45995.38047453704</v>
      </c>
      <c r="C8867" s="1" t="n">
        <v>46045</v>
      </c>
      <c r="D8867" t="inlineStr">
        <is>
          <t>JÄMTLANDS LÄN</t>
        </is>
      </c>
      <c r="E8867" t="inlineStr">
        <is>
          <t>KROKOM</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35634-2025</t>
        </is>
      </c>
      <c r="B8868" s="1" t="n">
        <v>45859</v>
      </c>
      <c r="C8868" s="1" t="n">
        <v>46045</v>
      </c>
      <c r="D8868" t="inlineStr">
        <is>
          <t>JÄMTLANDS LÄN</t>
        </is>
      </c>
      <c r="E8868" t="inlineStr">
        <is>
          <t>HÄRJEDALEN</t>
        </is>
      </c>
      <c r="G8868" t="n">
        <v>9.1</v>
      </c>
      <c r="H8868" t="n">
        <v>0</v>
      </c>
      <c r="I8868" t="n">
        <v>0</v>
      </c>
      <c r="J8868" t="n">
        <v>0</v>
      </c>
      <c r="K8868" t="n">
        <v>0</v>
      </c>
      <c r="L8868" t="n">
        <v>0</v>
      </c>
      <c r="M8868" t="n">
        <v>0</v>
      </c>
      <c r="N8868" t="n">
        <v>0</v>
      </c>
      <c r="O8868" t="n">
        <v>0</v>
      </c>
      <c r="P8868" t="n">
        <v>0</v>
      </c>
      <c r="Q8868" t="n">
        <v>0</v>
      </c>
      <c r="R8868" s="2" t="inlineStr"/>
    </row>
    <row r="8869" ht="15" customHeight="1">
      <c r="A8869" t="inlineStr">
        <is>
          <t>A 60517-2025</t>
        </is>
      </c>
      <c r="B8869" s="1" t="n">
        <v>45995.63657407407</v>
      </c>
      <c r="C8869" s="1" t="n">
        <v>46045</v>
      </c>
      <c r="D8869" t="inlineStr">
        <is>
          <t>JÄMTLANDS LÄN</t>
        </is>
      </c>
      <c r="E8869" t="inlineStr">
        <is>
          <t>STRÖMSUND</t>
        </is>
      </c>
      <c r="F8869" t="inlineStr">
        <is>
          <t>SCA</t>
        </is>
      </c>
      <c r="G8869" t="n">
        <v>6.6</v>
      </c>
      <c r="H8869" t="n">
        <v>0</v>
      </c>
      <c r="I8869" t="n">
        <v>0</v>
      </c>
      <c r="J8869" t="n">
        <v>0</v>
      </c>
      <c r="K8869" t="n">
        <v>0</v>
      </c>
      <c r="L8869" t="n">
        <v>0</v>
      </c>
      <c r="M8869" t="n">
        <v>0</v>
      </c>
      <c r="N8869" t="n">
        <v>0</v>
      </c>
      <c r="O8869" t="n">
        <v>0</v>
      </c>
      <c r="P8869" t="n">
        <v>0</v>
      </c>
      <c r="Q8869" t="n">
        <v>0</v>
      </c>
      <c r="R8869" s="2" t="inlineStr"/>
    </row>
    <row r="8870" ht="15" customHeight="1">
      <c r="A8870" t="inlineStr">
        <is>
          <t>A 25228-2025</t>
        </is>
      </c>
      <c r="B8870" s="1" t="n">
        <v>45800.48368055555</v>
      </c>
      <c r="C8870" s="1" t="n">
        <v>46045</v>
      </c>
      <c r="D8870" t="inlineStr">
        <is>
          <t>JÄMTLANDS LÄN</t>
        </is>
      </c>
      <c r="E8870" t="inlineStr">
        <is>
          <t>ÖSTERSUND</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60632-2025</t>
        </is>
      </c>
      <c r="B8871" s="1" t="n">
        <v>45996.42769675926</v>
      </c>
      <c r="C8871" s="1" t="n">
        <v>46045</v>
      </c>
      <c r="D8871" t="inlineStr">
        <is>
          <t>JÄMTLANDS LÄN</t>
        </is>
      </c>
      <c r="E8871" t="inlineStr">
        <is>
          <t>BERG</t>
        </is>
      </c>
      <c r="F8871" t="inlineStr">
        <is>
          <t>SCA</t>
        </is>
      </c>
      <c r="G8871" t="n">
        <v>18.2</v>
      </c>
      <c r="H8871" t="n">
        <v>0</v>
      </c>
      <c r="I8871" t="n">
        <v>0</v>
      </c>
      <c r="J8871" t="n">
        <v>0</v>
      </c>
      <c r="K8871" t="n">
        <v>0</v>
      </c>
      <c r="L8871" t="n">
        <v>0</v>
      </c>
      <c r="M8871" t="n">
        <v>0</v>
      </c>
      <c r="N8871" t="n">
        <v>0</v>
      </c>
      <c r="O8871" t="n">
        <v>0</v>
      </c>
      <c r="P8871" t="n">
        <v>0</v>
      </c>
      <c r="Q8871" t="n">
        <v>0</v>
      </c>
      <c r="R8871" s="2" t="inlineStr"/>
    </row>
    <row r="8872" ht="15" customHeight="1">
      <c r="A8872" t="inlineStr">
        <is>
          <t>A 60635-2025</t>
        </is>
      </c>
      <c r="B8872" s="1" t="n">
        <v>45996.42826388889</v>
      </c>
      <c r="C8872" s="1" t="n">
        <v>46045</v>
      </c>
      <c r="D8872" t="inlineStr">
        <is>
          <t>JÄMTLANDS LÄN</t>
        </is>
      </c>
      <c r="E8872" t="inlineStr">
        <is>
          <t>BERG</t>
        </is>
      </c>
      <c r="F8872" t="inlineStr">
        <is>
          <t>SCA</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60220-2025</t>
        </is>
      </c>
      <c r="B8873" s="1" t="n">
        <v>45994</v>
      </c>
      <c r="C8873" s="1" t="n">
        <v>46045</v>
      </c>
      <c r="D8873" t="inlineStr">
        <is>
          <t>JÄMTLANDS LÄN</t>
        </is>
      </c>
      <c r="E8873" t="inlineStr">
        <is>
          <t>BRÄCKE</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18159-2023</t>
        </is>
      </c>
      <c r="B8874" s="1" t="n">
        <v>45040.94277777777</v>
      </c>
      <c r="C8874" s="1" t="n">
        <v>46045</v>
      </c>
      <c r="D8874" t="inlineStr">
        <is>
          <t>JÄMTLANDS LÄN</t>
        </is>
      </c>
      <c r="E8874" t="inlineStr">
        <is>
          <t>RAGUNDA</t>
        </is>
      </c>
      <c r="F8874" t="inlineStr">
        <is>
          <t>SCA</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52798-2024</t>
        </is>
      </c>
      <c r="B8875" s="1" t="n">
        <v>45610.56706018518</v>
      </c>
      <c r="C8875" s="1" t="n">
        <v>46045</v>
      </c>
      <c r="D8875" t="inlineStr">
        <is>
          <t>JÄMTLANDS LÄN</t>
        </is>
      </c>
      <c r="E8875" t="inlineStr">
        <is>
          <t>HÄRJEDALEN</t>
        </is>
      </c>
      <c r="F8875" t="inlineStr">
        <is>
          <t>Holmen skog AB</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45279-2024</t>
        </is>
      </c>
      <c r="B8876" s="1" t="n">
        <v>45576.37496527778</v>
      </c>
      <c r="C8876" s="1" t="n">
        <v>46045</v>
      </c>
      <c r="D8876" t="inlineStr">
        <is>
          <t>JÄMTLANDS LÄN</t>
        </is>
      </c>
      <c r="E8876" t="inlineStr">
        <is>
          <t>ÅRE</t>
        </is>
      </c>
      <c r="G8876" t="n">
        <v>17.2</v>
      </c>
      <c r="H8876" t="n">
        <v>0</v>
      </c>
      <c r="I8876" t="n">
        <v>0</v>
      </c>
      <c r="J8876" t="n">
        <v>0</v>
      </c>
      <c r="K8876" t="n">
        <v>0</v>
      </c>
      <c r="L8876" t="n">
        <v>0</v>
      </c>
      <c r="M8876" t="n">
        <v>0</v>
      </c>
      <c r="N8876" t="n">
        <v>0</v>
      </c>
      <c r="O8876" t="n">
        <v>0</v>
      </c>
      <c r="P8876" t="n">
        <v>0</v>
      </c>
      <c r="Q8876" t="n">
        <v>0</v>
      </c>
      <c r="R8876" s="2" t="inlineStr"/>
    </row>
    <row r="8877" ht="15" customHeight="1">
      <c r="A8877" t="inlineStr">
        <is>
          <t>A 60680-2025</t>
        </is>
      </c>
      <c r="B8877" s="1" t="n">
        <v>45996.57351851852</v>
      </c>
      <c r="C8877" s="1" t="n">
        <v>46045</v>
      </c>
      <c r="D8877" t="inlineStr">
        <is>
          <t>JÄMTLANDS LÄN</t>
        </is>
      </c>
      <c r="E8877" t="inlineStr">
        <is>
          <t>STRÖMSUND</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31601-2023</t>
        </is>
      </c>
      <c r="B8878" s="1" t="n">
        <v>45117</v>
      </c>
      <c r="C8878" s="1" t="n">
        <v>46045</v>
      </c>
      <c r="D8878" t="inlineStr">
        <is>
          <t>JÄMTLANDS LÄN</t>
        </is>
      </c>
      <c r="E8878" t="inlineStr">
        <is>
          <t>KROKOM</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60547-2025</t>
        </is>
      </c>
      <c r="B8879" s="1" t="n">
        <v>45995.70358796296</v>
      </c>
      <c r="C8879" s="1" t="n">
        <v>46045</v>
      </c>
      <c r="D8879" t="inlineStr">
        <is>
          <t>JÄMTLANDS LÄN</t>
        </is>
      </c>
      <c r="E8879" t="inlineStr">
        <is>
          <t>HÄRJEDALEN</t>
        </is>
      </c>
      <c r="G8879" t="n">
        <v>7.9</v>
      </c>
      <c r="H8879" t="n">
        <v>0</v>
      </c>
      <c r="I8879" t="n">
        <v>0</v>
      </c>
      <c r="J8879" t="n">
        <v>0</v>
      </c>
      <c r="K8879" t="n">
        <v>0</v>
      </c>
      <c r="L8879" t="n">
        <v>0</v>
      </c>
      <c r="M8879" t="n">
        <v>0</v>
      </c>
      <c r="N8879" t="n">
        <v>0</v>
      </c>
      <c r="O8879" t="n">
        <v>0</v>
      </c>
      <c r="P8879" t="n">
        <v>0</v>
      </c>
      <c r="Q8879" t="n">
        <v>0</v>
      </c>
      <c r="R8879" s="2" t="inlineStr"/>
    </row>
    <row r="8880" ht="15" customHeight="1">
      <c r="A8880" t="inlineStr">
        <is>
          <t>A 35880-2025</t>
        </is>
      </c>
      <c r="B8880" s="1" t="n">
        <v>45862.38334490741</v>
      </c>
      <c r="C8880" s="1" t="n">
        <v>46045</v>
      </c>
      <c r="D8880" t="inlineStr">
        <is>
          <t>JÄMTLANDS LÄN</t>
        </is>
      </c>
      <c r="E8880" t="inlineStr">
        <is>
          <t>BRÄCKE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18206-2023</t>
        </is>
      </c>
      <c r="B8881" s="1" t="n">
        <v>45041</v>
      </c>
      <c r="C8881" s="1" t="n">
        <v>46045</v>
      </c>
      <c r="D8881" t="inlineStr">
        <is>
          <t>JÄMTLANDS LÄN</t>
        </is>
      </c>
      <c r="E8881" t="inlineStr">
        <is>
          <t>BRÄCKE</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45777-2024</t>
        </is>
      </c>
      <c r="B8882" s="1" t="n">
        <v>45579.66459490741</v>
      </c>
      <c r="C8882" s="1" t="n">
        <v>46045</v>
      </c>
      <c r="D8882" t="inlineStr">
        <is>
          <t>JÄMTLANDS LÄN</t>
        </is>
      </c>
      <c r="E8882" t="inlineStr">
        <is>
          <t>KROKOM</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60568-2025</t>
        </is>
      </c>
      <c r="B8883" s="1" t="n">
        <v>45995.84627314815</v>
      </c>
      <c r="C8883" s="1" t="n">
        <v>46045</v>
      </c>
      <c r="D8883" t="inlineStr">
        <is>
          <t>JÄMTLANDS LÄN</t>
        </is>
      </c>
      <c r="E8883" t="inlineStr">
        <is>
          <t>HÄRJEDALEN</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60605-2025</t>
        </is>
      </c>
      <c r="B8884" s="1" t="n">
        <v>45996.359375</v>
      </c>
      <c r="C8884" s="1" t="n">
        <v>46045</v>
      </c>
      <c r="D8884" t="inlineStr">
        <is>
          <t>JÄMTLANDS LÄN</t>
        </is>
      </c>
      <c r="E8884" t="inlineStr">
        <is>
          <t>HÄRJEDALEN</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35864-2025</t>
        </is>
      </c>
      <c r="B8885" s="1" t="n">
        <v>45861.6841087963</v>
      </c>
      <c r="C8885" s="1" t="n">
        <v>46045</v>
      </c>
      <c r="D8885" t="inlineStr">
        <is>
          <t>JÄMTLANDS LÄN</t>
        </is>
      </c>
      <c r="E8885" t="inlineStr">
        <is>
          <t>KROKOM</t>
        </is>
      </c>
      <c r="F8885" t="inlineStr">
        <is>
          <t>Övriga Aktiebolag</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12450-2025</t>
        </is>
      </c>
      <c r="B8886" s="1" t="n">
        <v>45730</v>
      </c>
      <c r="C8886" s="1" t="n">
        <v>46045</v>
      </c>
      <c r="D8886" t="inlineStr">
        <is>
          <t>JÄMTLANDS LÄN</t>
        </is>
      </c>
      <c r="E8886" t="inlineStr">
        <is>
          <t>HÄRJEDALEN</t>
        </is>
      </c>
      <c r="G8886" t="n">
        <v>7.6</v>
      </c>
      <c r="H8886" t="n">
        <v>0</v>
      </c>
      <c r="I8886" t="n">
        <v>0</v>
      </c>
      <c r="J8886" t="n">
        <v>0</v>
      </c>
      <c r="K8886" t="n">
        <v>0</v>
      </c>
      <c r="L8886" t="n">
        <v>0</v>
      </c>
      <c r="M8886" t="n">
        <v>0</v>
      </c>
      <c r="N8886" t="n">
        <v>0</v>
      </c>
      <c r="O8886" t="n">
        <v>0</v>
      </c>
      <c r="P8886" t="n">
        <v>0</v>
      </c>
      <c r="Q8886" t="n">
        <v>0</v>
      </c>
      <c r="R8886" s="2" t="inlineStr"/>
    </row>
    <row r="8887" ht="15" customHeight="1">
      <c r="A8887" t="inlineStr">
        <is>
          <t>A 2757-2026</t>
        </is>
      </c>
      <c r="B8887" s="1" t="n">
        <v>46036</v>
      </c>
      <c r="C8887" s="1" t="n">
        <v>46045</v>
      </c>
      <c r="D8887" t="inlineStr">
        <is>
          <t>JÄMTLANDS LÄN</t>
        </is>
      </c>
      <c r="E8887" t="inlineStr">
        <is>
          <t>STRÖMSUND</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35874-2025</t>
        </is>
      </c>
      <c r="B8888" s="1" t="n">
        <v>45862.34422453704</v>
      </c>
      <c r="C8888" s="1" t="n">
        <v>46045</v>
      </c>
      <c r="D8888" t="inlineStr">
        <is>
          <t>JÄMTLANDS LÄN</t>
        </is>
      </c>
      <c r="E8888" t="inlineStr">
        <is>
          <t>STRÖMSUND</t>
        </is>
      </c>
      <c r="G8888" t="n">
        <v>6.6</v>
      </c>
      <c r="H8888" t="n">
        <v>0</v>
      </c>
      <c r="I8888" t="n">
        <v>0</v>
      </c>
      <c r="J8888" t="n">
        <v>0</v>
      </c>
      <c r="K8888" t="n">
        <v>0</v>
      </c>
      <c r="L8888" t="n">
        <v>0</v>
      </c>
      <c r="M8888" t="n">
        <v>0</v>
      </c>
      <c r="N8888" t="n">
        <v>0</v>
      </c>
      <c r="O8888" t="n">
        <v>0</v>
      </c>
      <c r="P8888" t="n">
        <v>0</v>
      </c>
      <c r="Q8888" t="n">
        <v>0</v>
      </c>
      <c r="R8888" s="2" t="inlineStr"/>
    </row>
    <row r="8889" ht="15" customHeight="1">
      <c r="A8889" t="inlineStr">
        <is>
          <t>A 14029-2024</t>
        </is>
      </c>
      <c r="B8889" s="1" t="n">
        <v>45392</v>
      </c>
      <c r="C8889" s="1" t="n">
        <v>46045</v>
      </c>
      <c r="D8889" t="inlineStr">
        <is>
          <t>JÄMTLANDS LÄN</t>
        </is>
      </c>
      <c r="E8889" t="inlineStr">
        <is>
          <t>KROKOM</t>
        </is>
      </c>
      <c r="F8889" t="inlineStr">
        <is>
          <t>Kyrkan</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60531-2025</t>
        </is>
      </c>
      <c r="B8890" s="1" t="n">
        <v>45995.65673611111</v>
      </c>
      <c r="C8890" s="1" t="n">
        <v>46045</v>
      </c>
      <c r="D8890" t="inlineStr">
        <is>
          <t>JÄMTLANDS LÄN</t>
        </is>
      </c>
      <c r="E8890" t="inlineStr">
        <is>
          <t>STRÖMSUND</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35875-2025</t>
        </is>
      </c>
      <c r="B8891" s="1" t="n">
        <v>45862.34668981482</v>
      </c>
      <c r="C8891" s="1" t="n">
        <v>46045</v>
      </c>
      <c r="D8891" t="inlineStr">
        <is>
          <t>JÄMTLANDS LÄN</t>
        </is>
      </c>
      <c r="E8891" t="inlineStr">
        <is>
          <t>KROKOM</t>
        </is>
      </c>
      <c r="F8891" t="inlineStr">
        <is>
          <t>Övriga Aktiebolag</t>
        </is>
      </c>
      <c r="G8891" t="n">
        <v>14.9</v>
      </c>
      <c r="H8891" t="n">
        <v>0</v>
      </c>
      <c r="I8891" t="n">
        <v>0</v>
      </c>
      <c r="J8891" t="n">
        <v>0</v>
      </c>
      <c r="K8891" t="n">
        <v>0</v>
      </c>
      <c r="L8891" t="n">
        <v>0</v>
      </c>
      <c r="M8891" t="n">
        <v>0</v>
      </c>
      <c r="N8891" t="n">
        <v>0</v>
      </c>
      <c r="O8891" t="n">
        <v>0</v>
      </c>
      <c r="P8891" t="n">
        <v>0</v>
      </c>
      <c r="Q8891" t="n">
        <v>0</v>
      </c>
      <c r="R8891" s="2" t="inlineStr"/>
    </row>
    <row r="8892" ht="15" customHeight="1">
      <c r="A8892" t="inlineStr">
        <is>
          <t>A 35879-2025</t>
        </is>
      </c>
      <c r="B8892" s="1" t="n">
        <v>45862.37929398148</v>
      </c>
      <c r="C8892" s="1" t="n">
        <v>46045</v>
      </c>
      <c r="D8892" t="inlineStr">
        <is>
          <t>JÄMTLANDS LÄN</t>
        </is>
      </c>
      <c r="E8892" t="inlineStr">
        <is>
          <t>BRÄCKE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56557-2021</t>
        </is>
      </c>
      <c r="B8893" s="1" t="n">
        <v>44480</v>
      </c>
      <c r="C8893" s="1" t="n">
        <v>46045</v>
      </c>
      <c r="D8893" t="inlineStr">
        <is>
          <t>JÄMTLANDS LÄN</t>
        </is>
      </c>
      <c r="E8893" t="inlineStr">
        <is>
          <t>KROKOM</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35810-2025</t>
        </is>
      </c>
      <c r="B8894" s="1" t="n">
        <v>45861</v>
      </c>
      <c r="C8894" s="1" t="n">
        <v>46045</v>
      </c>
      <c r="D8894" t="inlineStr">
        <is>
          <t>JÄMTLANDS LÄN</t>
        </is>
      </c>
      <c r="E8894" t="inlineStr">
        <is>
          <t>HÄRJEDALEN</t>
        </is>
      </c>
      <c r="F8894" t="inlineStr">
        <is>
          <t>Bergvik skog väst AB</t>
        </is>
      </c>
      <c r="G8894" t="n">
        <v>41.3</v>
      </c>
      <c r="H8894" t="n">
        <v>0</v>
      </c>
      <c r="I8894" t="n">
        <v>0</v>
      </c>
      <c r="J8894" t="n">
        <v>0</v>
      </c>
      <c r="K8894" t="n">
        <v>0</v>
      </c>
      <c r="L8894" t="n">
        <v>0</v>
      </c>
      <c r="M8894" t="n">
        <v>0</v>
      </c>
      <c r="N8894" t="n">
        <v>0</v>
      </c>
      <c r="O8894" t="n">
        <v>0</v>
      </c>
      <c r="P8894" t="n">
        <v>0</v>
      </c>
      <c r="Q8894" t="n">
        <v>0</v>
      </c>
      <c r="R8894" s="2" t="inlineStr"/>
    </row>
    <row r="8895" ht="15" customHeight="1">
      <c r="A8895" t="inlineStr">
        <is>
          <t>A 60425-2025</t>
        </is>
      </c>
      <c r="B8895" s="1" t="n">
        <v>45995.46976851852</v>
      </c>
      <c r="C8895" s="1" t="n">
        <v>46045</v>
      </c>
      <c r="D8895" t="inlineStr">
        <is>
          <t>JÄMTLANDS LÄN</t>
        </is>
      </c>
      <c r="E8895" t="inlineStr">
        <is>
          <t>KROKOM</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60585-2025</t>
        </is>
      </c>
      <c r="B8896" s="1" t="n">
        <v>45996.33314814815</v>
      </c>
      <c r="C8896" s="1" t="n">
        <v>46045</v>
      </c>
      <c r="D8896" t="inlineStr">
        <is>
          <t>JÄMTLANDS LÄN</t>
        </is>
      </c>
      <c r="E8896" t="inlineStr">
        <is>
          <t>ÅRE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17037-2025</t>
        </is>
      </c>
      <c r="B8897" s="1" t="n">
        <v>45755</v>
      </c>
      <c r="C8897" s="1" t="n">
        <v>46045</v>
      </c>
      <c r="D8897" t="inlineStr">
        <is>
          <t>JÄMTLANDS LÄN</t>
        </is>
      </c>
      <c r="E8897" t="inlineStr">
        <is>
          <t>HÄRJEDALEN</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2982-2026</t>
        </is>
      </c>
      <c r="B8898" s="1" t="n">
        <v>46038.62986111111</v>
      </c>
      <c r="C8898" s="1" t="n">
        <v>46045</v>
      </c>
      <c r="D8898" t="inlineStr">
        <is>
          <t>JÄMTLANDS LÄN</t>
        </is>
      </c>
      <c r="E8898" t="inlineStr">
        <is>
          <t>BRÄCKE</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60630-2025</t>
        </is>
      </c>
      <c r="B8899" s="1" t="n">
        <v>45996.42120370371</v>
      </c>
      <c r="C8899" s="1" t="n">
        <v>46045</v>
      </c>
      <c r="D8899" t="inlineStr">
        <is>
          <t>JÄMTLANDS LÄN</t>
        </is>
      </c>
      <c r="E8899" t="inlineStr">
        <is>
          <t>RAGUNDA</t>
        </is>
      </c>
      <c r="G8899" t="n">
        <v>13.2</v>
      </c>
      <c r="H8899" t="n">
        <v>0</v>
      </c>
      <c r="I8899" t="n">
        <v>0</v>
      </c>
      <c r="J8899" t="n">
        <v>0</v>
      </c>
      <c r="K8899" t="n">
        <v>0</v>
      </c>
      <c r="L8899" t="n">
        <v>0</v>
      </c>
      <c r="M8899" t="n">
        <v>0</v>
      </c>
      <c r="N8899" t="n">
        <v>0</v>
      </c>
      <c r="O8899" t="n">
        <v>0</v>
      </c>
      <c r="P8899" t="n">
        <v>0</v>
      </c>
      <c r="Q8899" t="n">
        <v>0</v>
      </c>
      <c r="R8899" s="2" t="inlineStr"/>
    </row>
    <row r="8900" ht="15" customHeight="1">
      <c r="A8900" t="inlineStr">
        <is>
          <t>A 2454-2026</t>
        </is>
      </c>
      <c r="B8900" s="1" t="n">
        <v>46037.34460648148</v>
      </c>
      <c r="C8900" s="1" t="n">
        <v>46045</v>
      </c>
      <c r="D8900" t="inlineStr">
        <is>
          <t>JÄMTLANDS LÄN</t>
        </is>
      </c>
      <c r="E8900" t="inlineStr">
        <is>
          <t>STRÖMSUND</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12449-2025</t>
        </is>
      </c>
      <c r="B8901" s="1" t="n">
        <v>45730</v>
      </c>
      <c r="C8901" s="1" t="n">
        <v>46045</v>
      </c>
      <c r="D8901" t="inlineStr">
        <is>
          <t>JÄMTLANDS LÄN</t>
        </is>
      </c>
      <c r="E8901" t="inlineStr">
        <is>
          <t>HÄRJEDALEN</t>
        </is>
      </c>
      <c r="G8901" t="n">
        <v>10.7</v>
      </c>
      <c r="H8901" t="n">
        <v>0</v>
      </c>
      <c r="I8901" t="n">
        <v>0</v>
      </c>
      <c r="J8901" t="n">
        <v>0</v>
      </c>
      <c r="K8901" t="n">
        <v>0</v>
      </c>
      <c r="L8901" t="n">
        <v>0</v>
      </c>
      <c r="M8901" t="n">
        <v>0</v>
      </c>
      <c r="N8901" t="n">
        <v>0</v>
      </c>
      <c r="O8901" t="n">
        <v>0</v>
      </c>
      <c r="P8901" t="n">
        <v>0</v>
      </c>
      <c r="Q8901" t="n">
        <v>0</v>
      </c>
      <c r="R8901" s="2" t="inlineStr"/>
    </row>
    <row r="8902" ht="15" customHeight="1">
      <c r="A8902" t="inlineStr">
        <is>
          <t>A 35906-2025</t>
        </is>
      </c>
      <c r="B8902" s="1" t="n">
        <v>45862.51081018519</v>
      </c>
      <c r="C8902" s="1" t="n">
        <v>46045</v>
      </c>
      <c r="D8902" t="inlineStr">
        <is>
          <t>JÄMTLANDS LÄN</t>
        </is>
      </c>
      <c r="E8902" t="inlineStr">
        <is>
          <t>BRÄCKE</t>
        </is>
      </c>
      <c r="F8902" t="inlineStr">
        <is>
          <t>SCA</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23539-2024</t>
        </is>
      </c>
      <c r="B8903" s="1" t="n">
        <v>45453.95237268518</v>
      </c>
      <c r="C8903" s="1" t="n">
        <v>46045</v>
      </c>
      <c r="D8903" t="inlineStr">
        <is>
          <t>JÄMTLANDS LÄN</t>
        </is>
      </c>
      <c r="E8903" t="inlineStr">
        <is>
          <t>KROKOM</t>
        </is>
      </c>
      <c r="F8903" t="inlineStr">
        <is>
          <t>SCA</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35683-2025</t>
        </is>
      </c>
      <c r="B8904" s="1" t="n">
        <v>45859</v>
      </c>
      <c r="C8904" s="1" t="n">
        <v>46045</v>
      </c>
      <c r="D8904" t="inlineStr">
        <is>
          <t>JÄMTLANDS LÄN</t>
        </is>
      </c>
      <c r="E8904" t="inlineStr">
        <is>
          <t>BERG</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35908-2025</t>
        </is>
      </c>
      <c r="B8905" s="1" t="n">
        <v>45862.51113425926</v>
      </c>
      <c r="C8905" s="1" t="n">
        <v>46045</v>
      </c>
      <c r="D8905" t="inlineStr">
        <is>
          <t>JÄMTLANDS LÄN</t>
        </is>
      </c>
      <c r="E8905" t="inlineStr">
        <is>
          <t>BRÄCKE</t>
        </is>
      </c>
      <c r="F8905" t="inlineStr">
        <is>
          <t>SCA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60581-2025</t>
        </is>
      </c>
      <c r="B8906" s="1" t="n">
        <v>45996.33150462963</v>
      </c>
      <c r="C8906" s="1" t="n">
        <v>46045</v>
      </c>
      <c r="D8906" t="inlineStr">
        <is>
          <t>JÄMTLANDS LÄN</t>
        </is>
      </c>
      <c r="E8906" t="inlineStr">
        <is>
          <t>HÄRJEDALEN</t>
        </is>
      </c>
      <c r="G8906" t="n">
        <v>6.1</v>
      </c>
      <c r="H8906" t="n">
        <v>0</v>
      </c>
      <c r="I8906" t="n">
        <v>0</v>
      </c>
      <c r="J8906" t="n">
        <v>0</v>
      </c>
      <c r="K8906" t="n">
        <v>0</v>
      </c>
      <c r="L8906" t="n">
        <v>0</v>
      </c>
      <c r="M8906" t="n">
        <v>0</v>
      </c>
      <c r="N8906" t="n">
        <v>0</v>
      </c>
      <c r="O8906" t="n">
        <v>0</v>
      </c>
      <c r="P8906" t="n">
        <v>0</v>
      </c>
      <c r="Q8906" t="n">
        <v>0</v>
      </c>
      <c r="R8906" s="2" t="inlineStr"/>
    </row>
    <row r="8907" ht="15" customHeight="1">
      <c r="A8907" t="inlineStr">
        <is>
          <t>A 60588-2025</t>
        </is>
      </c>
      <c r="B8907" s="1" t="n">
        <v>45996.33506944445</v>
      </c>
      <c r="C8907" s="1" t="n">
        <v>46045</v>
      </c>
      <c r="D8907" t="inlineStr">
        <is>
          <t>JÄMTLANDS LÄN</t>
        </is>
      </c>
      <c r="E8907" t="inlineStr">
        <is>
          <t>HÄRJEDALEN</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60611-2025</t>
        </is>
      </c>
      <c r="B8908" s="1" t="n">
        <v>45996.36534722222</v>
      </c>
      <c r="C8908" s="1" t="n">
        <v>46045</v>
      </c>
      <c r="D8908" t="inlineStr">
        <is>
          <t>JÄMTLANDS LÄN</t>
        </is>
      </c>
      <c r="E8908" t="inlineStr">
        <is>
          <t>KROKOM</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60615-2025</t>
        </is>
      </c>
      <c r="B8909" s="1" t="n">
        <v>45996.36813657408</v>
      </c>
      <c r="C8909" s="1" t="n">
        <v>46045</v>
      </c>
      <c r="D8909" t="inlineStr">
        <is>
          <t>JÄMTLANDS LÄN</t>
        </is>
      </c>
      <c r="E8909" t="inlineStr">
        <is>
          <t>HÄRJEDALEN</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60634-2025</t>
        </is>
      </c>
      <c r="B8910" s="1" t="n">
        <v>45996.42805555555</v>
      </c>
      <c r="C8910" s="1" t="n">
        <v>46045</v>
      </c>
      <c r="D8910" t="inlineStr">
        <is>
          <t>JÄMTLANDS LÄN</t>
        </is>
      </c>
      <c r="E8910" t="inlineStr">
        <is>
          <t>BERG</t>
        </is>
      </c>
      <c r="F8910" t="inlineStr">
        <is>
          <t>SCA</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2759-2026</t>
        </is>
      </c>
      <c r="B8911" s="1" t="n">
        <v>46038.34431712963</v>
      </c>
      <c r="C8911" s="1" t="n">
        <v>46045</v>
      </c>
      <c r="D8911" t="inlineStr">
        <is>
          <t>JÄMTLANDS LÄN</t>
        </is>
      </c>
      <c r="E8911" t="inlineStr">
        <is>
          <t>STRÖMSUND</t>
        </is>
      </c>
      <c r="F8911" t="inlineStr">
        <is>
          <t>SCA</t>
        </is>
      </c>
      <c r="G8911" t="n">
        <v>8.300000000000001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2501-2026</t>
        </is>
      </c>
      <c r="B8912" s="1" t="n">
        <v>46037.40693287037</v>
      </c>
      <c r="C8912" s="1" t="n">
        <v>46045</v>
      </c>
      <c r="D8912" t="inlineStr">
        <is>
          <t>JÄMTLANDS LÄN</t>
        </is>
      </c>
      <c r="E8912" t="inlineStr">
        <is>
          <t>STRÖMSUND</t>
        </is>
      </c>
      <c r="F8912" t="inlineStr">
        <is>
          <t>SCA</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2520-2026</t>
        </is>
      </c>
      <c r="B8913" s="1" t="n">
        <v>46037.42578703703</v>
      </c>
      <c r="C8913" s="1" t="n">
        <v>46045</v>
      </c>
      <c r="D8913" t="inlineStr">
        <is>
          <t>JÄMTLANDS LÄN</t>
        </is>
      </c>
      <c r="E8913" t="inlineStr">
        <is>
          <t>ÅRE</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34923-2025</t>
        </is>
      </c>
      <c r="B8914" s="1" t="n">
        <v>45849.55601851852</v>
      </c>
      <c r="C8914" s="1" t="n">
        <v>46045</v>
      </c>
      <c r="D8914" t="inlineStr">
        <is>
          <t>JÄMTLANDS LÄN</t>
        </is>
      </c>
      <c r="E8914" t="inlineStr">
        <is>
          <t>ÖSTERSUND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36098-2025</t>
        </is>
      </c>
      <c r="B8915" s="1" t="n">
        <v>45866.50549768518</v>
      </c>
      <c r="C8915" s="1" t="n">
        <v>46045</v>
      </c>
      <c r="D8915" t="inlineStr">
        <is>
          <t>JÄMTLANDS LÄN</t>
        </is>
      </c>
      <c r="E8915" t="inlineStr">
        <is>
          <t>ÖSTERSUND</t>
        </is>
      </c>
      <c r="F8915" t="inlineStr">
        <is>
          <t>Övriga Aktiebolag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60462-2025</t>
        </is>
      </c>
      <c r="B8916" s="1" t="n">
        <v>45995.55258101852</v>
      </c>
      <c r="C8916" s="1" t="n">
        <v>46045</v>
      </c>
      <c r="D8916" t="inlineStr">
        <is>
          <t>JÄMTLANDS LÄN</t>
        </is>
      </c>
      <c r="E8916" t="inlineStr">
        <is>
          <t>KROKOM</t>
        </is>
      </c>
      <c r="G8916" t="n">
        <v>11.7</v>
      </c>
      <c r="H8916" t="n">
        <v>0</v>
      </c>
      <c r="I8916" t="n">
        <v>0</v>
      </c>
      <c r="J8916" t="n">
        <v>0</v>
      </c>
      <c r="K8916" t="n">
        <v>0</v>
      </c>
      <c r="L8916" t="n">
        <v>0</v>
      </c>
      <c r="M8916" t="n">
        <v>0</v>
      </c>
      <c r="N8916" t="n">
        <v>0</v>
      </c>
      <c r="O8916" t="n">
        <v>0</v>
      </c>
      <c r="P8916" t="n">
        <v>0</v>
      </c>
      <c r="Q8916" t="n">
        <v>0</v>
      </c>
      <c r="R8916" s="2" t="inlineStr"/>
    </row>
    <row r="8917" ht="15" customHeight="1">
      <c r="A8917" t="inlineStr">
        <is>
          <t>A 60473-2025</t>
        </is>
      </c>
      <c r="B8917" s="1" t="n">
        <v>45995.57738425926</v>
      </c>
      <c r="C8917" s="1" t="n">
        <v>46045</v>
      </c>
      <c r="D8917" t="inlineStr">
        <is>
          <t>JÄMTLANDS LÄN</t>
        </is>
      </c>
      <c r="E8917" t="inlineStr">
        <is>
          <t>ÅRE</t>
        </is>
      </c>
      <c r="G8917" t="n">
        <v>7.7</v>
      </c>
      <c r="H8917" t="n">
        <v>0</v>
      </c>
      <c r="I8917" t="n">
        <v>0</v>
      </c>
      <c r="J8917" t="n">
        <v>0</v>
      </c>
      <c r="K8917" t="n">
        <v>0</v>
      </c>
      <c r="L8917" t="n">
        <v>0</v>
      </c>
      <c r="M8917" t="n">
        <v>0</v>
      </c>
      <c r="N8917" t="n">
        <v>0</v>
      </c>
      <c r="O8917" t="n">
        <v>0</v>
      </c>
      <c r="P8917" t="n">
        <v>0</v>
      </c>
      <c r="Q8917" t="n">
        <v>0</v>
      </c>
      <c r="R8917" s="2" t="inlineStr"/>
    </row>
    <row r="8918" ht="15" customHeight="1">
      <c r="A8918" t="inlineStr">
        <is>
          <t>A 60494-2025</t>
        </is>
      </c>
      <c r="B8918" s="1" t="n">
        <v>45995.61195601852</v>
      </c>
      <c r="C8918" s="1" t="n">
        <v>46045</v>
      </c>
      <c r="D8918" t="inlineStr">
        <is>
          <t>JÄMTLANDS LÄN</t>
        </is>
      </c>
      <c r="E8918" t="inlineStr">
        <is>
          <t>HÄRJEDALEN</t>
        </is>
      </c>
      <c r="F8918" t="inlineStr">
        <is>
          <t>Bergvik skog väst AB</t>
        </is>
      </c>
      <c r="G8918" t="n">
        <v>46.5</v>
      </c>
      <c r="H8918" t="n">
        <v>0</v>
      </c>
      <c r="I8918" t="n">
        <v>0</v>
      </c>
      <c r="J8918" t="n">
        <v>0</v>
      </c>
      <c r="K8918" t="n">
        <v>0</v>
      </c>
      <c r="L8918" t="n">
        <v>0</v>
      </c>
      <c r="M8918" t="n">
        <v>0</v>
      </c>
      <c r="N8918" t="n">
        <v>0</v>
      </c>
      <c r="O8918" t="n">
        <v>0</v>
      </c>
      <c r="P8918" t="n">
        <v>0</v>
      </c>
      <c r="Q8918" t="n">
        <v>0</v>
      </c>
      <c r="R8918" s="2" t="inlineStr"/>
    </row>
    <row r="8919" ht="15" customHeight="1">
      <c r="A8919" t="inlineStr">
        <is>
          <t>A 21617-2025</t>
        </is>
      </c>
      <c r="B8919" s="1" t="n">
        <v>45783</v>
      </c>
      <c r="C8919" s="1" t="n">
        <v>46045</v>
      </c>
      <c r="D8919" t="inlineStr">
        <is>
          <t>JÄMTLANDS LÄN</t>
        </is>
      </c>
      <c r="E8919" t="inlineStr">
        <is>
          <t>KROKOM</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53958-2025</t>
        </is>
      </c>
      <c r="B8920" s="1" t="n">
        <v>45961</v>
      </c>
      <c r="C8920" s="1" t="n">
        <v>46045</v>
      </c>
      <c r="D8920" t="inlineStr">
        <is>
          <t>JÄMTLANDS LÄN</t>
        </is>
      </c>
      <c r="E8920" t="inlineStr">
        <is>
          <t>HÄRJEDALEN</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60610-2025</t>
        </is>
      </c>
      <c r="B8921" s="1" t="n">
        <v>45996.36520833334</v>
      </c>
      <c r="C8921" s="1" t="n">
        <v>46045</v>
      </c>
      <c r="D8921" t="inlineStr">
        <is>
          <t>JÄMTLANDS LÄN</t>
        </is>
      </c>
      <c r="E8921" t="inlineStr">
        <is>
          <t>KROKOM</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60412-2025</t>
        </is>
      </c>
      <c r="B8922" s="1" t="n">
        <v>45995.44881944444</v>
      </c>
      <c r="C8922" s="1" t="n">
        <v>46045</v>
      </c>
      <c r="D8922" t="inlineStr">
        <is>
          <t>JÄMTLANDS LÄN</t>
        </is>
      </c>
      <c r="E8922" t="inlineStr">
        <is>
          <t>HÄRJEDALEN</t>
        </is>
      </c>
      <c r="G8922" t="n">
        <v>10</v>
      </c>
      <c r="H8922" t="n">
        <v>0</v>
      </c>
      <c r="I8922" t="n">
        <v>0</v>
      </c>
      <c r="J8922" t="n">
        <v>0</v>
      </c>
      <c r="K8922" t="n">
        <v>0</v>
      </c>
      <c r="L8922" t="n">
        <v>0</v>
      </c>
      <c r="M8922" t="n">
        <v>0</v>
      </c>
      <c r="N8922" t="n">
        <v>0</v>
      </c>
      <c r="O8922" t="n">
        <v>0</v>
      </c>
      <c r="P8922" t="n">
        <v>0</v>
      </c>
      <c r="Q8922" t="n">
        <v>0</v>
      </c>
      <c r="R8922" s="2" t="inlineStr"/>
    </row>
    <row r="8923" ht="15" customHeight="1">
      <c r="A8923" t="inlineStr">
        <is>
          <t>A 2500-2026</t>
        </is>
      </c>
      <c r="B8923" s="1" t="n">
        <v>46037.40677083333</v>
      </c>
      <c r="C8923" s="1" t="n">
        <v>46045</v>
      </c>
      <c r="D8923" t="inlineStr">
        <is>
          <t>JÄMTLANDS LÄN</t>
        </is>
      </c>
      <c r="E8923" t="inlineStr">
        <is>
          <t>STRÖMSUND</t>
        </is>
      </c>
      <c r="F8923" t="inlineStr">
        <is>
          <t>SCA</t>
        </is>
      </c>
      <c r="G8923" t="n">
        <v>18.5</v>
      </c>
      <c r="H8923" t="n">
        <v>0</v>
      </c>
      <c r="I8923" t="n">
        <v>0</v>
      </c>
      <c r="J8923" t="n">
        <v>0</v>
      </c>
      <c r="K8923" t="n">
        <v>0</v>
      </c>
      <c r="L8923" t="n">
        <v>0</v>
      </c>
      <c r="M8923" t="n">
        <v>0</v>
      </c>
      <c r="N8923" t="n">
        <v>0</v>
      </c>
      <c r="O8923" t="n">
        <v>0</v>
      </c>
      <c r="P8923" t="n">
        <v>0</v>
      </c>
      <c r="Q8923" t="n">
        <v>0</v>
      </c>
      <c r="R8923" s="2" t="inlineStr"/>
    </row>
    <row r="8924" ht="15" customHeight="1">
      <c r="A8924" t="inlineStr">
        <is>
          <t>A 41037-2025</t>
        </is>
      </c>
      <c r="B8924" s="1" t="n">
        <v>45898</v>
      </c>
      <c r="C8924" s="1" t="n">
        <v>46045</v>
      </c>
      <c r="D8924" t="inlineStr">
        <is>
          <t>JÄMTLANDS LÄN</t>
        </is>
      </c>
      <c r="E8924" t="inlineStr">
        <is>
          <t>HÄRJEDALEN</t>
        </is>
      </c>
      <c r="G8924" t="n">
        <v>8.199999999999999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12017-2025</t>
        </is>
      </c>
      <c r="B8925" s="1" t="n">
        <v>45728</v>
      </c>
      <c r="C8925" s="1" t="n">
        <v>46045</v>
      </c>
      <c r="D8925" t="inlineStr">
        <is>
          <t>JÄMTLANDS LÄN</t>
        </is>
      </c>
      <c r="E8925" t="inlineStr">
        <is>
          <t>HÄRJEDALEN</t>
        </is>
      </c>
      <c r="G8925" t="n">
        <v>35.4</v>
      </c>
      <c r="H8925" t="n">
        <v>0</v>
      </c>
      <c r="I8925" t="n">
        <v>0</v>
      </c>
      <c r="J8925" t="n">
        <v>0</v>
      </c>
      <c r="K8925" t="n">
        <v>0</v>
      </c>
      <c r="L8925" t="n">
        <v>0</v>
      </c>
      <c r="M8925" t="n">
        <v>0</v>
      </c>
      <c r="N8925" t="n">
        <v>0</v>
      </c>
      <c r="O8925" t="n">
        <v>0</v>
      </c>
      <c r="P8925" t="n">
        <v>0</v>
      </c>
      <c r="Q8925" t="n">
        <v>0</v>
      </c>
      <c r="R8925" s="2" t="inlineStr"/>
    </row>
    <row r="8926" ht="15" customHeight="1">
      <c r="A8926" t="inlineStr">
        <is>
          <t>A 36110-2025</t>
        </is>
      </c>
      <c r="B8926" s="1" t="n">
        <v>45866.57337962963</v>
      </c>
      <c r="C8926" s="1" t="n">
        <v>46045</v>
      </c>
      <c r="D8926" t="inlineStr">
        <is>
          <t>JÄMTLANDS LÄN</t>
        </is>
      </c>
      <c r="E8926" t="inlineStr">
        <is>
          <t>STRÖMSUND</t>
        </is>
      </c>
      <c r="F8926" t="inlineStr">
        <is>
          <t>SCA</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47060-2024</t>
        </is>
      </c>
      <c r="B8927" s="1" t="n">
        <v>45586.46927083333</v>
      </c>
      <c r="C8927" s="1" t="n">
        <v>46045</v>
      </c>
      <c r="D8927" t="inlineStr">
        <is>
          <t>JÄMTLANDS LÄN</t>
        </is>
      </c>
      <c r="E8927" t="inlineStr">
        <is>
          <t>KROKOM</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2974-2026</t>
        </is>
      </c>
      <c r="B8928" s="1" t="n">
        <v>46038.62193287037</v>
      </c>
      <c r="C8928" s="1" t="n">
        <v>46045</v>
      </c>
      <c r="D8928" t="inlineStr">
        <is>
          <t>JÄMTLANDS LÄN</t>
        </is>
      </c>
      <c r="E8928" t="inlineStr">
        <is>
          <t>ÖSTERSUND</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53724-2024</t>
        </is>
      </c>
      <c r="B8929" s="1" t="n">
        <v>45615.45042824074</v>
      </c>
      <c r="C8929" s="1" t="n">
        <v>46045</v>
      </c>
      <c r="D8929" t="inlineStr">
        <is>
          <t>JÄMTLANDS LÄN</t>
        </is>
      </c>
      <c r="E8929" t="inlineStr">
        <is>
          <t>BRÄCKE</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63741-2025</t>
        </is>
      </c>
      <c r="B8930" s="1" t="n">
        <v>46015</v>
      </c>
      <c r="C8930" s="1" t="n">
        <v>46045</v>
      </c>
      <c r="D8930" t="inlineStr">
        <is>
          <t>JÄMTLANDS LÄN</t>
        </is>
      </c>
      <c r="E8930" t="inlineStr">
        <is>
          <t>HÄRJEDALEN</t>
        </is>
      </c>
      <c r="G8930" t="n">
        <v>21.3</v>
      </c>
      <c r="H8930" t="n">
        <v>0</v>
      </c>
      <c r="I8930" t="n">
        <v>0</v>
      </c>
      <c r="J8930" t="n">
        <v>0</v>
      </c>
      <c r="K8930" t="n">
        <v>0</v>
      </c>
      <c r="L8930" t="n">
        <v>0</v>
      </c>
      <c r="M8930" t="n">
        <v>0</v>
      </c>
      <c r="N8930" t="n">
        <v>0</v>
      </c>
      <c r="O8930" t="n">
        <v>0</v>
      </c>
      <c r="P8930" t="n">
        <v>0</v>
      </c>
      <c r="Q8930" t="n">
        <v>0</v>
      </c>
      <c r="R8930" s="2" t="inlineStr"/>
    </row>
    <row r="8931" ht="15" customHeight="1">
      <c r="A8931" t="inlineStr">
        <is>
          <t>A 35985-2025</t>
        </is>
      </c>
      <c r="B8931" s="1" t="n">
        <v>45863.45778935185</v>
      </c>
      <c r="C8931" s="1" t="n">
        <v>46045</v>
      </c>
      <c r="D8931" t="inlineStr">
        <is>
          <t>JÄMTLANDS LÄN</t>
        </is>
      </c>
      <c r="E8931" t="inlineStr">
        <is>
          <t>KROKOM</t>
        </is>
      </c>
      <c r="G8931" t="n">
        <v>0.2</v>
      </c>
      <c r="H8931" t="n">
        <v>0</v>
      </c>
      <c r="I8931" t="n">
        <v>0</v>
      </c>
      <c r="J8931" t="n">
        <v>0</v>
      </c>
      <c r="K8931" t="n">
        <v>0</v>
      </c>
      <c r="L8931" t="n">
        <v>0</v>
      </c>
      <c r="M8931" t="n">
        <v>0</v>
      </c>
      <c r="N8931" t="n">
        <v>0</v>
      </c>
      <c r="O8931" t="n">
        <v>0</v>
      </c>
      <c r="P8931" t="n">
        <v>0</v>
      </c>
      <c r="Q8931" t="n">
        <v>0</v>
      </c>
      <c r="R8931" s="2" t="inlineStr"/>
    </row>
    <row r="8932" ht="15" customHeight="1">
      <c r="A8932" t="inlineStr">
        <is>
          <t>A 36015-2025</t>
        </is>
      </c>
      <c r="B8932" s="1" t="n">
        <v>45863.61373842593</v>
      </c>
      <c r="C8932" s="1" t="n">
        <v>46045</v>
      </c>
      <c r="D8932" t="inlineStr">
        <is>
          <t>JÄMTLANDS LÄN</t>
        </is>
      </c>
      <c r="E8932" t="inlineStr">
        <is>
          <t>ÅRE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36025-2025</t>
        </is>
      </c>
      <c r="B8933" s="1" t="n">
        <v>45864.40675925926</v>
      </c>
      <c r="C8933" s="1" t="n">
        <v>46045</v>
      </c>
      <c r="D8933" t="inlineStr">
        <is>
          <t>JÄMTLANDS LÄN</t>
        </is>
      </c>
      <c r="E8933" t="inlineStr">
        <is>
          <t>STRÖMSUND</t>
        </is>
      </c>
      <c r="F8933" t="inlineStr">
        <is>
          <t>SCA</t>
        </is>
      </c>
      <c r="G8933" t="n">
        <v>7.2</v>
      </c>
      <c r="H8933" t="n">
        <v>0</v>
      </c>
      <c r="I8933" t="n">
        <v>0</v>
      </c>
      <c r="J8933" t="n">
        <v>0</v>
      </c>
      <c r="K8933" t="n">
        <v>0</v>
      </c>
      <c r="L8933" t="n">
        <v>0</v>
      </c>
      <c r="M8933" t="n">
        <v>0</v>
      </c>
      <c r="N8933" t="n">
        <v>0</v>
      </c>
      <c r="O8933" t="n">
        <v>0</v>
      </c>
      <c r="P8933" t="n">
        <v>0</v>
      </c>
      <c r="Q8933" t="n">
        <v>0</v>
      </c>
      <c r="R8933" s="2" t="inlineStr"/>
    </row>
    <row r="8934" ht="15" customHeight="1">
      <c r="A8934" t="inlineStr">
        <is>
          <t>A 36066-2025</t>
        </is>
      </c>
      <c r="B8934" s="1" t="n">
        <v>45866.40701388889</v>
      </c>
      <c r="C8934" s="1" t="n">
        <v>46045</v>
      </c>
      <c r="D8934" t="inlineStr">
        <is>
          <t>JÄMTLANDS LÄN</t>
        </is>
      </c>
      <c r="E8934" t="inlineStr">
        <is>
          <t>HÄRJEDALEN</t>
        </is>
      </c>
      <c r="G8934" t="n">
        <v>21.8</v>
      </c>
      <c r="H8934" t="n">
        <v>0</v>
      </c>
      <c r="I8934" t="n">
        <v>0</v>
      </c>
      <c r="J8934" t="n">
        <v>0</v>
      </c>
      <c r="K8934" t="n">
        <v>0</v>
      </c>
      <c r="L8934" t="n">
        <v>0</v>
      </c>
      <c r="M8934" t="n">
        <v>0</v>
      </c>
      <c r="N8934" t="n">
        <v>0</v>
      </c>
      <c r="O8934" t="n">
        <v>0</v>
      </c>
      <c r="P8934" t="n">
        <v>0</v>
      </c>
      <c r="Q8934" t="n">
        <v>0</v>
      </c>
      <c r="R8934" s="2" t="inlineStr"/>
    </row>
    <row r="8935" ht="15" customHeight="1">
      <c r="A8935" t="inlineStr">
        <is>
          <t>A 61190-2025</t>
        </is>
      </c>
      <c r="B8935" s="1" t="n">
        <v>46000.59221064814</v>
      </c>
      <c r="C8935" s="1" t="n">
        <v>46045</v>
      </c>
      <c r="D8935" t="inlineStr">
        <is>
          <t>JÄMTLANDS LÄN</t>
        </is>
      </c>
      <c r="E8935" t="inlineStr">
        <is>
          <t>BRÄCKE</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36133-2025</t>
        </is>
      </c>
      <c r="B8936" s="1" t="n">
        <v>45866.62908564815</v>
      </c>
      <c r="C8936" s="1" t="n">
        <v>46045</v>
      </c>
      <c r="D8936" t="inlineStr">
        <is>
          <t>JÄMTLANDS LÄN</t>
        </is>
      </c>
      <c r="E8936" t="inlineStr">
        <is>
          <t>HÄRJEDALEN</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13700-2023</t>
        </is>
      </c>
      <c r="B8937" s="1" t="n">
        <v>45006</v>
      </c>
      <c r="C8937" s="1" t="n">
        <v>46045</v>
      </c>
      <c r="D8937" t="inlineStr">
        <is>
          <t>JÄMTLANDS LÄN</t>
        </is>
      </c>
      <c r="E8937" t="inlineStr">
        <is>
          <t>RAGUNDA</t>
        </is>
      </c>
      <c r="F8937" t="inlineStr">
        <is>
          <t>SCA</t>
        </is>
      </c>
      <c r="G8937" t="n">
        <v>50.3</v>
      </c>
      <c r="H8937" t="n">
        <v>0</v>
      </c>
      <c r="I8937" t="n">
        <v>0</v>
      </c>
      <c r="J8937" t="n">
        <v>0</v>
      </c>
      <c r="K8937" t="n">
        <v>0</v>
      </c>
      <c r="L8937" t="n">
        <v>0</v>
      </c>
      <c r="M8937" t="n">
        <v>0</v>
      </c>
      <c r="N8937" t="n">
        <v>0</v>
      </c>
      <c r="O8937" t="n">
        <v>0</v>
      </c>
      <c r="P8937" t="n">
        <v>0</v>
      </c>
      <c r="Q8937" t="n">
        <v>0</v>
      </c>
      <c r="R8937" s="2" t="inlineStr"/>
    </row>
    <row r="8938" ht="15" customHeight="1">
      <c r="A8938" t="inlineStr">
        <is>
          <t>A 14070-2025</t>
        </is>
      </c>
      <c r="B8938" s="1" t="n">
        <v>45740</v>
      </c>
      <c r="C8938" s="1" t="n">
        <v>46045</v>
      </c>
      <c r="D8938" t="inlineStr">
        <is>
          <t>JÄMTLANDS LÄN</t>
        </is>
      </c>
      <c r="E8938" t="inlineStr">
        <is>
          <t>STRÖMSUND</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36142-2025</t>
        </is>
      </c>
      <c r="B8939" s="1" t="n">
        <v>45866</v>
      </c>
      <c r="C8939" s="1" t="n">
        <v>46045</v>
      </c>
      <c r="D8939" t="inlineStr">
        <is>
          <t>JÄMTLANDS LÄN</t>
        </is>
      </c>
      <c r="E8939" t="inlineStr">
        <is>
          <t>BERG</t>
        </is>
      </c>
      <c r="F8939" t="inlineStr">
        <is>
          <t>SCA</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61294-2025</t>
        </is>
      </c>
      <c r="B8940" s="1" t="n">
        <v>46000</v>
      </c>
      <c r="C8940" s="1" t="n">
        <v>46045</v>
      </c>
      <c r="D8940" t="inlineStr">
        <is>
          <t>JÄMTLANDS LÄN</t>
        </is>
      </c>
      <c r="E8940" t="inlineStr">
        <is>
          <t>KROKOM</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47168-2025</t>
        </is>
      </c>
      <c r="B8941" s="1" t="n">
        <v>45929</v>
      </c>
      <c r="C8941" s="1" t="n">
        <v>46045</v>
      </c>
      <c r="D8941" t="inlineStr">
        <is>
          <t>JÄMTLANDS LÄN</t>
        </is>
      </c>
      <c r="E8941" t="inlineStr">
        <is>
          <t>BERG</t>
        </is>
      </c>
      <c r="F8941" t="inlineStr">
        <is>
          <t>Kyrkan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36034-2025</t>
        </is>
      </c>
      <c r="B8942" s="1" t="n">
        <v>45865.64755787037</v>
      </c>
      <c r="C8942" s="1" t="n">
        <v>46045</v>
      </c>
      <c r="D8942" t="inlineStr">
        <is>
          <t>JÄMTLANDS LÄN</t>
        </is>
      </c>
      <c r="E8942" t="inlineStr">
        <is>
          <t>BRÄCKE</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36044-2025</t>
        </is>
      </c>
      <c r="B8943" s="1" t="n">
        <v>45863</v>
      </c>
      <c r="C8943" s="1" t="n">
        <v>46045</v>
      </c>
      <c r="D8943" t="inlineStr">
        <is>
          <t>JÄMTLANDS LÄN</t>
        </is>
      </c>
      <c r="E8943" t="inlineStr">
        <is>
          <t>KROKOM</t>
        </is>
      </c>
      <c r="G8943" t="n">
        <v>7.4</v>
      </c>
      <c r="H8943" t="n">
        <v>0</v>
      </c>
      <c r="I8943" t="n">
        <v>0</v>
      </c>
      <c r="J8943" t="n">
        <v>0</v>
      </c>
      <c r="K8943" t="n">
        <v>0</v>
      </c>
      <c r="L8943" t="n">
        <v>0</v>
      </c>
      <c r="M8943" t="n">
        <v>0</v>
      </c>
      <c r="N8943" t="n">
        <v>0</v>
      </c>
      <c r="O8943" t="n">
        <v>0</v>
      </c>
      <c r="P8943" t="n">
        <v>0</v>
      </c>
      <c r="Q8943" t="n">
        <v>0</v>
      </c>
      <c r="R8943" s="2" t="inlineStr"/>
    </row>
    <row r="8944" ht="15" customHeight="1">
      <c r="A8944" t="inlineStr">
        <is>
          <t>A 54092-2024</t>
        </is>
      </c>
      <c r="B8944" s="1" t="n">
        <v>45616.5108912037</v>
      </c>
      <c r="C8944" s="1" t="n">
        <v>46045</v>
      </c>
      <c r="D8944" t="inlineStr">
        <is>
          <t>JÄMTLANDS LÄN</t>
        </is>
      </c>
      <c r="E8944" t="inlineStr">
        <is>
          <t>RAGUNDA</t>
        </is>
      </c>
      <c r="F8944" t="inlineStr">
        <is>
          <t>Naturvårdsverket</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61024-2025</t>
        </is>
      </c>
      <c r="B8945" s="1" t="n">
        <v>45999.87188657407</v>
      </c>
      <c r="C8945" s="1" t="n">
        <v>46045</v>
      </c>
      <c r="D8945" t="inlineStr">
        <is>
          <t>JÄMTLANDS LÄN</t>
        </is>
      </c>
      <c r="E8945" t="inlineStr">
        <is>
          <t>ÅRE</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61256-2025</t>
        </is>
      </c>
      <c r="B8946" s="1" t="n">
        <v>46000</v>
      </c>
      <c r="C8946" s="1" t="n">
        <v>46045</v>
      </c>
      <c r="D8946" t="inlineStr">
        <is>
          <t>JÄMTLANDS LÄN</t>
        </is>
      </c>
      <c r="E8946" t="inlineStr">
        <is>
          <t>KROKOM</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10000-2023</t>
        </is>
      </c>
      <c r="B8947" s="1" t="n">
        <v>44985</v>
      </c>
      <c r="C8947" s="1" t="n">
        <v>46045</v>
      </c>
      <c r="D8947" t="inlineStr">
        <is>
          <t>JÄMTLANDS LÄN</t>
        </is>
      </c>
      <c r="E8947" t="inlineStr">
        <is>
          <t>HÄRJEDALEN</t>
        </is>
      </c>
      <c r="F8947" t="inlineStr">
        <is>
          <t>Holmen skog AB</t>
        </is>
      </c>
      <c r="G8947" t="n">
        <v>12.6</v>
      </c>
      <c r="H8947" t="n">
        <v>0</v>
      </c>
      <c r="I8947" t="n">
        <v>0</v>
      </c>
      <c r="J8947" t="n">
        <v>0</v>
      </c>
      <c r="K8947" t="n">
        <v>0</v>
      </c>
      <c r="L8947" t="n">
        <v>0</v>
      </c>
      <c r="M8947" t="n">
        <v>0</v>
      </c>
      <c r="N8947" t="n">
        <v>0</v>
      </c>
      <c r="O8947" t="n">
        <v>0</v>
      </c>
      <c r="P8947" t="n">
        <v>0</v>
      </c>
      <c r="Q8947" t="n">
        <v>0</v>
      </c>
      <c r="R8947" s="2" t="inlineStr"/>
    </row>
    <row r="8948" ht="15" customHeight="1">
      <c r="A8948" t="inlineStr">
        <is>
          <t>A 36013-2025</t>
        </is>
      </c>
      <c r="B8948" s="1" t="n">
        <v>45863.60643518518</v>
      </c>
      <c r="C8948" s="1" t="n">
        <v>46045</v>
      </c>
      <c r="D8948" t="inlineStr">
        <is>
          <t>JÄMTLANDS LÄN</t>
        </is>
      </c>
      <c r="E8948" t="inlineStr">
        <is>
          <t>ÅRE</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26586-2025</t>
        </is>
      </c>
      <c r="B8949" s="1" t="n">
        <v>45807.74140046296</v>
      </c>
      <c r="C8949" s="1" t="n">
        <v>46045</v>
      </c>
      <c r="D8949" t="inlineStr">
        <is>
          <t>JÄMTLANDS LÄN</t>
        </is>
      </c>
      <c r="E8949" t="inlineStr">
        <is>
          <t>ÖSTERSUND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36169-2025</t>
        </is>
      </c>
      <c r="B8950" s="1" t="n">
        <v>45867.38596064815</v>
      </c>
      <c r="C8950" s="1" t="n">
        <v>46045</v>
      </c>
      <c r="D8950" t="inlineStr">
        <is>
          <t>JÄMTLANDS LÄN</t>
        </is>
      </c>
      <c r="E8950" t="inlineStr">
        <is>
          <t>BRÄCKE</t>
        </is>
      </c>
      <c r="F8950" t="inlineStr">
        <is>
          <t>SCA</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36182-2025</t>
        </is>
      </c>
      <c r="B8951" s="1" t="n">
        <v>45867.41707175926</v>
      </c>
      <c r="C8951" s="1" t="n">
        <v>46045</v>
      </c>
      <c r="D8951" t="inlineStr">
        <is>
          <t>JÄMTLANDS LÄN</t>
        </is>
      </c>
      <c r="E8951" t="inlineStr">
        <is>
          <t>KROKOM</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61233-2025</t>
        </is>
      </c>
      <c r="B8952" s="1" t="n">
        <v>46000.6359837963</v>
      </c>
      <c r="C8952" s="1" t="n">
        <v>46045</v>
      </c>
      <c r="D8952" t="inlineStr">
        <is>
          <t>JÄMTLANDS LÄN</t>
        </is>
      </c>
      <c r="E8952" t="inlineStr">
        <is>
          <t>RAGUNDA</t>
        </is>
      </c>
      <c r="F8952" t="inlineStr">
        <is>
          <t>SCA</t>
        </is>
      </c>
      <c r="G8952" t="n">
        <v>8.300000000000001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61240-2025</t>
        </is>
      </c>
      <c r="B8953" s="1" t="n">
        <v>46000.65603009259</v>
      </c>
      <c r="C8953" s="1" t="n">
        <v>46045</v>
      </c>
      <c r="D8953" t="inlineStr">
        <is>
          <t>JÄMTLANDS LÄN</t>
        </is>
      </c>
      <c r="E8953" t="inlineStr">
        <is>
          <t>HÄRJEDALEN</t>
        </is>
      </c>
      <c r="F8953" t="inlineStr">
        <is>
          <t>Holmen skog AB</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36209-2025</t>
        </is>
      </c>
      <c r="B8954" s="1" t="n">
        <v>45867.46560185185</v>
      </c>
      <c r="C8954" s="1" t="n">
        <v>46045</v>
      </c>
      <c r="D8954" t="inlineStr">
        <is>
          <t>JÄMTLANDS LÄN</t>
        </is>
      </c>
      <c r="E8954" t="inlineStr">
        <is>
          <t>KROKOM</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43137-2025</t>
        </is>
      </c>
      <c r="B8955" s="1" t="n">
        <v>45909.85438657407</v>
      </c>
      <c r="C8955" s="1" t="n">
        <v>46045</v>
      </c>
      <c r="D8955" t="inlineStr">
        <is>
          <t>JÄMTLANDS LÄN</t>
        </is>
      </c>
      <c r="E8955" t="inlineStr">
        <is>
          <t>BERG</t>
        </is>
      </c>
      <c r="F8955" t="inlineStr">
        <is>
          <t>Övriga statliga verk och myndigheter</t>
        </is>
      </c>
      <c r="G8955" t="n">
        <v>11.6</v>
      </c>
      <c r="H8955" t="n">
        <v>0</v>
      </c>
      <c r="I8955" t="n">
        <v>0</v>
      </c>
      <c r="J8955" t="n">
        <v>0</v>
      </c>
      <c r="K8955" t="n">
        <v>0</v>
      </c>
      <c r="L8955" t="n">
        <v>0</v>
      </c>
      <c r="M8955" t="n">
        <v>0</v>
      </c>
      <c r="N8955" t="n">
        <v>0</v>
      </c>
      <c r="O8955" t="n">
        <v>0</v>
      </c>
      <c r="P8955" t="n">
        <v>0</v>
      </c>
      <c r="Q8955" t="n">
        <v>0</v>
      </c>
      <c r="R8955" s="2" t="inlineStr"/>
    </row>
    <row r="8956" ht="15" customHeight="1">
      <c r="A8956" t="inlineStr">
        <is>
          <t>A 14431-2025</t>
        </is>
      </c>
      <c r="B8956" s="1" t="n">
        <v>45741</v>
      </c>
      <c r="C8956" s="1" t="n">
        <v>46045</v>
      </c>
      <c r="D8956" t="inlineStr">
        <is>
          <t>JÄMTLANDS LÄN</t>
        </is>
      </c>
      <c r="E8956" t="inlineStr">
        <is>
          <t>BERG</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61266-2025</t>
        </is>
      </c>
      <c r="B8957" s="1" t="n">
        <v>46000.67784722222</v>
      </c>
      <c r="C8957" s="1" t="n">
        <v>46045</v>
      </c>
      <c r="D8957" t="inlineStr">
        <is>
          <t>JÄMTLANDS LÄN</t>
        </is>
      </c>
      <c r="E8957" t="inlineStr">
        <is>
          <t>RAGUNDA</t>
        </is>
      </c>
      <c r="G8957" t="n">
        <v>7.9</v>
      </c>
      <c r="H8957" t="n">
        <v>0</v>
      </c>
      <c r="I8957" t="n">
        <v>0</v>
      </c>
      <c r="J8957" t="n">
        <v>0</v>
      </c>
      <c r="K8957" t="n">
        <v>0</v>
      </c>
      <c r="L8957" t="n">
        <v>0</v>
      </c>
      <c r="M8957" t="n">
        <v>0</v>
      </c>
      <c r="N8957" t="n">
        <v>0</v>
      </c>
      <c r="O8957" t="n">
        <v>0</v>
      </c>
      <c r="P8957" t="n">
        <v>0</v>
      </c>
      <c r="Q8957" t="n">
        <v>0</v>
      </c>
      <c r="R8957" s="2" t="inlineStr"/>
    </row>
    <row r="8958" ht="15" customHeight="1">
      <c r="A8958" t="inlineStr">
        <is>
          <t>A 41261-2025</t>
        </is>
      </c>
      <c r="B8958" s="1" t="n">
        <v>45898</v>
      </c>
      <c r="C8958" s="1" t="n">
        <v>46045</v>
      </c>
      <c r="D8958" t="inlineStr">
        <is>
          <t>JÄMTLANDS LÄN</t>
        </is>
      </c>
      <c r="E8958" t="inlineStr">
        <is>
          <t>STRÖMSUND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33653-2023</t>
        </is>
      </c>
      <c r="B8959" s="1" t="n">
        <v>45119</v>
      </c>
      <c r="C8959" s="1" t="n">
        <v>46045</v>
      </c>
      <c r="D8959" t="inlineStr">
        <is>
          <t>JÄMTLANDS LÄN</t>
        </is>
      </c>
      <c r="E8959" t="inlineStr">
        <is>
          <t>KROKOM</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36311-2025</t>
        </is>
      </c>
      <c r="B8960" s="1" t="n">
        <v>45868.34434027778</v>
      </c>
      <c r="C8960" s="1" t="n">
        <v>46045</v>
      </c>
      <c r="D8960" t="inlineStr">
        <is>
          <t>JÄMTLANDS LÄN</t>
        </is>
      </c>
      <c r="E8960" t="inlineStr">
        <is>
          <t>BRÄCKE</t>
        </is>
      </c>
      <c r="F8960" t="inlineStr">
        <is>
          <t>SCA</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3154-2023</t>
        </is>
      </c>
      <c r="B8961" s="1" t="n">
        <v>44946.56012731481</v>
      </c>
      <c r="C8961" s="1" t="n">
        <v>46045</v>
      </c>
      <c r="D8961" t="inlineStr">
        <is>
          <t>JÄMTLANDS LÄN</t>
        </is>
      </c>
      <c r="E8961" t="inlineStr">
        <is>
          <t>ÅRE</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3204-2023</t>
        </is>
      </c>
      <c r="B8962" s="1" t="n">
        <v>44946</v>
      </c>
      <c r="C8962" s="1" t="n">
        <v>46045</v>
      </c>
      <c r="D8962" t="inlineStr">
        <is>
          <t>JÄMTLANDS LÄN</t>
        </is>
      </c>
      <c r="E8962" t="inlineStr">
        <is>
          <t>ÅRE</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60904-2025</t>
        </is>
      </c>
      <c r="B8963" s="1" t="n">
        <v>45999.59417824074</v>
      </c>
      <c r="C8963" s="1" t="n">
        <v>46045</v>
      </c>
      <c r="D8963" t="inlineStr">
        <is>
          <t>JÄMTLANDS LÄN</t>
        </is>
      </c>
      <c r="E8963" t="inlineStr">
        <is>
          <t>HÄRJEDALEN</t>
        </is>
      </c>
      <c r="G8963" t="n">
        <v>11.3</v>
      </c>
      <c r="H8963" t="n">
        <v>0</v>
      </c>
      <c r="I8963" t="n">
        <v>0</v>
      </c>
      <c r="J8963" t="n">
        <v>0</v>
      </c>
      <c r="K8963" t="n">
        <v>0</v>
      </c>
      <c r="L8963" t="n">
        <v>0</v>
      </c>
      <c r="M8963" t="n">
        <v>0</v>
      </c>
      <c r="N8963" t="n">
        <v>0</v>
      </c>
      <c r="O8963" t="n">
        <v>0</v>
      </c>
      <c r="P8963" t="n">
        <v>0</v>
      </c>
      <c r="Q8963" t="n">
        <v>0</v>
      </c>
      <c r="R8963" s="2" t="inlineStr"/>
    </row>
    <row r="8964" ht="15" customHeight="1">
      <c r="A8964" t="inlineStr">
        <is>
          <t>A 61198-2025</t>
        </is>
      </c>
      <c r="B8964" s="1" t="n">
        <v>46000.60819444444</v>
      </c>
      <c r="C8964" s="1" t="n">
        <v>46045</v>
      </c>
      <c r="D8964" t="inlineStr">
        <is>
          <t>JÄMTLANDS LÄN</t>
        </is>
      </c>
      <c r="E8964" t="inlineStr">
        <is>
          <t>KROKOM</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36377-2025</t>
        </is>
      </c>
      <c r="B8965" s="1" t="n">
        <v>45868.57342592593</v>
      </c>
      <c r="C8965" s="1" t="n">
        <v>46045</v>
      </c>
      <c r="D8965" t="inlineStr">
        <is>
          <t>JÄMTLANDS LÄN</t>
        </is>
      </c>
      <c r="E8965" t="inlineStr">
        <is>
          <t>BERG</t>
        </is>
      </c>
      <c r="F8965" t="inlineStr">
        <is>
          <t>SCA</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21735-2024</t>
        </is>
      </c>
      <c r="B8966" s="1" t="n">
        <v>45442.54158564815</v>
      </c>
      <c r="C8966" s="1" t="n">
        <v>46045</v>
      </c>
      <c r="D8966" t="inlineStr">
        <is>
          <t>JÄMTLANDS LÄN</t>
        </is>
      </c>
      <c r="E8966" t="inlineStr">
        <is>
          <t>STRÖMSUND</t>
        </is>
      </c>
      <c r="G8966" t="n">
        <v>15.1</v>
      </c>
      <c r="H8966" t="n">
        <v>0</v>
      </c>
      <c r="I8966" t="n">
        <v>0</v>
      </c>
      <c r="J8966" t="n">
        <v>0</v>
      </c>
      <c r="K8966" t="n">
        <v>0</v>
      </c>
      <c r="L8966" t="n">
        <v>0</v>
      </c>
      <c r="M8966" t="n">
        <v>0</v>
      </c>
      <c r="N8966" t="n">
        <v>0</v>
      </c>
      <c r="O8966" t="n">
        <v>0</v>
      </c>
      <c r="P8966" t="n">
        <v>0</v>
      </c>
      <c r="Q8966" t="n">
        <v>0</v>
      </c>
      <c r="R8966" s="2" t="inlineStr"/>
    </row>
    <row r="8967" ht="15" customHeight="1">
      <c r="A8967" t="inlineStr">
        <is>
          <t>A 36247-2025</t>
        </is>
      </c>
      <c r="B8967" s="1" t="n">
        <v>45867.56798611111</v>
      </c>
      <c r="C8967" s="1" t="n">
        <v>46045</v>
      </c>
      <c r="D8967" t="inlineStr">
        <is>
          <t>JÄMTLANDS LÄN</t>
        </is>
      </c>
      <c r="E8967" t="inlineStr">
        <is>
          <t>STRÖMSUND</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3408-2026</t>
        </is>
      </c>
      <c r="B8968" s="1" t="n">
        <v>46042.40603009259</v>
      </c>
      <c r="C8968" s="1" t="n">
        <v>46045</v>
      </c>
      <c r="D8968" t="inlineStr">
        <is>
          <t>JÄMTLANDS LÄN</t>
        </is>
      </c>
      <c r="E8968" t="inlineStr">
        <is>
          <t>KROKOM</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14170-2024</t>
        </is>
      </c>
      <c r="B8969" s="1" t="n">
        <v>45392</v>
      </c>
      <c r="C8969" s="1" t="n">
        <v>46045</v>
      </c>
      <c r="D8969" t="inlineStr">
        <is>
          <t>JÄMTLANDS LÄN</t>
        </is>
      </c>
      <c r="E8969" t="inlineStr">
        <is>
          <t>KROKOM</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14171-2024</t>
        </is>
      </c>
      <c r="B8970" s="1" t="n">
        <v>45392</v>
      </c>
      <c r="C8970" s="1" t="n">
        <v>46045</v>
      </c>
      <c r="D8970" t="inlineStr">
        <is>
          <t>JÄMTLANDS LÄN</t>
        </is>
      </c>
      <c r="E8970" t="inlineStr">
        <is>
          <t>KROKOM</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36238-2025</t>
        </is>
      </c>
      <c r="B8971" s="1" t="n">
        <v>45867.55275462963</v>
      </c>
      <c r="C8971" s="1" t="n">
        <v>46045</v>
      </c>
      <c r="D8971" t="inlineStr">
        <is>
          <t>JÄMTLANDS LÄN</t>
        </is>
      </c>
      <c r="E8971" t="inlineStr">
        <is>
          <t>STRÖMSUND</t>
        </is>
      </c>
      <c r="F8971" t="inlineStr">
        <is>
          <t>SCA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36239-2025</t>
        </is>
      </c>
      <c r="B8972" s="1" t="n">
        <v>45867.55287037037</v>
      </c>
      <c r="C8972" s="1" t="n">
        <v>46045</v>
      </c>
      <c r="D8972" t="inlineStr">
        <is>
          <t>JÄMTLANDS LÄN</t>
        </is>
      </c>
      <c r="E8972" t="inlineStr">
        <is>
          <t>STRÖMSUND</t>
        </is>
      </c>
      <c r="F8972" t="inlineStr">
        <is>
          <t>SCA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36223-2025</t>
        </is>
      </c>
      <c r="B8973" s="1" t="n">
        <v>45867.51101851852</v>
      </c>
      <c r="C8973" s="1" t="n">
        <v>46045</v>
      </c>
      <c r="D8973" t="inlineStr">
        <is>
          <t>JÄMTLANDS LÄN</t>
        </is>
      </c>
      <c r="E8973" t="inlineStr">
        <is>
          <t>BRÄCKE</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23635-2025</t>
        </is>
      </c>
      <c r="B8974" s="1" t="n">
        <v>45792</v>
      </c>
      <c r="C8974" s="1" t="n">
        <v>46045</v>
      </c>
      <c r="D8974" t="inlineStr">
        <is>
          <t>JÄMTLANDS LÄN</t>
        </is>
      </c>
      <c r="E8974" t="inlineStr">
        <is>
          <t>STRÖMSUND</t>
        </is>
      </c>
      <c r="F8974" t="inlineStr">
        <is>
          <t>Holmen skog AB</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60048-2025</t>
        </is>
      </c>
      <c r="B8975" s="1" t="n">
        <v>45993</v>
      </c>
      <c r="C8975" s="1" t="n">
        <v>46045</v>
      </c>
      <c r="D8975" t="inlineStr">
        <is>
          <t>JÄMTLANDS LÄN</t>
        </is>
      </c>
      <c r="E8975" t="inlineStr">
        <is>
          <t>ÖSTERSUND</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60832-2025</t>
        </is>
      </c>
      <c r="B8976" s="1" t="n">
        <v>45999.46952546296</v>
      </c>
      <c r="C8976" s="1" t="n">
        <v>46045</v>
      </c>
      <c r="D8976" t="inlineStr">
        <is>
          <t>JÄMTLANDS LÄN</t>
        </is>
      </c>
      <c r="E8976" t="inlineStr">
        <is>
          <t>STRÖMSUND</t>
        </is>
      </c>
      <c r="F8976" t="inlineStr">
        <is>
          <t>SCA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61226-2025</t>
        </is>
      </c>
      <c r="B8977" s="1" t="n">
        <v>46000.63048611111</v>
      </c>
      <c r="C8977" s="1" t="n">
        <v>46045</v>
      </c>
      <c r="D8977" t="inlineStr">
        <is>
          <t>JÄMTLANDS LÄN</t>
        </is>
      </c>
      <c r="E8977" t="inlineStr">
        <is>
          <t>BRÄCKE</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48784-2024</t>
        </is>
      </c>
      <c r="B8978" s="1" t="n">
        <v>45593.63570601852</v>
      </c>
      <c r="C8978" s="1" t="n">
        <v>46045</v>
      </c>
      <c r="D8978" t="inlineStr">
        <is>
          <t>JÄMTLANDS LÄN</t>
        </is>
      </c>
      <c r="E8978" t="inlineStr">
        <is>
          <t>BRÄCKE</t>
        </is>
      </c>
      <c r="F8978" t="inlineStr">
        <is>
          <t>SCA</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36222-2025</t>
        </is>
      </c>
      <c r="B8979" s="1" t="n">
        <v>45867.51087962963</v>
      </c>
      <c r="C8979" s="1" t="n">
        <v>46045</v>
      </c>
      <c r="D8979" t="inlineStr">
        <is>
          <t>JÄMTLANDS LÄN</t>
        </is>
      </c>
      <c r="E8979" t="inlineStr">
        <is>
          <t>BRÄCKE</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27294-2023</t>
        </is>
      </c>
      <c r="B8980" s="1" t="n">
        <v>45092</v>
      </c>
      <c r="C8980" s="1" t="n">
        <v>46045</v>
      </c>
      <c r="D8980" t="inlineStr">
        <is>
          <t>JÄMTLANDS LÄN</t>
        </is>
      </c>
      <c r="E8980" t="inlineStr">
        <is>
          <t>ÖSTERSUND</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36211-2025</t>
        </is>
      </c>
      <c r="B8981" s="1" t="n">
        <v>45867.46946759259</v>
      </c>
      <c r="C8981" s="1" t="n">
        <v>46045</v>
      </c>
      <c r="D8981" t="inlineStr">
        <is>
          <t>JÄMTLANDS LÄN</t>
        </is>
      </c>
      <c r="E8981" t="inlineStr">
        <is>
          <t>ÖSTERSUND</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61210-2025</t>
        </is>
      </c>
      <c r="B8982" s="1" t="n">
        <v>46000.61526620371</v>
      </c>
      <c r="C8982" s="1" t="n">
        <v>46045</v>
      </c>
      <c r="D8982" t="inlineStr">
        <is>
          <t>JÄMTLANDS LÄN</t>
        </is>
      </c>
      <c r="E8982" t="inlineStr">
        <is>
          <t>STRÖMSUND</t>
        </is>
      </c>
      <c r="F8982" t="inlineStr">
        <is>
          <t>SCA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3591-2026</t>
        </is>
      </c>
      <c r="B8983" s="1" t="n">
        <v>46042.77245370371</v>
      </c>
      <c r="C8983" s="1" t="n">
        <v>46045</v>
      </c>
      <c r="D8983" t="inlineStr">
        <is>
          <t>JÄMTLANDS LÄN</t>
        </is>
      </c>
      <c r="E8983" t="inlineStr">
        <is>
          <t>KROKOM</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51174-2025</t>
        </is>
      </c>
      <c r="B8984" s="1" t="n">
        <v>45947</v>
      </c>
      <c r="C8984" s="1" t="n">
        <v>46045</v>
      </c>
      <c r="D8984" t="inlineStr">
        <is>
          <t>JÄMTLANDS LÄN</t>
        </is>
      </c>
      <c r="E8984" t="inlineStr">
        <is>
          <t>STRÖMSUND</t>
        </is>
      </c>
      <c r="F8984" t="inlineStr">
        <is>
          <t>Kyrkan</t>
        </is>
      </c>
      <c r="G8984" t="n">
        <v>41.9</v>
      </c>
      <c r="H8984" t="n">
        <v>0</v>
      </c>
      <c r="I8984" t="n">
        <v>0</v>
      </c>
      <c r="J8984" t="n">
        <v>0</v>
      </c>
      <c r="K8984" t="n">
        <v>0</v>
      </c>
      <c r="L8984" t="n">
        <v>0</v>
      </c>
      <c r="M8984" t="n">
        <v>0</v>
      </c>
      <c r="N8984" t="n">
        <v>0</v>
      </c>
      <c r="O8984" t="n">
        <v>0</v>
      </c>
      <c r="P8984" t="n">
        <v>0</v>
      </c>
      <c r="Q8984" t="n">
        <v>0</v>
      </c>
      <c r="R8984" s="2" t="inlineStr"/>
      <c r="U8984">
        <f>HYPERLINK("https://klasma.github.io/Logging_2313/knärot/A 51174-2025 karta knärot.png", "A 51174-2025")</f>
        <v/>
      </c>
      <c r="V8984">
        <f>HYPERLINK("https://klasma.github.io/Logging_2313/klagomål/A 51174-2025 FSC-klagomål.docx", "A 51174-2025")</f>
        <v/>
      </c>
      <c r="W8984">
        <f>HYPERLINK("https://klasma.github.io/Logging_2313/klagomålsmail/A 51174-2025 FSC-klagomål mail.docx", "A 51174-2025")</f>
        <v/>
      </c>
      <c r="X8984">
        <f>HYPERLINK("https://klasma.github.io/Logging_2313/tillsyn/A 51174-2025 tillsynsbegäran.docx", "A 51174-2025")</f>
        <v/>
      </c>
      <c r="Y8984">
        <f>HYPERLINK("https://klasma.github.io/Logging_2313/tillsynsmail/A 51174-2025 tillsynsbegäran mail.docx", "A 51174-2025")</f>
        <v/>
      </c>
    </row>
    <row r="8985" ht="15" customHeight="1">
      <c r="A8985" t="inlineStr">
        <is>
          <t>A 24246-2024</t>
        </is>
      </c>
      <c r="B8985" s="1" t="n">
        <v>45457.37893518519</v>
      </c>
      <c r="C8985" s="1" t="n">
        <v>46045</v>
      </c>
      <c r="D8985" t="inlineStr">
        <is>
          <t>JÄMTLANDS LÄN</t>
        </is>
      </c>
      <c r="E8985" t="inlineStr">
        <is>
          <t>ÖSTERSUND</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60762-2025</t>
        </is>
      </c>
      <c r="B8986" s="1" t="n">
        <v>45999.3863425926</v>
      </c>
      <c r="C8986" s="1" t="n">
        <v>46045</v>
      </c>
      <c r="D8986" t="inlineStr">
        <is>
          <t>JÄMTLANDS LÄN</t>
        </is>
      </c>
      <c r="E8986" t="inlineStr">
        <is>
          <t>BRÄCKE</t>
        </is>
      </c>
      <c r="F8986" t="inlineStr">
        <is>
          <t>SCA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36378-2025</t>
        </is>
      </c>
      <c r="B8987" s="1" t="n">
        <v>45868.57364583333</v>
      </c>
      <c r="C8987" s="1" t="n">
        <v>46045</v>
      </c>
      <c r="D8987" t="inlineStr">
        <is>
          <t>JÄMTLANDS LÄN</t>
        </is>
      </c>
      <c r="E8987" t="inlineStr">
        <is>
          <t>STRÖMSUND</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36379-2025</t>
        </is>
      </c>
      <c r="B8988" s="1" t="n">
        <v>45868.57386574074</v>
      </c>
      <c r="C8988" s="1" t="n">
        <v>46045</v>
      </c>
      <c r="D8988" t="inlineStr">
        <is>
          <t>JÄMTLANDS LÄN</t>
        </is>
      </c>
      <c r="E8988" t="inlineStr">
        <is>
          <t>STRÖMSUND</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60777-2025</t>
        </is>
      </c>
      <c r="B8989" s="1" t="n">
        <v>45999.39118055555</v>
      </c>
      <c r="C8989" s="1" t="n">
        <v>46045</v>
      </c>
      <c r="D8989" t="inlineStr">
        <is>
          <t>JÄMTLANDS LÄN</t>
        </is>
      </c>
      <c r="E8989" t="inlineStr">
        <is>
          <t>HÄRJEDALEN</t>
        </is>
      </c>
      <c r="F8989" t="inlineStr">
        <is>
          <t>Bergvik skog väst AB</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36386-2025</t>
        </is>
      </c>
      <c r="B8990" s="1" t="n">
        <v>45868.59412037037</v>
      </c>
      <c r="C8990" s="1" t="n">
        <v>46045</v>
      </c>
      <c r="D8990" t="inlineStr">
        <is>
          <t>JÄMTLANDS LÄN</t>
        </is>
      </c>
      <c r="E8990" t="inlineStr">
        <is>
          <t>BRÄCKE</t>
        </is>
      </c>
      <c r="F8990" t="inlineStr">
        <is>
          <t>SCA</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36399-2025</t>
        </is>
      </c>
      <c r="B8991" s="1" t="n">
        <v>45868.639375</v>
      </c>
      <c r="C8991" s="1" t="n">
        <v>46045</v>
      </c>
      <c r="D8991" t="inlineStr">
        <is>
          <t>JÄMTLANDS LÄN</t>
        </is>
      </c>
      <c r="E8991" t="inlineStr">
        <is>
          <t>HÄRJEDALEN</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36380-2025</t>
        </is>
      </c>
      <c r="B8992" s="1" t="n">
        <v>45868.57390046296</v>
      </c>
      <c r="C8992" s="1" t="n">
        <v>46045</v>
      </c>
      <c r="D8992" t="inlineStr">
        <is>
          <t>JÄMTLANDS LÄN</t>
        </is>
      </c>
      <c r="E8992" t="inlineStr">
        <is>
          <t>STRÖMSUND</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60905-2025</t>
        </is>
      </c>
      <c r="B8993" s="1" t="n">
        <v>45999.5946412037</v>
      </c>
      <c r="C8993" s="1" t="n">
        <v>46045</v>
      </c>
      <c r="D8993" t="inlineStr">
        <is>
          <t>JÄMTLANDS LÄN</t>
        </is>
      </c>
      <c r="E8993" t="inlineStr">
        <is>
          <t>STRÖMSUND</t>
        </is>
      </c>
      <c r="F8993" t="inlineStr">
        <is>
          <t>SCA</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22030-2025</t>
        </is>
      </c>
      <c r="B8994" s="1" t="n">
        <v>45785.25814814815</v>
      </c>
      <c r="C8994" s="1" t="n">
        <v>46045</v>
      </c>
      <c r="D8994" t="inlineStr">
        <is>
          <t>JÄMTLANDS LÄN</t>
        </is>
      </c>
      <c r="E8994" t="inlineStr">
        <is>
          <t>BERG</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36241-2025</t>
        </is>
      </c>
      <c r="B8995" s="1" t="n">
        <v>45867.55305555555</v>
      </c>
      <c r="C8995" s="1" t="n">
        <v>46045</v>
      </c>
      <c r="D8995" t="inlineStr">
        <is>
          <t>JÄMTLANDS LÄN</t>
        </is>
      </c>
      <c r="E8995" t="inlineStr">
        <is>
          <t>HÄRJEDALEN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3189-2026</t>
        </is>
      </c>
      <c r="B8996" s="1" t="n">
        <v>46041.45987268518</v>
      </c>
      <c r="C8996" s="1" t="n">
        <v>46045</v>
      </c>
      <c r="D8996" t="inlineStr">
        <is>
          <t>JÄMTLANDS LÄN</t>
        </is>
      </c>
      <c r="E8996" t="inlineStr">
        <is>
          <t>BRÄCKE</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3190-2026</t>
        </is>
      </c>
      <c r="B8997" s="1" t="n">
        <v>46041.46190972222</v>
      </c>
      <c r="C8997" s="1" t="n">
        <v>46045</v>
      </c>
      <c r="D8997" t="inlineStr">
        <is>
          <t>JÄMTLANDS LÄN</t>
        </is>
      </c>
      <c r="E8997" t="inlineStr">
        <is>
          <t>BRÄCKE</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61009-2025</t>
        </is>
      </c>
      <c r="B8998" s="1" t="n">
        <v>45999</v>
      </c>
      <c r="C8998" s="1" t="n">
        <v>46045</v>
      </c>
      <c r="D8998" t="inlineStr">
        <is>
          <t>JÄMTLANDS LÄN</t>
        </is>
      </c>
      <c r="E8998" t="inlineStr">
        <is>
          <t>ÅRE</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61032-2025</t>
        </is>
      </c>
      <c r="B8999" s="1" t="n">
        <v>45999.89533564815</v>
      </c>
      <c r="C8999" s="1" t="n">
        <v>46045</v>
      </c>
      <c r="D8999" t="inlineStr">
        <is>
          <t>JÄMTLANDS LÄN</t>
        </is>
      </c>
      <c r="E8999" t="inlineStr">
        <is>
          <t>ÅRE</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60769-2025</t>
        </is>
      </c>
      <c r="B9000" s="1" t="n">
        <v>45999.38702546297</v>
      </c>
      <c r="C9000" s="1" t="n">
        <v>46045</v>
      </c>
      <c r="D9000" t="inlineStr">
        <is>
          <t>JÄMTLANDS LÄN</t>
        </is>
      </c>
      <c r="E9000" t="inlineStr">
        <is>
          <t>BRÄCKE</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60775-2025</t>
        </is>
      </c>
      <c r="B9001" s="1" t="n">
        <v>45999.3905787037</v>
      </c>
      <c r="C9001" s="1" t="n">
        <v>46045</v>
      </c>
      <c r="D9001" t="inlineStr">
        <is>
          <t>JÄMTLANDS LÄN</t>
        </is>
      </c>
      <c r="E9001" t="inlineStr">
        <is>
          <t>RAGUNDA</t>
        </is>
      </c>
      <c r="G9001" t="n">
        <v>15.7</v>
      </c>
      <c r="H9001" t="n">
        <v>0</v>
      </c>
      <c r="I9001" t="n">
        <v>0</v>
      </c>
      <c r="J9001" t="n">
        <v>0</v>
      </c>
      <c r="K9001" t="n">
        <v>0</v>
      </c>
      <c r="L9001" t="n">
        <v>0</v>
      </c>
      <c r="M9001" t="n">
        <v>0</v>
      </c>
      <c r="N9001" t="n">
        <v>0</v>
      </c>
      <c r="O9001" t="n">
        <v>0</v>
      </c>
      <c r="P9001" t="n">
        <v>0</v>
      </c>
      <c r="Q9001" t="n">
        <v>0</v>
      </c>
      <c r="R9001" s="2" t="inlineStr"/>
    </row>
    <row r="9002" ht="15" customHeight="1">
      <c r="A9002" t="inlineStr">
        <is>
          <t>A 36444-2025</t>
        </is>
      </c>
      <c r="B9002" s="1" t="n">
        <v>45869.40662037037</v>
      </c>
      <c r="C9002" s="1" t="n">
        <v>46045</v>
      </c>
      <c r="D9002" t="inlineStr">
        <is>
          <t>JÄMTLANDS LÄN</t>
        </is>
      </c>
      <c r="E9002" t="inlineStr">
        <is>
          <t>STRÖMSUND</t>
        </is>
      </c>
      <c r="F9002" t="inlineStr">
        <is>
          <t>SCA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42974-2024</t>
        </is>
      </c>
      <c r="B9003" s="1" t="n">
        <v>45567.37365740741</v>
      </c>
      <c r="C9003" s="1" t="n">
        <v>46045</v>
      </c>
      <c r="D9003" t="inlineStr">
        <is>
          <t>JÄMTLANDS LÄN</t>
        </is>
      </c>
      <c r="E9003" t="inlineStr">
        <is>
          <t>STRÖMSUND</t>
        </is>
      </c>
      <c r="F9003" t="inlineStr">
        <is>
          <t>SCA</t>
        </is>
      </c>
      <c r="G9003" t="n">
        <v>20.5</v>
      </c>
      <c r="H9003" t="n">
        <v>0</v>
      </c>
      <c r="I9003" t="n">
        <v>0</v>
      </c>
      <c r="J9003" t="n">
        <v>0</v>
      </c>
      <c r="K9003" t="n">
        <v>0</v>
      </c>
      <c r="L9003" t="n">
        <v>0</v>
      </c>
      <c r="M9003" t="n">
        <v>0</v>
      </c>
      <c r="N9003" t="n">
        <v>0</v>
      </c>
      <c r="O9003" t="n">
        <v>0</v>
      </c>
      <c r="P9003" t="n">
        <v>0</v>
      </c>
      <c r="Q9003" t="n">
        <v>0</v>
      </c>
      <c r="R9003" s="2" t="inlineStr"/>
    </row>
    <row r="9004" ht="15" customHeight="1">
      <c r="A9004" t="inlineStr">
        <is>
          <t>A 36428-2025</t>
        </is>
      </c>
      <c r="B9004" s="1" t="n">
        <v>45869.34424768519</v>
      </c>
      <c r="C9004" s="1" t="n">
        <v>46045</v>
      </c>
      <c r="D9004" t="inlineStr">
        <is>
          <t>JÄMTLANDS LÄN</t>
        </is>
      </c>
      <c r="E9004" t="inlineStr">
        <is>
          <t>STRÖMSUND</t>
        </is>
      </c>
      <c r="F9004" t="inlineStr">
        <is>
          <t>SCA</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36429-2025</t>
        </is>
      </c>
      <c r="B9005" s="1" t="n">
        <v>45869.34439814815</v>
      </c>
      <c r="C9005" s="1" t="n">
        <v>46045</v>
      </c>
      <c r="D9005" t="inlineStr">
        <is>
          <t>JÄMTLANDS LÄN</t>
        </is>
      </c>
      <c r="E9005" t="inlineStr">
        <is>
          <t>KROKOM</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27642-2024</t>
        </is>
      </c>
      <c r="B9006" s="1" t="n">
        <v>45474.94703703704</v>
      </c>
      <c r="C9006" s="1" t="n">
        <v>46045</v>
      </c>
      <c r="D9006" t="inlineStr">
        <is>
          <t>JÄMTLANDS LÄN</t>
        </is>
      </c>
      <c r="E9006" t="inlineStr">
        <is>
          <t>STRÖMSUND</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41694-2025</t>
        </is>
      </c>
      <c r="B9007" s="1" t="n">
        <v>45902</v>
      </c>
      <c r="C9007" s="1" t="n">
        <v>46045</v>
      </c>
      <c r="D9007" t="inlineStr">
        <is>
          <t>JÄMTLANDS LÄN</t>
        </is>
      </c>
      <c r="E9007" t="inlineStr">
        <is>
          <t>BRÄCKE</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42876-2025</t>
        </is>
      </c>
      <c r="B9008" s="1" t="n">
        <v>45908</v>
      </c>
      <c r="C9008" s="1" t="n">
        <v>46045</v>
      </c>
      <c r="D9008" t="inlineStr">
        <is>
          <t>JÄMTLANDS LÄN</t>
        </is>
      </c>
      <c r="E9008" t="inlineStr">
        <is>
          <t>ÅRE</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36541-2025</t>
        </is>
      </c>
      <c r="B9009" s="1" t="n">
        <v>45869.65666666667</v>
      </c>
      <c r="C9009" s="1" t="n">
        <v>46045</v>
      </c>
      <c r="D9009" t="inlineStr">
        <is>
          <t>JÄMTLANDS LÄN</t>
        </is>
      </c>
      <c r="E9009" t="inlineStr">
        <is>
          <t>RAGUNDA</t>
        </is>
      </c>
      <c r="F9009" t="inlineStr">
        <is>
          <t>SCA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36544-2025</t>
        </is>
      </c>
      <c r="B9010" s="1" t="n">
        <v>45869.67744212963</v>
      </c>
      <c r="C9010" s="1" t="n">
        <v>46045</v>
      </c>
      <c r="D9010" t="inlineStr">
        <is>
          <t>JÄMTLANDS LÄN</t>
        </is>
      </c>
      <c r="E9010" t="inlineStr">
        <is>
          <t>RAGUNDA</t>
        </is>
      </c>
      <c r="F9010" t="inlineStr">
        <is>
          <t>SCA</t>
        </is>
      </c>
      <c r="G9010" t="n">
        <v>6.1</v>
      </c>
      <c r="H9010" t="n">
        <v>0</v>
      </c>
      <c r="I9010" t="n">
        <v>0</v>
      </c>
      <c r="J9010" t="n">
        <v>0</v>
      </c>
      <c r="K9010" t="n">
        <v>0</v>
      </c>
      <c r="L9010" t="n">
        <v>0</v>
      </c>
      <c r="M9010" t="n">
        <v>0</v>
      </c>
      <c r="N9010" t="n">
        <v>0</v>
      </c>
      <c r="O9010" t="n">
        <v>0</v>
      </c>
      <c r="P9010" t="n">
        <v>0</v>
      </c>
      <c r="Q9010" t="n">
        <v>0</v>
      </c>
      <c r="R9010" s="2" t="inlineStr"/>
    </row>
    <row r="9011" ht="15" customHeight="1">
      <c r="A9011" t="inlineStr">
        <is>
          <t>A 48879-2025</t>
        </is>
      </c>
      <c r="B9011" s="1" t="n">
        <v>45937</v>
      </c>
      <c r="C9011" s="1" t="n">
        <v>46045</v>
      </c>
      <c r="D9011" t="inlineStr">
        <is>
          <t>JÄMTLANDS LÄN</t>
        </is>
      </c>
      <c r="E9011" t="inlineStr">
        <is>
          <t>STRÖMSUND</t>
        </is>
      </c>
      <c r="F9011" t="inlineStr">
        <is>
          <t>SCA</t>
        </is>
      </c>
      <c r="G9011" t="n">
        <v>47.7</v>
      </c>
      <c r="H9011" t="n">
        <v>0</v>
      </c>
      <c r="I9011" t="n">
        <v>0</v>
      </c>
      <c r="J9011" t="n">
        <v>0</v>
      </c>
      <c r="K9011" t="n">
        <v>0</v>
      </c>
      <c r="L9011" t="n">
        <v>0</v>
      </c>
      <c r="M9011" t="n">
        <v>0</v>
      </c>
      <c r="N9011" t="n">
        <v>0</v>
      </c>
      <c r="O9011" t="n">
        <v>0</v>
      </c>
      <c r="P9011" t="n">
        <v>0</v>
      </c>
      <c r="Q9011" t="n">
        <v>0</v>
      </c>
      <c r="R9011" s="2" t="inlineStr"/>
    </row>
    <row r="9012" ht="15" customHeight="1">
      <c r="A9012" t="inlineStr">
        <is>
          <t>A 32882-2023</t>
        </is>
      </c>
      <c r="B9012" s="1" t="n">
        <v>45112</v>
      </c>
      <c r="C9012" s="1" t="n">
        <v>46045</v>
      </c>
      <c r="D9012" t="inlineStr">
        <is>
          <t>JÄMTLANDS LÄN</t>
        </is>
      </c>
      <c r="E9012" t="inlineStr">
        <is>
          <t>STRÖMSUND</t>
        </is>
      </c>
      <c r="F9012" t="inlineStr">
        <is>
          <t>Kommuner</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37543-2023</t>
        </is>
      </c>
      <c r="B9013" s="1" t="n">
        <v>45158.94231481481</v>
      </c>
      <c r="C9013" s="1" t="n">
        <v>46045</v>
      </c>
      <c r="D9013" t="inlineStr">
        <is>
          <t>JÄMTLANDS LÄN</t>
        </is>
      </c>
      <c r="E9013" t="inlineStr">
        <is>
          <t>RAGUNDA</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61427-2025</t>
        </is>
      </c>
      <c r="B9014" s="1" t="n">
        <v>46000</v>
      </c>
      <c r="C9014" s="1" t="n">
        <v>46045</v>
      </c>
      <c r="D9014" t="inlineStr">
        <is>
          <t>JÄMTLANDS LÄN</t>
        </is>
      </c>
      <c r="E9014" t="inlineStr">
        <is>
          <t>ÖSTERSUND</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61222-2025</t>
        </is>
      </c>
      <c r="B9015" s="1" t="n">
        <v>46000.62851851852</v>
      </c>
      <c r="C9015" s="1" t="n">
        <v>46045</v>
      </c>
      <c r="D9015" t="inlineStr">
        <is>
          <t>JÄMTLANDS LÄN</t>
        </is>
      </c>
      <c r="E9015" t="inlineStr">
        <is>
          <t>ÖSTERSUND</t>
        </is>
      </c>
      <c r="G9015" t="n">
        <v>9.1</v>
      </c>
      <c r="H9015" t="n">
        <v>0</v>
      </c>
      <c r="I9015" t="n">
        <v>0</v>
      </c>
      <c r="J9015" t="n">
        <v>0</v>
      </c>
      <c r="K9015" t="n">
        <v>0</v>
      </c>
      <c r="L9015" t="n">
        <v>0</v>
      </c>
      <c r="M9015" t="n">
        <v>0</v>
      </c>
      <c r="N9015" t="n">
        <v>0</v>
      </c>
      <c r="O9015" t="n">
        <v>0</v>
      </c>
      <c r="P9015" t="n">
        <v>0</v>
      </c>
      <c r="Q9015" t="n">
        <v>0</v>
      </c>
      <c r="R9015" s="2" t="inlineStr"/>
    </row>
    <row r="9016" ht="15" customHeight="1">
      <c r="A9016" t="inlineStr">
        <is>
          <t>A 61235-2025</t>
        </is>
      </c>
      <c r="B9016" s="1" t="n">
        <v>46000.63969907408</v>
      </c>
      <c r="C9016" s="1" t="n">
        <v>46045</v>
      </c>
      <c r="D9016" t="inlineStr">
        <is>
          <t>JÄMTLANDS LÄN</t>
        </is>
      </c>
      <c r="E9016" t="inlineStr">
        <is>
          <t>ÖSTERSUND</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52677-2024</t>
        </is>
      </c>
      <c r="B9017" s="1" t="n">
        <v>45610.38560185185</v>
      </c>
      <c r="C9017" s="1" t="n">
        <v>46045</v>
      </c>
      <c r="D9017" t="inlineStr">
        <is>
          <t>JÄMTLANDS LÄN</t>
        </is>
      </c>
      <c r="E9017" t="inlineStr">
        <is>
          <t>ÅRE</t>
        </is>
      </c>
      <c r="F9017" t="inlineStr">
        <is>
          <t>Övriga Aktiebolag</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3301-2026</t>
        </is>
      </c>
      <c r="B9018" s="1" t="n">
        <v>46041.65736111111</v>
      </c>
      <c r="C9018" s="1" t="n">
        <v>46045</v>
      </c>
      <c r="D9018" t="inlineStr">
        <is>
          <t>JÄMTLANDS LÄN</t>
        </is>
      </c>
      <c r="E9018" t="inlineStr">
        <is>
          <t>HÄRJEDALEN</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1670-2024</t>
        </is>
      </c>
      <c r="B9019" s="1" t="n">
        <v>45306</v>
      </c>
      <c r="C9019" s="1" t="n">
        <v>46045</v>
      </c>
      <c r="D9019" t="inlineStr">
        <is>
          <t>JÄMTLANDS LÄN</t>
        </is>
      </c>
      <c r="E9019" t="inlineStr">
        <is>
          <t>ÖSTERSUND</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36534-2025</t>
        </is>
      </c>
      <c r="B9020" s="1" t="n">
        <v>45869.61495370371</v>
      </c>
      <c r="C9020" s="1" t="n">
        <v>46045</v>
      </c>
      <c r="D9020" t="inlineStr">
        <is>
          <t>JÄMTLANDS LÄN</t>
        </is>
      </c>
      <c r="E9020" t="inlineStr">
        <is>
          <t>BRÄCKE</t>
        </is>
      </c>
      <c r="F9020" t="inlineStr">
        <is>
          <t>SCA</t>
        </is>
      </c>
      <c r="G9020" t="n">
        <v>22.1</v>
      </c>
      <c r="H9020" t="n">
        <v>0</v>
      </c>
      <c r="I9020" t="n">
        <v>0</v>
      </c>
      <c r="J9020" t="n">
        <v>0</v>
      </c>
      <c r="K9020" t="n">
        <v>0</v>
      </c>
      <c r="L9020" t="n">
        <v>0</v>
      </c>
      <c r="M9020" t="n">
        <v>0</v>
      </c>
      <c r="N9020" t="n">
        <v>0</v>
      </c>
      <c r="O9020" t="n">
        <v>0</v>
      </c>
      <c r="P9020" t="n">
        <v>0</v>
      </c>
      <c r="Q9020" t="n">
        <v>0</v>
      </c>
      <c r="R9020" s="2" t="inlineStr"/>
    </row>
    <row r="9021" ht="15" customHeight="1">
      <c r="A9021" t="inlineStr">
        <is>
          <t>A 36553-2025</t>
        </is>
      </c>
      <c r="B9021" s="1" t="n">
        <v>45870.34439814815</v>
      </c>
      <c r="C9021" s="1" t="n">
        <v>46045</v>
      </c>
      <c r="D9021" t="inlineStr">
        <is>
          <t>JÄMTLANDS LÄN</t>
        </is>
      </c>
      <c r="E9021" t="inlineStr">
        <is>
          <t>RAGUNDA</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3065-2026</t>
        </is>
      </c>
      <c r="B9022" s="1" t="n">
        <v>46040.47866898148</v>
      </c>
      <c r="C9022" s="1" t="n">
        <v>46045</v>
      </c>
      <c r="D9022" t="inlineStr">
        <is>
          <t>JÄMTLANDS LÄN</t>
        </is>
      </c>
      <c r="E9022" t="inlineStr">
        <is>
          <t>RAGUNDA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60980-2025</t>
        </is>
      </c>
      <c r="B9023" s="1" t="n">
        <v>45999.70190972222</v>
      </c>
      <c r="C9023" s="1" t="n">
        <v>46045</v>
      </c>
      <c r="D9023" t="inlineStr">
        <is>
          <t>JÄMTLANDS LÄN</t>
        </is>
      </c>
      <c r="E9023" t="inlineStr">
        <is>
          <t>HÄRJEDALEN</t>
        </is>
      </c>
      <c r="G9023" t="n">
        <v>10.3</v>
      </c>
      <c r="H9023" t="n">
        <v>0</v>
      </c>
      <c r="I9023" t="n">
        <v>0</v>
      </c>
      <c r="J9023" t="n">
        <v>0</v>
      </c>
      <c r="K9023" t="n">
        <v>0</v>
      </c>
      <c r="L9023" t="n">
        <v>0</v>
      </c>
      <c r="M9023" t="n">
        <v>0</v>
      </c>
      <c r="N9023" t="n">
        <v>0</v>
      </c>
      <c r="O9023" t="n">
        <v>0</v>
      </c>
      <c r="P9023" t="n">
        <v>0</v>
      </c>
      <c r="Q9023" t="n">
        <v>0</v>
      </c>
      <c r="R9023" s="2" t="inlineStr"/>
    </row>
    <row r="9024" ht="15" customHeight="1">
      <c r="A9024" t="inlineStr">
        <is>
          <t>A 36430-2025</t>
        </is>
      </c>
      <c r="B9024" s="1" t="n">
        <v>45869.34453703704</v>
      </c>
      <c r="C9024" s="1" t="n">
        <v>46045</v>
      </c>
      <c r="D9024" t="inlineStr">
        <is>
          <t>JÄMTLANDS LÄN</t>
        </is>
      </c>
      <c r="E9024" t="inlineStr">
        <is>
          <t>STRÖMSUND</t>
        </is>
      </c>
      <c r="F9024" t="inlineStr">
        <is>
          <t>SCA</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60917-2025</t>
        </is>
      </c>
      <c r="B9025" s="1" t="n">
        <v>45999.61521990741</v>
      </c>
      <c r="C9025" s="1" t="n">
        <v>46045</v>
      </c>
      <c r="D9025" t="inlineStr">
        <is>
          <t>JÄMTLANDS LÄN</t>
        </is>
      </c>
      <c r="E9025" t="inlineStr">
        <is>
          <t>STRÖMSUND</t>
        </is>
      </c>
      <c r="F9025" t="inlineStr">
        <is>
          <t>SCA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36566-2025</t>
        </is>
      </c>
      <c r="B9026" s="1" t="n">
        <v>45869</v>
      </c>
      <c r="C9026" s="1" t="n">
        <v>46045</v>
      </c>
      <c r="D9026" t="inlineStr">
        <is>
          <t>JÄMTLANDS LÄN</t>
        </is>
      </c>
      <c r="E9026" t="inlineStr">
        <is>
          <t>ÖSTERSUND</t>
        </is>
      </c>
      <c r="F9026" t="inlineStr">
        <is>
          <t>Sveaskog</t>
        </is>
      </c>
      <c r="G9026" t="n">
        <v>6.9</v>
      </c>
      <c r="H9026" t="n">
        <v>0</v>
      </c>
      <c r="I9026" t="n">
        <v>0</v>
      </c>
      <c r="J9026" t="n">
        <v>0</v>
      </c>
      <c r="K9026" t="n">
        <v>0</v>
      </c>
      <c r="L9026" t="n">
        <v>0</v>
      </c>
      <c r="M9026" t="n">
        <v>0</v>
      </c>
      <c r="N9026" t="n">
        <v>0</v>
      </c>
      <c r="O9026" t="n">
        <v>0</v>
      </c>
      <c r="P9026" t="n">
        <v>0</v>
      </c>
      <c r="Q9026" t="n">
        <v>0</v>
      </c>
      <c r="R9026" s="2" t="inlineStr"/>
    </row>
    <row r="9027" ht="15" customHeight="1">
      <c r="A9027" t="inlineStr">
        <is>
          <t>A 60967-2025</t>
        </is>
      </c>
      <c r="B9027" s="1" t="n">
        <v>45999.67776620371</v>
      </c>
      <c r="C9027" s="1" t="n">
        <v>46045</v>
      </c>
      <c r="D9027" t="inlineStr">
        <is>
          <t>JÄMTLANDS LÄN</t>
        </is>
      </c>
      <c r="E9027" t="inlineStr">
        <is>
          <t>KROKOM</t>
        </is>
      </c>
      <c r="G9027" t="n">
        <v>13.8</v>
      </c>
      <c r="H9027" t="n">
        <v>0</v>
      </c>
      <c r="I9027" t="n">
        <v>0</v>
      </c>
      <c r="J9027" t="n">
        <v>0</v>
      </c>
      <c r="K9027" t="n">
        <v>0</v>
      </c>
      <c r="L9027" t="n">
        <v>0</v>
      </c>
      <c r="M9027" t="n">
        <v>0</v>
      </c>
      <c r="N9027" t="n">
        <v>0</v>
      </c>
      <c r="O9027" t="n">
        <v>0</v>
      </c>
      <c r="P9027" t="n">
        <v>0</v>
      </c>
      <c r="Q9027" t="n">
        <v>0</v>
      </c>
      <c r="R9027" s="2" t="inlineStr"/>
    </row>
    <row r="9028" ht="15" customHeight="1">
      <c r="A9028" t="inlineStr">
        <is>
          <t>A 53696-2024</t>
        </is>
      </c>
      <c r="B9028" s="1" t="n">
        <v>45615.3857175926</v>
      </c>
      <c r="C9028" s="1" t="n">
        <v>46045</v>
      </c>
      <c r="D9028" t="inlineStr">
        <is>
          <t>JÄMTLANDS LÄN</t>
        </is>
      </c>
      <c r="E9028" t="inlineStr">
        <is>
          <t>BRÄCKE</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61052-2025</t>
        </is>
      </c>
      <c r="B9029" s="1" t="n">
        <v>46000.32486111111</v>
      </c>
      <c r="C9029" s="1" t="n">
        <v>46045</v>
      </c>
      <c r="D9029" t="inlineStr">
        <is>
          <t>JÄMTLANDS LÄN</t>
        </is>
      </c>
      <c r="E9029" t="inlineStr">
        <is>
          <t>KROKOM</t>
        </is>
      </c>
      <c r="F9029" t="inlineStr">
        <is>
          <t>Övriga Aktiebolag</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36507-2025</t>
        </is>
      </c>
      <c r="B9030" s="1" t="n">
        <v>45869.57335648148</v>
      </c>
      <c r="C9030" s="1" t="n">
        <v>46045</v>
      </c>
      <c r="D9030" t="inlineStr">
        <is>
          <t>JÄMTLANDS LÄN</t>
        </is>
      </c>
      <c r="E9030" t="inlineStr">
        <is>
          <t>BRÄCKE</t>
        </is>
      </c>
      <c r="F9030" t="inlineStr">
        <is>
          <t>SCA</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36508-2025</t>
        </is>
      </c>
      <c r="B9031" s="1" t="n">
        <v>45869.57351851852</v>
      </c>
      <c r="C9031" s="1" t="n">
        <v>46045</v>
      </c>
      <c r="D9031" t="inlineStr">
        <is>
          <t>JÄMTLANDS LÄN</t>
        </is>
      </c>
      <c r="E9031" t="inlineStr">
        <is>
          <t>BRÄCKE</t>
        </is>
      </c>
      <c r="F9031" t="inlineStr">
        <is>
          <t>SCA</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721-2026</t>
        </is>
      </c>
      <c r="B9032" s="1" t="n">
        <v>46029</v>
      </c>
      <c r="C9032" s="1" t="n">
        <v>46045</v>
      </c>
      <c r="D9032" t="inlineStr">
        <is>
          <t>JÄMTLANDS LÄN</t>
        </is>
      </c>
      <c r="E9032" t="inlineStr">
        <is>
          <t>ÖSTERSUND</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42156-2025</t>
        </is>
      </c>
      <c r="B9033" s="1" t="n">
        <v>45904</v>
      </c>
      <c r="C9033" s="1" t="n">
        <v>46045</v>
      </c>
      <c r="D9033" t="inlineStr">
        <is>
          <t>JÄMTLANDS LÄN</t>
        </is>
      </c>
      <c r="E9033" t="inlineStr">
        <is>
          <t>STRÖMSUND</t>
        </is>
      </c>
      <c r="G9033" t="n">
        <v>11.3</v>
      </c>
      <c r="H9033" t="n">
        <v>0</v>
      </c>
      <c r="I9033" t="n">
        <v>0</v>
      </c>
      <c r="J9033" t="n">
        <v>0</v>
      </c>
      <c r="K9033" t="n">
        <v>0</v>
      </c>
      <c r="L9033" t="n">
        <v>0</v>
      </c>
      <c r="M9033" t="n">
        <v>0</v>
      </c>
      <c r="N9033" t="n">
        <v>0</v>
      </c>
      <c r="O9033" t="n">
        <v>0</v>
      </c>
      <c r="P9033" t="n">
        <v>0</v>
      </c>
      <c r="Q9033" t="n">
        <v>0</v>
      </c>
      <c r="R9033" s="2" t="inlineStr"/>
    </row>
    <row r="9034" ht="15" customHeight="1">
      <c r="A9034" t="inlineStr">
        <is>
          <t>A 1963-2026</t>
        </is>
      </c>
      <c r="B9034" s="1" t="n">
        <v>46035</v>
      </c>
      <c r="C9034" s="1" t="n">
        <v>46045</v>
      </c>
      <c r="D9034" t="inlineStr">
        <is>
          <t>JÄMTLANDS LÄN</t>
        </is>
      </c>
      <c r="E9034" t="inlineStr">
        <is>
          <t>HÄRJEDALEN</t>
        </is>
      </c>
      <c r="F9034" t="inlineStr">
        <is>
          <t>Övriga statliga verk och myndigheter</t>
        </is>
      </c>
      <c r="G9034" t="n">
        <v>26.9</v>
      </c>
      <c r="H9034" t="n">
        <v>0</v>
      </c>
      <c r="I9034" t="n">
        <v>0</v>
      </c>
      <c r="J9034" t="n">
        <v>0</v>
      </c>
      <c r="K9034" t="n">
        <v>0</v>
      </c>
      <c r="L9034" t="n">
        <v>0</v>
      </c>
      <c r="M9034" t="n">
        <v>0</v>
      </c>
      <c r="N9034" t="n">
        <v>0</v>
      </c>
      <c r="O9034" t="n">
        <v>0</v>
      </c>
      <c r="P9034" t="n">
        <v>0</v>
      </c>
      <c r="Q9034" t="n">
        <v>0</v>
      </c>
      <c r="R9034" s="2" t="inlineStr"/>
    </row>
    <row r="9035" ht="15" customHeight="1">
      <c r="A9035" t="inlineStr">
        <is>
          <t>A 34367-2024</t>
        </is>
      </c>
      <c r="B9035" s="1" t="n">
        <v>45525.38040509259</v>
      </c>
      <c r="C9035" s="1" t="n">
        <v>46045</v>
      </c>
      <c r="D9035" t="inlineStr">
        <is>
          <t>JÄMTLANDS LÄN</t>
        </is>
      </c>
      <c r="E9035" t="inlineStr">
        <is>
          <t>BERG</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34369-2024</t>
        </is>
      </c>
      <c r="B9036" s="1" t="n">
        <v>45525.38228009259</v>
      </c>
      <c r="C9036" s="1" t="n">
        <v>46045</v>
      </c>
      <c r="D9036" t="inlineStr">
        <is>
          <t>JÄMTLANDS LÄN</t>
        </is>
      </c>
      <c r="E9036" t="inlineStr">
        <is>
          <t>BERG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60977-2025</t>
        </is>
      </c>
      <c r="B9037" s="1" t="n">
        <v>45999.69837962963</v>
      </c>
      <c r="C9037" s="1" t="n">
        <v>46045</v>
      </c>
      <c r="D9037" t="inlineStr">
        <is>
          <t>JÄMTLANDS LÄN</t>
        </is>
      </c>
      <c r="E9037" t="inlineStr">
        <is>
          <t>KROKOM</t>
        </is>
      </c>
      <c r="G9037" t="n">
        <v>36.4</v>
      </c>
      <c r="H9037" t="n">
        <v>0</v>
      </c>
      <c r="I9037" t="n">
        <v>0</v>
      </c>
      <c r="J9037" t="n">
        <v>0</v>
      </c>
      <c r="K9037" t="n">
        <v>0</v>
      </c>
      <c r="L9037" t="n">
        <v>0</v>
      </c>
      <c r="M9037" t="n">
        <v>0</v>
      </c>
      <c r="N9037" t="n">
        <v>0</v>
      </c>
      <c r="O9037" t="n">
        <v>0</v>
      </c>
      <c r="P9037" t="n">
        <v>0</v>
      </c>
      <c r="Q9037" t="n">
        <v>0</v>
      </c>
      <c r="R9037" s="2" t="inlineStr"/>
    </row>
    <row r="9038" ht="15" customHeight="1">
      <c r="A9038" t="inlineStr">
        <is>
          <t>A 60818-2025</t>
        </is>
      </c>
      <c r="B9038" s="1" t="n">
        <v>45999.45039351852</v>
      </c>
      <c r="C9038" s="1" t="n">
        <v>46045</v>
      </c>
      <c r="D9038" t="inlineStr">
        <is>
          <t>JÄMTLANDS LÄN</t>
        </is>
      </c>
      <c r="E9038" t="inlineStr">
        <is>
          <t>KROKOM</t>
        </is>
      </c>
      <c r="F9038" t="inlineStr">
        <is>
          <t>Övriga Aktiebolag</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61196-2025</t>
        </is>
      </c>
      <c r="B9039" s="1" t="n">
        <v>46000.60346064815</v>
      </c>
      <c r="C9039" s="1" t="n">
        <v>46045</v>
      </c>
      <c r="D9039" t="inlineStr">
        <is>
          <t>JÄMTLANDS LÄN</t>
        </is>
      </c>
      <c r="E9039" t="inlineStr">
        <is>
          <t>BRÄCKE</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61206-2025</t>
        </is>
      </c>
      <c r="B9040" s="1" t="n">
        <v>46000.6144212963</v>
      </c>
      <c r="C9040" s="1" t="n">
        <v>46045</v>
      </c>
      <c r="D9040" t="inlineStr">
        <is>
          <t>JÄMTLANDS LÄN</t>
        </is>
      </c>
      <c r="E9040" t="inlineStr">
        <is>
          <t>KROKOM</t>
        </is>
      </c>
      <c r="F9040" t="inlineStr">
        <is>
          <t>Övriga Aktiebolag</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61219-2025</t>
        </is>
      </c>
      <c r="B9041" s="1" t="n">
        <v>46000.62464120371</v>
      </c>
      <c r="C9041" s="1" t="n">
        <v>46045</v>
      </c>
      <c r="D9041" t="inlineStr">
        <is>
          <t>JÄMTLANDS LÄN</t>
        </is>
      </c>
      <c r="E9041" t="inlineStr">
        <is>
          <t>KROKOM</t>
        </is>
      </c>
      <c r="F9041" t="inlineStr">
        <is>
          <t>Övriga Aktiebolag</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3230-2026</t>
        </is>
      </c>
      <c r="B9042" s="1" t="n">
        <v>46041.55299768518</v>
      </c>
      <c r="C9042" s="1" t="n">
        <v>46045</v>
      </c>
      <c r="D9042" t="inlineStr">
        <is>
          <t>JÄMTLANDS LÄN</t>
        </is>
      </c>
      <c r="E9042" t="inlineStr">
        <is>
          <t>KROKOM</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3241-2026</t>
        </is>
      </c>
      <c r="B9043" s="1" t="n">
        <v>46041.56872685185</v>
      </c>
      <c r="C9043" s="1" t="n">
        <v>46045</v>
      </c>
      <c r="D9043" t="inlineStr">
        <is>
          <t>JÄMTLANDS LÄN</t>
        </is>
      </c>
      <c r="E9043" t="inlineStr">
        <is>
          <t>BERG</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3245-2026</t>
        </is>
      </c>
      <c r="B9044" s="1" t="n">
        <v>46041.5734375</v>
      </c>
      <c r="C9044" s="1" t="n">
        <v>46045</v>
      </c>
      <c r="D9044" t="inlineStr">
        <is>
          <t>JÄMTLANDS LÄN</t>
        </is>
      </c>
      <c r="E9044" t="inlineStr">
        <is>
          <t>HÄRJEDALEN</t>
        </is>
      </c>
      <c r="F9044" t="inlineStr">
        <is>
          <t>SCA</t>
        </is>
      </c>
      <c r="G9044" t="n">
        <v>34.8</v>
      </c>
      <c r="H9044" t="n">
        <v>0</v>
      </c>
      <c r="I9044" t="n">
        <v>0</v>
      </c>
      <c r="J9044" t="n">
        <v>0</v>
      </c>
      <c r="K9044" t="n">
        <v>0</v>
      </c>
      <c r="L9044" t="n">
        <v>0</v>
      </c>
      <c r="M9044" t="n">
        <v>0</v>
      </c>
      <c r="N9044" t="n">
        <v>0</v>
      </c>
      <c r="O9044" t="n">
        <v>0</v>
      </c>
      <c r="P9044" t="n">
        <v>0</v>
      </c>
      <c r="Q9044" t="n">
        <v>0</v>
      </c>
      <c r="R9044" s="2" t="inlineStr"/>
    </row>
    <row r="9045" ht="15" customHeight="1">
      <c r="A9045" t="inlineStr">
        <is>
          <t>A 42372-2023</t>
        </is>
      </c>
      <c r="B9045" s="1" t="n">
        <v>45180</v>
      </c>
      <c r="C9045" s="1" t="n">
        <v>46045</v>
      </c>
      <c r="D9045" t="inlineStr">
        <is>
          <t>JÄMTLANDS LÄN</t>
        </is>
      </c>
      <c r="E9045" t="inlineStr">
        <is>
          <t>KROKOM</t>
        </is>
      </c>
      <c r="F9045" t="inlineStr">
        <is>
          <t>Övriga Aktiebolag</t>
        </is>
      </c>
      <c r="G9045" t="n">
        <v>0.2</v>
      </c>
      <c r="H9045" t="n">
        <v>0</v>
      </c>
      <c r="I9045" t="n">
        <v>0</v>
      </c>
      <c r="J9045" t="n">
        <v>0</v>
      </c>
      <c r="K9045" t="n">
        <v>0</v>
      </c>
      <c r="L9045" t="n">
        <v>0</v>
      </c>
      <c r="M9045" t="n">
        <v>0</v>
      </c>
      <c r="N9045" t="n">
        <v>0</v>
      </c>
      <c r="O9045" t="n">
        <v>0</v>
      </c>
      <c r="P9045" t="n">
        <v>0</v>
      </c>
      <c r="Q9045" t="n">
        <v>0</v>
      </c>
      <c r="R9045" s="2" t="inlineStr"/>
    </row>
    <row r="9046" ht="15" customHeight="1">
      <c r="A9046" t="inlineStr">
        <is>
          <t>A 3246-2026</t>
        </is>
      </c>
      <c r="B9046" s="1" t="n">
        <v>46041.57364583333</v>
      </c>
      <c r="C9046" s="1" t="n">
        <v>46045</v>
      </c>
      <c r="D9046" t="inlineStr">
        <is>
          <t>JÄMTLANDS LÄN</t>
        </is>
      </c>
      <c r="E9046" t="inlineStr">
        <is>
          <t>HÄRJEDALEN</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36891-2025</t>
        </is>
      </c>
      <c r="B9047" s="1" t="n">
        <v>45874.46962962963</v>
      </c>
      <c r="C9047" s="1" t="n">
        <v>46045</v>
      </c>
      <c r="D9047" t="inlineStr">
        <is>
          <t>JÄMTLANDS LÄN</t>
        </is>
      </c>
      <c r="E9047" t="inlineStr">
        <is>
          <t>STRÖMSUND</t>
        </is>
      </c>
      <c r="F9047" t="inlineStr">
        <is>
          <t>SCA</t>
        </is>
      </c>
      <c r="G9047" t="n">
        <v>1.6</v>
      </c>
      <c r="H9047" t="n">
        <v>0</v>
      </c>
      <c r="I9047" t="n">
        <v>0</v>
      </c>
      <c r="J9047" t="n">
        <v>0</v>
      </c>
      <c r="K9047" t="n">
        <v>0</v>
      </c>
      <c r="L9047" t="n">
        <v>0</v>
      </c>
      <c r="M9047" t="n">
        <v>0</v>
      </c>
      <c r="N9047" t="n">
        <v>0</v>
      </c>
      <c r="O9047" t="n">
        <v>0</v>
      </c>
      <c r="P9047" t="n">
        <v>0</v>
      </c>
      <c r="Q9047" t="n">
        <v>0</v>
      </c>
      <c r="R9047" s="2" t="inlineStr"/>
      <c r="U9047">
        <f>HYPERLINK("https://klasma.github.io/Logging_2313/knärot/A 36891-2025 karta knärot.png", "A 36891-2025")</f>
        <v/>
      </c>
      <c r="V9047">
        <f>HYPERLINK("https://klasma.github.io/Logging_2313/klagomål/A 36891-2025 FSC-klagomål.docx", "A 36891-2025")</f>
        <v/>
      </c>
      <c r="W9047">
        <f>HYPERLINK("https://klasma.github.io/Logging_2313/klagomålsmail/A 36891-2025 FSC-klagomål mail.docx", "A 36891-2025")</f>
        <v/>
      </c>
      <c r="X9047">
        <f>HYPERLINK("https://klasma.github.io/Logging_2313/tillsyn/A 36891-2025 tillsynsbegäran.docx", "A 36891-2025")</f>
        <v/>
      </c>
      <c r="Y9047">
        <f>HYPERLINK("https://klasma.github.io/Logging_2313/tillsynsmail/A 36891-2025 tillsynsbegäran mail.docx", "A 36891-2025")</f>
        <v/>
      </c>
    </row>
    <row r="9048" ht="15" customHeight="1">
      <c r="A9048" t="inlineStr">
        <is>
          <t>A 36896-2025</t>
        </is>
      </c>
      <c r="B9048" s="1" t="n">
        <v>45874.4740625</v>
      </c>
      <c r="C9048" s="1" t="n">
        <v>46045</v>
      </c>
      <c r="D9048" t="inlineStr">
        <is>
          <t>JÄMTLANDS LÄN</t>
        </is>
      </c>
      <c r="E9048" t="inlineStr">
        <is>
          <t>BERG</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60906-2025</t>
        </is>
      </c>
      <c r="B9049" s="1" t="n">
        <v>45999.59472222222</v>
      </c>
      <c r="C9049" s="1" t="n">
        <v>46045</v>
      </c>
      <c r="D9049" t="inlineStr">
        <is>
          <t>JÄMTLANDS LÄN</t>
        </is>
      </c>
      <c r="E9049" t="inlineStr">
        <is>
          <t>STRÖMSUND</t>
        </is>
      </c>
      <c r="F9049" t="inlineStr">
        <is>
          <t>SCA</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34931-2025</t>
        </is>
      </c>
      <c r="B9050" s="1" t="n">
        <v>45849</v>
      </c>
      <c r="C9050" s="1" t="n">
        <v>46045</v>
      </c>
      <c r="D9050" t="inlineStr">
        <is>
          <t>JÄMTLANDS LÄN</t>
        </is>
      </c>
      <c r="E9050" t="inlineStr">
        <is>
          <t>ÅRE</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60831-2025</t>
        </is>
      </c>
      <c r="B9051" s="1" t="n">
        <v>45999.46935185185</v>
      </c>
      <c r="C9051" s="1" t="n">
        <v>46045</v>
      </c>
      <c r="D9051" t="inlineStr">
        <is>
          <t>JÄMTLANDS LÄN</t>
        </is>
      </c>
      <c r="E9051" t="inlineStr">
        <is>
          <t>BERG</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60856-2025</t>
        </is>
      </c>
      <c r="B9052" s="1" t="n">
        <v>45999.51965277778</v>
      </c>
      <c r="C9052" s="1" t="n">
        <v>46045</v>
      </c>
      <c r="D9052" t="inlineStr">
        <is>
          <t>JÄMTLANDS LÄN</t>
        </is>
      </c>
      <c r="E9052" t="inlineStr">
        <is>
          <t>HÄRJEDALEN</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7724-2025</t>
        </is>
      </c>
      <c r="B9053" s="1" t="n">
        <v>45706</v>
      </c>
      <c r="C9053" s="1" t="n">
        <v>46045</v>
      </c>
      <c r="D9053" t="inlineStr">
        <is>
          <t>JÄMTLANDS LÄN</t>
        </is>
      </c>
      <c r="E9053" t="inlineStr">
        <is>
          <t>KROKOM</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58776-2023</t>
        </is>
      </c>
      <c r="B9054" s="1" t="n">
        <v>45251.96740740741</v>
      </c>
      <c r="C9054" s="1" t="n">
        <v>46045</v>
      </c>
      <c r="D9054" t="inlineStr">
        <is>
          <t>JÄMTLANDS LÄN</t>
        </is>
      </c>
      <c r="E9054" t="inlineStr">
        <is>
          <t>BRÄCKE</t>
        </is>
      </c>
      <c r="F9054" t="inlineStr">
        <is>
          <t>SCA</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53171-2024</t>
        </is>
      </c>
      <c r="B9055" s="1" t="n">
        <v>45611.65679398148</v>
      </c>
      <c r="C9055" s="1" t="n">
        <v>46045</v>
      </c>
      <c r="D9055" t="inlineStr">
        <is>
          <t>JÄMTLANDS LÄN</t>
        </is>
      </c>
      <c r="E9055" t="inlineStr">
        <is>
          <t>RAGUNDA</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36965-2025</t>
        </is>
      </c>
      <c r="B9056" s="1" t="n">
        <v>45874.6358912037</v>
      </c>
      <c r="C9056" s="1" t="n">
        <v>46045</v>
      </c>
      <c r="D9056" t="inlineStr">
        <is>
          <t>JÄMTLANDS LÄN</t>
        </is>
      </c>
      <c r="E9056" t="inlineStr">
        <is>
          <t>STRÖMSUND</t>
        </is>
      </c>
      <c r="F9056" t="inlineStr">
        <is>
          <t>SCA</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36976-2025</t>
        </is>
      </c>
      <c r="B9057" s="1" t="n">
        <v>45874.64199074074</v>
      </c>
      <c r="C9057" s="1" t="n">
        <v>46045</v>
      </c>
      <c r="D9057" t="inlineStr">
        <is>
          <t>JÄMTLANDS LÄN</t>
        </is>
      </c>
      <c r="E9057" t="inlineStr">
        <is>
          <t>HÄRJEDALEN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61194-2025</t>
        </is>
      </c>
      <c r="B9058" s="1" t="n">
        <v>46000.60290509259</v>
      </c>
      <c r="C9058" s="1" t="n">
        <v>46045</v>
      </c>
      <c r="D9058" t="inlineStr">
        <is>
          <t>JÄMTLANDS LÄN</t>
        </is>
      </c>
      <c r="E9058" t="inlineStr">
        <is>
          <t>KROKOM</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13108-2025</t>
        </is>
      </c>
      <c r="B9059" s="1" t="n">
        <v>45734</v>
      </c>
      <c r="C9059" s="1" t="n">
        <v>46045</v>
      </c>
      <c r="D9059" t="inlineStr">
        <is>
          <t>JÄMTLANDS LÄN</t>
        </is>
      </c>
      <c r="E9059" t="inlineStr">
        <is>
          <t>BERG</t>
        </is>
      </c>
      <c r="F9059" t="inlineStr">
        <is>
          <t>SCA</t>
        </is>
      </c>
      <c r="G9059" t="n">
        <v>7.2</v>
      </c>
      <c r="H9059" t="n">
        <v>0</v>
      </c>
      <c r="I9059" t="n">
        <v>0</v>
      </c>
      <c r="J9059" t="n">
        <v>0</v>
      </c>
      <c r="K9059" t="n">
        <v>0</v>
      </c>
      <c r="L9059" t="n">
        <v>0</v>
      </c>
      <c r="M9059" t="n">
        <v>0</v>
      </c>
      <c r="N9059" t="n">
        <v>0</v>
      </c>
      <c r="O9059" t="n">
        <v>0</v>
      </c>
      <c r="P9059" t="n">
        <v>0</v>
      </c>
      <c r="Q9059" t="n">
        <v>0</v>
      </c>
      <c r="R9059" s="2" t="inlineStr"/>
    </row>
    <row r="9060" ht="15" customHeight="1">
      <c r="A9060" t="inlineStr">
        <is>
          <t>A 3490-2026</t>
        </is>
      </c>
      <c r="B9060" s="1" t="n">
        <v>46042.56903935185</v>
      </c>
      <c r="C9060" s="1" t="n">
        <v>46045</v>
      </c>
      <c r="D9060" t="inlineStr">
        <is>
          <t>JÄMTLANDS LÄN</t>
        </is>
      </c>
      <c r="E9060" t="inlineStr">
        <is>
          <t>KROKOM</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3561-2026</t>
        </is>
      </c>
      <c r="B9061" s="1" t="n">
        <v>46042.67142361111</v>
      </c>
      <c r="C9061" s="1" t="n">
        <v>46045</v>
      </c>
      <c r="D9061" t="inlineStr">
        <is>
          <t>JÄMTLANDS LÄN</t>
        </is>
      </c>
      <c r="E9061" t="inlineStr">
        <is>
          <t>RAGUNDA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1523-2024</t>
        </is>
      </c>
      <c r="B9062" s="1" t="n">
        <v>45306</v>
      </c>
      <c r="C9062" s="1" t="n">
        <v>46045</v>
      </c>
      <c r="D9062" t="inlineStr">
        <is>
          <t>JÄMTLANDS LÄN</t>
        </is>
      </c>
      <c r="E9062" t="inlineStr">
        <is>
          <t>RAGUNDA</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58866-2023</t>
        </is>
      </c>
      <c r="B9063" s="1" t="n">
        <v>45252.45481481482</v>
      </c>
      <c r="C9063" s="1" t="n">
        <v>46045</v>
      </c>
      <c r="D9063" t="inlineStr">
        <is>
          <t>JÄMTLANDS LÄN</t>
        </is>
      </c>
      <c r="E9063" t="inlineStr">
        <is>
          <t>HÄRJEDALEN</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61171-2025</t>
        </is>
      </c>
      <c r="B9064" s="1" t="n">
        <v>46000.57232638889</v>
      </c>
      <c r="C9064" s="1" t="n">
        <v>46045</v>
      </c>
      <c r="D9064" t="inlineStr">
        <is>
          <t>JÄMTLANDS LÄN</t>
        </is>
      </c>
      <c r="E9064" t="inlineStr">
        <is>
          <t>BRÄCKE</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36970-2025</t>
        </is>
      </c>
      <c r="B9065" s="1" t="n">
        <v>45874.63700231481</v>
      </c>
      <c r="C9065" s="1" t="n">
        <v>46045</v>
      </c>
      <c r="D9065" t="inlineStr">
        <is>
          <t>JÄMTLANDS LÄN</t>
        </is>
      </c>
      <c r="E9065" t="inlineStr">
        <is>
          <t>BRÄCKE</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60783-2025</t>
        </is>
      </c>
      <c r="B9066" s="1" t="n">
        <v>45999.39971064815</v>
      </c>
      <c r="C9066" s="1" t="n">
        <v>46045</v>
      </c>
      <c r="D9066" t="inlineStr">
        <is>
          <t>JÄMTLANDS LÄN</t>
        </is>
      </c>
      <c r="E9066" t="inlineStr">
        <is>
          <t>ÅRE</t>
        </is>
      </c>
      <c r="G9066" t="n">
        <v>10.6</v>
      </c>
      <c r="H9066" t="n">
        <v>0</v>
      </c>
      <c r="I9066" t="n">
        <v>0</v>
      </c>
      <c r="J9066" t="n">
        <v>0</v>
      </c>
      <c r="K9066" t="n">
        <v>0</v>
      </c>
      <c r="L9066" t="n">
        <v>0</v>
      </c>
      <c r="M9066" t="n">
        <v>0</v>
      </c>
      <c r="N9066" t="n">
        <v>0</v>
      </c>
      <c r="O9066" t="n">
        <v>0</v>
      </c>
      <c r="P9066" t="n">
        <v>0</v>
      </c>
      <c r="Q9066" t="n">
        <v>0</v>
      </c>
      <c r="R9066" s="2" t="inlineStr"/>
    </row>
    <row r="9067" ht="15" customHeight="1">
      <c r="A9067" t="inlineStr">
        <is>
          <t>A 60760-2025</t>
        </is>
      </c>
      <c r="B9067" s="1" t="n">
        <v>45999.38597222222</v>
      </c>
      <c r="C9067" s="1" t="n">
        <v>46045</v>
      </c>
      <c r="D9067" t="inlineStr">
        <is>
          <t>JÄMTLANDS LÄN</t>
        </is>
      </c>
      <c r="E9067" t="inlineStr">
        <is>
          <t>RAGUNDA</t>
        </is>
      </c>
      <c r="F9067" t="inlineStr">
        <is>
          <t>SCA</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64265-2023</t>
        </is>
      </c>
      <c r="B9068" s="1" t="n">
        <v>45279.94572916667</v>
      </c>
      <c r="C9068" s="1" t="n">
        <v>46045</v>
      </c>
      <c r="D9068" t="inlineStr">
        <is>
          <t>JÄMTLANDS LÄN</t>
        </is>
      </c>
      <c r="E9068" t="inlineStr">
        <is>
          <t>RAGUNDA</t>
        </is>
      </c>
      <c r="F9068" t="inlineStr">
        <is>
          <t>SCA</t>
        </is>
      </c>
      <c r="G9068" t="n">
        <v>9.300000000000001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3153-2026</t>
        </is>
      </c>
      <c r="B9069" s="1" t="n">
        <v>46041.42761574074</v>
      </c>
      <c r="C9069" s="1" t="n">
        <v>46045</v>
      </c>
      <c r="D9069" t="inlineStr">
        <is>
          <t>JÄMTLANDS LÄN</t>
        </is>
      </c>
      <c r="E9069" t="inlineStr">
        <is>
          <t>STRÖMSUND</t>
        </is>
      </c>
      <c r="F9069" t="inlineStr">
        <is>
          <t>SCA</t>
        </is>
      </c>
      <c r="G9069" t="n">
        <v>35.8</v>
      </c>
      <c r="H9069" t="n">
        <v>0</v>
      </c>
      <c r="I9069" t="n">
        <v>0</v>
      </c>
      <c r="J9069" t="n">
        <v>0</v>
      </c>
      <c r="K9069" t="n">
        <v>0</v>
      </c>
      <c r="L9069" t="n">
        <v>0</v>
      </c>
      <c r="M9069" t="n">
        <v>0</v>
      </c>
      <c r="N9069" t="n">
        <v>0</v>
      </c>
      <c r="O9069" t="n">
        <v>0</v>
      </c>
      <c r="P9069" t="n">
        <v>0</v>
      </c>
      <c r="Q9069" t="n">
        <v>0</v>
      </c>
      <c r="R9069" s="2" t="inlineStr"/>
    </row>
    <row r="9070" ht="15" customHeight="1">
      <c r="A9070" t="inlineStr">
        <is>
          <t>A 3394-2026</t>
        </is>
      </c>
      <c r="B9070" s="1" t="n">
        <v>46042.37641203704</v>
      </c>
      <c r="C9070" s="1" t="n">
        <v>46045</v>
      </c>
      <c r="D9070" t="inlineStr">
        <is>
          <t>JÄMTLANDS LÄN</t>
        </is>
      </c>
      <c r="E9070" t="inlineStr">
        <is>
          <t>ÅRE</t>
        </is>
      </c>
      <c r="F9070" t="inlineStr">
        <is>
          <t>Övriga Aktiebolag</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1119-2025</t>
        </is>
      </c>
      <c r="B9071" s="1" t="n">
        <v>45666.65987268519</v>
      </c>
      <c r="C9071" s="1" t="n">
        <v>46045</v>
      </c>
      <c r="D9071" t="inlineStr">
        <is>
          <t>JÄMTLANDS LÄN</t>
        </is>
      </c>
      <c r="E9071" t="inlineStr">
        <is>
          <t>KROKOM</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36947-2025</t>
        </is>
      </c>
      <c r="B9072" s="1" t="n">
        <v>45874.59496527778</v>
      </c>
      <c r="C9072" s="1" t="n">
        <v>46045</v>
      </c>
      <c r="D9072" t="inlineStr">
        <is>
          <t>JÄMTLANDS LÄN</t>
        </is>
      </c>
      <c r="E9072" t="inlineStr">
        <is>
          <t>RAGUNDA</t>
        </is>
      </c>
      <c r="F9072" t="inlineStr">
        <is>
          <t>SCA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3197-2026</t>
        </is>
      </c>
      <c r="B9073" s="1" t="n">
        <v>46041.47474537037</v>
      </c>
      <c r="C9073" s="1" t="n">
        <v>46045</v>
      </c>
      <c r="D9073" t="inlineStr">
        <is>
          <t>JÄMTLANDS LÄN</t>
        </is>
      </c>
      <c r="E9073" t="inlineStr">
        <is>
          <t>ÖSTERSUND</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36714-2025</t>
        </is>
      </c>
      <c r="B9074" s="1" t="n">
        <v>45873.46881944445</v>
      </c>
      <c r="C9074" s="1" t="n">
        <v>46045</v>
      </c>
      <c r="D9074" t="inlineStr">
        <is>
          <t>JÄMTLANDS LÄN</t>
        </is>
      </c>
      <c r="E9074" t="inlineStr">
        <is>
          <t>BERG</t>
        </is>
      </c>
      <c r="F9074" t="inlineStr">
        <is>
          <t>Sveaskog</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47963-2025</t>
        </is>
      </c>
      <c r="B9075" s="1" t="n">
        <v>45931</v>
      </c>
      <c r="C9075" s="1" t="n">
        <v>46045</v>
      </c>
      <c r="D9075" t="inlineStr">
        <is>
          <t>JÄMTLANDS LÄN</t>
        </is>
      </c>
      <c r="E9075" t="inlineStr">
        <is>
          <t>ÅRE</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36777-2025</t>
        </is>
      </c>
      <c r="B9076" s="1" t="n">
        <v>45873.59511574074</v>
      </c>
      <c r="C9076" s="1" t="n">
        <v>46045</v>
      </c>
      <c r="D9076" t="inlineStr">
        <is>
          <t>JÄMTLANDS LÄN</t>
        </is>
      </c>
      <c r="E9076" t="inlineStr">
        <is>
          <t>HÄRJEDALEN</t>
        </is>
      </c>
      <c r="F9076" t="inlineStr">
        <is>
          <t>Bergvik skog väst AB</t>
        </is>
      </c>
      <c r="G9076" t="n">
        <v>9.699999999999999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61330-2025</t>
        </is>
      </c>
      <c r="B9077" s="1" t="n">
        <v>46001</v>
      </c>
      <c r="C9077" s="1" t="n">
        <v>46045</v>
      </c>
      <c r="D9077" t="inlineStr">
        <is>
          <t>JÄMTLANDS LÄN</t>
        </is>
      </c>
      <c r="E9077" t="inlineStr">
        <is>
          <t>ÖSTERSUND</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61647-2025</t>
        </is>
      </c>
      <c r="B9078" s="1" t="n">
        <v>46002.4403587963</v>
      </c>
      <c r="C9078" s="1" t="n">
        <v>46045</v>
      </c>
      <c r="D9078" t="inlineStr">
        <is>
          <t>JÄMTLANDS LÄN</t>
        </is>
      </c>
      <c r="E9078" t="inlineStr">
        <is>
          <t>BERG</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51964-2024</t>
        </is>
      </c>
      <c r="B9079" s="1" t="n">
        <v>45607</v>
      </c>
      <c r="C9079" s="1" t="n">
        <v>46045</v>
      </c>
      <c r="D9079" t="inlineStr">
        <is>
          <t>JÄMTLANDS LÄN</t>
        </is>
      </c>
      <c r="E9079" t="inlineStr">
        <is>
          <t>HÄRJEDALEN</t>
        </is>
      </c>
      <c r="F9079" t="inlineStr">
        <is>
          <t>Holmen skog AB</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13617-2025</t>
        </is>
      </c>
      <c r="B9080" s="1" t="n">
        <v>45736</v>
      </c>
      <c r="C9080" s="1" t="n">
        <v>46045</v>
      </c>
      <c r="D9080" t="inlineStr">
        <is>
          <t>JÄMTLANDS LÄN</t>
        </is>
      </c>
      <c r="E9080" t="inlineStr">
        <is>
          <t>STRÖMSUND</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32075-2025</t>
        </is>
      </c>
      <c r="B9081" s="1" t="n">
        <v>45835.4506712963</v>
      </c>
      <c r="C9081" s="1" t="n">
        <v>46045</v>
      </c>
      <c r="D9081" t="inlineStr">
        <is>
          <t>JÄMTLANDS LÄN</t>
        </is>
      </c>
      <c r="E9081" t="inlineStr">
        <is>
          <t>RAGUNDA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36975-2025</t>
        </is>
      </c>
      <c r="B9082" s="1" t="n">
        <v>45874.63773148148</v>
      </c>
      <c r="C9082" s="1" t="n">
        <v>46045</v>
      </c>
      <c r="D9082" t="inlineStr">
        <is>
          <t>JÄMTLANDS LÄN</t>
        </is>
      </c>
      <c r="E9082" t="inlineStr">
        <is>
          <t>ÅRE</t>
        </is>
      </c>
      <c r="F9082" t="inlineStr">
        <is>
          <t>Övriga Aktiebolag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4172-2026</t>
        </is>
      </c>
      <c r="B9083" s="1" t="n">
        <v>46044.67766203704</v>
      </c>
      <c r="C9083" s="1" t="n">
        <v>46045</v>
      </c>
      <c r="D9083" t="inlineStr">
        <is>
          <t>JÄMTLANDS LÄN</t>
        </is>
      </c>
      <c r="E9083" t="inlineStr">
        <is>
          <t>STRÖMSUND</t>
        </is>
      </c>
      <c r="F9083" t="inlineStr">
        <is>
          <t>SCA</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4173-2026</t>
        </is>
      </c>
      <c r="B9084" s="1" t="n">
        <v>46044.67832175926</v>
      </c>
      <c r="C9084" s="1" t="n">
        <v>46045</v>
      </c>
      <c r="D9084" t="inlineStr">
        <is>
          <t>JÄMTLANDS LÄN</t>
        </is>
      </c>
      <c r="E9084" t="inlineStr">
        <is>
          <t>STRÖMSUND</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13044-2025</t>
        </is>
      </c>
      <c r="B9085" s="1" t="n">
        <v>45734</v>
      </c>
      <c r="C9085" s="1" t="n">
        <v>46045</v>
      </c>
      <c r="D9085" t="inlineStr">
        <is>
          <t>JÄMTLANDS LÄN</t>
        </is>
      </c>
      <c r="E9085" t="inlineStr">
        <is>
          <t>STRÖMSUND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36994-2025</t>
        </is>
      </c>
      <c r="B9086" s="1" t="n">
        <v>45874.67746527777</v>
      </c>
      <c r="C9086" s="1" t="n">
        <v>46045</v>
      </c>
      <c r="D9086" t="inlineStr">
        <is>
          <t>JÄMTLANDS LÄN</t>
        </is>
      </c>
      <c r="E9086" t="inlineStr">
        <is>
          <t>RAGUNDA</t>
        </is>
      </c>
      <c r="F9086" t="inlineStr">
        <is>
          <t>SCA</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36892-2025</t>
        </is>
      </c>
      <c r="B9087" s="1" t="n">
        <v>45874.46975694445</v>
      </c>
      <c r="C9087" s="1" t="n">
        <v>46045</v>
      </c>
      <c r="D9087" t="inlineStr">
        <is>
          <t>JÄMTLANDS LÄN</t>
        </is>
      </c>
      <c r="E9087" t="inlineStr">
        <is>
          <t>STRÖMSUND</t>
        </is>
      </c>
      <c r="F9087" t="inlineStr">
        <is>
          <t>SCA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3881-2026</t>
        </is>
      </c>
      <c r="B9088" s="1" t="n">
        <v>46043.6568287037</v>
      </c>
      <c r="C9088" s="1" t="n">
        <v>46045</v>
      </c>
      <c r="D9088" t="inlineStr">
        <is>
          <t>JÄMTLANDS LÄN</t>
        </is>
      </c>
      <c r="E9088" t="inlineStr">
        <is>
          <t>STRÖMSUND</t>
        </is>
      </c>
      <c r="F9088" t="inlineStr">
        <is>
          <t>SCA</t>
        </is>
      </c>
      <c r="G9088" t="n">
        <v>23.7</v>
      </c>
      <c r="H9088" t="n">
        <v>0</v>
      </c>
      <c r="I9088" t="n">
        <v>0</v>
      </c>
      <c r="J9088" t="n">
        <v>0</v>
      </c>
      <c r="K9088" t="n">
        <v>0</v>
      </c>
      <c r="L9088" t="n">
        <v>0</v>
      </c>
      <c r="M9088" t="n">
        <v>0</v>
      </c>
      <c r="N9088" t="n">
        <v>0</v>
      </c>
      <c r="O9088" t="n">
        <v>0</v>
      </c>
      <c r="P9088" t="n">
        <v>0</v>
      </c>
      <c r="Q9088" t="n">
        <v>0</v>
      </c>
      <c r="R9088" s="2" t="inlineStr"/>
    </row>
    <row r="9089" ht="15" customHeight="1">
      <c r="A9089" t="inlineStr">
        <is>
          <t>A 32874-2025</t>
        </is>
      </c>
      <c r="B9089" s="1" t="n">
        <v>45839</v>
      </c>
      <c r="C9089" s="1" t="n">
        <v>46045</v>
      </c>
      <c r="D9089" t="inlineStr">
        <is>
          <t>JÄMTLANDS LÄN</t>
        </is>
      </c>
      <c r="E9089" t="inlineStr">
        <is>
          <t>RAGUNDA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31682-2022</t>
        </is>
      </c>
      <c r="B9090" s="1" t="n">
        <v>44776</v>
      </c>
      <c r="C9090" s="1" t="n">
        <v>46045</v>
      </c>
      <c r="D9090" t="inlineStr">
        <is>
          <t>JÄMTLANDS LÄN</t>
        </is>
      </c>
      <c r="E9090" t="inlineStr">
        <is>
          <t>BERG</t>
        </is>
      </c>
      <c r="G9090" t="n">
        <v>8</v>
      </c>
      <c r="H9090" t="n">
        <v>0</v>
      </c>
      <c r="I9090" t="n">
        <v>0</v>
      </c>
      <c r="J9090" t="n">
        <v>0</v>
      </c>
      <c r="K9090" t="n">
        <v>0</v>
      </c>
      <c r="L9090" t="n">
        <v>0</v>
      </c>
      <c r="M9090" t="n">
        <v>0</v>
      </c>
      <c r="N9090" t="n">
        <v>0</v>
      </c>
      <c r="O9090" t="n">
        <v>0</v>
      </c>
      <c r="P9090" t="n">
        <v>0</v>
      </c>
      <c r="Q9090" t="n">
        <v>0</v>
      </c>
      <c r="R9090" s="2" t="inlineStr"/>
    </row>
    <row r="9091" ht="15" customHeight="1">
      <c r="A9091" t="inlineStr">
        <is>
          <t>A 49185-2024</t>
        </is>
      </c>
      <c r="B9091" s="1" t="n">
        <v>45595.34466435185</v>
      </c>
      <c r="C9091" s="1" t="n">
        <v>46045</v>
      </c>
      <c r="D9091" t="inlineStr">
        <is>
          <t>JÄMTLANDS LÄN</t>
        </is>
      </c>
      <c r="E9091" t="inlineStr">
        <is>
          <t>BRÄCKE</t>
        </is>
      </c>
      <c r="F9091" t="inlineStr">
        <is>
          <t>SCA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49192-2024</t>
        </is>
      </c>
      <c r="B9092" s="1" t="n">
        <v>45595.34762731481</v>
      </c>
      <c r="C9092" s="1" t="n">
        <v>46045</v>
      </c>
      <c r="D9092" t="inlineStr">
        <is>
          <t>JÄMTLANDS LÄN</t>
        </is>
      </c>
      <c r="E9092" t="inlineStr">
        <is>
          <t>ÖSTERSUND</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3693-2026</t>
        </is>
      </c>
      <c r="B9093" s="1" t="n">
        <v>46043</v>
      </c>
      <c r="C9093" s="1" t="n">
        <v>46045</v>
      </c>
      <c r="D9093" t="inlineStr">
        <is>
          <t>JÄMTLANDS LÄN</t>
        </is>
      </c>
      <c r="E9093" t="inlineStr">
        <is>
          <t>KROKOM</t>
        </is>
      </c>
      <c r="G9093" t="n">
        <v>6.9</v>
      </c>
      <c r="H9093" t="n">
        <v>0</v>
      </c>
      <c r="I9093" t="n">
        <v>0</v>
      </c>
      <c r="J9093" t="n">
        <v>0</v>
      </c>
      <c r="K9093" t="n">
        <v>0</v>
      </c>
      <c r="L9093" t="n">
        <v>0</v>
      </c>
      <c r="M9093" t="n">
        <v>0</v>
      </c>
      <c r="N9093" t="n">
        <v>0</v>
      </c>
      <c r="O9093" t="n">
        <v>0</v>
      </c>
      <c r="P9093" t="n">
        <v>0</v>
      </c>
      <c r="Q9093" t="n">
        <v>0</v>
      </c>
      <c r="R9093" s="2" t="inlineStr"/>
    </row>
    <row r="9094" ht="15" customHeight="1">
      <c r="A9094" t="inlineStr">
        <is>
          <t>A 3696-2026</t>
        </is>
      </c>
      <c r="B9094" s="1" t="n">
        <v>46043.45800925926</v>
      </c>
      <c r="C9094" s="1" t="n">
        <v>46045</v>
      </c>
      <c r="D9094" t="inlineStr">
        <is>
          <t>JÄMTLANDS LÄN</t>
        </is>
      </c>
      <c r="E9094" t="inlineStr">
        <is>
          <t>HÄRJEDALEN</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3796-2026</t>
        </is>
      </c>
      <c r="B9095" s="1" t="n">
        <v>46043.57982638889</v>
      </c>
      <c r="C9095" s="1" t="n">
        <v>46045</v>
      </c>
      <c r="D9095" t="inlineStr">
        <is>
          <t>JÄMTLANDS LÄN</t>
        </is>
      </c>
      <c r="E9095" t="inlineStr">
        <is>
          <t>BERG</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4046-2026</t>
        </is>
      </c>
      <c r="B9096" s="1" t="n">
        <v>46044.46921296296</v>
      </c>
      <c r="C9096" s="1" t="n">
        <v>46045</v>
      </c>
      <c r="D9096" t="inlineStr">
        <is>
          <t>JÄMTLANDS LÄN</t>
        </is>
      </c>
      <c r="E9096" t="inlineStr">
        <is>
          <t>RAGUNDA</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61399-2025</t>
        </is>
      </c>
      <c r="B9097" s="1" t="n">
        <v>46001</v>
      </c>
      <c r="C9097" s="1" t="n">
        <v>46045</v>
      </c>
      <c r="D9097" t="inlineStr">
        <is>
          <t>JÄMTLANDS LÄN</t>
        </is>
      </c>
      <c r="E9097" t="inlineStr">
        <is>
          <t>KROKOM</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61195-2025</t>
        </is>
      </c>
      <c r="B9098" s="1" t="n">
        <v>46000</v>
      </c>
      <c r="C9098" s="1" t="n">
        <v>46045</v>
      </c>
      <c r="D9098" t="inlineStr">
        <is>
          <t>JÄMTLANDS LÄN</t>
        </is>
      </c>
      <c r="E9098" t="inlineStr">
        <is>
          <t>STRÖMSUND</t>
        </is>
      </c>
      <c r="G9098" t="n">
        <v>9.9</v>
      </c>
      <c r="H9098" t="n">
        <v>0</v>
      </c>
      <c r="I9098" t="n">
        <v>0</v>
      </c>
      <c r="J9098" t="n">
        <v>0</v>
      </c>
      <c r="K9098" t="n">
        <v>0</v>
      </c>
      <c r="L9098" t="n">
        <v>0</v>
      </c>
      <c r="M9098" t="n">
        <v>0</v>
      </c>
      <c r="N9098" t="n">
        <v>0</v>
      </c>
      <c r="O9098" t="n">
        <v>0</v>
      </c>
      <c r="P9098" t="n">
        <v>0</v>
      </c>
      <c r="Q9098" t="n">
        <v>0</v>
      </c>
      <c r="R9098" s="2" t="inlineStr"/>
    </row>
    <row r="9099" ht="15" customHeight="1">
      <c r="A9099" t="inlineStr">
        <is>
          <t>A 61355-2025</t>
        </is>
      </c>
      <c r="B9099" s="1" t="n">
        <v>46001.39805555555</v>
      </c>
      <c r="C9099" s="1" t="n">
        <v>46045</v>
      </c>
      <c r="D9099" t="inlineStr">
        <is>
          <t>JÄMTLANDS LÄN</t>
        </is>
      </c>
      <c r="E9099" t="inlineStr">
        <is>
          <t>ÅRE</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49313-2024</t>
        </is>
      </c>
      <c r="B9100" s="1" t="n">
        <v>45595</v>
      </c>
      <c r="C9100" s="1" t="n">
        <v>46045</v>
      </c>
      <c r="D9100" t="inlineStr">
        <is>
          <t>JÄMTLANDS LÄN</t>
        </is>
      </c>
      <c r="E9100" t="inlineStr">
        <is>
          <t>ÅRE</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36978-2025</t>
        </is>
      </c>
      <c r="B9101" s="1" t="n">
        <v>45874.64513888889</v>
      </c>
      <c r="C9101" s="1" t="n">
        <v>46045</v>
      </c>
      <c r="D9101" t="inlineStr">
        <is>
          <t>JÄMTLANDS LÄN</t>
        </is>
      </c>
      <c r="E9101" t="inlineStr">
        <is>
          <t>HÄRJEDALEN</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61654-2025</t>
        </is>
      </c>
      <c r="B9102" s="1" t="n">
        <v>46002.44827546296</v>
      </c>
      <c r="C9102" s="1" t="n">
        <v>46045</v>
      </c>
      <c r="D9102" t="inlineStr">
        <is>
          <t>JÄMTLANDS LÄN</t>
        </is>
      </c>
      <c r="E9102" t="inlineStr">
        <is>
          <t>KROKOM</t>
        </is>
      </c>
      <c r="G9102" t="n">
        <v>7</v>
      </c>
      <c r="H9102" t="n">
        <v>0</v>
      </c>
      <c r="I9102" t="n">
        <v>0</v>
      </c>
      <c r="J9102" t="n">
        <v>0</v>
      </c>
      <c r="K9102" t="n">
        <v>0</v>
      </c>
      <c r="L9102" t="n">
        <v>0</v>
      </c>
      <c r="M9102" t="n">
        <v>0</v>
      </c>
      <c r="N9102" t="n">
        <v>0</v>
      </c>
      <c r="O9102" t="n">
        <v>0</v>
      </c>
      <c r="P9102" t="n">
        <v>0</v>
      </c>
      <c r="Q9102" t="n">
        <v>0</v>
      </c>
      <c r="R9102" s="2" t="inlineStr"/>
    </row>
    <row r="9103" ht="15" customHeight="1">
      <c r="A9103" t="inlineStr">
        <is>
          <t>A 61267-2025</t>
        </is>
      </c>
      <c r="B9103" s="1" t="n">
        <v>46000.67793981481</v>
      </c>
      <c r="C9103" s="1" t="n">
        <v>46045</v>
      </c>
      <c r="D9103" t="inlineStr">
        <is>
          <t>JÄMTLANDS LÄN</t>
        </is>
      </c>
      <c r="E9103" t="inlineStr">
        <is>
          <t>ÖSTERSUND</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36668-2025</t>
        </is>
      </c>
      <c r="B9104" s="1" t="n">
        <v>45873.38351851852</v>
      </c>
      <c r="C9104" s="1" t="n">
        <v>46045</v>
      </c>
      <c r="D9104" t="inlineStr">
        <is>
          <t>JÄMTLANDS LÄN</t>
        </is>
      </c>
      <c r="E9104" t="inlineStr">
        <is>
          <t>BERG</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61697-2025</t>
        </is>
      </c>
      <c r="B9105" s="1" t="n">
        <v>46002</v>
      </c>
      <c r="C9105" s="1" t="n">
        <v>46045</v>
      </c>
      <c r="D9105" t="inlineStr">
        <is>
          <t>JÄMTLANDS LÄN</t>
        </is>
      </c>
      <c r="E9105" t="inlineStr">
        <is>
          <t>RAGUNDA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36718-2025</t>
        </is>
      </c>
      <c r="B9106" s="1" t="n">
        <v>45873.47069444445</v>
      </c>
      <c r="C9106" s="1" t="n">
        <v>46045</v>
      </c>
      <c r="D9106" t="inlineStr">
        <is>
          <t>JÄMTLANDS LÄN</t>
        </is>
      </c>
      <c r="E9106" t="inlineStr">
        <is>
          <t>BERG</t>
        </is>
      </c>
      <c r="F9106" t="inlineStr">
        <is>
          <t>Sveaskog</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15375-2024</t>
        </is>
      </c>
      <c r="B9107" s="1" t="n">
        <v>45400</v>
      </c>
      <c r="C9107" s="1" t="n">
        <v>46045</v>
      </c>
      <c r="D9107" t="inlineStr">
        <is>
          <t>JÄMTLANDS LÄN</t>
        </is>
      </c>
      <c r="E9107" t="inlineStr">
        <is>
          <t>STRÖMSUND</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37008-2025</t>
        </is>
      </c>
      <c r="B9108" s="1" t="n">
        <v>45874.69844907407</v>
      </c>
      <c r="C9108" s="1" t="n">
        <v>46045</v>
      </c>
      <c r="D9108" t="inlineStr">
        <is>
          <t>JÄMTLANDS LÄN</t>
        </is>
      </c>
      <c r="E9108" t="inlineStr">
        <is>
          <t>RAGUNDA</t>
        </is>
      </c>
      <c r="F9108" t="inlineStr">
        <is>
          <t>SCA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36653-2025</t>
        </is>
      </c>
      <c r="B9109" s="1" t="n">
        <v>45872.90528935185</v>
      </c>
      <c r="C9109" s="1" t="n">
        <v>46045</v>
      </c>
      <c r="D9109" t="inlineStr">
        <is>
          <t>JÄMTLANDS LÄN</t>
        </is>
      </c>
      <c r="E9109" t="inlineStr">
        <is>
          <t>STRÖMSUND</t>
        </is>
      </c>
      <c r="F9109" t="inlineStr">
        <is>
          <t>Holmen skog AB</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4047-2026</t>
        </is>
      </c>
      <c r="B9110" s="1" t="n">
        <v>46044.46944444445</v>
      </c>
      <c r="C9110" s="1" t="n">
        <v>46045</v>
      </c>
      <c r="D9110" t="inlineStr">
        <is>
          <t>JÄMTLANDS LÄN</t>
        </is>
      </c>
      <c r="E9110" t="inlineStr">
        <is>
          <t>RAGUNDA</t>
        </is>
      </c>
      <c r="F9110" t="inlineStr">
        <is>
          <t>SCA</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4073-2026</t>
        </is>
      </c>
      <c r="B9111" s="1" t="n">
        <v>46044.53168981482</v>
      </c>
      <c r="C9111" s="1" t="n">
        <v>46045</v>
      </c>
      <c r="D9111" t="inlineStr">
        <is>
          <t>JÄMTLANDS LÄN</t>
        </is>
      </c>
      <c r="E9111" t="inlineStr">
        <is>
          <t>RAGUNDA</t>
        </is>
      </c>
      <c r="F9111" t="inlineStr">
        <is>
          <t>SCA</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36870-2025</t>
        </is>
      </c>
      <c r="B9112" s="1" t="n">
        <v>45874.42859953704</v>
      </c>
      <c r="C9112" s="1" t="n">
        <v>46045</v>
      </c>
      <c r="D9112" t="inlineStr">
        <is>
          <t>JÄMTLANDS LÄN</t>
        </is>
      </c>
      <c r="E9112" t="inlineStr">
        <is>
          <t>STRÖMSUND</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63393-2025</t>
        </is>
      </c>
      <c r="B9113" s="1" t="n">
        <v>46011</v>
      </c>
      <c r="C9113" s="1" t="n">
        <v>46045</v>
      </c>
      <c r="D9113" t="inlineStr">
        <is>
          <t>JÄMTLANDS LÄN</t>
        </is>
      </c>
      <c r="E9113" t="inlineStr">
        <is>
          <t>STRÖMSUND</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44605-2024</t>
        </is>
      </c>
      <c r="B9114" s="1" t="n">
        <v>45574.51185185185</v>
      </c>
      <c r="C9114" s="1" t="n">
        <v>46045</v>
      </c>
      <c r="D9114" t="inlineStr">
        <is>
          <t>JÄMTLANDS LÄN</t>
        </is>
      </c>
      <c r="E9114" t="inlineStr">
        <is>
          <t>RAGUNDA</t>
        </is>
      </c>
      <c r="F9114" t="inlineStr">
        <is>
          <t>SCA</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61587-2025</t>
        </is>
      </c>
      <c r="B9115" s="1" t="n">
        <v>46002.34481481482</v>
      </c>
      <c r="C9115" s="1" t="n">
        <v>46045</v>
      </c>
      <c r="D9115" t="inlineStr">
        <is>
          <t>JÄMTLANDS LÄN</t>
        </is>
      </c>
      <c r="E9115" t="inlineStr">
        <is>
          <t>BRÄCKE</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4226-2026</t>
        </is>
      </c>
      <c r="B9116" s="1" t="n">
        <v>46044.85285879629</v>
      </c>
      <c r="C9116" s="1" t="n">
        <v>46045</v>
      </c>
      <c r="D9116" t="inlineStr">
        <is>
          <t>JÄMTLANDS LÄN</t>
        </is>
      </c>
      <c r="E9116" t="inlineStr">
        <is>
          <t>ÖSTERSUND</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61209-2025</t>
        </is>
      </c>
      <c r="B9117" s="1" t="n">
        <v>46000.61510416667</v>
      </c>
      <c r="C9117" s="1" t="n">
        <v>46045</v>
      </c>
      <c r="D9117" t="inlineStr">
        <is>
          <t>JÄMTLANDS LÄN</t>
        </is>
      </c>
      <c r="E9117" t="inlineStr">
        <is>
          <t>STRÖMSUND</t>
        </is>
      </c>
      <c r="F9117" t="inlineStr">
        <is>
          <t>SCA</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57840-2024</t>
        </is>
      </c>
      <c r="B9118" s="1" t="n">
        <v>45631</v>
      </c>
      <c r="C9118" s="1" t="n">
        <v>46045</v>
      </c>
      <c r="D9118" t="inlineStr">
        <is>
          <t>JÄMTLANDS LÄN</t>
        </is>
      </c>
      <c r="E9118" t="inlineStr">
        <is>
          <t>HÄRJEDALEN</t>
        </is>
      </c>
      <c r="F9118" t="inlineStr">
        <is>
          <t>Bergvik skog väst AB</t>
        </is>
      </c>
      <c r="G9118" t="n">
        <v>98.8</v>
      </c>
      <c r="H9118" t="n">
        <v>0</v>
      </c>
      <c r="I9118" t="n">
        <v>0</v>
      </c>
      <c r="J9118" t="n">
        <v>0</v>
      </c>
      <c r="K9118" t="n">
        <v>0</v>
      </c>
      <c r="L9118" t="n">
        <v>0</v>
      </c>
      <c r="M9118" t="n">
        <v>0</v>
      </c>
      <c r="N9118" t="n">
        <v>0</v>
      </c>
      <c r="O9118" t="n">
        <v>0</v>
      </c>
      <c r="P9118" t="n">
        <v>0</v>
      </c>
      <c r="Q9118" t="n">
        <v>0</v>
      </c>
      <c r="R9118" s="2" t="inlineStr"/>
    </row>
    <row r="9119" ht="15" customHeight="1">
      <c r="A9119" t="inlineStr">
        <is>
          <t>A 37116-2025</t>
        </is>
      </c>
      <c r="B9119" s="1" t="n">
        <v>45875.51150462963</v>
      </c>
      <c r="C9119" s="1" t="n">
        <v>46045</v>
      </c>
      <c r="D9119" t="inlineStr">
        <is>
          <t>JÄMTLANDS LÄN</t>
        </is>
      </c>
      <c r="E9119" t="inlineStr">
        <is>
          <t>BRÄCKE</t>
        </is>
      </c>
      <c r="F9119" t="inlineStr">
        <is>
          <t>SCA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46499-2024</t>
        </is>
      </c>
      <c r="B9120" s="1" t="n">
        <v>45582.59753472222</v>
      </c>
      <c r="C9120" s="1" t="n">
        <v>46045</v>
      </c>
      <c r="D9120" t="inlineStr">
        <is>
          <t>JÄMTLANDS LÄN</t>
        </is>
      </c>
      <c r="E9120" t="inlineStr">
        <is>
          <t>HÄRJEDALEN</t>
        </is>
      </c>
      <c r="F9120" t="inlineStr">
        <is>
          <t>Bergvik skog väst AB</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22602-2025</t>
        </is>
      </c>
      <c r="B9121" s="1" t="n">
        <v>45786</v>
      </c>
      <c r="C9121" s="1" t="n">
        <v>46045</v>
      </c>
      <c r="D9121" t="inlineStr">
        <is>
          <t>JÄMTLANDS LÄN</t>
        </is>
      </c>
      <c r="E9121" t="inlineStr">
        <is>
          <t>ÅRE</t>
        </is>
      </c>
      <c r="G9121" t="n">
        <v>13.1</v>
      </c>
      <c r="H9121" t="n">
        <v>0</v>
      </c>
      <c r="I9121" t="n">
        <v>0</v>
      </c>
      <c r="J9121" t="n">
        <v>0</v>
      </c>
      <c r="K9121" t="n">
        <v>0</v>
      </c>
      <c r="L9121" t="n">
        <v>0</v>
      </c>
      <c r="M9121" t="n">
        <v>0</v>
      </c>
      <c r="N9121" t="n">
        <v>0</v>
      </c>
      <c r="O9121" t="n">
        <v>0</v>
      </c>
      <c r="P9121" t="n">
        <v>0</v>
      </c>
      <c r="Q9121" t="n">
        <v>0</v>
      </c>
      <c r="R9121" s="2" t="inlineStr"/>
    </row>
    <row r="9122" ht="15" customHeight="1">
      <c r="A9122" t="inlineStr">
        <is>
          <t>A 37349-2025</t>
        </is>
      </c>
      <c r="B9122" s="1" t="n">
        <v>45876</v>
      </c>
      <c r="C9122" s="1" t="n">
        <v>46045</v>
      </c>
      <c r="D9122" t="inlineStr">
        <is>
          <t>JÄMTLANDS LÄN</t>
        </is>
      </c>
      <c r="E9122" t="inlineStr">
        <is>
          <t>KROKOM</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37350-2025</t>
        </is>
      </c>
      <c r="B9123" s="1" t="n">
        <v>45876</v>
      </c>
      <c r="C9123" s="1" t="n">
        <v>46045</v>
      </c>
      <c r="D9123" t="inlineStr">
        <is>
          <t>JÄMTLANDS LÄN</t>
        </is>
      </c>
      <c r="E9123" t="inlineStr">
        <is>
          <t>KROKOM</t>
        </is>
      </c>
      <c r="G9123" t="n">
        <v>29.9</v>
      </c>
      <c r="H9123" t="n">
        <v>0</v>
      </c>
      <c r="I9123" t="n">
        <v>0</v>
      </c>
      <c r="J9123" t="n">
        <v>0</v>
      </c>
      <c r="K9123" t="n">
        <v>0</v>
      </c>
      <c r="L9123" t="n">
        <v>0</v>
      </c>
      <c r="M9123" t="n">
        <v>0</v>
      </c>
      <c r="N9123" t="n">
        <v>0</v>
      </c>
      <c r="O9123" t="n">
        <v>0</v>
      </c>
      <c r="P9123" t="n">
        <v>0</v>
      </c>
      <c r="Q9123" t="n">
        <v>0</v>
      </c>
      <c r="R9123" s="2" t="inlineStr"/>
    </row>
    <row r="9124" ht="15" customHeight="1">
      <c r="A9124" t="inlineStr">
        <is>
          <t>A 22603-2025</t>
        </is>
      </c>
      <c r="B9124" s="1" t="n">
        <v>45786</v>
      </c>
      <c r="C9124" s="1" t="n">
        <v>46045</v>
      </c>
      <c r="D9124" t="inlineStr">
        <is>
          <t>JÄMTLANDS LÄN</t>
        </is>
      </c>
      <c r="E9124" t="inlineStr">
        <is>
          <t>ÅRE</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37241-2025</t>
        </is>
      </c>
      <c r="B9125" s="1" t="n">
        <v>45876.38599537037</v>
      </c>
      <c r="C9125" s="1" t="n">
        <v>46045</v>
      </c>
      <c r="D9125" t="inlineStr">
        <is>
          <t>JÄMTLANDS LÄN</t>
        </is>
      </c>
      <c r="E9125" t="inlineStr">
        <is>
          <t>BRÄCKE</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37244-2025</t>
        </is>
      </c>
      <c r="B9126" s="1" t="n">
        <v>45876.39362268519</v>
      </c>
      <c r="C9126" s="1" t="n">
        <v>46045</v>
      </c>
      <c r="D9126" t="inlineStr">
        <is>
          <t>JÄMTLANDS LÄN</t>
        </is>
      </c>
      <c r="E9126" t="inlineStr">
        <is>
          <t>HÄRJEDALEN</t>
        </is>
      </c>
      <c r="F9126" t="inlineStr">
        <is>
          <t>Bergvik skog väst AB</t>
        </is>
      </c>
      <c r="G9126" t="n">
        <v>14.4</v>
      </c>
      <c r="H9126" t="n">
        <v>0</v>
      </c>
      <c r="I9126" t="n">
        <v>0</v>
      </c>
      <c r="J9126" t="n">
        <v>0</v>
      </c>
      <c r="K9126" t="n">
        <v>0</v>
      </c>
      <c r="L9126" t="n">
        <v>0</v>
      </c>
      <c r="M9126" t="n">
        <v>0</v>
      </c>
      <c r="N9126" t="n">
        <v>0</v>
      </c>
      <c r="O9126" t="n">
        <v>0</v>
      </c>
      <c r="P9126" t="n">
        <v>0</v>
      </c>
      <c r="Q9126" t="n">
        <v>0</v>
      </c>
      <c r="R9126" s="2" t="inlineStr"/>
    </row>
    <row r="9127" ht="15" customHeight="1">
      <c r="A9127" t="inlineStr">
        <is>
          <t>A 37178-2025</t>
        </is>
      </c>
      <c r="B9127" s="1" t="n">
        <v>45875</v>
      </c>
      <c r="C9127" s="1" t="n">
        <v>46045</v>
      </c>
      <c r="D9127" t="inlineStr">
        <is>
          <t>JÄMTLANDS LÄN</t>
        </is>
      </c>
      <c r="E9127" t="inlineStr">
        <is>
          <t>ÅRE</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61402-2025</t>
        </is>
      </c>
      <c r="B9128" s="1" t="n">
        <v>46001.48325231481</v>
      </c>
      <c r="C9128" s="1" t="n">
        <v>46045</v>
      </c>
      <c r="D9128" t="inlineStr">
        <is>
          <t>JÄMTLANDS LÄN</t>
        </is>
      </c>
      <c r="E9128" t="inlineStr">
        <is>
          <t>KROKOM</t>
        </is>
      </c>
      <c r="G9128" t="n">
        <v>11.5</v>
      </c>
      <c r="H9128" t="n">
        <v>0</v>
      </c>
      <c r="I9128" t="n">
        <v>0</v>
      </c>
      <c r="J9128" t="n">
        <v>0</v>
      </c>
      <c r="K9128" t="n">
        <v>0</v>
      </c>
      <c r="L9128" t="n">
        <v>0</v>
      </c>
      <c r="M9128" t="n">
        <v>0</v>
      </c>
      <c r="N9128" t="n">
        <v>0</v>
      </c>
      <c r="O9128" t="n">
        <v>0</v>
      </c>
      <c r="P9128" t="n">
        <v>0</v>
      </c>
      <c r="Q9128" t="n">
        <v>0</v>
      </c>
      <c r="R9128" s="2" t="inlineStr"/>
    </row>
    <row r="9129" ht="15" customHeight="1">
      <c r="A9129" t="inlineStr">
        <is>
          <t>A 37292-2025</t>
        </is>
      </c>
      <c r="B9129" s="1" t="n">
        <v>45876.53188657408</v>
      </c>
      <c r="C9129" s="1" t="n">
        <v>46045</v>
      </c>
      <c r="D9129" t="inlineStr">
        <is>
          <t>JÄMTLANDS LÄN</t>
        </is>
      </c>
      <c r="E9129" t="inlineStr">
        <is>
          <t>RAGUNDA</t>
        </is>
      </c>
      <c r="F9129" t="inlineStr">
        <is>
          <t>SCA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61453-2025</t>
        </is>
      </c>
      <c r="B9130" s="1" t="n">
        <v>46001.58243055556</v>
      </c>
      <c r="C9130" s="1" t="n">
        <v>46045</v>
      </c>
      <c r="D9130" t="inlineStr">
        <is>
          <t>JÄMTLANDS LÄN</t>
        </is>
      </c>
      <c r="E9130" t="inlineStr">
        <is>
          <t>KROKOM</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61454-2025</t>
        </is>
      </c>
      <c r="B9131" s="1" t="n">
        <v>46001.58518518518</v>
      </c>
      <c r="C9131" s="1" t="n">
        <v>46045</v>
      </c>
      <c r="D9131" t="inlineStr">
        <is>
          <t>JÄMTLANDS LÄN</t>
        </is>
      </c>
      <c r="E9131" t="inlineStr">
        <is>
          <t>KROKOM</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39979-2024</t>
        </is>
      </c>
      <c r="B9132" s="1" t="n">
        <v>45553</v>
      </c>
      <c r="C9132" s="1" t="n">
        <v>46045</v>
      </c>
      <c r="D9132" t="inlineStr">
        <is>
          <t>JÄMTLANDS LÄN</t>
        </is>
      </c>
      <c r="E9132" t="inlineStr">
        <is>
          <t>STRÖMSUND</t>
        </is>
      </c>
      <c r="F9132" t="inlineStr">
        <is>
          <t>Kyrkan</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37330-2025</t>
        </is>
      </c>
      <c r="B9133" s="1" t="n">
        <v>45876.65702546296</v>
      </c>
      <c r="C9133" s="1" t="n">
        <v>46045</v>
      </c>
      <c r="D9133" t="inlineStr">
        <is>
          <t>JÄMTLANDS LÄN</t>
        </is>
      </c>
      <c r="E9133" t="inlineStr">
        <is>
          <t>STRÖMSUND</t>
        </is>
      </c>
      <c r="F9133" t="inlineStr">
        <is>
          <t>SCA</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37066-2025</t>
        </is>
      </c>
      <c r="B9134" s="1" t="n">
        <v>45875.3862962963</v>
      </c>
      <c r="C9134" s="1" t="n">
        <v>46045</v>
      </c>
      <c r="D9134" t="inlineStr">
        <is>
          <t>JÄMTLANDS LÄN</t>
        </is>
      </c>
      <c r="E9134" t="inlineStr">
        <is>
          <t>BERG</t>
        </is>
      </c>
      <c r="F9134" t="inlineStr">
        <is>
          <t>SCA</t>
        </is>
      </c>
      <c r="G9134" t="n">
        <v>9.6</v>
      </c>
      <c r="H9134" t="n">
        <v>0</v>
      </c>
      <c r="I9134" t="n">
        <v>0</v>
      </c>
      <c r="J9134" t="n">
        <v>0</v>
      </c>
      <c r="K9134" t="n">
        <v>0</v>
      </c>
      <c r="L9134" t="n">
        <v>0</v>
      </c>
      <c r="M9134" t="n">
        <v>0</v>
      </c>
      <c r="N9134" t="n">
        <v>0</v>
      </c>
      <c r="O9134" t="n">
        <v>0</v>
      </c>
      <c r="P9134" t="n">
        <v>0</v>
      </c>
      <c r="Q9134" t="n">
        <v>0</v>
      </c>
      <c r="R9134" s="2" t="inlineStr"/>
    </row>
    <row r="9135" ht="15" customHeight="1">
      <c r="A9135" t="inlineStr">
        <is>
          <t>A 61765-2025</t>
        </is>
      </c>
      <c r="B9135" s="1" t="n">
        <v>46002.63063657407</v>
      </c>
      <c r="C9135" s="1" t="n">
        <v>46045</v>
      </c>
      <c r="D9135" t="inlineStr">
        <is>
          <t>JÄMTLANDS LÄN</t>
        </is>
      </c>
      <c r="E9135" t="inlineStr">
        <is>
          <t>HÄRJEDALEN</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37096-2025</t>
        </is>
      </c>
      <c r="B9136" s="1" t="n">
        <v>45875.46940972222</v>
      </c>
      <c r="C9136" s="1" t="n">
        <v>46045</v>
      </c>
      <c r="D9136" t="inlineStr">
        <is>
          <t>JÄMTLANDS LÄN</t>
        </is>
      </c>
      <c r="E9136" t="inlineStr">
        <is>
          <t>STRÖMSUND</t>
        </is>
      </c>
      <c r="F9136" t="inlineStr">
        <is>
          <t>SCA</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43373-2025</t>
        </is>
      </c>
      <c r="B9137" s="1" t="n">
        <v>45911</v>
      </c>
      <c r="C9137" s="1" t="n">
        <v>46045</v>
      </c>
      <c r="D9137" t="inlineStr">
        <is>
          <t>JÄMTLANDS LÄN</t>
        </is>
      </c>
      <c r="E9137" t="inlineStr">
        <is>
          <t>KROKOM</t>
        </is>
      </c>
      <c r="G9137" t="n">
        <v>34.9</v>
      </c>
      <c r="H9137" t="n">
        <v>0</v>
      </c>
      <c r="I9137" t="n">
        <v>0</v>
      </c>
      <c r="J9137" t="n">
        <v>0</v>
      </c>
      <c r="K9137" t="n">
        <v>0</v>
      </c>
      <c r="L9137" t="n">
        <v>0</v>
      </c>
      <c r="M9137" t="n">
        <v>0</v>
      </c>
      <c r="N9137" t="n">
        <v>0</v>
      </c>
      <c r="O9137" t="n">
        <v>0</v>
      </c>
      <c r="P9137" t="n">
        <v>0</v>
      </c>
      <c r="Q9137" t="n">
        <v>0</v>
      </c>
      <c r="R9137" s="2" t="inlineStr"/>
    </row>
    <row r="9138" ht="15" customHeight="1">
      <c r="A9138" t="inlineStr">
        <is>
          <t>A 31543-2025</t>
        </is>
      </c>
      <c r="B9138" s="1" t="n">
        <v>45833</v>
      </c>
      <c r="C9138" s="1" t="n">
        <v>46045</v>
      </c>
      <c r="D9138" t="inlineStr">
        <is>
          <t>JÄMTLANDS LÄN</t>
        </is>
      </c>
      <c r="E9138" t="inlineStr">
        <is>
          <t>KROKOM</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50813-2024</t>
        </is>
      </c>
      <c r="B9139" s="1" t="n">
        <v>45602</v>
      </c>
      <c r="C9139" s="1" t="n">
        <v>46045</v>
      </c>
      <c r="D9139" t="inlineStr">
        <is>
          <t>JÄMTLANDS LÄN</t>
        </is>
      </c>
      <c r="E9139" t="inlineStr">
        <is>
          <t>BRÄCKE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37117-2025</t>
        </is>
      </c>
      <c r="B9140" s="1" t="n">
        <v>45875.51163194444</v>
      </c>
      <c r="C9140" s="1" t="n">
        <v>46045</v>
      </c>
      <c r="D9140" t="inlineStr">
        <is>
          <t>JÄMTLANDS LÄN</t>
        </is>
      </c>
      <c r="E9140" t="inlineStr">
        <is>
          <t>BRÄCKE</t>
        </is>
      </c>
      <c r="F9140" t="inlineStr">
        <is>
          <t>SCA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37123-2025</t>
        </is>
      </c>
      <c r="B9141" s="1" t="n">
        <v>45875.5259375</v>
      </c>
      <c r="C9141" s="1" t="n">
        <v>46045</v>
      </c>
      <c r="D9141" t="inlineStr">
        <is>
          <t>JÄMTLANDS LÄN</t>
        </is>
      </c>
      <c r="E9141" t="inlineStr">
        <is>
          <t>STRÖMSUND</t>
        </is>
      </c>
      <c r="F9141" t="inlineStr">
        <is>
          <t>Kyrkan</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37127-2025</t>
        </is>
      </c>
      <c r="B9142" s="1" t="n">
        <v>45875.53715277778</v>
      </c>
      <c r="C9142" s="1" t="n">
        <v>46045</v>
      </c>
      <c r="D9142" t="inlineStr">
        <is>
          <t>JÄMTLANDS LÄN</t>
        </is>
      </c>
      <c r="E9142" t="inlineStr">
        <is>
          <t>STRÖMSUND</t>
        </is>
      </c>
      <c r="F9142" t="inlineStr">
        <is>
          <t>Kyrkan</t>
        </is>
      </c>
      <c r="G9142" t="n">
        <v>5.5</v>
      </c>
      <c r="H9142" t="n">
        <v>0</v>
      </c>
      <c r="I9142" t="n">
        <v>0</v>
      </c>
      <c r="J9142" t="n">
        <v>0</v>
      </c>
      <c r="K9142" t="n">
        <v>0</v>
      </c>
      <c r="L9142" t="n">
        <v>0</v>
      </c>
      <c r="M9142" t="n">
        <v>0</v>
      </c>
      <c r="N9142" t="n">
        <v>0</v>
      </c>
      <c r="O9142" t="n">
        <v>0</v>
      </c>
      <c r="P9142" t="n">
        <v>0</v>
      </c>
      <c r="Q9142" t="n">
        <v>0</v>
      </c>
      <c r="R9142" s="2" t="inlineStr"/>
    </row>
    <row r="9143" ht="15" customHeight="1">
      <c r="A9143" t="inlineStr">
        <is>
          <t>A 41273-2025</t>
        </is>
      </c>
      <c r="B9143" s="1" t="n">
        <v>45898</v>
      </c>
      <c r="C9143" s="1" t="n">
        <v>46045</v>
      </c>
      <c r="D9143" t="inlineStr">
        <is>
          <t>JÄMTLANDS LÄN</t>
        </is>
      </c>
      <c r="E9143" t="inlineStr">
        <is>
          <t>ÅRE</t>
        </is>
      </c>
      <c r="F9143" t="inlineStr">
        <is>
          <t>Övriga Aktiebolag</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37235-2025</t>
        </is>
      </c>
      <c r="B9144" s="1" t="n">
        <v>45876.35336805556</v>
      </c>
      <c r="C9144" s="1" t="n">
        <v>46045</v>
      </c>
      <c r="D9144" t="inlineStr">
        <is>
          <t>JÄMTLANDS LÄN</t>
        </is>
      </c>
      <c r="E9144" t="inlineStr">
        <is>
          <t>STRÖMSUND</t>
        </is>
      </c>
      <c r="G9144" t="n">
        <v>39.2</v>
      </c>
      <c r="H9144" t="n">
        <v>0</v>
      </c>
      <c r="I9144" t="n">
        <v>0</v>
      </c>
      <c r="J9144" t="n">
        <v>0</v>
      </c>
      <c r="K9144" t="n">
        <v>0</v>
      </c>
      <c r="L9144" t="n">
        <v>0</v>
      </c>
      <c r="M9144" t="n">
        <v>0</v>
      </c>
      <c r="N9144" t="n">
        <v>0</v>
      </c>
      <c r="O9144" t="n">
        <v>0</v>
      </c>
      <c r="P9144" t="n">
        <v>0</v>
      </c>
      <c r="Q9144" t="n">
        <v>0</v>
      </c>
      <c r="R9144" s="2" t="inlineStr"/>
    </row>
    <row r="9145" ht="15" customHeight="1">
      <c r="A9145" t="inlineStr">
        <is>
          <t>A 37262-2025</t>
        </is>
      </c>
      <c r="B9145" s="1" t="n">
        <v>45876.45689814815</v>
      </c>
      <c r="C9145" s="1" t="n">
        <v>46045</v>
      </c>
      <c r="D9145" t="inlineStr">
        <is>
          <t>JÄMTLANDS LÄN</t>
        </is>
      </c>
      <c r="E9145" t="inlineStr">
        <is>
          <t>STRÖMSUND</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61630-2025</t>
        </is>
      </c>
      <c r="B9146" s="1" t="n">
        <v>46002.40526620371</v>
      </c>
      <c r="C9146" s="1" t="n">
        <v>46045</v>
      </c>
      <c r="D9146" t="inlineStr">
        <is>
          <t>JÄMTLANDS LÄN</t>
        </is>
      </c>
      <c r="E9146" t="inlineStr">
        <is>
          <t>STRÖMSUND</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21781-2025</t>
        </is>
      </c>
      <c r="B9147" s="1" t="n">
        <v>45783</v>
      </c>
      <c r="C9147" s="1" t="n">
        <v>46045</v>
      </c>
      <c r="D9147" t="inlineStr">
        <is>
          <t>JÄMTLANDS LÄN</t>
        </is>
      </c>
      <c r="E9147" t="inlineStr">
        <is>
          <t>STRÖMSUND</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48223-2025</t>
        </is>
      </c>
      <c r="B9148" s="1" t="n">
        <v>45931</v>
      </c>
      <c r="C9148" s="1" t="n">
        <v>46045</v>
      </c>
      <c r="D9148" t="inlineStr">
        <is>
          <t>JÄMTLANDS LÄN</t>
        </is>
      </c>
      <c r="E9148" t="inlineStr">
        <is>
          <t>ÅRE</t>
        </is>
      </c>
      <c r="G9148" t="n">
        <v>2.1</v>
      </c>
      <c r="H9148" t="n">
        <v>0</v>
      </c>
      <c r="I9148" t="n">
        <v>0</v>
      </c>
      <c r="J9148" t="n">
        <v>0</v>
      </c>
      <c r="K9148" t="n">
        <v>0</v>
      </c>
      <c r="L9148" t="n">
        <v>0</v>
      </c>
      <c r="M9148" t="n">
        <v>0</v>
      </c>
      <c r="N9148" t="n">
        <v>0</v>
      </c>
      <c r="O9148" t="n">
        <v>0</v>
      </c>
      <c r="P9148" t="n">
        <v>0</v>
      </c>
      <c r="Q9148" t="n">
        <v>0</v>
      </c>
      <c r="R9148" s="2" t="inlineStr"/>
      <c r="U9148">
        <f>HYPERLINK("https://klasma.github.io/Logging_2321/knärot/A 48223-2025 karta knärot.png", "A 48223-2025")</f>
        <v/>
      </c>
      <c r="V9148">
        <f>HYPERLINK("https://klasma.github.io/Logging_2321/klagomål/A 48223-2025 FSC-klagomål.docx", "A 48223-2025")</f>
        <v/>
      </c>
      <c r="W9148">
        <f>HYPERLINK("https://klasma.github.io/Logging_2321/klagomålsmail/A 48223-2025 FSC-klagomål mail.docx", "A 48223-2025")</f>
        <v/>
      </c>
      <c r="X9148">
        <f>HYPERLINK("https://klasma.github.io/Logging_2321/tillsyn/A 48223-2025 tillsynsbegäran.docx", "A 48223-2025")</f>
        <v/>
      </c>
      <c r="Y9148">
        <f>HYPERLINK("https://klasma.github.io/Logging_2321/tillsynsmail/A 48223-2025 tillsynsbegäran mail.docx", "A 48223-2025")</f>
        <v/>
      </c>
    </row>
    <row r="9149" ht="15" customHeight="1">
      <c r="A9149" t="inlineStr">
        <is>
          <t>A 27630-2025</t>
        </is>
      </c>
      <c r="B9149" s="1" t="n">
        <v>45813</v>
      </c>
      <c r="C9149" s="1" t="n">
        <v>46045</v>
      </c>
      <c r="D9149" t="inlineStr">
        <is>
          <t>JÄMTLANDS LÄN</t>
        </is>
      </c>
      <c r="E9149" t="inlineStr">
        <is>
          <t>ÅRE</t>
        </is>
      </c>
      <c r="G9149" t="n">
        <v>8.4</v>
      </c>
      <c r="H9149" t="n">
        <v>0</v>
      </c>
      <c r="I9149" t="n">
        <v>0</v>
      </c>
      <c r="J9149" t="n">
        <v>0</v>
      </c>
      <c r="K9149" t="n">
        <v>0</v>
      </c>
      <c r="L9149" t="n">
        <v>0</v>
      </c>
      <c r="M9149" t="n">
        <v>0</v>
      </c>
      <c r="N9149" t="n">
        <v>0</v>
      </c>
      <c r="O9149" t="n">
        <v>0</v>
      </c>
      <c r="P9149" t="n">
        <v>0</v>
      </c>
      <c r="Q9149" t="n">
        <v>0</v>
      </c>
      <c r="R9149" s="2" t="inlineStr"/>
    </row>
    <row r="9150" ht="15" customHeight="1">
      <c r="A9150" t="inlineStr">
        <is>
          <t>A 37346-2025</t>
        </is>
      </c>
      <c r="B9150" s="1" t="n">
        <v>45876</v>
      </c>
      <c r="C9150" s="1" t="n">
        <v>46045</v>
      </c>
      <c r="D9150" t="inlineStr">
        <is>
          <t>JÄMTLANDS LÄN</t>
        </is>
      </c>
      <c r="E9150" t="inlineStr">
        <is>
          <t>KROKOM</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3833-2026</t>
        </is>
      </c>
      <c r="B9151" s="1" t="n">
        <v>46043.58997685185</v>
      </c>
      <c r="C9151" s="1" t="n">
        <v>46045</v>
      </c>
      <c r="D9151" t="inlineStr">
        <is>
          <t>JÄMTLANDS LÄN</t>
        </is>
      </c>
      <c r="E9151" t="inlineStr">
        <is>
          <t>BRÄCKE</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3841-2026</t>
        </is>
      </c>
      <c r="B9152" s="1" t="n">
        <v>46043</v>
      </c>
      <c r="C9152" s="1" t="n">
        <v>46045</v>
      </c>
      <c r="D9152" t="inlineStr">
        <is>
          <t>JÄMTLANDS LÄN</t>
        </is>
      </c>
      <c r="E9152" t="inlineStr">
        <is>
          <t>RAGUNDA</t>
        </is>
      </c>
      <c r="F9152" t="inlineStr">
        <is>
          <t>Kommuner</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39864-2024</t>
        </is>
      </c>
      <c r="B9153" s="1" t="n">
        <v>45553.4584375</v>
      </c>
      <c r="C9153" s="1" t="n">
        <v>46045</v>
      </c>
      <c r="D9153" t="inlineStr">
        <is>
          <t>JÄMTLANDS LÄN</t>
        </is>
      </c>
      <c r="E9153" t="inlineStr">
        <is>
          <t>STRÖMSUND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37249-2025</t>
        </is>
      </c>
      <c r="B9154" s="1" t="n">
        <v>45876.40699074074</v>
      </c>
      <c r="C9154" s="1" t="n">
        <v>46045</v>
      </c>
      <c r="D9154" t="inlineStr">
        <is>
          <t>JÄMTLANDS LÄN</t>
        </is>
      </c>
      <c r="E9154" t="inlineStr">
        <is>
          <t>ÅRE</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37258-2025</t>
        </is>
      </c>
      <c r="B9155" s="1" t="n">
        <v>45876.44306712963</v>
      </c>
      <c r="C9155" s="1" t="n">
        <v>46045</v>
      </c>
      <c r="D9155" t="inlineStr">
        <is>
          <t>JÄMTLANDS LÄN</t>
        </is>
      </c>
      <c r="E9155" t="inlineStr">
        <is>
          <t>STRÖMSUND</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37158-2025</t>
        </is>
      </c>
      <c r="B9156" s="1" t="n">
        <v>45875</v>
      </c>
      <c r="C9156" s="1" t="n">
        <v>46045</v>
      </c>
      <c r="D9156" t="inlineStr">
        <is>
          <t>JÄMTLANDS LÄN</t>
        </is>
      </c>
      <c r="E9156" t="inlineStr">
        <is>
          <t>ÅRE</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61476-2025</t>
        </is>
      </c>
      <c r="B9157" s="1" t="n">
        <v>46001.62010416666</v>
      </c>
      <c r="C9157" s="1" t="n">
        <v>46045</v>
      </c>
      <c r="D9157" t="inlineStr">
        <is>
          <t>JÄMTLANDS LÄN</t>
        </is>
      </c>
      <c r="E9157" t="inlineStr">
        <is>
          <t>KROKOM</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61478-2025</t>
        </is>
      </c>
      <c r="B9158" s="1" t="n">
        <v>46001.62261574074</v>
      </c>
      <c r="C9158" s="1" t="n">
        <v>46045</v>
      </c>
      <c r="D9158" t="inlineStr">
        <is>
          <t>JÄMTLANDS LÄN</t>
        </is>
      </c>
      <c r="E9158" t="inlineStr">
        <is>
          <t>KROKOM</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54247-2024</t>
        </is>
      </c>
      <c r="B9159" s="1" t="n">
        <v>45616</v>
      </c>
      <c r="C9159" s="1" t="n">
        <v>46045</v>
      </c>
      <c r="D9159" t="inlineStr">
        <is>
          <t>JÄMTLANDS LÄN</t>
        </is>
      </c>
      <c r="E9159" t="inlineStr">
        <is>
          <t>ÅRE</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61509-2025</t>
        </is>
      </c>
      <c r="B9160" s="1" t="n">
        <v>46001.68189814815</v>
      </c>
      <c r="C9160" s="1" t="n">
        <v>46045</v>
      </c>
      <c r="D9160" t="inlineStr">
        <is>
          <t>JÄMTLANDS LÄN</t>
        </is>
      </c>
      <c r="E9160" t="inlineStr">
        <is>
          <t>RAGUNDA</t>
        </is>
      </c>
      <c r="F9160" t="inlineStr">
        <is>
          <t>SCA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37201-2025</t>
        </is>
      </c>
      <c r="B9161" s="1" t="n">
        <v>45875.67797453704</v>
      </c>
      <c r="C9161" s="1" t="n">
        <v>46045</v>
      </c>
      <c r="D9161" t="inlineStr">
        <is>
          <t>JÄMTLANDS LÄN</t>
        </is>
      </c>
      <c r="E9161" t="inlineStr">
        <is>
          <t>BERG</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37202-2025</t>
        </is>
      </c>
      <c r="B9162" s="1" t="n">
        <v>45875.67811342593</v>
      </c>
      <c r="C9162" s="1" t="n">
        <v>46045</v>
      </c>
      <c r="D9162" t="inlineStr">
        <is>
          <t>JÄMTLANDS LÄN</t>
        </is>
      </c>
      <c r="E9162" t="inlineStr">
        <is>
          <t>STRÖMSUND</t>
        </is>
      </c>
      <c r="F9162" t="inlineStr">
        <is>
          <t>SCA</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37106-2025</t>
        </is>
      </c>
      <c r="B9163" s="1" t="n">
        <v>45875.47854166666</v>
      </c>
      <c r="C9163" s="1" t="n">
        <v>46045</v>
      </c>
      <c r="D9163" t="inlineStr">
        <is>
          <t>JÄMTLANDS LÄN</t>
        </is>
      </c>
      <c r="E9163" t="inlineStr">
        <is>
          <t>HÄRJEDALEN</t>
        </is>
      </c>
      <c r="F9163" t="inlineStr">
        <is>
          <t>Holmen skog AB</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37111-2025</t>
        </is>
      </c>
      <c r="B9164" s="1" t="n">
        <v>45875.51046296296</v>
      </c>
      <c r="C9164" s="1" t="n">
        <v>46045</v>
      </c>
      <c r="D9164" t="inlineStr">
        <is>
          <t>JÄMTLANDS LÄN</t>
        </is>
      </c>
      <c r="E9164" t="inlineStr">
        <is>
          <t>KROKOM</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37118-2025</t>
        </is>
      </c>
      <c r="B9165" s="1" t="n">
        <v>45875</v>
      </c>
      <c r="C9165" s="1" t="n">
        <v>46045</v>
      </c>
      <c r="D9165" t="inlineStr">
        <is>
          <t>JÄMTLANDS LÄN</t>
        </is>
      </c>
      <c r="E9165" t="inlineStr">
        <is>
          <t>ÅRE</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43371-2025</t>
        </is>
      </c>
      <c r="B9166" s="1" t="n">
        <v>45911</v>
      </c>
      <c r="C9166" s="1" t="n">
        <v>46045</v>
      </c>
      <c r="D9166" t="inlineStr">
        <is>
          <t>JÄMTLANDS LÄN</t>
        </is>
      </c>
      <c r="E9166" t="inlineStr">
        <is>
          <t>KROKOM</t>
        </is>
      </c>
      <c r="G9166" t="n">
        <v>7.3</v>
      </c>
      <c r="H9166" t="n">
        <v>0</v>
      </c>
      <c r="I9166" t="n">
        <v>0</v>
      </c>
      <c r="J9166" t="n">
        <v>0</v>
      </c>
      <c r="K9166" t="n">
        <v>0</v>
      </c>
      <c r="L9166" t="n">
        <v>0</v>
      </c>
      <c r="M9166" t="n">
        <v>0</v>
      </c>
      <c r="N9166" t="n">
        <v>0</v>
      </c>
      <c r="O9166" t="n">
        <v>0</v>
      </c>
      <c r="P9166" t="n">
        <v>0</v>
      </c>
      <c r="Q9166" t="n">
        <v>0</v>
      </c>
      <c r="R9166" s="2" t="inlineStr"/>
    </row>
    <row r="9167" ht="15" customHeight="1">
      <c r="A9167" t="inlineStr">
        <is>
          <t>A 37122-2025</t>
        </is>
      </c>
      <c r="B9167" s="1" t="n">
        <v>45875.5196875</v>
      </c>
      <c r="C9167" s="1" t="n">
        <v>46045</v>
      </c>
      <c r="D9167" t="inlineStr">
        <is>
          <t>JÄMTLANDS LÄN</t>
        </is>
      </c>
      <c r="E9167" t="inlineStr">
        <is>
          <t>HÄRJEDALEN</t>
        </is>
      </c>
      <c r="G9167" t="n">
        <v>6.9</v>
      </c>
      <c r="H9167" t="n">
        <v>0</v>
      </c>
      <c r="I9167" t="n">
        <v>0</v>
      </c>
      <c r="J9167" t="n">
        <v>0</v>
      </c>
      <c r="K9167" t="n">
        <v>0</v>
      </c>
      <c r="L9167" t="n">
        <v>0</v>
      </c>
      <c r="M9167" t="n">
        <v>0</v>
      </c>
      <c r="N9167" t="n">
        <v>0</v>
      </c>
      <c r="O9167" t="n">
        <v>0</v>
      </c>
      <c r="P9167" t="n">
        <v>0</v>
      </c>
      <c r="Q9167" t="n">
        <v>0</v>
      </c>
      <c r="R9167" s="2" t="inlineStr"/>
    </row>
    <row r="9168" ht="15" customHeight="1">
      <c r="A9168" t="inlineStr">
        <is>
          <t>A 37062-2025</t>
        </is>
      </c>
      <c r="B9168" s="1" t="n">
        <v>45875.38579861111</v>
      </c>
      <c r="C9168" s="1" t="n">
        <v>46045</v>
      </c>
      <c r="D9168" t="inlineStr">
        <is>
          <t>JÄMTLANDS LÄN</t>
        </is>
      </c>
      <c r="E9168" t="inlineStr">
        <is>
          <t>BERG</t>
        </is>
      </c>
      <c r="F9168" t="inlineStr">
        <is>
          <t>SCA</t>
        </is>
      </c>
      <c r="G9168" t="n">
        <v>8.5</v>
      </c>
      <c r="H9168" t="n">
        <v>0</v>
      </c>
      <c r="I9168" t="n">
        <v>0</v>
      </c>
      <c r="J9168" t="n">
        <v>0</v>
      </c>
      <c r="K9168" t="n">
        <v>0</v>
      </c>
      <c r="L9168" t="n">
        <v>0</v>
      </c>
      <c r="M9168" t="n">
        <v>0</v>
      </c>
      <c r="N9168" t="n">
        <v>0</v>
      </c>
      <c r="O9168" t="n">
        <v>0</v>
      </c>
      <c r="P9168" t="n">
        <v>0</v>
      </c>
      <c r="Q9168" t="n">
        <v>0</v>
      </c>
      <c r="R9168" s="2" t="inlineStr"/>
    </row>
    <row r="9169" ht="15" customHeight="1">
      <c r="A9169" t="inlineStr">
        <is>
          <t>A 4122-2026</t>
        </is>
      </c>
      <c r="B9169" s="1" t="n">
        <v>46044.61547453704</v>
      </c>
      <c r="C9169" s="1" t="n">
        <v>46045</v>
      </c>
      <c r="D9169" t="inlineStr">
        <is>
          <t>JÄMTLANDS LÄN</t>
        </is>
      </c>
      <c r="E9169" t="inlineStr">
        <is>
          <t>BRÄCKE</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4124-2026</t>
        </is>
      </c>
      <c r="B9170" s="1" t="n">
        <v>46044.61603009259</v>
      </c>
      <c r="C9170" s="1" t="n">
        <v>46045</v>
      </c>
      <c r="D9170" t="inlineStr">
        <is>
          <t>JÄMTLANDS LÄN</t>
        </is>
      </c>
      <c r="E9170" t="inlineStr">
        <is>
          <t>BRÄCKE</t>
        </is>
      </c>
      <c r="F9170" t="inlineStr">
        <is>
          <t>SCA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61575-2025</t>
        </is>
      </c>
      <c r="B9171" s="1" t="n">
        <v>46002.32048611111</v>
      </c>
      <c r="C9171" s="1" t="n">
        <v>46045</v>
      </c>
      <c r="D9171" t="inlineStr">
        <is>
          <t>JÄMTLANDS LÄN</t>
        </is>
      </c>
      <c r="E9171" t="inlineStr">
        <is>
          <t>KROKOM</t>
        </is>
      </c>
      <c r="F9171" t="inlineStr">
        <is>
          <t>Övriga Aktiebolag</t>
        </is>
      </c>
      <c r="G9171" t="n">
        <v>11.1</v>
      </c>
      <c r="H9171" t="n">
        <v>0</v>
      </c>
      <c r="I9171" t="n">
        <v>0</v>
      </c>
      <c r="J9171" t="n">
        <v>0</v>
      </c>
      <c r="K9171" t="n">
        <v>0</v>
      </c>
      <c r="L9171" t="n">
        <v>0</v>
      </c>
      <c r="M9171" t="n">
        <v>0</v>
      </c>
      <c r="N9171" t="n">
        <v>0</v>
      </c>
      <c r="O9171" t="n">
        <v>0</v>
      </c>
      <c r="P9171" t="n">
        <v>0</v>
      </c>
      <c r="Q9171" t="n">
        <v>0</v>
      </c>
      <c r="R9171" s="2" t="inlineStr"/>
    </row>
    <row r="9172" ht="15" customHeight="1">
      <c r="A9172" t="inlineStr">
        <is>
          <t>A 54237-2024</t>
        </is>
      </c>
      <c r="B9172" s="1" t="n">
        <v>45616.67833333334</v>
      </c>
      <c r="C9172" s="1" t="n">
        <v>46045</v>
      </c>
      <c r="D9172" t="inlineStr">
        <is>
          <t>JÄMTLANDS LÄN</t>
        </is>
      </c>
      <c r="E9172" t="inlineStr">
        <is>
          <t>ÖSTERSUND</t>
        </is>
      </c>
      <c r="F9172" t="inlineStr">
        <is>
          <t>SCA</t>
        </is>
      </c>
      <c r="G9172" t="n">
        <v>8.9</v>
      </c>
      <c r="H9172" t="n">
        <v>0</v>
      </c>
      <c r="I9172" t="n">
        <v>0</v>
      </c>
      <c r="J9172" t="n">
        <v>0</v>
      </c>
      <c r="K9172" t="n">
        <v>0</v>
      </c>
      <c r="L9172" t="n">
        <v>0</v>
      </c>
      <c r="M9172" t="n">
        <v>0</v>
      </c>
      <c r="N9172" t="n">
        <v>0</v>
      </c>
      <c r="O9172" t="n">
        <v>0</v>
      </c>
      <c r="P9172" t="n">
        <v>0</v>
      </c>
      <c r="Q9172" t="n">
        <v>0</v>
      </c>
      <c r="R9172" s="2" t="inlineStr"/>
    </row>
    <row r="9173" ht="15" customHeight="1">
      <c r="A9173" t="inlineStr">
        <is>
          <t>A 37185-2025</t>
        </is>
      </c>
      <c r="B9173" s="1" t="n">
        <v>45875.63608796296</v>
      </c>
      <c r="C9173" s="1" t="n">
        <v>46045</v>
      </c>
      <c r="D9173" t="inlineStr">
        <is>
          <t>JÄMTLANDS LÄN</t>
        </is>
      </c>
      <c r="E9173" t="inlineStr">
        <is>
          <t>BRÄCKE</t>
        </is>
      </c>
      <c r="F9173" t="inlineStr">
        <is>
          <t>SCA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36341-2025</t>
        </is>
      </c>
      <c r="B9174" s="1" t="n">
        <v>45868</v>
      </c>
      <c r="C9174" s="1" t="n">
        <v>46045</v>
      </c>
      <c r="D9174" t="inlineStr">
        <is>
          <t>JÄMTLANDS LÄN</t>
        </is>
      </c>
      <c r="E9174" t="inlineStr">
        <is>
          <t>BERG</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3963-2026</t>
        </is>
      </c>
      <c r="B9175" s="1" t="n">
        <v>46044</v>
      </c>
      <c r="C9175" s="1" t="n">
        <v>46045</v>
      </c>
      <c r="D9175" t="inlineStr">
        <is>
          <t>JÄMTLANDS LÄN</t>
        </is>
      </c>
      <c r="E9175" t="inlineStr">
        <is>
          <t>KROKOM</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37274-2025</t>
        </is>
      </c>
      <c r="B9176" s="1" t="n">
        <v>45876.48733796296</v>
      </c>
      <c r="C9176" s="1" t="n">
        <v>46045</v>
      </c>
      <c r="D9176" t="inlineStr">
        <is>
          <t>JÄMTLANDS LÄN</t>
        </is>
      </c>
      <c r="E9176" t="inlineStr">
        <is>
          <t>STRÖMSUND</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26789-2025</t>
        </is>
      </c>
      <c r="B9177" s="1" t="n">
        <v>45810</v>
      </c>
      <c r="C9177" s="1" t="n">
        <v>46045</v>
      </c>
      <c r="D9177" t="inlineStr">
        <is>
          <t>JÄMTLANDS LÄN</t>
        </is>
      </c>
      <c r="E9177" t="inlineStr">
        <is>
          <t>STRÖMSUND</t>
        </is>
      </c>
      <c r="G9177" t="n">
        <v>9.300000000000001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37074-2025</t>
        </is>
      </c>
      <c r="B9178" s="1" t="n">
        <v>45875.40717592592</v>
      </c>
      <c r="C9178" s="1" t="n">
        <v>46045</v>
      </c>
      <c r="D9178" t="inlineStr">
        <is>
          <t>JÄMTLANDS LÄN</t>
        </is>
      </c>
      <c r="E9178" t="inlineStr">
        <is>
          <t>BRÄCKE</t>
        </is>
      </c>
      <c r="F9178" t="inlineStr">
        <is>
          <t>SCA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37281-2025</t>
        </is>
      </c>
      <c r="B9179" s="1" t="n">
        <v>45876.49113425926</v>
      </c>
      <c r="C9179" s="1" t="n">
        <v>46045</v>
      </c>
      <c r="D9179" t="inlineStr">
        <is>
          <t>JÄMTLANDS LÄN</t>
        </is>
      </c>
      <c r="E9179" t="inlineStr">
        <is>
          <t>HÄRJEDALEN</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37291-2025</t>
        </is>
      </c>
      <c r="B9180" s="1" t="n">
        <v>45876.53166666667</v>
      </c>
      <c r="C9180" s="1" t="n">
        <v>46045</v>
      </c>
      <c r="D9180" t="inlineStr">
        <is>
          <t>JÄMTLANDS LÄN</t>
        </is>
      </c>
      <c r="E9180" t="inlineStr">
        <is>
          <t>STRÖMSUND</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37305-2025</t>
        </is>
      </c>
      <c r="B9181" s="1" t="n">
        <v>45876.59471064815</v>
      </c>
      <c r="C9181" s="1" t="n">
        <v>46045</v>
      </c>
      <c r="D9181" t="inlineStr">
        <is>
          <t>JÄMTLANDS LÄN</t>
        </is>
      </c>
      <c r="E9181" t="inlineStr">
        <is>
          <t>STRÖMSUND</t>
        </is>
      </c>
      <c r="F9181" t="inlineStr">
        <is>
          <t>SCA</t>
        </is>
      </c>
      <c r="G9181" t="n">
        <v>8.6</v>
      </c>
      <c r="H9181" t="n">
        <v>0</v>
      </c>
      <c r="I9181" t="n">
        <v>0</v>
      </c>
      <c r="J9181" t="n">
        <v>0</v>
      </c>
      <c r="K9181" t="n">
        <v>0</v>
      </c>
      <c r="L9181" t="n">
        <v>0</v>
      </c>
      <c r="M9181" t="n">
        <v>0</v>
      </c>
      <c r="N9181" t="n">
        <v>0</v>
      </c>
      <c r="O9181" t="n">
        <v>0</v>
      </c>
      <c r="P9181" t="n">
        <v>0</v>
      </c>
      <c r="Q9181" t="n">
        <v>0</v>
      </c>
      <c r="R9181" s="2" t="inlineStr"/>
    </row>
    <row r="9182" ht="15" customHeight="1">
      <c r="A9182" t="inlineStr">
        <is>
          <t>A 31426-2025</t>
        </is>
      </c>
      <c r="B9182" s="1" t="n">
        <v>45833</v>
      </c>
      <c r="C9182" s="1" t="n">
        <v>46045</v>
      </c>
      <c r="D9182" t="inlineStr">
        <is>
          <t>JÄMTLANDS LÄN</t>
        </is>
      </c>
      <c r="E9182" t="inlineStr">
        <is>
          <t>KROKOM</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37093-2025</t>
        </is>
      </c>
      <c r="B9183" s="1" t="n">
        <v>45875.46909722222</v>
      </c>
      <c r="C9183" s="1" t="n">
        <v>46045</v>
      </c>
      <c r="D9183" t="inlineStr">
        <is>
          <t>JÄMTLANDS LÄN</t>
        </is>
      </c>
      <c r="E9183" t="inlineStr">
        <is>
          <t>BRÄCKE</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37097-2025</t>
        </is>
      </c>
      <c r="B9184" s="1" t="n">
        <v>45875.46953703704</v>
      </c>
      <c r="C9184" s="1" t="n">
        <v>46045</v>
      </c>
      <c r="D9184" t="inlineStr">
        <is>
          <t>JÄMTLANDS LÄN</t>
        </is>
      </c>
      <c r="E9184" t="inlineStr">
        <is>
          <t>STRÖMSUND</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49291-2024</t>
        </is>
      </c>
      <c r="B9185" s="1" t="n">
        <v>45595.53299768519</v>
      </c>
      <c r="C9185" s="1" t="n">
        <v>46045</v>
      </c>
      <c r="D9185" t="inlineStr">
        <is>
          <t>JÄMTLANDS LÄN</t>
        </is>
      </c>
      <c r="E9185" t="inlineStr">
        <is>
          <t>BRÄCKE</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37085-2025</t>
        </is>
      </c>
      <c r="B9186" s="1" t="n">
        <v>45875.44840277778</v>
      </c>
      <c r="C9186" s="1" t="n">
        <v>46045</v>
      </c>
      <c r="D9186" t="inlineStr">
        <is>
          <t>JÄMTLANDS LÄN</t>
        </is>
      </c>
      <c r="E9186" t="inlineStr">
        <is>
          <t>ÖSTERSUND</t>
        </is>
      </c>
      <c r="G9186" t="n">
        <v>5.5</v>
      </c>
      <c r="H9186" t="n">
        <v>0</v>
      </c>
      <c r="I9186" t="n">
        <v>0</v>
      </c>
      <c r="J9186" t="n">
        <v>0</v>
      </c>
      <c r="K9186" t="n">
        <v>0</v>
      </c>
      <c r="L9186" t="n">
        <v>0</v>
      </c>
      <c r="M9186" t="n">
        <v>0</v>
      </c>
      <c r="N9186" t="n">
        <v>0</v>
      </c>
      <c r="O9186" t="n">
        <v>0</v>
      </c>
      <c r="P9186" t="n">
        <v>0</v>
      </c>
      <c r="Q9186" t="n">
        <v>0</v>
      </c>
      <c r="R9186" s="2" t="inlineStr"/>
    </row>
    <row r="9187" ht="15" customHeight="1">
      <c r="A9187" t="inlineStr">
        <is>
          <t>A 18942-2025</t>
        </is>
      </c>
      <c r="B9187" s="1" t="n">
        <v>45764</v>
      </c>
      <c r="C9187" s="1" t="n">
        <v>46045</v>
      </c>
      <c r="D9187" t="inlineStr">
        <is>
          <t>JÄMTLANDS LÄN</t>
        </is>
      </c>
      <c r="E9187" t="inlineStr">
        <is>
          <t>KROKOM</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31427-2025</t>
        </is>
      </c>
      <c r="B9188" s="1" t="n">
        <v>45833</v>
      </c>
      <c r="C9188" s="1" t="n">
        <v>46045</v>
      </c>
      <c r="D9188" t="inlineStr">
        <is>
          <t>JÄMTLANDS LÄN</t>
        </is>
      </c>
      <c r="E9188" t="inlineStr">
        <is>
          <t>KROKOM</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65210-2023</t>
        </is>
      </c>
      <c r="B9189" s="1" t="n">
        <v>45289</v>
      </c>
      <c r="C9189" s="1" t="n">
        <v>46045</v>
      </c>
      <c r="D9189" t="inlineStr">
        <is>
          <t>JÄMTLANDS LÄN</t>
        </is>
      </c>
      <c r="E9189" t="inlineStr">
        <is>
          <t>BERG</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37159-2025</t>
        </is>
      </c>
      <c r="B9190" s="1" t="n">
        <v>45875</v>
      </c>
      <c r="C9190" s="1" t="n">
        <v>46045</v>
      </c>
      <c r="D9190" t="inlineStr">
        <is>
          <t>JÄMTLANDS LÄN</t>
        </is>
      </c>
      <c r="E9190" t="inlineStr">
        <is>
          <t>ÅRE</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37272-2025</t>
        </is>
      </c>
      <c r="B9191" s="1" t="n">
        <v>45876.47997685185</v>
      </c>
      <c r="C9191" s="1" t="n">
        <v>46045</v>
      </c>
      <c r="D9191" t="inlineStr">
        <is>
          <t>JÄMTLANDS LÄN</t>
        </is>
      </c>
      <c r="E9191" t="inlineStr">
        <is>
          <t>STRÖMSUND</t>
        </is>
      </c>
      <c r="G9191" t="n">
        <v>7.5</v>
      </c>
      <c r="H9191" t="n">
        <v>0</v>
      </c>
      <c r="I9191" t="n">
        <v>0</v>
      </c>
      <c r="J9191" t="n">
        <v>0</v>
      </c>
      <c r="K9191" t="n">
        <v>0</v>
      </c>
      <c r="L9191" t="n">
        <v>0</v>
      </c>
      <c r="M9191" t="n">
        <v>0</v>
      </c>
      <c r="N9191" t="n">
        <v>0</v>
      </c>
      <c r="O9191" t="n">
        <v>0</v>
      </c>
      <c r="P9191" t="n">
        <v>0</v>
      </c>
      <c r="Q9191" t="n">
        <v>0</v>
      </c>
      <c r="R9191" s="2" t="inlineStr"/>
    </row>
    <row r="9192" ht="15" customHeight="1">
      <c r="A9192" t="inlineStr">
        <is>
          <t>A 37451-2025</t>
        </is>
      </c>
      <c r="B9192" s="1" t="n">
        <v>45877.55271990741</v>
      </c>
      <c r="C9192" s="1" t="n">
        <v>46045</v>
      </c>
      <c r="D9192" t="inlineStr">
        <is>
          <t>JÄMTLANDS LÄN</t>
        </is>
      </c>
      <c r="E9192" t="inlineStr">
        <is>
          <t>STRÖMSUND</t>
        </is>
      </c>
      <c r="F9192" t="inlineStr">
        <is>
          <t>SCA</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37412-2025</t>
        </is>
      </c>
      <c r="B9193" s="1" t="n">
        <v>45877.46915509259</v>
      </c>
      <c r="C9193" s="1" t="n">
        <v>46045</v>
      </c>
      <c r="D9193" t="inlineStr">
        <is>
          <t>JÄMTLANDS LÄN</t>
        </is>
      </c>
      <c r="E9193" t="inlineStr">
        <is>
          <t>BRÄCKE</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37455-2025</t>
        </is>
      </c>
      <c r="B9194" s="1" t="n">
        <v>45877.56710648148</v>
      </c>
      <c r="C9194" s="1" t="n">
        <v>46045</v>
      </c>
      <c r="D9194" t="inlineStr">
        <is>
          <t>JÄMTLANDS LÄN</t>
        </is>
      </c>
      <c r="E9194" t="inlineStr">
        <is>
          <t>BERG</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3776-2026</t>
        </is>
      </c>
      <c r="B9195" s="1" t="n">
        <v>46043</v>
      </c>
      <c r="C9195" s="1" t="n">
        <v>46045</v>
      </c>
      <c r="D9195" t="inlineStr">
        <is>
          <t>JÄMTLANDS LÄN</t>
        </is>
      </c>
      <c r="E9195" t="inlineStr">
        <is>
          <t>KROKOM</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37403-2025</t>
        </is>
      </c>
      <c r="B9196" s="1" t="n">
        <v>45877.44828703703</v>
      </c>
      <c r="C9196" s="1" t="n">
        <v>46045</v>
      </c>
      <c r="D9196" t="inlineStr">
        <is>
          <t>JÄMTLANDS LÄN</t>
        </is>
      </c>
      <c r="E9196" t="inlineStr">
        <is>
          <t>BRÄCKE</t>
        </is>
      </c>
      <c r="F9196" t="inlineStr">
        <is>
          <t>SCA</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37411-2025</t>
        </is>
      </c>
      <c r="B9197" s="1" t="n">
        <v>45877.46912037037</v>
      </c>
      <c r="C9197" s="1" t="n">
        <v>46045</v>
      </c>
      <c r="D9197" t="inlineStr">
        <is>
          <t>JÄMTLANDS LÄN</t>
        </is>
      </c>
      <c r="E9197" t="inlineStr">
        <is>
          <t>BRÄCKE</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15364-2024</t>
        </is>
      </c>
      <c r="B9198" s="1" t="n">
        <v>45400</v>
      </c>
      <c r="C9198" s="1" t="n">
        <v>46045</v>
      </c>
      <c r="D9198" t="inlineStr">
        <is>
          <t>JÄMTLANDS LÄN</t>
        </is>
      </c>
      <c r="E9198" t="inlineStr">
        <is>
          <t>STRÖMSUND</t>
        </is>
      </c>
      <c r="G9198" t="n">
        <v>9.800000000000001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13370-2024</t>
        </is>
      </c>
      <c r="B9199" s="1" t="n">
        <v>45387</v>
      </c>
      <c r="C9199" s="1" t="n">
        <v>46045</v>
      </c>
      <c r="D9199" t="inlineStr">
        <is>
          <t>JÄMTLANDS LÄN</t>
        </is>
      </c>
      <c r="E9199" t="inlineStr">
        <is>
          <t>ÅRE</t>
        </is>
      </c>
      <c r="G9199" t="n">
        <v>8.5</v>
      </c>
      <c r="H9199" t="n">
        <v>0</v>
      </c>
      <c r="I9199" t="n">
        <v>0</v>
      </c>
      <c r="J9199" t="n">
        <v>0</v>
      </c>
      <c r="K9199" t="n">
        <v>0</v>
      </c>
      <c r="L9199" t="n">
        <v>0</v>
      </c>
      <c r="M9199" t="n">
        <v>0</v>
      </c>
      <c r="N9199" t="n">
        <v>0</v>
      </c>
      <c r="O9199" t="n">
        <v>0</v>
      </c>
      <c r="P9199" t="n">
        <v>0</v>
      </c>
      <c r="Q9199" t="n">
        <v>0</v>
      </c>
      <c r="R9199" s="2" t="inlineStr"/>
    </row>
    <row r="9200" ht="15" customHeight="1">
      <c r="A9200" t="inlineStr">
        <is>
          <t>A 37459-2025</t>
        </is>
      </c>
      <c r="B9200" s="1" t="n">
        <v>45877.57327546296</v>
      </c>
      <c r="C9200" s="1" t="n">
        <v>46045</v>
      </c>
      <c r="D9200" t="inlineStr">
        <is>
          <t>JÄMTLANDS LÄN</t>
        </is>
      </c>
      <c r="E9200" t="inlineStr">
        <is>
          <t>BRÄCKE</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61460-2025</t>
        </is>
      </c>
      <c r="B9201" s="1" t="n">
        <v>46001.59425925926</v>
      </c>
      <c r="C9201" s="1" t="n">
        <v>46045</v>
      </c>
      <c r="D9201" t="inlineStr">
        <is>
          <t>JÄMTLANDS LÄN</t>
        </is>
      </c>
      <c r="E9201" t="inlineStr">
        <is>
          <t>BERG</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61471-2025</t>
        </is>
      </c>
      <c r="B9202" s="1" t="n">
        <v>46001.6153587963</v>
      </c>
      <c r="C9202" s="1" t="n">
        <v>46045</v>
      </c>
      <c r="D9202" t="inlineStr">
        <is>
          <t>JÄMTLANDS LÄN</t>
        </is>
      </c>
      <c r="E9202" t="inlineStr">
        <is>
          <t>HÄRJEDALEN</t>
        </is>
      </c>
      <c r="G9202" t="n">
        <v>9.300000000000001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37530-2025</t>
        </is>
      </c>
      <c r="B9203" s="1" t="n">
        <v>45878</v>
      </c>
      <c r="C9203" s="1" t="n">
        <v>46045</v>
      </c>
      <c r="D9203" t="inlineStr">
        <is>
          <t>JÄMTLANDS LÄN</t>
        </is>
      </c>
      <c r="E9203" t="inlineStr">
        <is>
          <t>KROKOM</t>
        </is>
      </c>
      <c r="F9203" t="inlineStr">
        <is>
          <t>SCA</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3802-2026</t>
        </is>
      </c>
      <c r="B9204" s="1" t="n">
        <v>46043.58290509259</v>
      </c>
      <c r="C9204" s="1" t="n">
        <v>46045</v>
      </c>
      <c r="D9204" t="inlineStr">
        <is>
          <t>JÄMTLANDS LÄN</t>
        </is>
      </c>
      <c r="E9204" t="inlineStr">
        <is>
          <t>KROKOM</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3810-2026</t>
        </is>
      </c>
      <c r="B9205" s="1" t="n">
        <v>46043.58373842593</v>
      </c>
      <c r="C9205" s="1" t="n">
        <v>46045</v>
      </c>
      <c r="D9205" t="inlineStr">
        <is>
          <t>JÄMTLANDS LÄN</t>
        </is>
      </c>
      <c r="E9205" t="inlineStr">
        <is>
          <t>BERG</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61045-2025</t>
        </is>
      </c>
      <c r="B9206" s="1" t="n">
        <v>46000.28285879629</v>
      </c>
      <c r="C9206" s="1" t="n">
        <v>46045</v>
      </c>
      <c r="D9206" t="inlineStr">
        <is>
          <t>JÄMTLANDS LÄN</t>
        </is>
      </c>
      <c r="E9206" t="inlineStr">
        <is>
          <t>KROKOM</t>
        </is>
      </c>
      <c r="F9206" t="inlineStr">
        <is>
          <t>Övriga Aktiebolag</t>
        </is>
      </c>
      <c r="G9206" t="n">
        <v>8.1</v>
      </c>
      <c r="H9206" t="n">
        <v>0</v>
      </c>
      <c r="I9206" t="n">
        <v>0</v>
      </c>
      <c r="J9206" t="n">
        <v>0</v>
      </c>
      <c r="K9206" t="n">
        <v>0</v>
      </c>
      <c r="L9206" t="n">
        <v>0</v>
      </c>
      <c r="M9206" t="n">
        <v>0</v>
      </c>
      <c r="N9206" t="n">
        <v>0</v>
      </c>
      <c r="O9206" t="n">
        <v>0</v>
      </c>
      <c r="P9206" t="n">
        <v>0</v>
      </c>
      <c r="Q9206" t="n">
        <v>0</v>
      </c>
      <c r="R9206" s="2" t="inlineStr"/>
    </row>
    <row r="9207" ht="15" customHeight="1">
      <c r="A9207" t="inlineStr">
        <is>
          <t>A 62388-2025</t>
        </is>
      </c>
      <c r="B9207" s="1" t="n">
        <v>46006</v>
      </c>
      <c r="C9207" s="1" t="n">
        <v>46045</v>
      </c>
      <c r="D9207" t="inlineStr">
        <is>
          <t>JÄMTLANDS LÄN</t>
        </is>
      </c>
      <c r="E9207" t="inlineStr">
        <is>
          <t>HÄRJEDALEN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37370-2025</t>
        </is>
      </c>
      <c r="B9208" s="1" t="n">
        <v>45877.34458333333</v>
      </c>
      <c r="C9208" s="1" t="n">
        <v>46045</v>
      </c>
      <c r="D9208" t="inlineStr">
        <is>
          <t>JÄMTLANDS LÄN</t>
        </is>
      </c>
      <c r="E9208" t="inlineStr">
        <is>
          <t>STRÖMSUND</t>
        </is>
      </c>
      <c r="F9208" t="inlineStr">
        <is>
          <t>SCA</t>
        </is>
      </c>
      <c r="G9208" t="n">
        <v>9.699999999999999</v>
      </c>
      <c r="H9208" t="n">
        <v>0</v>
      </c>
      <c r="I9208" t="n">
        <v>0</v>
      </c>
      <c r="J9208" t="n">
        <v>0</v>
      </c>
      <c r="K9208" t="n">
        <v>0</v>
      </c>
      <c r="L9208" t="n">
        <v>0</v>
      </c>
      <c r="M9208" t="n">
        <v>0</v>
      </c>
      <c r="N9208" t="n">
        <v>0</v>
      </c>
      <c r="O9208" t="n">
        <v>0</v>
      </c>
      <c r="P9208" t="n">
        <v>0</v>
      </c>
      <c r="Q9208" t="n">
        <v>0</v>
      </c>
      <c r="R9208" s="2" t="inlineStr"/>
    </row>
    <row r="9209" ht="15" customHeight="1">
      <c r="A9209" t="inlineStr">
        <is>
          <t>A 37395-2025</t>
        </is>
      </c>
      <c r="B9209" s="1" t="n">
        <v>45877.42790509259</v>
      </c>
      <c r="C9209" s="1" t="n">
        <v>46045</v>
      </c>
      <c r="D9209" t="inlineStr">
        <is>
          <t>JÄMTLANDS LÄN</t>
        </is>
      </c>
      <c r="E9209" t="inlineStr">
        <is>
          <t>STRÖMSUND</t>
        </is>
      </c>
      <c r="F9209" t="inlineStr">
        <is>
          <t>SCA</t>
        </is>
      </c>
      <c r="G9209" t="n">
        <v>12.1</v>
      </c>
      <c r="H9209" t="n">
        <v>0</v>
      </c>
      <c r="I9209" t="n">
        <v>0</v>
      </c>
      <c r="J9209" t="n">
        <v>0</v>
      </c>
      <c r="K9209" t="n">
        <v>0</v>
      </c>
      <c r="L9209" t="n">
        <v>0</v>
      </c>
      <c r="M9209" t="n">
        <v>0</v>
      </c>
      <c r="N9209" t="n">
        <v>0</v>
      </c>
      <c r="O9209" t="n">
        <v>0</v>
      </c>
      <c r="P9209" t="n">
        <v>0</v>
      </c>
      <c r="Q9209" t="n">
        <v>0</v>
      </c>
      <c r="R9209" s="2" t="inlineStr"/>
    </row>
    <row r="9210" ht="15" customHeight="1">
      <c r="A9210" t="inlineStr">
        <is>
          <t>A 37423-2025</t>
        </is>
      </c>
      <c r="B9210" s="1" t="n">
        <v>45877.48996527777</v>
      </c>
      <c r="C9210" s="1" t="n">
        <v>46045</v>
      </c>
      <c r="D9210" t="inlineStr">
        <is>
          <t>JÄMTLANDS LÄN</t>
        </is>
      </c>
      <c r="E9210" t="inlineStr">
        <is>
          <t>BRÄCKE</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61661-2025</t>
        </is>
      </c>
      <c r="B9211" s="1" t="n">
        <v>46002.46351851852</v>
      </c>
      <c r="C9211" s="1" t="n">
        <v>46045</v>
      </c>
      <c r="D9211" t="inlineStr">
        <is>
          <t>JÄMTLANDS LÄN</t>
        </is>
      </c>
      <c r="E9211" t="inlineStr">
        <is>
          <t>KROKOM</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23406-2023</t>
        </is>
      </c>
      <c r="B9212" s="1" t="n">
        <v>45076</v>
      </c>
      <c r="C9212" s="1" t="n">
        <v>46045</v>
      </c>
      <c r="D9212" t="inlineStr">
        <is>
          <t>JÄMTLANDS LÄN</t>
        </is>
      </c>
      <c r="E9212" t="inlineStr">
        <is>
          <t>STRÖMSUND</t>
        </is>
      </c>
      <c r="G9212" t="n">
        <v>11.7</v>
      </c>
      <c r="H9212" t="n">
        <v>0</v>
      </c>
      <c r="I9212" t="n">
        <v>0</v>
      </c>
      <c r="J9212" t="n">
        <v>0</v>
      </c>
      <c r="K9212" t="n">
        <v>0</v>
      </c>
      <c r="L9212" t="n">
        <v>0</v>
      </c>
      <c r="M9212" t="n">
        <v>0</v>
      </c>
      <c r="N9212" t="n">
        <v>0</v>
      </c>
      <c r="O9212" t="n">
        <v>0</v>
      </c>
      <c r="P9212" t="n">
        <v>0</v>
      </c>
      <c r="Q9212" t="n">
        <v>0</v>
      </c>
      <c r="R9212" s="2" t="inlineStr"/>
    </row>
    <row r="9213" ht="15" customHeight="1">
      <c r="A9213" t="inlineStr">
        <is>
          <t>A 3813-2026</t>
        </is>
      </c>
      <c r="B9213" s="1" t="n">
        <v>46043.58447916667</v>
      </c>
      <c r="C9213" s="1" t="n">
        <v>46045</v>
      </c>
      <c r="D9213" t="inlineStr">
        <is>
          <t>JÄMTLANDS LÄN</t>
        </is>
      </c>
      <c r="E9213" t="inlineStr">
        <is>
          <t>RAGUNDA</t>
        </is>
      </c>
      <c r="F9213" t="inlineStr">
        <is>
          <t>SCA</t>
        </is>
      </c>
      <c r="G9213" t="n">
        <v>23.2</v>
      </c>
      <c r="H9213" t="n">
        <v>0</v>
      </c>
      <c r="I9213" t="n">
        <v>0</v>
      </c>
      <c r="J9213" t="n">
        <v>0</v>
      </c>
      <c r="K9213" t="n">
        <v>0</v>
      </c>
      <c r="L9213" t="n">
        <v>0</v>
      </c>
      <c r="M9213" t="n">
        <v>0</v>
      </c>
      <c r="N9213" t="n">
        <v>0</v>
      </c>
      <c r="O9213" t="n">
        <v>0</v>
      </c>
      <c r="P9213" t="n">
        <v>0</v>
      </c>
      <c r="Q9213" t="n">
        <v>0</v>
      </c>
      <c r="R9213" s="2" t="inlineStr"/>
    </row>
    <row r="9214" ht="15" customHeight="1">
      <c r="A9214" t="inlineStr">
        <is>
          <t>A 37938-2025</t>
        </is>
      </c>
      <c r="B9214" s="1" t="n">
        <v>45880</v>
      </c>
      <c r="C9214" s="1" t="n">
        <v>46045</v>
      </c>
      <c r="D9214" t="inlineStr">
        <is>
          <t>JÄMTLANDS LÄN</t>
        </is>
      </c>
      <c r="E9214" t="inlineStr">
        <is>
          <t>BRÄCKE</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41988-2024</t>
        </is>
      </c>
      <c r="B9215" s="1" t="n">
        <v>45561.63615740741</v>
      </c>
      <c r="C9215" s="1" t="n">
        <v>46045</v>
      </c>
      <c r="D9215" t="inlineStr">
        <is>
          <t>JÄMTLANDS LÄN</t>
        </is>
      </c>
      <c r="E9215" t="inlineStr">
        <is>
          <t>STRÖMSUND</t>
        </is>
      </c>
      <c r="F9215" t="inlineStr">
        <is>
          <t>SCA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42143-2023</t>
        </is>
      </c>
      <c r="B9216" s="1" t="n">
        <v>45177.9224537037</v>
      </c>
      <c r="C9216" s="1" t="n">
        <v>46045</v>
      </c>
      <c r="D9216" t="inlineStr">
        <is>
          <t>JÄMTLANDS LÄN</t>
        </is>
      </c>
      <c r="E9216" t="inlineStr">
        <is>
          <t>HÄRJEDALEN</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37571-2025</t>
        </is>
      </c>
      <c r="B9217" s="1" t="n">
        <v>45880.37472222222</v>
      </c>
      <c r="C9217" s="1" t="n">
        <v>46045</v>
      </c>
      <c r="D9217" t="inlineStr">
        <is>
          <t>JÄMTLANDS LÄN</t>
        </is>
      </c>
      <c r="E9217" t="inlineStr">
        <is>
          <t>HÄRJEDALEN</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58105-2024</t>
        </is>
      </c>
      <c r="B9218" s="1" t="n">
        <v>45632</v>
      </c>
      <c r="C9218" s="1" t="n">
        <v>46045</v>
      </c>
      <c r="D9218" t="inlineStr">
        <is>
          <t>JÄMTLANDS LÄN</t>
        </is>
      </c>
      <c r="E9218" t="inlineStr">
        <is>
          <t>HÄRJEDALEN</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4063-2026</t>
        </is>
      </c>
      <c r="B9219" s="1" t="n">
        <v>46044.51086805556</v>
      </c>
      <c r="C9219" s="1" t="n">
        <v>46045</v>
      </c>
      <c r="D9219" t="inlineStr">
        <is>
          <t>JÄMTLANDS LÄN</t>
        </is>
      </c>
      <c r="E9219" t="inlineStr">
        <is>
          <t>STRÖMSUND</t>
        </is>
      </c>
      <c r="F9219" t="inlineStr">
        <is>
          <t>SCA</t>
        </is>
      </c>
      <c r="G9219" t="n">
        <v>10.5</v>
      </c>
      <c r="H9219" t="n">
        <v>0</v>
      </c>
      <c r="I9219" t="n">
        <v>0</v>
      </c>
      <c r="J9219" t="n">
        <v>0</v>
      </c>
      <c r="K9219" t="n">
        <v>0</v>
      </c>
      <c r="L9219" t="n">
        <v>0</v>
      </c>
      <c r="M9219" t="n">
        <v>0</v>
      </c>
      <c r="N9219" t="n">
        <v>0</v>
      </c>
      <c r="O9219" t="n">
        <v>0</v>
      </c>
      <c r="P9219" t="n">
        <v>0</v>
      </c>
      <c r="Q9219" t="n">
        <v>0</v>
      </c>
      <c r="R9219" s="2" t="inlineStr"/>
    </row>
    <row r="9220" ht="15" customHeight="1">
      <c r="A9220" t="inlineStr">
        <is>
          <t>A 53046-2023</t>
        </is>
      </c>
      <c r="B9220" s="1" t="n">
        <v>45226.96388888889</v>
      </c>
      <c r="C9220" s="1" t="n">
        <v>46045</v>
      </c>
      <c r="D9220" t="inlineStr">
        <is>
          <t>JÄMTLANDS LÄN</t>
        </is>
      </c>
      <c r="E9220" t="inlineStr">
        <is>
          <t>BRÄCKE</t>
        </is>
      </c>
      <c r="F9220" t="inlineStr">
        <is>
          <t>SCA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4087-2026</t>
        </is>
      </c>
      <c r="B9221" s="1" t="n">
        <v>46044.55247685185</v>
      </c>
      <c r="C9221" s="1" t="n">
        <v>46045</v>
      </c>
      <c r="D9221" t="inlineStr">
        <is>
          <t>JÄMTLANDS LÄN</t>
        </is>
      </c>
      <c r="E9221" t="inlineStr">
        <is>
          <t>BRÄCKE</t>
        </is>
      </c>
      <c r="F9221" t="inlineStr">
        <is>
          <t>SCA</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4099-2026</t>
        </is>
      </c>
      <c r="B9222" s="1" t="n">
        <v>46044.57357638889</v>
      </c>
      <c r="C9222" s="1" t="n">
        <v>46045</v>
      </c>
      <c r="D9222" t="inlineStr">
        <is>
          <t>JÄMTLANDS LÄN</t>
        </is>
      </c>
      <c r="E9222" t="inlineStr">
        <is>
          <t>RAGUNDA</t>
        </is>
      </c>
      <c r="G9222" t="n">
        <v>8.4</v>
      </c>
      <c r="H9222" t="n">
        <v>0</v>
      </c>
      <c r="I9222" t="n">
        <v>0</v>
      </c>
      <c r="J9222" t="n">
        <v>0</v>
      </c>
      <c r="K9222" t="n">
        <v>0</v>
      </c>
      <c r="L9222" t="n">
        <v>0</v>
      </c>
      <c r="M9222" t="n">
        <v>0</v>
      </c>
      <c r="N9222" t="n">
        <v>0</v>
      </c>
      <c r="O9222" t="n">
        <v>0</v>
      </c>
      <c r="P9222" t="n">
        <v>0</v>
      </c>
      <c r="Q9222" t="n">
        <v>0</v>
      </c>
      <c r="R9222" s="2" t="inlineStr"/>
    </row>
    <row r="9223" ht="15" customHeight="1">
      <c r="A9223" t="inlineStr">
        <is>
          <t>A 4100-2026</t>
        </is>
      </c>
      <c r="B9223" s="1" t="n">
        <v>46044.57376157407</v>
      </c>
      <c r="C9223" s="1" t="n">
        <v>46045</v>
      </c>
      <c r="D9223" t="inlineStr">
        <is>
          <t>JÄMTLANDS LÄN</t>
        </is>
      </c>
      <c r="E9223" t="inlineStr">
        <is>
          <t>BRÄCKE</t>
        </is>
      </c>
      <c r="F9223" t="inlineStr">
        <is>
          <t>SCA</t>
        </is>
      </c>
      <c r="G9223" t="n">
        <v>20.5</v>
      </c>
      <c r="H9223" t="n">
        <v>0</v>
      </c>
      <c r="I9223" t="n">
        <v>0</v>
      </c>
      <c r="J9223" t="n">
        <v>0</v>
      </c>
      <c r="K9223" t="n">
        <v>0</v>
      </c>
      <c r="L9223" t="n">
        <v>0</v>
      </c>
      <c r="M9223" t="n">
        <v>0</v>
      </c>
      <c r="N9223" t="n">
        <v>0</v>
      </c>
      <c r="O9223" t="n">
        <v>0</v>
      </c>
      <c r="P9223" t="n">
        <v>0</v>
      </c>
      <c r="Q9223" t="n">
        <v>0</v>
      </c>
      <c r="R9223" s="2" t="inlineStr"/>
    </row>
    <row r="9224" ht="15" customHeight="1">
      <c r="A9224" t="inlineStr">
        <is>
          <t>A 37394-2025</t>
        </is>
      </c>
      <c r="B9224" s="1" t="n">
        <v>45877.4275462963</v>
      </c>
      <c r="C9224" s="1" t="n">
        <v>46045</v>
      </c>
      <c r="D9224" t="inlineStr">
        <is>
          <t>JÄMTLANDS LÄN</t>
        </is>
      </c>
      <c r="E9224" t="inlineStr">
        <is>
          <t>BRÄCKE</t>
        </is>
      </c>
      <c r="F9224" t="inlineStr">
        <is>
          <t>SCA</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15455-2023</t>
        </is>
      </c>
      <c r="B9225" s="1" t="n">
        <v>45019</v>
      </c>
      <c r="C9225" s="1" t="n">
        <v>46045</v>
      </c>
      <c r="D9225" t="inlineStr">
        <is>
          <t>JÄMTLANDS LÄN</t>
        </is>
      </c>
      <c r="E9225" t="inlineStr">
        <is>
          <t>STRÖMSUND</t>
        </is>
      </c>
      <c r="G9225" t="n">
        <v>20.3</v>
      </c>
      <c r="H9225" t="n">
        <v>0</v>
      </c>
      <c r="I9225" t="n">
        <v>0</v>
      </c>
      <c r="J9225" t="n">
        <v>0</v>
      </c>
      <c r="K9225" t="n">
        <v>0</v>
      </c>
      <c r="L9225" t="n">
        <v>0</v>
      </c>
      <c r="M9225" t="n">
        <v>0</v>
      </c>
      <c r="N9225" t="n">
        <v>0</v>
      </c>
      <c r="O9225" t="n">
        <v>0</v>
      </c>
      <c r="P9225" t="n">
        <v>0</v>
      </c>
      <c r="Q9225" t="n">
        <v>0</v>
      </c>
      <c r="R9225" s="2" t="inlineStr"/>
    </row>
    <row r="9226" ht="15" customHeight="1">
      <c r="A9226" t="inlineStr">
        <is>
          <t>A 61161-2025</t>
        </is>
      </c>
      <c r="B9226" s="1" t="n">
        <v>46000.55484953704</v>
      </c>
      <c r="C9226" s="1" t="n">
        <v>46045</v>
      </c>
      <c r="D9226" t="inlineStr">
        <is>
          <t>JÄMTLANDS LÄN</t>
        </is>
      </c>
      <c r="E9226" t="inlineStr">
        <is>
          <t>KROKOM</t>
        </is>
      </c>
      <c r="G9226" t="n">
        <v>8.699999999999999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37430-2025</t>
        </is>
      </c>
      <c r="B9227" s="1" t="n">
        <v>45877.50881944445</v>
      </c>
      <c r="C9227" s="1" t="n">
        <v>46045</v>
      </c>
      <c r="D9227" t="inlineStr">
        <is>
          <t>JÄMTLANDS LÄN</t>
        </is>
      </c>
      <c r="E9227" t="inlineStr">
        <is>
          <t>STRÖMSUND</t>
        </is>
      </c>
      <c r="F9227" t="inlineStr">
        <is>
          <t>Holmen skog AB</t>
        </is>
      </c>
      <c r="G9227" t="n">
        <v>15.1</v>
      </c>
      <c r="H9227" t="n">
        <v>0</v>
      </c>
      <c r="I9227" t="n">
        <v>0</v>
      </c>
      <c r="J9227" t="n">
        <v>0</v>
      </c>
      <c r="K9227" t="n">
        <v>0</v>
      </c>
      <c r="L9227" t="n">
        <v>0</v>
      </c>
      <c r="M9227" t="n">
        <v>0</v>
      </c>
      <c r="N9227" t="n">
        <v>0</v>
      </c>
      <c r="O9227" t="n">
        <v>0</v>
      </c>
      <c r="P9227" t="n">
        <v>0</v>
      </c>
      <c r="Q9227" t="n">
        <v>0</v>
      </c>
      <c r="R9227" s="2" t="inlineStr"/>
    </row>
    <row r="9228" ht="15" customHeight="1">
      <c r="A9228" t="inlineStr">
        <is>
          <t>A 37431-2025</t>
        </is>
      </c>
      <c r="B9228" s="1" t="n">
        <v>45877.51092592593</v>
      </c>
      <c r="C9228" s="1" t="n">
        <v>46045</v>
      </c>
      <c r="D9228" t="inlineStr">
        <is>
          <t>JÄMTLANDS LÄN</t>
        </is>
      </c>
      <c r="E9228" t="inlineStr">
        <is>
          <t>BERG</t>
        </is>
      </c>
      <c r="F9228" t="inlineStr">
        <is>
          <t>SCA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37709-2025</t>
        </is>
      </c>
      <c r="B9229" s="1" t="n">
        <v>45880.59458333333</v>
      </c>
      <c r="C9229" s="1" t="n">
        <v>46045</v>
      </c>
      <c r="D9229" t="inlineStr">
        <is>
          <t>JÄMTLANDS LÄN</t>
        </is>
      </c>
      <c r="E9229" t="inlineStr">
        <is>
          <t>BRÄCKE</t>
        </is>
      </c>
      <c r="F9229" t="inlineStr">
        <is>
          <t>SCA</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61459-2025</t>
        </is>
      </c>
      <c r="B9230" s="1" t="n">
        <v>46001.59416666667</v>
      </c>
      <c r="C9230" s="1" t="n">
        <v>46045</v>
      </c>
      <c r="D9230" t="inlineStr">
        <is>
          <t>JÄMTLANDS LÄN</t>
        </is>
      </c>
      <c r="E9230" t="inlineStr">
        <is>
          <t>BERG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37377-2025</t>
        </is>
      </c>
      <c r="B9231" s="1" t="n">
        <v>45877.3653125</v>
      </c>
      <c r="C9231" s="1" t="n">
        <v>46045</v>
      </c>
      <c r="D9231" t="inlineStr">
        <is>
          <t>JÄMTLANDS LÄN</t>
        </is>
      </c>
      <c r="E9231" t="inlineStr">
        <is>
          <t>BRÄCKE</t>
        </is>
      </c>
      <c r="F9231" t="inlineStr">
        <is>
          <t>SCA</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61755-2025</t>
        </is>
      </c>
      <c r="B9232" s="1" t="n">
        <v>46002</v>
      </c>
      <c r="C9232" s="1" t="n">
        <v>46045</v>
      </c>
      <c r="D9232" t="inlineStr">
        <is>
          <t>JÄMTLANDS LÄN</t>
        </is>
      </c>
      <c r="E9232" t="inlineStr">
        <is>
          <t>RAGUNDA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61044-2025</t>
        </is>
      </c>
      <c r="B9233" s="1" t="n">
        <v>46000.28030092592</v>
      </c>
      <c r="C9233" s="1" t="n">
        <v>46045</v>
      </c>
      <c r="D9233" t="inlineStr">
        <is>
          <t>JÄMTLANDS LÄN</t>
        </is>
      </c>
      <c r="E9233" t="inlineStr">
        <is>
          <t>KROKOM</t>
        </is>
      </c>
      <c r="F9233" t="inlineStr">
        <is>
          <t>Övriga Aktiebolag</t>
        </is>
      </c>
      <c r="G9233" t="n">
        <v>15.8</v>
      </c>
      <c r="H9233" t="n">
        <v>0</v>
      </c>
      <c r="I9233" t="n">
        <v>0</v>
      </c>
      <c r="J9233" t="n">
        <v>0</v>
      </c>
      <c r="K9233" t="n">
        <v>0</v>
      </c>
      <c r="L9233" t="n">
        <v>0</v>
      </c>
      <c r="M9233" t="n">
        <v>0</v>
      </c>
      <c r="N9233" t="n">
        <v>0</v>
      </c>
      <c r="O9233" t="n">
        <v>0</v>
      </c>
      <c r="P9233" t="n">
        <v>0</v>
      </c>
      <c r="Q9233" t="n">
        <v>0</v>
      </c>
      <c r="R9233" s="2" t="inlineStr"/>
    </row>
    <row r="9234" ht="15" customHeight="1">
      <c r="A9234" t="inlineStr">
        <is>
          <t>A 4223-2026</t>
        </is>
      </c>
      <c r="B9234" s="1" t="n">
        <v>46044.84650462963</v>
      </c>
      <c r="C9234" s="1" t="n">
        <v>46045</v>
      </c>
      <c r="D9234" t="inlineStr">
        <is>
          <t>JÄMTLANDS LÄN</t>
        </is>
      </c>
      <c r="E9234" t="inlineStr">
        <is>
          <t>ÖSTERSUND</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61435-2025</t>
        </is>
      </c>
      <c r="B9235" s="1" t="n">
        <v>46001.56234953704</v>
      </c>
      <c r="C9235" s="1" t="n">
        <v>46045</v>
      </c>
      <c r="D9235" t="inlineStr">
        <is>
          <t>JÄMTLANDS LÄN</t>
        </is>
      </c>
      <c r="E9235" t="inlineStr">
        <is>
          <t>STRÖMSUND</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37619-2025</t>
        </is>
      </c>
      <c r="B9236" s="1" t="n">
        <v>45880.44827546296</v>
      </c>
      <c r="C9236" s="1" t="n">
        <v>46045</v>
      </c>
      <c r="D9236" t="inlineStr">
        <is>
          <t>JÄMTLANDS LÄN</t>
        </is>
      </c>
      <c r="E9236" t="inlineStr">
        <is>
          <t>STRÖMSUND</t>
        </is>
      </c>
      <c r="F9236" t="inlineStr">
        <is>
          <t>SCA</t>
        </is>
      </c>
      <c r="G9236" t="n">
        <v>10</v>
      </c>
      <c r="H9236" t="n">
        <v>0</v>
      </c>
      <c r="I9236" t="n">
        <v>0</v>
      </c>
      <c r="J9236" t="n">
        <v>0</v>
      </c>
      <c r="K9236" t="n">
        <v>0</v>
      </c>
      <c r="L9236" t="n">
        <v>0</v>
      </c>
      <c r="M9236" t="n">
        <v>0</v>
      </c>
      <c r="N9236" t="n">
        <v>0</v>
      </c>
      <c r="O9236" t="n">
        <v>0</v>
      </c>
      <c r="P9236" t="n">
        <v>0</v>
      </c>
      <c r="Q9236" t="n">
        <v>0</v>
      </c>
      <c r="R9236" s="2" t="inlineStr"/>
    </row>
    <row r="9237" ht="15" customHeight="1">
      <c r="A9237" t="inlineStr">
        <is>
          <t>A 61443-2025</t>
        </is>
      </c>
      <c r="B9237" s="1" t="n">
        <v>46001.57354166666</v>
      </c>
      <c r="C9237" s="1" t="n">
        <v>46045</v>
      </c>
      <c r="D9237" t="inlineStr">
        <is>
          <t>JÄMTLANDS LÄN</t>
        </is>
      </c>
      <c r="E9237" t="inlineStr">
        <is>
          <t>KROKOM</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37405-2025</t>
        </is>
      </c>
      <c r="B9238" s="1" t="n">
        <v>45877.44858796296</v>
      </c>
      <c r="C9238" s="1" t="n">
        <v>46045</v>
      </c>
      <c r="D9238" t="inlineStr">
        <is>
          <t>JÄMTLANDS LÄN</t>
        </is>
      </c>
      <c r="E9238" t="inlineStr">
        <is>
          <t>BRÄCKE</t>
        </is>
      </c>
      <c r="F9238" t="inlineStr">
        <is>
          <t>SCA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3695-2026</t>
        </is>
      </c>
      <c r="B9239" s="1" t="n">
        <v>46043</v>
      </c>
      <c r="C9239" s="1" t="n">
        <v>46045</v>
      </c>
      <c r="D9239" t="inlineStr">
        <is>
          <t>JÄMTLANDS LÄN</t>
        </is>
      </c>
      <c r="E9239" t="inlineStr">
        <is>
          <t>KROKOM</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3795-2026</t>
        </is>
      </c>
      <c r="B9240" s="1" t="n">
        <v>46043.57891203704</v>
      </c>
      <c r="C9240" s="1" t="n">
        <v>46045</v>
      </c>
      <c r="D9240" t="inlineStr">
        <is>
          <t>JÄMTLANDS LÄN</t>
        </is>
      </c>
      <c r="E9240" t="inlineStr">
        <is>
          <t>HÄRJEDALEN</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3798-2026</t>
        </is>
      </c>
      <c r="B9241" s="1" t="n">
        <v>46043.5822800926</v>
      </c>
      <c r="C9241" s="1" t="n">
        <v>46045</v>
      </c>
      <c r="D9241" t="inlineStr">
        <is>
          <t>JÄMTLANDS LÄN</t>
        </is>
      </c>
      <c r="E9241" t="inlineStr">
        <is>
          <t>KROKOM</t>
        </is>
      </c>
      <c r="F9241" t="inlineStr">
        <is>
          <t>SCA</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3784-2026</t>
        </is>
      </c>
      <c r="B9242" s="1" t="n">
        <v>46043.57167824074</v>
      </c>
      <c r="C9242" s="1" t="n">
        <v>46045</v>
      </c>
      <c r="D9242" t="inlineStr">
        <is>
          <t>JÄMTLANDS LÄN</t>
        </is>
      </c>
      <c r="E9242" t="inlineStr">
        <is>
          <t>BRÄCKE</t>
        </is>
      </c>
      <c r="G9242" t="n">
        <v>7.8</v>
      </c>
      <c r="H9242" t="n">
        <v>0</v>
      </c>
      <c r="I9242" t="n">
        <v>0</v>
      </c>
      <c r="J9242" t="n">
        <v>0</v>
      </c>
      <c r="K9242" t="n">
        <v>0</v>
      </c>
      <c r="L9242" t="n">
        <v>0</v>
      </c>
      <c r="M9242" t="n">
        <v>0</v>
      </c>
      <c r="N9242" t="n">
        <v>0</v>
      </c>
      <c r="O9242" t="n">
        <v>0</v>
      </c>
      <c r="P9242" t="n">
        <v>0</v>
      </c>
      <c r="Q9242" t="n">
        <v>0</v>
      </c>
      <c r="R9242" s="2" t="inlineStr"/>
    </row>
    <row r="9243" ht="15" customHeight="1">
      <c r="A9243" t="inlineStr">
        <is>
          <t>A 1684-2026</t>
        </is>
      </c>
      <c r="B9243" s="1" t="n">
        <v>46034.58386574074</v>
      </c>
      <c r="C9243" s="1" t="n">
        <v>46045</v>
      </c>
      <c r="D9243" t="inlineStr">
        <is>
          <t>JÄMTLANDS LÄN</t>
        </is>
      </c>
      <c r="E9243" t="inlineStr">
        <is>
          <t>BERG</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45378-2025</t>
        </is>
      </c>
      <c r="B9244" s="1" t="n">
        <v>45922.39506944444</v>
      </c>
      <c r="C9244" s="1" t="n">
        <v>46045</v>
      </c>
      <c r="D9244" t="inlineStr">
        <is>
          <t>JÄMTLANDS LÄN</t>
        </is>
      </c>
      <c r="E9244" t="inlineStr">
        <is>
          <t>ÅRE</t>
        </is>
      </c>
      <c r="G9244" t="n">
        <v>15.7</v>
      </c>
      <c r="H9244" t="n">
        <v>0</v>
      </c>
      <c r="I9244" t="n">
        <v>0</v>
      </c>
      <c r="J9244" t="n">
        <v>0</v>
      </c>
      <c r="K9244" t="n">
        <v>0</v>
      </c>
      <c r="L9244" t="n">
        <v>0</v>
      </c>
      <c r="M9244" t="n">
        <v>0</v>
      </c>
      <c r="N9244" t="n">
        <v>0</v>
      </c>
      <c r="O9244" t="n">
        <v>0</v>
      </c>
      <c r="P9244" t="n">
        <v>0</v>
      </c>
      <c r="Q9244" t="n">
        <v>0</v>
      </c>
      <c r="R9244" s="2" t="inlineStr"/>
    </row>
    <row r="9245" ht="15" customHeight="1">
      <c r="A9245" t="inlineStr">
        <is>
          <t>A 35010-2025</t>
        </is>
      </c>
      <c r="B9245" s="1" t="n">
        <v>45851</v>
      </c>
      <c r="C9245" s="1" t="n">
        <v>46045</v>
      </c>
      <c r="D9245" t="inlineStr">
        <is>
          <t>JÄMTLANDS LÄN</t>
        </is>
      </c>
      <c r="E9245" t="inlineStr">
        <is>
          <t>STRÖMSUND</t>
        </is>
      </c>
      <c r="F9245" t="inlineStr">
        <is>
          <t>SCA</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3846-2026</t>
        </is>
      </c>
      <c r="B9246" s="1" t="n">
        <v>46043.60299768519</v>
      </c>
      <c r="C9246" s="1" t="n">
        <v>46045</v>
      </c>
      <c r="D9246" t="inlineStr">
        <is>
          <t>JÄMTLANDS LÄN</t>
        </is>
      </c>
      <c r="E9246" t="inlineStr">
        <is>
          <t>STRÖMSUND</t>
        </is>
      </c>
      <c r="F9246" t="inlineStr">
        <is>
          <t>SCA</t>
        </is>
      </c>
      <c r="G9246" t="n">
        <v>15.4</v>
      </c>
      <c r="H9246" t="n">
        <v>0</v>
      </c>
      <c r="I9246" t="n">
        <v>0</v>
      </c>
      <c r="J9246" t="n">
        <v>0</v>
      </c>
      <c r="K9246" t="n">
        <v>0</v>
      </c>
      <c r="L9246" t="n">
        <v>0</v>
      </c>
      <c r="M9246" t="n">
        <v>0</v>
      </c>
      <c r="N9246" t="n">
        <v>0</v>
      </c>
      <c r="O9246" t="n">
        <v>0</v>
      </c>
      <c r="P9246" t="n">
        <v>0</v>
      </c>
      <c r="Q9246" t="n">
        <v>0</v>
      </c>
      <c r="R9246" s="2" t="inlineStr"/>
    </row>
    <row r="9247" ht="15" customHeight="1">
      <c r="A9247" t="inlineStr">
        <is>
          <t>A 37708-2025</t>
        </is>
      </c>
      <c r="B9247" s="1" t="n">
        <v>45880.59440972222</v>
      </c>
      <c r="C9247" s="1" t="n">
        <v>46045</v>
      </c>
      <c r="D9247" t="inlineStr">
        <is>
          <t>JÄMTLANDS LÄN</t>
        </is>
      </c>
      <c r="E9247" t="inlineStr">
        <is>
          <t>STRÖMSUND</t>
        </is>
      </c>
      <c r="F9247" t="inlineStr">
        <is>
          <t>SCA</t>
        </is>
      </c>
      <c r="G9247" t="n">
        <v>5.5</v>
      </c>
      <c r="H9247" t="n">
        <v>0</v>
      </c>
      <c r="I9247" t="n">
        <v>0</v>
      </c>
      <c r="J9247" t="n">
        <v>0</v>
      </c>
      <c r="K9247" t="n">
        <v>0</v>
      </c>
      <c r="L9247" t="n">
        <v>0</v>
      </c>
      <c r="M9247" t="n">
        <v>0</v>
      </c>
      <c r="N9247" t="n">
        <v>0</v>
      </c>
      <c r="O9247" t="n">
        <v>0</v>
      </c>
      <c r="P9247" t="n">
        <v>0</v>
      </c>
      <c r="Q9247" t="n">
        <v>0</v>
      </c>
      <c r="R9247" s="2" t="inlineStr"/>
    </row>
    <row r="9248" ht="15" customHeight="1">
      <c r="A9248" t="inlineStr">
        <is>
          <t>A 3880-2026</t>
        </is>
      </c>
      <c r="B9248" s="1" t="n">
        <v>46043.65664351852</v>
      </c>
      <c r="C9248" s="1" t="n">
        <v>46045</v>
      </c>
      <c r="D9248" t="inlineStr">
        <is>
          <t>JÄMTLANDS LÄN</t>
        </is>
      </c>
      <c r="E9248" t="inlineStr">
        <is>
          <t>STRÖMSUND</t>
        </is>
      </c>
      <c r="F9248" t="inlineStr">
        <is>
          <t>SCA</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37460-2025</t>
        </is>
      </c>
      <c r="B9249" s="1" t="n">
        <v>45877.57342592593</v>
      </c>
      <c r="C9249" s="1" t="n">
        <v>46045</v>
      </c>
      <c r="D9249" t="inlineStr">
        <is>
          <t>JÄMTLANDS LÄN</t>
        </is>
      </c>
      <c r="E9249" t="inlineStr">
        <is>
          <t>BRÄCKE</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37462-2025</t>
        </is>
      </c>
      <c r="B9250" s="1" t="n">
        <v>45877.57369212963</v>
      </c>
      <c r="C9250" s="1" t="n">
        <v>46045</v>
      </c>
      <c r="D9250" t="inlineStr">
        <is>
          <t>JÄMTLANDS LÄN</t>
        </is>
      </c>
      <c r="E9250" t="inlineStr">
        <is>
          <t>STRÖMSUND</t>
        </is>
      </c>
      <c r="F9250" t="inlineStr">
        <is>
          <t>SCA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37463-2025</t>
        </is>
      </c>
      <c r="B9251" s="1" t="n">
        <v>45877.5738425926</v>
      </c>
      <c r="C9251" s="1" t="n">
        <v>46045</v>
      </c>
      <c r="D9251" t="inlineStr">
        <is>
          <t>JÄMTLANDS LÄN</t>
        </is>
      </c>
      <c r="E9251" t="inlineStr">
        <is>
          <t>BERG</t>
        </is>
      </c>
      <c r="F9251" t="inlineStr">
        <is>
          <t>SCA</t>
        </is>
      </c>
      <c r="G9251" t="n">
        <v>13.3</v>
      </c>
      <c r="H9251" t="n">
        <v>0</v>
      </c>
      <c r="I9251" t="n">
        <v>0</v>
      </c>
      <c r="J9251" t="n">
        <v>0</v>
      </c>
      <c r="K9251" t="n">
        <v>0</v>
      </c>
      <c r="L9251" t="n">
        <v>0</v>
      </c>
      <c r="M9251" t="n">
        <v>0</v>
      </c>
      <c r="N9251" t="n">
        <v>0</v>
      </c>
      <c r="O9251" t="n">
        <v>0</v>
      </c>
      <c r="P9251" t="n">
        <v>0</v>
      </c>
      <c r="Q9251" t="n">
        <v>0</v>
      </c>
      <c r="R9251" s="2" t="inlineStr"/>
    </row>
    <row r="9252" ht="15" customHeight="1">
      <c r="A9252" t="inlineStr">
        <is>
          <t>A 61363-2025</t>
        </is>
      </c>
      <c r="B9252" s="1" t="n">
        <v>46001.42747685185</v>
      </c>
      <c r="C9252" s="1" t="n">
        <v>46045</v>
      </c>
      <c r="D9252" t="inlineStr">
        <is>
          <t>JÄMTLANDS LÄN</t>
        </is>
      </c>
      <c r="E9252" t="inlineStr">
        <is>
          <t>STRÖMSUND</t>
        </is>
      </c>
      <c r="F9252" t="inlineStr">
        <is>
          <t>SCA</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61675-2025</t>
        </is>
      </c>
      <c r="B9253" s="1" t="n">
        <v>46002</v>
      </c>
      <c r="C9253" s="1" t="n">
        <v>46045</v>
      </c>
      <c r="D9253" t="inlineStr">
        <is>
          <t>JÄMTLANDS LÄN</t>
        </is>
      </c>
      <c r="E9253" t="inlineStr">
        <is>
          <t>STRÖMSUND</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56061-2024</t>
        </is>
      </c>
      <c r="B9254" s="1" t="n">
        <v>45624.36858796296</v>
      </c>
      <c r="C9254" s="1" t="n">
        <v>46045</v>
      </c>
      <c r="D9254" t="inlineStr">
        <is>
          <t>JÄMTLANDS LÄN</t>
        </is>
      </c>
      <c r="E9254" t="inlineStr">
        <is>
          <t>HÄRJEDALEN</t>
        </is>
      </c>
      <c r="G9254" t="n">
        <v>7.9</v>
      </c>
      <c r="H9254" t="n">
        <v>0</v>
      </c>
      <c r="I9254" t="n">
        <v>0</v>
      </c>
      <c r="J9254" t="n">
        <v>0</v>
      </c>
      <c r="K9254" t="n">
        <v>0</v>
      </c>
      <c r="L9254" t="n">
        <v>0</v>
      </c>
      <c r="M9254" t="n">
        <v>0</v>
      </c>
      <c r="N9254" t="n">
        <v>0</v>
      </c>
      <c r="O9254" t="n">
        <v>0</v>
      </c>
      <c r="P9254" t="n">
        <v>0</v>
      </c>
      <c r="Q9254" t="n">
        <v>0</v>
      </c>
      <c r="R9254" s="2" t="inlineStr"/>
    </row>
    <row r="9255" ht="15" customHeight="1">
      <c r="A9255" t="inlineStr">
        <is>
          <t>A 3996-2026</t>
        </is>
      </c>
      <c r="B9255" s="1" t="n">
        <v>46044.38831018518</v>
      </c>
      <c r="C9255" s="1" t="n">
        <v>46045</v>
      </c>
      <c r="D9255" t="inlineStr">
        <is>
          <t>JÄMTLANDS LÄN</t>
        </is>
      </c>
      <c r="E9255" t="inlineStr">
        <is>
          <t>BRÄCKE</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4123-2026</t>
        </is>
      </c>
      <c r="B9256" s="1" t="n">
        <v>46044.61585648148</v>
      </c>
      <c r="C9256" s="1" t="n">
        <v>46045</v>
      </c>
      <c r="D9256" t="inlineStr">
        <is>
          <t>JÄMTLANDS LÄN</t>
        </is>
      </c>
      <c r="E9256" t="inlineStr">
        <is>
          <t>BRÄCKE</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4142-2026</t>
        </is>
      </c>
      <c r="B9257" s="1" t="n">
        <v>46044.63607638889</v>
      </c>
      <c r="C9257" s="1" t="n">
        <v>46045</v>
      </c>
      <c r="D9257" t="inlineStr">
        <is>
          <t>JÄMTLANDS LÄN</t>
        </is>
      </c>
      <c r="E9257" t="inlineStr">
        <is>
          <t>RAGUNDA</t>
        </is>
      </c>
      <c r="F9257" t="inlineStr">
        <is>
          <t>SCA</t>
        </is>
      </c>
      <c r="G9257" t="n">
        <v>19.3</v>
      </c>
      <c r="H9257" t="n">
        <v>0</v>
      </c>
      <c r="I9257" t="n">
        <v>0</v>
      </c>
      <c r="J9257" t="n">
        <v>0</v>
      </c>
      <c r="K9257" t="n">
        <v>0</v>
      </c>
      <c r="L9257" t="n">
        <v>0</v>
      </c>
      <c r="M9257" t="n">
        <v>0</v>
      </c>
      <c r="N9257" t="n">
        <v>0</v>
      </c>
      <c r="O9257" t="n">
        <v>0</v>
      </c>
      <c r="P9257" t="n">
        <v>0</v>
      </c>
      <c r="Q9257" t="n">
        <v>0</v>
      </c>
      <c r="R9257" s="2" t="inlineStr"/>
    </row>
    <row r="9258" ht="15" customHeight="1">
      <c r="A9258" t="inlineStr">
        <is>
          <t>A 4175-2026</t>
        </is>
      </c>
      <c r="B9258" s="1" t="n">
        <v>46044.67844907408</v>
      </c>
      <c r="C9258" s="1" t="n">
        <v>46045</v>
      </c>
      <c r="D9258" t="inlineStr">
        <is>
          <t>JÄMTLANDS LÄN</t>
        </is>
      </c>
      <c r="E9258" t="inlineStr">
        <is>
          <t>STRÖMSUND</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37585-2025</t>
        </is>
      </c>
      <c r="B9259" s="1" t="n">
        <v>45880.40076388889</v>
      </c>
      <c r="C9259" s="1" t="n">
        <v>46045</v>
      </c>
      <c r="D9259" t="inlineStr">
        <is>
          <t>JÄMTLANDS LÄN</t>
        </is>
      </c>
      <c r="E9259" t="inlineStr">
        <is>
          <t>BRÄCKE</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61489-2025</t>
        </is>
      </c>
      <c r="B9260" s="1" t="n">
        <v>46001.63672453703</v>
      </c>
      <c r="C9260" s="1" t="n">
        <v>46045</v>
      </c>
      <c r="D9260" t="inlineStr">
        <is>
          <t>JÄMTLANDS LÄN</t>
        </is>
      </c>
      <c r="E9260" t="inlineStr">
        <is>
          <t>BRÄCKE</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29986-2023</t>
        </is>
      </c>
      <c r="B9261" s="1" t="n">
        <v>45109.44534722222</v>
      </c>
      <c r="C9261" s="1" t="n">
        <v>46045</v>
      </c>
      <c r="D9261" t="inlineStr">
        <is>
          <t>JÄMTLANDS LÄN</t>
        </is>
      </c>
      <c r="E9261" t="inlineStr">
        <is>
          <t>KROKOM</t>
        </is>
      </c>
      <c r="F9261" t="inlineStr">
        <is>
          <t>Övriga Aktiebolag</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29087-2024</t>
        </is>
      </c>
      <c r="B9262" s="1" t="n">
        <v>45481.92946759259</v>
      </c>
      <c r="C9262" s="1" t="n">
        <v>46045</v>
      </c>
      <c r="D9262" t="inlineStr">
        <is>
          <t>JÄMTLANDS LÄN</t>
        </is>
      </c>
      <c r="E9262" t="inlineStr">
        <is>
          <t>BERG</t>
        </is>
      </c>
      <c r="G9262" t="n">
        <v>10.7</v>
      </c>
      <c r="H9262" t="n">
        <v>0</v>
      </c>
      <c r="I9262" t="n">
        <v>0</v>
      </c>
      <c r="J9262" t="n">
        <v>0</v>
      </c>
      <c r="K9262" t="n">
        <v>0</v>
      </c>
      <c r="L9262" t="n">
        <v>0</v>
      </c>
      <c r="M9262" t="n">
        <v>0</v>
      </c>
      <c r="N9262" t="n">
        <v>0</v>
      </c>
      <c r="O9262" t="n">
        <v>0</v>
      </c>
      <c r="P9262" t="n">
        <v>0</v>
      </c>
      <c r="Q9262" t="n">
        <v>0</v>
      </c>
      <c r="R9262" s="2" t="inlineStr"/>
    </row>
    <row r="9263" ht="15" customHeight="1">
      <c r="A9263" t="inlineStr">
        <is>
          <t>A 61501-2025</t>
        </is>
      </c>
      <c r="B9263" s="1" t="n">
        <v>46001.65951388889</v>
      </c>
      <c r="C9263" s="1" t="n">
        <v>46045</v>
      </c>
      <c r="D9263" t="inlineStr">
        <is>
          <t>JÄMTLANDS LÄN</t>
        </is>
      </c>
      <c r="E9263" t="inlineStr">
        <is>
          <t>BERG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62276-2025</t>
        </is>
      </c>
      <c r="B9264" s="1" t="n">
        <v>46006</v>
      </c>
      <c r="C9264" s="1" t="n">
        <v>46045</v>
      </c>
      <c r="D9264" t="inlineStr">
        <is>
          <t>JÄMTLANDS LÄN</t>
        </is>
      </c>
      <c r="E9264" t="inlineStr">
        <is>
          <t>ÅRE</t>
        </is>
      </c>
      <c r="G9264" t="n">
        <v>18.8</v>
      </c>
      <c r="H9264" t="n">
        <v>0</v>
      </c>
      <c r="I9264" t="n">
        <v>0</v>
      </c>
      <c r="J9264" t="n">
        <v>0</v>
      </c>
      <c r="K9264" t="n">
        <v>0</v>
      </c>
      <c r="L9264" t="n">
        <v>0</v>
      </c>
      <c r="M9264" t="n">
        <v>0</v>
      </c>
      <c r="N9264" t="n">
        <v>0</v>
      </c>
      <c r="O9264" t="n">
        <v>0</v>
      </c>
      <c r="P9264" t="n">
        <v>0</v>
      </c>
      <c r="Q9264" t="n">
        <v>0</v>
      </c>
      <c r="R9264" s="2" t="inlineStr"/>
    </row>
    <row r="9265" ht="15" customHeight="1">
      <c r="A9265" t="inlineStr">
        <is>
          <t>A 4126-2026</t>
        </is>
      </c>
      <c r="B9265" s="1" t="n">
        <v>46044.61627314815</v>
      </c>
      <c r="C9265" s="1" t="n">
        <v>46045</v>
      </c>
      <c r="D9265" t="inlineStr">
        <is>
          <t>JÄMTLANDS LÄN</t>
        </is>
      </c>
      <c r="E9265" t="inlineStr">
        <is>
          <t>BRÄCKE</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4076-2026</t>
        </is>
      </c>
      <c r="B9266" s="1" t="n">
        <v>46043</v>
      </c>
      <c r="C9266" s="1" t="n">
        <v>46045</v>
      </c>
      <c r="D9266" t="inlineStr">
        <is>
          <t>JÄMTLANDS LÄN</t>
        </is>
      </c>
      <c r="E9266" t="inlineStr">
        <is>
          <t>STRÖMSUND</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4098-2026</t>
        </is>
      </c>
      <c r="B9267" s="1" t="n">
        <v>46044.5734375</v>
      </c>
      <c r="C9267" s="1" t="n">
        <v>46045</v>
      </c>
      <c r="D9267" t="inlineStr">
        <is>
          <t>JÄMTLANDS LÄN</t>
        </is>
      </c>
      <c r="E9267" t="inlineStr">
        <is>
          <t>BRÄCKE</t>
        </is>
      </c>
      <c r="F9267" t="inlineStr">
        <is>
          <t>SCA</t>
        </is>
      </c>
      <c r="G9267" t="n">
        <v>19.5</v>
      </c>
      <c r="H9267" t="n">
        <v>0</v>
      </c>
      <c r="I9267" t="n">
        <v>0</v>
      </c>
      <c r="J9267" t="n">
        <v>0</v>
      </c>
      <c r="K9267" t="n">
        <v>0</v>
      </c>
      <c r="L9267" t="n">
        <v>0</v>
      </c>
      <c r="M9267" t="n">
        <v>0</v>
      </c>
      <c r="N9267" t="n">
        <v>0</v>
      </c>
      <c r="O9267" t="n">
        <v>0</v>
      </c>
      <c r="P9267" t="n">
        <v>0</v>
      </c>
      <c r="Q9267" t="n">
        <v>0</v>
      </c>
      <c r="R9267" s="2" t="inlineStr"/>
    </row>
    <row r="9268" ht="15" customHeight="1">
      <c r="A9268" t="inlineStr">
        <is>
          <t>A 69190-2021</t>
        </is>
      </c>
      <c r="B9268" s="1" t="n">
        <v>44529</v>
      </c>
      <c r="C9268" s="1" t="n">
        <v>46045</v>
      </c>
      <c r="D9268" t="inlineStr">
        <is>
          <t>JÄMTLANDS LÄN</t>
        </is>
      </c>
      <c r="E9268" t="inlineStr">
        <is>
          <t>ÖSTERSUND</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4144-2026</t>
        </is>
      </c>
      <c r="B9269" s="1" t="n">
        <v>46044.63637731481</v>
      </c>
      <c r="C9269" s="1" t="n">
        <v>46045</v>
      </c>
      <c r="D9269" t="inlineStr">
        <is>
          <t>JÄMTLANDS LÄN</t>
        </is>
      </c>
      <c r="E9269" t="inlineStr">
        <is>
          <t>BRÄCKE</t>
        </is>
      </c>
      <c r="F9269" t="inlineStr">
        <is>
          <t>SCA</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27239-2023</t>
        </is>
      </c>
      <c r="B9270" s="1" t="n">
        <v>45092</v>
      </c>
      <c r="C9270" s="1" t="n">
        <v>46045</v>
      </c>
      <c r="D9270" t="inlineStr">
        <is>
          <t>JÄMTLANDS LÄN</t>
        </is>
      </c>
      <c r="E9270" t="inlineStr">
        <is>
          <t>BERG</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37452-2025</t>
        </is>
      </c>
      <c r="B9271" s="1" t="n">
        <v>45877.5578125</v>
      </c>
      <c r="C9271" s="1" t="n">
        <v>46045</v>
      </c>
      <c r="D9271" t="inlineStr">
        <is>
          <t>JÄMTLANDS LÄN</t>
        </is>
      </c>
      <c r="E9271" t="inlineStr">
        <is>
          <t>STRÖMSUND</t>
        </is>
      </c>
      <c r="F9271" t="inlineStr">
        <is>
          <t>Holmen skog AB</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37464-2025</t>
        </is>
      </c>
      <c r="B9272" s="1" t="n">
        <v>45877.57395833333</v>
      </c>
      <c r="C9272" s="1" t="n">
        <v>46045</v>
      </c>
      <c r="D9272" t="inlineStr">
        <is>
          <t>JÄMTLANDS LÄN</t>
        </is>
      </c>
      <c r="E9272" t="inlineStr">
        <is>
          <t>BRÄCKE</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37488-2025</t>
        </is>
      </c>
      <c r="B9273" s="1" t="n">
        <v>45877.63582175926</v>
      </c>
      <c r="C9273" s="1" t="n">
        <v>46045</v>
      </c>
      <c r="D9273" t="inlineStr">
        <is>
          <t>JÄMTLANDS LÄN</t>
        </is>
      </c>
      <c r="E9273" t="inlineStr">
        <is>
          <t>BERG</t>
        </is>
      </c>
      <c r="F9273" t="inlineStr">
        <is>
          <t>SCA</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53132-2024</t>
        </is>
      </c>
      <c r="B9274" s="1" t="n">
        <v>45611.59440972222</v>
      </c>
      <c r="C9274" s="1" t="n">
        <v>46045</v>
      </c>
      <c r="D9274" t="inlineStr">
        <is>
          <t>JÄMTLANDS LÄN</t>
        </is>
      </c>
      <c r="E9274" t="inlineStr">
        <is>
          <t>STRÖMSUND</t>
        </is>
      </c>
      <c r="F9274" t="inlineStr">
        <is>
          <t>SCA</t>
        </is>
      </c>
      <c r="G9274" t="n">
        <v>29.2</v>
      </c>
      <c r="H9274" t="n">
        <v>0</v>
      </c>
      <c r="I9274" t="n">
        <v>0</v>
      </c>
      <c r="J9274" t="n">
        <v>0</v>
      </c>
      <c r="K9274" t="n">
        <v>0</v>
      </c>
      <c r="L9274" t="n">
        <v>0</v>
      </c>
      <c r="M9274" t="n">
        <v>0</v>
      </c>
      <c r="N9274" t="n">
        <v>0</v>
      </c>
      <c r="O9274" t="n">
        <v>0</v>
      </c>
      <c r="P9274" t="n">
        <v>0</v>
      </c>
      <c r="Q9274" t="n">
        <v>0</v>
      </c>
      <c r="R9274" s="2" t="inlineStr"/>
    </row>
    <row r="9275" ht="15" customHeight="1">
      <c r="A9275" t="inlineStr">
        <is>
          <t>A 4174-2026</t>
        </is>
      </c>
      <c r="B9275" s="1" t="n">
        <v>46044.67841435185</v>
      </c>
      <c r="C9275" s="1" t="n">
        <v>46045</v>
      </c>
      <c r="D9275" t="inlineStr">
        <is>
          <t>JÄMTLANDS LÄN</t>
        </is>
      </c>
      <c r="E9275" t="inlineStr">
        <is>
          <t>STRÖMSUND</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3875-2026</t>
        </is>
      </c>
      <c r="B9276" s="1" t="n">
        <v>46043.64546296297</v>
      </c>
      <c r="C9276" s="1" t="n">
        <v>46045</v>
      </c>
      <c r="D9276" t="inlineStr">
        <is>
          <t>JÄMTLANDS LÄN</t>
        </is>
      </c>
      <c r="E9276" t="inlineStr">
        <is>
          <t>KROKOM</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9504-2025</t>
        </is>
      </c>
      <c r="B9277" s="1" t="n">
        <v>45714</v>
      </c>
      <c r="C9277" s="1" t="n">
        <v>46045</v>
      </c>
      <c r="D9277" t="inlineStr">
        <is>
          <t>JÄMTLANDS LÄN</t>
        </is>
      </c>
      <c r="E9277" t="inlineStr">
        <is>
          <t>RAGUNDA</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38183-2025</t>
        </is>
      </c>
      <c r="B9278" s="1" t="n">
        <v>45882.64755787037</v>
      </c>
      <c r="C9278" s="1" t="n">
        <v>46045</v>
      </c>
      <c r="D9278" t="inlineStr">
        <is>
          <t>JÄMTLANDS LÄN</t>
        </is>
      </c>
      <c r="E9278" t="inlineStr">
        <is>
          <t>HÄRJEDALEN</t>
        </is>
      </c>
      <c r="F9278" t="inlineStr">
        <is>
          <t>Bergvik skog väst AB</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53136-2024</t>
        </is>
      </c>
      <c r="B9279" s="1" t="n">
        <v>45611.5953125</v>
      </c>
      <c r="C9279" s="1" t="n">
        <v>46045</v>
      </c>
      <c r="D9279" t="inlineStr">
        <is>
          <t>JÄMTLANDS LÄN</t>
        </is>
      </c>
      <c r="E9279" t="inlineStr">
        <is>
          <t>RAGUNDA</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46128-2025</t>
        </is>
      </c>
      <c r="B9280" s="1" t="n">
        <v>45924.59215277778</v>
      </c>
      <c r="C9280" s="1" t="n">
        <v>46045</v>
      </c>
      <c r="D9280" t="inlineStr">
        <is>
          <t>JÄMTLANDS LÄN</t>
        </is>
      </c>
      <c r="E9280" t="inlineStr">
        <is>
          <t>HÄRJEDALEN</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37886-2025</t>
        </is>
      </c>
      <c r="B9281" s="1" t="n">
        <v>45881.51081018519</v>
      </c>
      <c r="C9281" s="1" t="n">
        <v>46045</v>
      </c>
      <c r="D9281" t="inlineStr">
        <is>
          <t>JÄMTLANDS LÄN</t>
        </is>
      </c>
      <c r="E9281" t="inlineStr">
        <is>
          <t>KROKOM</t>
        </is>
      </c>
      <c r="F9281" t="inlineStr">
        <is>
          <t>SCA</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61611-2025</t>
        </is>
      </c>
      <c r="B9282" s="1" t="n">
        <v>46002</v>
      </c>
      <c r="C9282" s="1" t="n">
        <v>46045</v>
      </c>
      <c r="D9282" t="inlineStr">
        <is>
          <t>JÄMTLANDS LÄN</t>
        </is>
      </c>
      <c r="E9282" t="inlineStr">
        <is>
          <t>ÖSTERSUND</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61625-2025</t>
        </is>
      </c>
      <c r="B9283" s="1" t="n">
        <v>46002.40075231482</v>
      </c>
      <c r="C9283" s="1" t="n">
        <v>46045</v>
      </c>
      <c r="D9283" t="inlineStr">
        <is>
          <t>JÄMTLANDS LÄN</t>
        </is>
      </c>
      <c r="E9283" t="inlineStr">
        <is>
          <t>STRÖMSUND</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37946-2025</t>
        </is>
      </c>
      <c r="B9284" s="1" t="n">
        <v>45881.61520833334</v>
      </c>
      <c r="C9284" s="1" t="n">
        <v>46045</v>
      </c>
      <c r="D9284" t="inlineStr">
        <is>
          <t>JÄMTLANDS LÄN</t>
        </is>
      </c>
      <c r="E9284" t="inlineStr">
        <is>
          <t>STRÖMSUND</t>
        </is>
      </c>
      <c r="F9284" t="inlineStr">
        <is>
          <t>SCA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37957-2025</t>
        </is>
      </c>
      <c r="B9285" s="1" t="n">
        <v>45881.64365740741</v>
      </c>
      <c r="C9285" s="1" t="n">
        <v>46045</v>
      </c>
      <c r="D9285" t="inlineStr">
        <is>
          <t>JÄMTLANDS LÄN</t>
        </is>
      </c>
      <c r="E9285" t="inlineStr">
        <is>
          <t>HÄRJEDALEN</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38025-2025</t>
        </is>
      </c>
      <c r="B9286" s="1" t="n">
        <v>45882.34527777778</v>
      </c>
      <c r="C9286" s="1" t="n">
        <v>46045</v>
      </c>
      <c r="D9286" t="inlineStr">
        <is>
          <t>JÄMTLANDS LÄN</t>
        </is>
      </c>
      <c r="E9286" t="inlineStr">
        <is>
          <t>BRÄCKE</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37974-2025</t>
        </is>
      </c>
      <c r="B9287" s="1" t="n">
        <v>45881.67743055556</v>
      </c>
      <c r="C9287" s="1" t="n">
        <v>46045</v>
      </c>
      <c r="D9287" t="inlineStr">
        <is>
          <t>JÄMTLANDS LÄN</t>
        </is>
      </c>
      <c r="E9287" t="inlineStr">
        <is>
          <t>BRÄCKE</t>
        </is>
      </c>
      <c r="F9287" t="inlineStr">
        <is>
          <t>SCA</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38021-2025</t>
        </is>
      </c>
      <c r="B9288" s="1" t="n">
        <v>45882.34454861111</v>
      </c>
      <c r="C9288" s="1" t="n">
        <v>46045</v>
      </c>
      <c r="D9288" t="inlineStr">
        <is>
          <t>JÄMTLANDS LÄN</t>
        </is>
      </c>
      <c r="E9288" t="inlineStr">
        <is>
          <t>STRÖMSUND</t>
        </is>
      </c>
      <c r="F9288" t="inlineStr">
        <is>
          <t>SCA</t>
        </is>
      </c>
      <c r="G9288" t="n">
        <v>7.5</v>
      </c>
      <c r="H9288" t="n">
        <v>0</v>
      </c>
      <c r="I9288" t="n">
        <v>0</v>
      </c>
      <c r="J9288" t="n">
        <v>0</v>
      </c>
      <c r="K9288" t="n">
        <v>0</v>
      </c>
      <c r="L9288" t="n">
        <v>0</v>
      </c>
      <c r="M9288" t="n">
        <v>0</v>
      </c>
      <c r="N9288" t="n">
        <v>0</v>
      </c>
      <c r="O9288" t="n">
        <v>0</v>
      </c>
      <c r="P9288" t="n">
        <v>0</v>
      </c>
      <c r="Q9288" t="n">
        <v>0</v>
      </c>
      <c r="R9288" s="2" t="inlineStr"/>
    </row>
    <row r="9289" ht="15" customHeight="1">
      <c r="A9289" t="inlineStr">
        <is>
          <t>A 52211-2024</t>
        </is>
      </c>
      <c r="B9289" s="1" t="n">
        <v>45608.59245370371</v>
      </c>
      <c r="C9289" s="1" t="n">
        <v>46045</v>
      </c>
      <c r="D9289" t="inlineStr">
        <is>
          <t>JÄMTLANDS LÄN</t>
        </is>
      </c>
      <c r="E9289" t="inlineStr">
        <is>
          <t>STRÖMSUND</t>
        </is>
      </c>
      <c r="F9289" t="inlineStr">
        <is>
          <t>SCA</t>
        </is>
      </c>
      <c r="G9289" t="n">
        <v>9</v>
      </c>
      <c r="H9289" t="n">
        <v>0</v>
      </c>
      <c r="I9289" t="n">
        <v>0</v>
      </c>
      <c r="J9289" t="n">
        <v>0</v>
      </c>
      <c r="K9289" t="n">
        <v>0</v>
      </c>
      <c r="L9289" t="n">
        <v>0</v>
      </c>
      <c r="M9289" t="n">
        <v>0</v>
      </c>
      <c r="N9289" t="n">
        <v>0</v>
      </c>
      <c r="O9289" t="n">
        <v>0</v>
      </c>
      <c r="P9289" t="n">
        <v>0</v>
      </c>
      <c r="Q9289" t="n">
        <v>0</v>
      </c>
      <c r="R9289" s="2" t="inlineStr"/>
    </row>
    <row r="9290" ht="15" customHeight="1">
      <c r="A9290" t="inlineStr">
        <is>
          <t>A 52228-2024</t>
        </is>
      </c>
      <c r="B9290" s="1" t="n">
        <v>45608.6078587963</v>
      </c>
      <c r="C9290" s="1" t="n">
        <v>46045</v>
      </c>
      <c r="D9290" t="inlineStr">
        <is>
          <t>JÄMTLANDS LÄN</t>
        </is>
      </c>
      <c r="E9290" t="inlineStr">
        <is>
          <t>RAGUNDA</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38169-2025</t>
        </is>
      </c>
      <c r="B9291" s="1" t="n">
        <v>45882.63179398148</v>
      </c>
      <c r="C9291" s="1" t="n">
        <v>46045</v>
      </c>
      <c r="D9291" t="inlineStr">
        <is>
          <t>JÄMTLANDS LÄN</t>
        </is>
      </c>
      <c r="E9291" t="inlineStr">
        <is>
          <t>HÄRJEDALEN</t>
        </is>
      </c>
      <c r="F9291" t="inlineStr">
        <is>
          <t>Bergvik skog väst AB</t>
        </is>
      </c>
      <c r="G9291" t="n">
        <v>18.4</v>
      </c>
      <c r="H9291" t="n">
        <v>0</v>
      </c>
      <c r="I9291" t="n">
        <v>0</v>
      </c>
      <c r="J9291" t="n">
        <v>0</v>
      </c>
      <c r="K9291" t="n">
        <v>0</v>
      </c>
      <c r="L9291" t="n">
        <v>0</v>
      </c>
      <c r="M9291" t="n">
        <v>0</v>
      </c>
      <c r="N9291" t="n">
        <v>0</v>
      </c>
      <c r="O9291" t="n">
        <v>0</v>
      </c>
      <c r="P9291" t="n">
        <v>0</v>
      </c>
      <c r="Q9291" t="n">
        <v>0</v>
      </c>
      <c r="R9291" s="2" t="inlineStr"/>
    </row>
    <row r="9292" ht="15" customHeight="1">
      <c r="A9292" t="inlineStr">
        <is>
          <t>A 38080-2025</t>
        </is>
      </c>
      <c r="B9292" s="1" t="n">
        <v>45882</v>
      </c>
      <c r="C9292" s="1" t="n">
        <v>46045</v>
      </c>
      <c r="D9292" t="inlineStr">
        <is>
          <t>JÄMTLANDS LÄN</t>
        </is>
      </c>
      <c r="E9292" t="inlineStr">
        <is>
          <t>BERG</t>
        </is>
      </c>
      <c r="F9292" t="inlineStr">
        <is>
          <t>SCA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38205-2025</t>
        </is>
      </c>
      <c r="B9293" s="1" t="n">
        <v>45882.69851851852</v>
      </c>
      <c r="C9293" s="1" t="n">
        <v>46045</v>
      </c>
      <c r="D9293" t="inlineStr">
        <is>
          <t>JÄMTLANDS LÄN</t>
        </is>
      </c>
      <c r="E9293" t="inlineStr">
        <is>
          <t>KROKOM</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38115-2025</t>
        </is>
      </c>
      <c r="B9294" s="1" t="n">
        <v>45882.53181712963</v>
      </c>
      <c r="C9294" s="1" t="n">
        <v>46045</v>
      </c>
      <c r="D9294" t="inlineStr">
        <is>
          <t>JÄMTLANDS LÄN</t>
        </is>
      </c>
      <c r="E9294" t="inlineStr">
        <is>
          <t>STRÖMSUND</t>
        </is>
      </c>
      <c r="F9294" t="inlineStr">
        <is>
          <t>SCA</t>
        </is>
      </c>
      <c r="G9294" t="n">
        <v>9.5</v>
      </c>
      <c r="H9294" t="n">
        <v>0</v>
      </c>
      <c r="I9294" t="n">
        <v>0</v>
      </c>
      <c r="J9294" t="n">
        <v>0</v>
      </c>
      <c r="K9294" t="n">
        <v>0</v>
      </c>
      <c r="L9294" t="n">
        <v>0</v>
      </c>
      <c r="M9294" t="n">
        <v>0</v>
      </c>
      <c r="N9294" t="n">
        <v>0</v>
      </c>
      <c r="O9294" t="n">
        <v>0</v>
      </c>
      <c r="P9294" t="n">
        <v>0</v>
      </c>
      <c r="Q9294" t="n">
        <v>0</v>
      </c>
      <c r="R9294" s="2" t="inlineStr"/>
    </row>
    <row r="9295" ht="15" customHeight="1">
      <c r="A9295" t="inlineStr">
        <is>
          <t>A 31470-2023</t>
        </is>
      </c>
      <c r="B9295" s="1" t="n">
        <v>45104</v>
      </c>
      <c r="C9295" s="1" t="n">
        <v>46045</v>
      </c>
      <c r="D9295" t="inlineStr">
        <is>
          <t>JÄMTLANDS LÄN</t>
        </is>
      </c>
      <c r="E9295" t="inlineStr">
        <is>
          <t>BRÄCKE</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37808-2025</t>
        </is>
      </c>
      <c r="B9296" s="1" t="n">
        <v>45881.36469907407</v>
      </c>
      <c r="C9296" s="1" t="n">
        <v>46045</v>
      </c>
      <c r="D9296" t="inlineStr">
        <is>
          <t>JÄMTLANDS LÄN</t>
        </is>
      </c>
      <c r="E9296" t="inlineStr">
        <is>
          <t>HÄRJEDALEN</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37820-2025</t>
        </is>
      </c>
      <c r="B9297" s="1" t="n">
        <v>45881.39909722222</v>
      </c>
      <c r="C9297" s="1" t="n">
        <v>46045</v>
      </c>
      <c r="D9297" t="inlineStr">
        <is>
          <t>JÄMTLANDS LÄN</t>
        </is>
      </c>
      <c r="E9297" t="inlineStr">
        <is>
          <t>KROKOM</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33033-2023</t>
        </is>
      </c>
      <c r="B9298" s="1" t="n">
        <v>45125.95037037037</v>
      </c>
      <c r="C9298" s="1" t="n">
        <v>46045</v>
      </c>
      <c r="D9298" t="inlineStr">
        <is>
          <t>JÄMTLANDS LÄN</t>
        </is>
      </c>
      <c r="E9298" t="inlineStr">
        <is>
          <t>BRÄCKE</t>
        </is>
      </c>
      <c r="F9298" t="inlineStr">
        <is>
          <t>SCA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38020-2025</t>
        </is>
      </c>
      <c r="B9299" s="1" t="n">
        <v>45882.3443287037</v>
      </c>
      <c r="C9299" s="1" t="n">
        <v>46045</v>
      </c>
      <c r="D9299" t="inlineStr">
        <is>
          <t>JÄMTLANDS LÄN</t>
        </is>
      </c>
      <c r="E9299" t="inlineStr">
        <is>
          <t>STRÖMSUND</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38051-2025</t>
        </is>
      </c>
      <c r="B9300" s="1" t="n">
        <v>45882.40740740741</v>
      </c>
      <c r="C9300" s="1" t="n">
        <v>46045</v>
      </c>
      <c r="D9300" t="inlineStr">
        <is>
          <t>JÄMTLANDS LÄN</t>
        </is>
      </c>
      <c r="E9300" t="inlineStr">
        <is>
          <t>STRÖMSUND</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68763-2021</t>
        </is>
      </c>
      <c r="B9301" s="1" t="n">
        <v>44529</v>
      </c>
      <c r="C9301" s="1" t="n">
        <v>46045</v>
      </c>
      <c r="D9301" t="inlineStr">
        <is>
          <t>JÄMTLANDS LÄN</t>
        </is>
      </c>
      <c r="E9301" t="inlineStr">
        <is>
          <t>BRÄCKE</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38048-2025</t>
        </is>
      </c>
      <c r="B9302" s="1" t="n">
        <v>45882.40670138889</v>
      </c>
      <c r="C9302" s="1" t="n">
        <v>46045</v>
      </c>
      <c r="D9302" t="inlineStr">
        <is>
          <t>JÄMTLANDS LÄN</t>
        </is>
      </c>
      <c r="E9302" t="inlineStr">
        <is>
          <t>STRÖMSUND</t>
        </is>
      </c>
      <c r="F9302" t="inlineStr">
        <is>
          <t>SCA</t>
        </is>
      </c>
      <c r="G9302" t="n">
        <v>12.6</v>
      </c>
      <c r="H9302" t="n">
        <v>0</v>
      </c>
      <c r="I9302" t="n">
        <v>0</v>
      </c>
      <c r="J9302" t="n">
        <v>0</v>
      </c>
      <c r="K9302" t="n">
        <v>0</v>
      </c>
      <c r="L9302" t="n">
        <v>0</v>
      </c>
      <c r="M9302" t="n">
        <v>0</v>
      </c>
      <c r="N9302" t="n">
        <v>0</v>
      </c>
      <c r="O9302" t="n">
        <v>0</v>
      </c>
      <c r="P9302" t="n">
        <v>0</v>
      </c>
      <c r="Q9302" t="n">
        <v>0</v>
      </c>
      <c r="R9302" s="2" t="inlineStr"/>
    </row>
    <row r="9303" ht="15" customHeight="1">
      <c r="A9303" t="inlineStr">
        <is>
          <t>A 28878-2024</t>
        </is>
      </c>
      <c r="B9303" s="1" t="n">
        <v>45478.94827546296</v>
      </c>
      <c r="C9303" s="1" t="n">
        <v>46045</v>
      </c>
      <c r="D9303" t="inlineStr">
        <is>
          <t>JÄMTLANDS LÄN</t>
        </is>
      </c>
      <c r="E9303" t="inlineStr">
        <is>
          <t>STRÖMSUND</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38061-2025</t>
        </is>
      </c>
      <c r="B9304" s="1" t="n">
        <v>45882.42813657408</v>
      </c>
      <c r="C9304" s="1" t="n">
        <v>46045</v>
      </c>
      <c r="D9304" t="inlineStr">
        <is>
          <t>JÄMTLANDS LÄN</t>
        </is>
      </c>
      <c r="E9304" t="inlineStr">
        <is>
          <t>STRÖMSUND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38082-2025</t>
        </is>
      </c>
      <c r="B9305" s="1" t="n">
        <v>45882</v>
      </c>
      <c r="C9305" s="1" t="n">
        <v>46045</v>
      </c>
      <c r="D9305" t="inlineStr">
        <is>
          <t>JÄMTLANDS LÄN</t>
        </is>
      </c>
      <c r="E9305" t="inlineStr">
        <is>
          <t>BERG</t>
        </is>
      </c>
      <c r="F9305" t="inlineStr">
        <is>
          <t>SCA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38095-2025</t>
        </is>
      </c>
      <c r="B9306" s="1" t="n">
        <v>45882.49050925926</v>
      </c>
      <c r="C9306" s="1" t="n">
        <v>46045</v>
      </c>
      <c r="D9306" t="inlineStr">
        <is>
          <t>JÄMTLANDS LÄN</t>
        </is>
      </c>
      <c r="E9306" t="inlineStr">
        <is>
          <t>BRÄCKE</t>
        </is>
      </c>
      <c r="F9306" t="inlineStr">
        <is>
          <t>SCA</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37839-2025</t>
        </is>
      </c>
      <c r="B9307" s="1" t="n">
        <v>45881.43114583333</v>
      </c>
      <c r="C9307" s="1" t="n">
        <v>46045</v>
      </c>
      <c r="D9307" t="inlineStr">
        <is>
          <t>JÄMTLANDS LÄN</t>
        </is>
      </c>
      <c r="E9307" t="inlineStr">
        <is>
          <t>HÄRJEDALEN</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37865-2025</t>
        </is>
      </c>
      <c r="B9308" s="1" t="n">
        <v>45881.46869212963</v>
      </c>
      <c r="C9308" s="1" t="n">
        <v>46045</v>
      </c>
      <c r="D9308" t="inlineStr">
        <is>
          <t>JÄMTLANDS LÄN</t>
        </is>
      </c>
      <c r="E9308" t="inlineStr">
        <is>
          <t>HÄRJEDALEN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45929-2025</t>
        </is>
      </c>
      <c r="B9309" s="1" t="n">
        <v>45923.8644212963</v>
      </c>
      <c r="C9309" s="1" t="n">
        <v>46045</v>
      </c>
      <c r="D9309" t="inlineStr">
        <is>
          <t>JÄMTLANDS LÄN</t>
        </is>
      </c>
      <c r="E9309" t="inlineStr">
        <is>
          <t>KROKOM</t>
        </is>
      </c>
      <c r="G9309" t="n">
        <v>7.3</v>
      </c>
      <c r="H9309" t="n">
        <v>0</v>
      </c>
      <c r="I9309" t="n">
        <v>0</v>
      </c>
      <c r="J9309" t="n">
        <v>0</v>
      </c>
      <c r="K9309" t="n">
        <v>0</v>
      </c>
      <c r="L9309" t="n">
        <v>0</v>
      </c>
      <c r="M9309" t="n">
        <v>0</v>
      </c>
      <c r="N9309" t="n">
        <v>0</v>
      </c>
      <c r="O9309" t="n">
        <v>0</v>
      </c>
      <c r="P9309" t="n">
        <v>0</v>
      </c>
      <c r="Q9309" t="n">
        <v>0</v>
      </c>
      <c r="R9309" s="2" t="inlineStr"/>
    </row>
    <row r="9310" ht="15" customHeight="1">
      <c r="A9310" t="inlineStr">
        <is>
          <t>A 59372-2024</t>
        </is>
      </c>
      <c r="B9310" s="1" t="n">
        <v>45638.34431712963</v>
      </c>
      <c r="C9310" s="1" t="n">
        <v>46045</v>
      </c>
      <c r="D9310" t="inlineStr">
        <is>
          <t>JÄMTLANDS LÄN</t>
        </is>
      </c>
      <c r="E9310" t="inlineStr">
        <is>
          <t>RAGUNDA</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59427-2024</t>
        </is>
      </c>
      <c r="B9311" s="1" t="n">
        <v>45638.416875</v>
      </c>
      <c r="C9311" s="1" t="n">
        <v>46045</v>
      </c>
      <c r="D9311" t="inlineStr">
        <is>
          <t>JÄMTLANDS LÄN</t>
        </is>
      </c>
      <c r="E9311" t="inlineStr">
        <is>
          <t>HÄRJEDALEN</t>
        </is>
      </c>
      <c r="F9311" t="inlineStr">
        <is>
          <t>Holmen skog AB</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59459-2024</t>
        </is>
      </c>
      <c r="B9312" s="1" t="n">
        <v>45638</v>
      </c>
      <c r="C9312" s="1" t="n">
        <v>46045</v>
      </c>
      <c r="D9312" t="inlineStr">
        <is>
          <t>JÄMTLANDS LÄN</t>
        </is>
      </c>
      <c r="E9312" t="inlineStr">
        <is>
          <t>BERG</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38072-2025</t>
        </is>
      </c>
      <c r="B9313" s="1" t="n">
        <v>45882</v>
      </c>
      <c r="C9313" s="1" t="n">
        <v>46045</v>
      </c>
      <c r="D9313" t="inlineStr">
        <is>
          <t>JÄMTLANDS LÄN</t>
        </is>
      </c>
      <c r="E9313" t="inlineStr">
        <is>
          <t>BRÄCKE</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62115-2024</t>
        </is>
      </c>
      <c r="B9314" s="1" t="n">
        <v>45656</v>
      </c>
      <c r="C9314" s="1" t="n">
        <v>46045</v>
      </c>
      <c r="D9314" t="inlineStr">
        <is>
          <t>JÄMTLANDS LÄN</t>
        </is>
      </c>
      <c r="E9314" t="inlineStr">
        <is>
          <t>RAGUNDA</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4594-2024</t>
        </is>
      </c>
      <c r="B9315" s="1" t="n">
        <v>45327.94459490741</v>
      </c>
      <c r="C9315" s="1" t="n">
        <v>46045</v>
      </c>
      <c r="D9315" t="inlineStr">
        <is>
          <t>JÄMTLANDS LÄN</t>
        </is>
      </c>
      <c r="E9315" t="inlineStr">
        <is>
          <t>RAGUNDA</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50738-2024</t>
        </is>
      </c>
      <c r="B9316" s="1" t="n">
        <v>45602.39862268518</v>
      </c>
      <c r="C9316" s="1" t="n">
        <v>46045</v>
      </c>
      <c r="D9316" t="inlineStr">
        <is>
          <t>JÄMTLANDS LÄN</t>
        </is>
      </c>
      <c r="E9316" t="inlineStr">
        <is>
          <t>KROKOM</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50755-2024</t>
        </is>
      </c>
      <c r="B9317" s="1" t="n">
        <v>45602.42878472222</v>
      </c>
      <c r="C9317" s="1" t="n">
        <v>46045</v>
      </c>
      <c r="D9317" t="inlineStr">
        <is>
          <t>JÄMTLANDS LÄN</t>
        </is>
      </c>
      <c r="E9317" t="inlineStr">
        <is>
          <t>KROKOM</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38139-2025</t>
        </is>
      </c>
      <c r="B9318" s="1" t="n">
        <v>45882.57331018519</v>
      </c>
      <c r="C9318" s="1" t="n">
        <v>46045</v>
      </c>
      <c r="D9318" t="inlineStr">
        <is>
          <t>JÄMTLANDS LÄN</t>
        </is>
      </c>
      <c r="E9318" t="inlineStr">
        <is>
          <t>STRÖMSUND</t>
        </is>
      </c>
      <c r="F9318" t="inlineStr">
        <is>
          <t>SCA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37887-2025</t>
        </is>
      </c>
      <c r="B9319" s="1" t="n">
        <v>45881.51099537037</v>
      </c>
      <c r="C9319" s="1" t="n">
        <v>46045</v>
      </c>
      <c r="D9319" t="inlineStr">
        <is>
          <t>JÄMTLANDS LÄN</t>
        </is>
      </c>
      <c r="E9319" t="inlineStr">
        <is>
          <t>BRÄCKE</t>
        </is>
      </c>
      <c r="F9319" t="inlineStr">
        <is>
          <t>SCA</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38024-2025</t>
        </is>
      </c>
      <c r="B9320" s="1" t="n">
        <v>45882.34510416666</v>
      </c>
      <c r="C9320" s="1" t="n">
        <v>46045</v>
      </c>
      <c r="D9320" t="inlineStr">
        <is>
          <t>JÄMTLANDS LÄN</t>
        </is>
      </c>
      <c r="E9320" t="inlineStr">
        <is>
          <t>KROKOM</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38050-2025</t>
        </is>
      </c>
      <c r="B9321" s="1" t="n">
        <v>45882.40732638889</v>
      </c>
      <c r="C9321" s="1" t="n">
        <v>46045</v>
      </c>
      <c r="D9321" t="inlineStr">
        <is>
          <t>JÄMTLANDS LÄN</t>
        </is>
      </c>
      <c r="E9321" t="inlineStr">
        <is>
          <t>STRÖMSUND</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4707-2024</t>
        </is>
      </c>
      <c r="B9322" s="1" t="n">
        <v>45328</v>
      </c>
      <c r="C9322" s="1" t="n">
        <v>46045</v>
      </c>
      <c r="D9322" t="inlineStr">
        <is>
          <t>JÄMTLANDS LÄN</t>
        </is>
      </c>
      <c r="E9322" t="inlineStr">
        <is>
          <t>ÖSTERSUND</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3018-2024</t>
        </is>
      </c>
      <c r="B9323" s="1" t="n">
        <v>45315.9492824074</v>
      </c>
      <c r="C9323" s="1" t="n">
        <v>46045</v>
      </c>
      <c r="D9323" t="inlineStr">
        <is>
          <t>JÄMTLANDS LÄN</t>
        </is>
      </c>
      <c r="E9323" t="inlineStr">
        <is>
          <t>RAGUNDA</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8369-2023</t>
        </is>
      </c>
      <c r="B9324" s="1" t="n">
        <v>44971</v>
      </c>
      <c r="C9324" s="1" t="n">
        <v>46045</v>
      </c>
      <c r="D9324" t="inlineStr">
        <is>
          <t>JÄMTLANDS LÄN</t>
        </is>
      </c>
      <c r="E9324" t="inlineStr">
        <is>
          <t>KROKOM</t>
        </is>
      </c>
      <c r="G9324" t="n">
        <v>47.2</v>
      </c>
      <c r="H9324" t="n">
        <v>0</v>
      </c>
      <c r="I9324" t="n">
        <v>0</v>
      </c>
      <c r="J9324" t="n">
        <v>0</v>
      </c>
      <c r="K9324" t="n">
        <v>0</v>
      </c>
      <c r="L9324" t="n">
        <v>0</v>
      </c>
      <c r="M9324" t="n">
        <v>0</v>
      </c>
      <c r="N9324" t="n">
        <v>0</v>
      </c>
      <c r="O9324" t="n">
        <v>0</v>
      </c>
      <c r="P9324" t="n">
        <v>0</v>
      </c>
      <c r="Q9324" t="n">
        <v>0</v>
      </c>
      <c r="R9324" s="2" t="inlineStr"/>
    </row>
    <row r="9325" ht="15" customHeight="1">
      <c r="A9325" t="inlineStr">
        <is>
          <t>A 33750-2023</t>
        </is>
      </c>
      <c r="B9325" s="1" t="n">
        <v>45120</v>
      </c>
      <c r="C9325" s="1" t="n">
        <v>46045</v>
      </c>
      <c r="D9325" t="inlineStr">
        <is>
          <t>JÄMTLANDS LÄN</t>
        </is>
      </c>
      <c r="E9325" t="inlineStr">
        <is>
          <t>BERG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37821-2025</t>
        </is>
      </c>
      <c r="B9326" s="1" t="n">
        <v>45881.40521990741</v>
      </c>
      <c r="C9326" s="1" t="n">
        <v>46045</v>
      </c>
      <c r="D9326" t="inlineStr">
        <is>
          <t>JÄMTLANDS LÄN</t>
        </is>
      </c>
      <c r="E9326" t="inlineStr">
        <is>
          <t>KROKOM</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29003-2024</t>
        </is>
      </c>
      <c r="B9327" s="1" t="n">
        <v>45481.52758101852</v>
      </c>
      <c r="C9327" s="1" t="n">
        <v>46045</v>
      </c>
      <c r="D9327" t="inlineStr">
        <is>
          <t>JÄMTLANDS LÄN</t>
        </is>
      </c>
      <c r="E9327" t="inlineStr">
        <is>
          <t>BRÄCKE</t>
        </is>
      </c>
      <c r="F9327" t="inlineStr">
        <is>
          <t>Övriga Aktiebolag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11599-2025</t>
        </is>
      </c>
      <c r="B9328" s="1" t="n">
        <v>45727.4261574074</v>
      </c>
      <c r="C9328" s="1" t="n">
        <v>46045</v>
      </c>
      <c r="D9328" t="inlineStr">
        <is>
          <t>JÄMTLANDS LÄN</t>
        </is>
      </c>
      <c r="E9328" t="inlineStr">
        <is>
          <t>BERG</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49396-2024</t>
        </is>
      </c>
      <c r="B9329" s="1" t="n">
        <v>45595.67100694445</v>
      </c>
      <c r="C9329" s="1" t="n">
        <v>46045</v>
      </c>
      <c r="D9329" t="inlineStr">
        <is>
          <t>JÄMTLANDS LÄN</t>
        </is>
      </c>
      <c r="E9329" t="inlineStr">
        <is>
          <t>STRÖMSUND</t>
        </is>
      </c>
      <c r="F9329" t="inlineStr">
        <is>
          <t>SCA</t>
        </is>
      </c>
      <c r="G9329" t="n">
        <v>6.5</v>
      </c>
      <c r="H9329" t="n">
        <v>0</v>
      </c>
      <c r="I9329" t="n">
        <v>0</v>
      </c>
      <c r="J9329" t="n">
        <v>0</v>
      </c>
      <c r="K9329" t="n">
        <v>0</v>
      </c>
      <c r="L9329" t="n">
        <v>0</v>
      </c>
      <c r="M9329" t="n">
        <v>0</v>
      </c>
      <c r="N9329" t="n">
        <v>0</v>
      </c>
      <c r="O9329" t="n">
        <v>0</v>
      </c>
      <c r="P9329" t="n">
        <v>0</v>
      </c>
      <c r="Q9329" t="n">
        <v>0</v>
      </c>
      <c r="R9329" s="2" t="inlineStr"/>
    </row>
    <row r="9330" ht="15" customHeight="1">
      <c r="A9330" t="inlineStr">
        <is>
          <t>A 37947-2025</t>
        </is>
      </c>
      <c r="B9330" s="1" t="n">
        <v>45881.6153587963</v>
      </c>
      <c r="C9330" s="1" t="n">
        <v>46045</v>
      </c>
      <c r="D9330" t="inlineStr">
        <is>
          <t>JÄMTLANDS LÄN</t>
        </is>
      </c>
      <c r="E9330" t="inlineStr">
        <is>
          <t>STRÖMSUND</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37963-2025</t>
        </is>
      </c>
      <c r="B9331" s="1" t="n">
        <v>45881.6609375</v>
      </c>
      <c r="C9331" s="1" t="n">
        <v>46045</v>
      </c>
      <c r="D9331" t="inlineStr">
        <is>
          <t>JÄMTLANDS LÄN</t>
        </is>
      </c>
      <c r="E9331" t="inlineStr">
        <is>
          <t>HÄRJEDALEN</t>
        </is>
      </c>
      <c r="G9331" t="n">
        <v>15.6</v>
      </c>
      <c r="H9331" t="n">
        <v>0</v>
      </c>
      <c r="I9331" t="n">
        <v>0</v>
      </c>
      <c r="J9331" t="n">
        <v>0</v>
      </c>
      <c r="K9331" t="n">
        <v>0</v>
      </c>
      <c r="L9331" t="n">
        <v>0</v>
      </c>
      <c r="M9331" t="n">
        <v>0</v>
      </c>
      <c r="N9331" t="n">
        <v>0</v>
      </c>
      <c r="O9331" t="n">
        <v>0</v>
      </c>
      <c r="P9331" t="n">
        <v>0</v>
      </c>
      <c r="Q9331" t="n">
        <v>0</v>
      </c>
      <c r="R9331" s="2" t="inlineStr"/>
    </row>
    <row r="9332" ht="15" customHeight="1">
      <c r="A9332" t="inlineStr">
        <is>
          <t>A 38030-2025</t>
        </is>
      </c>
      <c r="B9332" s="1" t="n">
        <v>45882.36521990741</v>
      </c>
      <c r="C9332" s="1" t="n">
        <v>46045</v>
      </c>
      <c r="D9332" t="inlineStr">
        <is>
          <t>JÄMTLANDS LÄN</t>
        </is>
      </c>
      <c r="E9332" t="inlineStr">
        <is>
          <t>BRÄCKE</t>
        </is>
      </c>
      <c r="F9332" t="inlineStr">
        <is>
          <t>SCA</t>
        </is>
      </c>
      <c r="G9332" t="n">
        <v>11.6</v>
      </c>
      <c r="H9332" t="n">
        <v>0</v>
      </c>
      <c r="I9332" t="n">
        <v>0</v>
      </c>
      <c r="J9332" t="n">
        <v>0</v>
      </c>
      <c r="K9332" t="n">
        <v>0</v>
      </c>
      <c r="L9332" t="n">
        <v>0</v>
      </c>
      <c r="M9332" t="n">
        <v>0</v>
      </c>
      <c r="N9332" t="n">
        <v>0</v>
      </c>
      <c r="O9332" t="n">
        <v>0</v>
      </c>
      <c r="P9332" t="n">
        <v>0</v>
      </c>
      <c r="Q9332" t="n">
        <v>0</v>
      </c>
      <c r="R9332" s="2" t="inlineStr"/>
    </row>
    <row r="9333" ht="15" customHeight="1">
      <c r="A9333" t="inlineStr">
        <is>
          <t>A 53131-2024</t>
        </is>
      </c>
      <c r="B9333" s="1" t="n">
        <v>45611.59434027778</v>
      </c>
      <c r="C9333" s="1" t="n">
        <v>46045</v>
      </c>
      <c r="D9333" t="inlineStr">
        <is>
          <t>JÄMTLANDS LÄN</t>
        </is>
      </c>
      <c r="E9333" t="inlineStr">
        <is>
          <t>STRÖMSUND</t>
        </is>
      </c>
      <c r="F9333" t="inlineStr">
        <is>
          <t>SCA</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56314-2023</t>
        </is>
      </c>
      <c r="B9334" s="1" t="n">
        <v>45242.96574074074</v>
      </c>
      <c r="C9334" s="1" t="n">
        <v>46045</v>
      </c>
      <c r="D9334" t="inlineStr">
        <is>
          <t>JÄMTLANDS LÄN</t>
        </is>
      </c>
      <c r="E9334" t="inlineStr">
        <is>
          <t>STRÖMSUND</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56328-2023</t>
        </is>
      </c>
      <c r="B9335" s="1" t="n">
        <v>45243.33297453704</v>
      </c>
      <c r="C9335" s="1" t="n">
        <v>46045</v>
      </c>
      <c r="D9335" t="inlineStr">
        <is>
          <t>JÄMTLANDS LÄN</t>
        </is>
      </c>
      <c r="E9335" t="inlineStr">
        <is>
          <t>KROKOM</t>
        </is>
      </c>
      <c r="F9335" t="inlineStr">
        <is>
          <t>Övriga Aktiebolag</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37086-2024</t>
        </is>
      </c>
      <c r="B9336" s="1" t="n">
        <v>45539.49776620371</v>
      </c>
      <c r="C9336" s="1" t="n">
        <v>46045</v>
      </c>
      <c r="D9336" t="inlineStr">
        <is>
          <t>JÄMTLANDS LÄN</t>
        </is>
      </c>
      <c r="E9336" t="inlineStr">
        <is>
          <t>BERG</t>
        </is>
      </c>
      <c r="F9336" t="inlineStr">
        <is>
          <t>Övriga Aktiebolag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58580-2023</t>
        </is>
      </c>
      <c r="B9337" s="1" t="n">
        <v>45251.45293981482</v>
      </c>
      <c r="C9337" s="1" t="n">
        <v>46045</v>
      </c>
      <c r="D9337" t="inlineStr">
        <is>
          <t>JÄMTLANDS LÄN</t>
        </is>
      </c>
      <c r="E9337" t="inlineStr">
        <is>
          <t>STRÖMSUND</t>
        </is>
      </c>
      <c r="F9337" t="inlineStr">
        <is>
          <t>Holmen skog AB</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43762-2023</t>
        </is>
      </c>
      <c r="B9338" s="1" t="n">
        <v>45182</v>
      </c>
      <c r="C9338" s="1" t="n">
        <v>46045</v>
      </c>
      <c r="D9338" t="inlineStr">
        <is>
          <t>JÄMTLANDS LÄN</t>
        </is>
      </c>
      <c r="E9338" t="inlineStr">
        <is>
          <t>BERG</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32724-2023</t>
        </is>
      </c>
      <c r="B9339" s="1" t="n">
        <v>45121</v>
      </c>
      <c r="C9339" s="1" t="n">
        <v>46045</v>
      </c>
      <c r="D9339" t="inlineStr">
        <is>
          <t>JÄMTLANDS LÄN</t>
        </is>
      </c>
      <c r="E9339" t="inlineStr">
        <is>
          <t>STRÖMSUND</t>
        </is>
      </c>
      <c r="F9339" t="inlineStr">
        <is>
          <t>SCA</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8720-2025</t>
        </is>
      </c>
      <c r="B9340" s="1" t="n">
        <v>45712.50850694445</v>
      </c>
      <c r="C9340" s="1" t="n">
        <v>46045</v>
      </c>
      <c r="D9340" t="inlineStr">
        <is>
          <t>JÄMTLANDS LÄN</t>
        </is>
      </c>
      <c r="E9340" t="inlineStr">
        <is>
          <t>STRÖMSUND</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35257-2023</t>
        </is>
      </c>
      <c r="B9341" s="1" t="n">
        <v>45145.95255787037</v>
      </c>
      <c r="C9341" s="1" t="n">
        <v>46045</v>
      </c>
      <c r="D9341" t="inlineStr">
        <is>
          <t>JÄMTLANDS LÄN</t>
        </is>
      </c>
      <c r="E9341" t="inlineStr">
        <is>
          <t>KROKOM</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10342-2023</t>
        </is>
      </c>
      <c r="B9342" s="1" t="n">
        <v>44987.35282407407</v>
      </c>
      <c r="C9342" s="1" t="n">
        <v>46045</v>
      </c>
      <c r="D9342" t="inlineStr">
        <is>
          <t>JÄMTLANDS LÄN</t>
        </is>
      </c>
      <c r="E9342" t="inlineStr">
        <is>
          <t>HÄRJEDALEN</t>
        </is>
      </c>
      <c r="F9342" t="inlineStr">
        <is>
          <t>Holmen skog AB</t>
        </is>
      </c>
      <c r="G9342" t="n">
        <v>32.6</v>
      </c>
      <c r="H9342" t="n">
        <v>0</v>
      </c>
      <c r="I9342" t="n">
        <v>0</v>
      </c>
      <c r="J9342" t="n">
        <v>0</v>
      </c>
      <c r="K9342" t="n">
        <v>0</v>
      </c>
      <c r="L9342" t="n">
        <v>0</v>
      </c>
      <c r="M9342" t="n">
        <v>0</v>
      </c>
      <c r="N9342" t="n">
        <v>0</v>
      </c>
      <c r="O9342" t="n">
        <v>0</v>
      </c>
      <c r="P9342" t="n">
        <v>0</v>
      </c>
      <c r="Q9342" t="n">
        <v>0</v>
      </c>
      <c r="R9342" s="2" t="inlineStr"/>
    </row>
    <row r="9343" ht="15" customHeight="1">
      <c r="A9343" t="inlineStr">
        <is>
          <t>A 44601-2024</t>
        </is>
      </c>
      <c r="B9343" s="1" t="n">
        <v>45574.51127314815</v>
      </c>
      <c r="C9343" s="1" t="n">
        <v>46045</v>
      </c>
      <c r="D9343" t="inlineStr">
        <is>
          <t>JÄMTLANDS LÄN</t>
        </is>
      </c>
      <c r="E9343" t="inlineStr">
        <is>
          <t>STRÖMSUND</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48065-2023</t>
        </is>
      </c>
      <c r="B9344" s="1" t="n">
        <v>45204.94399305555</v>
      </c>
      <c r="C9344" s="1" t="n">
        <v>46045</v>
      </c>
      <c r="D9344" t="inlineStr">
        <is>
          <t>JÄMTLANDS LÄN</t>
        </is>
      </c>
      <c r="E9344" t="inlineStr">
        <is>
          <t>RAGUNDA</t>
        </is>
      </c>
      <c r="F9344" t="inlineStr">
        <is>
          <t>SCA</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48080-2023</t>
        </is>
      </c>
      <c r="B9345" s="1" t="n">
        <v>45204.94569444445</v>
      </c>
      <c r="C9345" s="1" t="n">
        <v>46045</v>
      </c>
      <c r="D9345" t="inlineStr">
        <is>
          <t>JÄMTLANDS LÄN</t>
        </is>
      </c>
      <c r="E9345" t="inlineStr">
        <is>
          <t>BRÄCKE</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44597-2024</t>
        </is>
      </c>
      <c r="B9346" s="1" t="n">
        <v>45574.51087962963</v>
      </c>
      <c r="C9346" s="1" t="n">
        <v>46045</v>
      </c>
      <c r="D9346" t="inlineStr">
        <is>
          <t>JÄMTLANDS LÄN</t>
        </is>
      </c>
      <c r="E9346" t="inlineStr">
        <is>
          <t>RAGUNDA</t>
        </is>
      </c>
      <c r="F9346" t="inlineStr">
        <is>
          <t>SCA</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44598-2024</t>
        </is>
      </c>
      <c r="B9347" s="1" t="n">
        <v>45574.51090277778</v>
      </c>
      <c r="C9347" s="1" t="n">
        <v>46045</v>
      </c>
      <c r="D9347" t="inlineStr">
        <is>
          <t>JÄMTLANDS LÄN</t>
        </is>
      </c>
      <c r="E9347" t="inlineStr">
        <is>
          <t>RAGUNDA</t>
        </is>
      </c>
      <c r="F9347" t="inlineStr">
        <is>
          <t>SCA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49659-2023</t>
        </is>
      </c>
      <c r="B9348" s="1" t="n">
        <v>45211.95134259259</v>
      </c>
      <c r="C9348" s="1" t="n">
        <v>46045</v>
      </c>
      <c r="D9348" t="inlineStr">
        <is>
          <t>JÄMTLANDS LÄN</t>
        </is>
      </c>
      <c r="E9348" t="inlineStr">
        <is>
          <t>RAGUNDA</t>
        </is>
      </c>
      <c r="F9348" t="inlineStr">
        <is>
          <t>SCA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1113-2024</t>
        </is>
      </c>
      <c r="B9349" s="1" t="n">
        <v>45302.42872685185</v>
      </c>
      <c r="C9349" s="1" t="n">
        <v>46045</v>
      </c>
      <c r="D9349" t="inlineStr">
        <is>
          <t>JÄMTLANDS LÄN</t>
        </is>
      </c>
      <c r="E9349" t="inlineStr">
        <is>
          <t>STRÖMSUND</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17994-2025</t>
        </is>
      </c>
      <c r="B9350" s="1" t="n">
        <v>45761.40689814815</v>
      </c>
      <c r="C9350" s="1" t="n">
        <v>46045</v>
      </c>
      <c r="D9350" t="inlineStr">
        <is>
          <t>JÄMTLANDS LÄN</t>
        </is>
      </c>
      <c r="E9350" t="inlineStr">
        <is>
          <t>STRÖMSUND</t>
        </is>
      </c>
      <c r="F9350" t="inlineStr">
        <is>
          <t>SCA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20238-2025</t>
        </is>
      </c>
      <c r="B9351" s="1" t="n">
        <v>45772.69290509259</v>
      </c>
      <c r="C9351" s="1" t="n">
        <v>46045</v>
      </c>
      <c r="D9351" t="inlineStr">
        <is>
          <t>JÄMTLANDS LÄN</t>
        </is>
      </c>
      <c r="E9351" t="inlineStr">
        <is>
          <t>HÄRJEDALEN</t>
        </is>
      </c>
      <c r="F9351" t="inlineStr">
        <is>
          <t>Sveaskog</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23734-2024</t>
        </is>
      </c>
      <c r="B9352" s="1" t="n">
        <v>45454.95960648148</v>
      </c>
      <c r="C9352" s="1" t="n">
        <v>46045</v>
      </c>
      <c r="D9352" t="inlineStr">
        <is>
          <t>JÄMTLANDS LÄN</t>
        </is>
      </c>
      <c r="E9352" t="inlineStr">
        <is>
          <t>RAGUNDA</t>
        </is>
      </c>
      <c r="F9352" t="inlineStr">
        <is>
          <t>SCA</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15884-2023</t>
        </is>
      </c>
      <c r="B9353" s="1" t="n">
        <v>45022</v>
      </c>
      <c r="C9353" s="1" t="n">
        <v>46045</v>
      </c>
      <c r="D9353" t="inlineStr">
        <is>
          <t>JÄMTLANDS LÄN</t>
        </is>
      </c>
      <c r="E9353" t="inlineStr">
        <is>
          <t>ÅRE</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29774-2024</t>
        </is>
      </c>
      <c r="B9354" s="1" t="n">
        <v>45485</v>
      </c>
      <c r="C9354" s="1" t="n">
        <v>46045</v>
      </c>
      <c r="D9354" t="inlineStr">
        <is>
          <t>JÄMTLANDS LÄN</t>
        </is>
      </c>
      <c r="E9354" t="inlineStr">
        <is>
          <t>HÄRJEDALEN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18620-2023</t>
        </is>
      </c>
      <c r="B9355" s="1" t="n">
        <v>45041</v>
      </c>
      <c r="C9355" s="1" t="n">
        <v>46045</v>
      </c>
      <c r="D9355" t="inlineStr">
        <is>
          <t>JÄMTLANDS LÄN</t>
        </is>
      </c>
      <c r="E9355" t="inlineStr">
        <is>
          <t>HÄRJEDALEN</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12653-2024</t>
        </is>
      </c>
      <c r="B9356" s="1" t="n">
        <v>45384</v>
      </c>
      <c r="C9356" s="1" t="n">
        <v>46045</v>
      </c>
      <c r="D9356" t="inlineStr">
        <is>
          <t>JÄMTLANDS LÄN</t>
        </is>
      </c>
      <c r="E9356" t="inlineStr">
        <is>
          <t>RAGUNDA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46785-2024</t>
        </is>
      </c>
      <c r="B9357" s="1" t="n">
        <v>45583.52885416667</v>
      </c>
      <c r="C9357" s="1" t="n">
        <v>46045</v>
      </c>
      <c r="D9357" t="inlineStr">
        <is>
          <t>JÄMTLANDS LÄN</t>
        </is>
      </c>
      <c r="E9357" t="inlineStr">
        <is>
          <t>KROKOM</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18770-2024</t>
        </is>
      </c>
      <c r="B9358" s="1" t="n">
        <v>45426</v>
      </c>
      <c r="C9358" s="1" t="n">
        <v>46045</v>
      </c>
      <c r="D9358" t="inlineStr">
        <is>
          <t>JÄMTLANDS LÄN</t>
        </is>
      </c>
      <c r="E9358" t="inlineStr">
        <is>
          <t>STRÖMSUND</t>
        </is>
      </c>
      <c r="F9358" t="inlineStr">
        <is>
          <t>Kyrkan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24802-2024</t>
        </is>
      </c>
      <c r="B9359" s="1" t="n">
        <v>45460.95309027778</v>
      </c>
      <c r="C9359" s="1" t="n">
        <v>46045</v>
      </c>
      <c r="D9359" t="inlineStr">
        <is>
          <t>JÄMTLANDS LÄN</t>
        </is>
      </c>
      <c r="E9359" t="inlineStr">
        <is>
          <t>STRÖMSUND</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24804-2024</t>
        </is>
      </c>
      <c r="B9360" s="1" t="n">
        <v>45460.95325231482</v>
      </c>
      <c r="C9360" s="1" t="n">
        <v>46045</v>
      </c>
      <c r="D9360" t="inlineStr">
        <is>
          <t>JÄMTLANDS LÄN</t>
        </is>
      </c>
      <c r="E9360" t="inlineStr">
        <is>
          <t>STRÖMSUND</t>
        </is>
      </c>
      <c r="F9360" t="inlineStr">
        <is>
          <t>SCA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25378-2024</t>
        </is>
      </c>
      <c r="B9361" s="1" t="n">
        <v>45462.96231481482</v>
      </c>
      <c r="C9361" s="1" t="n">
        <v>46045</v>
      </c>
      <c r="D9361" t="inlineStr">
        <is>
          <t>JÄMTLANDS LÄN</t>
        </is>
      </c>
      <c r="E9361" t="inlineStr">
        <is>
          <t>STRÖMSUND</t>
        </is>
      </c>
      <c r="F9361" t="inlineStr">
        <is>
          <t>SCA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47076-2024</t>
        </is>
      </c>
      <c r="B9362" s="1" t="n">
        <v>45586.50180555556</v>
      </c>
      <c r="C9362" s="1" t="n">
        <v>46045</v>
      </c>
      <c r="D9362" t="inlineStr">
        <is>
          <t>JÄMTLANDS LÄN</t>
        </is>
      </c>
      <c r="E9362" t="inlineStr">
        <is>
          <t>ÅRE</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4514-2024</t>
        </is>
      </c>
      <c r="B9363" s="1" t="n">
        <v>45327</v>
      </c>
      <c r="C9363" s="1" t="n">
        <v>46045</v>
      </c>
      <c r="D9363" t="inlineStr">
        <is>
          <t>JÄMTLANDS LÄN</t>
        </is>
      </c>
      <c r="E9363" t="inlineStr">
        <is>
          <t>STRÖMSUND</t>
        </is>
      </c>
      <c r="F9363" t="inlineStr">
        <is>
          <t>Kyrkan</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67099-2021</t>
        </is>
      </c>
      <c r="B9364" s="1" t="n">
        <v>44522.94574074074</v>
      </c>
      <c r="C9364" s="1" t="n">
        <v>46045</v>
      </c>
      <c r="D9364" t="inlineStr">
        <is>
          <t>JÄMTLANDS LÄN</t>
        </is>
      </c>
      <c r="E9364" t="inlineStr">
        <is>
          <t>STRÖMSUND</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64299-2021</t>
        </is>
      </c>
      <c r="B9365" s="1" t="n">
        <v>44510.9491087963</v>
      </c>
      <c r="C9365" s="1" t="n">
        <v>46045</v>
      </c>
      <c r="D9365" t="inlineStr">
        <is>
          <t>JÄMTLANDS LÄN</t>
        </is>
      </c>
      <c r="E9365" t="inlineStr">
        <is>
          <t>KROKOM</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31155-2024</t>
        </is>
      </c>
      <c r="B9366" s="1" t="n">
        <v>45503</v>
      </c>
      <c r="C9366" s="1" t="n">
        <v>46045</v>
      </c>
      <c r="D9366" t="inlineStr">
        <is>
          <t>JÄMTLANDS LÄN</t>
        </is>
      </c>
      <c r="E9366" t="inlineStr">
        <is>
          <t>BERG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1226-2024</t>
        </is>
      </c>
      <c r="B9367" s="1" t="n">
        <v>45302</v>
      </c>
      <c r="C9367" s="1" t="n">
        <v>46045</v>
      </c>
      <c r="D9367" t="inlineStr">
        <is>
          <t>JÄMTLANDS LÄN</t>
        </is>
      </c>
      <c r="E9367" t="inlineStr">
        <is>
          <t>STRÖMSUND</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32907-2023</t>
        </is>
      </c>
      <c r="B9368" s="1" t="n">
        <v>45124</v>
      </c>
      <c r="C9368" s="1" t="n">
        <v>46045</v>
      </c>
      <c r="D9368" t="inlineStr">
        <is>
          <t>JÄMTLANDS LÄN</t>
        </is>
      </c>
      <c r="E9368" t="inlineStr">
        <is>
          <t>STRÖMSUND</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32910-2023</t>
        </is>
      </c>
      <c r="B9369" s="1" t="n">
        <v>45124.95171296296</v>
      </c>
      <c r="C9369" s="1" t="n">
        <v>46045</v>
      </c>
      <c r="D9369" t="inlineStr">
        <is>
          <t>JÄMTLANDS LÄN</t>
        </is>
      </c>
      <c r="E9369" t="inlineStr">
        <is>
          <t>STRÖMSUND</t>
        </is>
      </c>
      <c r="F9369" t="inlineStr">
        <is>
          <t>SCA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54389-2024</t>
        </is>
      </c>
      <c r="B9370" s="1" t="n">
        <v>45617.45207175926</v>
      </c>
      <c r="C9370" s="1" t="n">
        <v>46045</v>
      </c>
      <c r="D9370" t="inlineStr">
        <is>
          <t>JÄMTLANDS LÄN</t>
        </is>
      </c>
      <c r="E9370" t="inlineStr">
        <is>
          <t>STRÖMSUND</t>
        </is>
      </c>
      <c r="G9370" t="n">
        <v>7.9</v>
      </c>
      <c r="H9370" t="n">
        <v>0</v>
      </c>
      <c r="I9370" t="n">
        <v>0</v>
      </c>
      <c r="J9370" t="n">
        <v>0</v>
      </c>
      <c r="K9370" t="n">
        <v>0</v>
      </c>
      <c r="L9370" t="n">
        <v>0</v>
      </c>
      <c r="M9370" t="n">
        <v>0</v>
      </c>
      <c r="N9370" t="n">
        <v>0</v>
      </c>
      <c r="O9370" t="n">
        <v>0</v>
      </c>
      <c r="P9370" t="n">
        <v>0</v>
      </c>
      <c r="Q9370" t="n">
        <v>0</v>
      </c>
      <c r="R9370" s="2" t="inlineStr"/>
    </row>
    <row r="9371" ht="15" customHeight="1">
      <c r="A9371" t="inlineStr">
        <is>
          <t>A 45249-2024</t>
        </is>
      </c>
      <c r="B9371" s="1" t="n">
        <v>45576.32144675926</v>
      </c>
      <c r="C9371" s="1" t="n">
        <v>46045</v>
      </c>
      <c r="D9371" t="inlineStr">
        <is>
          <t>JÄMTLANDS LÄN</t>
        </is>
      </c>
      <c r="E9371" t="inlineStr">
        <is>
          <t>STRÖMSUND</t>
        </is>
      </c>
      <c r="F9371" t="inlineStr">
        <is>
          <t>Sveaskog</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44694-2023</t>
        </is>
      </c>
      <c r="B9372" s="1" t="n">
        <v>45189.92251157408</v>
      </c>
      <c r="C9372" s="1" t="n">
        <v>46045</v>
      </c>
      <c r="D9372" t="inlineStr">
        <is>
          <t>JÄMTLANDS LÄN</t>
        </is>
      </c>
      <c r="E9372" t="inlineStr">
        <is>
          <t>BRÄCKE</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45807-2024</t>
        </is>
      </c>
      <c r="B9373" s="1" t="n">
        <v>45579.69815972223</v>
      </c>
      <c r="C9373" s="1" t="n">
        <v>46045</v>
      </c>
      <c r="D9373" t="inlineStr">
        <is>
          <t>JÄMTLANDS LÄN</t>
        </is>
      </c>
      <c r="E9373" t="inlineStr">
        <is>
          <t>BRÄCKE</t>
        </is>
      </c>
      <c r="F9373" t="inlineStr">
        <is>
          <t>SCA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7756-2025</t>
        </is>
      </c>
      <c r="B9374" s="1" t="n">
        <v>45706.51079861111</v>
      </c>
      <c r="C9374" s="1" t="n">
        <v>46045</v>
      </c>
      <c r="D9374" t="inlineStr">
        <is>
          <t>JÄMTLANDS LÄN</t>
        </is>
      </c>
      <c r="E9374" t="inlineStr">
        <is>
          <t>BRÄCKE</t>
        </is>
      </c>
      <c r="F9374" t="inlineStr">
        <is>
          <t>SCA</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7757-2025</t>
        </is>
      </c>
      <c r="B9375" s="1" t="n">
        <v>45706.51085648148</v>
      </c>
      <c r="C9375" s="1" t="n">
        <v>46045</v>
      </c>
      <c r="D9375" t="inlineStr">
        <is>
          <t>JÄMTLANDS LÄN</t>
        </is>
      </c>
      <c r="E9375" t="inlineStr">
        <is>
          <t>BRÄCKE</t>
        </is>
      </c>
      <c r="F9375" t="inlineStr">
        <is>
          <t>SCA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41058-2023</t>
        </is>
      </c>
      <c r="B9376" s="1" t="n">
        <v>45173</v>
      </c>
      <c r="C9376" s="1" t="n">
        <v>46045</v>
      </c>
      <c r="D9376" t="inlineStr">
        <is>
          <t>JÄMTLANDS LÄN</t>
        </is>
      </c>
      <c r="E9376" t="inlineStr">
        <is>
          <t>HÄRJEDALEN</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35921-2024</t>
        </is>
      </c>
      <c r="B9377" s="1" t="n">
        <v>45533.42659722222</v>
      </c>
      <c r="C9377" s="1" t="n">
        <v>46045</v>
      </c>
      <c r="D9377" t="inlineStr">
        <is>
          <t>JÄMTLANDS LÄN</t>
        </is>
      </c>
      <c r="E9377" t="inlineStr">
        <is>
          <t>BERG</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34483-2023</t>
        </is>
      </c>
      <c r="B9378" s="1" t="n">
        <v>45139.94681712963</v>
      </c>
      <c r="C9378" s="1" t="n">
        <v>46045</v>
      </c>
      <c r="D9378" t="inlineStr">
        <is>
          <t>JÄMTLANDS LÄN</t>
        </is>
      </c>
      <c r="E9378" t="inlineStr">
        <is>
          <t>RAGUNDA</t>
        </is>
      </c>
      <c r="F9378" t="inlineStr">
        <is>
          <t>SCA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23567-2024</t>
        </is>
      </c>
      <c r="B9379" s="1" t="n">
        <v>45453.95538194444</v>
      </c>
      <c r="C9379" s="1" t="n">
        <v>46045</v>
      </c>
      <c r="D9379" t="inlineStr">
        <is>
          <t>JÄMTLANDS LÄN</t>
        </is>
      </c>
      <c r="E9379" t="inlineStr">
        <is>
          <t>RAGUNDA</t>
        </is>
      </c>
      <c r="F9379" t="inlineStr">
        <is>
          <t>SCA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40569-2023</t>
        </is>
      </c>
      <c r="B9380" s="1" t="n">
        <v>45170.4643287037</v>
      </c>
      <c r="C9380" s="1" t="n">
        <v>46045</v>
      </c>
      <c r="D9380" t="inlineStr">
        <is>
          <t>JÄMTLANDS LÄN</t>
        </is>
      </c>
      <c r="E9380" t="inlineStr">
        <is>
          <t>HÄRJEDALEN</t>
        </is>
      </c>
      <c r="F9380" t="inlineStr">
        <is>
          <t>Holmen skog AB</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57116-2024</t>
        </is>
      </c>
      <c r="B9381" s="1" t="n">
        <v>45629.36513888889</v>
      </c>
      <c r="C9381" s="1" t="n">
        <v>46045</v>
      </c>
      <c r="D9381" t="inlineStr">
        <is>
          <t>JÄMTLANDS LÄN</t>
        </is>
      </c>
      <c r="E9381" t="inlineStr">
        <is>
          <t>RAGUNDA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26923-2024</t>
        </is>
      </c>
      <c r="B9382" s="1" t="n">
        <v>45470.93094907407</v>
      </c>
      <c r="C9382" s="1" t="n">
        <v>46045</v>
      </c>
      <c r="D9382" t="inlineStr">
        <is>
          <t>JÄMTLANDS LÄN</t>
        </is>
      </c>
      <c r="E9382" t="inlineStr">
        <is>
          <t>BRÄCKE</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38312-2024</t>
        </is>
      </c>
      <c r="B9383" s="1" t="n">
        <v>45545.64957175926</v>
      </c>
      <c r="C9383" s="1" t="n">
        <v>46045</v>
      </c>
      <c r="D9383" t="inlineStr">
        <is>
          <t>JÄMTLANDS LÄN</t>
        </is>
      </c>
      <c r="E9383" t="inlineStr">
        <is>
          <t>RAGUNDA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9257-2025</t>
        </is>
      </c>
      <c r="B9384" s="1" t="n">
        <v>45714.59465277778</v>
      </c>
      <c r="C9384" s="1" t="n">
        <v>46045</v>
      </c>
      <c r="D9384" t="inlineStr">
        <is>
          <t>JÄMTLANDS LÄN</t>
        </is>
      </c>
      <c r="E9384" t="inlineStr">
        <is>
          <t>STRÖMSUND</t>
        </is>
      </c>
      <c r="F9384" t="inlineStr">
        <is>
          <t>SCA</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9262-2025</t>
        </is>
      </c>
      <c r="B9385" s="1" t="n">
        <v>45714.60649305556</v>
      </c>
      <c r="C9385" s="1" t="n">
        <v>46045</v>
      </c>
      <c r="D9385" t="inlineStr">
        <is>
          <t>JÄMTLANDS LÄN</t>
        </is>
      </c>
      <c r="E9385" t="inlineStr">
        <is>
          <t>RAGUNDA</t>
        </is>
      </c>
      <c r="G9385" t="n">
        <v>8.300000000000001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16982-2024</t>
        </is>
      </c>
      <c r="B9386" s="1" t="n">
        <v>45412.02506944445</v>
      </c>
      <c r="C9386" s="1" t="n">
        <v>46045</v>
      </c>
      <c r="D9386" t="inlineStr">
        <is>
          <t>JÄMTLANDS LÄN</t>
        </is>
      </c>
      <c r="E9386" t="inlineStr">
        <is>
          <t>RAGUNDA</t>
        </is>
      </c>
      <c r="F9386" t="inlineStr">
        <is>
          <t>SCA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58487-2024</t>
        </is>
      </c>
      <c r="B9387" s="1" t="n">
        <v>45635.39820601852</v>
      </c>
      <c r="C9387" s="1" t="n">
        <v>46045</v>
      </c>
      <c r="D9387" t="inlineStr">
        <is>
          <t>JÄMTLANDS LÄN</t>
        </is>
      </c>
      <c r="E9387" t="inlineStr">
        <is>
          <t>KROKOM</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6358-2025</t>
        </is>
      </c>
      <c r="B9388" s="1" t="n">
        <v>45699.36491898148</v>
      </c>
      <c r="C9388" s="1" t="n">
        <v>46045</v>
      </c>
      <c r="D9388" t="inlineStr">
        <is>
          <t>JÄMTLANDS LÄN</t>
        </is>
      </c>
      <c r="E9388" t="inlineStr">
        <is>
          <t>ÅRE</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6378-2025</t>
        </is>
      </c>
      <c r="B9389" s="1" t="n">
        <v>45699.40689814815</v>
      </c>
      <c r="C9389" s="1" t="n">
        <v>46045</v>
      </c>
      <c r="D9389" t="inlineStr">
        <is>
          <t>JÄMTLANDS LÄN</t>
        </is>
      </c>
      <c r="E9389" t="inlineStr">
        <is>
          <t>BRÄCKE</t>
        </is>
      </c>
      <c r="F9389" t="inlineStr">
        <is>
          <t>SCA</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59293-2024</t>
        </is>
      </c>
      <c r="B9390" s="1" t="n">
        <v>45637</v>
      </c>
      <c r="C9390" s="1" t="n">
        <v>46045</v>
      </c>
      <c r="D9390" t="inlineStr">
        <is>
          <t>JÄMTLANDS LÄN</t>
        </is>
      </c>
      <c r="E9390" t="inlineStr">
        <is>
          <t>HÄRJEDALEN</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18253-2023</t>
        </is>
      </c>
      <c r="B9391" s="1" t="n">
        <v>45041.48034722222</v>
      </c>
      <c r="C9391" s="1" t="n">
        <v>46045</v>
      </c>
      <c r="D9391" t="inlineStr">
        <is>
          <t>JÄMTLANDS LÄN</t>
        </is>
      </c>
      <c r="E9391" t="inlineStr">
        <is>
          <t>ÅRE</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36549-2024</t>
        </is>
      </c>
      <c r="B9392" s="1" t="n">
        <v>45537.46791666667</v>
      </c>
      <c r="C9392" s="1" t="n">
        <v>46045</v>
      </c>
      <c r="D9392" t="inlineStr">
        <is>
          <t>JÄMTLANDS LÄN</t>
        </is>
      </c>
      <c r="E9392" t="inlineStr">
        <is>
          <t>BRÄCKE</t>
        </is>
      </c>
      <c r="F9392" t="inlineStr">
        <is>
          <t>SCA</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33453-2023</t>
        </is>
      </c>
      <c r="B9393" s="1" t="n">
        <v>45130</v>
      </c>
      <c r="C9393" s="1" t="n">
        <v>46045</v>
      </c>
      <c r="D9393" t="inlineStr">
        <is>
          <t>JÄMTLANDS LÄN</t>
        </is>
      </c>
      <c r="E9393" t="inlineStr">
        <is>
          <t>STRÖMSUND</t>
        </is>
      </c>
      <c r="F9393" t="inlineStr">
        <is>
          <t>SCA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3231-2022</t>
        </is>
      </c>
      <c r="B9394" s="1" t="n">
        <v>44582</v>
      </c>
      <c r="C9394" s="1" t="n">
        <v>46045</v>
      </c>
      <c r="D9394" t="inlineStr">
        <is>
          <t>JÄMTLANDS LÄN</t>
        </is>
      </c>
      <c r="E9394" t="inlineStr">
        <is>
          <t>KROKOM</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28930-2024</t>
        </is>
      </c>
      <c r="B9395" s="1" t="n">
        <v>45481.3330787037</v>
      </c>
      <c r="C9395" s="1" t="n">
        <v>46045</v>
      </c>
      <c r="D9395" t="inlineStr">
        <is>
          <t>JÄMTLANDS LÄN</t>
        </is>
      </c>
      <c r="E9395" t="inlineStr">
        <is>
          <t>HÄRJEDALEN</t>
        </is>
      </c>
      <c r="F9395" t="inlineStr">
        <is>
          <t>Holmen skog AB</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10646-2025</t>
        </is>
      </c>
      <c r="B9396" s="1" t="n">
        <v>45721.66456018519</v>
      </c>
      <c r="C9396" s="1" t="n">
        <v>46045</v>
      </c>
      <c r="D9396" t="inlineStr">
        <is>
          <t>JÄMTLANDS LÄN</t>
        </is>
      </c>
      <c r="E9396" t="inlineStr">
        <is>
          <t>KROKOM</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29477-2024</t>
        </is>
      </c>
      <c r="B9397" s="1" t="n">
        <v>45484</v>
      </c>
      <c r="C9397" s="1" t="n">
        <v>46045</v>
      </c>
      <c r="D9397" t="inlineStr">
        <is>
          <t>JÄMTLANDS LÄN</t>
        </is>
      </c>
      <c r="E9397" t="inlineStr">
        <is>
          <t>KROKOM</t>
        </is>
      </c>
      <c r="F9397" t="inlineStr">
        <is>
          <t>Övriga Aktiebolag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13069-2025</t>
        </is>
      </c>
      <c r="B9398" s="1" t="n">
        <v>45734.61494212963</v>
      </c>
      <c r="C9398" s="1" t="n">
        <v>46045</v>
      </c>
      <c r="D9398" t="inlineStr">
        <is>
          <t>JÄMTLANDS LÄN</t>
        </is>
      </c>
      <c r="E9398" t="inlineStr">
        <is>
          <t>BRÄCKE</t>
        </is>
      </c>
      <c r="F9398" t="inlineStr">
        <is>
          <t>SCA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22476-2023</t>
        </is>
      </c>
      <c r="B9399" s="1" t="n">
        <v>45070</v>
      </c>
      <c r="C9399" s="1" t="n">
        <v>46045</v>
      </c>
      <c r="D9399" t="inlineStr">
        <is>
          <t>JÄMTLANDS LÄN</t>
        </is>
      </c>
      <c r="E9399" t="inlineStr">
        <is>
          <t>STRÖMSUND</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57963-2024</t>
        </is>
      </c>
      <c r="B9400" s="1" t="n">
        <v>45631.59405092592</v>
      </c>
      <c r="C9400" s="1" t="n">
        <v>46045</v>
      </c>
      <c r="D9400" t="inlineStr">
        <is>
          <t>JÄMTLANDS LÄN</t>
        </is>
      </c>
      <c r="E9400" t="inlineStr">
        <is>
          <t>STRÖMSUND</t>
        </is>
      </c>
      <c r="F9400" t="inlineStr">
        <is>
          <t>SCA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58564-2024</t>
        </is>
      </c>
      <c r="B9401" s="1" t="n">
        <v>45635.47243055556</v>
      </c>
      <c r="C9401" s="1" t="n">
        <v>46045</v>
      </c>
      <c r="D9401" t="inlineStr">
        <is>
          <t>JÄMTLANDS LÄN</t>
        </is>
      </c>
      <c r="E9401" t="inlineStr">
        <is>
          <t>RAGUNDA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53540-2024</t>
        </is>
      </c>
      <c r="B9402" s="1" t="n">
        <v>45614.63575231482</v>
      </c>
      <c r="C9402" s="1" t="n">
        <v>46045</v>
      </c>
      <c r="D9402" t="inlineStr">
        <is>
          <t>JÄMTLANDS LÄN</t>
        </is>
      </c>
      <c r="E9402" t="inlineStr">
        <is>
          <t>KROKOM</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17804-2025</t>
        </is>
      </c>
      <c r="B9403" s="1" t="n">
        <v>45758.55240740741</v>
      </c>
      <c r="C9403" s="1" t="n">
        <v>46045</v>
      </c>
      <c r="D9403" t="inlineStr">
        <is>
          <t>JÄMTLANDS LÄN</t>
        </is>
      </c>
      <c r="E9403" t="inlineStr">
        <is>
          <t>STRÖMSUND</t>
        </is>
      </c>
      <c r="F9403" t="inlineStr">
        <is>
          <t>SCA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53144-2024</t>
        </is>
      </c>
      <c r="B9404" s="1" t="n">
        <v>45611</v>
      </c>
      <c r="C9404" s="1" t="n">
        <v>46045</v>
      </c>
      <c r="D9404" t="inlineStr">
        <is>
          <t>JÄMTLANDS LÄN</t>
        </is>
      </c>
      <c r="E9404" t="inlineStr">
        <is>
          <t>RAGUNDA</t>
        </is>
      </c>
      <c r="F9404" t="inlineStr">
        <is>
          <t>SCA</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10606-2025</t>
        </is>
      </c>
      <c r="B9405" s="1" t="n">
        <v>45721.59429398148</v>
      </c>
      <c r="C9405" s="1" t="n">
        <v>46045</v>
      </c>
      <c r="D9405" t="inlineStr">
        <is>
          <t>JÄMTLANDS LÄN</t>
        </is>
      </c>
      <c r="E9405" t="inlineStr">
        <is>
          <t>BRÄCKE</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14492-2024</t>
        </is>
      </c>
      <c r="B9406" s="1" t="n">
        <v>45394.58215277778</v>
      </c>
      <c r="C9406" s="1" t="n">
        <v>46045</v>
      </c>
      <c r="D9406" t="inlineStr">
        <is>
          <t>JÄMTLANDS LÄN</t>
        </is>
      </c>
      <c r="E9406" t="inlineStr">
        <is>
          <t>BRÄCKE</t>
        </is>
      </c>
      <c r="G9406" t="n">
        <v>16.6</v>
      </c>
      <c r="H9406" t="n">
        <v>0</v>
      </c>
      <c r="I9406" t="n">
        <v>0</v>
      </c>
      <c r="J9406" t="n">
        <v>0</v>
      </c>
      <c r="K9406" t="n">
        <v>0</v>
      </c>
      <c r="L9406" t="n">
        <v>0</v>
      </c>
      <c r="M9406" t="n">
        <v>0</v>
      </c>
      <c r="N9406" t="n">
        <v>0</v>
      </c>
      <c r="O9406" t="n">
        <v>0</v>
      </c>
      <c r="P9406" t="n">
        <v>0</v>
      </c>
      <c r="Q9406" t="n">
        <v>0</v>
      </c>
      <c r="R9406" s="2" t="inlineStr"/>
    </row>
    <row r="9407" ht="15" customHeight="1">
      <c r="A9407" t="inlineStr">
        <is>
          <t>A 5806-2025</t>
        </is>
      </c>
      <c r="B9407" s="1" t="n">
        <v>45694.69826388889</v>
      </c>
      <c r="C9407" s="1" t="n">
        <v>46045</v>
      </c>
      <c r="D9407" t="inlineStr">
        <is>
          <t>JÄMTLANDS LÄN</t>
        </is>
      </c>
      <c r="E9407" t="inlineStr">
        <is>
          <t>RAGUNDA</t>
        </is>
      </c>
      <c r="F9407" t="inlineStr">
        <is>
          <t>SCA</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5807-2025</t>
        </is>
      </c>
      <c r="B9408" s="1" t="n">
        <v>45694.6984837963</v>
      </c>
      <c r="C9408" s="1" t="n">
        <v>46045</v>
      </c>
      <c r="D9408" t="inlineStr">
        <is>
          <t>JÄMTLANDS LÄN</t>
        </is>
      </c>
      <c r="E9408" t="inlineStr">
        <is>
          <t>STRÖMSUND</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39122-2024</t>
        </is>
      </c>
      <c r="B9409" s="1" t="n">
        <v>45548.5940162037</v>
      </c>
      <c r="C9409" s="1" t="n">
        <v>46045</v>
      </c>
      <c r="D9409" t="inlineStr">
        <is>
          <t>JÄMTLANDS LÄN</t>
        </is>
      </c>
      <c r="E9409" t="inlineStr">
        <is>
          <t>BRÄCKE</t>
        </is>
      </c>
      <c r="F9409" t="inlineStr">
        <is>
          <t>SCA</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55064-2024</t>
        </is>
      </c>
      <c r="B9410" s="1" t="n">
        <v>45621.41050925926</v>
      </c>
      <c r="C9410" s="1" t="n">
        <v>46045</v>
      </c>
      <c r="D9410" t="inlineStr">
        <is>
          <t>JÄMTLANDS LÄN</t>
        </is>
      </c>
      <c r="E9410" t="inlineStr">
        <is>
          <t>ÖSTERSUND</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37208-2024</t>
        </is>
      </c>
      <c r="B9411" s="1" t="n">
        <v>45539.67788194444</v>
      </c>
      <c r="C9411" s="1" t="n">
        <v>46045</v>
      </c>
      <c r="D9411" t="inlineStr">
        <is>
          <t>JÄMTLANDS LÄN</t>
        </is>
      </c>
      <c r="E9411" t="inlineStr">
        <is>
          <t>STRÖMSUND</t>
        </is>
      </c>
      <c r="F9411" t="inlineStr">
        <is>
          <t>SCA</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217-2025</t>
        </is>
      </c>
      <c r="B9412" s="1" t="n">
        <v>45660.34424768519</v>
      </c>
      <c r="C9412" s="1" t="n">
        <v>46045</v>
      </c>
      <c r="D9412" t="inlineStr">
        <is>
          <t>JÄMTLANDS LÄN</t>
        </is>
      </c>
      <c r="E9412" t="inlineStr">
        <is>
          <t>STRÖMSUND</t>
        </is>
      </c>
      <c r="F9412" t="inlineStr">
        <is>
          <t>SCA</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231-2025</t>
        </is>
      </c>
      <c r="B9413" s="1" t="n">
        <v>45660.36972222223</v>
      </c>
      <c r="C9413" s="1" t="n">
        <v>46045</v>
      </c>
      <c r="D9413" t="inlineStr">
        <is>
          <t>JÄMTLANDS LÄN</t>
        </is>
      </c>
      <c r="E9413" t="inlineStr">
        <is>
          <t>BRÄCKE</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278-2025</t>
        </is>
      </c>
      <c r="B9414" s="1" t="n">
        <v>45660.49075231481</v>
      </c>
      <c r="C9414" s="1" t="n">
        <v>46045</v>
      </c>
      <c r="D9414" t="inlineStr">
        <is>
          <t>JÄMTLANDS LÄN</t>
        </is>
      </c>
      <c r="E9414" t="inlineStr">
        <is>
          <t>BRÄCKE</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280-2025</t>
        </is>
      </c>
      <c r="B9415" s="1" t="n">
        <v>45660.49618055556</v>
      </c>
      <c r="C9415" s="1" t="n">
        <v>46045</v>
      </c>
      <c r="D9415" t="inlineStr">
        <is>
          <t>JÄMTLANDS LÄN</t>
        </is>
      </c>
      <c r="E9415" t="inlineStr">
        <is>
          <t>KROKOM</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32906-2023</t>
        </is>
      </c>
      <c r="B9416" s="1" t="n">
        <v>45124.95137731481</v>
      </c>
      <c r="C9416" s="1" t="n">
        <v>46045</v>
      </c>
      <c r="D9416" t="inlineStr">
        <is>
          <t>JÄMTLANDS LÄN</t>
        </is>
      </c>
      <c r="E9416" t="inlineStr">
        <is>
          <t>STRÖMSUND</t>
        </is>
      </c>
      <c r="F9416" t="inlineStr">
        <is>
          <t>SCA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20773-2024</t>
        </is>
      </c>
      <c r="B9417" s="1" t="n">
        <v>45436.94636574074</v>
      </c>
      <c r="C9417" s="1" t="n">
        <v>46045</v>
      </c>
      <c r="D9417" t="inlineStr">
        <is>
          <t>JÄMTLANDS LÄN</t>
        </is>
      </c>
      <c r="E9417" t="inlineStr">
        <is>
          <t>RAGUNDA</t>
        </is>
      </c>
      <c r="F9417" t="inlineStr">
        <is>
          <t>SCA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31588-2024</t>
        </is>
      </c>
      <c r="B9418" s="1" t="n">
        <v>45506.36702546296</v>
      </c>
      <c r="C9418" s="1" t="n">
        <v>46045</v>
      </c>
      <c r="D9418" t="inlineStr">
        <is>
          <t>JÄMTLANDS LÄN</t>
        </is>
      </c>
      <c r="E9418" t="inlineStr">
        <is>
          <t>HÄRJEDALEN</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37084-2022</t>
        </is>
      </c>
      <c r="B9419" s="1" t="n">
        <v>44806</v>
      </c>
      <c r="C9419" s="1" t="n">
        <v>46045</v>
      </c>
      <c r="D9419" t="inlineStr">
        <is>
          <t>JÄMTLANDS LÄN</t>
        </is>
      </c>
      <c r="E9419" t="inlineStr">
        <is>
          <t>STRÖMSUND</t>
        </is>
      </c>
      <c r="F9419" t="inlineStr">
        <is>
          <t>Kommuner</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37090-2022</t>
        </is>
      </c>
      <c r="B9420" s="1" t="n">
        <v>44806</v>
      </c>
      <c r="C9420" s="1" t="n">
        <v>46045</v>
      </c>
      <c r="D9420" t="inlineStr">
        <is>
          <t>JÄMTLANDS LÄN</t>
        </is>
      </c>
      <c r="E9420" t="inlineStr">
        <is>
          <t>STRÖMSUND</t>
        </is>
      </c>
      <c r="F9420" t="inlineStr">
        <is>
          <t>Kommuner</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17973-2025</t>
        </is>
      </c>
      <c r="B9421" s="1" t="n">
        <v>45761.36490740741</v>
      </c>
      <c r="C9421" s="1" t="n">
        <v>46045</v>
      </c>
      <c r="D9421" t="inlineStr">
        <is>
          <t>JÄMTLANDS LÄN</t>
        </is>
      </c>
      <c r="E9421" t="inlineStr">
        <is>
          <t>BRÄCKE</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17975-2025</t>
        </is>
      </c>
      <c r="B9422" s="1" t="n">
        <v>45761.36520833334</v>
      </c>
      <c r="C9422" s="1" t="n">
        <v>46045</v>
      </c>
      <c r="D9422" t="inlineStr">
        <is>
          <t>JÄMTLANDS LÄN</t>
        </is>
      </c>
      <c r="E9422" t="inlineStr">
        <is>
          <t>STRÖMSUND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17977-2025</t>
        </is>
      </c>
      <c r="B9423" s="1" t="n">
        <v>45761.36550925926</v>
      </c>
      <c r="C9423" s="1" t="n">
        <v>46045</v>
      </c>
      <c r="D9423" t="inlineStr">
        <is>
          <t>JÄMTLANDS LÄN</t>
        </is>
      </c>
      <c r="E9423" t="inlineStr">
        <is>
          <t>BRÄCKE</t>
        </is>
      </c>
      <c r="F9423" t="inlineStr">
        <is>
          <t>SCA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10116-2025</t>
        </is>
      </c>
      <c r="B9424" s="1" t="n">
        <v>45719.59836805556</v>
      </c>
      <c r="C9424" s="1" t="n">
        <v>46045</v>
      </c>
      <c r="D9424" t="inlineStr">
        <is>
          <t>JÄMTLANDS LÄN</t>
        </is>
      </c>
      <c r="E9424" t="inlineStr">
        <is>
          <t>ÖSTERSUND</t>
        </is>
      </c>
      <c r="G9424" t="n">
        <v>11.1</v>
      </c>
      <c r="H9424" t="n">
        <v>0</v>
      </c>
      <c r="I9424" t="n">
        <v>0</v>
      </c>
      <c r="J9424" t="n">
        <v>0</v>
      </c>
      <c r="K9424" t="n">
        <v>0</v>
      </c>
      <c r="L9424" t="n">
        <v>0</v>
      </c>
      <c r="M9424" t="n">
        <v>0</v>
      </c>
      <c r="N9424" t="n">
        <v>0</v>
      </c>
      <c r="O9424" t="n">
        <v>0</v>
      </c>
      <c r="P9424" t="n">
        <v>0</v>
      </c>
      <c r="Q9424" t="n">
        <v>0</v>
      </c>
      <c r="R9424" s="2" t="inlineStr"/>
    </row>
    <row r="9425" ht="15" customHeight="1">
      <c r="A9425" t="inlineStr">
        <is>
          <t>A 10180-2025</t>
        </is>
      </c>
      <c r="B9425" s="1" t="n">
        <v>45719.68037037037</v>
      </c>
      <c r="C9425" s="1" t="n">
        <v>46045</v>
      </c>
      <c r="D9425" t="inlineStr">
        <is>
          <t>JÄMTLANDS LÄN</t>
        </is>
      </c>
      <c r="E9425" t="inlineStr">
        <is>
          <t>STRÖMSUND</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33625-2022</t>
        </is>
      </c>
      <c r="B9426" s="1" t="n">
        <v>44789</v>
      </c>
      <c r="C9426" s="1" t="n">
        <v>46045</v>
      </c>
      <c r="D9426" t="inlineStr">
        <is>
          <t>JÄMTLANDS LÄN</t>
        </is>
      </c>
      <c r="E9426" t="inlineStr">
        <is>
          <t>ÅRE</t>
        </is>
      </c>
      <c r="G9426" t="n">
        <v>20.7</v>
      </c>
      <c r="H9426" t="n">
        <v>0</v>
      </c>
      <c r="I9426" t="n">
        <v>0</v>
      </c>
      <c r="J9426" t="n">
        <v>0</v>
      </c>
      <c r="K9426" t="n">
        <v>0</v>
      </c>
      <c r="L9426" t="n">
        <v>0</v>
      </c>
      <c r="M9426" t="n">
        <v>0</v>
      </c>
      <c r="N9426" t="n">
        <v>0</v>
      </c>
      <c r="O9426" t="n">
        <v>0</v>
      </c>
      <c r="P9426" t="n">
        <v>0</v>
      </c>
      <c r="Q9426" t="n">
        <v>0</v>
      </c>
      <c r="R9426" s="2" t="inlineStr"/>
    </row>
    <row r="9427" ht="15" customHeight="1">
      <c r="A9427" t="inlineStr">
        <is>
          <t>A 39490-2022</t>
        </is>
      </c>
      <c r="B9427" s="1" t="n">
        <v>44818</v>
      </c>
      <c r="C9427" s="1" t="n">
        <v>46045</v>
      </c>
      <c r="D9427" t="inlineStr">
        <is>
          <t>JÄMTLANDS LÄN</t>
        </is>
      </c>
      <c r="E9427" t="inlineStr">
        <is>
          <t>KROKOM</t>
        </is>
      </c>
      <c r="G9427" t="n">
        <v>11.9</v>
      </c>
      <c r="H9427" t="n">
        <v>0</v>
      </c>
      <c r="I9427" t="n">
        <v>0</v>
      </c>
      <c r="J9427" t="n">
        <v>0</v>
      </c>
      <c r="K9427" t="n">
        <v>0</v>
      </c>
      <c r="L9427" t="n">
        <v>0</v>
      </c>
      <c r="M9427" t="n">
        <v>0</v>
      </c>
      <c r="N9427" t="n">
        <v>0</v>
      </c>
      <c r="O9427" t="n">
        <v>0</v>
      </c>
      <c r="P9427" t="n">
        <v>0</v>
      </c>
      <c r="Q9427" t="n">
        <v>0</v>
      </c>
      <c r="R9427" s="2" t="inlineStr"/>
    </row>
    <row r="9428" ht="15" customHeight="1">
      <c r="A9428" t="inlineStr">
        <is>
          <t>A 51809-2023</t>
        </is>
      </c>
      <c r="B9428" s="1" t="n">
        <v>45222.96574074074</v>
      </c>
      <c r="C9428" s="1" t="n">
        <v>46045</v>
      </c>
      <c r="D9428" t="inlineStr">
        <is>
          <t>JÄMTLANDS LÄN</t>
        </is>
      </c>
      <c r="E9428" t="inlineStr">
        <is>
          <t>BRÄCKE</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51832-2023</t>
        </is>
      </c>
      <c r="B9429" s="1" t="n">
        <v>45222.96841435185</v>
      </c>
      <c r="C9429" s="1" t="n">
        <v>46045</v>
      </c>
      <c r="D9429" t="inlineStr">
        <is>
          <t>JÄMTLANDS LÄN</t>
        </is>
      </c>
      <c r="E9429" t="inlineStr">
        <is>
          <t>BRÄCKE</t>
        </is>
      </c>
      <c r="F9429" t="inlineStr">
        <is>
          <t>SCA</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31783-2024</t>
        </is>
      </c>
      <c r="B9430" s="1" t="n">
        <v>45509</v>
      </c>
      <c r="C9430" s="1" t="n">
        <v>46045</v>
      </c>
      <c r="D9430" t="inlineStr">
        <is>
          <t>JÄMTLANDS LÄN</t>
        </is>
      </c>
      <c r="E9430" t="inlineStr">
        <is>
          <t>HÄRJEDALEN</t>
        </is>
      </c>
      <c r="F9430" t="inlineStr">
        <is>
          <t>Övriga statliga verk och myndigheter</t>
        </is>
      </c>
      <c r="G9430" t="n">
        <v>8.800000000000001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31834-2024</t>
        </is>
      </c>
      <c r="B9431" s="1" t="n">
        <v>45509.6427662037</v>
      </c>
      <c r="C9431" s="1" t="n">
        <v>46045</v>
      </c>
      <c r="D9431" t="inlineStr">
        <is>
          <t>JÄMTLANDS LÄN</t>
        </is>
      </c>
      <c r="E9431" t="inlineStr">
        <is>
          <t>HÄRJEDALEN</t>
        </is>
      </c>
      <c r="F9431" t="inlineStr">
        <is>
          <t>Kommuner</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32396-2024</t>
        </is>
      </c>
      <c r="B9432" s="1" t="n">
        <v>45512.64496527778</v>
      </c>
      <c r="C9432" s="1" t="n">
        <v>46045</v>
      </c>
      <c r="D9432" t="inlineStr">
        <is>
          <t>JÄMTLANDS LÄN</t>
        </is>
      </c>
      <c r="E9432" t="inlineStr">
        <is>
          <t>STRÖMSUND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5930-2024</t>
        </is>
      </c>
      <c r="B9433" s="1" t="n">
        <v>45336</v>
      </c>
      <c r="C9433" s="1" t="n">
        <v>46045</v>
      </c>
      <c r="D9433" t="inlineStr">
        <is>
          <t>JÄMTLANDS LÄN</t>
        </is>
      </c>
      <c r="E9433" t="inlineStr">
        <is>
          <t>STRÖMSUND</t>
        </is>
      </c>
      <c r="F9433" t="inlineStr">
        <is>
          <t>Holmen skog AB</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5014-2024</t>
        </is>
      </c>
      <c r="B9434" s="1" t="n">
        <v>45329</v>
      </c>
      <c r="C9434" s="1" t="n">
        <v>46045</v>
      </c>
      <c r="D9434" t="inlineStr">
        <is>
          <t>JÄMTLANDS LÄN</t>
        </is>
      </c>
      <c r="E9434" t="inlineStr">
        <is>
          <t>BERG</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12286-2023</t>
        </is>
      </c>
      <c r="B9435" s="1" t="n">
        <v>44998.72263888889</v>
      </c>
      <c r="C9435" s="1" t="n">
        <v>46045</v>
      </c>
      <c r="D9435" t="inlineStr">
        <is>
          <t>JÄMTLANDS LÄN</t>
        </is>
      </c>
      <c r="E9435" t="inlineStr">
        <is>
          <t>ÅRE</t>
        </is>
      </c>
      <c r="G9435" t="n">
        <v>7.3</v>
      </c>
      <c r="H9435" t="n">
        <v>0</v>
      </c>
      <c r="I9435" t="n">
        <v>0</v>
      </c>
      <c r="J9435" t="n">
        <v>0</v>
      </c>
      <c r="K9435" t="n">
        <v>0</v>
      </c>
      <c r="L9435" t="n">
        <v>0</v>
      </c>
      <c r="M9435" t="n">
        <v>0</v>
      </c>
      <c r="N9435" t="n">
        <v>0</v>
      </c>
      <c r="O9435" t="n">
        <v>0</v>
      </c>
      <c r="P9435" t="n">
        <v>0</v>
      </c>
      <c r="Q9435" t="n">
        <v>0</v>
      </c>
      <c r="R9435" s="2" t="inlineStr"/>
    </row>
    <row r="9436" ht="15" customHeight="1">
      <c r="A9436" t="inlineStr">
        <is>
          <t>A 29456-2024</t>
        </is>
      </c>
      <c r="B9436" s="1" t="n">
        <v>45483.96898148148</v>
      </c>
      <c r="C9436" s="1" t="n">
        <v>46045</v>
      </c>
      <c r="D9436" t="inlineStr">
        <is>
          <t>JÄMTLANDS LÄN</t>
        </is>
      </c>
      <c r="E9436" t="inlineStr">
        <is>
          <t>BRÄCKE</t>
        </is>
      </c>
      <c r="F9436" t="inlineStr">
        <is>
          <t>SCA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29460-2024</t>
        </is>
      </c>
      <c r="B9437" s="1" t="n">
        <v>45483.96952546296</v>
      </c>
      <c r="C9437" s="1" t="n">
        <v>46045</v>
      </c>
      <c r="D9437" t="inlineStr">
        <is>
          <t>JÄMTLANDS LÄN</t>
        </is>
      </c>
      <c r="E9437" t="inlineStr">
        <is>
          <t>BRÄCKE</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55675-2024</t>
        </is>
      </c>
      <c r="B9438" s="1" t="n">
        <v>45622.65668981482</v>
      </c>
      <c r="C9438" s="1" t="n">
        <v>46045</v>
      </c>
      <c r="D9438" t="inlineStr">
        <is>
          <t>JÄMTLANDS LÄN</t>
        </is>
      </c>
      <c r="E9438" t="inlineStr">
        <is>
          <t>STRÖMSUND</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9043-2025</t>
        </is>
      </c>
      <c r="B9439" s="1" t="n">
        <v>45713</v>
      </c>
      <c r="C9439" s="1" t="n">
        <v>46045</v>
      </c>
      <c r="D9439" t="inlineStr">
        <is>
          <t>JÄMTLANDS LÄN</t>
        </is>
      </c>
      <c r="E9439" t="inlineStr">
        <is>
          <t>KROKOM</t>
        </is>
      </c>
      <c r="F9439" t="inlineStr">
        <is>
          <t>Övriga Aktiebolag</t>
        </is>
      </c>
      <c r="G9439" t="n">
        <v>43.6</v>
      </c>
      <c r="H9439" t="n">
        <v>0</v>
      </c>
      <c r="I9439" t="n">
        <v>0</v>
      </c>
      <c r="J9439" t="n">
        <v>0</v>
      </c>
      <c r="K9439" t="n">
        <v>0</v>
      </c>
      <c r="L9439" t="n">
        <v>0</v>
      </c>
      <c r="M9439" t="n">
        <v>0</v>
      </c>
      <c r="N9439" t="n">
        <v>0</v>
      </c>
      <c r="O9439" t="n">
        <v>0</v>
      </c>
      <c r="P9439" t="n">
        <v>0</v>
      </c>
      <c r="Q9439" t="n">
        <v>0</v>
      </c>
      <c r="R9439" s="2" t="inlineStr"/>
    </row>
    <row r="9440" ht="15" customHeight="1">
      <c r="A9440" t="inlineStr">
        <is>
          <t>A 45105-2024</t>
        </is>
      </c>
      <c r="B9440" s="1" t="n">
        <v>45575.5909837963</v>
      </c>
      <c r="C9440" s="1" t="n">
        <v>46045</v>
      </c>
      <c r="D9440" t="inlineStr">
        <is>
          <t>JÄMTLANDS LÄN</t>
        </is>
      </c>
      <c r="E9440" t="inlineStr">
        <is>
          <t>ÅRE</t>
        </is>
      </c>
      <c r="F9440" t="inlineStr">
        <is>
          <t>Övriga Aktiebolag</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29343-2024</t>
        </is>
      </c>
      <c r="B9441" s="1" t="n">
        <v>45483.47207175926</v>
      </c>
      <c r="C9441" s="1" t="n">
        <v>46045</v>
      </c>
      <c r="D9441" t="inlineStr">
        <is>
          <t>JÄMTLANDS LÄN</t>
        </is>
      </c>
      <c r="E9441" t="inlineStr">
        <is>
          <t>HÄRJEDALEN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8660-2025</t>
        </is>
      </c>
      <c r="B9442" s="1" t="n">
        <v>45712.38979166667</v>
      </c>
      <c r="C9442" s="1" t="n">
        <v>46045</v>
      </c>
      <c r="D9442" t="inlineStr">
        <is>
          <t>JÄMTLANDS LÄN</t>
        </is>
      </c>
      <c r="E9442" t="inlineStr">
        <is>
          <t>STRÖMSUND</t>
        </is>
      </c>
      <c r="G9442" t="n">
        <v>8.1</v>
      </c>
      <c r="H9442" t="n">
        <v>0</v>
      </c>
      <c r="I9442" t="n">
        <v>0</v>
      </c>
      <c r="J9442" t="n">
        <v>0</v>
      </c>
      <c r="K9442" t="n">
        <v>0</v>
      </c>
      <c r="L9442" t="n">
        <v>0</v>
      </c>
      <c r="M9442" t="n">
        <v>0</v>
      </c>
      <c r="N9442" t="n">
        <v>0</v>
      </c>
      <c r="O9442" t="n">
        <v>0</v>
      </c>
      <c r="P9442" t="n">
        <v>0</v>
      </c>
      <c r="Q9442" t="n">
        <v>0</v>
      </c>
      <c r="R9442" s="2" t="inlineStr"/>
    </row>
    <row r="9443" ht="15" customHeight="1">
      <c r="A9443" t="inlineStr">
        <is>
          <t>A 48818-2024</t>
        </is>
      </c>
      <c r="B9443" s="1" t="n">
        <v>45593.67809027778</v>
      </c>
      <c r="C9443" s="1" t="n">
        <v>46045</v>
      </c>
      <c r="D9443" t="inlineStr">
        <is>
          <t>JÄMTLANDS LÄN</t>
        </is>
      </c>
      <c r="E9443" t="inlineStr">
        <is>
          <t>HÄRJEDALEN</t>
        </is>
      </c>
      <c r="G9443" t="n">
        <v>0.1</v>
      </c>
      <c r="H9443" t="n">
        <v>0</v>
      </c>
      <c r="I9443" t="n">
        <v>0</v>
      </c>
      <c r="J9443" t="n">
        <v>0</v>
      </c>
      <c r="K9443" t="n">
        <v>0</v>
      </c>
      <c r="L9443" t="n">
        <v>0</v>
      </c>
      <c r="M9443" t="n">
        <v>0</v>
      </c>
      <c r="N9443" t="n">
        <v>0</v>
      </c>
      <c r="O9443" t="n">
        <v>0</v>
      </c>
      <c r="P9443" t="n">
        <v>0</v>
      </c>
      <c r="Q9443" t="n">
        <v>0</v>
      </c>
      <c r="R9443" s="2" t="inlineStr"/>
    </row>
    <row r="9444" ht="15" customHeight="1">
      <c r="A9444" t="inlineStr">
        <is>
          <t>A 14076-2023</t>
        </is>
      </c>
      <c r="B9444" s="1" t="n">
        <v>45009.0897337963</v>
      </c>
      <c r="C9444" s="1" t="n">
        <v>46045</v>
      </c>
      <c r="D9444" t="inlineStr">
        <is>
          <t>JÄMTLANDS LÄN</t>
        </is>
      </c>
      <c r="E9444" t="inlineStr">
        <is>
          <t>RAGUNDA</t>
        </is>
      </c>
      <c r="F9444" t="inlineStr">
        <is>
          <t>SCA</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27954-2024</t>
        </is>
      </c>
      <c r="B9445" s="1" t="n">
        <v>45476</v>
      </c>
      <c r="C9445" s="1" t="n">
        <v>46045</v>
      </c>
      <c r="D9445" t="inlineStr">
        <is>
          <t>JÄMTLANDS LÄN</t>
        </is>
      </c>
      <c r="E9445" t="inlineStr">
        <is>
          <t>KROKOM</t>
        </is>
      </c>
      <c r="G9445" t="n">
        <v>0.1</v>
      </c>
      <c r="H9445" t="n">
        <v>0</v>
      </c>
      <c r="I9445" t="n">
        <v>0</v>
      </c>
      <c r="J9445" t="n">
        <v>0</v>
      </c>
      <c r="K9445" t="n">
        <v>0</v>
      </c>
      <c r="L9445" t="n">
        <v>0</v>
      </c>
      <c r="M9445" t="n">
        <v>0</v>
      </c>
      <c r="N9445" t="n">
        <v>0</v>
      </c>
      <c r="O9445" t="n">
        <v>0</v>
      </c>
      <c r="P9445" t="n">
        <v>0</v>
      </c>
      <c r="Q9445" t="n">
        <v>0</v>
      </c>
      <c r="R9445" s="2" t="inlineStr"/>
    </row>
    <row r="9446" ht="15" customHeight="1">
      <c r="A9446" t="inlineStr">
        <is>
          <t>A 22453-2024</t>
        </is>
      </c>
      <c r="B9446" s="1" t="n">
        <v>45446.94916666667</v>
      </c>
      <c r="C9446" s="1" t="n">
        <v>46045</v>
      </c>
      <c r="D9446" t="inlineStr">
        <is>
          <t>JÄMTLANDS LÄN</t>
        </is>
      </c>
      <c r="E9446" t="inlineStr">
        <is>
          <t>STRÖMSUND</t>
        </is>
      </c>
      <c r="F9446" t="inlineStr">
        <is>
          <t>SCA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45335-2023</t>
        </is>
      </c>
      <c r="B9447" s="1" t="n">
        <v>45191</v>
      </c>
      <c r="C9447" s="1" t="n">
        <v>46045</v>
      </c>
      <c r="D9447" t="inlineStr">
        <is>
          <t>JÄMTLANDS LÄN</t>
        </is>
      </c>
      <c r="E9447" t="inlineStr">
        <is>
          <t>RAGUNDA</t>
        </is>
      </c>
      <c r="F9447" t="inlineStr">
        <is>
          <t>SCA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45346-2023</t>
        </is>
      </c>
      <c r="B9448" s="1" t="n">
        <v>45191</v>
      </c>
      <c r="C9448" s="1" t="n">
        <v>46045</v>
      </c>
      <c r="D9448" t="inlineStr">
        <is>
          <t>JÄMTLANDS LÄN</t>
        </is>
      </c>
      <c r="E9448" t="inlineStr">
        <is>
          <t>BERG</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51039-2024</t>
        </is>
      </c>
      <c r="B9449" s="1" t="n">
        <v>45603.43164351852</v>
      </c>
      <c r="C9449" s="1" t="n">
        <v>46045</v>
      </c>
      <c r="D9449" t="inlineStr">
        <is>
          <t>JÄMTLANDS LÄN</t>
        </is>
      </c>
      <c r="E9449" t="inlineStr">
        <is>
          <t>BERG</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51060-2024</t>
        </is>
      </c>
      <c r="B9450" s="1" t="n">
        <v>45603.44815972223</v>
      </c>
      <c r="C9450" s="1" t="n">
        <v>46045</v>
      </c>
      <c r="D9450" t="inlineStr">
        <is>
          <t>JÄMTLANDS LÄN</t>
        </is>
      </c>
      <c r="E9450" t="inlineStr">
        <is>
          <t>KROKOM</t>
        </is>
      </c>
      <c r="F9450" t="inlineStr">
        <is>
          <t>SCA</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51074-2023</t>
        </is>
      </c>
      <c r="B9451" s="1" t="n">
        <v>45211</v>
      </c>
      <c r="C9451" s="1" t="n">
        <v>46045</v>
      </c>
      <c r="D9451" t="inlineStr">
        <is>
          <t>JÄMTLANDS LÄN</t>
        </is>
      </c>
      <c r="E9451" t="inlineStr">
        <is>
          <t>STRÖMSUND</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25371-2024</t>
        </is>
      </c>
      <c r="B9452" s="1" t="n">
        <v>45462.96038194445</v>
      </c>
      <c r="C9452" s="1" t="n">
        <v>46045</v>
      </c>
      <c r="D9452" t="inlineStr">
        <is>
          <t>JÄMTLANDS LÄN</t>
        </is>
      </c>
      <c r="E9452" t="inlineStr">
        <is>
          <t>STRÖMSUND</t>
        </is>
      </c>
      <c r="F9452" t="inlineStr">
        <is>
          <t>SCA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10959-2022</t>
        </is>
      </c>
      <c r="B9453" s="1" t="n">
        <v>44628.36402777778</v>
      </c>
      <c r="C9453" s="1" t="n">
        <v>46045</v>
      </c>
      <c r="D9453" t="inlineStr">
        <is>
          <t>JÄMTLANDS LÄN</t>
        </is>
      </c>
      <c r="E9453" t="inlineStr">
        <is>
          <t>HÄRJEDALEN</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10972-2022</t>
        </is>
      </c>
      <c r="B9454" s="1" t="n">
        <v>44628</v>
      </c>
      <c r="C9454" s="1" t="n">
        <v>46045</v>
      </c>
      <c r="D9454" t="inlineStr">
        <is>
          <t>JÄMTLANDS LÄN</t>
        </is>
      </c>
      <c r="E9454" t="inlineStr">
        <is>
          <t>RAGUNDA</t>
        </is>
      </c>
      <c r="G9454" t="n">
        <v>9.5</v>
      </c>
      <c r="H9454" t="n">
        <v>0</v>
      </c>
      <c r="I9454" t="n">
        <v>0</v>
      </c>
      <c r="J9454" t="n">
        <v>0</v>
      </c>
      <c r="K9454" t="n">
        <v>0</v>
      </c>
      <c r="L9454" t="n">
        <v>0</v>
      </c>
      <c r="M9454" t="n">
        <v>0</v>
      </c>
      <c r="N9454" t="n">
        <v>0</v>
      </c>
      <c r="O9454" t="n">
        <v>0</v>
      </c>
      <c r="P9454" t="n">
        <v>0</v>
      </c>
      <c r="Q9454" t="n">
        <v>0</v>
      </c>
      <c r="R9454" s="2" t="inlineStr"/>
    </row>
    <row r="9455" ht="15" customHeight="1">
      <c r="A9455" t="inlineStr">
        <is>
          <t>A 11112-2022</t>
        </is>
      </c>
      <c r="B9455" s="1" t="n">
        <v>44628</v>
      </c>
      <c r="C9455" s="1" t="n">
        <v>46045</v>
      </c>
      <c r="D9455" t="inlineStr">
        <is>
          <t>JÄMTLANDS LÄN</t>
        </is>
      </c>
      <c r="E9455" t="inlineStr">
        <is>
          <t>ÅRE</t>
        </is>
      </c>
      <c r="G9455" t="n">
        <v>6.6</v>
      </c>
      <c r="H9455" t="n">
        <v>0</v>
      </c>
      <c r="I9455" t="n">
        <v>0</v>
      </c>
      <c r="J9455" t="n">
        <v>0</v>
      </c>
      <c r="K9455" t="n">
        <v>0</v>
      </c>
      <c r="L9455" t="n">
        <v>0</v>
      </c>
      <c r="M9455" t="n">
        <v>0</v>
      </c>
      <c r="N9455" t="n">
        <v>0</v>
      </c>
      <c r="O9455" t="n">
        <v>0</v>
      </c>
      <c r="P9455" t="n">
        <v>0</v>
      </c>
      <c r="Q9455" t="n">
        <v>0</v>
      </c>
      <c r="R9455" s="2" t="inlineStr"/>
    </row>
    <row r="9456" ht="15" customHeight="1">
      <c r="A9456" t="inlineStr">
        <is>
          <t>A 20882-2023</t>
        </is>
      </c>
      <c r="B9456" s="1" t="n">
        <v>45058</v>
      </c>
      <c r="C9456" s="1" t="n">
        <v>46045</v>
      </c>
      <c r="D9456" t="inlineStr">
        <is>
          <t>JÄMTLANDS LÄN</t>
        </is>
      </c>
      <c r="E9456" t="inlineStr">
        <is>
          <t>BERG</t>
        </is>
      </c>
      <c r="F9456" t="inlineStr">
        <is>
          <t>SCA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39195-2024</t>
        </is>
      </c>
      <c r="B9457" s="1" t="n">
        <v>45548.6934837963</v>
      </c>
      <c r="C9457" s="1" t="n">
        <v>46045</v>
      </c>
      <c r="D9457" t="inlineStr">
        <is>
          <t>JÄMTLANDS LÄN</t>
        </is>
      </c>
      <c r="E9457" t="inlineStr">
        <is>
          <t>ÅRE</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57605-2024</t>
        </is>
      </c>
      <c r="B9458" s="1" t="n">
        <v>45630.53201388889</v>
      </c>
      <c r="C9458" s="1" t="n">
        <v>46045</v>
      </c>
      <c r="D9458" t="inlineStr">
        <is>
          <t>JÄMTLANDS LÄN</t>
        </is>
      </c>
      <c r="E9458" t="inlineStr">
        <is>
          <t>BRÄCKE</t>
        </is>
      </c>
      <c r="F9458" t="inlineStr">
        <is>
          <t>SCA</t>
        </is>
      </c>
      <c r="G9458" t="n">
        <v>0.1</v>
      </c>
      <c r="H9458" t="n">
        <v>0</v>
      </c>
      <c r="I9458" t="n">
        <v>0</v>
      </c>
      <c r="J9458" t="n">
        <v>0</v>
      </c>
      <c r="K9458" t="n">
        <v>0</v>
      </c>
      <c r="L9458" t="n">
        <v>0</v>
      </c>
      <c r="M9458" t="n">
        <v>0</v>
      </c>
      <c r="N9458" t="n">
        <v>0</v>
      </c>
      <c r="O9458" t="n">
        <v>0</v>
      </c>
      <c r="P9458" t="n">
        <v>0</v>
      </c>
      <c r="Q9458" t="n">
        <v>0</v>
      </c>
      <c r="R9458" s="2" t="inlineStr"/>
    </row>
    <row r="9459" ht="15" customHeight="1">
      <c r="A9459" t="inlineStr">
        <is>
          <t>A 57623-2024</t>
        </is>
      </c>
      <c r="B9459" s="1" t="n">
        <v>45630.55260416667</v>
      </c>
      <c r="C9459" s="1" t="n">
        <v>46045</v>
      </c>
      <c r="D9459" t="inlineStr">
        <is>
          <t>JÄMTLANDS LÄN</t>
        </is>
      </c>
      <c r="E9459" t="inlineStr">
        <is>
          <t>BRÄCKE</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59521-2024</t>
        </is>
      </c>
      <c r="B9460" s="1" t="n">
        <v>45638.57283564815</v>
      </c>
      <c r="C9460" s="1" t="n">
        <v>46045</v>
      </c>
      <c r="D9460" t="inlineStr">
        <is>
          <t>JÄMTLANDS LÄN</t>
        </is>
      </c>
      <c r="E9460" t="inlineStr">
        <is>
          <t>BERG</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17703-2023</t>
        </is>
      </c>
      <c r="B9461" s="1" t="n">
        <v>45037.35443287037</v>
      </c>
      <c r="C9461" s="1" t="n">
        <v>46045</v>
      </c>
      <c r="D9461" t="inlineStr">
        <is>
          <t>JÄMTLANDS LÄN</t>
        </is>
      </c>
      <c r="E9461" t="inlineStr">
        <is>
          <t>ÅRE</t>
        </is>
      </c>
      <c r="F9461" t="inlineStr">
        <is>
          <t>Övriga Aktiebolag</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7260-2022</t>
        </is>
      </c>
      <c r="B9462" s="1" t="n">
        <v>44606</v>
      </c>
      <c r="C9462" s="1" t="n">
        <v>46045</v>
      </c>
      <c r="D9462" t="inlineStr">
        <is>
          <t>JÄMTLANDS LÄN</t>
        </is>
      </c>
      <c r="E9462" t="inlineStr">
        <is>
          <t>STRÖMSUND</t>
        </is>
      </c>
      <c r="F9462" t="inlineStr">
        <is>
          <t>SCA</t>
        </is>
      </c>
      <c r="G9462" t="n">
        <v>76.40000000000001</v>
      </c>
      <c r="H9462" t="n">
        <v>0</v>
      </c>
      <c r="I9462" t="n">
        <v>0</v>
      </c>
      <c r="J9462" t="n">
        <v>0</v>
      </c>
      <c r="K9462" t="n">
        <v>0</v>
      </c>
      <c r="L9462" t="n">
        <v>0</v>
      </c>
      <c r="M9462" t="n">
        <v>0</v>
      </c>
      <c r="N9462" t="n">
        <v>0</v>
      </c>
      <c r="O9462" t="n">
        <v>0</v>
      </c>
      <c r="P9462" t="n">
        <v>0</v>
      </c>
      <c r="Q9462" t="n">
        <v>0</v>
      </c>
      <c r="R9462" s="2" t="inlineStr"/>
    </row>
    <row r="9463" ht="15" customHeight="1">
      <c r="A9463" t="inlineStr">
        <is>
          <t>A 829-2022</t>
        </is>
      </c>
      <c r="B9463" s="1" t="n">
        <v>44568</v>
      </c>
      <c r="C9463" s="1" t="n">
        <v>46045</v>
      </c>
      <c r="D9463" t="inlineStr">
        <is>
          <t>JÄMTLANDS LÄN</t>
        </is>
      </c>
      <c r="E9463" t="inlineStr">
        <is>
          <t>STRÖMSUND</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45005-2023</t>
        </is>
      </c>
      <c r="B9464" s="1" t="n">
        <v>45190</v>
      </c>
      <c r="C9464" s="1" t="n">
        <v>46045</v>
      </c>
      <c r="D9464" t="inlineStr">
        <is>
          <t>JÄMTLANDS LÄN</t>
        </is>
      </c>
      <c r="E9464" t="inlineStr">
        <is>
          <t>BRÄCKE</t>
        </is>
      </c>
      <c r="F9464" t="inlineStr">
        <is>
          <t>SCA</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8027-2022</t>
        </is>
      </c>
      <c r="B9465" s="1" t="n">
        <v>44609</v>
      </c>
      <c r="C9465" s="1" t="n">
        <v>46045</v>
      </c>
      <c r="D9465" t="inlineStr">
        <is>
          <t>JÄMTLANDS LÄN</t>
        </is>
      </c>
      <c r="E9465" t="inlineStr">
        <is>
          <t>ÖSTERSUND</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19323-2024</t>
        </is>
      </c>
      <c r="B9466" s="1" t="n">
        <v>45428.92486111111</v>
      </c>
      <c r="C9466" s="1" t="n">
        <v>46045</v>
      </c>
      <c r="D9466" t="inlineStr">
        <is>
          <t>JÄMTLANDS LÄN</t>
        </is>
      </c>
      <c r="E9466" t="inlineStr">
        <is>
          <t>ÖSTERSUND</t>
        </is>
      </c>
      <c r="F9466" t="inlineStr">
        <is>
          <t>Kommuner</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48307-2024</t>
        </is>
      </c>
      <c r="B9467" s="1" t="n">
        <v>45590.47684027778</v>
      </c>
      <c r="C9467" s="1" t="n">
        <v>46045</v>
      </c>
      <c r="D9467" t="inlineStr">
        <is>
          <t>JÄMTLANDS LÄN</t>
        </is>
      </c>
      <c r="E9467" t="inlineStr">
        <is>
          <t>BERG</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10864-2025</t>
        </is>
      </c>
      <c r="B9468" s="1" t="n">
        <v>45722.61508101852</v>
      </c>
      <c r="C9468" s="1" t="n">
        <v>46045</v>
      </c>
      <c r="D9468" t="inlineStr">
        <is>
          <t>JÄMTLANDS LÄN</t>
        </is>
      </c>
      <c r="E9468" t="inlineStr">
        <is>
          <t>STRÖMSUND</t>
        </is>
      </c>
      <c r="F9468" t="inlineStr">
        <is>
          <t>SCA</t>
        </is>
      </c>
      <c r="G9468" t="n">
        <v>21.1</v>
      </c>
      <c r="H9468" t="n">
        <v>0</v>
      </c>
      <c r="I9468" t="n">
        <v>0</v>
      </c>
      <c r="J9468" t="n">
        <v>0</v>
      </c>
      <c r="K9468" t="n">
        <v>0</v>
      </c>
      <c r="L9468" t="n">
        <v>0</v>
      </c>
      <c r="M9468" t="n">
        <v>0</v>
      </c>
      <c r="N9468" t="n">
        <v>0</v>
      </c>
      <c r="O9468" t="n">
        <v>0</v>
      </c>
      <c r="P9468" t="n">
        <v>0</v>
      </c>
      <c r="Q9468" t="n">
        <v>0</v>
      </c>
      <c r="R9468" s="2" t="inlineStr"/>
    </row>
    <row r="9469" ht="15" customHeight="1">
      <c r="A9469" t="inlineStr">
        <is>
          <t>A 46874-2023</t>
        </is>
      </c>
      <c r="B9469" s="1" t="n">
        <v>45200</v>
      </c>
      <c r="C9469" s="1" t="n">
        <v>46045</v>
      </c>
      <c r="D9469" t="inlineStr">
        <is>
          <t>JÄMTLANDS LÄN</t>
        </is>
      </c>
      <c r="E9469" t="inlineStr">
        <is>
          <t>BERG</t>
        </is>
      </c>
      <c r="F9469" t="inlineStr">
        <is>
          <t>Naturvårdsverket</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43102-2023</t>
        </is>
      </c>
      <c r="B9470" s="1" t="n">
        <v>45182</v>
      </c>
      <c r="C9470" s="1" t="n">
        <v>46045</v>
      </c>
      <c r="D9470" t="inlineStr">
        <is>
          <t>JÄMTLANDS LÄN</t>
        </is>
      </c>
      <c r="E9470" t="inlineStr">
        <is>
          <t>RAGUNDA</t>
        </is>
      </c>
      <c r="F9470" t="inlineStr">
        <is>
          <t>SCA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1495-2025</t>
        </is>
      </c>
      <c r="B9471" s="1" t="n">
        <v>45670.40652777778</v>
      </c>
      <c r="C9471" s="1" t="n">
        <v>46045</v>
      </c>
      <c r="D9471" t="inlineStr">
        <is>
          <t>JÄMTLANDS LÄN</t>
        </is>
      </c>
      <c r="E9471" t="inlineStr">
        <is>
          <t>BERG</t>
        </is>
      </c>
      <c r="G9471" t="n">
        <v>0.3</v>
      </c>
      <c r="H9471" t="n">
        <v>0</v>
      </c>
      <c r="I9471" t="n">
        <v>0</v>
      </c>
      <c r="J9471" t="n">
        <v>0</v>
      </c>
      <c r="K9471" t="n">
        <v>0</v>
      </c>
      <c r="L9471" t="n">
        <v>0</v>
      </c>
      <c r="M9471" t="n">
        <v>0</v>
      </c>
      <c r="N9471" t="n">
        <v>0</v>
      </c>
      <c r="O9471" t="n">
        <v>0</v>
      </c>
      <c r="P9471" t="n">
        <v>0</v>
      </c>
      <c r="Q9471" t="n">
        <v>0</v>
      </c>
      <c r="R9471" s="2" t="inlineStr"/>
    </row>
    <row r="9472" ht="15" customHeight="1">
      <c r="A9472" t="inlineStr">
        <is>
          <t>A 60709-2024</t>
        </is>
      </c>
      <c r="B9472" s="1" t="n">
        <v>45644.50141203704</v>
      </c>
      <c r="C9472" s="1" t="n">
        <v>46045</v>
      </c>
      <c r="D9472" t="inlineStr">
        <is>
          <t>JÄMTLANDS LÄN</t>
        </is>
      </c>
      <c r="E9472" t="inlineStr">
        <is>
          <t>HÄRJEDALEN</t>
        </is>
      </c>
      <c r="F9472" t="inlineStr">
        <is>
          <t>Bergvik skog väst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74011-2021</t>
        </is>
      </c>
      <c r="B9473" s="1" t="n">
        <v>44557</v>
      </c>
      <c r="C9473" s="1" t="n">
        <v>46045</v>
      </c>
      <c r="D9473" t="inlineStr">
        <is>
          <t>JÄMTLANDS LÄN</t>
        </is>
      </c>
      <c r="E9473" t="inlineStr">
        <is>
          <t>KROKOM</t>
        </is>
      </c>
      <c r="G9473" t="n">
        <v>33.2</v>
      </c>
      <c r="H9473" t="n">
        <v>0</v>
      </c>
      <c r="I9473" t="n">
        <v>0</v>
      </c>
      <c r="J9473" t="n">
        <v>0</v>
      </c>
      <c r="K9473" t="n">
        <v>0</v>
      </c>
      <c r="L9473" t="n">
        <v>0</v>
      </c>
      <c r="M9473" t="n">
        <v>0</v>
      </c>
      <c r="N9473" t="n">
        <v>0</v>
      </c>
      <c r="O9473" t="n">
        <v>0</v>
      </c>
      <c r="P9473" t="n">
        <v>0</v>
      </c>
      <c r="Q9473" t="n">
        <v>0</v>
      </c>
      <c r="R9473" s="2" t="inlineStr"/>
    </row>
    <row r="9474" ht="15" customHeight="1">
      <c r="A9474" t="inlineStr">
        <is>
          <t>A 7362-2024</t>
        </is>
      </c>
      <c r="B9474" s="1" t="n">
        <v>45345.47642361111</v>
      </c>
      <c r="C9474" s="1" t="n">
        <v>46045</v>
      </c>
      <c r="D9474" t="inlineStr">
        <is>
          <t>JÄMTLANDS LÄN</t>
        </is>
      </c>
      <c r="E9474" t="inlineStr">
        <is>
          <t>HÄRJEDALEN</t>
        </is>
      </c>
      <c r="F9474" t="inlineStr">
        <is>
          <t>Holmen skog AB</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7368-2024</t>
        </is>
      </c>
      <c r="B9475" s="1" t="n">
        <v>45345.48181712963</v>
      </c>
      <c r="C9475" s="1" t="n">
        <v>46045</v>
      </c>
      <c r="D9475" t="inlineStr">
        <is>
          <t>JÄMTLANDS LÄN</t>
        </is>
      </c>
      <c r="E9475" t="inlineStr">
        <is>
          <t>HÄRJEDALEN</t>
        </is>
      </c>
      <c r="F9475" t="inlineStr">
        <is>
          <t>Holmen skog AB</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7371-2024</t>
        </is>
      </c>
      <c r="B9476" s="1" t="n">
        <v>45345.4940625</v>
      </c>
      <c r="C9476" s="1" t="n">
        <v>46045</v>
      </c>
      <c r="D9476" t="inlineStr">
        <is>
          <t>JÄMTLANDS LÄN</t>
        </is>
      </c>
      <c r="E9476" t="inlineStr">
        <is>
          <t>HÄRJEDALEN</t>
        </is>
      </c>
      <c r="F9476" t="inlineStr">
        <is>
          <t>Holmen skog AB</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9234-2025</t>
        </is>
      </c>
      <c r="B9477" s="1" t="n">
        <v>45714.55267361111</v>
      </c>
      <c r="C9477" s="1" t="n">
        <v>46045</v>
      </c>
      <c r="D9477" t="inlineStr">
        <is>
          <t>JÄMTLANDS LÄN</t>
        </is>
      </c>
      <c r="E9477" t="inlineStr">
        <is>
          <t>STRÖMSUND</t>
        </is>
      </c>
      <c r="F9477" t="inlineStr">
        <is>
          <t>SCA</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816-2025</t>
        </is>
      </c>
      <c r="B9478" s="1" t="n">
        <v>45665.563125</v>
      </c>
      <c r="C9478" s="1" t="n">
        <v>46045</v>
      </c>
      <c r="D9478" t="inlineStr">
        <is>
          <t>JÄMTLANDS LÄN</t>
        </is>
      </c>
      <c r="E9478" t="inlineStr">
        <is>
          <t>HÄRJEDALEN</t>
        </is>
      </c>
      <c r="F9478" t="inlineStr">
        <is>
          <t>Bergvik skog väst AB</t>
        </is>
      </c>
      <c r="G9478" t="n">
        <v>10.8</v>
      </c>
      <c r="H9478" t="n">
        <v>0</v>
      </c>
      <c r="I9478" t="n">
        <v>0</v>
      </c>
      <c r="J9478" t="n">
        <v>0</v>
      </c>
      <c r="K9478" t="n">
        <v>0</v>
      </c>
      <c r="L9478" t="n">
        <v>0</v>
      </c>
      <c r="M9478" t="n">
        <v>0</v>
      </c>
      <c r="N9478" t="n">
        <v>0</v>
      </c>
      <c r="O9478" t="n">
        <v>0</v>
      </c>
      <c r="P9478" t="n">
        <v>0</v>
      </c>
      <c r="Q9478" t="n">
        <v>0</v>
      </c>
      <c r="R9478" s="2" t="inlineStr"/>
    </row>
    <row r="9479" ht="15" customHeight="1">
      <c r="A9479" t="inlineStr">
        <is>
          <t>A 54186-2024</t>
        </is>
      </c>
      <c r="B9479" s="1" t="n">
        <v>45616</v>
      </c>
      <c r="C9479" s="1" t="n">
        <v>46045</v>
      </c>
      <c r="D9479" t="inlineStr">
        <is>
          <t>JÄMTLANDS LÄN</t>
        </is>
      </c>
      <c r="E9479" t="inlineStr">
        <is>
          <t>ÅRE</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35986-2023</t>
        </is>
      </c>
      <c r="B9480" s="1" t="n">
        <v>45148</v>
      </c>
      <c r="C9480" s="1" t="n">
        <v>46045</v>
      </c>
      <c r="D9480" t="inlineStr">
        <is>
          <t>JÄMTLANDS LÄN</t>
        </is>
      </c>
      <c r="E9480" t="inlineStr">
        <is>
          <t>BERG</t>
        </is>
      </c>
      <c r="F9480" t="inlineStr">
        <is>
          <t>SCA</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14830-2025</t>
        </is>
      </c>
      <c r="B9481" s="1" t="n">
        <v>45743.37038194444</v>
      </c>
      <c r="C9481" s="1" t="n">
        <v>46045</v>
      </c>
      <c r="D9481" t="inlineStr">
        <is>
          <t>JÄMTLANDS LÄN</t>
        </is>
      </c>
      <c r="E9481" t="inlineStr">
        <is>
          <t>STRÖMSUND</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14831-2025</t>
        </is>
      </c>
      <c r="B9482" s="1" t="n">
        <v>45743.37109953703</v>
      </c>
      <c r="C9482" s="1" t="n">
        <v>46045</v>
      </c>
      <c r="D9482" t="inlineStr">
        <is>
          <t>JÄMTLANDS LÄN</t>
        </is>
      </c>
      <c r="E9482" t="inlineStr">
        <is>
          <t>ÖSTERSUND</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10089-2025</t>
        </is>
      </c>
      <c r="B9483" s="1" t="n">
        <v>45719.57336805556</v>
      </c>
      <c r="C9483" s="1" t="n">
        <v>46045</v>
      </c>
      <c r="D9483" t="inlineStr">
        <is>
          <t>JÄMTLANDS LÄN</t>
        </is>
      </c>
      <c r="E9483" t="inlineStr">
        <is>
          <t>STRÖMSUND</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10110-2025</t>
        </is>
      </c>
      <c r="B9484" s="1" t="n">
        <v>45719.58855324074</v>
      </c>
      <c r="C9484" s="1" t="n">
        <v>46045</v>
      </c>
      <c r="D9484" t="inlineStr">
        <is>
          <t>JÄMTLANDS LÄN</t>
        </is>
      </c>
      <c r="E9484" t="inlineStr">
        <is>
          <t>BRÄCKE</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9313-2025</t>
        </is>
      </c>
      <c r="B9485" s="1" t="n">
        <v>45714.69212962963</v>
      </c>
      <c r="C9485" s="1" t="n">
        <v>46045</v>
      </c>
      <c r="D9485" t="inlineStr">
        <is>
          <t>JÄMTLANDS LÄN</t>
        </is>
      </c>
      <c r="E9485" t="inlineStr">
        <is>
          <t>KROKOM</t>
        </is>
      </c>
      <c r="F9485" t="inlineStr">
        <is>
          <t>Kyrkan</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10130-2022</t>
        </is>
      </c>
      <c r="B9486" s="1" t="n">
        <v>44621.94561342592</v>
      </c>
      <c r="C9486" s="1" t="n">
        <v>46045</v>
      </c>
      <c r="D9486" t="inlineStr">
        <is>
          <t>JÄMTLANDS LÄN</t>
        </is>
      </c>
      <c r="E9486" t="inlineStr">
        <is>
          <t>BRÄCKE</t>
        </is>
      </c>
      <c r="F9486" t="inlineStr">
        <is>
          <t>SCA</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6694-2024</t>
        </is>
      </c>
      <c r="B9487" s="1" t="n">
        <v>45341.95381944445</v>
      </c>
      <c r="C9487" s="1" t="n">
        <v>46045</v>
      </c>
      <c r="D9487" t="inlineStr">
        <is>
          <t>JÄMTLANDS LÄN</t>
        </is>
      </c>
      <c r="E9487" t="inlineStr">
        <is>
          <t>RAGUNDA</t>
        </is>
      </c>
      <c r="F9487" t="inlineStr">
        <is>
          <t>SCA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49592-2024</t>
        </is>
      </c>
      <c r="B9488" s="1" t="n">
        <v>45596.55266203704</v>
      </c>
      <c r="C9488" s="1" t="n">
        <v>46045</v>
      </c>
      <c r="D9488" t="inlineStr">
        <is>
          <t>JÄMTLANDS LÄN</t>
        </is>
      </c>
      <c r="E9488" t="inlineStr">
        <is>
          <t>ÖSTERSUND</t>
        </is>
      </c>
      <c r="F9488" t="inlineStr">
        <is>
          <t>SCA</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9784-2024</t>
        </is>
      </c>
      <c r="B9489" s="1" t="n">
        <v>45362.67293981482</v>
      </c>
      <c r="C9489" s="1" t="n">
        <v>46045</v>
      </c>
      <c r="D9489" t="inlineStr">
        <is>
          <t>JÄMTLANDS LÄN</t>
        </is>
      </c>
      <c r="E9489" t="inlineStr">
        <is>
          <t>HÄRJEDALEN</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15231-2022</t>
        </is>
      </c>
      <c r="B9490" s="1" t="n">
        <v>44658</v>
      </c>
      <c r="C9490" s="1" t="n">
        <v>46045</v>
      </c>
      <c r="D9490" t="inlineStr">
        <is>
          <t>JÄMTLANDS LÄN</t>
        </is>
      </c>
      <c r="E9490" t="inlineStr">
        <is>
          <t>KROKOM</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3629-2024</t>
        </is>
      </c>
      <c r="B9491" s="1" t="n">
        <v>45320.95350694445</v>
      </c>
      <c r="C9491" s="1" t="n">
        <v>46045</v>
      </c>
      <c r="D9491" t="inlineStr">
        <is>
          <t>JÄMTLANDS LÄN</t>
        </is>
      </c>
      <c r="E9491" t="inlineStr">
        <is>
          <t>STRÖMSUND</t>
        </is>
      </c>
      <c r="F9491" t="inlineStr">
        <is>
          <t>SCA</t>
        </is>
      </c>
      <c r="G9491" t="n">
        <v>29.9</v>
      </c>
      <c r="H9491" t="n">
        <v>0</v>
      </c>
      <c r="I9491" t="n">
        <v>0</v>
      </c>
      <c r="J9491" t="n">
        <v>0</v>
      </c>
      <c r="K9491" t="n">
        <v>0</v>
      </c>
      <c r="L9491" t="n">
        <v>0</v>
      </c>
      <c r="M9491" t="n">
        <v>0</v>
      </c>
      <c r="N9491" t="n">
        <v>0</v>
      </c>
      <c r="O9491" t="n">
        <v>0</v>
      </c>
      <c r="P9491" t="n">
        <v>0</v>
      </c>
      <c r="Q9491" t="n">
        <v>0</v>
      </c>
      <c r="R9491" s="2" t="inlineStr"/>
    </row>
    <row r="9492" ht="15" customHeight="1">
      <c r="A9492" t="inlineStr">
        <is>
          <t>A 41647-2023</t>
        </is>
      </c>
      <c r="B9492" s="1" t="n">
        <v>45175.95690972222</v>
      </c>
      <c r="C9492" s="1" t="n">
        <v>46045</v>
      </c>
      <c r="D9492" t="inlineStr">
        <is>
          <t>JÄMTLANDS LÄN</t>
        </is>
      </c>
      <c r="E9492" t="inlineStr">
        <is>
          <t>BRÄCKE</t>
        </is>
      </c>
      <c r="F9492" t="inlineStr">
        <is>
          <t>SCA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45758-2024</t>
        </is>
      </c>
      <c r="B9493" s="1" t="n">
        <v>45579.6357175926</v>
      </c>
      <c r="C9493" s="1" t="n">
        <v>46045</v>
      </c>
      <c r="D9493" t="inlineStr">
        <is>
          <t>JÄMTLANDS LÄN</t>
        </is>
      </c>
      <c r="E9493" t="inlineStr">
        <is>
          <t>BRÄCKE</t>
        </is>
      </c>
      <c r="F9493" t="inlineStr">
        <is>
          <t>SCA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47721-2024</t>
        </is>
      </c>
      <c r="B9494" s="1" t="n">
        <v>45588</v>
      </c>
      <c r="C9494" s="1" t="n">
        <v>46045</v>
      </c>
      <c r="D9494" t="inlineStr">
        <is>
          <t>JÄMTLANDS LÄN</t>
        </is>
      </c>
      <c r="E9494" t="inlineStr">
        <is>
          <t>KROKOM</t>
        </is>
      </c>
      <c r="G9494" t="n">
        <v>19.2</v>
      </c>
      <c r="H9494" t="n">
        <v>0</v>
      </c>
      <c r="I9494" t="n">
        <v>0</v>
      </c>
      <c r="J9494" t="n">
        <v>0</v>
      </c>
      <c r="K9494" t="n">
        <v>0</v>
      </c>
      <c r="L9494" t="n">
        <v>0</v>
      </c>
      <c r="M9494" t="n">
        <v>0</v>
      </c>
      <c r="N9494" t="n">
        <v>0</v>
      </c>
      <c r="O9494" t="n">
        <v>0</v>
      </c>
      <c r="P9494" t="n">
        <v>0</v>
      </c>
      <c r="Q9494" t="n">
        <v>0</v>
      </c>
      <c r="R9494" s="2" t="inlineStr"/>
    </row>
    <row r="9495" ht="15" customHeight="1">
      <c r="A9495" t="inlineStr">
        <is>
          <t>A 39946-2023</t>
        </is>
      </c>
      <c r="B9495" s="1" t="n">
        <v>45168.5315625</v>
      </c>
      <c r="C9495" s="1" t="n">
        <v>46045</v>
      </c>
      <c r="D9495" t="inlineStr">
        <is>
          <t>JÄMTLANDS LÄN</t>
        </is>
      </c>
      <c r="E9495" t="inlineStr">
        <is>
          <t>STRÖMSUND</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782-2025</t>
        </is>
      </c>
      <c r="B9496" s="1" t="n">
        <v>45665.48423611111</v>
      </c>
      <c r="C9496" s="1" t="n">
        <v>46045</v>
      </c>
      <c r="D9496" t="inlineStr">
        <is>
          <t>JÄMTLANDS LÄN</t>
        </is>
      </c>
      <c r="E9496" t="inlineStr">
        <is>
          <t>BRÄCKE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53386-2024</t>
        </is>
      </c>
      <c r="B9497" s="1" t="n">
        <v>45614.47960648148</v>
      </c>
      <c r="C9497" s="1" t="n">
        <v>46045</v>
      </c>
      <c r="D9497" t="inlineStr">
        <is>
          <t>JÄMTLANDS LÄN</t>
        </is>
      </c>
      <c r="E9497" t="inlineStr">
        <is>
          <t>HÄRJEDALEN</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21083-2024</t>
        </is>
      </c>
      <c r="B9498" s="1" t="n">
        <v>45439.92752314815</v>
      </c>
      <c r="C9498" s="1" t="n">
        <v>46045</v>
      </c>
      <c r="D9498" t="inlineStr">
        <is>
          <t>JÄMTLANDS LÄN</t>
        </is>
      </c>
      <c r="E9498" t="inlineStr">
        <is>
          <t>RAGUNDA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18389-2021</t>
        </is>
      </c>
      <c r="B9499" s="1" t="n">
        <v>44305</v>
      </c>
      <c r="C9499" s="1" t="n">
        <v>46045</v>
      </c>
      <c r="D9499" t="inlineStr">
        <is>
          <t>JÄMTLANDS LÄN</t>
        </is>
      </c>
      <c r="E9499" t="inlineStr">
        <is>
          <t>HÄRJEDALEN</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4635-2022</t>
        </is>
      </c>
      <c r="B9500" s="1" t="n">
        <v>44592.41413194445</v>
      </c>
      <c r="C9500" s="1" t="n">
        <v>46045</v>
      </c>
      <c r="D9500" t="inlineStr">
        <is>
          <t>JÄMTLANDS LÄN</t>
        </is>
      </c>
      <c r="E9500" t="inlineStr">
        <is>
          <t>BRÄCKE</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21781-2023</t>
        </is>
      </c>
      <c r="B9501" s="1" t="n">
        <v>45065</v>
      </c>
      <c r="C9501" s="1" t="n">
        <v>46045</v>
      </c>
      <c r="D9501" t="inlineStr">
        <is>
          <t>JÄMTLANDS LÄN</t>
        </is>
      </c>
      <c r="E9501" t="inlineStr">
        <is>
          <t>BRÄCKE</t>
        </is>
      </c>
      <c r="F9501" t="inlineStr">
        <is>
          <t>SCA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59759-2024</t>
        </is>
      </c>
      <c r="B9502" s="1" t="n">
        <v>45639.55240740741</v>
      </c>
      <c r="C9502" s="1" t="n">
        <v>46045</v>
      </c>
      <c r="D9502" t="inlineStr">
        <is>
          <t>JÄMTLANDS LÄN</t>
        </is>
      </c>
      <c r="E9502" t="inlineStr">
        <is>
          <t>RAGUNDA</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25676-2023</t>
        </is>
      </c>
      <c r="B9503" s="1" t="n">
        <v>45089.93925925926</v>
      </c>
      <c r="C9503" s="1" t="n">
        <v>46045</v>
      </c>
      <c r="D9503" t="inlineStr">
        <is>
          <t>JÄMTLANDS LÄN</t>
        </is>
      </c>
      <c r="E9503" t="inlineStr">
        <is>
          <t>BRÄCKE</t>
        </is>
      </c>
      <c r="F9503" t="inlineStr">
        <is>
          <t>SCA</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49526-2024</t>
        </is>
      </c>
      <c r="B9504" s="1" t="n">
        <v>45596.40731481482</v>
      </c>
      <c r="C9504" s="1" t="n">
        <v>46045</v>
      </c>
      <c r="D9504" t="inlineStr">
        <is>
          <t>JÄMTLANDS LÄN</t>
        </is>
      </c>
      <c r="E9504" t="inlineStr">
        <is>
          <t>BRÄCKE</t>
        </is>
      </c>
      <c r="F9504" t="inlineStr">
        <is>
          <t>SCA</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57661-2024</t>
        </is>
      </c>
      <c r="B9505" s="1" t="n">
        <v>45630.6140162037</v>
      </c>
      <c r="C9505" s="1" t="n">
        <v>46045</v>
      </c>
      <c r="D9505" t="inlineStr">
        <is>
          <t>JÄMTLANDS LÄN</t>
        </is>
      </c>
      <c r="E9505" t="inlineStr">
        <is>
          <t>BERG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56847-2024</t>
        </is>
      </c>
      <c r="B9506" s="1" t="n">
        <v>45628.53381944444</v>
      </c>
      <c r="C9506" s="1" t="n">
        <v>46045</v>
      </c>
      <c r="D9506" t="inlineStr">
        <is>
          <t>JÄMTLANDS LÄN</t>
        </is>
      </c>
      <c r="E9506" t="inlineStr">
        <is>
          <t>ÖSTERSUND</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12188-2025</t>
        </is>
      </c>
      <c r="B9507" s="1" t="n">
        <v>45729.46936342592</v>
      </c>
      <c r="C9507" s="1" t="n">
        <v>46045</v>
      </c>
      <c r="D9507" t="inlineStr">
        <is>
          <t>JÄMTLANDS LÄN</t>
        </is>
      </c>
      <c r="E9507" t="inlineStr">
        <is>
          <t>STRÖMSUND</t>
        </is>
      </c>
      <c r="F9507" t="inlineStr">
        <is>
          <t>SCA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12204-2025</t>
        </is>
      </c>
      <c r="B9508" s="1" t="n">
        <v>45729.51074074074</v>
      </c>
      <c r="C9508" s="1" t="n">
        <v>46045</v>
      </c>
      <c r="D9508" t="inlineStr">
        <is>
          <t>JÄMTLANDS LÄN</t>
        </is>
      </c>
      <c r="E9508" t="inlineStr">
        <is>
          <t>RAGUNDA</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32324-2024</t>
        </is>
      </c>
      <c r="B9509" s="1" t="n">
        <v>45512</v>
      </c>
      <c r="C9509" s="1" t="n">
        <v>46045</v>
      </c>
      <c r="D9509" t="inlineStr">
        <is>
          <t>JÄMTLANDS LÄN</t>
        </is>
      </c>
      <c r="E9509" t="inlineStr">
        <is>
          <t>STRÖMSUND</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48342-2024</t>
        </is>
      </c>
      <c r="B9510" s="1" t="n">
        <v>45590.55238425926</v>
      </c>
      <c r="C9510" s="1" t="n">
        <v>46045</v>
      </c>
      <c r="D9510" t="inlineStr">
        <is>
          <t>JÄMTLANDS LÄN</t>
        </is>
      </c>
      <c r="E9510" t="inlineStr">
        <is>
          <t>BRÄCKE</t>
        </is>
      </c>
      <c r="F9510" t="inlineStr">
        <is>
          <t>SCA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45950-2023</t>
        </is>
      </c>
      <c r="B9511" s="1" t="n">
        <v>45195</v>
      </c>
      <c r="C9511" s="1" t="n">
        <v>46045</v>
      </c>
      <c r="D9511" t="inlineStr">
        <is>
          <t>JÄMTLANDS LÄN</t>
        </is>
      </c>
      <c r="E9511" t="inlineStr">
        <is>
          <t>BRÄCKE</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6287-2024</t>
        </is>
      </c>
      <c r="B9512" s="1" t="n">
        <v>45337.95644675926</v>
      </c>
      <c r="C9512" s="1" t="n">
        <v>46045</v>
      </c>
      <c r="D9512" t="inlineStr">
        <is>
          <t>JÄMTLANDS LÄN</t>
        </is>
      </c>
      <c r="E9512" t="inlineStr">
        <is>
          <t>STRÖMSUND</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60905-2024</t>
        </is>
      </c>
      <c r="B9513" s="1" t="n">
        <v>45644</v>
      </c>
      <c r="C9513" s="1" t="n">
        <v>46045</v>
      </c>
      <c r="D9513" t="inlineStr">
        <is>
          <t>JÄMTLANDS LÄN</t>
        </is>
      </c>
      <c r="E9513" t="inlineStr">
        <is>
          <t>STRÖMSUND</t>
        </is>
      </c>
      <c r="G9513" t="n">
        <v>8</v>
      </c>
      <c r="H9513" t="n">
        <v>0</v>
      </c>
      <c r="I9513" t="n">
        <v>0</v>
      </c>
      <c r="J9513" t="n">
        <v>0</v>
      </c>
      <c r="K9513" t="n">
        <v>0</v>
      </c>
      <c r="L9513" t="n">
        <v>0</v>
      </c>
      <c r="M9513" t="n">
        <v>0</v>
      </c>
      <c r="N9513" t="n">
        <v>0</v>
      </c>
      <c r="O9513" t="n">
        <v>0</v>
      </c>
      <c r="P9513" t="n">
        <v>0</v>
      </c>
      <c r="Q9513" t="n">
        <v>0</v>
      </c>
      <c r="R9513" s="2" t="inlineStr"/>
    </row>
    <row r="9514" ht="15" customHeight="1">
      <c r="A9514" t="inlineStr">
        <is>
          <t>A 11245-2025</t>
        </is>
      </c>
      <c r="B9514" s="1" t="n">
        <v>45726.38575231482</v>
      </c>
      <c r="C9514" s="1" t="n">
        <v>46045</v>
      </c>
      <c r="D9514" t="inlineStr">
        <is>
          <t>JÄMTLANDS LÄN</t>
        </is>
      </c>
      <c r="E9514" t="inlineStr">
        <is>
          <t>RAGUNDA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26348-2023</t>
        </is>
      </c>
      <c r="B9515" s="1" t="n">
        <v>45091.94203703704</v>
      </c>
      <c r="C9515" s="1" t="n">
        <v>46045</v>
      </c>
      <c r="D9515" t="inlineStr">
        <is>
          <t>JÄMTLANDS LÄN</t>
        </is>
      </c>
      <c r="E9515" t="inlineStr">
        <is>
          <t>STRÖMSUND</t>
        </is>
      </c>
      <c r="F9515" t="inlineStr">
        <is>
          <t>SCA</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13905-2025</t>
        </is>
      </c>
      <c r="B9516" s="1" t="n">
        <v>45737.63574074074</v>
      </c>
      <c r="C9516" s="1" t="n">
        <v>46045</v>
      </c>
      <c r="D9516" t="inlineStr">
        <is>
          <t>JÄMTLANDS LÄN</t>
        </is>
      </c>
      <c r="E9516" t="inlineStr">
        <is>
          <t>RAGUNDA</t>
        </is>
      </c>
      <c r="F9516" t="inlineStr">
        <is>
          <t>SCA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49032-2024</t>
        </is>
      </c>
      <c r="B9517" s="1" t="n">
        <v>45594.53152777778</v>
      </c>
      <c r="C9517" s="1" t="n">
        <v>46045</v>
      </c>
      <c r="D9517" t="inlineStr">
        <is>
          <t>JÄMTLANDS LÄN</t>
        </is>
      </c>
      <c r="E9517" t="inlineStr">
        <is>
          <t>BRÄCKE</t>
        </is>
      </c>
      <c r="F9517" t="inlineStr">
        <is>
          <t>SCA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32962-2024</t>
        </is>
      </c>
      <c r="B9518" s="1" t="n">
        <v>45517.38320601852</v>
      </c>
      <c r="C9518" s="1" t="n">
        <v>46045</v>
      </c>
      <c r="D9518" t="inlineStr">
        <is>
          <t>JÄMTLANDS LÄN</t>
        </is>
      </c>
      <c r="E9518" t="inlineStr">
        <is>
          <t>HÄRJEDALEN</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58176-2024</t>
        </is>
      </c>
      <c r="B9519" s="1" t="n">
        <v>45632.46771990741</v>
      </c>
      <c r="C9519" s="1" t="n">
        <v>46045</v>
      </c>
      <c r="D9519" t="inlineStr">
        <is>
          <t>JÄMTLANDS LÄN</t>
        </is>
      </c>
      <c r="E9519" t="inlineStr">
        <is>
          <t>BERG</t>
        </is>
      </c>
      <c r="G9519" t="n">
        <v>14.4</v>
      </c>
      <c r="H9519" t="n">
        <v>0</v>
      </c>
      <c r="I9519" t="n">
        <v>0</v>
      </c>
      <c r="J9519" t="n">
        <v>0</v>
      </c>
      <c r="K9519" t="n">
        <v>0</v>
      </c>
      <c r="L9519" t="n">
        <v>0</v>
      </c>
      <c r="M9519" t="n">
        <v>0</v>
      </c>
      <c r="N9519" t="n">
        <v>0</v>
      </c>
      <c r="O9519" t="n">
        <v>0</v>
      </c>
      <c r="P9519" t="n">
        <v>0</v>
      </c>
      <c r="Q9519" t="n">
        <v>0</v>
      </c>
      <c r="R9519" s="2" t="inlineStr"/>
    </row>
    <row r="9520" ht="15" customHeight="1">
      <c r="A9520" t="inlineStr">
        <is>
          <t>A 10510-2025</t>
        </is>
      </c>
      <c r="B9520" s="1" t="n">
        <v>45721.40363425926</v>
      </c>
      <c r="C9520" s="1" t="n">
        <v>46045</v>
      </c>
      <c r="D9520" t="inlineStr">
        <is>
          <t>JÄMTLANDS LÄN</t>
        </is>
      </c>
      <c r="E9520" t="inlineStr">
        <is>
          <t>BRÄCKE</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10647-2022</t>
        </is>
      </c>
      <c r="B9521" s="1" t="n">
        <v>44624</v>
      </c>
      <c r="C9521" s="1" t="n">
        <v>46045</v>
      </c>
      <c r="D9521" t="inlineStr">
        <is>
          <t>JÄMTLANDS LÄN</t>
        </is>
      </c>
      <c r="E9521" t="inlineStr">
        <is>
          <t>STRÖMSUND</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41942-2024</t>
        </is>
      </c>
      <c r="B9522" s="1" t="n">
        <v>45561.57388888889</v>
      </c>
      <c r="C9522" s="1" t="n">
        <v>46045</v>
      </c>
      <c r="D9522" t="inlineStr">
        <is>
          <t>JÄMTLANDS LÄN</t>
        </is>
      </c>
      <c r="E9522" t="inlineStr">
        <is>
          <t>STRÖMSUND</t>
        </is>
      </c>
      <c r="F9522" t="inlineStr">
        <is>
          <t>SCA</t>
        </is>
      </c>
      <c r="G9522" t="n">
        <v>10.7</v>
      </c>
      <c r="H9522" t="n">
        <v>0</v>
      </c>
      <c r="I9522" t="n">
        <v>0</v>
      </c>
      <c r="J9522" t="n">
        <v>0</v>
      </c>
      <c r="K9522" t="n">
        <v>0</v>
      </c>
      <c r="L9522" t="n">
        <v>0</v>
      </c>
      <c r="M9522" t="n">
        <v>0</v>
      </c>
      <c r="N9522" t="n">
        <v>0</v>
      </c>
      <c r="O9522" t="n">
        <v>0</v>
      </c>
      <c r="P9522" t="n">
        <v>0</v>
      </c>
      <c r="Q9522" t="n">
        <v>0</v>
      </c>
      <c r="R9522" s="2" t="inlineStr"/>
    </row>
    <row r="9523" ht="15" customHeight="1">
      <c r="A9523" t="inlineStr">
        <is>
          <t>A 41675-2024</t>
        </is>
      </c>
      <c r="B9523" s="1" t="n">
        <v>45560.6599537037</v>
      </c>
      <c r="C9523" s="1" t="n">
        <v>46045</v>
      </c>
      <c r="D9523" t="inlineStr">
        <is>
          <t>JÄMTLANDS LÄN</t>
        </is>
      </c>
      <c r="E9523" t="inlineStr">
        <is>
          <t>KROKOM</t>
        </is>
      </c>
      <c r="G9523" t="n">
        <v>7</v>
      </c>
      <c r="H9523" t="n">
        <v>0</v>
      </c>
      <c r="I9523" t="n">
        <v>0</v>
      </c>
      <c r="J9523" t="n">
        <v>0</v>
      </c>
      <c r="K9523" t="n">
        <v>0</v>
      </c>
      <c r="L9523" t="n">
        <v>0</v>
      </c>
      <c r="M9523" t="n">
        <v>0</v>
      </c>
      <c r="N9523" t="n">
        <v>0</v>
      </c>
      <c r="O9523" t="n">
        <v>0</v>
      </c>
      <c r="P9523" t="n">
        <v>0</v>
      </c>
      <c r="Q9523" t="n">
        <v>0</v>
      </c>
      <c r="R9523" s="2" t="inlineStr"/>
    </row>
    <row r="9524" ht="15" customHeight="1">
      <c r="A9524" t="inlineStr">
        <is>
          <t>A 44798-2023</t>
        </is>
      </c>
      <c r="B9524" s="1" t="n">
        <v>45190</v>
      </c>
      <c r="C9524" s="1" t="n">
        <v>46045</v>
      </c>
      <c r="D9524" t="inlineStr">
        <is>
          <t>JÄMTLANDS LÄN</t>
        </is>
      </c>
      <c r="E9524" t="inlineStr">
        <is>
          <t>ÖSTERSUND</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7021-2025</t>
        </is>
      </c>
      <c r="B9525" s="1" t="n">
        <v>45701.61520833334</v>
      </c>
      <c r="C9525" s="1" t="n">
        <v>46045</v>
      </c>
      <c r="D9525" t="inlineStr">
        <is>
          <t>JÄMTLANDS LÄN</t>
        </is>
      </c>
      <c r="E9525" t="inlineStr">
        <is>
          <t>BERG</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55478-2024</t>
        </is>
      </c>
      <c r="B9526" s="1" t="n">
        <v>45622.43795138889</v>
      </c>
      <c r="C9526" s="1" t="n">
        <v>46045</v>
      </c>
      <c r="D9526" t="inlineStr">
        <is>
          <t>JÄMTLANDS LÄN</t>
        </is>
      </c>
      <c r="E9526" t="inlineStr">
        <is>
          <t>BRÄCKE</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60917-2024</t>
        </is>
      </c>
      <c r="B9527" s="1" t="n">
        <v>45644</v>
      </c>
      <c r="C9527" s="1" t="n">
        <v>46045</v>
      </c>
      <c r="D9527" t="inlineStr">
        <is>
          <t>JÄMTLANDS LÄN</t>
        </is>
      </c>
      <c r="E9527" t="inlineStr">
        <is>
          <t>STRÖMSUND</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73798-2021</t>
        </is>
      </c>
      <c r="B9528" s="1" t="n">
        <v>44552</v>
      </c>
      <c r="C9528" s="1" t="n">
        <v>46045</v>
      </c>
      <c r="D9528" t="inlineStr">
        <is>
          <t>JÄMTLANDS LÄN</t>
        </is>
      </c>
      <c r="E9528" t="inlineStr">
        <is>
          <t>ÅRE</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30480-2024</t>
        </is>
      </c>
      <c r="B9529" s="1" t="n">
        <v>45491.9494675926</v>
      </c>
      <c r="C9529" s="1" t="n">
        <v>46045</v>
      </c>
      <c r="D9529" t="inlineStr">
        <is>
          <t>JÄMTLANDS LÄN</t>
        </is>
      </c>
      <c r="E9529" t="inlineStr">
        <is>
          <t>BRÄCKE</t>
        </is>
      </c>
      <c r="F9529" t="inlineStr">
        <is>
          <t>SCA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61376-2024</t>
        </is>
      </c>
      <c r="B9530" s="1" t="n">
        <v>45646.39434027778</v>
      </c>
      <c r="C9530" s="1" t="n">
        <v>46045</v>
      </c>
      <c r="D9530" t="inlineStr">
        <is>
          <t>JÄMTLANDS LÄN</t>
        </is>
      </c>
      <c r="E9530" t="inlineStr">
        <is>
          <t>ÖSTERSUND</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49788-2024</t>
        </is>
      </c>
      <c r="B9531" s="1" t="n">
        <v>45597.36623842592</v>
      </c>
      <c r="C9531" s="1" t="n">
        <v>46045</v>
      </c>
      <c r="D9531" t="inlineStr">
        <is>
          <t>JÄMTLANDS LÄN</t>
        </is>
      </c>
      <c r="E9531" t="inlineStr">
        <is>
          <t>ÖSTERSUND</t>
        </is>
      </c>
      <c r="F9531" t="inlineStr">
        <is>
          <t>SCA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29335-2023</t>
        </is>
      </c>
      <c r="B9532" s="1" t="n">
        <v>45105.94405092593</v>
      </c>
      <c r="C9532" s="1" t="n">
        <v>46045</v>
      </c>
      <c r="D9532" t="inlineStr">
        <is>
          <t>JÄMTLANDS LÄN</t>
        </is>
      </c>
      <c r="E9532" t="inlineStr">
        <is>
          <t>STRÖMSUND</t>
        </is>
      </c>
      <c r="F9532" t="inlineStr">
        <is>
          <t>SCA</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56493-2024</t>
        </is>
      </c>
      <c r="B9533" s="1" t="n">
        <v>45625.49034722222</v>
      </c>
      <c r="C9533" s="1" t="n">
        <v>46045</v>
      </c>
      <c r="D9533" t="inlineStr">
        <is>
          <t>JÄMTLANDS LÄN</t>
        </is>
      </c>
      <c r="E9533" t="inlineStr">
        <is>
          <t>BRÄCKE</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72025-2021</t>
        </is>
      </c>
      <c r="B9534" s="1" t="n">
        <v>44540</v>
      </c>
      <c r="C9534" s="1" t="n">
        <v>46045</v>
      </c>
      <c r="D9534" t="inlineStr">
        <is>
          <t>JÄMTLANDS LÄN</t>
        </is>
      </c>
      <c r="E9534" t="inlineStr">
        <is>
          <t>BRÄCKE</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28765-2024</t>
        </is>
      </c>
      <c r="B9535" s="1" t="n">
        <v>45478.59344907408</v>
      </c>
      <c r="C9535" s="1" t="n">
        <v>46045</v>
      </c>
      <c r="D9535" t="inlineStr">
        <is>
          <t>JÄMTLANDS LÄN</t>
        </is>
      </c>
      <c r="E9535" t="inlineStr">
        <is>
          <t>BRÄCKE</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31182-2023</t>
        </is>
      </c>
      <c r="B9536" s="1" t="n">
        <v>45113</v>
      </c>
      <c r="C9536" s="1" t="n">
        <v>46045</v>
      </c>
      <c r="D9536" t="inlineStr">
        <is>
          <t>JÄMTLANDS LÄN</t>
        </is>
      </c>
      <c r="E9536" t="inlineStr">
        <is>
          <t>STRÖMSUND</t>
        </is>
      </c>
      <c r="F9536" t="inlineStr">
        <is>
          <t>SCA</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58086-2024</t>
        </is>
      </c>
      <c r="B9537" s="1" t="n">
        <v>45632.34436342592</v>
      </c>
      <c r="C9537" s="1" t="n">
        <v>46045</v>
      </c>
      <c r="D9537" t="inlineStr">
        <is>
          <t>JÄMTLANDS LÄN</t>
        </is>
      </c>
      <c r="E9537" t="inlineStr">
        <is>
          <t>BRÄCKE</t>
        </is>
      </c>
      <c r="F9537" t="inlineStr">
        <is>
          <t>SCA</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45028-2023</t>
        </is>
      </c>
      <c r="B9538" s="1" t="n">
        <v>45190</v>
      </c>
      <c r="C9538" s="1" t="n">
        <v>46045</v>
      </c>
      <c r="D9538" t="inlineStr">
        <is>
          <t>JÄMTLANDS LÄN</t>
        </is>
      </c>
      <c r="E9538" t="inlineStr">
        <is>
          <t>BRÄCKE</t>
        </is>
      </c>
      <c r="F9538" t="inlineStr">
        <is>
          <t>SCA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31606-2024</t>
        </is>
      </c>
      <c r="B9539" s="1" t="n">
        <v>45506</v>
      </c>
      <c r="C9539" s="1" t="n">
        <v>46045</v>
      </c>
      <c r="D9539" t="inlineStr">
        <is>
          <t>JÄMTLANDS LÄN</t>
        </is>
      </c>
      <c r="E9539" t="inlineStr">
        <is>
          <t>STRÖMSUND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57453-2024</t>
        </is>
      </c>
      <c r="B9540" s="1" t="n">
        <v>45630.29371527778</v>
      </c>
      <c r="C9540" s="1" t="n">
        <v>46045</v>
      </c>
      <c r="D9540" t="inlineStr">
        <is>
          <t>JÄMTLANDS LÄN</t>
        </is>
      </c>
      <c r="E9540" t="inlineStr">
        <is>
          <t>STRÖMSUND</t>
        </is>
      </c>
      <c r="G9540" t="n">
        <v>11.6</v>
      </c>
      <c r="H9540" t="n">
        <v>0</v>
      </c>
      <c r="I9540" t="n">
        <v>0</v>
      </c>
      <c r="J9540" t="n">
        <v>0</v>
      </c>
      <c r="K9540" t="n">
        <v>0</v>
      </c>
      <c r="L9540" t="n">
        <v>0</v>
      </c>
      <c r="M9540" t="n">
        <v>0</v>
      </c>
      <c r="N9540" t="n">
        <v>0</v>
      </c>
      <c r="O9540" t="n">
        <v>0</v>
      </c>
      <c r="P9540" t="n">
        <v>0</v>
      </c>
      <c r="Q9540" t="n">
        <v>0</v>
      </c>
      <c r="R9540" s="2" t="inlineStr"/>
    </row>
    <row r="9541" ht="15" customHeight="1">
      <c r="A9541" t="inlineStr">
        <is>
          <t>A 60752-2024</t>
        </is>
      </c>
      <c r="B9541" s="1" t="n">
        <v>45644.56674768519</v>
      </c>
      <c r="C9541" s="1" t="n">
        <v>46045</v>
      </c>
      <c r="D9541" t="inlineStr">
        <is>
          <t>JÄMTLANDS LÄN</t>
        </is>
      </c>
      <c r="E9541" t="inlineStr">
        <is>
          <t>HÄRJEDALEN</t>
        </is>
      </c>
      <c r="F9541" t="inlineStr">
        <is>
          <t>Sveaskog</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4125-2024</t>
        </is>
      </c>
      <c r="B9542" s="1" t="n">
        <v>45323</v>
      </c>
      <c r="C9542" s="1" t="n">
        <v>46045</v>
      </c>
      <c r="D9542" t="inlineStr">
        <is>
          <t>JÄMTLANDS LÄN</t>
        </is>
      </c>
      <c r="E9542" t="inlineStr">
        <is>
          <t>RAGUNDA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16848-2022</t>
        </is>
      </c>
      <c r="B9543" s="1" t="n">
        <v>44673.94145833333</v>
      </c>
      <c r="C9543" s="1" t="n">
        <v>46045</v>
      </c>
      <c r="D9543" t="inlineStr">
        <is>
          <t>JÄMTLANDS LÄN</t>
        </is>
      </c>
      <c r="E9543" t="inlineStr">
        <is>
          <t>STRÖMSUND</t>
        </is>
      </c>
      <c r="F9543" t="inlineStr">
        <is>
          <t>SCA</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6342-2025</t>
        </is>
      </c>
      <c r="B9544" s="1" t="n">
        <v>45699</v>
      </c>
      <c r="C9544" s="1" t="n">
        <v>46045</v>
      </c>
      <c r="D9544" t="inlineStr">
        <is>
          <t>JÄMTLANDS LÄN</t>
        </is>
      </c>
      <c r="E9544" t="inlineStr">
        <is>
          <t>KROKOM</t>
        </is>
      </c>
      <c r="F9544" t="inlineStr">
        <is>
          <t>Övriga Aktiebolag</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44980-2023</t>
        </is>
      </c>
      <c r="B9545" s="1" t="n">
        <v>45190</v>
      </c>
      <c r="C9545" s="1" t="n">
        <v>46045</v>
      </c>
      <c r="D9545" t="inlineStr">
        <is>
          <t>JÄMTLANDS LÄN</t>
        </is>
      </c>
      <c r="E9545" t="inlineStr">
        <is>
          <t>RAGUNDA</t>
        </is>
      </c>
      <c r="F9545" t="inlineStr">
        <is>
          <t>SCA</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58406-2024</t>
        </is>
      </c>
      <c r="B9546" s="1" t="n">
        <v>45634.70898148148</v>
      </c>
      <c r="C9546" s="1" t="n">
        <v>46045</v>
      </c>
      <c r="D9546" t="inlineStr">
        <is>
          <t>JÄMTLANDS LÄN</t>
        </is>
      </c>
      <c r="E9546" t="inlineStr">
        <is>
          <t>ÖSTERSUND</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10782-2023</t>
        </is>
      </c>
      <c r="B9547" s="1" t="n">
        <v>44988.94056712963</v>
      </c>
      <c r="C9547" s="1" t="n">
        <v>46045</v>
      </c>
      <c r="D9547" t="inlineStr">
        <is>
          <t>JÄMTLANDS LÄN</t>
        </is>
      </c>
      <c r="E9547" t="inlineStr">
        <is>
          <t>KROKOM</t>
        </is>
      </c>
      <c r="F9547" t="inlineStr">
        <is>
          <t>SCA</t>
        </is>
      </c>
      <c r="G9547" t="n">
        <v>68.8</v>
      </c>
      <c r="H9547" t="n">
        <v>0</v>
      </c>
      <c r="I9547" t="n">
        <v>0</v>
      </c>
      <c r="J9547" t="n">
        <v>0</v>
      </c>
      <c r="K9547" t="n">
        <v>0</v>
      </c>
      <c r="L9547" t="n">
        <v>0</v>
      </c>
      <c r="M9547" t="n">
        <v>0</v>
      </c>
      <c r="N9547" t="n">
        <v>0</v>
      </c>
      <c r="O9547" t="n">
        <v>0</v>
      </c>
      <c r="P9547" t="n">
        <v>0</v>
      </c>
      <c r="Q9547" t="n">
        <v>0</v>
      </c>
      <c r="R9547" s="2" t="inlineStr"/>
    </row>
    <row r="9548" ht="15" customHeight="1">
      <c r="A9548" t="inlineStr">
        <is>
          <t>A 49048-2024</t>
        </is>
      </c>
      <c r="B9548" s="1" t="n">
        <v>45594.57427083333</v>
      </c>
      <c r="C9548" s="1" t="n">
        <v>46045</v>
      </c>
      <c r="D9548" t="inlineStr">
        <is>
          <t>JÄMTLANDS LÄN</t>
        </is>
      </c>
      <c r="E9548" t="inlineStr">
        <is>
          <t>BERG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32530-2023</t>
        </is>
      </c>
      <c r="B9549" s="1" t="n">
        <v>45111</v>
      </c>
      <c r="C9549" s="1" t="n">
        <v>46045</v>
      </c>
      <c r="D9549" t="inlineStr">
        <is>
          <t>JÄMTLANDS LÄN</t>
        </is>
      </c>
      <c r="E9549" t="inlineStr">
        <is>
          <t>STRÖMSUND</t>
        </is>
      </c>
      <c r="F9549" t="inlineStr">
        <is>
          <t>Kommuner</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29749-2024</t>
        </is>
      </c>
      <c r="B9550" s="1" t="n">
        <v>45485.42287037037</v>
      </c>
      <c r="C9550" s="1" t="n">
        <v>46045</v>
      </c>
      <c r="D9550" t="inlineStr">
        <is>
          <t>JÄMTLANDS LÄN</t>
        </is>
      </c>
      <c r="E9550" t="inlineStr">
        <is>
          <t>HÄRJEDALEN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29768-2024</t>
        </is>
      </c>
      <c r="B9551" s="1" t="n">
        <v>45485.44258101852</v>
      </c>
      <c r="C9551" s="1" t="n">
        <v>46045</v>
      </c>
      <c r="D9551" t="inlineStr">
        <is>
          <t>JÄMTLANDS LÄN</t>
        </is>
      </c>
      <c r="E9551" t="inlineStr">
        <is>
          <t>HÄRJEDALEN</t>
        </is>
      </c>
      <c r="F9551" t="inlineStr">
        <is>
          <t>Holmen skog AB</t>
        </is>
      </c>
      <c r="G9551" t="n">
        <v>11.1</v>
      </c>
      <c r="H9551" t="n">
        <v>0</v>
      </c>
      <c r="I9551" t="n">
        <v>0</v>
      </c>
      <c r="J9551" t="n">
        <v>0</v>
      </c>
      <c r="K9551" t="n">
        <v>0</v>
      </c>
      <c r="L9551" t="n">
        <v>0</v>
      </c>
      <c r="M9551" t="n">
        <v>0</v>
      </c>
      <c r="N9551" t="n">
        <v>0</v>
      </c>
      <c r="O9551" t="n">
        <v>0</v>
      </c>
      <c r="P9551" t="n">
        <v>0</v>
      </c>
      <c r="Q9551" t="n">
        <v>0</v>
      </c>
      <c r="R9551" s="2" t="inlineStr"/>
    </row>
    <row r="9552" ht="15" customHeight="1">
      <c r="A9552" t="inlineStr">
        <is>
          <t>A 46632-2023</t>
        </is>
      </c>
      <c r="B9552" s="1" t="n">
        <v>45198.42734953704</v>
      </c>
      <c r="C9552" s="1" t="n">
        <v>46045</v>
      </c>
      <c r="D9552" t="inlineStr">
        <is>
          <t>JÄMTLANDS LÄN</t>
        </is>
      </c>
      <c r="E9552" t="inlineStr">
        <is>
          <t>KROKOM</t>
        </is>
      </c>
      <c r="F9552" t="inlineStr">
        <is>
          <t>Övriga Aktiebolag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40394-2023</t>
        </is>
      </c>
      <c r="B9553" s="1" t="n">
        <v>45169.93751157408</v>
      </c>
      <c r="C9553" s="1" t="n">
        <v>46045</v>
      </c>
      <c r="D9553" t="inlineStr">
        <is>
          <t>JÄMTLANDS LÄN</t>
        </is>
      </c>
      <c r="E9553" t="inlineStr">
        <is>
          <t>BRÄCKE</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40399-2023</t>
        </is>
      </c>
      <c r="B9554" s="1" t="n">
        <v>45169.93790509259</v>
      </c>
      <c r="C9554" s="1" t="n">
        <v>46045</v>
      </c>
      <c r="D9554" t="inlineStr">
        <is>
          <t>JÄMTLANDS LÄN</t>
        </is>
      </c>
      <c r="E9554" t="inlineStr">
        <is>
          <t>STRÖMSUND</t>
        </is>
      </c>
      <c r="F9554" t="inlineStr">
        <is>
          <t>SCA</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40407-2023</t>
        </is>
      </c>
      <c r="B9555" s="1" t="n">
        <v>45169.93855324074</v>
      </c>
      <c r="C9555" s="1" t="n">
        <v>46045</v>
      </c>
      <c r="D9555" t="inlineStr">
        <is>
          <t>JÄMTLANDS LÄN</t>
        </is>
      </c>
      <c r="E9555" t="inlineStr">
        <is>
          <t>STRÖMSUND</t>
        </is>
      </c>
      <c r="F9555" t="inlineStr">
        <is>
          <t>SCA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39004-2023</t>
        </is>
      </c>
      <c r="B9556" s="1" t="n">
        <v>45162</v>
      </c>
      <c r="C9556" s="1" t="n">
        <v>46045</v>
      </c>
      <c r="D9556" t="inlineStr">
        <is>
          <t>JÄMTLANDS LÄN</t>
        </is>
      </c>
      <c r="E9556" t="inlineStr">
        <is>
          <t>BRÄCKE</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61002-2024</t>
        </is>
      </c>
      <c r="B9557" s="1" t="n">
        <v>45645.44158564815</v>
      </c>
      <c r="C9557" s="1" t="n">
        <v>46045</v>
      </c>
      <c r="D9557" t="inlineStr">
        <is>
          <t>JÄMTLANDS LÄN</t>
        </is>
      </c>
      <c r="E9557" t="inlineStr">
        <is>
          <t>ÖSTERSUND</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64599-2023</t>
        </is>
      </c>
      <c r="B9558" s="1" t="n">
        <v>45281</v>
      </c>
      <c r="C9558" s="1" t="n">
        <v>46045</v>
      </c>
      <c r="D9558" t="inlineStr">
        <is>
          <t>JÄMTLANDS LÄN</t>
        </is>
      </c>
      <c r="E9558" t="inlineStr">
        <is>
          <t>STRÖMSUND</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18476-2022</t>
        </is>
      </c>
      <c r="B9559" s="1" t="n">
        <v>44686</v>
      </c>
      <c r="C9559" s="1" t="n">
        <v>46045</v>
      </c>
      <c r="D9559" t="inlineStr">
        <is>
          <t>JÄMTLANDS LÄN</t>
        </is>
      </c>
      <c r="E9559" t="inlineStr">
        <is>
          <t>KROKOM</t>
        </is>
      </c>
      <c r="G9559" t="n">
        <v>11.7</v>
      </c>
      <c r="H9559" t="n">
        <v>0</v>
      </c>
      <c r="I9559" t="n">
        <v>0</v>
      </c>
      <c r="J9559" t="n">
        <v>0</v>
      </c>
      <c r="K9559" t="n">
        <v>0</v>
      </c>
      <c r="L9559" t="n">
        <v>0</v>
      </c>
      <c r="M9559" t="n">
        <v>0</v>
      </c>
      <c r="N9559" t="n">
        <v>0</v>
      </c>
      <c r="O9559" t="n">
        <v>0</v>
      </c>
      <c r="P9559" t="n">
        <v>0</v>
      </c>
      <c r="Q9559" t="n">
        <v>0</v>
      </c>
      <c r="R9559" s="2" t="inlineStr"/>
    </row>
    <row r="9560" ht="15" customHeight="1">
      <c r="A9560" t="inlineStr">
        <is>
          <t>A 37719-2023</t>
        </is>
      </c>
      <c r="B9560" s="1" t="n">
        <v>45159.60288194445</v>
      </c>
      <c r="C9560" s="1" t="n">
        <v>46045</v>
      </c>
      <c r="D9560" t="inlineStr">
        <is>
          <t>JÄMTLANDS LÄN</t>
        </is>
      </c>
      <c r="E9560" t="inlineStr">
        <is>
          <t>HÄRJEDALEN</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15463-2025</t>
        </is>
      </c>
      <c r="B9561" s="1" t="n">
        <v>45747.51116898148</v>
      </c>
      <c r="C9561" s="1" t="n">
        <v>46045</v>
      </c>
      <c r="D9561" t="inlineStr">
        <is>
          <t>JÄMTLANDS LÄN</t>
        </is>
      </c>
      <c r="E9561" t="inlineStr">
        <is>
          <t>STRÖMSUND</t>
        </is>
      </c>
      <c r="F9561" t="inlineStr">
        <is>
          <t>SCA</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27777-2022</t>
        </is>
      </c>
      <c r="B9562" s="1" t="n">
        <v>44743</v>
      </c>
      <c r="C9562" s="1" t="n">
        <v>46045</v>
      </c>
      <c r="D9562" t="inlineStr">
        <is>
          <t>JÄMTLANDS LÄN</t>
        </is>
      </c>
      <c r="E9562" t="inlineStr">
        <is>
          <t>RAGUNDA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51223-2024</t>
        </is>
      </c>
      <c r="B9563" s="1" t="n">
        <v>45603</v>
      </c>
      <c r="C9563" s="1" t="n">
        <v>46045</v>
      </c>
      <c r="D9563" t="inlineStr">
        <is>
          <t>JÄMTLANDS LÄN</t>
        </is>
      </c>
      <c r="E9563" t="inlineStr">
        <is>
          <t>HÄRJEDALEN</t>
        </is>
      </c>
      <c r="F9563" t="inlineStr">
        <is>
          <t>Holmen skog AB</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51245-2024</t>
        </is>
      </c>
      <c r="B9564" s="1" t="n">
        <v>45603.67850694444</v>
      </c>
      <c r="C9564" s="1" t="n">
        <v>46045</v>
      </c>
      <c r="D9564" t="inlineStr">
        <is>
          <t>JÄMTLANDS LÄN</t>
        </is>
      </c>
      <c r="E9564" t="inlineStr">
        <is>
          <t>RAGUNDA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44296-2024</t>
        </is>
      </c>
      <c r="B9565" s="1" t="n">
        <v>45573.54893518519</v>
      </c>
      <c r="C9565" s="1" t="n">
        <v>46045</v>
      </c>
      <c r="D9565" t="inlineStr">
        <is>
          <t>JÄMTLANDS LÄN</t>
        </is>
      </c>
      <c r="E9565" t="inlineStr">
        <is>
          <t>KROKOM</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19698-2024</t>
        </is>
      </c>
      <c r="B9566" s="1" t="n">
        <v>45432.54027777778</v>
      </c>
      <c r="C9566" s="1" t="n">
        <v>46045</v>
      </c>
      <c r="D9566" t="inlineStr">
        <is>
          <t>JÄMTLANDS LÄN</t>
        </is>
      </c>
      <c r="E9566" t="inlineStr">
        <is>
          <t>KROKOM</t>
        </is>
      </c>
      <c r="G9566" t="n">
        <v>15.9</v>
      </c>
      <c r="H9566" t="n">
        <v>0</v>
      </c>
      <c r="I9566" t="n">
        <v>0</v>
      </c>
      <c r="J9566" t="n">
        <v>0</v>
      </c>
      <c r="K9566" t="n">
        <v>0</v>
      </c>
      <c r="L9566" t="n">
        <v>0</v>
      </c>
      <c r="M9566" t="n">
        <v>0</v>
      </c>
      <c r="N9566" t="n">
        <v>0</v>
      </c>
      <c r="O9566" t="n">
        <v>0</v>
      </c>
      <c r="P9566" t="n">
        <v>0</v>
      </c>
      <c r="Q9566" t="n">
        <v>0</v>
      </c>
      <c r="R9566" s="2" t="inlineStr"/>
    </row>
    <row r="9567" ht="15" customHeight="1">
      <c r="A9567" t="inlineStr">
        <is>
          <t>A 42825-2023</t>
        </is>
      </c>
      <c r="B9567" s="1" t="n">
        <v>45182</v>
      </c>
      <c r="C9567" s="1" t="n">
        <v>46045</v>
      </c>
      <c r="D9567" t="inlineStr">
        <is>
          <t>JÄMTLANDS LÄN</t>
        </is>
      </c>
      <c r="E9567" t="inlineStr">
        <is>
          <t>KROKOM</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55859-2024</t>
        </is>
      </c>
      <c r="B9568" s="1" t="n">
        <v>45622</v>
      </c>
      <c r="C9568" s="1" t="n">
        <v>46045</v>
      </c>
      <c r="D9568" t="inlineStr">
        <is>
          <t>JÄMTLANDS LÄN</t>
        </is>
      </c>
      <c r="E9568" t="inlineStr">
        <is>
          <t>HÄRJEDALEN</t>
        </is>
      </c>
      <c r="F9568" t="inlineStr">
        <is>
          <t>Bergvik skog väst AB</t>
        </is>
      </c>
      <c r="G9568" t="n">
        <v>28.1</v>
      </c>
      <c r="H9568" t="n">
        <v>0</v>
      </c>
      <c r="I9568" t="n">
        <v>0</v>
      </c>
      <c r="J9568" t="n">
        <v>0</v>
      </c>
      <c r="K9568" t="n">
        <v>0</v>
      </c>
      <c r="L9568" t="n">
        <v>0</v>
      </c>
      <c r="M9568" t="n">
        <v>0</v>
      </c>
      <c r="N9568" t="n">
        <v>0</v>
      </c>
      <c r="O9568" t="n">
        <v>0</v>
      </c>
      <c r="P9568" t="n">
        <v>0</v>
      </c>
      <c r="Q9568" t="n">
        <v>0</v>
      </c>
      <c r="R9568" s="2" t="inlineStr"/>
    </row>
    <row r="9569" ht="15" customHeight="1">
      <c r="A9569" t="inlineStr">
        <is>
          <t>A 28903-2021</t>
        </is>
      </c>
      <c r="B9569" s="1" t="n">
        <v>44357</v>
      </c>
      <c r="C9569" s="1" t="n">
        <v>46045</v>
      </c>
      <c r="D9569" t="inlineStr">
        <is>
          <t>JÄMTLANDS LÄN</t>
        </is>
      </c>
      <c r="E9569" t="inlineStr">
        <is>
          <t>BRÄCKE</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61923-2024</t>
        </is>
      </c>
      <c r="B9570" s="1" t="n">
        <v>45653.44836805556</v>
      </c>
      <c r="C9570" s="1" t="n">
        <v>46045</v>
      </c>
      <c r="D9570" t="inlineStr">
        <is>
          <t>JÄMTLANDS LÄN</t>
        </is>
      </c>
      <c r="E9570" t="inlineStr">
        <is>
          <t>RAGUNDA</t>
        </is>
      </c>
      <c r="F9570" t="inlineStr">
        <is>
          <t>SCA</t>
        </is>
      </c>
      <c r="G9570" t="n">
        <v>11.1</v>
      </c>
      <c r="H9570" t="n">
        <v>0</v>
      </c>
      <c r="I9570" t="n">
        <v>0</v>
      </c>
      <c r="J9570" t="n">
        <v>0</v>
      </c>
      <c r="K9570" t="n">
        <v>0</v>
      </c>
      <c r="L9570" t="n">
        <v>0</v>
      </c>
      <c r="M9570" t="n">
        <v>0</v>
      </c>
      <c r="N9570" t="n">
        <v>0</v>
      </c>
      <c r="O9570" t="n">
        <v>0</v>
      </c>
      <c r="P9570" t="n">
        <v>0</v>
      </c>
      <c r="Q9570" t="n">
        <v>0</v>
      </c>
      <c r="R9570" s="2" t="inlineStr"/>
    </row>
    <row r="9571" ht="15" customHeight="1">
      <c r="A9571" t="inlineStr">
        <is>
          <t>A 50503-2024</t>
        </is>
      </c>
      <c r="B9571" s="1" t="n">
        <v>45601.5315625</v>
      </c>
      <c r="C9571" s="1" t="n">
        <v>46045</v>
      </c>
      <c r="D9571" t="inlineStr">
        <is>
          <t>JÄMTLANDS LÄN</t>
        </is>
      </c>
      <c r="E9571" t="inlineStr">
        <is>
          <t>RAGUNDA</t>
        </is>
      </c>
      <c r="F9571" t="inlineStr">
        <is>
          <t>SCA</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50520-2024</t>
        </is>
      </c>
      <c r="B9572" s="1" t="n">
        <v>45601.55320601852</v>
      </c>
      <c r="C9572" s="1" t="n">
        <v>46045</v>
      </c>
      <c r="D9572" t="inlineStr">
        <is>
          <t>JÄMTLANDS LÄN</t>
        </is>
      </c>
      <c r="E9572" t="inlineStr">
        <is>
          <t>BRÄCKE</t>
        </is>
      </c>
      <c r="F9572" t="inlineStr">
        <is>
          <t>SCA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49307-2024</t>
        </is>
      </c>
      <c r="B9573" s="1" t="n">
        <v>45595.55241898148</v>
      </c>
      <c r="C9573" s="1" t="n">
        <v>46045</v>
      </c>
      <c r="D9573" t="inlineStr">
        <is>
          <t>JÄMTLANDS LÄN</t>
        </is>
      </c>
      <c r="E9573" t="inlineStr">
        <is>
          <t>BRÄCKE</t>
        </is>
      </c>
      <c r="F9573" t="inlineStr">
        <is>
          <t>SCA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59556-2024</t>
        </is>
      </c>
      <c r="B9574" s="1" t="n">
        <v>45638.63600694444</v>
      </c>
      <c r="C9574" s="1" t="n">
        <v>46045</v>
      </c>
      <c r="D9574" t="inlineStr">
        <is>
          <t>JÄMTLANDS LÄN</t>
        </is>
      </c>
      <c r="E9574" t="inlineStr">
        <is>
          <t>RAGUNDA</t>
        </is>
      </c>
      <c r="F9574" t="inlineStr">
        <is>
          <t>SCA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13302-2022</t>
        </is>
      </c>
      <c r="B9575" s="1" t="n">
        <v>44644</v>
      </c>
      <c r="C9575" s="1" t="n">
        <v>46045</v>
      </c>
      <c r="D9575" t="inlineStr">
        <is>
          <t>JÄMTLANDS LÄN</t>
        </is>
      </c>
      <c r="E9575" t="inlineStr">
        <is>
          <t>RAGUNDA</t>
        </is>
      </c>
      <c r="F9575" t="inlineStr">
        <is>
          <t>SCA</t>
        </is>
      </c>
      <c r="G9575" t="n">
        <v>35.6</v>
      </c>
      <c r="H9575" t="n">
        <v>0</v>
      </c>
      <c r="I9575" t="n">
        <v>0</v>
      </c>
      <c r="J9575" t="n">
        <v>0</v>
      </c>
      <c r="K9575" t="n">
        <v>0</v>
      </c>
      <c r="L9575" t="n">
        <v>0</v>
      </c>
      <c r="M9575" t="n">
        <v>0</v>
      </c>
      <c r="N9575" t="n">
        <v>0</v>
      </c>
      <c r="O9575" t="n">
        <v>0</v>
      </c>
      <c r="P9575" t="n">
        <v>0</v>
      </c>
      <c r="Q9575" t="n">
        <v>0</v>
      </c>
      <c r="R9575" s="2" t="inlineStr"/>
    </row>
    <row r="9576" ht="15" customHeight="1">
      <c r="A9576" t="inlineStr">
        <is>
          <t>A 33501-2023</t>
        </is>
      </c>
      <c r="B9576" s="1" t="n">
        <v>45118</v>
      </c>
      <c r="C9576" s="1" t="n">
        <v>46045</v>
      </c>
      <c r="D9576" t="inlineStr">
        <is>
          <t>JÄMTLANDS LÄN</t>
        </is>
      </c>
      <c r="E9576" t="inlineStr">
        <is>
          <t>ÖSTERSUND</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37248-2023</t>
        </is>
      </c>
      <c r="B9577" s="1" t="n">
        <v>45155.954375</v>
      </c>
      <c r="C9577" s="1" t="n">
        <v>46045</v>
      </c>
      <c r="D9577" t="inlineStr">
        <is>
          <t>JÄMTLANDS LÄN</t>
        </is>
      </c>
      <c r="E9577" t="inlineStr">
        <is>
          <t>BERG</t>
        </is>
      </c>
      <c r="F9577" t="inlineStr">
        <is>
          <t>SCA</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52565-2023</t>
        </is>
      </c>
      <c r="B9578" s="1" t="n">
        <v>45225.58005787037</v>
      </c>
      <c r="C9578" s="1" t="n">
        <v>46045</v>
      </c>
      <c r="D9578" t="inlineStr">
        <is>
          <t>JÄMTLANDS LÄN</t>
        </is>
      </c>
      <c r="E9578" t="inlineStr">
        <is>
          <t>HÄRJEDALEN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52590-2023</t>
        </is>
      </c>
      <c r="B9579" s="1" t="n">
        <v>45225.60212962963</v>
      </c>
      <c r="C9579" s="1" t="n">
        <v>46045</v>
      </c>
      <c r="D9579" t="inlineStr">
        <is>
          <t>JÄMTLANDS LÄN</t>
        </is>
      </c>
      <c r="E9579" t="inlineStr">
        <is>
          <t>KROKOM</t>
        </is>
      </c>
      <c r="G9579" t="n">
        <v>9</v>
      </c>
      <c r="H9579" t="n">
        <v>0</v>
      </c>
      <c r="I9579" t="n">
        <v>0</v>
      </c>
      <c r="J9579" t="n">
        <v>0</v>
      </c>
      <c r="K9579" t="n">
        <v>0</v>
      </c>
      <c r="L9579" t="n">
        <v>0</v>
      </c>
      <c r="M9579" t="n">
        <v>0</v>
      </c>
      <c r="N9579" t="n">
        <v>0</v>
      </c>
      <c r="O9579" t="n">
        <v>0</v>
      </c>
      <c r="P9579" t="n">
        <v>0</v>
      </c>
      <c r="Q9579" t="n">
        <v>0</v>
      </c>
      <c r="R9579" s="2" t="inlineStr"/>
    </row>
    <row r="9580" ht="15" customHeight="1">
      <c r="A9580" t="inlineStr">
        <is>
          <t>A 18225-2024</t>
        </is>
      </c>
      <c r="B9580" s="1" t="n">
        <v>45420</v>
      </c>
      <c r="C9580" s="1" t="n">
        <v>46045</v>
      </c>
      <c r="D9580" t="inlineStr">
        <is>
          <t>JÄMTLANDS LÄN</t>
        </is>
      </c>
      <c r="E9580" t="inlineStr">
        <is>
          <t>RAGUNDA</t>
        </is>
      </c>
      <c r="F9580" t="inlineStr">
        <is>
          <t>SCA</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1504-2025</t>
        </is>
      </c>
      <c r="B9581" s="1" t="n">
        <v>45670.42738425926</v>
      </c>
      <c r="C9581" s="1" t="n">
        <v>46045</v>
      </c>
      <c r="D9581" t="inlineStr">
        <is>
          <t>JÄMTLANDS LÄN</t>
        </is>
      </c>
      <c r="E9581" t="inlineStr">
        <is>
          <t>BRÄCKE</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231-2022</t>
        </is>
      </c>
      <c r="B9582" s="1" t="n">
        <v>44564.93909722222</v>
      </c>
      <c r="C9582" s="1" t="n">
        <v>46045</v>
      </c>
      <c r="D9582" t="inlineStr">
        <is>
          <t>JÄMTLANDS LÄN</t>
        </is>
      </c>
      <c r="E9582" t="inlineStr">
        <is>
          <t>ÖSTERSUND</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52854-2024</t>
        </is>
      </c>
      <c r="B9583" s="1" t="n">
        <v>45610.61030092592</v>
      </c>
      <c r="C9583" s="1" t="n">
        <v>46045</v>
      </c>
      <c r="D9583" t="inlineStr">
        <is>
          <t>JÄMTLANDS LÄN</t>
        </is>
      </c>
      <c r="E9583" t="inlineStr">
        <is>
          <t>ÖSTERSUND</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18235-2024</t>
        </is>
      </c>
      <c r="B9584" s="1" t="n">
        <v>45420.96576388889</v>
      </c>
      <c r="C9584" s="1" t="n">
        <v>46045</v>
      </c>
      <c r="D9584" t="inlineStr">
        <is>
          <t>JÄMTLANDS LÄN</t>
        </is>
      </c>
      <c r="E9584" t="inlineStr">
        <is>
          <t>STRÖMSUND</t>
        </is>
      </c>
      <c r="F9584" t="inlineStr">
        <is>
          <t>SCA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18240-2024</t>
        </is>
      </c>
      <c r="B9585" s="1" t="n">
        <v>45420.96646990741</v>
      </c>
      <c r="C9585" s="1" t="n">
        <v>46045</v>
      </c>
      <c r="D9585" t="inlineStr">
        <is>
          <t>JÄMTLANDS LÄN</t>
        </is>
      </c>
      <c r="E9585" t="inlineStr">
        <is>
          <t>STRÖMSUND</t>
        </is>
      </c>
      <c r="F9585" t="inlineStr">
        <is>
          <t>SCA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20273-2024</t>
        </is>
      </c>
      <c r="B9586" s="1" t="n">
        <v>45434</v>
      </c>
      <c r="C9586" s="1" t="n">
        <v>46045</v>
      </c>
      <c r="D9586" t="inlineStr">
        <is>
          <t>JÄMTLANDS LÄN</t>
        </is>
      </c>
      <c r="E9586" t="inlineStr">
        <is>
          <t>STRÖMSUND</t>
        </is>
      </c>
      <c r="F9586" t="inlineStr">
        <is>
          <t>SCA</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24831-2023</t>
        </is>
      </c>
      <c r="B9587" s="1" t="n">
        <v>45084.94445601852</v>
      </c>
      <c r="C9587" s="1" t="n">
        <v>46045</v>
      </c>
      <c r="D9587" t="inlineStr">
        <is>
          <t>JÄMTLANDS LÄN</t>
        </is>
      </c>
      <c r="E9587" t="inlineStr">
        <is>
          <t>STRÖMSUND</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18768-2023</t>
        </is>
      </c>
      <c r="B9588" s="1" t="n">
        <v>45043</v>
      </c>
      <c r="C9588" s="1" t="n">
        <v>46045</v>
      </c>
      <c r="D9588" t="inlineStr">
        <is>
          <t>JÄMTLANDS LÄN</t>
        </is>
      </c>
      <c r="E9588" t="inlineStr">
        <is>
          <t>STRÖMSUND</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18773-2023</t>
        </is>
      </c>
      <c r="B9589" s="1" t="n">
        <v>45043.94290509259</v>
      </c>
      <c r="C9589" s="1" t="n">
        <v>46045</v>
      </c>
      <c r="D9589" t="inlineStr">
        <is>
          <t>JÄMTLANDS LÄN</t>
        </is>
      </c>
      <c r="E9589" t="inlineStr">
        <is>
          <t>STRÖMSUND</t>
        </is>
      </c>
      <c r="F9589" t="inlineStr">
        <is>
          <t>SCA</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2498-2025</t>
        </is>
      </c>
      <c r="B9590" s="1" t="n">
        <v>45674.5315625</v>
      </c>
      <c r="C9590" s="1" t="n">
        <v>46045</v>
      </c>
      <c r="D9590" t="inlineStr">
        <is>
          <t>JÄMTLANDS LÄN</t>
        </is>
      </c>
      <c r="E9590" t="inlineStr">
        <is>
          <t>BRÄCKE</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2511-2025</t>
        </is>
      </c>
      <c r="B9591" s="1" t="n">
        <v>45674.57393518519</v>
      </c>
      <c r="C9591" s="1" t="n">
        <v>46045</v>
      </c>
      <c r="D9591" t="inlineStr">
        <is>
          <t>JÄMTLANDS LÄN</t>
        </is>
      </c>
      <c r="E9591" t="inlineStr">
        <is>
          <t>BRÄCKE</t>
        </is>
      </c>
      <c r="F9591" t="inlineStr">
        <is>
          <t>SCA</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16535-2024</t>
        </is>
      </c>
      <c r="B9592" s="1" t="n">
        <v>45408</v>
      </c>
      <c r="C9592" s="1" t="n">
        <v>46045</v>
      </c>
      <c r="D9592" t="inlineStr">
        <is>
          <t>JÄMTLANDS LÄN</t>
        </is>
      </c>
      <c r="E9592" t="inlineStr">
        <is>
          <t>HÄRJEDALEN</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1864-2022</t>
        </is>
      </c>
      <c r="B9593" s="1" t="n">
        <v>44574</v>
      </c>
      <c r="C9593" s="1" t="n">
        <v>46045</v>
      </c>
      <c r="D9593" t="inlineStr">
        <is>
          <t>JÄMTLANDS LÄN</t>
        </is>
      </c>
      <c r="E9593" t="inlineStr">
        <is>
          <t>BRÄCKE</t>
        </is>
      </c>
      <c r="F9593" t="inlineStr">
        <is>
          <t>SCA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62134-2024</t>
        </is>
      </c>
      <c r="B9594" s="1" t="n">
        <v>45646</v>
      </c>
      <c r="C9594" s="1" t="n">
        <v>46045</v>
      </c>
      <c r="D9594" t="inlineStr">
        <is>
          <t>JÄMTLANDS LÄN</t>
        </is>
      </c>
      <c r="E9594" t="inlineStr">
        <is>
          <t>HÄRJEDALEN</t>
        </is>
      </c>
      <c r="G9594" t="n">
        <v>13.1</v>
      </c>
      <c r="H9594" t="n">
        <v>0</v>
      </c>
      <c r="I9594" t="n">
        <v>0</v>
      </c>
      <c r="J9594" t="n">
        <v>0</v>
      </c>
      <c r="K9594" t="n">
        <v>0</v>
      </c>
      <c r="L9594" t="n">
        <v>0</v>
      </c>
      <c r="M9594" t="n">
        <v>0</v>
      </c>
      <c r="N9594" t="n">
        <v>0</v>
      </c>
      <c r="O9594" t="n">
        <v>0</v>
      </c>
      <c r="P9594" t="n">
        <v>0</v>
      </c>
      <c r="Q9594" t="n">
        <v>0</v>
      </c>
      <c r="R9594" s="2" t="inlineStr"/>
    </row>
    <row r="9595" ht="15" customHeight="1">
      <c r="A9595" t="inlineStr">
        <is>
          <t>A 1429-2025</t>
        </is>
      </c>
      <c r="B9595" s="1" t="n">
        <v>45669.37052083333</v>
      </c>
      <c r="C9595" s="1" t="n">
        <v>46045</v>
      </c>
      <c r="D9595" t="inlineStr">
        <is>
          <t>JÄMTLANDS LÄN</t>
        </is>
      </c>
      <c r="E9595" t="inlineStr">
        <is>
          <t>STRÖMSUND</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18912-2024</t>
        </is>
      </c>
      <c r="B9596" s="1" t="n">
        <v>45426</v>
      </c>
      <c r="C9596" s="1" t="n">
        <v>46045</v>
      </c>
      <c r="D9596" t="inlineStr">
        <is>
          <t>JÄMTLANDS LÄN</t>
        </is>
      </c>
      <c r="E9596" t="inlineStr">
        <is>
          <t>STRÖMSUND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14294-2022</t>
        </is>
      </c>
      <c r="B9597" s="1" t="n">
        <v>44651.93856481482</v>
      </c>
      <c r="C9597" s="1" t="n">
        <v>46045</v>
      </c>
      <c r="D9597" t="inlineStr">
        <is>
          <t>JÄMTLANDS LÄN</t>
        </is>
      </c>
      <c r="E9597" t="inlineStr">
        <is>
          <t>STRÖMSUND</t>
        </is>
      </c>
      <c r="F9597" t="inlineStr">
        <is>
          <t>SCA</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47838-2023</t>
        </is>
      </c>
      <c r="B9598" s="1" t="n">
        <v>45204</v>
      </c>
      <c r="C9598" s="1" t="n">
        <v>46045</v>
      </c>
      <c r="D9598" t="inlineStr">
        <is>
          <t>JÄMTLANDS LÄN</t>
        </is>
      </c>
      <c r="E9598" t="inlineStr">
        <is>
          <t>KROKOM</t>
        </is>
      </c>
      <c r="G9598" t="n">
        <v>11.8</v>
      </c>
      <c r="H9598" t="n">
        <v>0</v>
      </c>
      <c r="I9598" t="n">
        <v>0</v>
      </c>
      <c r="J9598" t="n">
        <v>0</v>
      </c>
      <c r="K9598" t="n">
        <v>0</v>
      </c>
      <c r="L9598" t="n">
        <v>0</v>
      </c>
      <c r="M9598" t="n">
        <v>0</v>
      </c>
      <c r="N9598" t="n">
        <v>0</v>
      </c>
      <c r="O9598" t="n">
        <v>0</v>
      </c>
      <c r="P9598" t="n">
        <v>0</v>
      </c>
      <c r="Q9598" t="n">
        <v>0</v>
      </c>
      <c r="R9598" s="2" t="inlineStr"/>
    </row>
    <row r="9599" ht="15" customHeight="1">
      <c r="A9599" t="inlineStr">
        <is>
          <t>A 61598-2024</t>
        </is>
      </c>
      <c r="B9599" s="1" t="n">
        <v>45646.63605324074</v>
      </c>
      <c r="C9599" s="1" t="n">
        <v>46045</v>
      </c>
      <c r="D9599" t="inlineStr">
        <is>
          <t>JÄMTLANDS LÄN</t>
        </is>
      </c>
      <c r="E9599" t="inlineStr">
        <is>
          <t>RAGUNDA</t>
        </is>
      </c>
      <c r="F9599" t="inlineStr">
        <is>
          <t>SCA</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46258-2023</t>
        </is>
      </c>
      <c r="B9600" s="1" t="n">
        <v>45196.93822916667</v>
      </c>
      <c r="C9600" s="1" t="n">
        <v>46045</v>
      </c>
      <c r="D9600" t="inlineStr">
        <is>
          <t>JÄMTLANDS LÄN</t>
        </is>
      </c>
      <c r="E9600" t="inlineStr">
        <is>
          <t>STRÖMSUND</t>
        </is>
      </c>
      <c r="F9600" t="inlineStr">
        <is>
          <t>SCA</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2855-2025</t>
        </is>
      </c>
      <c r="B9601" s="1" t="n">
        <v>45678</v>
      </c>
      <c r="C9601" s="1" t="n">
        <v>46045</v>
      </c>
      <c r="D9601" t="inlineStr">
        <is>
          <t>JÄMTLANDS LÄN</t>
        </is>
      </c>
      <c r="E9601" t="inlineStr">
        <is>
          <t>BERG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7280-2024</t>
        </is>
      </c>
      <c r="B9602" s="1" t="n">
        <v>45344</v>
      </c>
      <c r="C9602" s="1" t="n">
        <v>46045</v>
      </c>
      <c r="D9602" t="inlineStr">
        <is>
          <t>JÄMTLANDS LÄN</t>
        </is>
      </c>
      <c r="E9602" t="inlineStr">
        <is>
          <t>RAGUNDA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53608-2024</t>
        </is>
      </c>
      <c r="B9603" s="1" t="n">
        <v>45614</v>
      </c>
      <c r="C9603" s="1" t="n">
        <v>46045</v>
      </c>
      <c r="D9603" t="inlineStr">
        <is>
          <t>JÄMTLANDS LÄN</t>
        </is>
      </c>
      <c r="E9603" t="inlineStr">
        <is>
          <t>BRÄCKE</t>
        </is>
      </c>
      <c r="F9603" t="inlineStr">
        <is>
          <t>SCA</t>
        </is>
      </c>
      <c r="G9603" t="n">
        <v>6.6</v>
      </c>
      <c r="H9603" t="n">
        <v>0</v>
      </c>
      <c r="I9603" t="n">
        <v>0</v>
      </c>
      <c r="J9603" t="n">
        <v>0</v>
      </c>
      <c r="K9603" t="n">
        <v>0</v>
      </c>
      <c r="L9603" t="n">
        <v>0</v>
      </c>
      <c r="M9603" t="n">
        <v>0</v>
      </c>
      <c r="N9603" t="n">
        <v>0</v>
      </c>
      <c r="O9603" t="n">
        <v>0</v>
      </c>
      <c r="P9603" t="n">
        <v>0</v>
      </c>
      <c r="Q9603" t="n">
        <v>0</v>
      </c>
      <c r="R9603" s="2" t="inlineStr"/>
    </row>
    <row r="9604" ht="15" customHeight="1">
      <c r="A9604" t="inlineStr">
        <is>
          <t>A 20625-2023</t>
        </is>
      </c>
      <c r="B9604" s="1" t="n">
        <v>45057.94351851852</v>
      </c>
      <c r="C9604" s="1" t="n">
        <v>46045</v>
      </c>
      <c r="D9604" t="inlineStr">
        <is>
          <t>JÄMTLANDS LÄN</t>
        </is>
      </c>
      <c r="E9604" t="inlineStr">
        <is>
          <t>BRÄCKE</t>
        </is>
      </c>
      <c r="F9604" t="inlineStr">
        <is>
          <t>SCA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21662-2023</t>
        </is>
      </c>
      <c r="B9605" s="1" t="n">
        <v>45063</v>
      </c>
      <c r="C9605" s="1" t="n">
        <v>46045</v>
      </c>
      <c r="D9605" t="inlineStr">
        <is>
          <t>JÄMTLANDS LÄN</t>
        </is>
      </c>
      <c r="E9605" t="inlineStr">
        <is>
          <t>RAGUNDA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61107-2024</t>
        </is>
      </c>
      <c r="B9606" s="1" t="n">
        <v>45645.55665509259</v>
      </c>
      <c r="C9606" s="1" t="n">
        <v>46045</v>
      </c>
      <c r="D9606" t="inlineStr">
        <is>
          <t>JÄMTLANDS LÄN</t>
        </is>
      </c>
      <c r="E9606" t="inlineStr">
        <is>
          <t>RAGUNDA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11310-2025</t>
        </is>
      </c>
      <c r="B9607" s="1" t="n">
        <v>45726.44832175926</v>
      </c>
      <c r="C9607" s="1" t="n">
        <v>46045</v>
      </c>
      <c r="D9607" t="inlineStr">
        <is>
          <t>JÄMTLANDS LÄN</t>
        </is>
      </c>
      <c r="E9607" t="inlineStr">
        <is>
          <t>BRÄCKE</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8133-2024</t>
        </is>
      </c>
      <c r="B9608" s="1" t="n">
        <v>45349</v>
      </c>
      <c r="C9608" s="1" t="n">
        <v>46045</v>
      </c>
      <c r="D9608" t="inlineStr">
        <is>
          <t>JÄMTLANDS LÄN</t>
        </is>
      </c>
      <c r="E9608" t="inlineStr">
        <is>
          <t>STRÖMSUND</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8178-2024</t>
        </is>
      </c>
      <c r="B9609" s="1" t="n">
        <v>45350</v>
      </c>
      <c r="C9609" s="1" t="n">
        <v>46045</v>
      </c>
      <c r="D9609" t="inlineStr">
        <is>
          <t>JÄMTLANDS LÄN</t>
        </is>
      </c>
      <c r="E9609" t="inlineStr">
        <is>
          <t>HÄRJEDALEN</t>
        </is>
      </c>
      <c r="G9609" t="n">
        <v>8.300000000000001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8215-2024</t>
        </is>
      </c>
      <c r="B9610" s="1" t="n">
        <v>45351</v>
      </c>
      <c r="C9610" s="1" t="n">
        <v>46045</v>
      </c>
      <c r="D9610" t="inlineStr">
        <is>
          <t>JÄMTLANDS LÄN</t>
        </is>
      </c>
      <c r="E9610" t="inlineStr">
        <is>
          <t>HÄRJEDALEN</t>
        </is>
      </c>
      <c r="G9610" t="n">
        <v>49.2</v>
      </c>
      <c r="H9610" t="n">
        <v>0</v>
      </c>
      <c r="I9610" t="n">
        <v>0</v>
      </c>
      <c r="J9610" t="n">
        <v>0</v>
      </c>
      <c r="K9610" t="n">
        <v>0</v>
      </c>
      <c r="L9610" t="n">
        <v>0</v>
      </c>
      <c r="M9610" t="n">
        <v>0</v>
      </c>
      <c r="N9610" t="n">
        <v>0</v>
      </c>
      <c r="O9610" t="n">
        <v>0</v>
      </c>
      <c r="P9610" t="n">
        <v>0</v>
      </c>
      <c r="Q9610" t="n">
        <v>0</v>
      </c>
      <c r="R9610" s="2" t="inlineStr"/>
    </row>
    <row r="9611" ht="15" customHeight="1">
      <c r="A9611" t="inlineStr">
        <is>
          <t>A 1201-2022</t>
        </is>
      </c>
      <c r="B9611" s="1" t="n">
        <v>44572</v>
      </c>
      <c r="C9611" s="1" t="n">
        <v>46045</v>
      </c>
      <c r="D9611" t="inlineStr">
        <is>
          <t>JÄMTLANDS LÄN</t>
        </is>
      </c>
      <c r="E9611" t="inlineStr">
        <is>
          <t>BRÄCKE</t>
        </is>
      </c>
      <c r="G9611" t="n">
        <v>13.7</v>
      </c>
      <c r="H9611" t="n">
        <v>0</v>
      </c>
      <c r="I9611" t="n">
        <v>0</v>
      </c>
      <c r="J9611" t="n">
        <v>0</v>
      </c>
      <c r="K9611" t="n">
        <v>0</v>
      </c>
      <c r="L9611" t="n">
        <v>0</v>
      </c>
      <c r="M9611" t="n">
        <v>0</v>
      </c>
      <c r="N9611" t="n">
        <v>0</v>
      </c>
      <c r="O9611" t="n">
        <v>0</v>
      </c>
      <c r="P9611" t="n">
        <v>0</v>
      </c>
      <c r="Q9611" t="n">
        <v>0</v>
      </c>
      <c r="R9611" s="2" t="inlineStr"/>
    </row>
    <row r="9612" ht="15" customHeight="1">
      <c r="A9612" t="inlineStr">
        <is>
          <t>A 22745-2023</t>
        </is>
      </c>
      <c r="B9612" s="1" t="n">
        <v>45071.94046296296</v>
      </c>
      <c r="C9612" s="1" t="n">
        <v>46045</v>
      </c>
      <c r="D9612" t="inlineStr">
        <is>
          <t>JÄMTLANDS LÄN</t>
        </is>
      </c>
      <c r="E9612" t="inlineStr">
        <is>
          <t>STRÖMSUND</t>
        </is>
      </c>
      <c r="F9612" t="inlineStr">
        <is>
          <t>SCA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7482-2022</t>
        </is>
      </c>
      <c r="B9613" s="1" t="n">
        <v>44606</v>
      </c>
      <c r="C9613" s="1" t="n">
        <v>46045</v>
      </c>
      <c r="D9613" t="inlineStr">
        <is>
          <t>JÄMTLANDS LÄN</t>
        </is>
      </c>
      <c r="E9613" t="inlineStr">
        <is>
          <t>BERG</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3865-2025</t>
        </is>
      </c>
      <c r="B9614" s="1" t="n">
        <v>45684.31815972222</v>
      </c>
      <c r="C9614" s="1" t="n">
        <v>46045</v>
      </c>
      <c r="D9614" t="inlineStr">
        <is>
          <t>JÄMTLANDS LÄN</t>
        </is>
      </c>
      <c r="E9614" t="inlineStr">
        <is>
          <t>BRÄCKE</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61085-2024</t>
        </is>
      </c>
      <c r="B9615" s="1" t="n">
        <v>45645.53202546296</v>
      </c>
      <c r="C9615" s="1" t="n">
        <v>46045</v>
      </c>
      <c r="D9615" t="inlineStr">
        <is>
          <t>JÄMTLANDS LÄN</t>
        </is>
      </c>
      <c r="E9615" t="inlineStr">
        <is>
          <t>BERG</t>
        </is>
      </c>
      <c r="F9615" t="inlineStr">
        <is>
          <t>SCA</t>
        </is>
      </c>
      <c r="G9615" t="n">
        <v>12.2</v>
      </c>
      <c r="H9615" t="n">
        <v>0</v>
      </c>
      <c r="I9615" t="n">
        <v>0</v>
      </c>
      <c r="J9615" t="n">
        <v>0</v>
      </c>
      <c r="K9615" t="n">
        <v>0</v>
      </c>
      <c r="L9615" t="n">
        <v>0</v>
      </c>
      <c r="M9615" t="n">
        <v>0</v>
      </c>
      <c r="N9615" t="n">
        <v>0</v>
      </c>
      <c r="O9615" t="n">
        <v>0</v>
      </c>
      <c r="P9615" t="n">
        <v>0</v>
      </c>
      <c r="Q9615" t="n">
        <v>0</v>
      </c>
      <c r="R9615" s="2" t="inlineStr"/>
    </row>
    <row r="9616" ht="15" customHeight="1">
      <c r="A9616" t="inlineStr">
        <is>
          <t>A 11313-2022</t>
        </is>
      </c>
      <c r="B9616" s="1" t="n">
        <v>44629.94712962963</v>
      </c>
      <c r="C9616" s="1" t="n">
        <v>46045</v>
      </c>
      <c r="D9616" t="inlineStr">
        <is>
          <t>JÄMTLANDS LÄN</t>
        </is>
      </c>
      <c r="E9616" t="inlineStr">
        <is>
          <t>BRÄCKE</t>
        </is>
      </c>
      <c r="F9616" t="inlineStr">
        <is>
          <t>SCA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5313-2025</t>
        </is>
      </c>
      <c r="B9617" s="1" t="n">
        <v>45692.51069444444</v>
      </c>
      <c r="C9617" s="1" t="n">
        <v>46045</v>
      </c>
      <c r="D9617" t="inlineStr">
        <is>
          <t>JÄMTLANDS LÄN</t>
        </is>
      </c>
      <c r="E9617" t="inlineStr">
        <is>
          <t>RAGUNDA</t>
        </is>
      </c>
      <c r="F9617" t="inlineStr">
        <is>
          <t>SCA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5340-2025</t>
        </is>
      </c>
      <c r="B9618" s="1" t="n">
        <v>45692.55248842593</v>
      </c>
      <c r="C9618" s="1" t="n">
        <v>46045</v>
      </c>
      <c r="D9618" t="inlineStr">
        <is>
          <t>JÄMTLANDS LÄN</t>
        </is>
      </c>
      <c r="E9618" t="inlineStr">
        <is>
          <t>BRÄCKE</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5357-2025</t>
        </is>
      </c>
      <c r="B9619" s="1" t="n">
        <v>45692.57326388889</v>
      </c>
      <c r="C9619" s="1" t="n">
        <v>46045</v>
      </c>
      <c r="D9619" t="inlineStr">
        <is>
          <t>JÄMTLANDS LÄN</t>
        </is>
      </c>
      <c r="E9619" t="inlineStr">
        <is>
          <t>RAGUNDA</t>
        </is>
      </c>
      <c r="F9619" t="inlineStr">
        <is>
          <t>SCA</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5907-2025</t>
        </is>
      </c>
      <c r="B9620" s="1" t="n">
        <v>45695.4046875</v>
      </c>
      <c r="C9620" s="1" t="n">
        <v>46045</v>
      </c>
      <c r="D9620" t="inlineStr">
        <is>
          <t>JÄMTLANDS LÄN</t>
        </is>
      </c>
      <c r="E9620" t="inlineStr">
        <is>
          <t>KROKOM</t>
        </is>
      </c>
      <c r="F9620" t="inlineStr">
        <is>
          <t>Övriga Aktiebolag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5910-2025</t>
        </is>
      </c>
      <c r="B9621" s="1" t="n">
        <v>45695.40684027778</v>
      </c>
      <c r="C9621" s="1" t="n">
        <v>46045</v>
      </c>
      <c r="D9621" t="inlineStr">
        <is>
          <t>JÄMTLANDS LÄN</t>
        </is>
      </c>
      <c r="E9621" t="inlineStr">
        <is>
          <t>STRÖMSUND</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5920-2025</t>
        </is>
      </c>
      <c r="B9622" s="1" t="n">
        <v>45695.42418981482</v>
      </c>
      <c r="C9622" s="1" t="n">
        <v>46045</v>
      </c>
      <c r="D9622" t="inlineStr">
        <is>
          <t>JÄMTLANDS LÄN</t>
        </is>
      </c>
      <c r="E9622" t="inlineStr">
        <is>
          <t>KROKOM</t>
        </is>
      </c>
      <c r="F9622" t="inlineStr">
        <is>
          <t>Övriga Aktiebolag</t>
        </is>
      </c>
      <c r="G9622" t="n">
        <v>6.8</v>
      </c>
      <c r="H9622" t="n">
        <v>0</v>
      </c>
      <c r="I9622" t="n">
        <v>0</v>
      </c>
      <c r="J9622" t="n">
        <v>0</v>
      </c>
      <c r="K9622" t="n">
        <v>0</v>
      </c>
      <c r="L9622" t="n">
        <v>0</v>
      </c>
      <c r="M9622" t="n">
        <v>0</v>
      </c>
      <c r="N9622" t="n">
        <v>0</v>
      </c>
      <c r="O9622" t="n">
        <v>0</v>
      </c>
      <c r="P9622" t="n">
        <v>0</v>
      </c>
      <c r="Q9622" t="n">
        <v>0</v>
      </c>
      <c r="R9622" s="2" t="inlineStr"/>
    </row>
    <row r="9623" ht="15" customHeight="1">
      <c r="A9623" t="inlineStr">
        <is>
          <t>A 43890-2024</t>
        </is>
      </c>
      <c r="B9623" s="1" t="n">
        <v>45572.40928240741</v>
      </c>
      <c r="C9623" s="1" t="n">
        <v>46045</v>
      </c>
      <c r="D9623" t="inlineStr">
        <is>
          <t>JÄMTLANDS LÄN</t>
        </is>
      </c>
      <c r="E9623" t="inlineStr">
        <is>
          <t>STRÖMSUND</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8216-2025</t>
        </is>
      </c>
      <c r="B9624" s="1" t="n">
        <v>45708.44947916667</v>
      </c>
      <c r="C9624" s="1" t="n">
        <v>46045</v>
      </c>
      <c r="D9624" t="inlineStr">
        <is>
          <t>JÄMTLANDS LÄN</t>
        </is>
      </c>
      <c r="E9624" t="inlineStr">
        <is>
          <t>ÖSTERSUND</t>
        </is>
      </c>
      <c r="F9624" t="inlineStr">
        <is>
          <t>Övriga Aktiebolag</t>
        </is>
      </c>
      <c r="G9624" t="n">
        <v>8.699999999999999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20014-2022</t>
        </is>
      </c>
      <c r="B9625" s="1" t="n">
        <v>44697.64387731482</v>
      </c>
      <c r="C9625" s="1" t="n">
        <v>46045</v>
      </c>
      <c r="D9625" t="inlineStr">
        <is>
          <t>JÄMTLANDS LÄN</t>
        </is>
      </c>
      <c r="E9625" t="inlineStr">
        <is>
          <t>BRÄCKE</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51941-2024</t>
        </is>
      </c>
      <c r="B9626" s="1" t="n">
        <v>45607.63574074074</v>
      </c>
      <c r="C9626" s="1" t="n">
        <v>46045</v>
      </c>
      <c r="D9626" t="inlineStr">
        <is>
          <t>JÄMTLANDS LÄN</t>
        </is>
      </c>
      <c r="E9626" t="inlineStr">
        <is>
          <t>STRÖMSUND</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51946-2024</t>
        </is>
      </c>
      <c r="B9627" s="1" t="n">
        <v>45607</v>
      </c>
      <c r="C9627" s="1" t="n">
        <v>46045</v>
      </c>
      <c r="D9627" t="inlineStr">
        <is>
          <t>JÄMTLANDS LÄN</t>
        </is>
      </c>
      <c r="E9627" t="inlineStr">
        <is>
          <t>STRÖMSUND</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3961-2025</t>
        </is>
      </c>
      <c r="B9628" s="1" t="n">
        <v>45684.50217592593</v>
      </c>
      <c r="C9628" s="1" t="n">
        <v>46045</v>
      </c>
      <c r="D9628" t="inlineStr">
        <is>
          <t>JÄMTLANDS LÄN</t>
        </is>
      </c>
      <c r="E9628" t="inlineStr">
        <is>
          <t>BERG</t>
        </is>
      </c>
      <c r="G9628" t="n">
        <v>14.9</v>
      </c>
      <c r="H9628" t="n">
        <v>0</v>
      </c>
      <c r="I9628" t="n">
        <v>0</v>
      </c>
      <c r="J9628" t="n">
        <v>0</v>
      </c>
      <c r="K9628" t="n">
        <v>0</v>
      </c>
      <c r="L9628" t="n">
        <v>0</v>
      </c>
      <c r="M9628" t="n">
        <v>0</v>
      </c>
      <c r="N9628" t="n">
        <v>0</v>
      </c>
      <c r="O9628" t="n">
        <v>0</v>
      </c>
      <c r="P9628" t="n">
        <v>0</v>
      </c>
      <c r="Q9628" t="n">
        <v>0</v>
      </c>
      <c r="R9628" s="2" t="inlineStr"/>
    </row>
    <row r="9629" ht="15" customHeight="1">
      <c r="A9629" t="inlineStr">
        <is>
          <t>A 3964-2025</t>
        </is>
      </c>
      <c r="B9629" s="1" t="n">
        <v>45684.50761574074</v>
      </c>
      <c r="C9629" s="1" t="n">
        <v>46045</v>
      </c>
      <c r="D9629" t="inlineStr">
        <is>
          <t>JÄMTLANDS LÄN</t>
        </is>
      </c>
      <c r="E9629" t="inlineStr">
        <is>
          <t>BERG</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56491-2024</t>
        </is>
      </c>
      <c r="B9630" s="1" t="n">
        <v>45625.48987268518</v>
      </c>
      <c r="C9630" s="1" t="n">
        <v>46045</v>
      </c>
      <c r="D9630" t="inlineStr">
        <is>
          <t>JÄMTLANDS LÄN</t>
        </is>
      </c>
      <c r="E9630" t="inlineStr">
        <is>
          <t>BRÄCKE</t>
        </is>
      </c>
      <c r="F9630" t="inlineStr">
        <is>
          <t>SCA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7311-2024</t>
        </is>
      </c>
      <c r="B9631" s="1" t="n">
        <v>45345.34219907408</v>
      </c>
      <c r="C9631" s="1" t="n">
        <v>46045</v>
      </c>
      <c r="D9631" t="inlineStr">
        <is>
          <t>JÄMTLANDS LÄN</t>
        </is>
      </c>
      <c r="E9631" t="inlineStr">
        <is>
          <t>HÄRJEDALEN</t>
        </is>
      </c>
      <c r="F9631" t="inlineStr">
        <is>
          <t>Holmen skog AB</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3615-2025</t>
        </is>
      </c>
      <c r="B9632" s="1" t="n">
        <v>45681.36493055556</v>
      </c>
      <c r="C9632" s="1" t="n">
        <v>46045</v>
      </c>
      <c r="D9632" t="inlineStr">
        <is>
          <t>JÄMTLANDS LÄN</t>
        </is>
      </c>
      <c r="E9632" t="inlineStr">
        <is>
          <t>ÖSTERSUND</t>
        </is>
      </c>
      <c r="F9632" t="inlineStr">
        <is>
          <t>SCA</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3651-2025</t>
        </is>
      </c>
      <c r="B9633" s="1" t="n">
        <v>45681.40689814815</v>
      </c>
      <c r="C9633" s="1" t="n">
        <v>46045</v>
      </c>
      <c r="D9633" t="inlineStr">
        <is>
          <t>JÄMTLANDS LÄN</t>
        </is>
      </c>
      <c r="E9633" t="inlineStr">
        <is>
          <t>ÖSTERSUND</t>
        </is>
      </c>
      <c r="F9633" t="inlineStr">
        <is>
          <t>SCA</t>
        </is>
      </c>
      <c r="G9633" t="n">
        <v>9.6</v>
      </c>
      <c r="H9633" t="n">
        <v>0</v>
      </c>
      <c r="I9633" t="n">
        <v>0</v>
      </c>
      <c r="J9633" t="n">
        <v>0</v>
      </c>
      <c r="K9633" t="n">
        <v>0</v>
      </c>
      <c r="L9633" t="n">
        <v>0</v>
      </c>
      <c r="M9633" t="n">
        <v>0</v>
      </c>
      <c r="N9633" t="n">
        <v>0</v>
      </c>
      <c r="O9633" t="n">
        <v>0</v>
      </c>
      <c r="P9633" t="n">
        <v>0</v>
      </c>
      <c r="Q9633" t="n">
        <v>0</v>
      </c>
      <c r="R9633" s="2" t="inlineStr"/>
    </row>
    <row r="9634" ht="15" customHeight="1">
      <c r="A9634" t="inlineStr">
        <is>
          <t>A 3664-2025</t>
        </is>
      </c>
      <c r="B9634" s="1" t="n">
        <v>45681.4275462963</v>
      </c>
      <c r="C9634" s="1" t="n">
        <v>46045</v>
      </c>
      <c r="D9634" t="inlineStr">
        <is>
          <t>JÄMTLANDS LÄN</t>
        </is>
      </c>
      <c r="E9634" t="inlineStr">
        <is>
          <t>ÖSTERSUND</t>
        </is>
      </c>
      <c r="F9634" t="inlineStr">
        <is>
          <t>SCA</t>
        </is>
      </c>
      <c r="G9634" t="n">
        <v>10.9</v>
      </c>
      <c r="H9634" t="n">
        <v>0</v>
      </c>
      <c r="I9634" t="n">
        <v>0</v>
      </c>
      <c r="J9634" t="n">
        <v>0</v>
      </c>
      <c r="K9634" t="n">
        <v>0</v>
      </c>
      <c r="L9634" t="n">
        <v>0</v>
      </c>
      <c r="M9634" t="n">
        <v>0</v>
      </c>
      <c r="N9634" t="n">
        <v>0</v>
      </c>
      <c r="O9634" t="n">
        <v>0</v>
      </c>
      <c r="P9634" t="n">
        <v>0</v>
      </c>
      <c r="Q9634" t="n">
        <v>0</v>
      </c>
      <c r="R9634" s="2" t="inlineStr"/>
    </row>
    <row r="9635" ht="15" customHeight="1">
      <c r="A9635" t="inlineStr">
        <is>
          <t>A 41940-2024</t>
        </is>
      </c>
      <c r="B9635" s="1" t="n">
        <v>45561.57373842593</v>
      </c>
      <c r="C9635" s="1" t="n">
        <v>46045</v>
      </c>
      <c r="D9635" t="inlineStr">
        <is>
          <t>JÄMTLANDS LÄN</t>
        </is>
      </c>
      <c r="E9635" t="inlineStr">
        <is>
          <t>STRÖMSUND</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42393-2024</t>
        </is>
      </c>
      <c r="B9636" s="1" t="n">
        <v>45565.32449074074</v>
      </c>
      <c r="C9636" s="1" t="n">
        <v>46045</v>
      </c>
      <c r="D9636" t="inlineStr">
        <is>
          <t>JÄMTLANDS LÄN</t>
        </is>
      </c>
      <c r="E9636" t="inlineStr">
        <is>
          <t>KROKOM</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44494-2024</t>
        </is>
      </c>
      <c r="B9637" s="1" t="n">
        <v>45574.39081018518</v>
      </c>
      <c r="C9637" s="1" t="n">
        <v>46045</v>
      </c>
      <c r="D9637" t="inlineStr">
        <is>
          <t>JÄMTLANDS LÄN</t>
        </is>
      </c>
      <c r="E9637" t="inlineStr">
        <is>
          <t>RAGUNDA</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12983-2025</t>
        </is>
      </c>
      <c r="B9638" s="1" t="n">
        <v>45734.4633912037</v>
      </c>
      <c r="C9638" s="1" t="n">
        <v>46045</v>
      </c>
      <c r="D9638" t="inlineStr">
        <is>
          <t>JÄMTLANDS LÄN</t>
        </is>
      </c>
      <c r="E9638" t="inlineStr">
        <is>
          <t>RAGUNDA</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12428-2025</t>
        </is>
      </c>
      <c r="B9639" s="1" t="n">
        <v>45730</v>
      </c>
      <c r="C9639" s="1" t="n">
        <v>46045</v>
      </c>
      <c r="D9639" t="inlineStr">
        <is>
          <t>JÄMTLANDS LÄN</t>
        </is>
      </c>
      <c r="E9639" t="inlineStr">
        <is>
          <t>HÄRJEDALEN</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12429-2025</t>
        </is>
      </c>
      <c r="B9640" s="1" t="n">
        <v>45730.45930555555</v>
      </c>
      <c r="C9640" s="1" t="n">
        <v>46045</v>
      </c>
      <c r="D9640" t="inlineStr">
        <is>
          <t>JÄMTLANDS LÄN</t>
        </is>
      </c>
      <c r="E9640" t="inlineStr">
        <is>
          <t>ÖSTERSUND</t>
        </is>
      </c>
      <c r="F9640" t="inlineStr">
        <is>
          <t>Övriga Aktiebolag</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30478-2022</t>
        </is>
      </c>
      <c r="B9641" s="1" t="n">
        <v>44761</v>
      </c>
      <c r="C9641" s="1" t="n">
        <v>46045</v>
      </c>
      <c r="D9641" t="inlineStr">
        <is>
          <t>JÄMTLANDS LÄN</t>
        </is>
      </c>
      <c r="E9641" t="inlineStr">
        <is>
          <t>BRÄCKE</t>
        </is>
      </c>
      <c r="F9641" t="inlineStr">
        <is>
          <t>SCA</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30480-2022</t>
        </is>
      </c>
      <c r="B9642" s="1" t="n">
        <v>44761.94019675926</v>
      </c>
      <c r="C9642" s="1" t="n">
        <v>46045</v>
      </c>
      <c r="D9642" t="inlineStr">
        <is>
          <t>JÄMTLANDS LÄN</t>
        </is>
      </c>
      <c r="E9642" t="inlineStr">
        <is>
          <t>BRÄCKE</t>
        </is>
      </c>
      <c r="F9642" t="inlineStr">
        <is>
          <t>SCA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40567-2023</t>
        </is>
      </c>
      <c r="B9643" s="1" t="n">
        <v>45170.46134259259</v>
      </c>
      <c r="C9643" s="1" t="n">
        <v>46045</v>
      </c>
      <c r="D9643" t="inlineStr">
        <is>
          <t>JÄMTLANDS LÄN</t>
        </is>
      </c>
      <c r="E9643" t="inlineStr">
        <is>
          <t>HÄRJEDALEN</t>
        </is>
      </c>
      <c r="F9643" t="inlineStr">
        <is>
          <t>Holmen skog AB</t>
        </is>
      </c>
      <c r="G9643" t="n">
        <v>19.4</v>
      </c>
      <c r="H9643" t="n">
        <v>0</v>
      </c>
      <c r="I9643" t="n">
        <v>0</v>
      </c>
      <c r="J9643" t="n">
        <v>0</v>
      </c>
      <c r="K9643" t="n">
        <v>0</v>
      </c>
      <c r="L9643" t="n">
        <v>0</v>
      </c>
      <c r="M9643" t="n">
        <v>0</v>
      </c>
      <c r="N9643" t="n">
        <v>0</v>
      </c>
      <c r="O9643" t="n">
        <v>0</v>
      </c>
      <c r="P9643" t="n">
        <v>0</v>
      </c>
      <c r="Q9643" t="n">
        <v>0</v>
      </c>
      <c r="R9643" s="2" t="inlineStr"/>
    </row>
    <row r="9644" ht="15" customHeight="1">
      <c r="A9644" t="inlineStr">
        <is>
          <t>A 13740-2025</t>
        </is>
      </c>
      <c r="B9644" s="1" t="n">
        <v>45736</v>
      </c>
      <c r="C9644" s="1" t="n">
        <v>46045</v>
      </c>
      <c r="D9644" t="inlineStr">
        <is>
          <t>JÄMTLANDS LÄN</t>
        </is>
      </c>
      <c r="E9644" t="inlineStr">
        <is>
          <t>STRÖMSUND</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13777-2025</t>
        </is>
      </c>
      <c r="B9645" s="1" t="n">
        <v>45736</v>
      </c>
      <c r="C9645" s="1" t="n">
        <v>46045</v>
      </c>
      <c r="D9645" t="inlineStr">
        <is>
          <t>JÄMTLANDS LÄN</t>
        </is>
      </c>
      <c r="E9645" t="inlineStr">
        <is>
          <t>STRÖMSUND</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43090-2024</t>
        </is>
      </c>
      <c r="B9646" s="1" t="n">
        <v>45567.52511574074</v>
      </c>
      <c r="C9646" s="1" t="n">
        <v>46045</v>
      </c>
      <c r="D9646" t="inlineStr">
        <is>
          <t>JÄMTLANDS LÄN</t>
        </is>
      </c>
      <c r="E9646" t="inlineStr">
        <is>
          <t>STRÖMSUND</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39626-2024</t>
        </is>
      </c>
      <c r="B9647" s="1" t="n">
        <v>45552.44096064815</v>
      </c>
      <c r="C9647" s="1" t="n">
        <v>46045</v>
      </c>
      <c r="D9647" t="inlineStr">
        <is>
          <t>JÄMTLANDS LÄN</t>
        </is>
      </c>
      <c r="E9647" t="inlineStr">
        <is>
          <t>RAGUNDA</t>
        </is>
      </c>
      <c r="G9647" t="n">
        <v>23.5</v>
      </c>
      <c r="H9647" t="n">
        <v>0</v>
      </c>
      <c r="I9647" t="n">
        <v>0</v>
      </c>
      <c r="J9647" t="n">
        <v>0</v>
      </c>
      <c r="K9647" t="n">
        <v>0</v>
      </c>
      <c r="L9647" t="n">
        <v>0</v>
      </c>
      <c r="M9647" t="n">
        <v>0</v>
      </c>
      <c r="N9647" t="n">
        <v>0</v>
      </c>
      <c r="O9647" t="n">
        <v>0</v>
      </c>
      <c r="P9647" t="n">
        <v>0</v>
      </c>
      <c r="Q9647" t="n">
        <v>0</v>
      </c>
      <c r="R9647" s="2" t="inlineStr"/>
    </row>
    <row r="9648" ht="15" customHeight="1">
      <c r="A9648" t="inlineStr">
        <is>
          <t>A 40221-2024</t>
        </is>
      </c>
      <c r="B9648" s="1" t="n">
        <v>45554.59550925926</v>
      </c>
      <c r="C9648" s="1" t="n">
        <v>46045</v>
      </c>
      <c r="D9648" t="inlineStr">
        <is>
          <t>JÄMTLANDS LÄN</t>
        </is>
      </c>
      <c r="E9648" t="inlineStr">
        <is>
          <t>KROKOM</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52676-2023</t>
        </is>
      </c>
      <c r="B9649" s="1" t="n">
        <v>45225.6890625</v>
      </c>
      <c r="C9649" s="1" t="n">
        <v>46045</v>
      </c>
      <c r="D9649" t="inlineStr">
        <is>
          <t>JÄMTLANDS LÄN</t>
        </is>
      </c>
      <c r="E9649" t="inlineStr">
        <is>
          <t>ÅRE</t>
        </is>
      </c>
      <c r="F9649" t="inlineStr">
        <is>
          <t>Övriga Aktiebolag</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45631-2024</t>
        </is>
      </c>
      <c r="B9650" s="1" t="n">
        <v>45579.47052083333</v>
      </c>
      <c r="C9650" s="1" t="n">
        <v>46045</v>
      </c>
      <c r="D9650" t="inlineStr">
        <is>
          <t>JÄMTLANDS LÄN</t>
        </is>
      </c>
      <c r="E9650" t="inlineStr">
        <is>
          <t>RAGUNDA</t>
        </is>
      </c>
      <c r="G9650" t="n">
        <v>15.1</v>
      </c>
      <c r="H9650" t="n">
        <v>0</v>
      </c>
      <c r="I9650" t="n">
        <v>0</v>
      </c>
      <c r="J9650" t="n">
        <v>0</v>
      </c>
      <c r="K9650" t="n">
        <v>0</v>
      </c>
      <c r="L9650" t="n">
        <v>0</v>
      </c>
      <c r="M9650" t="n">
        <v>0</v>
      </c>
      <c r="N9650" t="n">
        <v>0</v>
      </c>
      <c r="O9650" t="n">
        <v>0</v>
      </c>
      <c r="P9650" t="n">
        <v>0</v>
      </c>
      <c r="Q9650" t="n">
        <v>0</v>
      </c>
      <c r="R9650" s="2" t="inlineStr"/>
    </row>
    <row r="9651" ht="15" customHeight="1">
      <c r="A9651" t="inlineStr">
        <is>
          <t>A 15027-2025</t>
        </is>
      </c>
      <c r="B9651" s="1" t="n">
        <v>45743.65709490741</v>
      </c>
      <c r="C9651" s="1" t="n">
        <v>46045</v>
      </c>
      <c r="D9651" t="inlineStr">
        <is>
          <t>JÄMTLANDS LÄN</t>
        </is>
      </c>
      <c r="E9651" t="inlineStr">
        <is>
          <t>STRÖMSUND</t>
        </is>
      </c>
      <c r="F9651" t="inlineStr">
        <is>
          <t>SCA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12216-2023</t>
        </is>
      </c>
      <c r="B9652" s="1" t="n">
        <v>44998</v>
      </c>
      <c r="C9652" s="1" t="n">
        <v>46045</v>
      </c>
      <c r="D9652" t="inlineStr">
        <is>
          <t>JÄMTLANDS LÄN</t>
        </is>
      </c>
      <c r="E9652" t="inlineStr">
        <is>
          <t>ÅRE</t>
        </is>
      </c>
      <c r="G9652" t="n">
        <v>11.8</v>
      </c>
      <c r="H9652" t="n">
        <v>0</v>
      </c>
      <c r="I9652" t="n">
        <v>0</v>
      </c>
      <c r="J9652" t="n">
        <v>0</v>
      </c>
      <c r="K9652" t="n">
        <v>0</v>
      </c>
      <c r="L9652" t="n">
        <v>0</v>
      </c>
      <c r="M9652" t="n">
        <v>0</v>
      </c>
      <c r="N9652" t="n">
        <v>0</v>
      </c>
      <c r="O9652" t="n">
        <v>0</v>
      </c>
      <c r="P9652" t="n">
        <v>0</v>
      </c>
      <c r="Q9652" t="n">
        <v>0</v>
      </c>
      <c r="R9652" s="2" t="inlineStr"/>
    </row>
    <row r="9653" ht="15" customHeight="1">
      <c r="A9653" t="inlineStr">
        <is>
          <t>A 30284-2023</t>
        </is>
      </c>
      <c r="B9653" s="1" t="n">
        <v>45110</v>
      </c>
      <c r="C9653" s="1" t="n">
        <v>46045</v>
      </c>
      <c r="D9653" t="inlineStr">
        <is>
          <t>JÄMTLANDS LÄN</t>
        </is>
      </c>
      <c r="E9653" t="inlineStr">
        <is>
          <t>STRÖMSUND</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62131-2024</t>
        </is>
      </c>
      <c r="B9654" s="1" t="n">
        <v>45656</v>
      </c>
      <c r="C9654" s="1" t="n">
        <v>46045</v>
      </c>
      <c r="D9654" t="inlineStr">
        <is>
          <t>JÄMTLANDS LÄN</t>
        </is>
      </c>
      <c r="E9654" t="inlineStr">
        <is>
          <t>KROKOM</t>
        </is>
      </c>
      <c r="F9654" t="inlineStr">
        <is>
          <t>Övriga Aktiebolag</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62135-2024</t>
        </is>
      </c>
      <c r="B9655" s="1" t="n">
        <v>45656.64223379629</v>
      </c>
      <c r="C9655" s="1" t="n">
        <v>46045</v>
      </c>
      <c r="D9655" t="inlineStr">
        <is>
          <t>JÄMTLANDS LÄN</t>
        </is>
      </c>
      <c r="E9655" t="inlineStr">
        <is>
          <t>RAGUNDA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15310-2025</t>
        </is>
      </c>
      <c r="B9656" s="1" t="n">
        <v>45746.79134259259</v>
      </c>
      <c r="C9656" s="1" t="n">
        <v>46045</v>
      </c>
      <c r="D9656" t="inlineStr">
        <is>
          <t>JÄMTLANDS LÄN</t>
        </is>
      </c>
      <c r="E9656" t="inlineStr">
        <is>
          <t>KROKOM</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30435-2023</t>
        </is>
      </c>
      <c r="B9657" s="1" t="n">
        <v>45111</v>
      </c>
      <c r="C9657" s="1" t="n">
        <v>46045</v>
      </c>
      <c r="D9657" t="inlineStr">
        <is>
          <t>JÄMTLANDS LÄN</t>
        </is>
      </c>
      <c r="E9657" t="inlineStr">
        <is>
          <t>HÄRJEDALEN</t>
        </is>
      </c>
      <c r="G9657" t="n">
        <v>20</v>
      </c>
      <c r="H9657" t="n">
        <v>0</v>
      </c>
      <c r="I9657" t="n">
        <v>0</v>
      </c>
      <c r="J9657" t="n">
        <v>0</v>
      </c>
      <c r="K9657" t="n">
        <v>0</v>
      </c>
      <c r="L9657" t="n">
        <v>0</v>
      </c>
      <c r="M9657" t="n">
        <v>0</v>
      </c>
      <c r="N9657" t="n">
        <v>0</v>
      </c>
      <c r="O9657" t="n">
        <v>0</v>
      </c>
      <c r="P9657" t="n">
        <v>0</v>
      </c>
      <c r="Q9657" t="n">
        <v>0</v>
      </c>
      <c r="R9657" s="2" t="inlineStr"/>
    </row>
    <row r="9658" ht="15" customHeight="1">
      <c r="A9658" t="inlineStr">
        <is>
          <t>A 8802-2022</t>
        </is>
      </c>
      <c r="B9658" s="1" t="n">
        <v>44614</v>
      </c>
      <c r="C9658" s="1" t="n">
        <v>46045</v>
      </c>
      <c r="D9658" t="inlineStr">
        <is>
          <t>JÄMTLANDS LÄN</t>
        </is>
      </c>
      <c r="E9658" t="inlineStr">
        <is>
          <t>RAGUNDA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54447-2023</t>
        </is>
      </c>
      <c r="B9659" s="1" t="n">
        <v>45233.44271990741</v>
      </c>
      <c r="C9659" s="1" t="n">
        <v>46045</v>
      </c>
      <c r="D9659" t="inlineStr">
        <is>
          <t>JÄMTLANDS LÄN</t>
        </is>
      </c>
      <c r="E9659" t="inlineStr">
        <is>
          <t>BRÄCKE</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5377-2025</t>
        </is>
      </c>
      <c r="B9660" s="1" t="n">
        <v>45692</v>
      </c>
      <c r="C9660" s="1" t="n">
        <v>46045</v>
      </c>
      <c r="D9660" t="inlineStr">
        <is>
          <t>JÄMTLANDS LÄN</t>
        </is>
      </c>
      <c r="E9660" t="inlineStr">
        <is>
          <t>STRÖMSUND</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13149-2025</t>
        </is>
      </c>
      <c r="B9661" s="1" t="n">
        <v>45735.34424768519</v>
      </c>
      <c r="C9661" s="1" t="n">
        <v>46045</v>
      </c>
      <c r="D9661" t="inlineStr">
        <is>
          <t>JÄMTLANDS LÄN</t>
        </is>
      </c>
      <c r="E9661" t="inlineStr">
        <is>
          <t>BERG</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13165-2025</t>
        </is>
      </c>
      <c r="B9662" s="1" t="n">
        <v>45735.36491898148</v>
      </c>
      <c r="C9662" s="1" t="n">
        <v>46045</v>
      </c>
      <c r="D9662" t="inlineStr">
        <is>
          <t>JÄMTLANDS LÄN</t>
        </is>
      </c>
      <c r="E9662" t="inlineStr">
        <is>
          <t>BRÄCKE</t>
        </is>
      </c>
      <c r="F9662" t="inlineStr">
        <is>
          <t>SCA</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9796-2025</t>
        </is>
      </c>
      <c r="B9663" s="1" t="n">
        <v>45716.55237268518</v>
      </c>
      <c r="C9663" s="1" t="n">
        <v>46045</v>
      </c>
      <c r="D9663" t="inlineStr">
        <is>
          <t>JÄMTLANDS LÄN</t>
        </is>
      </c>
      <c r="E9663" t="inlineStr">
        <is>
          <t>KROKOM</t>
        </is>
      </c>
      <c r="F9663" t="inlineStr">
        <is>
          <t>SCA</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9799-2025</t>
        </is>
      </c>
      <c r="B9664" s="1" t="n">
        <v>45716.55253472222</v>
      </c>
      <c r="C9664" s="1" t="n">
        <v>46045</v>
      </c>
      <c r="D9664" t="inlineStr">
        <is>
          <t>JÄMTLANDS LÄN</t>
        </is>
      </c>
      <c r="E9664" t="inlineStr">
        <is>
          <t>STRÖMSUND</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9823-2025</t>
        </is>
      </c>
      <c r="B9665" s="1" t="n">
        <v>45716</v>
      </c>
      <c r="C9665" s="1" t="n">
        <v>46045</v>
      </c>
      <c r="D9665" t="inlineStr">
        <is>
          <t>JÄMTLANDS LÄN</t>
        </is>
      </c>
      <c r="E9665" t="inlineStr">
        <is>
          <t>RAGUNDA</t>
        </is>
      </c>
      <c r="F9665" t="inlineStr">
        <is>
          <t>SCA</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9847-2025</t>
        </is>
      </c>
      <c r="B9666" s="1" t="n">
        <v>45716.61487268518</v>
      </c>
      <c r="C9666" s="1" t="n">
        <v>46045</v>
      </c>
      <c r="D9666" t="inlineStr">
        <is>
          <t>JÄMTLANDS LÄN</t>
        </is>
      </c>
      <c r="E9666" t="inlineStr">
        <is>
          <t>RAGUNDA</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55033-2024</t>
        </is>
      </c>
      <c r="B9667" s="1" t="n">
        <v>45621.38193287037</v>
      </c>
      <c r="C9667" s="1" t="n">
        <v>46045</v>
      </c>
      <c r="D9667" t="inlineStr">
        <is>
          <t>JÄMTLANDS LÄN</t>
        </is>
      </c>
      <c r="E9667" t="inlineStr">
        <is>
          <t>ÅRE</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19098-2025</t>
        </is>
      </c>
      <c r="B9668" s="1" t="n">
        <v>45768.29289351852</v>
      </c>
      <c r="C9668" s="1" t="n">
        <v>46045</v>
      </c>
      <c r="D9668" t="inlineStr">
        <is>
          <t>JÄMTLANDS LÄN</t>
        </is>
      </c>
      <c r="E9668" t="inlineStr">
        <is>
          <t>HÄRJEDALEN</t>
        </is>
      </c>
      <c r="F9668" t="inlineStr">
        <is>
          <t>Sveaskog</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19101-2025</t>
        </is>
      </c>
      <c r="B9669" s="1" t="n">
        <v>45768.30086805556</v>
      </c>
      <c r="C9669" s="1" t="n">
        <v>46045</v>
      </c>
      <c r="D9669" t="inlineStr">
        <is>
          <t>JÄMTLANDS LÄN</t>
        </is>
      </c>
      <c r="E9669" t="inlineStr">
        <is>
          <t>HÄRJEDALEN</t>
        </is>
      </c>
      <c r="F9669" t="inlineStr">
        <is>
          <t>Sveaskog</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31958-2023</t>
        </is>
      </c>
      <c r="B9670" s="1" t="n">
        <v>45119.38675925926</v>
      </c>
      <c r="C9670" s="1" t="n">
        <v>46045</v>
      </c>
      <c r="D9670" t="inlineStr">
        <is>
          <t>JÄMTLANDS LÄN</t>
        </is>
      </c>
      <c r="E9670" t="inlineStr">
        <is>
          <t>HÄRJEDALEN</t>
        </is>
      </c>
      <c r="F9670" t="inlineStr">
        <is>
          <t>Bergvik skog väst AB</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57250-2024</t>
        </is>
      </c>
      <c r="B9671" s="1" t="n">
        <v>45628</v>
      </c>
      <c r="C9671" s="1" t="n">
        <v>46045</v>
      </c>
      <c r="D9671" t="inlineStr">
        <is>
          <t>JÄMTLANDS LÄN</t>
        </is>
      </c>
      <c r="E9671" t="inlineStr">
        <is>
          <t>STRÖMSUND</t>
        </is>
      </c>
      <c r="G9671" t="n">
        <v>14.1</v>
      </c>
      <c r="H9671" t="n">
        <v>0</v>
      </c>
      <c r="I9671" t="n">
        <v>0</v>
      </c>
      <c r="J9671" t="n">
        <v>0</v>
      </c>
      <c r="K9671" t="n">
        <v>0</v>
      </c>
      <c r="L9671" t="n">
        <v>0</v>
      </c>
      <c r="M9671" t="n">
        <v>0</v>
      </c>
      <c r="N9671" t="n">
        <v>0</v>
      </c>
      <c r="O9671" t="n">
        <v>0</v>
      </c>
      <c r="P9671" t="n">
        <v>0</v>
      </c>
      <c r="Q9671" t="n">
        <v>0</v>
      </c>
      <c r="R9671" s="2" t="inlineStr"/>
    </row>
    <row r="9672" ht="15" customHeight="1">
      <c r="A9672" t="inlineStr">
        <is>
          <t>A 69568-2021</t>
        </is>
      </c>
      <c r="B9672" s="1" t="n">
        <v>44531</v>
      </c>
      <c r="C9672" s="1" t="n">
        <v>46045</v>
      </c>
      <c r="D9672" t="inlineStr">
        <is>
          <t>JÄMTLANDS LÄN</t>
        </is>
      </c>
      <c r="E9672" t="inlineStr">
        <is>
          <t>ÅRE</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13494-2024</t>
        </is>
      </c>
      <c r="B9673" s="1" t="n">
        <v>45387</v>
      </c>
      <c r="C9673" s="1" t="n">
        <v>46045</v>
      </c>
      <c r="D9673" t="inlineStr">
        <is>
          <t>JÄMTLANDS LÄN</t>
        </is>
      </c>
      <c r="E9673" t="inlineStr">
        <is>
          <t>STRÖMSUND</t>
        </is>
      </c>
      <c r="F9673" t="inlineStr">
        <is>
          <t>Kommuner</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53085-2024</t>
        </is>
      </c>
      <c r="B9674" s="1" t="n">
        <v>45611.51072916666</v>
      </c>
      <c r="C9674" s="1" t="n">
        <v>46045</v>
      </c>
      <c r="D9674" t="inlineStr">
        <is>
          <t>JÄMTLANDS LÄN</t>
        </is>
      </c>
      <c r="E9674" t="inlineStr">
        <is>
          <t>BERG</t>
        </is>
      </c>
      <c r="F9674" t="inlineStr">
        <is>
          <t>SCA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11914-2024</t>
        </is>
      </c>
      <c r="B9675" s="1" t="n">
        <v>45376.58467592593</v>
      </c>
      <c r="C9675" s="1" t="n">
        <v>46045</v>
      </c>
      <c r="D9675" t="inlineStr">
        <is>
          <t>JÄMTLANDS LÄN</t>
        </is>
      </c>
      <c r="E9675" t="inlineStr">
        <is>
          <t>ÅRE</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20987-2023</t>
        </is>
      </c>
      <c r="B9676" s="1" t="n">
        <v>45056</v>
      </c>
      <c r="C9676" s="1" t="n">
        <v>46045</v>
      </c>
      <c r="D9676" t="inlineStr">
        <is>
          <t>JÄMTLANDS LÄN</t>
        </is>
      </c>
      <c r="E9676" t="inlineStr">
        <is>
          <t>RAGUNDA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20994-2023</t>
        </is>
      </c>
      <c r="B9677" s="1" t="n">
        <v>45056</v>
      </c>
      <c r="C9677" s="1" t="n">
        <v>46045</v>
      </c>
      <c r="D9677" t="inlineStr">
        <is>
          <t>JÄMTLANDS LÄN</t>
        </is>
      </c>
      <c r="E9677" t="inlineStr">
        <is>
          <t>RAGUNDA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6490-2022</t>
        </is>
      </c>
      <c r="B9678" s="1" t="n">
        <v>44601</v>
      </c>
      <c r="C9678" s="1" t="n">
        <v>46045</v>
      </c>
      <c r="D9678" t="inlineStr">
        <is>
          <t>JÄMTLANDS LÄN</t>
        </is>
      </c>
      <c r="E9678" t="inlineStr">
        <is>
          <t>RAGUNDA</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12468-2022</t>
        </is>
      </c>
      <c r="B9679" s="1" t="n">
        <v>44638.44958333333</v>
      </c>
      <c r="C9679" s="1" t="n">
        <v>46045</v>
      </c>
      <c r="D9679" t="inlineStr">
        <is>
          <t>JÄMTLANDS LÄN</t>
        </is>
      </c>
      <c r="E9679" t="inlineStr">
        <is>
          <t>HÄRJEDALEN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59846-2024</t>
        </is>
      </c>
      <c r="B9680" s="1" t="n">
        <v>45639.67769675926</v>
      </c>
      <c r="C9680" s="1" t="n">
        <v>46045</v>
      </c>
      <c r="D9680" t="inlineStr">
        <is>
          <t>JÄMTLANDS LÄN</t>
        </is>
      </c>
      <c r="E9680" t="inlineStr">
        <is>
          <t>BRÄCKE</t>
        </is>
      </c>
      <c r="F9680" t="inlineStr">
        <is>
          <t>SCA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27365-2023</t>
        </is>
      </c>
      <c r="B9681" s="1" t="n">
        <v>45096.93800925926</v>
      </c>
      <c r="C9681" s="1" t="n">
        <v>46045</v>
      </c>
      <c r="D9681" t="inlineStr">
        <is>
          <t>JÄMTLANDS LÄN</t>
        </is>
      </c>
      <c r="E9681" t="inlineStr">
        <is>
          <t>STRÖMSUND</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60911-2024</t>
        </is>
      </c>
      <c r="B9682" s="1" t="n">
        <v>45644</v>
      </c>
      <c r="C9682" s="1" t="n">
        <v>46045</v>
      </c>
      <c r="D9682" t="inlineStr">
        <is>
          <t>JÄMTLANDS LÄN</t>
        </is>
      </c>
      <c r="E9682" t="inlineStr">
        <is>
          <t>STRÖMSUND</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23287-2024</t>
        </is>
      </c>
      <c r="B9683" s="1" t="n">
        <v>45453.42041666667</v>
      </c>
      <c r="C9683" s="1" t="n">
        <v>46045</v>
      </c>
      <c r="D9683" t="inlineStr">
        <is>
          <t>JÄMTLANDS LÄN</t>
        </is>
      </c>
      <c r="E9683" t="inlineStr">
        <is>
          <t>RAGUNDA</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53740-2024</t>
        </is>
      </c>
      <c r="B9684" s="1" t="n">
        <v>45615.47091435185</v>
      </c>
      <c r="C9684" s="1" t="n">
        <v>46045</v>
      </c>
      <c r="D9684" t="inlineStr">
        <is>
          <t>JÄMTLANDS LÄN</t>
        </is>
      </c>
      <c r="E9684" t="inlineStr">
        <is>
          <t>RAGUNDA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5140-2025</t>
        </is>
      </c>
      <c r="B9685" s="1" t="n">
        <v>45691</v>
      </c>
      <c r="C9685" s="1" t="n">
        <v>46045</v>
      </c>
      <c r="D9685" t="inlineStr">
        <is>
          <t>JÄMTLANDS LÄN</t>
        </is>
      </c>
      <c r="E9685" t="inlineStr">
        <is>
          <t>ÖSTERSUND</t>
        </is>
      </c>
      <c r="F9685" t="inlineStr">
        <is>
          <t>Övriga Aktiebolag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1323-2025</t>
        </is>
      </c>
      <c r="B9686" s="1" t="n">
        <v>45667.57217592592</v>
      </c>
      <c r="C9686" s="1" t="n">
        <v>46045</v>
      </c>
      <c r="D9686" t="inlineStr">
        <is>
          <t>JÄMTLANDS LÄN</t>
        </is>
      </c>
      <c r="E9686" t="inlineStr">
        <is>
          <t>KROKOM</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1325-2025</t>
        </is>
      </c>
      <c r="B9687" s="1" t="n">
        <v>45667.57342592593</v>
      </c>
      <c r="C9687" s="1" t="n">
        <v>46045</v>
      </c>
      <c r="D9687" t="inlineStr">
        <is>
          <t>JÄMTLANDS LÄN</t>
        </is>
      </c>
      <c r="E9687" t="inlineStr">
        <is>
          <t>RAGUNDA</t>
        </is>
      </c>
      <c r="F9687" t="inlineStr">
        <is>
          <t>SCA</t>
        </is>
      </c>
      <c r="G9687" t="n">
        <v>20.2</v>
      </c>
      <c r="H9687" t="n">
        <v>0</v>
      </c>
      <c r="I9687" t="n">
        <v>0</v>
      </c>
      <c r="J9687" t="n">
        <v>0</v>
      </c>
      <c r="K9687" t="n">
        <v>0</v>
      </c>
      <c r="L9687" t="n">
        <v>0</v>
      </c>
      <c r="M9687" t="n">
        <v>0</v>
      </c>
      <c r="N9687" t="n">
        <v>0</v>
      </c>
      <c r="O9687" t="n">
        <v>0</v>
      </c>
      <c r="P9687" t="n">
        <v>0</v>
      </c>
      <c r="Q9687" t="n">
        <v>0</v>
      </c>
      <c r="R9687" s="2" t="inlineStr"/>
    </row>
    <row r="9688" ht="15" customHeight="1">
      <c r="A9688" t="inlineStr">
        <is>
          <t>A 1326-2025</t>
        </is>
      </c>
      <c r="B9688" s="1" t="n">
        <v>45667.57347222222</v>
      </c>
      <c r="C9688" s="1" t="n">
        <v>46045</v>
      </c>
      <c r="D9688" t="inlineStr">
        <is>
          <t>JÄMTLANDS LÄN</t>
        </is>
      </c>
      <c r="E9688" t="inlineStr">
        <is>
          <t>RAGUNDA</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29703-2023</t>
        </is>
      </c>
      <c r="B9689" s="1" t="n">
        <v>45107</v>
      </c>
      <c r="C9689" s="1" t="n">
        <v>46045</v>
      </c>
      <c r="D9689" t="inlineStr">
        <is>
          <t>JÄMTLANDS LÄN</t>
        </is>
      </c>
      <c r="E9689" t="inlineStr">
        <is>
          <t>ÖSTERSUND</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6524-2025</t>
        </is>
      </c>
      <c r="B9690" s="1" t="n">
        <v>45699.66576388889</v>
      </c>
      <c r="C9690" s="1" t="n">
        <v>46045</v>
      </c>
      <c r="D9690" t="inlineStr">
        <is>
          <t>JÄMTLANDS LÄN</t>
        </is>
      </c>
      <c r="E9690" t="inlineStr">
        <is>
          <t>KROKOM</t>
        </is>
      </c>
      <c r="F9690" t="inlineStr">
        <is>
          <t>Övriga Aktiebolag</t>
        </is>
      </c>
      <c r="G9690" t="n">
        <v>51.6</v>
      </c>
      <c r="H9690" t="n">
        <v>0</v>
      </c>
      <c r="I9690" t="n">
        <v>0</v>
      </c>
      <c r="J9690" t="n">
        <v>0</v>
      </c>
      <c r="K9690" t="n">
        <v>0</v>
      </c>
      <c r="L9690" t="n">
        <v>0</v>
      </c>
      <c r="M9690" t="n">
        <v>0</v>
      </c>
      <c r="N9690" t="n">
        <v>0</v>
      </c>
      <c r="O9690" t="n">
        <v>0</v>
      </c>
      <c r="P9690" t="n">
        <v>0</v>
      </c>
      <c r="Q9690" t="n">
        <v>0</v>
      </c>
      <c r="R9690" s="2" t="inlineStr"/>
    </row>
    <row r="9691" ht="15" customHeight="1">
      <c r="A9691" t="inlineStr">
        <is>
          <t>A 59946-2024</t>
        </is>
      </c>
      <c r="B9691" s="1" t="n">
        <v>45642.33616898148</v>
      </c>
      <c r="C9691" s="1" t="n">
        <v>46045</v>
      </c>
      <c r="D9691" t="inlineStr">
        <is>
          <t>JÄMTLANDS LÄN</t>
        </is>
      </c>
      <c r="E9691" t="inlineStr">
        <is>
          <t>HÄRJEDALEN</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19485-2023</t>
        </is>
      </c>
      <c r="B9692" s="1" t="n">
        <v>45049</v>
      </c>
      <c r="C9692" s="1" t="n">
        <v>46045</v>
      </c>
      <c r="D9692" t="inlineStr">
        <is>
          <t>JÄMTLANDS LÄN</t>
        </is>
      </c>
      <c r="E9692" t="inlineStr">
        <is>
          <t>BRÄCKE</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21054-2023</t>
        </is>
      </c>
      <c r="B9693" s="1" t="n">
        <v>45061.61002314815</v>
      </c>
      <c r="C9693" s="1" t="n">
        <v>46045</v>
      </c>
      <c r="D9693" t="inlineStr">
        <is>
          <t>JÄMTLANDS LÄN</t>
        </is>
      </c>
      <c r="E9693" t="inlineStr">
        <is>
          <t>HÄRJEDALEN</t>
        </is>
      </c>
      <c r="F9693" t="inlineStr">
        <is>
          <t>Sveaskog</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13249-2025</t>
        </is>
      </c>
      <c r="B9694" s="1" t="n">
        <v>45735.48996527777</v>
      </c>
      <c r="C9694" s="1" t="n">
        <v>46045</v>
      </c>
      <c r="D9694" t="inlineStr">
        <is>
          <t>JÄMTLANDS LÄN</t>
        </is>
      </c>
      <c r="E9694" t="inlineStr">
        <is>
          <t>BRÄCKE</t>
        </is>
      </c>
      <c r="F9694" t="inlineStr">
        <is>
          <t>SCA</t>
        </is>
      </c>
      <c r="G9694" t="n">
        <v>8.9</v>
      </c>
      <c r="H9694" t="n">
        <v>0</v>
      </c>
      <c r="I9694" t="n">
        <v>0</v>
      </c>
      <c r="J9694" t="n">
        <v>0</v>
      </c>
      <c r="K9694" t="n">
        <v>0</v>
      </c>
      <c r="L9694" t="n">
        <v>0</v>
      </c>
      <c r="M9694" t="n">
        <v>0</v>
      </c>
      <c r="N9694" t="n">
        <v>0</v>
      </c>
      <c r="O9694" t="n">
        <v>0</v>
      </c>
      <c r="P9694" t="n">
        <v>0</v>
      </c>
      <c r="Q9694" t="n">
        <v>0</v>
      </c>
      <c r="R9694" s="2" t="inlineStr"/>
    </row>
    <row r="9695" ht="15" customHeight="1">
      <c r="A9695" t="inlineStr">
        <is>
          <t>A 46046-2023</t>
        </is>
      </c>
      <c r="B9695" s="1" t="n">
        <v>45190</v>
      </c>
      <c r="C9695" s="1" t="n">
        <v>46045</v>
      </c>
      <c r="D9695" t="inlineStr">
        <is>
          <t>JÄMTLANDS LÄN</t>
        </is>
      </c>
      <c r="E9695" t="inlineStr">
        <is>
          <t>KROKOM</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4423-2025</t>
        </is>
      </c>
      <c r="B9696" s="1" t="n">
        <v>45686</v>
      </c>
      <c r="C9696" s="1" t="n">
        <v>46045</v>
      </c>
      <c r="D9696" t="inlineStr">
        <is>
          <t>JÄMTLANDS LÄN</t>
        </is>
      </c>
      <c r="E9696" t="inlineStr">
        <is>
          <t>KROKOM</t>
        </is>
      </c>
      <c r="G9696" t="n">
        <v>17.3</v>
      </c>
      <c r="H9696" t="n">
        <v>0</v>
      </c>
      <c r="I9696" t="n">
        <v>0</v>
      </c>
      <c r="J9696" t="n">
        <v>0</v>
      </c>
      <c r="K9696" t="n">
        <v>0</v>
      </c>
      <c r="L9696" t="n">
        <v>0</v>
      </c>
      <c r="M9696" t="n">
        <v>0</v>
      </c>
      <c r="N9696" t="n">
        <v>0</v>
      </c>
      <c r="O9696" t="n">
        <v>0</v>
      </c>
      <c r="P9696" t="n">
        <v>0</v>
      </c>
      <c r="Q9696" t="n">
        <v>0</v>
      </c>
      <c r="R9696" s="2" t="inlineStr"/>
    </row>
    <row r="9697" ht="15" customHeight="1">
      <c r="A9697" t="inlineStr">
        <is>
          <t>A 5167-2025</t>
        </is>
      </c>
      <c r="B9697" s="1" t="n">
        <v>45691.61539351852</v>
      </c>
      <c r="C9697" s="1" t="n">
        <v>46045</v>
      </c>
      <c r="D9697" t="inlineStr">
        <is>
          <t>JÄMTLANDS LÄN</t>
        </is>
      </c>
      <c r="E9697" t="inlineStr">
        <is>
          <t>BRÄCKE</t>
        </is>
      </c>
      <c r="F9697" t="inlineStr">
        <is>
          <t>SCA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14696-2022</t>
        </is>
      </c>
      <c r="B9698" s="1" t="n">
        <v>44655</v>
      </c>
      <c r="C9698" s="1" t="n">
        <v>46045</v>
      </c>
      <c r="D9698" t="inlineStr">
        <is>
          <t>JÄMTLANDS LÄN</t>
        </is>
      </c>
      <c r="E9698" t="inlineStr">
        <is>
          <t>RAGUNDA</t>
        </is>
      </c>
      <c r="F9698" t="inlineStr">
        <is>
          <t>SCA</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41653-2024</t>
        </is>
      </c>
      <c r="B9699" s="1" t="n">
        <v>45560.64059027778</v>
      </c>
      <c r="C9699" s="1" t="n">
        <v>46045</v>
      </c>
      <c r="D9699" t="inlineStr">
        <is>
          <t>JÄMTLANDS LÄN</t>
        </is>
      </c>
      <c r="E9699" t="inlineStr">
        <is>
          <t>ÅRE</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41686-2024</t>
        </is>
      </c>
      <c r="B9700" s="1" t="n">
        <v>45560.67016203704</v>
      </c>
      <c r="C9700" s="1" t="n">
        <v>46045</v>
      </c>
      <c r="D9700" t="inlineStr">
        <is>
          <t>JÄMTLANDS LÄN</t>
        </is>
      </c>
      <c r="E9700" t="inlineStr">
        <is>
          <t>ÅRE</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16310-2025</t>
        </is>
      </c>
      <c r="B9701" s="1" t="n">
        <v>45751.34716435185</v>
      </c>
      <c r="C9701" s="1" t="n">
        <v>46045</v>
      </c>
      <c r="D9701" t="inlineStr">
        <is>
          <t>JÄMTLANDS LÄN</t>
        </is>
      </c>
      <c r="E9701" t="inlineStr">
        <is>
          <t>STRÖMSUND</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16317-2025</t>
        </is>
      </c>
      <c r="B9702" s="1" t="n">
        <v>45751.3480787037</v>
      </c>
      <c r="C9702" s="1" t="n">
        <v>46045</v>
      </c>
      <c r="D9702" t="inlineStr">
        <is>
          <t>JÄMTLANDS LÄN</t>
        </is>
      </c>
      <c r="E9702" t="inlineStr">
        <is>
          <t>BRÄCKE</t>
        </is>
      </c>
      <c r="F9702" t="inlineStr">
        <is>
          <t>SCA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18429-2025</t>
        </is>
      </c>
      <c r="B9703" s="1" t="n">
        <v>45762.63375</v>
      </c>
      <c r="C9703" s="1" t="n">
        <v>46045</v>
      </c>
      <c r="D9703" t="inlineStr">
        <is>
          <t>JÄMTLANDS LÄN</t>
        </is>
      </c>
      <c r="E9703" t="inlineStr">
        <is>
          <t>ÖSTERSUND</t>
        </is>
      </c>
      <c r="F9703" t="inlineStr">
        <is>
          <t>Sveaskog</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50344-2024</t>
        </is>
      </c>
      <c r="B9704" s="1" t="n">
        <v>45600</v>
      </c>
      <c r="C9704" s="1" t="n">
        <v>46045</v>
      </c>
      <c r="D9704" t="inlineStr">
        <is>
          <t>JÄMTLANDS LÄN</t>
        </is>
      </c>
      <c r="E9704" t="inlineStr">
        <is>
          <t>ÅRE</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2247-2025</t>
        </is>
      </c>
      <c r="B9705" s="1" t="n">
        <v>45673.49039351852</v>
      </c>
      <c r="C9705" s="1" t="n">
        <v>46045</v>
      </c>
      <c r="D9705" t="inlineStr">
        <is>
          <t>JÄMTLANDS LÄN</t>
        </is>
      </c>
      <c r="E9705" t="inlineStr">
        <is>
          <t>BERG</t>
        </is>
      </c>
      <c r="F9705" t="inlineStr">
        <is>
          <t>SCA</t>
        </is>
      </c>
      <c r="G9705" t="n">
        <v>13.3</v>
      </c>
      <c r="H9705" t="n">
        <v>0</v>
      </c>
      <c r="I9705" t="n">
        <v>0</v>
      </c>
      <c r="J9705" t="n">
        <v>0</v>
      </c>
      <c r="K9705" t="n">
        <v>0</v>
      </c>
      <c r="L9705" t="n">
        <v>0</v>
      </c>
      <c r="M9705" t="n">
        <v>0</v>
      </c>
      <c r="N9705" t="n">
        <v>0</v>
      </c>
      <c r="O9705" t="n">
        <v>0</v>
      </c>
      <c r="P9705" t="n">
        <v>0</v>
      </c>
      <c r="Q9705" t="n">
        <v>0</v>
      </c>
      <c r="R9705" s="2" t="inlineStr"/>
    </row>
    <row r="9706" ht="15" customHeight="1">
      <c r="A9706" t="inlineStr">
        <is>
          <t>A 51432-2023</t>
        </is>
      </c>
      <c r="B9706" s="1" t="n">
        <v>45219.96431712963</v>
      </c>
      <c r="C9706" s="1" t="n">
        <v>46045</v>
      </c>
      <c r="D9706" t="inlineStr">
        <is>
          <t>JÄMTLANDS LÄN</t>
        </is>
      </c>
      <c r="E9706" t="inlineStr">
        <is>
          <t>BRÄCKE</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51479-2023</t>
        </is>
      </c>
      <c r="B9707" s="1" t="n">
        <v>45221.92429398148</v>
      </c>
      <c r="C9707" s="1" t="n">
        <v>46045</v>
      </c>
      <c r="D9707" t="inlineStr">
        <is>
          <t>JÄMTLANDS LÄN</t>
        </is>
      </c>
      <c r="E9707" t="inlineStr">
        <is>
          <t>ÖSTERSUND</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11933-2022</t>
        </is>
      </c>
      <c r="B9708" s="1" t="n">
        <v>44635</v>
      </c>
      <c r="C9708" s="1" t="n">
        <v>46045</v>
      </c>
      <c r="D9708" t="inlineStr">
        <is>
          <t>JÄMTLANDS LÄN</t>
        </is>
      </c>
      <c r="E9708" t="inlineStr">
        <is>
          <t>ÖSTERSUND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27946-2021</t>
        </is>
      </c>
      <c r="B9709" s="1" t="n">
        <v>44354</v>
      </c>
      <c r="C9709" s="1" t="n">
        <v>46045</v>
      </c>
      <c r="D9709" t="inlineStr">
        <is>
          <t>JÄMTLANDS LÄN</t>
        </is>
      </c>
      <c r="E9709" t="inlineStr">
        <is>
          <t>ÅRE</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16462-2024</t>
        </is>
      </c>
      <c r="B9710" s="1" t="n">
        <v>45408.05018518519</v>
      </c>
      <c r="C9710" s="1" t="n">
        <v>46045</v>
      </c>
      <c r="D9710" t="inlineStr">
        <is>
          <t>JÄMTLANDS LÄN</t>
        </is>
      </c>
      <c r="E9710" t="inlineStr">
        <is>
          <t>BRÄCKE</t>
        </is>
      </c>
      <c r="F9710" t="inlineStr">
        <is>
          <t>SCA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41784-2023</t>
        </is>
      </c>
      <c r="B9711" s="1" t="n">
        <v>45176</v>
      </c>
      <c r="C9711" s="1" t="n">
        <v>46045</v>
      </c>
      <c r="D9711" t="inlineStr">
        <is>
          <t>JÄMTLANDS LÄN</t>
        </is>
      </c>
      <c r="E9711" t="inlineStr">
        <is>
          <t>KROKOM</t>
        </is>
      </c>
      <c r="F9711" t="inlineStr">
        <is>
          <t>Övriga Aktiebolag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16490-2024</t>
        </is>
      </c>
      <c r="B9712" s="1" t="n">
        <v>45408.3474074074</v>
      </c>
      <c r="C9712" s="1" t="n">
        <v>46045</v>
      </c>
      <c r="D9712" t="inlineStr">
        <is>
          <t>JÄMTLANDS LÄN</t>
        </is>
      </c>
      <c r="E9712" t="inlineStr">
        <is>
          <t>STRÖMSUND</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5785-2025</t>
        </is>
      </c>
      <c r="B9713" s="1" t="n">
        <v>45694.64416666667</v>
      </c>
      <c r="C9713" s="1" t="n">
        <v>46045</v>
      </c>
      <c r="D9713" t="inlineStr">
        <is>
          <t>JÄMTLANDS LÄN</t>
        </is>
      </c>
      <c r="E9713" t="inlineStr">
        <is>
          <t>KROKOM</t>
        </is>
      </c>
      <c r="F9713" t="inlineStr">
        <is>
          <t>Övriga Aktiebolag</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17182-2024</t>
        </is>
      </c>
      <c r="B9714" s="1" t="n">
        <v>45412.97984953703</v>
      </c>
      <c r="C9714" s="1" t="n">
        <v>46045</v>
      </c>
      <c r="D9714" t="inlineStr">
        <is>
          <t>JÄMTLANDS LÄN</t>
        </is>
      </c>
      <c r="E9714" t="inlineStr">
        <is>
          <t>BRÄCKE</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18362-2025</t>
        </is>
      </c>
      <c r="B9715" s="1" t="n">
        <v>45762.55899305556</v>
      </c>
      <c r="C9715" s="1" t="n">
        <v>46045</v>
      </c>
      <c r="D9715" t="inlineStr">
        <is>
          <t>JÄMTLANDS LÄN</t>
        </is>
      </c>
      <c r="E9715" t="inlineStr">
        <is>
          <t>HÄRJEDALEN</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45952-2023</t>
        </is>
      </c>
      <c r="B9716" s="1" t="n">
        <v>45195</v>
      </c>
      <c r="C9716" s="1" t="n">
        <v>46045</v>
      </c>
      <c r="D9716" t="inlineStr">
        <is>
          <t>JÄMTLANDS LÄN</t>
        </is>
      </c>
      <c r="E9716" t="inlineStr">
        <is>
          <t>RAGUNDA</t>
        </is>
      </c>
      <c r="F9716" t="inlineStr">
        <is>
          <t>SCA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45954-2023</t>
        </is>
      </c>
      <c r="B9717" s="1" t="n">
        <v>45195.94679398148</v>
      </c>
      <c r="C9717" s="1" t="n">
        <v>46045</v>
      </c>
      <c r="D9717" t="inlineStr">
        <is>
          <t>JÄMTLANDS LÄN</t>
        </is>
      </c>
      <c r="E9717" t="inlineStr">
        <is>
          <t>RAGUNDA</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45955-2023</t>
        </is>
      </c>
      <c r="B9718" s="1" t="n">
        <v>45195.94685185186</v>
      </c>
      <c r="C9718" s="1" t="n">
        <v>46045</v>
      </c>
      <c r="D9718" t="inlineStr">
        <is>
          <t>JÄMTLANDS LÄN</t>
        </is>
      </c>
      <c r="E9718" t="inlineStr">
        <is>
          <t>RAGUNDA</t>
        </is>
      </c>
      <c r="F9718" t="inlineStr">
        <is>
          <t>SCA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45980-2023</t>
        </is>
      </c>
      <c r="B9719" s="1" t="n">
        <v>45189</v>
      </c>
      <c r="C9719" s="1" t="n">
        <v>46045</v>
      </c>
      <c r="D9719" t="inlineStr">
        <is>
          <t>JÄMTLANDS LÄN</t>
        </is>
      </c>
      <c r="E9719" t="inlineStr">
        <is>
          <t>ÖSTERSUND</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59325-2024</t>
        </is>
      </c>
      <c r="B9720" s="1" t="n">
        <v>45636</v>
      </c>
      <c r="C9720" s="1" t="n">
        <v>46045</v>
      </c>
      <c r="D9720" t="inlineStr">
        <is>
          <t>JÄMTLANDS LÄN</t>
        </is>
      </c>
      <c r="E9720" t="inlineStr">
        <is>
          <t>ÅRE</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53660-2024</t>
        </is>
      </c>
      <c r="B9721" s="1" t="n">
        <v>45615.31297453704</v>
      </c>
      <c r="C9721" s="1" t="n">
        <v>46045</v>
      </c>
      <c r="D9721" t="inlineStr">
        <is>
          <t>JÄMTLANDS LÄN</t>
        </is>
      </c>
      <c r="E9721" t="inlineStr">
        <is>
          <t>ÖSTERSUND</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10144-2022</t>
        </is>
      </c>
      <c r="B9722" s="1" t="n">
        <v>44621</v>
      </c>
      <c r="C9722" s="1" t="n">
        <v>46045</v>
      </c>
      <c r="D9722" t="inlineStr">
        <is>
          <t>JÄMTLANDS LÄN</t>
        </is>
      </c>
      <c r="E9722" t="inlineStr">
        <is>
          <t>STRÖMSUND</t>
        </is>
      </c>
      <c r="F9722" t="inlineStr">
        <is>
          <t>SCA</t>
        </is>
      </c>
      <c r="G9722" t="n">
        <v>7.3</v>
      </c>
      <c r="H9722" t="n">
        <v>0</v>
      </c>
      <c r="I9722" t="n">
        <v>0</v>
      </c>
      <c r="J9722" t="n">
        <v>0</v>
      </c>
      <c r="K9722" t="n">
        <v>0</v>
      </c>
      <c r="L9722" t="n">
        <v>0</v>
      </c>
      <c r="M9722" t="n">
        <v>0</v>
      </c>
      <c r="N9722" t="n">
        <v>0</v>
      </c>
      <c r="O9722" t="n">
        <v>0</v>
      </c>
      <c r="P9722" t="n">
        <v>0</v>
      </c>
      <c r="Q9722" t="n">
        <v>0</v>
      </c>
      <c r="R9722" s="2" t="inlineStr"/>
    </row>
    <row r="9723" ht="15" customHeight="1">
      <c r="A9723" t="inlineStr">
        <is>
          <t>A 19566-2024</t>
        </is>
      </c>
      <c r="B9723" s="1" t="n">
        <v>45429.92313657407</v>
      </c>
      <c r="C9723" s="1" t="n">
        <v>46045</v>
      </c>
      <c r="D9723" t="inlineStr">
        <is>
          <t>JÄMTLANDS LÄN</t>
        </is>
      </c>
      <c r="E9723" t="inlineStr">
        <is>
          <t>ÖSTERSUND</t>
        </is>
      </c>
      <c r="G9723" t="n">
        <v>0</v>
      </c>
      <c r="H9723" t="n">
        <v>0</v>
      </c>
      <c r="I9723" t="n">
        <v>0</v>
      </c>
      <c r="J9723" t="n">
        <v>0</v>
      </c>
      <c r="K9723" t="n">
        <v>0</v>
      </c>
      <c r="L9723" t="n">
        <v>0</v>
      </c>
      <c r="M9723" t="n">
        <v>0</v>
      </c>
      <c r="N9723" t="n">
        <v>0</v>
      </c>
      <c r="O9723" t="n">
        <v>0</v>
      </c>
      <c r="P9723" t="n">
        <v>0</v>
      </c>
      <c r="Q9723" t="n">
        <v>0</v>
      </c>
      <c r="R9723" s="2" t="inlineStr"/>
    </row>
    <row r="9724" ht="15" customHeight="1">
      <c r="A9724" t="inlineStr">
        <is>
          <t>A 8787-2022</t>
        </is>
      </c>
      <c r="B9724" s="1" t="n">
        <v>44614</v>
      </c>
      <c r="C9724" s="1" t="n">
        <v>46045</v>
      </c>
      <c r="D9724" t="inlineStr">
        <is>
          <t>JÄMTLANDS LÄN</t>
        </is>
      </c>
      <c r="E9724" t="inlineStr">
        <is>
          <t>RAGUNDA</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25883-2022</t>
        </is>
      </c>
      <c r="B9725" s="1" t="n">
        <v>44733</v>
      </c>
      <c r="C9725" s="1" t="n">
        <v>46045</v>
      </c>
      <c r="D9725" t="inlineStr">
        <is>
          <t>JÄMTLANDS LÄN</t>
        </is>
      </c>
      <c r="E9725" t="inlineStr">
        <is>
          <t>BRÄCKE</t>
        </is>
      </c>
      <c r="F9725" t="inlineStr">
        <is>
          <t>Övriga Aktiebolag</t>
        </is>
      </c>
      <c r="G9725" t="n">
        <v>23.4</v>
      </c>
      <c r="H9725" t="n">
        <v>0</v>
      </c>
      <c r="I9725" t="n">
        <v>0</v>
      </c>
      <c r="J9725" t="n">
        <v>0</v>
      </c>
      <c r="K9725" t="n">
        <v>0</v>
      </c>
      <c r="L9725" t="n">
        <v>0</v>
      </c>
      <c r="M9725" t="n">
        <v>0</v>
      </c>
      <c r="N9725" t="n">
        <v>0</v>
      </c>
      <c r="O9725" t="n">
        <v>0</v>
      </c>
      <c r="P9725" t="n">
        <v>0</v>
      </c>
      <c r="Q9725" t="n">
        <v>0</v>
      </c>
      <c r="R9725" s="2" t="inlineStr"/>
    </row>
    <row r="9726" ht="15" customHeight="1">
      <c r="A9726" t="inlineStr">
        <is>
          <t>A 5308-2025</t>
        </is>
      </c>
      <c r="B9726" s="1" t="n">
        <v>45692.49008101852</v>
      </c>
      <c r="C9726" s="1" t="n">
        <v>46045</v>
      </c>
      <c r="D9726" t="inlineStr">
        <is>
          <t>JÄMTLANDS LÄN</t>
        </is>
      </c>
      <c r="E9726" t="inlineStr">
        <is>
          <t>RAGUNDA</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54975-2024</t>
        </is>
      </c>
      <c r="B9727" s="1" t="n">
        <v>45620.67667824074</v>
      </c>
      <c r="C9727" s="1" t="n">
        <v>46045</v>
      </c>
      <c r="D9727" t="inlineStr">
        <is>
          <t>JÄMTLANDS LÄN</t>
        </is>
      </c>
      <c r="E9727" t="inlineStr">
        <is>
          <t>KROKOM</t>
        </is>
      </c>
      <c r="G9727" t="n">
        <v>24.1</v>
      </c>
      <c r="H9727" t="n">
        <v>0</v>
      </c>
      <c r="I9727" t="n">
        <v>0</v>
      </c>
      <c r="J9727" t="n">
        <v>0</v>
      </c>
      <c r="K9727" t="n">
        <v>0</v>
      </c>
      <c r="L9727" t="n">
        <v>0</v>
      </c>
      <c r="M9727" t="n">
        <v>0</v>
      </c>
      <c r="N9727" t="n">
        <v>0</v>
      </c>
      <c r="O9727" t="n">
        <v>0</v>
      </c>
      <c r="P9727" t="n">
        <v>0</v>
      </c>
      <c r="Q9727" t="n">
        <v>0</v>
      </c>
      <c r="R9727" s="2" t="inlineStr"/>
    </row>
    <row r="9728" ht="15" customHeight="1">
      <c r="A9728" t="inlineStr">
        <is>
          <t>A 45253-2023</t>
        </is>
      </c>
      <c r="B9728" s="1" t="n">
        <v>45187</v>
      </c>
      <c r="C9728" s="1" t="n">
        <v>46045</v>
      </c>
      <c r="D9728" t="inlineStr">
        <is>
          <t>JÄMTLANDS LÄN</t>
        </is>
      </c>
      <c r="E9728" t="inlineStr">
        <is>
          <t>RAGUNDA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53993-2023</t>
        </is>
      </c>
      <c r="B9729" s="1" t="n">
        <v>45231</v>
      </c>
      <c r="C9729" s="1" t="n">
        <v>46045</v>
      </c>
      <c r="D9729" t="inlineStr">
        <is>
          <t>JÄMTLANDS LÄN</t>
        </is>
      </c>
      <c r="E9729" t="inlineStr">
        <is>
          <t>HÄRJEDALEN</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54043-2023</t>
        </is>
      </c>
      <c r="B9730" s="1" t="n">
        <v>45231</v>
      </c>
      <c r="C9730" s="1" t="n">
        <v>46045</v>
      </c>
      <c r="D9730" t="inlineStr">
        <is>
          <t>JÄMTLANDS LÄN</t>
        </is>
      </c>
      <c r="E9730" t="inlineStr">
        <is>
          <t>KROKOM</t>
        </is>
      </c>
      <c r="F9730" t="inlineStr">
        <is>
          <t>SCA</t>
        </is>
      </c>
      <c r="G9730" t="n">
        <v>6.5</v>
      </c>
      <c r="H9730" t="n">
        <v>0</v>
      </c>
      <c r="I9730" t="n">
        <v>0</v>
      </c>
      <c r="J9730" t="n">
        <v>0</v>
      </c>
      <c r="K9730" t="n">
        <v>0</v>
      </c>
      <c r="L9730" t="n">
        <v>0</v>
      </c>
      <c r="M9730" t="n">
        <v>0</v>
      </c>
      <c r="N9730" t="n">
        <v>0</v>
      </c>
      <c r="O9730" t="n">
        <v>0</v>
      </c>
      <c r="P9730" t="n">
        <v>0</v>
      </c>
      <c r="Q9730" t="n">
        <v>0</v>
      </c>
      <c r="R9730" s="2" t="inlineStr"/>
    </row>
    <row r="9731" ht="15" customHeight="1">
      <c r="A9731" t="inlineStr">
        <is>
          <t>A 292-2025</t>
        </is>
      </c>
      <c r="B9731" s="1" t="n">
        <v>45660.53174768519</v>
      </c>
      <c r="C9731" s="1" t="n">
        <v>46045</v>
      </c>
      <c r="D9731" t="inlineStr">
        <is>
          <t>JÄMTLANDS LÄN</t>
        </is>
      </c>
      <c r="E9731" t="inlineStr">
        <is>
          <t>STRÖMSUND</t>
        </is>
      </c>
      <c r="F9731" t="inlineStr">
        <is>
          <t>SCA</t>
        </is>
      </c>
      <c r="G9731" t="n">
        <v>10.5</v>
      </c>
      <c r="H9731" t="n">
        <v>0</v>
      </c>
      <c r="I9731" t="n">
        <v>0</v>
      </c>
      <c r="J9731" t="n">
        <v>0</v>
      </c>
      <c r="K9731" t="n">
        <v>0</v>
      </c>
      <c r="L9731" t="n">
        <v>0</v>
      </c>
      <c r="M9731" t="n">
        <v>0</v>
      </c>
      <c r="N9731" t="n">
        <v>0</v>
      </c>
      <c r="O9731" t="n">
        <v>0</v>
      </c>
      <c r="P9731" t="n">
        <v>0</v>
      </c>
      <c r="Q9731" t="n">
        <v>0</v>
      </c>
      <c r="R9731" s="2" t="inlineStr"/>
    </row>
    <row r="9732" ht="15" customHeight="1">
      <c r="A9732" t="inlineStr">
        <is>
          <t>A 2728-2025</t>
        </is>
      </c>
      <c r="B9732" s="1" t="n">
        <v>45677.44273148148</v>
      </c>
      <c r="C9732" s="1" t="n">
        <v>46045</v>
      </c>
      <c r="D9732" t="inlineStr">
        <is>
          <t>JÄMTLANDS LÄN</t>
        </is>
      </c>
      <c r="E9732" t="inlineStr">
        <is>
          <t>HÄRJEDALEN</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692-2025</t>
        </is>
      </c>
      <c r="B9733" s="1" t="n">
        <v>45662</v>
      </c>
      <c r="C9733" s="1" t="n">
        <v>46045</v>
      </c>
      <c r="D9733" t="inlineStr">
        <is>
          <t>JÄMTLANDS LÄN</t>
        </is>
      </c>
      <c r="E9733" t="inlineStr">
        <is>
          <t>KROKOM</t>
        </is>
      </c>
      <c r="G9733" t="n">
        <v>20</v>
      </c>
      <c r="H9733" t="n">
        <v>0</v>
      </c>
      <c r="I9733" t="n">
        <v>0</v>
      </c>
      <c r="J9733" t="n">
        <v>0</v>
      </c>
      <c r="K9733" t="n">
        <v>0</v>
      </c>
      <c r="L9733" t="n">
        <v>0</v>
      </c>
      <c r="M9733" t="n">
        <v>0</v>
      </c>
      <c r="N9733" t="n">
        <v>0</v>
      </c>
      <c r="O9733" t="n">
        <v>0</v>
      </c>
      <c r="P9733" t="n">
        <v>0</v>
      </c>
      <c r="Q9733" t="n">
        <v>0</v>
      </c>
      <c r="R9733" s="2" t="inlineStr"/>
    </row>
    <row r="9734" ht="15" customHeight="1">
      <c r="A9734" t="inlineStr">
        <is>
          <t>A 2533-2025</t>
        </is>
      </c>
      <c r="B9734" s="1" t="n">
        <v>45674.61496527777</v>
      </c>
      <c r="C9734" s="1" t="n">
        <v>46045</v>
      </c>
      <c r="D9734" t="inlineStr">
        <is>
          <t>JÄMTLANDS LÄN</t>
        </is>
      </c>
      <c r="E9734" t="inlineStr">
        <is>
          <t>STRÖMSUND</t>
        </is>
      </c>
      <c r="F9734" t="inlineStr">
        <is>
          <t>SCA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24726-2022</t>
        </is>
      </c>
      <c r="B9735" s="1" t="n">
        <v>44727</v>
      </c>
      <c r="C9735" s="1" t="n">
        <v>46045</v>
      </c>
      <c r="D9735" t="inlineStr">
        <is>
          <t>JÄMTLANDS LÄN</t>
        </is>
      </c>
      <c r="E9735" t="inlineStr">
        <is>
          <t>BRÄCKE</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55197-2024</t>
        </is>
      </c>
      <c r="B9736" s="1" t="n">
        <v>45621.55234953704</v>
      </c>
      <c r="C9736" s="1" t="n">
        <v>46045</v>
      </c>
      <c r="D9736" t="inlineStr">
        <is>
          <t>JÄMTLANDS LÄN</t>
        </is>
      </c>
      <c r="E9736" t="inlineStr">
        <is>
          <t>STRÖMSUND</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4272-2025</t>
        </is>
      </c>
      <c r="B9737" s="1" t="n">
        <v>45685</v>
      </c>
      <c r="C9737" s="1" t="n">
        <v>46045</v>
      </c>
      <c r="D9737" t="inlineStr">
        <is>
          <t>JÄMTLANDS LÄN</t>
        </is>
      </c>
      <c r="E9737" t="inlineStr">
        <is>
          <t>ÅRE</t>
        </is>
      </c>
      <c r="F9737" t="inlineStr">
        <is>
          <t>Övriga Aktiebolag</t>
        </is>
      </c>
      <c r="G9737" t="n">
        <v>16.6</v>
      </c>
      <c r="H9737" t="n">
        <v>0</v>
      </c>
      <c r="I9737" t="n">
        <v>0</v>
      </c>
      <c r="J9737" t="n">
        <v>0</v>
      </c>
      <c r="K9737" t="n">
        <v>0</v>
      </c>
      <c r="L9737" t="n">
        <v>0</v>
      </c>
      <c r="M9737" t="n">
        <v>0</v>
      </c>
      <c r="N9737" t="n">
        <v>0</v>
      </c>
      <c r="O9737" t="n">
        <v>0</v>
      </c>
      <c r="P9737" t="n">
        <v>0</v>
      </c>
      <c r="Q9737" t="n">
        <v>0</v>
      </c>
      <c r="R9737" s="2" t="inlineStr"/>
    </row>
    <row r="9738" ht="15" customHeight="1">
      <c r="A9738" t="inlineStr">
        <is>
          <t>A 3104-2025</t>
        </is>
      </c>
      <c r="B9738" s="1" t="n">
        <v>45678.67761574074</v>
      </c>
      <c r="C9738" s="1" t="n">
        <v>46045</v>
      </c>
      <c r="D9738" t="inlineStr">
        <is>
          <t>JÄMTLANDS LÄN</t>
        </is>
      </c>
      <c r="E9738" t="inlineStr">
        <is>
          <t>RAGUNDA</t>
        </is>
      </c>
      <c r="F9738" t="inlineStr">
        <is>
          <t>SCA</t>
        </is>
      </c>
      <c r="G9738" t="n">
        <v>46.2</v>
      </c>
      <c r="H9738" t="n">
        <v>0</v>
      </c>
      <c r="I9738" t="n">
        <v>0</v>
      </c>
      <c r="J9738" t="n">
        <v>0</v>
      </c>
      <c r="K9738" t="n">
        <v>0</v>
      </c>
      <c r="L9738" t="n">
        <v>0</v>
      </c>
      <c r="M9738" t="n">
        <v>0</v>
      </c>
      <c r="N9738" t="n">
        <v>0</v>
      </c>
      <c r="O9738" t="n">
        <v>0</v>
      </c>
      <c r="P9738" t="n">
        <v>0</v>
      </c>
      <c r="Q9738" t="n">
        <v>0</v>
      </c>
      <c r="R9738" s="2" t="inlineStr"/>
    </row>
    <row r="9739" ht="15" customHeight="1">
      <c r="A9739" t="inlineStr">
        <is>
          <t>A 30685-2024</t>
        </is>
      </c>
      <c r="B9739" s="1" t="n">
        <v>45495.95159722222</v>
      </c>
      <c r="C9739" s="1" t="n">
        <v>46045</v>
      </c>
      <c r="D9739" t="inlineStr">
        <is>
          <t>JÄMTLANDS LÄN</t>
        </is>
      </c>
      <c r="E9739" t="inlineStr">
        <is>
          <t>BRÄCKE</t>
        </is>
      </c>
      <c r="F9739" t="inlineStr">
        <is>
          <t>SCA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18531-2021</t>
        </is>
      </c>
      <c r="B9740" s="1" t="n">
        <v>44306</v>
      </c>
      <c r="C9740" s="1" t="n">
        <v>46045</v>
      </c>
      <c r="D9740" t="inlineStr">
        <is>
          <t>JÄMTLANDS LÄN</t>
        </is>
      </c>
      <c r="E9740" t="inlineStr">
        <is>
          <t>ÅRE</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21011-2024</t>
        </is>
      </c>
      <c r="B9741" s="1" t="n">
        <v>45439.62893518519</v>
      </c>
      <c r="C9741" s="1" t="n">
        <v>46045</v>
      </c>
      <c r="D9741" t="inlineStr">
        <is>
          <t>JÄMTLANDS LÄN</t>
        </is>
      </c>
      <c r="E9741" t="inlineStr">
        <is>
          <t>HÄRJEDALEN</t>
        </is>
      </c>
      <c r="G9741" t="n">
        <v>92.40000000000001</v>
      </c>
      <c r="H9741" t="n">
        <v>0</v>
      </c>
      <c r="I9741" t="n">
        <v>0</v>
      </c>
      <c r="J9741" t="n">
        <v>0</v>
      </c>
      <c r="K9741" t="n">
        <v>0</v>
      </c>
      <c r="L9741" t="n">
        <v>0</v>
      </c>
      <c r="M9741" t="n">
        <v>0</v>
      </c>
      <c r="N9741" t="n">
        <v>0</v>
      </c>
      <c r="O9741" t="n">
        <v>0</v>
      </c>
      <c r="P9741" t="n">
        <v>0</v>
      </c>
      <c r="Q9741" t="n">
        <v>0</v>
      </c>
      <c r="R9741" s="2" t="inlineStr"/>
    </row>
    <row r="9742" ht="15" customHeight="1">
      <c r="A9742" t="inlineStr">
        <is>
          <t>A 5527-2025</t>
        </is>
      </c>
      <c r="B9742" s="1" t="n">
        <v>45693.42859953704</v>
      </c>
      <c r="C9742" s="1" t="n">
        <v>46045</v>
      </c>
      <c r="D9742" t="inlineStr">
        <is>
          <t>JÄMTLANDS LÄN</t>
        </is>
      </c>
      <c r="E9742" t="inlineStr">
        <is>
          <t>BRÄCKE</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10476-2022</t>
        </is>
      </c>
      <c r="B9743" s="1" t="n">
        <v>44623</v>
      </c>
      <c r="C9743" s="1" t="n">
        <v>46045</v>
      </c>
      <c r="D9743" t="inlineStr">
        <is>
          <t>JÄMTLANDS LÄN</t>
        </is>
      </c>
      <c r="E9743" t="inlineStr">
        <is>
          <t>BRÄCKE</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45864-2023</t>
        </is>
      </c>
      <c r="B9744" s="1" t="n">
        <v>45195.61476851852</v>
      </c>
      <c r="C9744" s="1" t="n">
        <v>46045</v>
      </c>
      <c r="D9744" t="inlineStr">
        <is>
          <t>JÄMTLANDS LÄN</t>
        </is>
      </c>
      <c r="E9744" t="inlineStr">
        <is>
          <t>HÄRJEDALEN</t>
        </is>
      </c>
      <c r="G9744" t="n">
        <v>8.199999999999999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10542-2022</t>
        </is>
      </c>
      <c r="B9745" s="1" t="n">
        <v>44623.92204861111</v>
      </c>
      <c r="C9745" s="1" t="n">
        <v>46045</v>
      </c>
      <c r="D9745" t="inlineStr">
        <is>
          <t>JÄMTLANDS LÄN</t>
        </is>
      </c>
      <c r="E9745" t="inlineStr">
        <is>
          <t>BRÄCKE</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21464-2022</t>
        </is>
      </c>
      <c r="B9746" s="1" t="n">
        <v>44706</v>
      </c>
      <c r="C9746" s="1" t="n">
        <v>46045</v>
      </c>
      <c r="D9746" t="inlineStr">
        <is>
          <t>JÄMTLANDS LÄN</t>
        </is>
      </c>
      <c r="E9746" t="inlineStr">
        <is>
          <t>ÅRE</t>
        </is>
      </c>
      <c r="G9746" t="n">
        <v>10.9</v>
      </c>
      <c r="H9746" t="n">
        <v>0</v>
      </c>
      <c r="I9746" t="n">
        <v>0</v>
      </c>
      <c r="J9746" t="n">
        <v>0</v>
      </c>
      <c r="K9746" t="n">
        <v>0</v>
      </c>
      <c r="L9746" t="n">
        <v>0</v>
      </c>
      <c r="M9746" t="n">
        <v>0</v>
      </c>
      <c r="N9746" t="n">
        <v>0</v>
      </c>
      <c r="O9746" t="n">
        <v>0</v>
      </c>
      <c r="P9746" t="n">
        <v>0</v>
      </c>
      <c r="Q9746" t="n">
        <v>0</v>
      </c>
      <c r="R9746" s="2" t="inlineStr"/>
    </row>
    <row r="9747" ht="15" customHeight="1">
      <c r="A9747" t="inlineStr">
        <is>
          <t>A 21495-2022</t>
        </is>
      </c>
      <c r="B9747" s="1" t="n">
        <v>44706</v>
      </c>
      <c r="C9747" s="1" t="n">
        <v>46045</v>
      </c>
      <c r="D9747" t="inlineStr">
        <is>
          <t>JÄMTLANDS LÄN</t>
        </is>
      </c>
      <c r="E9747" t="inlineStr">
        <is>
          <t>ÖSTERSUND</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15524-2024</t>
        </is>
      </c>
      <c r="B9748" s="1" t="n">
        <v>45401.59133101852</v>
      </c>
      <c r="C9748" s="1" t="n">
        <v>46045</v>
      </c>
      <c r="D9748" t="inlineStr">
        <is>
          <t>JÄMTLANDS LÄN</t>
        </is>
      </c>
      <c r="E9748" t="inlineStr">
        <is>
          <t>KROKOM</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56013-2023</t>
        </is>
      </c>
      <c r="B9749" s="1" t="n">
        <v>45240</v>
      </c>
      <c r="C9749" s="1" t="n">
        <v>46045</v>
      </c>
      <c r="D9749" t="inlineStr">
        <is>
          <t>JÄMTLANDS LÄN</t>
        </is>
      </c>
      <c r="E9749" t="inlineStr">
        <is>
          <t>HÄRJEDALEN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49969-2023</t>
        </is>
      </c>
      <c r="B9750" s="1" t="n">
        <v>45215</v>
      </c>
      <c r="C9750" s="1" t="n">
        <v>46045</v>
      </c>
      <c r="D9750" t="inlineStr">
        <is>
          <t>JÄMTLANDS LÄN</t>
        </is>
      </c>
      <c r="E9750" t="inlineStr">
        <is>
          <t>HÄRJEDALEN</t>
        </is>
      </c>
      <c r="G9750" t="n">
        <v>43.7</v>
      </c>
      <c r="H9750" t="n">
        <v>0</v>
      </c>
      <c r="I9750" t="n">
        <v>0</v>
      </c>
      <c r="J9750" t="n">
        <v>0</v>
      </c>
      <c r="K9750" t="n">
        <v>0</v>
      </c>
      <c r="L9750" t="n">
        <v>0</v>
      </c>
      <c r="M9750" t="n">
        <v>0</v>
      </c>
      <c r="N9750" t="n">
        <v>0</v>
      </c>
      <c r="O9750" t="n">
        <v>0</v>
      </c>
      <c r="P9750" t="n">
        <v>0</v>
      </c>
      <c r="Q9750" t="n">
        <v>0</v>
      </c>
      <c r="R9750" s="2" t="inlineStr"/>
    </row>
    <row r="9751" ht="15" customHeight="1">
      <c r="A9751" t="inlineStr">
        <is>
          <t>A 58461-2023</t>
        </is>
      </c>
      <c r="B9751" s="1" t="n">
        <v>45250</v>
      </c>
      <c r="C9751" s="1" t="n">
        <v>46045</v>
      </c>
      <c r="D9751" t="inlineStr">
        <is>
          <t>JÄMTLANDS LÄN</t>
        </is>
      </c>
      <c r="E9751" t="inlineStr">
        <is>
          <t>BRÄCKE</t>
        </is>
      </c>
      <c r="F9751" t="inlineStr">
        <is>
          <t>SCA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49287-2022</t>
        </is>
      </c>
      <c r="B9752" s="1" t="n">
        <v>44858</v>
      </c>
      <c r="C9752" s="1" t="n">
        <v>46045</v>
      </c>
      <c r="D9752" t="inlineStr">
        <is>
          <t>JÄMTLANDS LÄN</t>
        </is>
      </c>
      <c r="E9752" t="inlineStr">
        <is>
          <t>STRÖMSUND</t>
        </is>
      </c>
      <c r="G9752" t="n">
        <v>200</v>
      </c>
      <c r="H9752" t="n">
        <v>0</v>
      </c>
      <c r="I9752" t="n">
        <v>0</v>
      </c>
      <c r="J9752" t="n">
        <v>0</v>
      </c>
      <c r="K9752" t="n">
        <v>0</v>
      </c>
      <c r="L9752" t="n">
        <v>0</v>
      </c>
      <c r="M9752" t="n">
        <v>0</v>
      </c>
      <c r="N9752" t="n">
        <v>0</v>
      </c>
      <c r="O9752" t="n">
        <v>0</v>
      </c>
      <c r="P9752" t="n">
        <v>0</v>
      </c>
      <c r="Q9752" t="n">
        <v>0</v>
      </c>
      <c r="R9752" s="2" t="inlineStr"/>
    </row>
    <row r="9753" ht="15" customHeight="1">
      <c r="A9753" t="inlineStr">
        <is>
          <t>A 5637-2025</t>
        </is>
      </c>
      <c r="B9753" s="1" t="n">
        <v>45693.67361111111</v>
      </c>
      <c r="C9753" s="1" t="n">
        <v>46045</v>
      </c>
      <c r="D9753" t="inlineStr">
        <is>
          <t>JÄMTLANDS LÄN</t>
        </is>
      </c>
      <c r="E9753" t="inlineStr">
        <is>
          <t>KROKOM</t>
        </is>
      </c>
      <c r="F9753" t="inlineStr">
        <is>
          <t>Övriga Aktiebolag</t>
        </is>
      </c>
      <c r="G9753" t="n">
        <v>57.8</v>
      </c>
      <c r="H9753" t="n">
        <v>0</v>
      </c>
      <c r="I9753" t="n">
        <v>0</v>
      </c>
      <c r="J9753" t="n">
        <v>0</v>
      </c>
      <c r="K9753" t="n">
        <v>0</v>
      </c>
      <c r="L9753" t="n">
        <v>0</v>
      </c>
      <c r="M9753" t="n">
        <v>0</v>
      </c>
      <c r="N9753" t="n">
        <v>0</v>
      </c>
      <c r="O9753" t="n">
        <v>0</v>
      </c>
      <c r="P9753" t="n">
        <v>0</v>
      </c>
      <c r="Q9753" t="n">
        <v>0</v>
      </c>
      <c r="R9753" s="2" t="inlineStr"/>
    </row>
    <row r="9754" ht="15" customHeight="1">
      <c r="A9754" t="inlineStr">
        <is>
          <t>A 48069-2023</t>
        </is>
      </c>
      <c r="B9754" s="1" t="n">
        <v>45204</v>
      </c>
      <c r="C9754" s="1" t="n">
        <v>46045</v>
      </c>
      <c r="D9754" t="inlineStr">
        <is>
          <t>JÄMTLANDS LÄN</t>
        </is>
      </c>
      <c r="E9754" t="inlineStr">
        <is>
          <t>BERG</t>
        </is>
      </c>
      <c r="F9754" t="inlineStr">
        <is>
          <t>SCA</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45999-2023</t>
        </is>
      </c>
      <c r="B9755" s="1" t="n">
        <v>45196</v>
      </c>
      <c r="C9755" s="1" t="n">
        <v>46045</v>
      </c>
      <c r="D9755" t="inlineStr">
        <is>
          <t>JÄMTLANDS LÄN</t>
        </is>
      </c>
      <c r="E9755" t="inlineStr">
        <is>
          <t>HÄRJEDALEN</t>
        </is>
      </c>
      <c r="F9755" t="inlineStr">
        <is>
          <t>Bergvik skog väst AB</t>
        </is>
      </c>
      <c r="G9755" t="n">
        <v>11.4</v>
      </c>
      <c r="H9755" t="n">
        <v>0</v>
      </c>
      <c r="I9755" t="n">
        <v>0</v>
      </c>
      <c r="J9755" t="n">
        <v>0</v>
      </c>
      <c r="K9755" t="n">
        <v>0</v>
      </c>
      <c r="L9755" t="n">
        <v>0</v>
      </c>
      <c r="M9755" t="n">
        <v>0</v>
      </c>
      <c r="N9755" t="n">
        <v>0</v>
      </c>
      <c r="O9755" t="n">
        <v>0</v>
      </c>
      <c r="P9755" t="n">
        <v>0</v>
      </c>
      <c r="Q9755" t="n">
        <v>0</v>
      </c>
      <c r="R9755" s="2" t="inlineStr"/>
    </row>
    <row r="9756" ht="15" customHeight="1">
      <c r="A9756" t="inlineStr">
        <is>
          <t>A 36046-2023</t>
        </is>
      </c>
      <c r="B9756" s="1" t="n">
        <v>45148</v>
      </c>
      <c r="C9756" s="1" t="n">
        <v>46045</v>
      </c>
      <c r="D9756" t="inlineStr">
        <is>
          <t>JÄMTLANDS LÄN</t>
        </is>
      </c>
      <c r="E9756" t="inlineStr">
        <is>
          <t>RAGUNDA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18193-2022</t>
        </is>
      </c>
      <c r="B9757" s="1" t="n">
        <v>44684.94032407407</v>
      </c>
      <c r="C9757" s="1" t="n">
        <v>46045</v>
      </c>
      <c r="D9757" t="inlineStr">
        <is>
          <t>JÄMTLANDS LÄN</t>
        </is>
      </c>
      <c r="E9757" t="inlineStr">
        <is>
          <t>RAGUNDA</t>
        </is>
      </c>
      <c r="F9757" t="inlineStr">
        <is>
          <t>SCA</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12102-2025</t>
        </is>
      </c>
      <c r="B9758" s="1" t="n">
        <v>45729.3425</v>
      </c>
      <c r="C9758" s="1" t="n">
        <v>46045</v>
      </c>
      <c r="D9758" t="inlineStr">
        <is>
          <t>JÄMTLANDS LÄN</t>
        </is>
      </c>
      <c r="E9758" t="inlineStr">
        <is>
          <t>ÖSTERSUND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59620-2024</t>
        </is>
      </c>
      <c r="B9759" s="1" t="n">
        <v>45638.81385416666</v>
      </c>
      <c r="C9759" s="1" t="n">
        <v>46045</v>
      </c>
      <c r="D9759" t="inlineStr">
        <is>
          <t>JÄMTLANDS LÄN</t>
        </is>
      </c>
      <c r="E9759" t="inlineStr">
        <is>
          <t>KROKOM</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34323-2023</t>
        </is>
      </c>
      <c r="B9760" s="1" t="n">
        <v>45138.94925925926</v>
      </c>
      <c r="C9760" s="1" t="n">
        <v>46045</v>
      </c>
      <c r="D9760" t="inlineStr">
        <is>
          <t>JÄMTLANDS LÄN</t>
        </is>
      </c>
      <c r="E9760" t="inlineStr">
        <is>
          <t>RAGUNDA</t>
        </is>
      </c>
      <c r="F9760" t="inlineStr">
        <is>
          <t>SCA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17601-2025</t>
        </is>
      </c>
      <c r="B9761" s="1" t="n">
        <v>45757.71991898148</v>
      </c>
      <c r="C9761" s="1" t="n">
        <v>46045</v>
      </c>
      <c r="D9761" t="inlineStr">
        <is>
          <t>JÄMTLANDS LÄN</t>
        </is>
      </c>
      <c r="E9761" t="inlineStr">
        <is>
          <t>BRÄCKE</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15407-2022</t>
        </is>
      </c>
      <c r="B9762" s="1" t="n">
        <v>44662</v>
      </c>
      <c r="C9762" s="1" t="n">
        <v>46045</v>
      </c>
      <c r="D9762" t="inlineStr">
        <is>
          <t>JÄMTLANDS LÄN</t>
        </is>
      </c>
      <c r="E9762" t="inlineStr">
        <is>
          <t>STRÖMSUND</t>
        </is>
      </c>
      <c r="G9762" t="n">
        <v>9.199999999999999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21767-2022</t>
        </is>
      </c>
      <c r="B9763" s="1" t="n">
        <v>44708.45504629629</v>
      </c>
      <c r="C9763" s="1" t="n">
        <v>46045</v>
      </c>
      <c r="D9763" t="inlineStr">
        <is>
          <t>JÄMTLANDS LÄN</t>
        </is>
      </c>
      <c r="E9763" t="inlineStr">
        <is>
          <t>HÄRJEDALEN</t>
        </is>
      </c>
      <c r="F9763" t="inlineStr">
        <is>
          <t>Holmen skog AB</t>
        </is>
      </c>
      <c r="G9763" t="n">
        <v>8.1</v>
      </c>
      <c r="H9763" t="n">
        <v>0</v>
      </c>
      <c r="I9763" t="n">
        <v>0</v>
      </c>
      <c r="J9763" t="n">
        <v>0</v>
      </c>
      <c r="K9763" t="n">
        <v>0</v>
      </c>
      <c r="L9763" t="n">
        <v>0</v>
      </c>
      <c r="M9763" t="n">
        <v>0</v>
      </c>
      <c r="N9763" t="n">
        <v>0</v>
      </c>
      <c r="O9763" t="n">
        <v>0</v>
      </c>
      <c r="P9763" t="n">
        <v>0</v>
      </c>
      <c r="Q9763" t="n">
        <v>0</v>
      </c>
      <c r="R9763" s="2" t="inlineStr"/>
    </row>
    <row r="9764" ht="15" customHeight="1">
      <c r="A9764" t="inlineStr">
        <is>
          <t>A 21796-2022</t>
        </is>
      </c>
      <c r="B9764" s="1" t="n">
        <v>44708</v>
      </c>
      <c r="C9764" s="1" t="n">
        <v>46045</v>
      </c>
      <c r="D9764" t="inlineStr">
        <is>
          <t>JÄMTLANDS LÄN</t>
        </is>
      </c>
      <c r="E9764" t="inlineStr">
        <is>
          <t>HÄRJEDALEN</t>
        </is>
      </c>
      <c r="F9764" t="inlineStr">
        <is>
          <t>Holmen skog AB</t>
        </is>
      </c>
      <c r="G9764" t="n">
        <v>22.3</v>
      </c>
      <c r="H9764" t="n">
        <v>0</v>
      </c>
      <c r="I9764" t="n">
        <v>0</v>
      </c>
      <c r="J9764" t="n">
        <v>0</v>
      </c>
      <c r="K9764" t="n">
        <v>0</v>
      </c>
      <c r="L9764" t="n">
        <v>0</v>
      </c>
      <c r="M9764" t="n">
        <v>0</v>
      </c>
      <c r="N9764" t="n">
        <v>0</v>
      </c>
      <c r="O9764" t="n">
        <v>0</v>
      </c>
      <c r="P9764" t="n">
        <v>0</v>
      </c>
      <c r="Q9764" t="n">
        <v>0</v>
      </c>
      <c r="R9764" s="2" t="inlineStr"/>
    </row>
    <row r="9765" ht="15" customHeight="1">
      <c r="A9765" t="inlineStr">
        <is>
          <t>A 58843-2024</t>
        </is>
      </c>
      <c r="B9765" s="1" t="n">
        <v>45636.38599537037</v>
      </c>
      <c r="C9765" s="1" t="n">
        <v>46045</v>
      </c>
      <c r="D9765" t="inlineStr">
        <is>
          <t>JÄMTLANDS LÄN</t>
        </is>
      </c>
      <c r="E9765" t="inlineStr">
        <is>
          <t>RAGUNDA</t>
        </is>
      </c>
      <c r="F9765" t="inlineStr">
        <is>
          <t>SCA</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7366-2025</t>
        </is>
      </c>
      <c r="B9766" s="1" t="n">
        <v>45704.71069444445</v>
      </c>
      <c r="C9766" s="1" t="n">
        <v>46045</v>
      </c>
      <c r="D9766" t="inlineStr">
        <is>
          <t>JÄMTLANDS LÄN</t>
        </is>
      </c>
      <c r="E9766" t="inlineStr">
        <is>
          <t>KROKOM</t>
        </is>
      </c>
      <c r="F9766" t="inlineStr">
        <is>
          <t>Övriga Aktiebolag</t>
        </is>
      </c>
      <c r="G9766" t="n">
        <v>7.8</v>
      </c>
      <c r="H9766" t="n">
        <v>0</v>
      </c>
      <c r="I9766" t="n">
        <v>0</v>
      </c>
      <c r="J9766" t="n">
        <v>0</v>
      </c>
      <c r="K9766" t="n">
        <v>0</v>
      </c>
      <c r="L9766" t="n">
        <v>0</v>
      </c>
      <c r="M9766" t="n">
        <v>0</v>
      </c>
      <c r="N9766" t="n">
        <v>0</v>
      </c>
      <c r="O9766" t="n">
        <v>0</v>
      </c>
      <c r="P9766" t="n">
        <v>0</v>
      </c>
      <c r="Q9766" t="n">
        <v>0</v>
      </c>
      <c r="R9766" s="2" t="inlineStr"/>
    </row>
    <row r="9767" ht="15" customHeight="1">
      <c r="A9767" t="inlineStr">
        <is>
          <t>A 31811-2023</t>
        </is>
      </c>
      <c r="B9767" s="1" t="n">
        <v>45118.47491898148</v>
      </c>
      <c r="C9767" s="1" t="n">
        <v>46045</v>
      </c>
      <c r="D9767" t="inlineStr">
        <is>
          <t>JÄMTLANDS LÄN</t>
        </is>
      </c>
      <c r="E9767" t="inlineStr">
        <is>
          <t>HÄRJEDALEN</t>
        </is>
      </c>
      <c r="F9767" t="inlineStr">
        <is>
          <t>Bergvik skog väst AB</t>
        </is>
      </c>
      <c r="G9767" t="n">
        <v>12.5</v>
      </c>
      <c r="H9767" t="n">
        <v>0</v>
      </c>
      <c r="I9767" t="n">
        <v>0</v>
      </c>
      <c r="J9767" t="n">
        <v>0</v>
      </c>
      <c r="K9767" t="n">
        <v>0</v>
      </c>
      <c r="L9767" t="n">
        <v>0</v>
      </c>
      <c r="M9767" t="n">
        <v>0</v>
      </c>
      <c r="N9767" t="n">
        <v>0</v>
      </c>
      <c r="O9767" t="n">
        <v>0</v>
      </c>
      <c r="P9767" t="n">
        <v>0</v>
      </c>
      <c r="Q9767" t="n">
        <v>0</v>
      </c>
      <c r="R9767" s="2" t="inlineStr"/>
    </row>
    <row r="9768" ht="15" customHeight="1">
      <c r="A9768" t="inlineStr">
        <is>
          <t>A 35880-2023</t>
        </is>
      </c>
      <c r="B9768" s="1" t="n">
        <v>45148</v>
      </c>
      <c r="C9768" s="1" t="n">
        <v>46045</v>
      </c>
      <c r="D9768" t="inlineStr">
        <is>
          <t>JÄMTLANDS LÄN</t>
        </is>
      </c>
      <c r="E9768" t="inlineStr">
        <is>
          <t>BRÄCKE</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45953-2023</t>
        </is>
      </c>
      <c r="B9769" s="1" t="n">
        <v>45195.94672453704</v>
      </c>
      <c r="C9769" s="1" t="n">
        <v>46045</v>
      </c>
      <c r="D9769" t="inlineStr">
        <is>
          <t>JÄMTLANDS LÄN</t>
        </is>
      </c>
      <c r="E9769" t="inlineStr">
        <is>
          <t>RAGUNDA</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25895-2023</t>
        </is>
      </c>
      <c r="B9770" s="1" t="n">
        <v>45085</v>
      </c>
      <c r="C9770" s="1" t="n">
        <v>46045</v>
      </c>
      <c r="D9770" t="inlineStr">
        <is>
          <t>JÄMTLANDS LÄN</t>
        </is>
      </c>
      <c r="E9770" t="inlineStr">
        <is>
          <t>BRÄCKE</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35424-2023</t>
        </is>
      </c>
      <c r="B9771" s="1" t="n">
        <v>45146.6240625</v>
      </c>
      <c r="C9771" s="1" t="n">
        <v>46045</v>
      </c>
      <c r="D9771" t="inlineStr">
        <is>
          <t>JÄMTLANDS LÄN</t>
        </is>
      </c>
      <c r="E9771" t="inlineStr">
        <is>
          <t>BRÄCKE</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43146-2022</t>
        </is>
      </c>
      <c r="B9772" s="1" t="n">
        <v>44833</v>
      </c>
      <c r="C9772" s="1" t="n">
        <v>46045</v>
      </c>
      <c r="D9772" t="inlineStr">
        <is>
          <t>JÄMTLANDS LÄN</t>
        </is>
      </c>
      <c r="E9772" t="inlineStr">
        <is>
          <t>STRÖMSUND</t>
        </is>
      </c>
      <c r="F9772" t="inlineStr">
        <is>
          <t>SCA</t>
        </is>
      </c>
      <c r="G9772" t="n">
        <v>33.3</v>
      </c>
      <c r="H9772" t="n">
        <v>0</v>
      </c>
      <c r="I9772" t="n">
        <v>0</v>
      </c>
      <c r="J9772" t="n">
        <v>0</v>
      </c>
      <c r="K9772" t="n">
        <v>0</v>
      </c>
      <c r="L9772" t="n">
        <v>0</v>
      </c>
      <c r="M9772" t="n">
        <v>0</v>
      </c>
      <c r="N9772" t="n">
        <v>0</v>
      </c>
      <c r="O9772" t="n">
        <v>0</v>
      </c>
      <c r="P9772" t="n">
        <v>0</v>
      </c>
      <c r="Q9772" t="n">
        <v>0</v>
      </c>
      <c r="R9772" s="2" t="inlineStr"/>
    </row>
    <row r="9773" ht="15" customHeight="1">
      <c r="A9773" t="inlineStr">
        <is>
          <t>A 5364-2025</t>
        </is>
      </c>
      <c r="B9773" s="1" t="n">
        <v>45692.58106481482</v>
      </c>
      <c r="C9773" s="1" t="n">
        <v>46045</v>
      </c>
      <c r="D9773" t="inlineStr">
        <is>
          <t>JÄMTLANDS LÄN</t>
        </is>
      </c>
      <c r="E9773" t="inlineStr">
        <is>
          <t>KROKOM</t>
        </is>
      </c>
      <c r="G9773" t="n">
        <v>25.4</v>
      </c>
      <c r="H9773" t="n">
        <v>0</v>
      </c>
      <c r="I9773" t="n">
        <v>0</v>
      </c>
      <c r="J9773" t="n">
        <v>0</v>
      </c>
      <c r="K9773" t="n">
        <v>0</v>
      </c>
      <c r="L9773" t="n">
        <v>0</v>
      </c>
      <c r="M9773" t="n">
        <v>0</v>
      </c>
      <c r="N9773" t="n">
        <v>0</v>
      </c>
      <c r="O9773" t="n">
        <v>0</v>
      </c>
      <c r="P9773" t="n">
        <v>0</v>
      </c>
      <c r="Q9773" t="n">
        <v>0</v>
      </c>
      <c r="R9773" s="2" t="inlineStr"/>
    </row>
    <row r="9774" ht="15" customHeight="1">
      <c r="A9774" t="inlineStr">
        <is>
          <t>A 27616-2023</t>
        </is>
      </c>
      <c r="B9774" s="1" t="n">
        <v>45097</v>
      </c>
      <c r="C9774" s="1" t="n">
        <v>46045</v>
      </c>
      <c r="D9774" t="inlineStr">
        <is>
          <t>JÄMTLANDS LÄN</t>
        </is>
      </c>
      <c r="E9774" t="inlineStr">
        <is>
          <t>KROKOM</t>
        </is>
      </c>
      <c r="F9774" t="inlineStr">
        <is>
          <t>Övriga Aktiebolag</t>
        </is>
      </c>
      <c r="G9774" t="n">
        <v>13.3</v>
      </c>
      <c r="H9774" t="n">
        <v>0</v>
      </c>
      <c r="I9774" t="n">
        <v>0</v>
      </c>
      <c r="J9774" t="n">
        <v>0</v>
      </c>
      <c r="K9774" t="n">
        <v>0</v>
      </c>
      <c r="L9774" t="n">
        <v>0</v>
      </c>
      <c r="M9774" t="n">
        <v>0</v>
      </c>
      <c r="N9774" t="n">
        <v>0</v>
      </c>
      <c r="O9774" t="n">
        <v>0</v>
      </c>
      <c r="P9774" t="n">
        <v>0</v>
      </c>
      <c r="Q9774" t="n">
        <v>0</v>
      </c>
      <c r="R9774" s="2" t="inlineStr"/>
    </row>
    <row r="9775" ht="15" customHeight="1">
      <c r="A9775" t="inlineStr">
        <is>
          <t>A 34819-2023</t>
        </is>
      </c>
      <c r="B9775" s="1" t="n">
        <v>45140</v>
      </c>
      <c r="C9775" s="1" t="n">
        <v>46045</v>
      </c>
      <c r="D9775" t="inlineStr">
        <is>
          <t>JÄMTLANDS LÄN</t>
        </is>
      </c>
      <c r="E9775" t="inlineStr">
        <is>
          <t>BERG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30824-2023</t>
        </is>
      </c>
      <c r="B9776" s="1" t="n">
        <v>45112.94303240741</v>
      </c>
      <c r="C9776" s="1" t="n">
        <v>46045</v>
      </c>
      <c r="D9776" t="inlineStr">
        <is>
          <t>JÄMTLANDS LÄN</t>
        </is>
      </c>
      <c r="E9776" t="inlineStr">
        <is>
          <t>RAGUNDA</t>
        </is>
      </c>
      <c r="F9776" t="inlineStr">
        <is>
          <t>SCA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30825-2023</t>
        </is>
      </c>
      <c r="B9777" s="1" t="n">
        <v>45112.94310185185</v>
      </c>
      <c r="C9777" s="1" t="n">
        <v>46045</v>
      </c>
      <c r="D9777" t="inlineStr">
        <is>
          <t>JÄMTLANDS LÄN</t>
        </is>
      </c>
      <c r="E9777" t="inlineStr">
        <is>
          <t>RAGUNDA</t>
        </is>
      </c>
      <c r="F9777" t="inlineStr">
        <is>
          <t>SCA</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50331-2023</t>
        </is>
      </c>
      <c r="B9778" s="1" t="n">
        <v>45216</v>
      </c>
      <c r="C9778" s="1" t="n">
        <v>46045</v>
      </c>
      <c r="D9778" t="inlineStr">
        <is>
          <t>JÄMTLANDS LÄN</t>
        </is>
      </c>
      <c r="E9778" t="inlineStr">
        <is>
          <t>HÄRJEDALEN</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30836-2023</t>
        </is>
      </c>
      <c r="B9779" s="1" t="n">
        <v>45112.94390046296</v>
      </c>
      <c r="C9779" s="1" t="n">
        <v>46045</v>
      </c>
      <c r="D9779" t="inlineStr">
        <is>
          <t>JÄMTLANDS LÄN</t>
        </is>
      </c>
      <c r="E9779" t="inlineStr">
        <is>
          <t>STRÖMSUND</t>
        </is>
      </c>
      <c r="F9779" t="inlineStr">
        <is>
          <t>SCA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55831-2024</t>
        </is>
      </c>
      <c r="B9780" s="1" t="n">
        <v>45623.48571759259</v>
      </c>
      <c r="C9780" s="1" t="n">
        <v>46045</v>
      </c>
      <c r="D9780" t="inlineStr">
        <is>
          <t>JÄMTLANDS LÄN</t>
        </is>
      </c>
      <c r="E9780" t="inlineStr">
        <is>
          <t>KROKOM</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19996-2024</t>
        </is>
      </c>
      <c r="B9781" s="1" t="n">
        <v>45433.92756944444</v>
      </c>
      <c r="C9781" s="1" t="n">
        <v>46045</v>
      </c>
      <c r="D9781" t="inlineStr">
        <is>
          <t>JÄMTLANDS LÄN</t>
        </is>
      </c>
      <c r="E9781" t="inlineStr">
        <is>
          <t>BRÄCKE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7005-2025</t>
        </is>
      </c>
      <c r="B9782" s="1" t="n">
        <v>45701.60046296296</v>
      </c>
      <c r="C9782" s="1" t="n">
        <v>46045</v>
      </c>
      <c r="D9782" t="inlineStr">
        <is>
          <t>JÄMTLANDS LÄN</t>
        </is>
      </c>
      <c r="E9782" t="inlineStr">
        <is>
          <t>ÖSTERSUND</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7013-2025</t>
        </is>
      </c>
      <c r="B9783" s="1" t="n">
        <v>45701.60901620371</v>
      </c>
      <c r="C9783" s="1" t="n">
        <v>46045</v>
      </c>
      <c r="D9783" t="inlineStr">
        <is>
          <t>JÄMTLANDS LÄN</t>
        </is>
      </c>
      <c r="E9783" t="inlineStr">
        <is>
          <t>KROKOM</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18254-2025</t>
        </is>
      </c>
      <c r="B9784" s="1" t="n">
        <v>45762.34459490741</v>
      </c>
      <c r="C9784" s="1" t="n">
        <v>46045</v>
      </c>
      <c r="D9784" t="inlineStr">
        <is>
          <t>JÄMTLANDS LÄN</t>
        </is>
      </c>
      <c r="E9784" t="inlineStr">
        <is>
          <t>STRÖMSUND</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5704-2025</t>
        </is>
      </c>
      <c r="B9785" s="1" t="n">
        <v>45694.43806712963</v>
      </c>
      <c r="C9785" s="1" t="n">
        <v>46045</v>
      </c>
      <c r="D9785" t="inlineStr">
        <is>
          <t>JÄMTLANDS LÄN</t>
        </is>
      </c>
      <c r="E9785" t="inlineStr">
        <is>
          <t>KROKOM</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9467-2025</t>
        </is>
      </c>
      <c r="B9786" s="1" t="n">
        <v>45715.46903935185</v>
      </c>
      <c r="C9786" s="1" t="n">
        <v>46045</v>
      </c>
      <c r="D9786" t="inlineStr">
        <is>
          <t>JÄMTLANDS LÄN</t>
        </is>
      </c>
      <c r="E9786" t="inlineStr">
        <is>
          <t>BRÄCKE</t>
        </is>
      </c>
      <c r="F9786" t="inlineStr">
        <is>
          <t>SCA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11877-2025</t>
        </is>
      </c>
      <c r="B9787" s="1" t="n">
        <v>45728.44329861111</v>
      </c>
      <c r="C9787" s="1" t="n">
        <v>46045</v>
      </c>
      <c r="D9787" t="inlineStr">
        <is>
          <t>JÄMTLANDS LÄN</t>
        </is>
      </c>
      <c r="E9787" t="inlineStr">
        <is>
          <t>HÄRJEDALEN</t>
        </is>
      </c>
      <c r="F9787" t="inlineStr">
        <is>
          <t>Bergvik skog väst AB</t>
        </is>
      </c>
      <c r="G9787" t="n">
        <v>11.2</v>
      </c>
      <c r="H9787" t="n">
        <v>0</v>
      </c>
      <c r="I9787" t="n">
        <v>0</v>
      </c>
      <c r="J9787" t="n">
        <v>0</v>
      </c>
      <c r="K9787" t="n">
        <v>0</v>
      </c>
      <c r="L9787" t="n">
        <v>0</v>
      </c>
      <c r="M9787" t="n">
        <v>0</v>
      </c>
      <c r="N9787" t="n">
        <v>0</v>
      </c>
      <c r="O9787" t="n">
        <v>0</v>
      </c>
      <c r="P9787" t="n">
        <v>0</v>
      </c>
      <c r="Q9787" t="n">
        <v>0</v>
      </c>
      <c r="R9787" s="2" t="inlineStr"/>
    </row>
    <row r="9788" ht="15" customHeight="1">
      <c r="A9788" t="inlineStr">
        <is>
          <t>A 11917-2025</t>
        </is>
      </c>
      <c r="B9788" s="1" t="n">
        <v>45728.49267361111</v>
      </c>
      <c r="C9788" s="1" t="n">
        <v>46045</v>
      </c>
      <c r="D9788" t="inlineStr">
        <is>
          <t>JÄMTLANDS LÄN</t>
        </is>
      </c>
      <c r="E9788" t="inlineStr">
        <is>
          <t>HÄRJEDALEN</t>
        </is>
      </c>
      <c r="F9788" t="inlineStr">
        <is>
          <t>Kommuner</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36708-2023</t>
        </is>
      </c>
      <c r="B9789" s="1" t="n">
        <v>45153.65226851852</v>
      </c>
      <c r="C9789" s="1" t="n">
        <v>46045</v>
      </c>
      <c r="D9789" t="inlineStr">
        <is>
          <t>JÄMTLANDS LÄN</t>
        </is>
      </c>
      <c r="E9789" t="inlineStr">
        <is>
          <t>BERG</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4181-2025</t>
        </is>
      </c>
      <c r="B9790" s="1" t="n">
        <v>45685.44300925926</v>
      </c>
      <c r="C9790" s="1" t="n">
        <v>46045</v>
      </c>
      <c r="D9790" t="inlineStr">
        <is>
          <t>JÄMTLANDS LÄN</t>
        </is>
      </c>
      <c r="E9790" t="inlineStr">
        <is>
          <t>ÅRE</t>
        </is>
      </c>
      <c r="F9790" t="inlineStr">
        <is>
          <t>Övriga Aktiebolag</t>
        </is>
      </c>
      <c r="G9790" t="n">
        <v>9.300000000000001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57556-2024</t>
        </is>
      </c>
      <c r="B9791" s="1" t="n">
        <v>45630</v>
      </c>
      <c r="C9791" s="1" t="n">
        <v>46045</v>
      </c>
      <c r="D9791" t="inlineStr">
        <is>
          <t>JÄMTLANDS LÄN</t>
        </is>
      </c>
      <c r="E9791" t="inlineStr">
        <is>
          <t>ÖSTERSUND</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4857-2025</t>
        </is>
      </c>
      <c r="B9792" s="1" t="n">
        <v>45688.67418981482</v>
      </c>
      <c r="C9792" s="1" t="n">
        <v>46045</v>
      </c>
      <c r="D9792" t="inlineStr">
        <is>
          <t>JÄMTLANDS LÄN</t>
        </is>
      </c>
      <c r="E9792" t="inlineStr">
        <is>
          <t>BRÄCKE</t>
        </is>
      </c>
      <c r="F9792" t="inlineStr">
        <is>
          <t>SCA</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2782-2025</t>
        </is>
      </c>
      <c r="B9793" s="1" t="n">
        <v>45676</v>
      </c>
      <c r="C9793" s="1" t="n">
        <v>46045</v>
      </c>
      <c r="D9793" t="inlineStr">
        <is>
          <t>JÄMTLANDS LÄN</t>
        </is>
      </c>
      <c r="E9793" t="inlineStr">
        <is>
          <t>KROKOM</t>
        </is>
      </c>
      <c r="G9793" t="n">
        <v>18.6</v>
      </c>
      <c r="H9793" t="n">
        <v>0</v>
      </c>
      <c r="I9793" t="n">
        <v>0</v>
      </c>
      <c r="J9793" t="n">
        <v>0</v>
      </c>
      <c r="K9793" t="n">
        <v>0</v>
      </c>
      <c r="L9793" t="n">
        <v>0</v>
      </c>
      <c r="M9793" t="n">
        <v>0</v>
      </c>
      <c r="N9793" t="n">
        <v>0</v>
      </c>
      <c r="O9793" t="n">
        <v>0</v>
      </c>
      <c r="P9793" t="n">
        <v>0</v>
      </c>
      <c r="Q9793" t="n">
        <v>0</v>
      </c>
      <c r="R9793" s="2" t="inlineStr"/>
    </row>
    <row r="9794" ht="15" customHeight="1">
      <c r="A9794" t="inlineStr">
        <is>
          <t>A 18080-2025</t>
        </is>
      </c>
      <c r="B9794" s="1" t="n">
        <v>45761.50909722222</v>
      </c>
      <c r="C9794" s="1" t="n">
        <v>46045</v>
      </c>
      <c r="D9794" t="inlineStr">
        <is>
          <t>JÄMTLANDS LÄN</t>
        </is>
      </c>
      <c r="E9794" t="inlineStr">
        <is>
          <t>KROKOM</t>
        </is>
      </c>
      <c r="G9794" t="n">
        <v>21.9</v>
      </c>
      <c r="H9794" t="n">
        <v>0</v>
      </c>
      <c r="I9794" t="n">
        <v>0</v>
      </c>
      <c r="J9794" t="n">
        <v>0</v>
      </c>
      <c r="K9794" t="n">
        <v>0</v>
      </c>
      <c r="L9794" t="n">
        <v>0</v>
      </c>
      <c r="M9794" t="n">
        <v>0</v>
      </c>
      <c r="N9794" t="n">
        <v>0</v>
      </c>
      <c r="O9794" t="n">
        <v>0</v>
      </c>
      <c r="P9794" t="n">
        <v>0</v>
      </c>
      <c r="Q9794" t="n">
        <v>0</v>
      </c>
      <c r="R9794" s="2" t="inlineStr"/>
    </row>
    <row r="9795" ht="15" customHeight="1">
      <c r="A9795" t="inlineStr">
        <is>
          <t>A 31506-2024</t>
        </is>
      </c>
      <c r="B9795" s="1" t="n">
        <v>45505</v>
      </c>
      <c r="C9795" s="1" t="n">
        <v>46045</v>
      </c>
      <c r="D9795" t="inlineStr">
        <is>
          <t>JÄMTLANDS LÄN</t>
        </is>
      </c>
      <c r="E9795" t="inlineStr">
        <is>
          <t>RAGUNDA</t>
        </is>
      </c>
      <c r="F9795" t="inlineStr">
        <is>
          <t>SCA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9386-2025</t>
        </is>
      </c>
      <c r="B9796" s="1" t="n">
        <v>45715.34450231482</v>
      </c>
      <c r="C9796" s="1" t="n">
        <v>46045</v>
      </c>
      <c r="D9796" t="inlineStr">
        <is>
          <t>JÄMTLANDS LÄN</t>
        </is>
      </c>
      <c r="E9796" t="inlineStr">
        <is>
          <t>BRÄCKE</t>
        </is>
      </c>
      <c r="F9796" t="inlineStr">
        <is>
          <t>SCA</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31517-2024</t>
        </is>
      </c>
      <c r="B9797" s="1" t="n">
        <v>45505</v>
      </c>
      <c r="C9797" s="1" t="n">
        <v>46045</v>
      </c>
      <c r="D9797" t="inlineStr">
        <is>
          <t>JÄMTLANDS LÄN</t>
        </is>
      </c>
      <c r="E9797" t="inlineStr">
        <is>
          <t>BRÄCKE</t>
        </is>
      </c>
      <c r="F9797" t="inlineStr">
        <is>
          <t>SCA</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31527-2024</t>
        </is>
      </c>
      <c r="B9798" s="1" t="n">
        <v>45505</v>
      </c>
      <c r="C9798" s="1" t="n">
        <v>46045</v>
      </c>
      <c r="D9798" t="inlineStr">
        <is>
          <t>JÄMTLANDS LÄN</t>
        </is>
      </c>
      <c r="E9798" t="inlineStr">
        <is>
          <t>HÄRJEDALEN</t>
        </is>
      </c>
      <c r="F9798" t="inlineStr">
        <is>
          <t>SCA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51075-2023</t>
        </is>
      </c>
      <c r="B9799" s="1" t="n">
        <v>45211</v>
      </c>
      <c r="C9799" s="1" t="n">
        <v>46045</v>
      </c>
      <c r="D9799" t="inlineStr">
        <is>
          <t>JÄMTLANDS LÄN</t>
        </is>
      </c>
      <c r="E9799" t="inlineStr">
        <is>
          <t>STRÖMSUND</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55221-2024</t>
        </is>
      </c>
      <c r="B9800" s="1" t="n">
        <v>45621.57369212963</v>
      </c>
      <c r="C9800" s="1" t="n">
        <v>46045</v>
      </c>
      <c r="D9800" t="inlineStr">
        <is>
          <t>JÄMTLANDS LÄN</t>
        </is>
      </c>
      <c r="E9800" t="inlineStr">
        <is>
          <t>BRÄCKE</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55222-2024</t>
        </is>
      </c>
      <c r="B9801" s="1" t="n">
        <v>45621.57395833333</v>
      </c>
      <c r="C9801" s="1" t="n">
        <v>46045</v>
      </c>
      <c r="D9801" t="inlineStr">
        <is>
          <t>JÄMTLANDS LÄN</t>
        </is>
      </c>
      <c r="E9801" t="inlineStr">
        <is>
          <t>RAGUNDA</t>
        </is>
      </c>
      <c r="F9801" t="inlineStr">
        <is>
          <t>SCA</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34818-2024</t>
        </is>
      </c>
      <c r="B9802" s="1" t="n">
        <v>45526.70923611111</v>
      </c>
      <c r="C9802" s="1" t="n">
        <v>46045</v>
      </c>
      <c r="D9802" t="inlineStr">
        <is>
          <t>JÄMTLANDS LÄN</t>
        </is>
      </c>
      <c r="E9802" t="inlineStr">
        <is>
          <t>STRÖMSUND</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61042-2024</t>
        </is>
      </c>
      <c r="B9803" s="1" t="n">
        <v>45645.47609953704</v>
      </c>
      <c r="C9803" s="1" t="n">
        <v>46045</v>
      </c>
      <c r="D9803" t="inlineStr">
        <is>
          <t>JÄMTLANDS LÄN</t>
        </is>
      </c>
      <c r="E9803" t="inlineStr">
        <is>
          <t>HÄRJEDALEN</t>
        </is>
      </c>
      <c r="F9803" t="inlineStr">
        <is>
          <t>Bergvik skog väst AB</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57361-2023</t>
        </is>
      </c>
      <c r="B9804" s="1" t="n">
        <v>45240</v>
      </c>
      <c r="C9804" s="1" t="n">
        <v>46045</v>
      </c>
      <c r="D9804" t="inlineStr">
        <is>
          <t>JÄMTLANDS LÄN</t>
        </is>
      </c>
      <c r="E9804" t="inlineStr">
        <is>
          <t>STRÖMSUND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57414-2023</t>
        </is>
      </c>
      <c r="B9805" s="1" t="n">
        <v>45245.96939814815</v>
      </c>
      <c r="C9805" s="1" t="n">
        <v>46045</v>
      </c>
      <c r="D9805" t="inlineStr">
        <is>
          <t>JÄMTLANDS LÄN</t>
        </is>
      </c>
      <c r="E9805" t="inlineStr">
        <is>
          <t>BRÄCKE</t>
        </is>
      </c>
      <c r="F9805" t="inlineStr">
        <is>
          <t>SCA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51827-2023</t>
        </is>
      </c>
      <c r="B9806" s="1" t="n">
        <v>45222.96791666667</v>
      </c>
      <c r="C9806" s="1" t="n">
        <v>46045</v>
      </c>
      <c r="D9806" t="inlineStr">
        <is>
          <t>JÄMTLANDS LÄN</t>
        </is>
      </c>
      <c r="E9806" t="inlineStr">
        <is>
          <t>BRÄCKE</t>
        </is>
      </c>
      <c r="F9806" t="inlineStr">
        <is>
          <t>SCA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51929-2023</t>
        </is>
      </c>
      <c r="B9807" s="1" t="n">
        <v>45216</v>
      </c>
      <c r="C9807" s="1" t="n">
        <v>46045</v>
      </c>
      <c r="D9807" t="inlineStr">
        <is>
          <t>JÄMTLANDS LÄN</t>
        </is>
      </c>
      <c r="E9807" t="inlineStr">
        <is>
          <t>KROKOM</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41831-2024</t>
        </is>
      </c>
      <c r="B9808" s="1" t="n">
        <v>45561.40703703704</v>
      </c>
      <c r="C9808" s="1" t="n">
        <v>46045</v>
      </c>
      <c r="D9808" t="inlineStr">
        <is>
          <t>JÄMTLANDS LÄN</t>
        </is>
      </c>
      <c r="E9808" t="inlineStr">
        <is>
          <t>BRÄCKE</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10552-2025</t>
        </is>
      </c>
      <c r="B9809" s="1" t="n">
        <v>45721.5113425926</v>
      </c>
      <c r="C9809" s="1" t="n">
        <v>46045</v>
      </c>
      <c r="D9809" t="inlineStr">
        <is>
          <t>JÄMTLANDS LÄN</t>
        </is>
      </c>
      <c r="E9809" t="inlineStr">
        <is>
          <t>KROKOM</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59416-2023</t>
        </is>
      </c>
      <c r="B9810" s="1" t="n">
        <v>45253</v>
      </c>
      <c r="C9810" s="1" t="n">
        <v>46045</v>
      </c>
      <c r="D9810" t="inlineStr">
        <is>
          <t>JÄMTLANDS LÄN</t>
        </is>
      </c>
      <c r="E9810" t="inlineStr">
        <is>
          <t>BRÄCKE</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59436-2023</t>
        </is>
      </c>
      <c r="B9811" s="1" t="n">
        <v>45253</v>
      </c>
      <c r="C9811" s="1" t="n">
        <v>46045</v>
      </c>
      <c r="D9811" t="inlineStr">
        <is>
          <t>JÄMTLANDS LÄN</t>
        </is>
      </c>
      <c r="E9811" t="inlineStr">
        <is>
          <t>STRÖMSUND</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44755-2024</t>
        </is>
      </c>
      <c r="B9812" s="1" t="n">
        <v>45574.61184027778</v>
      </c>
      <c r="C9812" s="1" t="n">
        <v>46045</v>
      </c>
      <c r="D9812" t="inlineStr">
        <is>
          <t>JÄMTLANDS LÄN</t>
        </is>
      </c>
      <c r="E9812" t="inlineStr">
        <is>
          <t>RAGUNDA</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44766-2024</t>
        </is>
      </c>
      <c r="B9813" s="1" t="n">
        <v>45574.62297453704</v>
      </c>
      <c r="C9813" s="1" t="n">
        <v>46045</v>
      </c>
      <c r="D9813" t="inlineStr">
        <is>
          <t>JÄMTLANDS LÄN</t>
        </is>
      </c>
      <c r="E9813" t="inlineStr">
        <is>
          <t>RAGUNDA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44778-2024</t>
        </is>
      </c>
      <c r="B9814" s="1" t="n">
        <v>45574.63355324074</v>
      </c>
      <c r="C9814" s="1" t="n">
        <v>46045</v>
      </c>
      <c r="D9814" t="inlineStr">
        <is>
          <t>JÄMTLANDS LÄN</t>
        </is>
      </c>
      <c r="E9814" t="inlineStr">
        <is>
          <t>RAGUNDA</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48213-2023</t>
        </is>
      </c>
      <c r="B9815" s="1" t="n">
        <v>45205</v>
      </c>
      <c r="C9815" s="1" t="n">
        <v>46045</v>
      </c>
      <c r="D9815" t="inlineStr">
        <is>
          <t>JÄMTLANDS LÄN</t>
        </is>
      </c>
      <c r="E9815" t="inlineStr">
        <is>
          <t>HÄRJEDALEN</t>
        </is>
      </c>
      <c r="G9815" t="n">
        <v>12.2</v>
      </c>
      <c r="H9815" t="n">
        <v>0</v>
      </c>
      <c r="I9815" t="n">
        <v>0</v>
      </c>
      <c r="J9815" t="n">
        <v>0</v>
      </c>
      <c r="K9815" t="n">
        <v>0</v>
      </c>
      <c r="L9815" t="n">
        <v>0</v>
      </c>
      <c r="M9815" t="n">
        <v>0</v>
      </c>
      <c r="N9815" t="n">
        <v>0</v>
      </c>
      <c r="O9815" t="n">
        <v>0</v>
      </c>
      <c r="P9815" t="n">
        <v>0</v>
      </c>
      <c r="Q9815" t="n">
        <v>0</v>
      </c>
      <c r="R9815" s="2" t="inlineStr"/>
    </row>
    <row r="9816" ht="15" customHeight="1">
      <c r="A9816" t="inlineStr">
        <is>
          <t>A 7545-2025</t>
        </is>
      </c>
      <c r="B9816" s="1" t="n">
        <v>45705.57388888889</v>
      </c>
      <c r="C9816" s="1" t="n">
        <v>46045</v>
      </c>
      <c r="D9816" t="inlineStr">
        <is>
          <t>JÄMTLANDS LÄN</t>
        </is>
      </c>
      <c r="E9816" t="inlineStr">
        <is>
          <t>STRÖMSUND</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7556-2025</t>
        </is>
      </c>
      <c r="B9817" s="1" t="n">
        <v>45705</v>
      </c>
      <c r="C9817" s="1" t="n">
        <v>46045</v>
      </c>
      <c r="D9817" t="inlineStr">
        <is>
          <t>JÄMTLANDS LÄN</t>
        </is>
      </c>
      <c r="E9817" t="inlineStr">
        <is>
          <t>KROKOM</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48770-2023</t>
        </is>
      </c>
      <c r="B9818" s="1" t="n">
        <v>45208.9489699074</v>
      </c>
      <c r="C9818" s="1" t="n">
        <v>46045</v>
      </c>
      <c r="D9818" t="inlineStr">
        <is>
          <t>JÄMTLANDS LÄN</t>
        </is>
      </c>
      <c r="E9818" t="inlineStr">
        <is>
          <t>BRÄCKE</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31497-2023</t>
        </is>
      </c>
      <c r="B9819" s="1" t="n">
        <v>45114.94144675926</v>
      </c>
      <c r="C9819" s="1" t="n">
        <v>46045</v>
      </c>
      <c r="D9819" t="inlineStr">
        <is>
          <t>JÄMTLANDS LÄN</t>
        </is>
      </c>
      <c r="E9819" t="inlineStr">
        <is>
          <t>STRÖMSUND</t>
        </is>
      </c>
      <c r="F9819" t="inlineStr">
        <is>
          <t>SCA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43456-2023</t>
        </is>
      </c>
      <c r="B9820" s="1" t="n">
        <v>45184.37474537037</v>
      </c>
      <c r="C9820" s="1" t="n">
        <v>46045</v>
      </c>
      <c r="D9820" t="inlineStr">
        <is>
          <t>JÄMTLANDS LÄN</t>
        </is>
      </c>
      <c r="E9820" t="inlineStr">
        <is>
          <t>ÅRE</t>
        </is>
      </c>
      <c r="F9820" t="inlineStr">
        <is>
          <t>Övriga Aktiebolag</t>
        </is>
      </c>
      <c r="G9820" t="n">
        <v>8.9</v>
      </c>
      <c r="H9820" t="n">
        <v>0</v>
      </c>
      <c r="I9820" t="n">
        <v>0</v>
      </c>
      <c r="J9820" t="n">
        <v>0</v>
      </c>
      <c r="K9820" t="n">
        <v>0</v>
      </c>
      <c r="L9820" t="n">
        <v>0</v>
      </c>
      <c r="M9820" t="n">
        <v>0</v>
      </c>
      <c r="N9820" t="n">
        <v>0</v>
      </c>
      <c r="O9820" t="n">
        <v>0</v>
      </c>
      <c r="P9820" t="n">
        <v>0</v>
      </c>
      <c r="Q9820" t="n">
        <v>0</v>
      </c>
      <c r="R9820" s="2" t="inlineStr"/>
    </row>
    <row r="9821" ht="15" customHeight="1">
      <c r="A9821" t="inlineStr">
        <is>
          <t>A 8389-2025</t>
        </is>
      </c>
      <c r="B9821" s="1" t="n">
        <v>45709.36497685185</v>
      </c>
      <c r="C9821" s="1" t="n">
        <v>46045</v>
      </c>
      <c r="D9821" t="inlineStr">
        <is>
          <t>JÄMTLANDS LÄN</t>
        </is>
      </c>
      <c r="E9821" t="inlineStr">
        <is>
          <t>ÖSTERSUND</t>
        </is>
      </c>
      <c r="F9821" t="inlineStr">
        <is>
          <t>SCA</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53537-2024</t>
        </is>
      </c>
      <c r="B9822" s="1" t="n">
        <v>45614.62445601852</v>
      </c>
      <c r="C9822" s="1" t="n">
        <v>46045</v>
      </c>
      <c r="D9822" t="inlineStr">
        <is>
          <t>JÄMTLANDS LÄN</t>
        </is>
      </c>
      <c r="E9822" t="inlineStr">
        <is>
          <t>HÄRJEDALEN</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53543-2024</t>
        </is>
      </c>
      <c r="B9823" s="1" t="n">
        <v>45614.63697916667</v>
      </c>
      <c r="C9823" s="1" t="n">
        <v>46045</v>
      </c>
      <c r="D9823" t="inlineStr">
        <is>
          <t>JÄMTLANDS LÄN</t>
        </is>
      </c>
      <c r="E9823" t="inlineStr">
        <is>
          <t>KROKOM</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53578-2024</t>
        </is>
      </c>
      <c r="B9824" s="1" t="n">
        <v>45614</v>
      </c>
      <c r="C9824" s="1" t="n">
        <v>46045</v>
      </c>
      <c r="D9824" t="inlineStr">
        <is>
          <t>JÄMTLANDS LÄN</t>
        </is>
      </c>
      <c r="E9824" t="inlineStr">
        <is>
          <t>BRÄCKE</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22865-2022</t>
        </is>
      </c>
      <c r="B9825" s="1" t="n">
        <v>44715.48863425926</v>
      </c>
      <c r="C9825" s="1" t="n">
        <v>46045</v>
      </c>
      <c r="D9825" t="inlineStr">
        <is>
          <t>JÄMTLANDS LÄN</t>
        </is>
      </c>
      <c r="E9825" t="inlineStr">
        <is>
          <t>KROKOM</t>
        </is>
      </c>
      <c r="F9825" t="inlineStr">
        <is>
          <t>Övriga Aktiebolag</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7123-2025</t>
        </is>
      </c>
      <c r="B9826" s="1" t="n">
        <v>45702.34427083333</v>
      </c>
      <c r="C9826" s="1" t="n">
        <v>46045</v>
      </c>
      <c r="D9826" t="inlineStr">
        <is>
          <t>JÄMTLANDS LÄN</t>
        </is>
      </c>
      <c r="E9826" t="inlineStr">
        <is>
          <t>BRÄCKE</t>
        </is>
      </c>
      <c r="F9826" t="inlineStr">
        <is>
          <t>SCA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6685-2025</t>
        </is>
      </c>
      <c r="B9827" s="1" t="n">
        <v>45700.48990740741</v>
      </c>
      <c r="C9827" s="1" t="n">
        <v>46045</v>
      </c>
      <c r="D9827" t="inlineStr">
        <is>
          <t>JÄMTLANDS LÄN</t>
        </is>
      </c>
      <c r="E9827" t="inlineStr">
        <is>
          <t>STRÖMSUND</t>
        </is>
      </c>
      <c r="F9827" t="inlineStr">
        <is>
          <t>SCA</t>
        </is>
      </c>
      <c r="G9827" t="n">
        <v>7.1</v>
      </c>
      <c r="H9827" t="n">
        <v>0</v>
      </c>
      <c r="I9827" t="n">
        <v>0</v>
      </c>
      <c r="J9827" t="n">
        <v>0</v>
      </c>
      <c r="K9827" t="n">
        <v>0</v>
      </c>
      <c r="L9827" t="n">
        <v>0</v>
      </c>
      <c r="M9827" t="n">
        <v>0</v>
      </c>
      <c r="N9827" t="n">
        <v>0</v>
      </c>
      <c r="O9827" t="n">
        <v>0</v>
      </c>
      <c r="P9827" t="n">
        <v>0</v>
      </c>
      <c r="Q9827" t="n">
        <v>0</v>
      </c>
      <c r="R9827" s="2" t="inlineStr"/>
    </row>
    <row r="9828" ht="15" customHeight="1">
      <c r="A9828" t="inlineStr">
        <is>
          <t>A 44048-2024</t>
        </is>
      </c>
      <c r="B9828" s="1" t="n">
        <v>45572.59430555555</v>
      </c>
      <c r="C9828" s="1" t="n">
        <v>46045</v>
      </c>
      <c r="D9828" t="inlineStr">
        <is>
          <t>JÄMTLANDS LÄN</t>
        </is>
      </c>
      <c r="E9828" t="inlineStr">
        <is>
          <t>ÖSTERSUND</t>
        </is>
      </c>
      <c r="F9828" t="inlineStr">
        <is>
          <t>SCA</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33172-2023</t>
        </is>
      </c>
      <c r="B9829" s="1" t="n">
        <v>45126.94283564815</v>
      </c>
      <c r="C9829" s="1" t="n">
        <v>46045</v>
      </c>
      <c r="D9829" t="inlineStr">
        <is>
          <t>JÄMTLANDS LÄN</t>
        </is>
      </c>
      <c r="E9829" t="inlineStr">
        <is>
          <t>BRÄCKE</t>
        </is>
      </c>
      <c r="F9829" t="inlineStr">
        <is>
          <t>SCA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24834-2022</t>
        </is>
      </c>
      <c r="B9830" s="1" t="n">
        <v>44728</v>
      </c>
      <c r="C9830" s="1" t="n">
        <v>46045</v>
      </c>
      <c r="D9830" t="inlineStr">
        <is>
          <t>JÄMTLANDS LÄN</t>
        </is>
      </c>
      <c r="E9830" t="inlineStr">
        <is>
          <t>HÄRJEDALEN</t>
        </is>
      </c>
      <c r="F9830" t="inlineStr">
        <is>
          <t>Bergvik skog väst AB</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5923-2022</t>
        </is>
      </c>
      <c r="B9831" s="1" t="n">
        <v>44598.64403935185</v>
      </c>
      <c r="C9831" s="1" t="n">
        <v>46045</v>
      </c>
      <c r="D9831" t="inlineStr">
        <is>
          <t>JÄMTLANDS LÄN</t>
        </is>
      </c>
      <c r="E9831" t="inlineStr">
        <is>
          <t>ÅRE</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8795-2022</t>
        </is>
      </c>
      <c r="B9832" s="1" t="n">
        <v>44614</v>
      </c>
      <c r="C9832" s="1" t="n">
        <v>46045</v>
      </c>
      <c r="D9832" t="inlineStr">
        <is>
          <t>JÄMTLANDS LÄN</t>
        </is>
      </c>
      <c r="E9832" t="inlineStr">
        <is>
          <t>RAGUNDA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32229-2023</t>
        </is>
      </c>
      <c r="B9833" s="1" t="n">
        <v>45119.94334490741</v>
      </c>
      <c r="C9833" s="1" t="n">
        <v>46045</v>
      </c>
      <c r="D9833" t="inlineStr">
        <is>
          <t>JÄMTLANDS LÄN</t>
        </is>
      </c>
      <c r="E9833" t="inlineStr">
        <is>
          <t>BRÄCKE</t>
        </is>
      </c>
      <c r="F9833" t="inlineStr">
        <is>
          <t>SCA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1520-2022</t>
        </is>
      </c>
      <c r="B9834" s="1" t="n">
        <v>44572</v>
      </c>
      <c r="C9834" s="1" t="n">
        <v>46045</v>
      </c>
      <c r="D9834" t="inlineStr">
        <is>
          <t>JÄMTLANDS LÄN</t>
        </is>
      </c>
      <c r="E9834" t="inlineStr">
        <is>
          <t>BERG</t>
        </is>
      </c>
      <c r="G9834" t="n">
        <v>7.7</v>
      </c>
      <c r="H9834" t="n">
        <v>0</v>
      </c>
      <c r="I9834" t="n">
        <v>0</v>
      </c>
      <c r="J9834" t="n">
        <v>0</v>
      </c>
      <c r="K9834" t="n">
        <v>0</v>
      </c>
      <c r="L9834" t="n">
        <v>0</v>
      </c>
      <c r="M9834" t="n">
        <v>0</v>
      </c>
      <c r="N9834" t="n">
        <v>0</v>
      </c>
      <c r="O9834" t="n">
        <v>0</v>
      </c>
      <c r="P9834" t="n">
        <v>0</v>
      </c>
      <c r="Q9834" t="n">
        <v>0</v>
      </c>
      <c r="R9834" s="2" t="inlineStr"/>
    </row>
    <row r="9835" ht="15" customHeight="1">
      <c r="A9835" t="inlineStr">
        <is>
          <t>A 1658-2025</t>
        </is>
      </c>
      <c r="B9835" s="1" t="n">
        <v>45670.66085648148</v>
      </c>
      <c r="C9835" s="1" t="n">
        <v>46045</v>
      </c>
      <c r="D9835" t="inlineStr">
        <is>
          <t>JÄMTLANDS LÄN</t>
        </is>
      </c>
      <c r="E9835" t="inlineStr">
        <is>
          <t>HÄRJEDALEN</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1672-2025</t>
        </is>
      </c>
      <c r="B9836" s="1" t="n">
        <v>45670.6781712963</v>
      </c>
      <c r="C9836" s="1" t="n">
        <v>46045</v>
      </c>
      <c r="D9836" t="inlineStr">
        <is>
          <t>JÄMTLANDS LÄN</t>
        </is>
      </c>
      <c r="E9836" t="inlineStr">
        <is>
          <t>BRÄCKE</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59141-2024</t>
        </is>
      </c>
      <c r="B9837" s="1" t="n">
        <v>45637.44400462963</v>
      </c>
      <c r="C9837" s="1" t="n">
        <v>46045</v>
      </c>
      <c r="D9837" t="inlineStr">
        <is>
          <t>JÄMTLANDS LÄN</t>
        </is>
      </c>
      <c r="E9837" t="inlineStr">
        <is>
          <t>STRÖMSUND</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41916-2023</t>
        </is>
      </c>
      <c r="B9838" s="1" t="n">
        <v>45176.94403935185</v>
      </c>
      <c r="C9838" s="1" t="n">
        <v>46045</v>
      </c>
      <c r="D9838" t="inlineStr">
        <is>
          <t>JÄMTLANDS LÄN</t>
        </is>
      </c>
      <c r="E9838" t="inlineStr">
        <is>
          <t>STRÖMSUND</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41923-2023</t>
        </is>
      </c>
      <c r="B9839" s="1" t="n">
        <v>45176</v>
      </c>
      <c r="C9839" s="1" t="n">
        <v>46045</v>
      </c>
      <c r="D9839" t="inlineStr">
        <is>
          <t>JÄMTLANDS LÄN</t>
        </is>
      </c>
      <c r="E9839" t="inlineStr">
        <is>
          <t>BRÄCKE</t>
        </is>
      </c>
      <c r="F9839" t="inlineStr">
        <is>
          <t>SCA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14905-2022</t>
        </is>
      </c>
      <c r="B9840" s="1" t="n">
        <v>44656.94708333333</v>
      </c>
      <c r="C9840" s="1" t="n">
        <v>46045</v>
      </c>
      <c r="D9840" t="inlineStr">
        <is>
          <t>JÄMTLANDS LÄN</t>
        </is>
      </c>
      <c r="E9840" t="inlineStr">
        <is>
          <t>RAGUNDA</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46788-2024</t>
        </is>
      </c>
      <c r="B9841" s="1" t="n">
        <v>45583.53219907408</v>
      </c>
      <c r="C9841" s="1" t="n">
        <v>46045</v>
      </c>
      <c r="D9841" t="inlineStr">
        <is>
          <t>JÄMTLANDS LÄN</t>
        </is>
      </c>
      <c r="E9841" t="inlineStr">
        <is>
          <t>ÅRE</t>
        </is>
      </c>
      <c r="F9841" t="inlineStr">
        <is>
          <t>Övriga Aktiebolag</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16545-2024</t>
        </is>
      </c>
      <c r="B9842" s="1" t="n">
        <v>45408</v>
      </c>
      <c r="C9842" s="1" t="n">
        <v>46045</v>
      </c>
      <c r="D9842" t="inlineStr">
        <is>
          <t>JÄMTLANDS LÄN</t>
        </is>
      </c>
      <c r="E9842" t="inlineStr">
        <is>
          <t>KROKOM</t>
        </is>
      </c>
      <c r="G9842" t="n">
        <v>46.1</v>
      </c>
      <c r="H9842" t="n">
        <v>0</v>
      </c>
      <c r="I9842" t="n">
        <v>0</v>
      </c>
      <c r="J9842" t="n">
        <v>0</v>
      </c>
      <c r="K9842" t="n">
        <v>0</v>
      </c>
      <c r="L9842" t="n">
        <v>0</v>
      </c>
      <c r="M9842" t="n">
        <v>0</v>
      </c>
      <c r="N9842" t="n">
        <v>0</v>
      </c>
      <c r="O9842" t="n">
        <v>0</v>
      </c>
      <c r="P9842" t="n">
        <v>0</v>
      </c>
      <c r="Q9842" t="n">
        <v>0</v>
      </c>
      <c r="R9842" s="2" t="inlineStr"/>
    </row>
    <row r="9843" ht="15" customHeight="1">
      <c r="A9843" t="inlineStr">
        <is>
          <t>A 58467-2023</t>
        </is>
      </c>
      <c r="B9843" s="1" t="n">
        <v>45250.96192129629</v>
      </c>
      <c r="C9843" s="1" t="n">
        <v>46045</v>
      </c>
      <c r="D9843" t="inlineStr">
        <is>
          <t>JÄMTLANDS LÄN</t>
        </is>
      </c>
      <c r="E9843" t="inlineStr">
        <is>
          <t>BRÄCKE</t>
        </is>
      </c>
      <c r="F9843" t="inlineStr">
        <is>
          <t>SCA</t>
        </is>
      </c>
      <c r="G9843" t="n">
        <v>9.1</v>
      </c>
      <c r="H9843" t="n">
        <v>0</v>
      </c>
      <c r="I9843" t="n">
        <v>0</v>
      </c>
      <c r="J9843" t="n">
        <v>0</v>
      </c>
      <c r="K9843" t="n">
        <v>0</v>
      </c>
      <c r="L9843" t="n">
        <v>0</v>
      </c>
      <c r="M9843" t="n">
        <v>0</v>
      </c>
      <c r="N9843" t="n">
        <v>0</v>
      </c>
      <c r="O9843" t="n">
        <v>0</v>
      </c>
      <c r="P9843" t="n">
        <v>0</v>
      </c>
      <c r="Q9843" t="n">
        <v>0</v>
      </c>
      <c r="R9843" s="2" t="inlineStr"/>
    </row>
    <row r="9844" ht="15" customHeight="1">
      <c r="A9844" t="inlineStr">
        <is>
          <t>A 35972-2023</t>
        </is>
      </c>
      <c r="B9844" s="1" t="n">
        <v>45148</v>
      </c>
      <c r="C9844" s="1" t="n">
        <v>46045</v>
      </c>
      <c r="D9844" t="inlineStr">
        <is>
          <t>JÄMTLANDS LÄN</t>
        </is>
      </c>
      <c r="E9844" t="inlineStr">
        <is>
          <t>BRÄCKE</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5558-2025</t>
        </is>
      </c>
      <c r="B9845" s="1" t="n">
        <v>45693.48239583334</v>
      </c>
      <c r="C9845" s="1" t="n">
        <v>46045</v>
      </c>
      <c r="D9845" t="inlineStr">
        <is>
          <t>JÄMTLANDS LÄN</t>
        </is>
      </c>
      <c r="E9845" t="inlineStr">
        <is>
          <t>KROKOM</t>
        </is>
      </c>
      <c r="G9845" t="n">
        <v>31.1</v>
      </c>
      <c r="H9845" t="n">
        <v>0</v>
      </c>
      <c r="I9845" t="n">
        <v>0</v>
      </c>
      <c r="J9845" t="n">
        <v>0</v>
      </c>
      <c r="K9845" t="n">
        <v>0</v>
      </c>
      <c r="L9845" t="n">
        <v>0</v>
      </c>
      <c r="M9845" t="n">
        <v>0</v>
      </c>
      <c r="N9845" t="n">
        <v>0</v>
      </c>
      <c r="O9845" t="n">
        <v>0</v>
      </c>
      <c r="P9845" t="n">
        <v>0</v>
      </c>
      <c r="Q9845" t="n">
        <v>0</v>
      </c>
      <c r="R9845" s="2" t="inlineStr"/>
    </row>
    <row r="9846" ht="15" customHeight="1">
      <c r="A9846" t="inlineStr">
        <is>
          <t>A 32259-2021</t>
        </is>
      </c>
      <c r="B9846" s="1" t="n">
        <v>44371</v>
      </c>
      <c r="C9846" s="1" t="n">
        <v>46045</v>
      </c>
      <c r="D9846" t="inlineStr">
        <is>
          <t>JÄMTLANDS LÄN</t>
        </is>
      </c>
      <c r="E9846" t="inlineStr">
        <is>
          <t>STRÖMSUND</t>
        </is>
      </c>
      <c r="F9846" t="inlineStr">
        <is>
          <t>SCA</t>
        </is>
      </c>
      <c r="G9846" t="n">
        <v>22.4</v>
      </c>
      <c r="H9846" t="n">
        <v>0</v>
      </c>
      <c r="I9846" t="n">
        <v>0</v>
      </c>
      <c r="J9846" t="n">
        <v>0</v>
      </c>
      <c r="K9846" t="n">
        <v>0</v>
      </c>
      <c r="L9846" t="n">
        <v>0</v>
      </c>
      <c r="M9846" t="n">
        <v>0</v>
      </c>
      <c r="N9846" t="n">
        <v>0</v>
      </c>
      <c r="O9846" t="n">
        <v>0</v>
      </c>
      <c r="P9846" t="n">
        <v>0</v>
      </c>
      <c r="Q9846" t="n">
        <v>0</v>
      </c>
      <c r="R9846" s="2" t="inlineStr"/>
    </row>
    <row r="9847" ht="15" customHeight="1">
      <c r="A9847" t="inlineStr">
        <is>
          <t>A 55235-2023</t>
        </is>
      </c>
      <c r="B9847" s="1" t="n">
        <v>45231</v>
      </c>
      <c r="C9847" s="1" t="n">
        <v>46045</v>
      </c>
      <c r="D9847" t="inlineStr">
        <is>
          <t>JÄMTLANDS LÄN</t>
        </is>
      </c>
      <c r="E9847" t="inlineStr">
        <is>
          <t>ÖSTERSUND</t>
        </is>
      </c>
      <c r="F9847" t="inlineStr">
        <is>
          <t>SCA</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55340-2023</t>
        </is>
      </c>
      <c r="B9848" s="1" t="n">
        <v>45237</v>
      </c>
      <c r="C9848" s="1" t="n">
        <v>46045</v>
      </c>
      <c r="D9848" t="inlineStr">
        <is>
          <t>JÄMTLANDS LÄN</t>
        </is>
      </c>
      <c r="E9848" t="inlineStr">
        <is>
          <t>STRÖMSUND</t>
        </is>
      </c>
      <c r="F9848" t="inlineStr">
        <is>
          <t>SCA</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4063-2025</t>
        </is>
      </c>
      <c r="B9849" s="1" t="n">
        <v>45684</v>
      </c>
      <c r="C9849" s="1" t="n">
        <v>46045</v>
      </c>
      <c r="D9849" t="inlineStr">
        <is>
          <t>JÄMTLANDS LÄN</t>
        </is>
      </c>
      <c r="E9849" t="inlineStr">
        <is>
          <t>ÖSTERSUND</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6208-2025</t>
        </is>
      </c>
      <c r="B9850" s="1" t="n">
        <v>45698.4930787037</v>
      </c>
      <c r="C9850" s="1" t="n">
        <v>46045</v>
      </c>
      <c r="D9850" t="inlineStr">
        <is>
          <t>JÄMTLANDS LÄN</t>
        </is>
      </c>
      <c r="E9850" t="inlineStr">
        <is>
          <t>KROKOM</t>
        </is>
      </c>
      <c r="G9850" t="n">
        <v>7.6</v>
      </c>
      <c r="H9850" t="n">
        <v>0</v>
      </c>
      <c r="I9850" t="n">
        <v>0</v>
      </c>
      <c r="J9850" t="n">
        <v>0</v>
      </c>
      <c r="K9850" t="n">
        <v>0</v>
      </c>
      <c r="L9850" t="n">
        <v>0</v>
      </c>
      <c r="M9850" t="n">
        <v>0</v>
      </c>
      <c r="N9850" t="n">
        <v>0</v>
      </c>
      <c r="O9850" t="n">
        <v>0</v>
      </c>
      <c r="P9850" t="n">
        <v>0</v>
      </c>
      <c r="Q9850" t="n">
        <v>0</v>
      </c>
      <c r="R9850" s="2" t="inlineStr"/>
    </row>
    <row r="9851" ht="15" customHeight="1">
      <c r="A9851" t="inlineStr">
        <is>
          <t>A 46383-2023</t>
        </is>
      </c>
      <c r="B9851" s="1" t="n">
        <v>45197.46966435185</v>
      </c>
      <c r="C9851" s="1" t="n">
        <v>46045</v>
      </c>
      <c r="D9851" t="inlineStr">
        <is>
          <t>JÄMTLANDS LÄN</t>
        </is>
      </c>
      <c r="E9851" t="inlineStr">
        <is>
          <t>HÄRJEDALEN</t>
        </is>
      </c>
      <c r="G9851" t="n">
        <v>7.6</v>
      </c>
      <c r="H9851" t="n">
        <v>0</v>
      </c>
      <c r="I9851" t="n">
        <v>0</v>
      </c>
      <c r="J9851" t="n">
        <v>0</v>
      </c>
      <c r="K9851" t="n">
        <v>0</v>
      </c>
      <c r="L9851" t="n">
        <v>0</v>
      </c>
      <c r="M9851" t="n">
        <v>0</v>
      </c>
      <c r="N9851" t="n">
        <v>0</v>
      </c>
      <c r="O9851" t="n">
        <v>0</v>
      </c>
      <c r="P9851" t="n">
        <v>0</v>
      </c>
      <c r="Q9851" t="n">
        <v>0</v>
      </c>
      <c r="R9851" s="2" t="inlineStr"/>
    </row>
    <row r="9852" ht="15" customHeight="1">
      <c r="A9852" t="inlineStr">
        <is>
          <t>A 28754-2023</t>
        </is>
      </c>
      <c r="B9852" s="1" t="n">
        <v>45103.94185185185</v>
      </c>
      <c r="C9852" s="1" t="n">
        <v>46045</v>
      </c>
      <c r="D9852" t="inlineStr">
        <is>
          <t>JÄMTLANDS LÄN</t>
        </is>
      </c>
      <c r="E9852" t="inlineStr">
        <is>
          <t>STRÖMSUND</t>
        </is>
      </c>
      <c r="F9852" t="inlineStr">
        <is>
          <t>SCA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60334-2023</t>
        </is>
      </c>
      <c r="B9853" s="1" t="n">
        <v>45258.95184027778</v>
      </c>
      <c r="C9853" s="1" t="n">
        <v>46045</v>
      </c>
      <c r="D9853" t="inlineStr">
        <is>
          <t>JÄMTLANDS LÄN</t>
        </is>
      </c>
      <c r="E9853" t="inlineStr">
        <is>
          <t>STRÖMSUND</t>
        </is>
      </c>
      <c r="F9853" t="inlineStr">
        <is>
          <t>SCA</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8386-2025</t>
        </is>
      </c>
      <c r="B9854" s="1" t="n">
        <v>45709.35850694445</v>
      </c>
      <c r="C9854" s="1" t="n">
        <v>46045</v>
      </c>
      <c r="D9854" t="inlineStr">
        <is>
          <t>JÄMTLANDS LÄN</t>
        </is>
      </c>
      <c r="E9854" t="inlineStr">
        <is>
          <t>BRÄCKE</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6257-2025</t>
        </is>
      </c>
      <c r="B9855" s="1" t="n">
        <v>45698.59409722222</v>
      </c>
      <c r="C9855" s="1" t="n">
        <v>46045</v>
      </c>
      <c r="D9855" t="inlineStr">
        <is>
          <t>JÄMTLANDS LÄN</t>
        </is>
      </c>
      <c r="E9855" t="inlineStr">
        <is>
          <t>RAGUNDA</t>
        </is>
      </c>
      <c r="F9855" t="inlineStr">
        <is>
          <t>SCA</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42508-2023</t>
        </is>
      </c>
      <c r="B9856" s="1" t="n">
        <v>45180.95907407408</v>
      </c>
      <c r="C9856" s="1" t="n">
        <v>46045</v>
      </c>
      <c r="D9856" t="inlineStr">
        <is>
          <t>JÄMTLANDS LÄN</t>
        </is>
      </c>
      <c r="E9856" t="inlineStr">
        <is>
          <t>RAGUNDA</t>
        </is>
      </c>
      <c r="F9856" t="inlineStr">
        <is>
          <t>SCA</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6245-2025</t>
        </is>
      </c>
      <c r="B9857" s="1" t="n">
        <v>45698.57129629629</v>
      </c>
      <c r="C9857" s="1" t="n">
        <v>46045</v>
      </c>
      <c r="D9857" t="inlineStr">
        <is>
          <t>JÄMTLANDS LÄN</t>
        </is>
      </c>
      <c r="E9857" t="inlineStr">
        <is>
          <t>KROKOM</t>
        </is>
      </c>
      <c r="G9857" t="n">
        <v>9.9</v>
      </c>
      <c r="H9857" t="n">
        <v>0</v>
      </c>
      <c r="I9857" t="n">
        <v>0</v>
      </c>
      <c r="J9857" t="n">
        <v>0</v>
      </c>
      <c r="K9857" t="n">
        <v>0</v>
      </c>
      <c r="L9857" t="n">
        <v>0</v>
      </c>
      <c r="M9857" t="n">
        <v>0</v>
      </c>
      <c r="N9857" t="n">
        <v>0</v>
      </c>
      <c r="O9857" t="n">
        <v>0</v>
      </c>
      <c r="P9857" t="n">
        <v>0</v>
      </c>
      <c r="Q9857" t="n">
        <v>0</v>
      </c>
      <c r="R9857" s="2" t="inlineStr"/>
    </row>
    <row r="9858" ht="15" customHeight="1">
      <c r="A9858" t="inlineStr">
        <is>
          <t>A 60962-2023</t>
        </is>
      </c>
      <c r="B9858" s="1" t="n">
        <v>45261.46787037037</v>
      </c>
      <c r="C9858" s="1" t="n">
        <v>46045</v>
      </c>
      <c r="D9858" t="inlineStr">
        <is>
          <t>JÄMTLANDS LÄN</t>
        </is>
      </c>
      <c r="E9858" t="inlineStr">
        <is>
          <t>ÅRE</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60973-2023</t>
        </is>
      </c>
      <c r="B9859" s="1" t="n">
        <v>45261.47321759259</v>
      </c>
      <c r="C9859" s="1" t="n">
        <v>46045</v>
      </c>
      <c r="D9859" t="inlineStr">
        <is>
          <t>JÄMTLANDS LÄN</t>
        </is>
      </c>
      <c r="E9859" t="inlineStr">
        <is>
          <t>ÅRE</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18965-2025</t>
        </is>
      </c>
      <c r="B9860" s="1" t="n">
        <v>45764.53155092592</v>
      </c>
      <c r="C9860" s="1" t="n">
        <v>46045</v>
      </c>
      <c r="D9860" t="inlineStr">
        <is>
          <t>JÄMTLANDS LÄN</t>
        </is>
      </c>
      <c r="E9860" t="inlineStr">
        <is>
          <t>BRÄCKE</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4383-2025</t>
        </is>
      </c>
      <c r="B9861" s="1" t="n">
        <v>45686.39777777778</v>
      </c>
      <c r="C9861" s="1" t="n">
        <v>46045</v>
      </c>
      <c r="D9861" t="inlineStr">
        <is>
          <t>JÄMTLANDS LÄN</t>
        </is>
      </c>
      <c r="E9861" t="inlineStr">
        <is>
          <t>KROKOM</t>
        </is>
      </c>
      <c r="F9861" t="inlineStr">
        <is>
          <t>SCA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35766-2023</t>
        </is>
      </c>
      <c r="B9862" s="1" t="n">
        <v>45147</v>
      </c>
      <c r="C9862" s="1" t="n">
        <v>46045</v>
      </c>
      <c r="D9862" t="inlineStr">
        <is>
          <t>JÄMTLANDS LÄN</t>
        </is>
      </c>
      <c r="E9862" t="inlineStr">
        <is>
          <t>BRÄCKE</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4419-2025</t>
        </is>
      </c>
      <c r="B9863" s="1" t="n">
        <v>45686</v>
      </c>
      <c r="C9863" s="1" t="n">
        <v>46045</v>
      </c>
      <c r="D9863" t="inlineStr">
        <is>
          <t>JÄMTLANDS LÄN</t>
        </is>
      </c>
      <c r="E9863" t="inlineStr">
        <is>
          <t>STRÖMSUND</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59358-2023</t>
        </is>
      </c>
      <c r="B9864" s="1" t="n">
        <v>45253.68273148148</v>
      </c>
      <c r="C9864" s="1" t="n">
        <v>46045</v>
      </c>
      <c r="D9864" t="inlineStr">
        <is>
          <t>JÄMTLANDS LÄN</t>
        </is>
      </c>
      <c r="E9864" t="inlineStr">
        <is>
          <t>STRÖMSUND</t>
        </is>
      </c>
      <c r="F9864" t="inlineStr">
        <is>
          <t>Holmen skog AB</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56499-2023</t>
        </is>
      </c>
      <c r="B9865" s="1" t="n">
        <v>45237</v>
      </c>
      <c r="C9865" s="1" t="n">
        <v>46045</v>
      </c>
      <c r="D9865" t="inlineStr">
        <is>
          <t>JÄMTLANDS LÄN</t>
        </is>
      </c>
      <c r="E9865" t="inlineStr">
        <is>
          <t>BRÄCKE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56525-2023</t>
        </is>
      </c>
      <c r="B9866" s="1" t="n">
        <v>45243.56650462963</v>
      </c>
      <c r="C9866" s="1" t="n">
        <v>46045</v>
      </c>
      <c r="D9866" t="inlineStr">
        <is>
          <t>JÄMTLANDS LÄN</t>
        </is>
      </c>
      <c r="E9866" t="inlineStr">
        <is>
          <t>BRÄCKE</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56538-2023</t>
        </is>
      </c>
      <c r="B9867" s="1" t="n">
        <v>45238</v>
      </c>
      <c r="C9867" s="1" t="n">
        <v>46045</v>
      </c>
      <c r="D9867" t="inlineStr">
        <is>
          <t>JÄMTLANDS LÄN</t>
        </is>
      </c>
      <c r="E9867" t="inlineStr">
        <is>
          <t>KROKOM</t>
        </is>
      </c>
      <c r="G9867" t="n">
        <v>17.7</v>
      </c>
      <c r="H9867" t="n">
        <v>0</v>
      </c>
      <c r="I9867" t="n">
        <v>0</v>
      </c>
      <c r="J9867" t="n">
        <v>0</v>
      </c>
      <c r="K9867" t="n">
        <v>0</v>
      </c>
      <c r="L9867" t="n">
        <v>0</v>
      </c>
      <c r="M9867" t="n">
        <v>0</v>
      </c>
      <c r="N9867" t="n">
        <v>0</v>
      </c>
      <c r="O9867" t="n">
        <v>0</v>
      </c>
      <c r="P9867" t="n">
        <v>0</v>
      </c>
      <c r="Q9867" t="n">
        <v>0</v>
      </c>
      <c r="R9867" s="2" t="inlineStr"/>
    </row>
    <row r="9868" ht="15" customHeight="1">
      <c r="A9868" t="inlineStr">
        <is>
          <t>A 28738-2022</t>
        </is>
      </c>
      <c r="B9868" s="1" t="n">
        <v>44748.94701388889</v>
      </c>
      <c r="C9868" s="1" t="n">
        <v>46045</v>
      </c>
      <c r="D9868" t="inlineStr">
        <is>
          <t>JÄMTLANDS LÄN</t>
        </is>
      </c>
      <c r="E9868" t="inlineStr">
        <is>
          <t>BRÄCKE</t>
        </is>
      </c>
      <c r="F9868" t="inlineStr">
        <is>
          <t>SCA</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41955-2023</t>
        </is>
      </c>
      <c r="B9869" s="1" t="n">
        <v>45174</v>
      </c>
      <c r="C9869" s="1" t="n">
        <v>46045</v>
      </c>
      <c r="D9869" t="inlineStr">
        <is>
          <t>JÄMTLANDS LÄN</t>
        </is>
      </c>
      <c r="E9869" t="inlineStr">
        <is>
          <t>HÄRJEDALEN</t>
        </is>
      </c>
      <c r="G9869" t="n">
        <v>60.5</v>
      </c>
      <c r="H9869" t="n">
        <v>0</v>
      </c>
      <c r="I9869" t="n">
        <v>0</v>
      </c>
      <c r="J9869" t="n">
        <v>0</v>
      </c>
      <c r="K9869" t="n">
        <v>0</v>
      </c>
      <c r="L9869" t="n">
        <v>0</v>
      </c>
      <c r="M9869" t="n">
        <v>0</v>
      </c>
      <c r="N9869" t="n">
        <v>0</v>
      </c>
      <c r="O9869" t="n">
        <v>0</v>
      </c>
      <c r="P9869" t="n">
        <v>0</v>
      </c>
      <c r="Q9869" t="n">
        <v>0</v>
      </c>
      <c r="R9869" s="2" t="inlineStr"/>
    </row>
    <row r="9870" ht="15" customHeight="1">
      <c r="A9870" t="inlineStr">
        <is>
          <t>A 15776-2025</t>
        </is>
      </c>
      <c r="B9870" s="1" t="n">
        <v>45748.59744212963</v>
      </c>
      <c r="C9870" s="1" t="n">
        <v>46045</v>
      </c>
      <c r="D9870" t="inlineStr">
        <is>
          <t>JÄMTLANDS LÄN</t>
        </is>
      </c>
      <c r="E9870" t="inlineStr">
        <is>
          <t>KROKOM</t>
        </is>
      </c>
      <c r="G9870" t="n">
        <v>46.5</v>
      </c>
      <c r="H9870" t="n">
        <v>0</v>
      </c>
      <c r="I9870" t="n">
        <v>0</v>
      </c>
      <c r="J9870" t="n">
        <v>0</v>
      </c>
      <c r="K9870" t="n">
        <v>0</v>
      </c>
      <c r="L9870" t="n">
        <v>0</v>
      </c>
      <c r="M9870" t="n">
        <v>0</v>
      </c>
      <c r="N9870" t="n">
        <v>0</v>
      </c>
      <c r="O9870" t="n">
        <v>0</v>
      </c>
      <c r="P9870" t="n">
        <v>0</v>
      </c>
      <c r="Q9870" t="n">
        <v>0</v>
      </c>
      <c r="R9870" s="2" t="inlineStr"/>
    </row>
    <row r="9871" ht="15" customHeight="1">
      <c r="A9871" t="inlineStr">
        <is>
          <t>A 15783-2025</t>
        </is>
      </c>
      <c r="B9871" s="1" t="n">
        <v>45748.6204050926</v>
      </c>
      <c r="C9871" s="1" t="n">
        <v>46045</v>
      </c>
      <c r="D9871" t="inlineStr">
        <is>
          <t>JÄMTLANDS LÄN</t>
        </is>
      </c>
      <c r="E9871" t="inlineStr">
        <is>
          <t>STRÖMSUND</t>
        </is>
      </c>
      <c r="F9871" t="inlineStr">
        <is>
          <t>SCA</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46798-2023</t>
        </is>
      </c>
      <c r="B9872" s="1" t="n">
        <v>45198</v>
      </c>
      <c r="C9872" s="1" t="n">
        <v>46045</v>
      </c>
      <c r="D9872" t="inlineStr">
        <is>
          <t>JÄMTLANDS LÄN</t>
        </is>
      </c>
      <c r="E9872" t="inlineStr">
        <is>
          <t>BRÄCKE</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46816-2023</t>
        </is>
      </c>
      <c r="B9873" s="1" t="n">
        <v>45198</v>
      </c>
      <c r="C9873" s="1" t="n">
        <v>46045</v>
      </c>
      <c r="D9873" t="inlineStr">
        <is>
          <t>JÄMTLANDS LÄN</t>
        </is>
      </c>
      <c r="E9873" t="inlineStr">
        <is>
          <t>BERG</t>
        </is>
      </c>
      <c r="F9873" t="inlineStr">
        <is>
          <t>SCA</t>
        </is>
      </c>
      <c r="G9873" t="n">
        <v>66.2</v>
      </c>
      <c r="H9873" t="n">
        <v>0</v>
      </c>
      <c r="I9873" t="n">
        <v>0</v>
      </c>
      <c r="J9873" t="n">
        <v>0</v>
      </c>
      <c r="K9873" t="n">
        <v>0</v>
      </c>
      <c r="L9873" t="n">
        <v>0</v>
      </c>
      <c r="M9873" t="n">
        <v>0</v>
      </c>
      <c r="N9873" t="n">
        <v>0</v>
      </c>
      <c r="O9873" t="n">
        <v>0</v>
      </c>
      <c r="P9873" t="n">
        <v>0</v>
      </c>
      <c r="Q9873" t="n">
        <v>0</v>
      </c>
      <c r="R9873" s="2" t="inlineStr"/>
    </row>
    <row r="9874" ht="15" customHeight="1">
      <c r="A9874" t="inlineStr">
        <is>
          <t>A 52127-2023</t>
        </is>
      </c>
      <c r="B9874" s="1" t="n">
        <v>45223.96543981481</v>
      </c>
      <c r="C9874" s="1" t="n">
        <v>46045</v>
      </c>
      <c r="D9874" t="inlineStr">
        <is>
          <t>JÄMTLANDS LÄN</t>
        </is>
      </c>
      <c r="E9874" t="inlineStr">
        <is>
          <t>BRÄCKE</t>
        </is>
      </c>
      <c r="F9874" t="inlineStr">
        <is>
          <t>SCA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59286-2023</t>
        </is>
      </c>
      <c r="B9875" s="1" t="n">
        <v>45253</v>
      </c>
      <c r="C9875" s="1" t="n">
        <v>46045</v>
      </c>
      <c r="D9875" t="inlineStr">
        <is>
          <t>JÄMTLANDS LÄN</t>
        </is>
      </c>
      <c r="E9875" t="inlineStr">
        <is>
          <t>RAGUNDA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54789-2023</t>
        </is>
      </c>
      <c r="B9876" s="1" t="n">
        <v>45236.48659722223</v>
      </c>
      <c r="C9876" s="1" t="n">
        <v>46045</v>
      </c>
      <c r="D9876" t="inlineStr">
        <is>
          <t>JÄMTLANDS LÄN</t>
        </is>
      </c>
      <c r="E9876" t="inlineStr">
        <is>
          <t>BRÄCKE</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31641-2022</t>
        </is>
      </c>
      <c r="B9877" s="1" t="n">
        <v>44775.94119212963</v>
      </c>
      <c r="C9877" s="1" t="n">
        <v>46045</v>
      </c>
      <c r="D9877" t="inlineStr">
        <is>
          <t>JÄMTLANDS LÄN</t>
        </is>
      </c>
      <c r="E9877" t="inlineStr">
        <is>
          <t>BERG</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57431-2023</t>
        </is>
      </c>
      <c r="B9878" s="1" t="n">
        <v>45240</v>
      </c>
      <c r="C9878" s="1" t="n">
        <v>46045</v>
      </c>
      <c r="D9878" t="inlineStr">
        <is>
          <t>JÄMTLANDS LÄN</t>
        </is>
      </c>
      <c r="E9878" t="inlineStr">
        <is>
          <t>STRÖMSUND</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24531-2022</t>
        </is>
      </c>
      <c r="B9879" s="1" t="n">
        <v>44726</v>
      </c>
      <c r="C9879" s="1" t="n">
        <v>46045</v>
      </c>
      <c r="D9879" t="inlineStr">
        <is>
          <t>JÄMTLANDS LÄN</t>
        </is>
      </c>
      <c r="E9879" t="inlineStr">
        <is>
          <t>BRÄCKE</t>
        </is>
      </c>
      <c r="F9879" t="inlineStr">
        <is>
          <t>SCA</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52139-2023</t>
        </is>
      </c>
      <c r="B9880" s="1" t="n">
        <v>45223</v>
      </c>
      <c r="C9880" s="1" t="n">
        <v>46045</v>
      </c>
      <c r="D9880" t="inlineStr">
        <is>
          <t>JÄMTLANDS LÄN</t>
        </is>
      </c>
      <c r="E9880" t="inlineStr">
        <is>
          <t>STRÖMSUND</t>
        </is>
      </c>
      <c r="F9880" t="inlineStr">
        <is>
          <t>SCA</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4122-2025</t>
        </is>
      </c>
      <c r="B9881" s="1" t="n">
        <v>45685.26828703703</v>
      </c>
      <c r="C9881" s="1" t="n">
        <v>46045</v>
      </c>
      <c r="D9881" t="inlineStr">
        <is>
          <t>JÄMTLANDS LÄN</t>
        </is>
      </c>
      <c r="E9881" t="inlineStr">
        <is>
          <t>BRÄCKE</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29328-2023</t>
        </is>
      </c>
      <c r="B9882" s="1" t="n">
        <v>45105.94356481481</v>
      </c>
      <c r="C9882" s="1" t="n">
        <v>46045</v>
      </c>
      <c r="D9882" t="inlineStr">
        <is>
          <t>JÄMTLANDS LÄN</t>
        </is>
      </c>
      <c r="E9882" t="inlineStr">
        <is>
          <t>STRÖMSUND</t>
        </is>
      </c>
      <c r="F9882" t="inlineStr">
        <is>
          <t>SCA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7284-2025</t>
        </is>
      </c>
      <c r="B9883" s="1" t="n">
        <v>45702.63604166666</v>
      </c>
      <c r="C9883" s="1" t="n">
        <v>46045</v>
      </c>
      <c r="D9883" t="inlineStr">
        <is>
          <t>JÄMTLANDS LÄN</t>
        </is>
      </c>
      <c r="E9883" t="inlineStr">
        <is>
          <t>RAGUNDA</t>
        </is>
      </c>
      <c r="F9883" t="inlineStr">
        <is>
          <t>SCA</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46872-2023</t>
        </is>
      </c>
      <c r="B9884" s="1" t="n">
        <v>45200</v>
      </c>
      <c r="C9884" s="1" t="n">
        <v>46045</v>
      </c>
      <c r="D9884" t="inlineStr">
        <is>
          <t>JÄMTLANDS LÄN</t>
        </is>
      </c>
      <c r="E9884" t="inlineStr">
        <is>
          <t>BERG</t>
        </is>
      </c>
      <c r="F9884" t="inlineStr">
        <is>
          <t>Naturvårdsverket</t>
        </is>
      </c>
      <c r="G9884" t="n">
        <v>1.2</v>
      </c>
      <c r="H9884" t="n">
        <v>0</v>
      </c>
      <c r="I9884" t="n">
        <v>0</v>
      </c>
      <c r="J9884" t="n">
        <v>0</v>
      </c>
      <c r="K9884" t="n">
        <v>0</v>
      </c>
      <c r="L9884" t="n">
        <v>0</v>
      </c>
      <c r="M9884" t="n">
        <v>0</v>
      </c>
      <c r="N9884" t="n">
        <v>0</v>
      </c>
      <c r="O9884" t="n">
        <v>0</v>
      </c>
      <c r="P9884" t="n">
        <v>0</v>
      </c>
      <c r="Q9884" t="n">
        <v>0</v>
      </c>
      <c r="R9884" s="2" t="inlineStr"/>
      <c r="U9884">
        <f>HYPERLINK("https://klasma.github.io/Logging_2326/knärot/A 46872-2023 karta knärot.png", "A 46872-2023")</f>
        <v/>
      </c>
      <c r="V9884">
        <f>HYPERLINK("https://klasma.github.io/Logging_2326/klagomål/A 46872-2023 FSC-klagomål.docx", "A 46872-2023")</f>
        <v/>
      </c>
      <c r="W9884">
        <f>HYPERLINK("https://klasma.github.io/Logging_2326/klagomålsmail/A 46872-2023 FSC-klagomål mail.docx", "A 46872-2023")</f>
        <v/>
      </c>
      <c r="X9884">
        <f>HYPERLINK("https://klasma.github.io/Logging_2326/tillsyn/A 46872-2023 tillsynsbegäran.docx", "A 46872-2023")</f>
        <v/>
      </c>
      <c r="Y9884">
        <f>HYPERLINK("https://klasma.github.io/Logging_2326/tillsynsmail/A 46872-2023 tillsynsbegäran mail.docx", "A 46872-2023")</f>
        <v/>
      </c>
    </row>
    <row r="9885" ht="15" customHeight="1">
      <c r="A9885" t="inlineStr">
        <is>
          <t>A 7936-2025</t>
        </is>
      </c>
      <c r="B9885" s="1" t="n">
        <v>45707</v>
      </c>
      <c r="C9885" s="1" t="n">
        <v>46045</v>
      </c>
      <c r="D9885" t="inlineStr">
        <is>
          <t>JÄMTLANDS LÄN</t>
        </is>
      </c>
      <c r="E9885" t="inlineStr">
        <is>
          <t>ÖSTERSUND</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7940-2025</t>
        </is>
      </c>
      <c r="B9886" s="1" t="n">
        <v>45707.40493055555</v>
      </c>
      <c r="C9886" s="1" t="n">
        <v>46045</v>
      </c>
      <c r="D9886" t="inlineStr">
        <is>
          <t>JÄMTLANDS LÄN</t>
        </is>
      </c>
      <c r="E9886" t="inlineStr">
        <is>
          <t>ÖSTERSUND</t>
        </is>
      </c>
      <c r="F9886" t="inlineStr">
        <is>
          <t>Övriga Aktiebolag</t>
        </is>
      </c>
      <c r="G9886" t="n">
        <v>48.1</v>
      </c>
      <c r="H9886" t="n">
        <v>0</v>
      </c>
      <c r="I9886" t="n">
        <v>0</v>
      </c>
      <c r="J9886" t="n">
        <v>0</v>
      </c>
      <c r="K9886" t="n">
        <v>0</v>
      </c>
      <c r="L9886" t="n">
        <v>0</v>
      </c>
      <c r="M9886" t="n">
        <v>0</v>
      </c>
      <c r="N9886" t="n">
        <v>0</v>
      </c>
      <c r="O9886" t="n">
        <v>0</v>
      </c>
      <c r="P9886" t="n">
        <v>0</v>
      </c>
      <c r="Q9886" t="n">
        <v>0</v>
      </c>
      <c r="R9886" s="2" t="inlineStr"/>
    </row>
    <row r="9887" ht="15" customHeight="1">
      <c r="A9887" t="inlineStr">
        <is>
          <t>A 7943-2025</t>
        </is>
      </c>
      <c r="B9887" s="1" t="n">
        <v>45707.40697916667</v>
      </c>
      <c r="C9887" s="1" t="n">
        <v>46045</v>
      </c>
      <c r="D9887" t="inlineStr">
        <is>
          <t>JÄMTLANDS LÄN</t>
        </is>
      </c>
      <c r="E9887" t="inlineStr">
        <is>
          <t>BRÄCKE</t>
        </is>
      </c>
      <c r="F9887" t="inlineStr">
        <is>
          <t>SCA</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12946-2022</t>
        </is>
      </c>
      <c r="B9888" s="1" t="n">
        <v>44642.93471064815</v>
      </c>
      <c r="C9888" s="1" t="n">
        <v>46045</v>
      </c>
      <c r="D9888" t="inlineStr">
        <is>
          <t>JÄMTLANDS LÄN</t>
        </is>
      </c>
      <c r="E9888" t="inlineStr">
        <is>
          <t>ÖSTERSUND</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79-2025</t>
        </is>
      </c>
      <c r="B9889" s="1" t="n">
        <v>45659.44413194444</v>
      </c>
      <c r="C9889" s="1" t="n">
        <v>46045</v>
      </c>
      <c r="D9889" t="inlineStr">
        <is>
          <t>JÄMTLANDS LÄN</t>
        </is>
      </c>
      <c r="E9889" t="inlineStr">
        <is>
          <t>ÖSTERSUND</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16517-2025</t>
        </is>
      </c>
      <c r="B9890" s="1" t="n">
        <v>45751.63266203704</v>
      </c>
      <c r="C9890" s="1" t="n">
        <v>46045</v>
      </c>
      <c r="D9890" t="inlineStr">
        <is>
          <t>JÄMTLANDS LÄN</t>
        </is>
      </c>
      <c r="E9890" t="inlineStr">
        <is>
          <t>HÄRJEDALEN</t>
        </is>
      </c>
      <c r="F9890" t="inlineStr">
        <is>
          <t>Övriga Aktiebolag</t>
        </is>
      </c>
      <c r="G9890" t="n">
        <v>18.6</v>
      </c>
      <c r="H9890" t="n">
        <v>0</v>
      </c>
      <c r="I9890" t="n">
        <v>0</v>
      </c>
      <c r="J9890" t="n">
        <v>0</v>
      </c>
      <c r="K9890" t="n">
        <v>0</v>
      </c>
      <c r="L9890" t="n">
        <v>0</v>
      </c>
      <c r="M9890" t="n">
        <v>0</v>
      </c>
      <c r="N9890" t="n">
        <v>0</v>
      </c>
      <c r="O9890" t="n">
        <v>0</v>
      </c>
      <c r="P9890" t="n">
        <v>0</v>
      </c>
      <c r="Q9890" t="n">
        <v>0</v>
      </c>
      <c r="R9890" s="2" t="inlineStr"/>
    </row>
    <row r="9891" ht="15" customHeight="1">
      <c r="A9891" t="inlineStr">
        <is>
          <t>A 39870-2023</t>
        </is>
      </c>
      <c r="B9891" s="1" t="n">
        <v>45168</v>
      </c>
      <c r="C9891" s="1" t="n">
        <v>46045</v>
      </c>
      <c r="D9891" t="inlineStr">
        <is>
          <t>JÄMTLANDS LÄN</t>
        </is>
      </c>
      <c r="E9891" t="inlineStr">
        <is>
          <t>STRÖMSUND</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18849-2022</t>
        </is>
      </c>
      <c r="B9892" s="1" t="n">
        <v>44690</v>
      </c>
      <c r="C9892" s="1" t="n">
        <v>46045</v>
      </c>
      <c r="D9892" t="inlineStr">
        <is>
          <t>JÄMTLANDS LÄN</t>
        </is>
      </c>
      <c r="E9892" t="inlineStr">
        <is>
          <t>ÅRE</t>
        </is>
      </c>
      <c r="G9892" t="n">
        <v>12.8</v>
      </c>
      <c r="H9892" t="n">
        <v>0</v>
      </c>
      <c r="I9892" t="n">
        <v>0</v>
      </c>
      <c r="J9892" t="n">
        <v>0</v>
      </c>
      <c r="K9892" t="n">
        <v>0</v>
      </c>
      <c r="L9892" t="n">
        <v>0</v>
      </c>
      <c r="M9892" t="n">
        <v>0</v>
      </c>
      <c r="N9892" t="n">
        <v>0</v>
      </c>
      <c r="O9892" t="n">
        <v>0</v>
      </c>
      <c r="P9892" t="n">
        <v>0</v>
      </c>
      <c r="Q9892" t="n">
        <v>0</v>
      </c>
      <c r="R9892" s="2" t="inlineStr"/>
    </row>
    <row r="9893" ht="15" customHeight="1">
      <c r="A9893" t="inlineStr">
        <is>
          <t>A 24718-2022</t>
        </is>
      </c>
      <c r="B9893" s="1" t="n">
        <v>44727.94221064815</v>
      </c>
      <c r="C9893" s="1" t="n">
        <v>46045</v>
      </c>
      <c r="D9893" t="inlineStr">
        <is>
          <t>JÄMTLANDS LÄN</t>
        </is>
      </c>
      <c r="E9893" t="inlineStr">
        <is>
          <t>BRÄCKE</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31040-2021</t>
        </is>
      </c>
      <c r="B9894" s="1" t="n">
        <v>44368</v>
      </c>
      <c r="C9894" s="1" t="n">
        <v>46045</v>
      </c>
      <c r="D9894" t="inlineStr">
        <is>
          <t>JÄMTLANDS LÄN</t>
        </is>
      </c>
      <c r="E9894" t="inlineStr">
        <is>
          <t>ÖSTERSUND</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2753-2025</t>
        </is>
      </c>
      <c r="B9895" s="1" t="n">
        <v>45677.47302083333</v>
      </c>
      <c r="C9895" s="1" t="n">
        <v>46045</v>
      </c>
      <c r="D9895" t="inlineStr">
        <is>
          <t>JÄMTLANDS LÄN</t>
        </is>
      </c>
      <c r="E9895" t="inlineStr">
        <is>
          <t>ÖSTERSUND</t>
        </is>
      </c>
      <c r="G9895" t="n">
        <v>6.4</v>
      </c>
      <c r="H9895" t="n">
        <v>0</v>
      </c>
      <c r="I9895" t="n">
        <v>0</v>
      </c>
      <c r="J9895" t="n">
        <v>0</v>
      </c>
      <c r="K9895" t="n">
        <v>0</v>
      </c>
      <c r="L9895" t="n">
        <v>0</v>
      </c>
      <c r="M9895" t="n">
        <v>0</v>
      </c>
      <c r="N9895" t="n">
        <v>0</v>
      </c>
      <c r="O9895" t="n">
        <v>0</v>
      </c>
      <c r="P9895" t="n">
        <v>0</v>
      </c>
      <c r="Q9895" t="n">
        <v>0</v>
      </c>
      <c r="R9895" s="2" t="inlineStr"/>
    </row>
    <row r="9896" ht="15" customHeight="1">
      <c r="A9896" t="inlineStr">
        <is>
          <t>A 55562-2023</t>
        </is>
      </c>
      <c r="B9896" s="1" t="n">
        <v>45238.64153935185</v>
      </c>
      <c r="C9896" s="1" t="n">
        <v>46045</v>
      </c>
      <c r="D9896" t="inlineStr">
        <is>
          <t>JÄMTLANDS LÄN</t>
        </is>
      </c>
      <c r="E9896" t="inlineStr">
        <is>
          <t>HÄRJEDALEN</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60012-2023</t>
        </is>
      </c>
      <c r="B9897" s="1" t="n">
        <v>45257</v>
      </c>
      <c r="C9897" s="1" t="n">
        <v>46045</v>
      </c>
      <c r="D9897" t="inlineStr">
        <is>
          <t>JÄMTLANDS LÄN</t>
        </is>
      </c>
      <c r="E9897" t="inlineStr">
        <is>
          <t>RAGUNDA</t>
        </is>
      </c>
      <c r="F9897" t="inlineStr">
        <is>
          <t>SCA</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21192-2022</t>
        </is>
      </c>
      <c r="B9898" s="1" t="n">
        <v>44704.94199074074</v>
      </c>
      <c r="C9898" s="1" t="n">
        <v>46045</v>
      </c>
      <c r="D9898" t="inlineStr">
        <is>
          <t>JÄMTLANDS LÄN</t>
        </is>
      </c>
      <c r="E9898" t="inlineStr">
        <is>
          <t>STRÖMSUND</t>
        </is>
      </c>
      <c r="F9898" t="inlineStr">
        <is>
          <t>SCA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10279-2025</t>
        </is>
      </c>
      <c r="B9899" s="1" t="n">
        <v>45720.40268518519</v>
      </c>
      <c r="C9899" s="1" t="n">
        <v>46045</v>
      </c>
      <c r="D9899" t="inlineStr">
        <is>
          <t>JÄMTLANDS LÄN</t>
        </is>
      </c>
      <c r="E9899" t="inlineStr">
        <is>
          <t>KROKOM</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12732-2025</t>
        </is>
      </c>
      <c r="B9900" s="1" t="n">
        <v>45733.51090277778</v>
      </c>
      <c r="C9900" s="1" t="n">
        <v>46045</v>
      </c>
      <c r="D9900" t="inlineStr">
        <is>
          <t>JÄMTLANDS LÄN</t>
        </is>
      </c>
      <c r="E9900" t="inlineStr">
        <is>
          <t>BRÄCKE</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13499-2024</t>
        </is>
      </c>
      <c r="B9901" s="1" t="n">
        <v>45387</v>
      </c>
      <c r="C9901" s="1" t="n">
        <v>46045</v>
      </c>
      <c r="D9901" t="inlineStr">
        <is>
          <t>JÄMTLANDS LÄN</t>
        </is>
      </c>
      <c r="E9901" t="inlineStr">
        <is>
          <t>STRÖMSUND</t>
        </is>
      </c>
      <c r="F9901" t="inlineStr">
        <is>
          <t>Kommuner</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58503-2022</t>
        </is>
      </c>
      <c r="B9902" s="1" t="n">
        <v>44902.38313657408</v>
      </c>
      <c r="C9902" s="1" t="n">
        <v>46045</v>
      </c>
      <c r="D9902" t="inlineStr">
        <is>
          <t>JÄMTLANDS LÄN</t>
        </is>
      </c>
      <c r="E9902" t="inlineStr">
        <is>
          <t>BRÄCKE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61751-2023</t>
        </is>
      </c>
      <c r="B9903" s="1" t="n">
        <v>45265</v>
      </c>
      <c r="C9903" s="1" t="n">
        <v>46045</v>
      </c>
      <c r="D9903" t="inlineStr">
        <is>
          <t>JÄMTLANDS LÄN</t>
        </is>
      </c>
      <c r="E9903" t="inlineStr">
        <is>
          <t>HÄRJEDALEN</t>
        </is>
      </c>
      <c r="G9903" t="n">
        <v>11.3</v>
      </c>
      <c r="H9903" t="n">
        <v>0</v>
      </c>
      <c r="I9903" t="n">
        <v>0</v>
      </c>
      <c r="J9903" t="n">
        <v>0</v>
      </c>
      <c r="K9903" t="n">
        <v>0</v>
      </c>
      <c r="L9903" t="n">
        <v>0</v>
      </c>
      <c r="M9903" t="n">
        <v>0</v>
      </c>
      <c r="N9903" t="n">
        <v>0</v>
      </c>
      <c r="O9903" t="n">
        <v>0</v>
      </c>
      <c r="P9903" t="n">
        <v>0</v>
      </c>
      <c r="Q9903" t="n">
        <v>0</v>
      </c>
      <c r="R9903" s="2" t="inlineStr"/>
    </row>
    <row r="9904" ht="15" customHeight="1">
      <c r="A9904" t="inlineStr">
        <is>
          <t>A 46342-2022</t>
        </is>
      </c>
      <c r="B9904" s="1" t="n">
        <v>44847.9502199074</v>
      </c>
      <c r="C9904" s="1" t="n">
        <v>46045</v>
      </c>
      <c r="D9904" t="inlineStr">
        <is>
          <t>JÄMTLANDS LÄN</t>
        </is>
      </c>
      <c r="E9904" t="inlineStr">
        <is>
          <t>STRÖMSUND</t>
        </is>
      </c>
      <c r="F9904" t="inlineStr">
        <is>
          <t>SCA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20221-2025</t>
        </is>
      </c>
      <c r="B9905" s="1" t="n">
        <v>45772.6565625</v>
      </c>
      <c r="C9905" s="1" t="n">
        <v>46045</v>
      </c>
      <c r="D9905" t="inlineStr">
        <is>
          <t>JÄMTLANDS LÄN</t>
        </is>
      </c>
      <c r="E9905" t="inlineStr">
        <is>
          <t>RAGUNDA</t>
        </is>
      </c>
      <c r="F9905" t="inlineStr">
        <is>
          <t>SCA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12940-2024</t>
        </is>
      </c>
      <c r="B9906" s="1" t="n">
        <v>45385.46263888889</v>
      </c>
      <c r="C9906" s="1" t="n">
        <v>46045</v>
      </c>
      <c r="D9906" t="inlineStr">
        <is>
          <t>JÄMTLANDS LÄN</t>
        </is>
      </c>
      <c r="E9906" t="inlineStr">
        <is>
          <t>ÅRE</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45716-2023</t>
        </is>
      </c>
      <c r="B9907" s="1" t="n">
        <v>45195.35877314815</v>
      </c>
      <c r="C9907" s="1" t="n">
        <v>46045</v>
      </c>
      <c r="D9907" t="inlineStr">
        <is>
          <t>JÄMTLANDS LÄN</t>
        </is>
      </c>
      <c r="E9907" t="inlineStr">
        <is>
          <t>HÄRJEDALEN</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45747-2023</t>
        </is>
      </c>
      <c r="B9908" s="1" t="n">
        <v>45195.3878125</v>
      </c>
      <c r="C9908" s="1" t="n">
        <v>46045</v>
      </c>
      <c r="D9908" t="inlineStr">
        <is>
          <t>JÄMTLANDS LÄN</t>
        </is>
      </c>
      <c r="E9908" t="inlineStr">
        <is>
          <t>HÄRJEDALEN</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58446-2023</t>
        </is>
      </c>
      <c r="B9909" s="1" t="n">
        <v>45250</v>
      </c>
      <c r="C9909" s="1" t="n">
        <v>46045</v>
      </c>
      <c r="D9909" t="inlineStr">
        <is>
          <t>JÄMTLANDS LÄN</t>
        </is>
      </c>
      <c r="E9909" t="inlineStr">
        <is>
          <t>STRÖMSUND</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45809-2023</t>
        </is>
      </c>
      <c r="B9910" s="1" t="n">
        <v>45195.49412037037</v>
      </c>
      <c r="C9910" s="1" t="n">
        <v>46045</v>
      </c>
      <c r="D9910" t="inlineStr">
        <is>
          <t>JÄMTLANDS LÄN</t>
        </is>
      </c>
      <c r="E9910" t="inlineStr">
        <is>
          <t>STRÖMSUND</t>
        </is>
      </c>
      <c r="G9910" t="n">
        <v>12.3</v>
      </c>
      <c r="H9910" t="n">
        <v>0</v>
      </c>
      <c r="I9910" t="n">
        <v>0</v>
      </c>
      <c r="J9910" t="n">
        <v>0</v>
      </c>
      <c r="K9910" t="n">
        <v>0</v>
      </c>
      <c r="L9910" t="n">
        <v>0</v>
      </c>
      <c r="M9910" t="n">
        <v>0</v>
      </c>
      <c r="N9910" t="n">
        <v>0</v>
      </c>
      <c r="O9910" t="n">
        <v>0</v>
      </c>
      <c r="P9910" t="n">
        <v>0</v>
      </c>
      <c r="Q9910" t="n">
        <v>0</v>
      </c>
      <c r="R9910" s="2" t="inlineStr"/>
    </row>
    <row r="9911" ht="15" customHeight="1">
      <c r="A9911" t="inlineStr">
        <is>
          <t>A 24494-2024</t>
        </is>
      </c>
      <c r="B9911" s="1" t="n">
        <v>45459</v>
      </c>
      <c r="C9911" s="1" t="n">
        <v>46045</v>
      </c>
      <c r="D9911" t="inlineStr">
        <is>
          <t>JÄMTLANDS LÄN</t>
        </is>
      </c>
      <c r="E9911" t="inlineStr">
        <is>
          <t>HÄRJEDALEN</t>
        </is>
      </c>
      <c r="G9911" t="n">
        <v>20.1</v>
      </c>
      <c r="H9911" t="n">
        <v>0</v>
      </c>
      <c r="I9911" t="n">
        <v>0</v>
      </c>
      <c r="J9911" t="n">
        <v>0</v>
      </c>
      <c r="K9911" t="n">
        <v>0</v>
      </c>
      <c r="L9911" t="n">
        <v>0</v>
      </c>
      <c r="M9911" t="n">
        <v>0</v>
      </c>
      <c r="N9911" t="n">
        <v>0</v>
      </c>
      <c r="O9911" t="n">
        <v>0</v>
      </c>
      <c r="P9911" t="n">
        <v>0</v>
      </c>
      <c r="Q9911" t="n">
        <v>0</v>
      </c>
      <c r="R9911" s="2" t="inlineStr"/>
    </row>
    <row r="9912" ht="15" customHeight="1">
      <c r="A9912" t="inlineStr">
        <is>
          <t>A 22275-2022</t>
        </is>
      </c>
      <c r="B9912" s="1" t="n">
        <v>44712</v>
      </c>
      <c r="C9912" s="1" t="n">
        <v>46045</v>
      </c>
      <c r="D9912" t="inlineStr">
        <is>
          <t>JÄMTLANDS LÄN</t>
        </is>
      </c>
      <c r="E9912" t="inlineStr">
        <is>
          <t>BERG</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52760-2023</t>
        </is>
      </c>
      <c r="B9913" s="1" t="n">
        <v>45225</v>
      </c>
      <c r="C9913" s="1" t="n">
        <v>46045</v>
      </c>
      <c r="D9913" t="inlineStr">
        <is>
          <t>JÄMTLANDS LÄN</t>
        </is>
      </c>
      <c r="E9913" t="inlineStr">
        <is>
          <t>BRÄCKE</t>
        </is>
      </c>
      <c r="F9913" t="inlineStr">
        <is>
          <t>SCA</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35265-2023</t>
        </is>
      </c>
      <c r="B9914" s="1" t="n">
        <v>45145.95326388889</v>
      </c>
      <c r="C9914" s="1" t="n">
        <v>46045</v>
      </c>
      <c r="D9914" t="inlineStr">
        <is>
          <t>JÄMTLANDS LÄN</t>
        </is>
      </c>
      <c r="E9914" t="inlineStr">
        <is>
          <t>RAGUNDA</t>
        </is>
      </c>
      <c r="F9914" t="inlineStr">
        <is>
          <t>SCA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31435-2022</t>
        </is>
      </c>
      <c r="B9915" s="1" t="n">
        <v>44774</v>
      </c>
      <c r="C9915" s="1" t="n">
        <v>46045</v>
      </c>
      <c r="D9915" t="inlineStr">
        <is>
          <t>JÄMTLANDS LÄN</t>
        </is>
      </c>
      <c r="E9915" t="inlineStr">
        <is>
          <t>RAGUNDA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50211-2023</t>
        </is>
      </c>
      <c r="B9916" s="1" t="n">
        <v>45215.94657407407</v>
      </c>
      <c r="C9916" s="1" t="n">
        <v>46045</v>
      </c>
      <c r="D9916" t="inlineStr">
        <is>
          <t>JÄMTLANDS LÄN</t>
        </is>
      </c>
      <c r="E9916" t="inlineStr">
        <is>
          <t>RAGUNDA</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50223-2023</t>
        </is>
      </c>
      <c r="B9917" s="1" t="n">
        <v>45215.94747685185</v>
      </c>
      <c r="C9917" s="1" t="n">
        <v>46045</v>
      </c>
      <c r="D9917" t="inlineStr">
        <is>
          <t>JÄMTLANDS LÄN</t>
        </is>
      </c>
      <c r="E9917" t="inlineStr">
        <is>
          <t>BRÄCKE</t>
        </is>
      </c>
      <c r="F9917" t="inlineStr">
        <is>
          <t>SCA</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47391-2022</t>
        </is>
      </c>
      <c r="B9918" s="1" t="n">
        <v>44853</v>
      </c>
      <c r="C9918" s="1" t="n">
        <v>46045</v>
      </c>
      <c r="D9918" t="inlineStr">
        <is>
          <t>JÄMTLANDS LÄN</t>
        </is>
      </c>
      <c r="E9918" t="inlineStr">
        <is>
          <t>STRÖMSUND</t>
        </is>
      </c>
      <c r="F9918" t="inlineStr">
        <is>
          <t>Holmen skog AB</t>
        </is>
      </c>
      <c r="G9918" t="n">
        <v>11.8</v>
      </c>
      <c r="H9918" t="n">
        <v>0</v>
      </c>
      <c r="I9918" t="n">
        <v>0</v>
      </c>
      <c r="J9918" t="n">
        <v>0</v>
      </c>
      <c r="K9918" t="n">
        <v>0</v>
      </c>
      <c r="L9918" t="n">
        <v>0</v>
      </c>
      <c r="M9918" t="n">
        <v>0</v>
      </c>
      <c r="N9918" t="n">
        <v>0</v>
      </c>
      <c r="O9918" t="n">
        <v>0</v>
      </c>
      <c r="P9918" t="n">
        <v>0</v>
      </c>
      <c r="Q9918" t="n">
        <v>0</v>
      </c>
      <c r="R9918" s="2" t="inlineStr"/>
    </row>
    <row r="9919" ht="15" customHeight="1">
      <c r="A9919" t="inlineStr">
        <is>
          <t>A 32362-2022</t>
        </is>
      </c>
      <c r="B9919" s="1" t="n">
        <v>44781.94354166667</v>
      </c>
      <c r="C9919" s="1" t="n">
        <v>46045</v>
      </c>
      <c r="D9919" t="inlineStr">
        <is>
          <t>JÄMTLANDS LÄN</t>
        </is>
      </c>
      <c r="E9919" t="inlineStr">
        <is>
          <t>STRÖMSUND</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23118-2022</t>
        </is>
      </c>
      <c r="B9920" s="1" t="n">
        <v>44719.5662037037</v>
      </c>
      <c r="C9920" s="1" t="n">
        <v>46045</v>
      </c>
      <c r="D9920" t="inlineStr">
        <is>
          <t>JÄMTLANDS LÄN</t>
        </is>
      </c>
      <c r="E9920" t="inlineStr">
        <is>
          <t>ÅRE</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5533-2025</t>
        </is>
      </c>
      <c r="B9921" s="1" t="n">
        <v>45693</v>
      </c>
      <c r="C9921" s="1" t="n">
        <v>46045</v>
      </c>
      <c r="D9921" t="inlineStr">
        <is>
          <t>JÄMTLANDS LÄN</t>
        </is>
      </c>
      <c r="E9921" t="inlineStr">
        <is>
          <t>KROKOM</t>
        </is>
      </c>
      <c r="G9921" t="n">
        <v>109</v>
      </c>
      <c r="H9921" t="n">
        <v>0</v>
      </c>
      <c r="I9921" t="n">
        <v>0</v>
      </c>
      <c r="J9921" t="n">
        <v>0</v>
      </c>
      <c r="K9921" t="n">
        <v>0</v>
      </c>
      <c r="L9921" t="n">
        <v>0</v>
      </c>
      <c r="M9921" t="n">
        <v>0</v>
      </c>
      <c r="N9921" t="n">
        <v>0</v>
      </c>
      <c r="O9921" t="n">
        <v>0</v>
      </c>
      <c r="P9921" t="n">
        <v>0</v>
      </c>
      <c r="Q9921" t="n">
        <v>0</v>
      </c>
      <c r="R9921" s="2" t="inlineStr"/>
    </row>
    <row r="9922" ht="15" customHeight="1">
      <c r="A9922" t="inlineStr">
        <is>
          <t>A 51017-2023</t>
        </is>
      </c>
      <c r="B9922" s="1" t="n">
        <v>45218.58609953704</v>
      </c>
      <c r="C9922" s="1" t="n">
        <v>46045</v>
      </c>
      <c r="D9922" t="inlineStr">
        <is>
          <t>JÄMTLANDS LÄN</t>
        </is>
      </c>
      <c r="E9922" t="inlineStr">
        <is>
          <t>HÄRJEDALEN</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40364-2023</t>
        </is>
      </c>
      <c r="B9923" s="1" t="n">
        <v>45168</v>
      </c>
      <c r="C9923" s="1" t="n">
        <v>46045</v>
      </c>
      <c r="D9923" t="inlineStr">
        <is>
          <t>JÄMTLANDS LÄN</t>
        </is>
      </c>
      <c r="E9923" t="inlineStr">
        <is>
          <t>KROKOM</t>
        </is>
      </c>
      <c r="G9923" t="n">
        <v>9.199999999999999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34278-2022</t>
        </is>
      </c>
      <c r="B9924" s="1" t="n">
        <v>44792.27644675926</v>
      </c>
      <c r="C9924" s="1" t="n">
        <v>46045</v>
      </c>
      <c r="D9924" t="inlineStr">
        <is>
          <t>JÄMTLANDS LÄN</t>
        </is>
      </c>
      <c r="E9924" t="inlineStr">
        <is>
          <t>KROKOM</t>
        </is>
      </c>
      <c r="G9924" t="n">
        <v>19.5</v>
      </c>
      <c r="H9924" t="n">
        <v>0</v>
      </c>
      <c r="I9924" t="n">
        <v>0</v>
      </c>
      <c r="J9924" t="n">
        <v>0</v>
      </c>
      <c r="K9924" t="n">
        <v>0</v>
      </c>
      <c r="L9924" t="n">
        <v>0</v>
      </c>
      <c r="M9924" t="n">
        <v>0</v>
      </c>
      <c r="N9924" t="n">
        <v>0</v>
      </c>
      <c r="O9924" t="n">
        <v>0</v>
      </c>
      <c r="P9924" t="n">
        <v>0</v>
      </c>
      <c r="Q9924" t="n">
        <v>0</v>
      </c>
      <c r="R9924" s="2" t="inlineStr"/>
    </row>
    <row r="9925" ht="15" customHeight="1">
      <c r="A9925" t="inlineStr">
        <is>
          <t>A 1881-2024</t>
        </is>
      </c>
      <c r="B9925" s="1" t="n">
        <v>45307.96266203704</v>
      </c>
      <c r="C9925" s="1" t="n">
        <v>46045</v>
      </c>
      <c r="D9925" t="inlineStr">
        <is>
          <t>JÄMTLANDS LÄN</t>
        </is>
      </c>
      <c r="E9925" t="inlineStr">
        <is>
          <t>BRÄCKE</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44321-2023</t>
        </is>
      </c>
      <c r="B9926" s="1" t="n">
        <v>45188.65484953704</v>
      </c>
      <c r="C9926" s="1" t="n">
        <v>46045</v>
      </c>
      <c r="D9926" t="inlineStr">
        <is>
          <t>JÄMTLANDS LÄN</t>
        </is>
      </c>
      <c r="E9926" t="inlineStr">
        <is>
          <t>BRÄCKE</t>
        </is>
      </c>
      <c r="F9926" t="inlineStr">
        <is>
          <t>Sveaskog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1929-2024</t>
        </is>
      </c>
      <c r="B9927" s="1" t="n">
        <v>45308.45653935185</v>
      </c>
      <c r="C9927" s="1" t="n">
        <v>46045</v>
      </c>
      <c r="D9927" t="inlineStr">
        <is>
          <t>JÄMTLANDS LÄN</t>
        </is>
      </c>
      <c r="E9927" t="inlineStr">
        <is>
          <t>STRÖMSUND</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44327-2023</t>
        </is>
      </c>
      <c r="B9928" s="1" t="n">
        <v>45188</v>
      </c>
      <c r="C9928" s="1" t="n">
        <v>46045</v>
      </c>
      <c r="D9928" t="inlineStr">
        <is>
          <t>JÄMTLANDS LÄN</t>
        </is>
      </c>
      <c r="E9928" t="inlineStr">
        <is>
          <t>ÖSTERSUND</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44328-2023</t>
        </is>
      </c>
      <c r="B9929" s="1" t="n">
        <v>45188.659375</v>
      </c>
      <c r="C9929" s="1" t="n">
        <v>46045</v>
      </c>
      <c r="D9929" t="inlineStr">
        <is>
          <t>JÄMTLANDS LÄN</t>
        </is>
      </c>
      <c r="E9929" t="inlineStr">
        <is>
          <t>BRÄCKE</t>
        </is>
      </c>
      <c r="F9929" t="inlineStr">
        <is>
          <t>Sveaskog</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29238-2022</t>
        </is>
      </c>
      <c r="B9930" s="1" t="n">
        <v>44750</v>
      </c>
      <c r="C9930" s="1" t="n">
        <v>46045</v>
      </c>
      <c r="D9930" t="inlineStr">
        <is>
          <t>JÄMTLANDS LÄN</t>
        </is>
      </c>
      <c r="E9930" t="inlineStr">
        <is>
          <t>KROKOM</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23512-2022</t>
        </is>
      </c>
      <c r="B9931" s="1" t="n">
        <v>44721.39003472222</v>
      </c>
      <c r="C9931" s="1" t="n">
        <v>46045</v>
      </c>
      <c r="D9931" t="inlineStr">
        <is>
          <t>JÄMTLANDS LÄN</t>
        </is>
      </c>
      <c r="E9931" t="inlineStr">
        <is>
          <t>KROKOM</t>
        </is>
      </c>
      <c r="F9931" t="inlineStr">
        <is>
          <t>Övriga Aktiebolag</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27780-2022</t>
        </is>
      </c>
      <c r="B9932" s="1" t="n">
        <v>44743</v>
      </c>
      <c r="C9932" s="1" t="n">
        <v>46045</v>
      </c>
      <c r="D9932" t="inlineStr">
        <is>
          <t>JÄMTLANDS LÄN</t>
        </is>
      </c>
      <c r="E9932" t="inlineStr">
        <is>
          <t>ÖSTERSUND</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23555-2022</t>
        </is>
      </c>
      <c r="B9933" s="1" t="n">
        <v>44721</v>
      </c>
      <c r="C9933" s="1" t="n">
        <v>46045</v>
      </c>
      <c r="D9933" t="inlineStr">
        <is>
          <t>JÄMTLANDS LÄN</t>
        </is>
      </c>
      <c r="E9933" t="inlineStr">
        <is>
          <t>ÖSTERSUND</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53047-2023</t>
        </is>
      </c>
      <c r="B9934" s="1" t="n">
        <v>45226.96398148148</v>
      </c>
      <c r="C9934" s="1" t="n">
        <v>46045</v>
      </c>
      <c r="D9934" t="inlineStr">
        <is>
          <t>JÄMTLANDS LÄN</t>
        </is>
      </c>
      <c r="E9934" t="inlineStr">
        <is>
          <t>BRÄCKE</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16529-2022</t>
        </is>
      </c>
      <c r="B9935" s="1" t="n">
        <v>44671</v>
      </c>
      <c r="C9935" s="1" t="n">
        <v>46045</v>
      </c>
      <c r="D9935" t="inlineStr">
        <is>
          <t>JÄMTLANDS LÄN</t>
        </is>
      </c>
      <c r="E9935" t="inlineStr">
        <is>
          <t>RAGUNDA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16552-2025</t>
        </is>
      </c>
      <c r="B9936" s="1" t="n">
        <v>45751.69827546296</v>
      </c>
      <c r="C9936" s="1" t="n">
        <v>46045</v>
      </c>
      <c r="D9936" t="inlineStr">
        <is>
          <t>JÄMTLANDS LÄN</t>
        </is>
      </c>
      <c r="E9936" t="inlineStr">
        <is>
          <t>HÄRJEDALEN</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16722-2025</t>
        </is>
      </c>
      <c r="B9937" s="1" t="n">
        <v>45754.49059027778</v>
      </c>
      <c r="C9937" s="1" t="n">
        <v>46045</v>
      </c>
      <c r="D9937" t="inlineStr">
        <is>
          <t>JÄMTLANDS LÄN</t>
        </is>
      </c>
      <c r="E9937" t="inlineStr">
        <is>
          <t>STRÖMSUND</t>
        </is>
      </c>
      <c r="F9937" t="inlineStr">
        <is>
          <t>SCA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10267-2025</t>
        </is>
      </c>
      <c r="B9938" s="1" t="n">
        <v>45720.3859375</v>
      </c>
      <c r="C9938" s="1" t="n">
        <v>46045</v>
      </c>
      <c r="D9938" t="inlineStr">
        <is>
          <t>JÄMTLANDS LÄN</t>
        </is>
      </c>
      <c r="E9938" t="inlineStr">
        <is>
          <t>ÖSTERSUND</t>
        </is>
      </c>
      <c r="F9938" t="inlineStr">
        <is>
          <t>SCA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10483-2025</t>
        </is>
      </c>
      <c r="B9939" s="1" t="n">
        <v>45721.33868055556</v>
      </c>
      <c r="C9939" s="1" t="n">
        <v>46045</v>
      </c>
      <c r="D9939" t="inlineStr">
        <is>
          <t>JÄMTLANDS LÄN</t>
        </is>
      </c>
      <c r="E9939" t="inlineStr">
        <is>
          <t>HÄRJEDALEN</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10486-2025</t>
        </is>
      </c>
      <c r="B9940" s="1" t="n">
        <v>45721.34410879629</v>
      </c>
      <c r="C9940" s="1" t="n">
        <v>46045</v>
      </c>
      <c r="D9940" t="inlineStr">
        <is>
          <t>JÄMTLANDS LÄN</t>
        </is>
      </c>
      <c r="E9940" t="inlineStr">
        <is>
          <t>BRÄCKE</t>
        </is>
      </c>
      <c r="F9940" t="inlineStr">
        <is>
          <t>SCA</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10493-2025</t>
        </is>
      </c>
      <c r="B9941" s="1" t="n">
        <v>45721.36320601852</v>
      </c>
      <c r="C9941" s="1" t="n">
        <v>46045</v>
      </c>
      <c r="D9941" t="inlineStr">
        <is>
          <t>JÄMTLANDS LÄN</t>
        </is>
      </c>
      <c r="E9941" t="inlineStr">
        <is>
          <t>ÖSTERSUND</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40269-2022</t>
        </is>
      </c>
      <c r="B9942" s="1" t="n">
        <v>44820</v>
      </c>
      <c r="C9942" s="1" t="n">
        <v>46045</v>
      </c>
      <c r="D9942" t="inlineStr">
        <is>
          <t>JÄMTLANDS LÄN</t>
        </is>
      </c>
      <c r="E9942" t="inlineStr">
        <is>
          <t>RAGUNDA</t>
        </is>
      </c>
      <c r="F9942" t="inlineStr">
        <is>
          <t>SCA</t>
        </is>
      </c>
      <c r="G9942" t="n">
        <v>77.8</v>
      </c>
      <c r="H9942" t="n">
        <v>0</v>
      </c>
      <c r="I9942" t="n">
        <v>0</v>
      </c>
      <c r="J9942" t="n">
        <v>0</v>
      </c>
      <c r="K9942" t="n">
        <v>0</v>
      </c>
      <c r="L9942" t="n">
        <v>0</v>
      </c>
      <c r="M9942" t="n">
        <v>0</v>
      </c>
      <c r="N9942" t="n">
        <v>0</v>
      </c>
      <c r="O9942" t="n">
        <v>0</v>
      </c>
      <c r="P9942" t="n">
        <v>0</v>
      </c>
      <c r="Q9942" t="n">
        <v>0</v>
      </c>
      <c r="R9942" s="2" t="inlineStr"/>
    </row>
    <row r="9943" ht="15" customHeight="1">
      <c r="A9943" t="inlineStr">
        <is>
          <t>A 51077-2023</t>
        </is>
      </c>
      <c r="B9943" s="1" t="n">
        <v>45211</v>
      </c>
      <c r="C9943" s="1" t="n">
        <v>46045</v>
      </c>
      <c r="D9943" t="inlineStr">
        <is>
          <t>JÄMTLANDS LÄN</t>
        </is>
      </c>
      <c r="E9943" t="inlineStr">
        <is>
          <t>STRÖMSUND</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26665-2023</t>
        </is>
      </c>
      <c r="B9944" s="1" t="n">
        <v>45092.94055555556</v>
      </c>
      <c r="C9944" s="1" t="n">
        <v>46045</v>
      </c>
      <c r="D9944" t="inlineStr">
        <is>
          <t>JÄMTLANDS LÄN</t>
        </is>
      </c>
      <c r="E9944" t="inlineStr">
        <is>
          <t>STRÖMSUND</t>
        </is>
      </c>
      <c r="F9944" t="inlineStr">
        <is>
          <t>SCA</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26666-2023</t>
        </is>
      </c>
      <c r="B9945" s="1" t="n">
        <v>45092.940625</v>
      </c>
      <c r="C9945" s="1" t="n">
        <v>46045</v>
      </c>
      <c r="D9945" t="inlineStr">
        <is>
          <t>JÄMTLANDS LÄN</t>
        </is>
      </c>
      <c r="E9945" t="inlineStr">
        <is>
          <t>STRÖMSUND</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24441-2022</t>
        </is>
      </c>
      <c r="B9946" s="1" t="n">
        <v>44726</v>
      </c>
      <c r="C9946" s="1" t="n">
        <v>46045</v>
      </c>
      <c r="D9946" t="inlineStr">
        <is>
          <t>JÄMTLANDS LÄN</t>
        </is>
      </c>
      <c r="E9946" t="inlineStr">
        <is>
          <t>KROKOM</t>
        </is>
      </c>
      <c r="G9946" t="n">
        <v>12.1</v>
      </c>
      <c r="H9946" t="n">
        <v>0</v>
      </c>
      <c r="I9946" t="n">
        <v>0</v>
      </c>
      <c r="J9946" t="n">
        <v>0</v>
      </c>
      <c r="K9946" t="n">
        <v>0</v>
      </c>
      <c r="L9946" t="n">
        <v>0</v>
      </c>
      <c r="M9946" t="n">
        <v>0</v>
      </c>
      <c r="N9946" t="n">
        <v>0</v>
      </c>
      <c r="O9946" t="n">
        <v>0</v>
      </c>
      <c r="P9946" t="n">
        <v>0</v>
      </c>
      <c r="Q9946" t="n">
        <v>0</v>
      </c>
      <c r="R9946" s="2" t="inlineStr"/>
    </row>
    <row r="9947" ht="15" customHeight="1">
      <c r="A9947" t="inlineStr">
        <is>
          <t>A 51277-2023</t>
        </is>
      </c>
      <c r="B9947" s="1" t="n">
        <v>45219</v>
      </c>
      <c r="C9947" s="1" t="n">
        <v>46045</v>
      </c>
      <c r="D9947" t="inlineStr">
        <is>
          <t>JÄMTLANDS LÄN</t>
        </is>
      </c>
      <c r="E9947" t="inlineStr">
        <is>
          <t>ÅRE</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44536-2022</t>
        </is>
      </c>
      <c r="B9948" s="1" t="n">
        <v>44839</v>
      </c>
      <c r="C9948" s="1" t="n">
        <v>46045</v>
      </c>
      <c r="D9948" t="inlineStr">
        <is>
          <t>JÄMTLANDS LÄN</t>
        </is>
      </c>
      <c r="E9948" t="inlineStr">
        <is>
          <t>RAGUNDA</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51282-2023</t>
        </is>
      </c>
      <c r="B9949" s="1" t="n">
        <v>45219</v>
      </c>
      <c r="C9949" s="1" t="n">
        <v>46045</v>
      </c>
      <c r="D9949" t="inlineStr">
        <is>
          <t>JÄMTLANDS LÄN</t>
        </is>
      </c>
      <c r="E9949" t="inlineStr">
        <is>
          <t>ÅRE</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54328-2023</t>
        </is>
      </c>
      <c r="B9950" s="1" t="n">
        <v>45232.95774305556</v>
      </c>
      <c r="C9950" s="1" t="n">
        <v>46045</v>
      </c>
      <c r="D9950" t="inlineStr">
        <is>
          <t>JÄMTLANDS LÄN</t>
        </is>
      </c>
      <c r="E9950" t="inlineStr">
        <is>
          <t>BRÄCKE</t>
        </is>
      </c>
      <c r="F9950" t="inlineStr">
        <is>
          <t>SCA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54385-2023</t>
        </is>
      </c>
      <c r="B9951" s="1" t="n">
        <v>45233.35863425926</v>
      </c>
      <c r="C9951" s="1" t="n">
        <v>46045</v>
      </c>
      <c r="D9951" t="inlineStr">
        <is>
          <t>JÄMTLANDS LÄN</t>
        </is>
      </c>
      <c r="E9951" t="inlineStr">
        <is>
          <t>ÅRE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40653-2022</t>
        </is>
      </c>
      <c r="B9952" s="1" t="n">
        <v>44818</v>
      </c>
      <c r="C9952" s="1" t="n">
        <v>46045</v>
      </c>
      <c r="D9952" t="inlineStr">
        <is>
          <t>JÄMTLANDS LÄN</t>
        </is>
      </c>
      <c r="E9952" t="inlineStr">
        <is>
          <t>ÅRE</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18236-2024</t>
        </is>
      </c>
      <c r="B9953" s="1" t="n">
        <v>45420</v>
      </c>
      <c r="C9953" s="1" t="n">
        <v>46045</v>
      </c>
      <c r="D9953" t="inlineStr">
        <is>
          <t>JÄMTLANDS LÄN</t>
        </is>
      </c>
      <c r="E9953" t="inlineStr">
        <is>
          <t>STRÖMSUND</t>
        </is>
      </c>
      <c r="F9953" t="inlineStr">
        <is>
          <t>SCA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59369-2022</t>
        </is>
      </c>
      <c r="B9954" s="1" t="n">
        <v>44904.94859953703</v>
      </c>
      <c r="C9954" s="1" t="n">
        <v>46045</v>
      </c>
      <c r="D9954" t="inlineStr">
        <is>
          <t>JÄMTLANDS LÄN</t>
        </is>
      </c>
      <c r="E9954" t="inlineStr">
        <is>
          <t>BRÄCKE</t>
        </is>
      </c>
      <c r="F9954" t="inlineStr">
        <is>
          <t>SCA</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36212-2023</t>
        </is>
      </c>
      <c r="B9955" s="1" t="n">
        <v>45149.95241898148</v>
      </c>
      <c r="C9955" s="1" t="n">
        <v>46045</v>
      </c>
      <c r="D9955" t="inlineStr">
        <is>
          <t>JÄMTLANDS LÄN</t>
        </is>
      </c>
      <c r="E9955" t="inlineStr">
        <is>
          <t>RAGUNDA</t>
        </is>
      </c>
      <c r="F9955" t="inlineStr">
        <is>
          <t>SCA</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36234-2023</t>
        </is>
      </c>
      <c r="B9956" s="1" t="n">
        <v>45150</v>
      </c>
      <c r="C9956" s="1" t="n">
        <v>46045</v>
      </c>
      <c r="D9956" t="inlineStr">
        <is>
          <t>JÄMTLANDS LÄN</t>
        </is>
      </c>
      <c r="E9956" t="inlineStr">
        <is>
          <t>ÅRE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15141-2022</t>
        </is>
      </c>
      <c r="B9957" s="1" t="n">
        <v>44658</v>
      </c>
      <c r="C9957" s="1" t="n">
        <v>46045</v>
      </c>
      <c r="D9957" t="inlineStr">
        <is>
          <t>JÄMTLANDS LÄN</t>
        </is>
      </c>
      <c r="E9957" t="inlineStr">
        <is>
          <t>STRÖMSUND</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27512-2024</t>
        </is>
      </c>
      <c r="B9958" s="1" t="n">
        <v>45474.54432870371</v>
      </c>
      <c r="C9958" s="1" t="n">
        <v>46045</v>
      </c>
      <c r="D9958" t="inlineStr">
        <is>
          <t>JÄMTLANDS LÄN</t>
        </is>
      </c>
      <c r="E9958" t="inlineStr">
        <is>
          <t>HÄRJEDALEN</t>
        </is>
      </c>
      <c r="G9958" t="n">
        <v>19.3</v>
      </c>
      <c r="H9958" t="n">
        <v>0</v>
      </c>
      <c r="I9958" t="n">
        <v>0</v>
      </c>
      <c r="J9958" t="n">
        <v>0</v>
      </c>
      <c r="K9958" t="n">
        <v>0</v>
      </c>
      <c r="L9958" t="n">
        <v>0</v>
      </c>
      <c r="M9958" t="n">
        <v>0</v>
      </c>
      <c r="N9958" t="n">
        <v>0</v>
      </c>
      <c r="O9958" t="n">
        <v>0</v>
      </c>
      <c r="P9958" t="n">
        <v>0</v>
      </c>
      <c r="Q9958" t="n">
        <v>0</v>
      </c>
      <c r="R9958" s="2" t="inlineStr"/>
    </row>
    <row r="9959" ht="15" customHeight="1">
      <c r="A9959" t="inlineStr">
        <is>
          <t>A 34005-2023</t>
        </is>
      </c>
      <c r="B9959" s="1" t="n">
        <v>45134</v>
      </c>
      <c r="C9959" s="1" t="n">
        <v>46045</v>
      </c>
      <c r="D9959" t="inlineStr">
        <is>
          <t>JÄMTLANDS LÄN</t>
        </is>
      </c>
      <c r="E9959" t="inlineStr">
        <is>
          <t>STRÖMSUND</t>
        </is>
      </c>
      <c r="F9959" t="inlineStr">
        <is>
          <t>SCA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17191-2025</t>
        </is>
      </c>
      <c r="B9960" s="1" t="n">
        <v>45756.39342592593</v>
      </c>
      <c r="C9960" s="1" t="n">
        <v>46045</v>
      </c>
      <c r="D9960" t="inlineStr">
        <is>
          <t>JÄMTLANDS LÄN</t>
        </is>
      </c>
      <c r="E9960" t="inlineStr">
        <is>
          <t>STRÖMSUND</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17213-2025</t>
        </is>
      </c>
      <c r="B9961" s="1" t="n">
        <v>45756.44826388889</v>
      </c>
      <c r="C9961" s="1" t="n">
        <v>46045</v>
      </c>
      <c r="D9961" t="inlineStr">
        <is>
          <t>JÄMTLANDS LÄN</t>
        </is>
      </c>
      <c r="E9961" t="inlineStr">
        <is>
          <t>STRÖMSUND</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23687-2022</t>
        </is>
      </c>
      <c r="B9962" s="1" t="n">
        <v>44721</v>
      </c>
      <c r="C9962" s="1" t="n">
        <v>46045</v>
      </c>
      <c r="D9962" t="inlineStr">
        <is>
          <t>JÄMTLANDS LÄN</t>
        </is>
      </c>
      <c r="E9962" t="inlineStr">
        <is>
          <t>BRÄCKE</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19386-2025</t>
        </is>
      </c>
      <c r="B9963" s="1" t="n">
        <v>45769.65719907408</v>
      </c>
      <c r="C9963" s="1" t="n">
        <v>46045</v>
      </c>
      <c r="D9963" t="inlineStr">
        <is>
          <t>JÄMTLANDS LÄN</t>
        </is>
      </c>
      <c r="E9963" t="inlineStr">
        <is>
          <t>BRÄCKE</t>
        </is>
      </c>
      <c r="F9963" t="inlineStr">
        <is>
          <t>SCA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48769-2022</t>
        </is>
      </c>
      <c r="B9964" s="1" t="n">
        <v>44855</v>
      </c>
      <c r="C9964" s="1" t="n">
        <v>46045</v>
      </c>
      <c r="D9964" t="inlineStr">
        <is>
          <t>JÄMTLANDS LÄN</t>
        </is>
      </c>
      <c r="E9964" t="inlineStr">
        <is>
          <t>KROKOM</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48777-2022</t>
        </is>
      </c>
      <c r="B9965" s="1" t="n">
        <v>44855</v>
      </c>
      <c r="C9965" s="1" t="n">
        <v>46045</v>
      </c>
      <c r="D9965" t="inlineStr">
        <is>
          <t>JÄMTLANDS LÄN</t>
        </is>
      </c>
      <c r="E9965" t="inlineStr">
        <is>
          <t>KROKOM</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34512-2022</t>
        </is>
      </c>
      <c r="B9966" s="1" t="n">
        <v>44792.92616898148</v>
      </c>
      <c r="C9966" s="1" t="n">
        <v>46045</v>
      </c>
      <c r="D9966" t="inlineStr">
        <is>
          <t>JÄMTLANDS LÄN</t>
        </is>
      </c>
      <c r="E9966" t="inlineStr">
        <is>
          <t>STRÖMSUND</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34524-2022</t>
        </is>
      </c>
      <c r="B9967" s="1" t="n">
        <v>44792.94508101852</v>
      </c>
      <c r="C9967" s="1" t="n">
        <v>46045</v>
      </c>
      <c r="D9967" t="inlineStr">
        <is>
          <t>JÄMTLANDS LÄN</t>
        </is>
      </c>
      <c r="E9967" t="inlineStr">
        <is>
          <t>STRÖMSUND</t>
        </is>
      </c>
      <c r="F9967" t="inlineStr">
        <is>
          <t>SCA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54491-2022</t>
        </is>
      </c>
      <c r="B9968" s="1" t="n">
        <v>44880</v>
      </c>
      <c r="C9968" s="1" t="n">
        <v>46045</v>
      </c>
      <c r="D9968" t="inlineStr">
        <is>
          <t>JÄMTLANDS LÄN</t>
        </is>
      </c>
      <c r="E9968" t="inlineStr">
        <is>
          <t>KROKOM</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54524-2022</t>
        </is>
      </c>
      <c r="B9969" s="1" t="n">
        <v>44882.74364583333</v>
      </c>
      <c r="C9969" s="1" t="n">
        <v>46045</v>
      </c>
      <c r="D9969" t="inlineStr">
        <is>
          <t>JÄMTLANDS LÄN</t>
        </is>
      </c>
      <c r="E9969" t="inlineStr">
        <is>
          <t>BRÄCKE</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24426-2022</t>
        </is>
      </c>
      <c r="B9970" s="1" t="n">
        <v>44726</v>
      </c>
      <c r="C9970" s="1" t="n">
        <v>46045</v>
      </c>
      <c r="D9970" t="inlineStr">
        <is>
          <t>JÄMTLANDS LÄN</t>
        </is>
      </c>
      <c r="E9970" t="inlineStr">
        <is>
          <t>HÄRJEDALEN</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3844-2024</t>
        </is>
      </c>
      <c r="B9971" s="1" t="n">
        <v>45321</v>
      </c>
      <c r="C9971" s="1" t="n">
        <v>46045</v>
      </c>
      <c r="D9971" t="inlineStr">
        <is>
          <t>JÄMTLANDS LÄN</t>
        </is>
      </c>
      <c r="E9971" t="inlineStr">
        <is>
          <t>ÖSTERSUND</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53860-2023</t>
        </is>
      </c>
      <c r="B9972" s="1" t="n">
        <v>45224</v>
      </c>
      <c r="C9972" s="1" t="n">
        <v>46045</v>
      </c>
      <c r="D9972" t="inlineStr">
        <is>
          <t>JÄMTLANDS LÄN</t>
        </is>
      </c>
      <c r="E9972" t="inlineStr">
        <is>
          <t>RAGUNDA</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54598-2023</t>
        </is>
      </c>
      <c r="B9973" s="1" t="n">
        <v>45233.92585648148</v>
      </c>
      <c r="C9973" s="1" t="n">
        <v>46045</v>
      </c>
      <c r="D9973" t="inlineStr">
        <is>
          <t>JÄMTLANDS LÄN</t>
        </is>
      </c>
      <c r="E9973" t="inlineStr">
        <is>
          <t>STRÖMSUND</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54599-2023</t>
        </is>
      </c>
      <c r="B9974" s="1" t="n">
        <v>45233.92591435185</v>
      </c>
      <c r="C9974" s="1" t="n">
        <v>46045</v>
      </c>
      <c r="D9974" t="inlineStr">
        <is>
          <t>JÄMTLANDS LÄN</t>
        </is>
      </c>
      <c r="E9974" t="inlineStr">
        <is>
          <t>RAGUNDA</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54600-2023</t>
        </is>
      </c>
      <c r="B9975" s="1" t="n">
        <v>45233.95663194444</v>
      </c>
      <c r="C9975" s="1" t="n">
        <v>46045</v>
      </c>
      <c r="D9975" t="inlineStr">
        <is>
          <t>JÄMTLANDS LÄN</t>
        </is>
      </c>
      <c r="E9975" t="inlineStr">
        <is>
          <t>BRÄCKE</t>
        </is>
      </c>
      <c r="F9975" t="inlineStr">
        <is>
          <t>SCA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59648-2022</t>
        </is>
      </c>
      <c r="B9976" s="1" t="n">
        <v>44907</v>
      </c>
      <c r="C9976" s="1" t="n">
        <v>46045</v>
      </c>
      <c r="D9976" t="inlineStr">
        <is>
          <t>JÄMTLANDS LÄN</t>
        </is>
      </c>
      <c r="E9976" t="inlineStr">
        <is>
          <t>ÖSTERSUND</t>
        </is>
      </c>
      <c r="F9976" t="inlineStr">
        <is>
          <t>SCA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47500-2023</t>
        </is>
      </c>
      <c r="B9977" s="1" t="n">
        <v>45202.9425</v>
      </c>
      <c r="C9977" s="1" t="n">
        <v>46045</v>
      </c>
      <c r="D9977" t="inlineStr">
        <is>
          <t>JÄMTLANDS LÄN</t>
        </is>
      </c>
      <c r="E9977" t="inlineStr">
        <is>
          <t>BRÄCKE</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50706-2023</t>
        </is>
      </c>
      <c r="B9978" s="1" t="n">
        <v>45217.55832175926</v>
      </c>
      <c r="C9978" s="1" t="n">
        <v>46045</v>
      </c>
      <c r="D9978" t="inlineStr">
        <is>
          <t>JÄMTLANDS LÄN</t>
        </is>
      </c>
      <c r="E9978" t="inlineStr">
        <is>
          <t>BERG</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48419-2023</t>
        </is>
      </c>
      <c r="B9979" s="1" t="n">
        <v>45205</v>
      </c>
      <c r="C9979" s="1" t="n">
        <v>46045</v>
      </c>
      <c r="D9979" t="inlineStr">
        <is>
          <t>JÄMTLANDS LÄN</t>
        </is>
      </c>
      <c r="E9979" t="inlineStr">
        <is>
          <t>BRÄCKE</t>
        </is>
      </c>
      <c r="F9979" t="inlineStr">
        <is>
          <t>SCA</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48420-2023</t>
        </is>
      </c>
      <c r="B9980" s="1" t="n">
        <v>45205</v>
      </c>
      <c r="C9980" s="1" t="n">
        <v>46045</v>
      </c>
      <c r="D9980" t="inlineStr">
        <is>
          <t>JÄMTLANDS LÄN</t>
        </is>
      </c>
      <c r="E9980" t="inlineStr">
        <is>
          <t>STRÖMSUND</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27178-2022</t>
        </is>
      </c>
      <c r="B9981" s="1" t="n">
        <v>44741</v>
      </c>
      <c r="C9981" s="1" t="n">
        <v>46045</v>
      </c>
      <c r="D9981" t="inlineStr">
        <is>
          <t>JÄMTLANDS LÄN</t>
        </is>
      </c>
      <c r="E9981" t="inlineStr">
        <is>
          <t>KROKOM</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10163-2025</t>
        </is>
      </c>
      <c r="B9982" s="1" t="n">
        <v>45719.64944444445</v>
      </c>
      <c r="C9982" s="1" t="n">
        <v>46045</v>
      </c>
      <c r="D9982" t="inlineStr">
        <is>
          <t>JÄMTLANDS LÄN</t>
        </is>
      </c>
      <c r="E9982" t="inlineStr">
        <is>
          <t>STRÖMSUND</t>
        </is>
      </c>
      <c r="F9982" t="inlineStr">
        <is>
          <t>Kyrkan</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54415-2023</t>
        </is>
      </c>
      <c r="B9983" s="1" t="n">
        <v>45233.40039351852</v>
      </c>
      <c r="C9983" s="1" t="n">
        <v>46045</v>
      </c>
      <c r="D9983" t="inlineStr">
        <is>
          <t>JÄMTLANDS LÄN</t>
        </is>
      </c>
      <c r="E9983" t="inlineStr">
        <is>
          <t>BERG</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54482-2023</t>
        </is>
      </c>
      <c r="B9984" s="1" t="n">
        <v>45233</v>
      </c>
      <c r="C9984" s="1" t="n">
        <v>46045</v>
      </c>
      <c r="D9984" t="inlineStr">
        <is>
          <t>JÄMTLANDS LÄN</t>
        </is>
      </c>
      <c r="E9984" t="inlineStr">
        <is>
          <t>STRÖMSUND</t>
        </is>
      </c>
      <c r="F9984" t="inlineStr">
        <is>
          <t>Holmen skog AB</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60310-2024</t>
        </is>
      </c>
      <c r="B9985" s="1" t="n">
        <v>45643.34416666667</v>
      </c>
      <c r="C9985" s="1" t="n">
        <v>46045</v>
      </c>
      <c r="D9985" t="inlineStr">
        <is>
          <t>JÄMTLANDS LÄN</t>
        </is>
      </c>
      <c r="E9985" t="inlineStr">
        <is>
          <t>STRÖMSUND</t>
        </is>
      </c>
      <c r="F9985" t="inlineStr">
        <is>
          <t>SCA</t>
        </is>
      </c>
      <c r="G9985" t="n">
        <v>15.6</v>
      </c>
      <c r="H9985" t="n">
        <v>0</v>
      </c>
      <c r="I9985" t="n">
        <v>0</v>
      </c>
      <c r="J9985" t="n">
        <v>0</v>
      </c>
      <c r="K9985" t="n">
        <v>0</v>
      </c>
      <c r="L9985" t="n">
        <v>0</v>
      </c>
      <c r="M9985" t="n">
        <v>0</v>
      </c>
      <c r="N9985" t="n">
        <v>0</v>
      </c>
      <c r="O9985" t="n">
        <v>0</v>
      </c>
      <c r="P9985" t="n">
        <v>0</v>
      </c>
      <c r="Q9985" t="n">
        <v>0</v>
      </c>
      <c r="R9985" s="2" t="inlineStr"/>
    </row>
    <row r="9986" ht="15" customHeight="1">
      <c r="A9986" t="inlineStr">
        <is>
          <t>A 47176-2023</t>
        </is>
      </c>
      <c r="B9986" s="1" t="n">
        <v>45201.94844907407</v>
      </c>
      <c r="C9986" s="1" t="n">
        <v>46045</v>
      </c>
      <c r="D9986" t="inlineStr">
        <is>
          <t>JÄMTLANDS LÄN</t>
        </is>
      </c>
      <c r="E9986" t="inlineStr">
        <is>
          <t>BERG</t>
        </is>
      </c>
      <c r="F9986" t="inlineStr">
        <is>
          <t>SCA</t>
        </is>
      </c>
      <c r="G9986" t="n">
        <v>32.3</v>
      </c>
      <c r="H9986" t="n">
        <v>0</v>
      </c>
      <c r="I9986" t="n">
        <v>0</v>
      </c>
      <c r="J9986" t="n">
        <v>0</v>
      </c>
      <c r="K9986" t="n">
        <v>0</v>
      </c>
      <c r="L9986" t="n">
        <v>0</v>
      </c>
      <c r="M9986" t="n">
        <v>0</v>
      </c>
      <c r="N9986" t="n">
        <v>0</v>
      </c>
      <c r="O9986" t="n">
        <v>0</v>
      </c>
      <c r="P9986" t="n">
        <v>0</v>
      </c>
      <c r="Q9986" t="n">
        <v>0</v>
      </c>
      <c r="R9986" s="2" t="inlineStr"/>
    </row>
    <row r="9987" ht="15" customHeight="1">
      <c r="A9987" t="inlineStr">
        <is>
          <t>A 16129-2025</t>
        </is>
      </c>
      <c r="B9987" s="1" t="n">
        <v>45750.42650462963</v>
      </c>
      <c r="C9987" s="1" t="n">
        <v>46045</v>
      </c>
      <c r="D9987" t="inlineStr">
        <is>
          <t>JÄMTLANDS LÄN</t>
        </is>
      </c>
      <c r="E9987" t="inlineStr">
        <is>
          <t>KROKOM</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10610-2024</t>
        </is>
      </c>
      <c r="B9988" s="1" t="n">
        <v>45367.04693287037</v>
      </c>
      <c r="C9988" s="1" t="n">
        <v>46045</v>
      </c>
      <c r="D9988" t="inlineStr">
        <is>
          <t>JÄMTLANDS LÄN</t>
        </is>
      </c>
      <c r="E9988" t="inlineStr">
        <is>
          <t>RAGUNDA</t>
        </is>
      </c>
      <c r="F9988" t="inlineStr">
        <is>
          <t>SCA</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18047-2025</t>
        </is>
      </c>
      <c r="B9989" s="1" t="n">
        <v>45761.46606481481</v>
      </c>
      <c r="C9989" s="1" t="n">
        <v>46045</v>
      </c>
      <c r="D9989" t="inlineStr">
        <is>
          <t>JÄMTLANDS LÄN</t>
        </is>
      </c>
      <c r="E9989" t="inlineStr">
        <is>
          <t>BRÄCKE</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16014-2022</t>
        </is>
      </c>
      <c r="B9990" s="1" t="n">
        <v>44665</v>
      </c>
      <c r="C9990" s="1" t="n">
        <v>46045</v>
      </c>
      <c r="D9990" t="inlineStr">
        <is>
          <t>JÄMTLANDS LÄN</t>
        </is>
      </c>
      <c r="E9990" t="inlineStr">
        <is>
          <t>HÄRJEDALEN</t>
        </is>
      </c>
      <c r="G9990" t="n">
        <v>38.7</v>
      </c>
      <c r="H9990" t="n">
        <v>0</v>
      </c>
      <c r="I9990" t="n">
        <v>0</v>
      </c>
      <c r="J9990" t="n">
        <v>0</v>
      </c>
      <c r="K9990" t="n">
        <v>0</v>
      </c>
      <c r="L9990" t="n">
        <v>0</v>
      </c>
      <c r="M9990" t="n">
        <v>0</v>
      </c>
      <c r="N9990" t="n">
        <v>0</v>
      </c>
      <c r="O9990" t="n">
        <v>0</v>
      </c>
      <c r="P9990" t="n">
        <v>0</v>
      </c>
      <c r="Q9990" t="n">
        <v>0</v>
      </c>
      <c r="R9990" s="2" t="inlineStr"/>
    </row>
    <row r="9991" ht="15" customHeight="1">
      <c r="A9991" t="inlineStr">
        <is>
          <t>A 15950-2025</t>
        </is>
      </c>
      <c r="B9991" s="1" t="n">
        <v>45749.4984837963</v>
      </c>
      <c r="C9991" s="1" t="n">
        <v>46045</v>
      </c>
      <c r="D9991" t="inlineStr">
        <is>
          <t>JÄMTLANDS LÄN</t>
        </is>
      </c>
      <c r="E9991" t="inlineStr">
        <is>
          <t>STRÖMSUND</t>
        </is>
      </c>
      <c r="F9991" t="inlineStr">
        <is>
          <t>SCA</t>
        </is>
      </c>
      <c r="G9991" t="n">
        <v>7.9</v>
      </c>
      <c r="H9991" t="n">
        <v>0</v>
      </c>
      <c r="I9991" t="n">
        <v>0</v>
      </c>
      <c r="J9991" t="n">
        <v>0</v>
      </c>
      <c r="K9991" t="n">
        <v>0</v>
      </c>
      <c r="L9991" t="n">
        <v>0</v>
      </c>
      <c r="M9991" t="n">
        <v>0</v>
      </c>
      <c r="N9991" t="n">
        <v>0</v>
      </c>
      <c r="O9991" t="n">
        <v>0</v>
      </c>
      <c r="P9991" t="n">
        <v>0</v>
      </c>
      <c r="Q9991" t="n">
        <v>0</v>
      </c>
      <c r="R9991" s="2" t="inlineStr"/>
    </row>
    <row r="9992" ht="15" customHeight="1">
      <c r="A9992" t="inlineStr">
        <is>
          <t>A 8779-2025</t>
        </is>
      </c>
      <c r="B9992" s="1" t="n">
        <v>45712.61552083334</v>
      </c>
      <c r="C9992" s="1" t="n">
        <v>46045</v>
      </c>
      <c r="D9992" t="inlineStr">
        <is>
          <t>JÄMTLANDS LÄN</t>
        </is>
      </c>
      <c r="E9992" t="inlineStr">
        <is>
          <t>RAGUNDA</t>
        </is>
      </c>
      <c r="F9992" t="inlineStr">
        <is>
          <t>SCA</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8788-2025</t>
        </is>
      </c>
      <c r="B9993" s="1" t="n">
        <v>45712</v>
      </c>
      <c r="C9993" s="1" t="n">
        <v>46045</v>
      </c>
      <c r="D9993" t="inlineStr">
        <is>
          <t>JÄMTLANDS LÄN</t>
        </is>
      </c>
      <c r="E9993" t="inlineStr">
        <is>
          <t>ÅRE</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24402-2022</t>
        </is>
      </c>
      <c r="B9994" s="1" t="n">
        <v>44726</v>
      </c>
      <c r="C9994" s="1" t="n">
        <v>46045</v>
      </c>
      <c r="D9994" t="inlineStr">
        <is>
          <t>JÄMTLANDS LÄN</t>
        </is>
      </c>
      <c r="E9994" t="inlineStr">
        <is>
          <t>KROKOM</t>
        </is>
      </c>
      <c r="G9994" t="n">
        <v>13.3</v>
      </c>
      <c r="H9994" t="n">
        <v>0</v>
      </c>
      <c r="I9994" t="n">
        <v>0</v>
      </c>
      <c r="J9994" t="n">
        <v>0</v>
      </c>
      <c r="K9994" t="n">
        <v>0</v>
      </c>
      <c r="L9994" t="n">
        <v>0</v>
      </c>
      <c r="M9994" t="n">
        <v>0</v>
      </c>
      <c r="N9994" t="n">
        <v>0</v>
      </c>
      <c r="O9994" t="n">
        <v>0</v>
      </c>
      <c r="P9994" t="n">
        <v>0</v>
      </c>
      <c r="Q9994" t="n">
        <v>0</v>
      </c>
      <c r="R9994" s="2" t="inlineStr"/>
    </row>
    <row r="9995" ht="15" customHeight="1">
      <c r="A9995" t="inlineStr">
        <is>
          <t>A 41094-2023</t>
        </is>
      </c>
      <c r="B9995" s="1" t="n">
        <v>45173</v>
      </c>
      <c r="C9995" s="1" t="n">
        <v>46045</v>
      </c>
      <c r="D9995" t="inlineStr">
        <is>
          <t>JÄMTLANDS LÄN</t>
        </is>
      </c>
      <c r="E9995" t="inlineStr">
        <is>
          <t>HÄRJEDALEN</t>
        </is>
      </c>
      <c r="F9995" t="inlineStr">
        <is>
          <t>Sveaskog</t>
        </is>
      </c>
      <c r="G9995" t="n">
        <v>0.2</v>
      </c>
      <c r="H9995" t="n">
        <v>0</v>
      </c>
      <c r="I9995" t="n">
        <v>0</v>
      </c>
      <c r="J9995" t="n">
        <v>0</v>
      </c>
      <c r="K9995" t="n">
        <v>0</v>
      </c>
      <c r="L9995" t="n">
        <v>0</v>
      </c>
      <c r="M9995" t="n">
        <v>0</v>
      </c>
      <c r="N9995" t="n">
        <v>0</v>
      </c>
      <c r="O9995" t="n">
        <v>0</v>
      </c>
      <c r="P9995" t="n">
        <v>0</v>
      </c>
      <c r="Q9995" t="n">
        <v>0</v>
      </c>
      <c r="R9995" s="2" t="inlineStr"/>
    </row>
    <row r="9996" ht="15" customHeight="1">
      <c r="A9996" t="inlineStr">
        <is>
          <t>A 41098-2023</t>
        </is>
      </c>
      <c r="B9996" s="1" t="n">
        <v>45170</v>
      </c>
      <c r="C9996" s="1" t="n">
        <v>46045</v>
      </c>
      <c r="D9996" t="inlineStr">
        <is>
          <t>JÄMTLANDS LÄN</t>
        </is>
      </c>
      <c r="E9996" t="inlineStr">
        <is>
          <t>BERG</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41106-2023</t>
        </is>
      </c>
      <c r="B9997" s="1" t="n">
        <v>45170</v>
      </c>
      <c r="C9997" s="1" t="n">
        <v>46045</v>
      </c>
      <c r="D9997" t="inlineStr">
        <is>
          <t>JÄMTLANDS LÄN</t>
        </is>
      </c>
      <c r="E9997" t="inlineStr">
        <is>
          <t>BERG</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47486-2023</t>
        </is>
      </c>
      <c r="B9998" s="1" t="n">
        <v>45202.94155092593</v>
      </c>
      <c r="C9998" s="1" t="n">
        <v>46045</v>
      </c>
      <c r="D9998" t="inlineStr">
        <is>
          <t>JÄMTLANDS LÄN</t>
        </is>
      </c>
      <c r="E9998" t="inlineStr">
        <is>
          <t>BRÄCKE</t>
        </is>
      </c>
      <c r="F9998" t="inlineStr">
        <is>
          <t>SCA</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47487-2023</t>
        </is>
      </c>
      <c r="B9999" s="1" t="n">
        <v>45202.94162037037</v>
      </c>
      <c r="C9999" s="1" t="n">
        <v>46045</v>
      </c>
      <c r="D9999" t="inlineStr">
        <is>
          <t>JÄMTLANDS LÄN</t>
        </is>
      </c>
      <c r="E9999" t="inlineStr">
        <is>
          <t>BRÄCKE</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40415-2023</t>
        </is>
      </c>
      <c r="B10000" s="1" t="n">
        <v>45169.93925925926</v>
      </c>
      <c r="C10000" s="1" t="n">
        <v>46045</v>
      </c>
      <c r="D10000" t="inlineStr">
        <is>
          <t>JÄMTLANDS LÄN</t>
        </is>
      </c>
      <c r="E10000" t="inlineStr">
        <is>
          <t>BERG</t>
        </is>
      </c>
      <c r="F10000" t="inlineStr">
        <is>
          <t>SCA</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20574-2025</t>
        </is>
      </c>
      <c r="B10001" s="1" t="n">
        <v>45775.67747685185</v>
      </c>
      <c r="C10001" s="1" t="n">
        <v>46045</v>
      </c>
      <c r="D10001" t="inlineStr">
        <is>
          <t>JÄMTLANDS LÄN</t>
        </is>
      </c>
      <c r="E10001" t="inlineStr">
        <is>
          <t>RAGUNDA</t>
        </is>
      </c>
      <c r="F10001" t="inlineStr">
        <is>
          <t>SCA</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773-2024</t>
        </is>
      </c>
      <c r="B10002" s="1" t="n">
        <v>45300</v>
      </c>
      <c r="C10002" s="1" t="n">
        <v>46045</v>
      </c>
      <c r="D10002" t="inlineStr">
        <is>
          <t>JÄMTLANDS LÄN</t>
        </is>
      </c>
      <c r="E10002" t="inlineStr">
        <is>
          <t>KROKOM</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16676-2022</t>
        </is>
      </c>
      <c r="B10003" s="1" t="n">
        <v>44672.94018518519</v>
      </c>
      <c r="C10003" s="1" t="n">
        <v>46045</v>
      </c>
      <c r="D10003" t="inlineStr">
        <is>
          <t>JÄMTLANDS LÄN</t>
        </is>
      </c>
      <c r="E10003" t="inlineStr">
        <is>
          <t>RAGUNDA</t>
        </is>
      </c>
      <c r="F10003" t="inlineStr">
        <is>
          <t>SCA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54998-2023</t>
        </is>
      </c>
      <c r="B10004" s="1" t="n">
        <v>45236</v>
      </c>
      <c r="C10004" s="1" t="n">
        <v>46045</v>
      </c>
      <c r="D10004" t="inlineStr">
        <is>
          <t>JÄMTLANDS LÄN</t>
        </is>
      </c>
      <c r="E10004" t="inlineStr">
        <is>
          <t>BERG</t>
        </is>
      </c>
      <c r="F10004" t="inlineStr">
        <is>
          <t>SCA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2978-2024</t>
        </is>
      </c>
      <c r="B10005" s="1" t="n">
        <v>45315</v>
      </c>
      <c r="C10005" s="1" t="n">
        <v>46045</v>
      </c>
      <c r="D10005" t="inlineStr">
        <is>
          <t>JÄMTLANDS LÄN</t>
        </is>
      </c>
      <c r="E10005" t="inlineStr">
        <is>
          <t>ÖSTERSUND</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8809-2025</t>
        </is>
      </c>
      <c r="B10006" s="1" t="n">
        <v>45712.67755787037</v>
      </c>
      <c r="C10006" s="1" t="n">
        <v>46045</v>
      </c>
      <c r="D10006" t="inlineStr">
        <is>
          <t>JÄMTLANDS LÄN</t>
        </is>
      </c>
      <c r="E10006" t="inlineStr">
        <is>
          <t>STRÖMSUND</t>
        </is>
      </c>
      <c r="F10006" t="inlineStr">
        <is>
          <t>SCA</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1271-2024</t>
        </is>
      </c>
      <c r="B10007" s="1" t="n">
        <v>45302.93324074074</v>
      </c>
      <c r="C10007" s="1" t="n">
        <v>46045</v>
      </c>
      <c r="D10007" t="inlineStr">
        <is>
          <t>JÄMTLANDS LÄN</t>
        </is>
      </c>
      <c r="E10007" t="inlineStr">
        <is>
          <t>STRÖMSUND</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8812-2025</t>
        </is>
      </c>
      <c r="B10008" s="1" t="n">
        <v>45712.68813657408</v>
      </c>
      <c r="C10008" s="1" t="n">
        <v>46045</v>
      </c>
      <c r="D10008" t="inlineStr">
        <is>
          <t>JÄMTLANDS LÄN</t>
        </is>
      </c>
      <c r="E10008" t="inlineStr">
        <is>
          <t>STRÖMSUND</t>
        </is>
      </c>
      <c r="F10008" t="inlineStr">
        <is>
          <t>Kyrkan</t>
        </is>
      </c>
      <c r="G10008" t="n">
        <v>38.1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8880-2025</t>
        </is>
      </c>
      <c r="B10009" s="1" t="n">
        <v>45713.38028935185</v>
      </c>
      <c r="C10009" s="1" t="n">
        <v>46045</v>
      </c>
      <c r="D10009" t="inlineStr">
        <is>
          <t>JÄMTLANDS LÄN</t>
        </is>
      </c>
      <c r="E10009" t="inlineStr">
        <is>
          <t>KROKOM</t>
        </is>
      </c>
      <c r="F10009" t="inlineStr">
        <is>
          <t>Övriga Aktiebolag</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11096-2025</t>
        </is>
      </c>
      <c r="B10010" s="1" t="n">
        <v>45723.58140046296</v>
      </c>
      <c r="C10010" s="1" t="n">
        <v>46045</v>
      </c>
      <c r="D10010" t="inlineStr">
        <is>
          <t>JÄMTLANDS LÄN</t>
        </is>
      </c>
      <c r="E10010" t="inlineStr">
        <is>
          <t>HÄRJEDALEN</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6804-2025</t>
        </is>
      </c>
      <c r="B10011" s="1" t="n">
        <v>45700.6833912037</v>
      </c>
      <c r="C10011" s="1" t="n">
        <v>46045</v>
      </c>
      <c r="D10011" t="inlineStr">
        <is>
          <t>JÄMTLANDS LÄN</t>
        </is>
      </c>
      <c r="E10011" t="inlineStr">
        <is>
          <t>KROKOM</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56312-2023</t>
        </is>
      </c>
      <c r="B10012" s="1" t="n">
        <v>45242</v>
      </c>
      <c r="C10012" s="1" t="n">
        <v>46045</v>
      </c>
      <c r="D10012" t="inlineStr">
        <is>
          <t>JÄMTLANDS LÄN</t>
        </is>
      </c>
      <c r="E10012" t="inlineStr">
        <is>
          <t>STRÖMSUND</t>
        </is>
      </c>
      <c r="F10012" t="inlineStr">
        <is>
          <t>SCA</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57078-2023</t>
        </is>
      </c>
      <c r="B10013" s="1" t="n">
        <v>45244.96774305555</v>
      </c>
      <c r="C10013" s="1" t="n">
        <v>46045</v>
      </c>
      <c r="D10013" t="inlineStr">
        <is>
          <t>JÄMTLANDS LÄN</t>
        </is>
      </c>
      <c r="E10013" t="inlineStr">
        <is>
          <t>RAGUNDA</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57202-2023</t>
        </is>
      </c>
      <c r="B10014" s="1" t="n">
        <v>45245</v>
      </c>
      <c r="C10014" s="1" t="n">
        <v>46045</v>
      </c>
      <c r="D10014" t="inlineStr">
        <is>
          <t>JÄMTLANDS LÄN</t>
        </is>
      </c>
      <c r="E10014" t="inlineStr">
        <is>
          <t>HÄRJEDALEN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61791-2023</t>
        </is>
      </c>
      <c r="B10015" s="1" t="n">
        <v>45265.95795138889</v>
      </c>
      <c r="C10015" s="1" t="n">
        <v>46045</v>
      </c>
      <c r="D10015" t="inlineStr">
        <is>
          <t>JÄMTLANDS LÄN</t>
        </is>
      </c>
      <c r="E10015" t="inlineStr">
        <is>
          <t>ÖSTERSUND</t>
        </is>
      </c>
      <c r="F10015" t="inlineStr">
        <is>
          <t>SCA</t>
        </is>
      </c>
      <c r="G10015" t="n">
        <v>11.4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5273-2021</t>
        </is>
      </c>
      <c r="B10016" s="1" t="n">
        <v>44229</v>
      </c>
      <c r="C10016" s="1" t="n">
        <v>46045</v>
      </c>
      <c r="D10016" t="inlineStr">
        <is>
          <t>JÄMTLANDS LÄN</t>
        </is>
      </c>
      <c r="E10016" t="inlineStr">
        <is>
          <t>HÄRJEDALEN</t>
        </is>
      </c>
      <c r="F10016" t="inlineStr">
        <is>
          <t>Holmen skog AB</t>
        </is>
      </c>
      <c r="G10016" t="n">
        <v>6.6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5283-2021</t>
        </is>
      </c>
      <c r="B10017" s="1" t="n">
        <v>44225</v>
      </c>
      <c r="C10017" s="1" t="n">
        <v>46045</v>
      </c>
      <c r="D10017" t="inlineStr">
        <is>
          <t>JÄMTLANDS LÄN</t>
        </is>
      </c>
      <c r="E10017" t="inlineStr">
        <is>
          <t>HÄRJEDALEN</t>
        </is>
      </c>
      <c r="G10017" t="n">
        <v>20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59916-2023</t>
        </is>
      </c>
      <c r="B10018" s="1" t="n">
        <v>45257.64270833333</v>
      </c>
      <c r="C10018" s="1" t="n">
        <v>46045</v>
      </c>
      <c r="D10018" t="inlineStr">
        <is>
          <t>JÄMTLANDS LÄN</t>
        </is>
      </c>
      <c r="E10018" t="inlineStr">
        <is>
          <t>ÅRE</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26944-2022</t>
        </is>
      </c>
      <c r="B10019" s="1" t="n">
        <v>44740</v>
      </c>
      <c r="C10019" s="1" t="n">
        <v>46045</v>
      </c>
      <c r="D10019" t="inlineStr">
        <is>
          <t>JÄMTLANDS LÄN</t>
        </is>
      </c>
      <c r="E10019" t="inlineStr">
        <is>
          <t>BERG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63819-2023</t>
        </is>
      </c>
      <c r="B10020" s="1" t="n">
        <v>45278.44128472222</v>
      </c>
      <c r="C10020" s="1" t="n">
        <v>46045</v>
      </c>
      <c r="D10020" t="inlineStr">
        <is>
          <t>JÄMTLANDS LÄN</t>
        </is>
      </c>
      <c r="E10020" t="inlineStr">
        <is>
          <t>BERG</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15231-2025</t>
        </is>
      </c>
      <c r="B10021" s="1" t="n">
        <v>45744.59894675926</v>
      </c>
      <c r="C10021" s="1" t="n">
        <v>46045</v>
      </c>
      <c r="D10021" t="inlineStr">
        <is>
          <t>JÄMTLANDS LÄN</t>
        </is>
      </c>
      <c r="E10021" t="inlineStr">
        <is>
          <t>KROKOM</t>
        </is>
      </c>
      <c r="F10021" t="inlineStr">
        <is>
          <t>Övriga Aktiebolag</t>
        </is>
      </c>
      <c r="G10021" t="n">
        <v>11.8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64174-2023</t>
        </is>
      </c>
      <c r="B10022" s="1" t="n">
        <v>45279</v>
      </c>
      <c r="C10022" s="1" t="n">
        <v>46045</v>
      </c>
      <c r="D10022" t="inlineStr">
        <is>
          <t>JÄMTLANDS LÄN</t>
        </is>
      </c>
      <c r="E10022" t="inlineStr">
        <is>
          <t>KROKOM</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12976-2025</t>
        </is>
      </c>
      <c r="B10023" s="1" t="n">
        <v>45734.45268518518</v>
      </c>
      <c r="C10023" s="1" t="n">
        <v>46045</v>
      </c>
      <c r="D10023" t="inlineStr">
        <is>
          <t>JÄMTLANDS LÄN</t>
        </is>
      </c>
      <c r="E10023" t="inlineStr">
        <is>
          <t>RAGUNDA</t>
        </is>
      </c>
      <c r="G10023" t="n">
        <v>24.2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57549-2023</t>
        </is>
      </c>
      <c r="B10024" s="1" t="n">
        <v>45246.48318287037</v>
      </c>
      <c r="C10024" s="1" t="n">
        <v>46045</v>
      </c>
      <c r="D10024" t="inlineStr">
        <is>
          <t>JÄMTLANDS LÄN</t>
        </is>
      </c>
      <c r="E10024" t="inlineStr">
        <is>
          <t>STRÖMSUND</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17420-2024</t>
        </is>
      </c>
      <c r="B10025" s="1" t="n">
        <v>45414.96395833333</v>
      </c>
      <c r="C10025" s="1" t="n">
        <v>46045</v>
      </c>
      <c r="D10025" t="inlineStr">
        <is>
          <t>JÄMTLANDS LÄN</t>
        </is>
      </c>
      <c r="E10025" t="inlineStr">
        <is>
          <t>BRÄCKE</t>
        </is>
      </c>
      <c r="F10025" t="inlineStr">
        <is>
          <t>SCA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55657-2023</t>
        </is>
      </c>
      <c r="B10026" s="1" t="n">
        <v>45238</v>
      </c>
      <c r="C10026" s="1" t="n">
        <v>46045</v>
      </c>
      <c r="D10026" t="inlineStr">
        <is>
          <t>JÄMTLANDS LÄN</t>
        </is>
      </c>
      <c r="E10026" t="inlineStr">
        <is>
          <t>STRÖMSUND</t>
        </is>
      </c>
      <c r="F10026" t="inlineStr">
        <is>
          <t>SCA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55660-2023</t>
        </is>
      </c>
      <c r="B10027" s="1" t="n">
        <v>45238</v>
      </c>
      <c r="C10027" s="1" t="n">
        <v>46045</v>
      </c>
      <c r="D10027" t="inlineStr">
        <is>
          <t>JÄMTLANDS LÄN</t>
        </is>
      </c>
      <c r="E10027" t="inlineStr">
        <is>
          <t>KROKOM</t>
        </is>
      </c>
      <c r="F10027" t="inlineStr">
        <is>
          <t>SCA</t>
        </is>
      </c>
      <c r="G10027" t="n">
        <v>7.7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55667-2023</t>
        </is>
      </c>
      <c r="B10028" s="1" t="n">
        <v>45238.96780092592</v>
      </c>
      <c r="C10028" s="1" t="n">
        <v>46045</v>
      </c>
      <c r="D10028" t="inlineStr">
        <is>
          <t>JÄMTLANDS LÄN</t>
        </is>
      </c>
      <c r="E10028" t="inlineStr">
        <is>
          <t>BRÄCKE</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55668-2023</t>
        </is>
      </c>
      <c r="B10029" s="1" t="n">
        <v>45238</v>
      </c>
      <c r="C10029" s="1" t="n">
        <v>46045</v>
      </c>
      <c r="D10029" t="inlineStr">
        <is>
          <t>JÄMTLANDS LÄN</t>
        </is>
      </c>
      <c r="E10029" t="inlineStr">
        <is>
          <t>BRÄCKE</t>
        </is>
      </c>
      <c r="F10029" t="inlineStr">
        <is>
          <t>SCA</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56286-2023</t>
        </is>
      </c>
      <c r="B10030" s="1" t="n">
        <v>45241.95741898148</v>
      </c>
      <c r="C10030" s="1" t="n">
        <v>46045</v>
      </c>
      <c r="D10030" t="inlineStr">
        <is>
          <t>JÄMTLANDS LÄN</t>
        </is>
      </c>
      <c r="E10030" t="inlineStr">
        <is>
          <t>RAGUNDA</t>
        </is>
      </c>
      <c r="F10030" t="inlineStr">
        <is>
          <t>SCA</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56287-2023</t>
        </is>
      </c>
      <c r="B10031" s="1" t="n">
        <v>45241</v>
      </c>
      <c r="C10031" s="1" t="n">
        <v>46045</v>
      </c>
      <c r="D10031" t="inlineStr">
        <is>
          <t>JÄMTLANDS LÄN</t>
        </is>
      </c>
      <c r="E10031" t="inlineStr">
        <is>
          <t>RAGUNDA</t>
        </is>
      </c>
      <c r="F10031" t="inlineStr">
        <is>
          <t>SCA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64302-2023</t>
        </is>
      </c>
      <c r="B10032" s="1" t="n">
        <v>45280</v>
      </c>
      <c r="C10032" s="1" t="n">
        <v>46045</v>
      </c>
      <c r="D10032" t="inlineStr">
        <is>
          <t>JÄMTLANDS LÄN</t>
        </is>
      </c>
      <c r="E10032" t="inlineStr">
        <is>
          <t>BRÄCKE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59586-2023</t>
        </is>
      </c>
      <c r="B10033" s="1" t="n">
        <v>45254.61172453704</v>
      </c>
      <c r="C10033" s="1" t="n">
        <v>46045</v>
      </c>
      <c r="D10033" t="inlineStr">
        <is>
          <t>JÄMTLANDS LÄN</t>
        </is>
      </c>
      <c r="E10033" t="inlineStr">
        <is>
          <t>BRÄCKE</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59973-2023</t>
        </is>
      </c>
      <c r="B10034" s="1" t="n">
        <v>45257</v>
      </c>
      <c r="C10034" s="1" t="n">
        <v>46045</v>
      </c>
      <c r="D10034" t="inlineStr">
        <is>
          <t>JÄMTLANDS LÄN</t>
        </is>
      </c>
      <c r="E10034" t="inlineStr">
        <is>
          <t>KROKOM</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56047-2024</t>
        </is>
      </c>
      <c r="B10035" s="1" t="n">
        <v>45624.34450231482</v>
      </c>
      <c r="C10035" s="1" t="n">
        <v>46045</v>
      </c>
      <c r="D10035" t="inlineStr">
        <is>
          <t>JÄMTLANDS LÄN</t>
        </is>
      </c>
      <c r="E10035" t="inlineStr">
        <is>
          <t>BRÄCKE</t>
        </is>
      </c>
      <c r="F10035" t="inlineStr">
        <is>
          <t>SCA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59658-2023</t>
        </is>
      </c>
      <c r="B10036" s="1" t="n">
        <v>45254.96402777778</v>
      </c>
      <c r="C10036" s="1" t="n">
        <v>46045</v>
      </c>
      <c r="D10036" t="inlineStr">
        <is>
          <t>JÄMTLANDS LÄN</t>
        </is>
      </c>
      <c r="E10036" t="inlineStr">
        <is>
          <t>RAGUNDA</t>
        </is>
      </c>
      <c r="F10036" t="inlineStr">
        <is>
          <t>SCA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47664-2022</t>
        </is>
      </c>
      <c r="B10037" s="1" t="n">
        <v>44854.46388888889</v>
      </c>
      <c r="C10037" s="1" t="n">
        <v>46045</v>
      </c>
      <c r="D10037" t="inlineStr">
        <is>
          <t>JÄMTLANDS LÄN</t>
        </is>
      </c>
      <c r="E10037" t="inlineStr">
        <is>
          <t>ÅRE</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44088-2021</t>
        </is>
      </c>
      <c r="B10038" s="1" t="n">
        <v>44434</v>
      </c>
      <c r="C10038" s="1" t="n">
        <v>46045</v>
      </c>
      <c r="D10038" t="inlineStr">
        <is>
          <t>JÄMTLANDS LÄN</t>
        </is>
      </c>
      <c r="E10038" t="inlineStr">
        <is>
          <t>BERG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15134-2025</t>
        </is>
      </c>
      <c r="B10039" s="1" t="n">
        <v>45744.38596064815</v>
      </c>
      <c r="C10039" s="1" t="n">
        <v>46045</v>
      </c>
      <c r="D10039" t="inlineStr">
        <is>
          <t>JÄMTLANDS LÄN</t>
        </is>
      </c>
      <c r="E10039" t="inlineStr">
        <is>
          <t>STRÖMSUND</t>
        </is>
      </c>
      <c r="F10039" t="inlineStr">
        <is>
          <t>SCA</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17256-2025</t>
        </is>
      </c>
      <c r="B10040" s="1" t="n">
        <v>45756.5315162037</v>
      </c>
      <c r="C10040" s="1" t="n">
        <v>46045</v>
      </c>
      <c r="D10040" t="inlineStr">
        <is>
          <t>JÄMTLANDS LÄN</t>
        </is>
      </c>
      <c r="E10040" t="inlineStr">
        <is>
          <t>STRÖMSUND</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12870-2025</t>
        </is>
      </c>
      <c r="B10041" s="1" t="n">
        <v>45733.67751157407</v>
      </c>
      <c r="C10041" s="1" t="n">
        <v>46045</v>
      </c>
      <c r="D10041" t="inlineStr">
        <is>
          <t>JÄMTLANDS LÄN</t>
        </is>
      </c>
      <c r="E10041" t="inlineStr">
        <is>
          <t>STRÖMSUND</t>
        </is>
      </c>
      <c r="F10041" t="inlineStr">
        <is>
          <t>SCA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39510-2023</t>
        </is>
      </c>
      <c r="B10042" s="1" t="n">
        <v>45166</v>
      </c>
      <c r="C10042" s="1" t="n">
        <v>46045</v>
      </c>
      <c r="D10042" t="inlineStr">
        <is>
          <t>JÄMTLANDS LÄN</t>
        </is>
      </c>
      <c r="E10042" t="inlineStr">
        <is>
          <t>BERG</t>
        </is>
      </c>
      <c r="F10042" t="inlineStr">
        <is>
          <t>SCA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53217-2024</t>
        </is>
      </c>
      <c r="B10043" s="1" t="n">
        <v>45612.83778935186</v>
      </c>
      <c r="C10043" s="1" t="n">
        <v>46045</v>
      </c>
      <c r="D10043" t="inlineStr">
        <is>
          <t>JÄMTLANDS LÄN</t>
        </is>
      </c>
      <c r="E10043" t="inlineStr">
        <is>
          <t>STRÖMSUND</t>
        </is>
      </c>
      <c r="G10043" t="n">
        <v>27.9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28081-2022</t>
        </is>
      </c>
      <c r="B10044" s="1" t="n">
        <v>44746</v>
      </c>
      <c r="C10044" s="1" t="n">
        <v>46045</v>
      </c>
      <c r="D10044" t="inlineStr">
        <is>
          <t>JÄMTLANDS LÄN</t>
        </is>
      </c>
      <c r="E10044" t="inlineStr">
        <is>
          <t>RAGUNDA</t>
        </is>
      </c>
      <c r="G10044" t="n">
        <v>7.2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57783-2023</t>
        </is>
      </c>
      <c r="B10045" s="1" t="n">
        <v>45246.96743055555</v>
      </c>
      <c r="C10045" s="1" t="n">
        <v>46045</v>
      </c>
      <c r="D10045" t="inlineStr">
        <is>
          <t>JÄMTLANDS LÄN</t>
        </is>
      </c>
      <c r="E10045" t="inlineStr">
        <is>
          <t>BRÄCKE</t>
        </is>
      </c>
      <c r="F10045" t="inlineStr">
        <is>
          <t>SCA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57798-2023</t>
        </is>
      </c>
      <c r="B10046" s="1" t="n">
        <v>45246.96893518518</v>
      </c>
      <c r="C10046" s="1" t="n">
        <v>46045</v>
      </c>
      <c r="D10046" t="inlineStr">
        <is>
          <t>JÄMTLANDS LÄN</t>
        </is>
      </c>
      <c r="E10046" t="inlineStr">
        <is>
          <t>BRÄCKE</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57856-2023</t>
        </is>
      </c>
      <c r="B10047" s="1" t="n">
        <v>45247</v>
      </c>
      <c r="C10047" s="1" t="n">
        <v>46045</v>
      </c>
      <c r="D10047" t="inlineStr">
        <is>
          <t>JÄMTLANDS LÄN</t>
        </is>
      </c>
      <c r="E10047" t="inlineStr">
        <is>
          <t>KROKOM</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19513-2025</t>
        </is>
      </c>
      <c r="B10048" s="1" t="n">
        <v>45770.42762731481</v>
      </c>
      <c r="C10048" s="1" t="n">
        <v>46045</v>
      </c>
      <c r="D10048" t="inlineStr">
        <is>
          <t>JÄMTLANDS LÄN</t>
        </is>
      </c>
      <c r="E10048" t="inlineStr">
        <is>
          <t>BERG</t>
        </is>
      </c>
      <c r="F10048" t="inlineStr">
        <is>
          <t>SCA</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1596-2024</t>
        </is>
      </c>
      <c r="B10049" s="1" t="n">
        <v>45306</v>
      </c>
      <c r="C10049" s="1" t="n">
        <v>46045</v>
      </c>
      <c r="D10049" t="inlineStr">
        <is>
          <t>JÄMTLANDS LÄN</t>
        </is>
      </c>
      <c r="E10049" t="inlineStr">
        <is>
          <t>BERG</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3255-2025</t>
        </is>
      </c>
      <c r="B10050" s="1" t="n">
        <v>45679.55256944444</v>
      </c>
      <c r="C10050" s="1" t="n">
        <v>46045</v>
      </c>
      <c r="D10050" t="inlineStr">
        <is>
          <t>JÄMTLANDS LÄN</t>
        </is>
      </c>
      <c r="E10050" t="inlineStr">
        <is>
          <t>ÖSTERSUND</t>
        </is>
      </c>
      <c r="F10050" t="inlineStr">
        <is>
          <t>SCA</t>
        </is>
      </c>
      <c r="G10050" t="n">
        <v>16.7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9022-2025</t>
        </is>
      </c>
      <c r="B10051" s="1" t="n">
        <v>45713.59623842593</v>
      </c>
      <c r="C10051" s="1" t="n">
        <v>46045</v>
      </c>
      <c r="D10051" t="inlineStr">
        <is>
          <t>JÄMTLANDS LÄN</t>
        </is>
      </c>
      <c r="E10051" t="inlineStr">
        <is>
          <t>KROKOM</t>
        </is>
      </c>
      <c r="F10051" t="inlineStr">
        <is>
          <t>Övriga Aktiebolag</t>
        </is>
      </c>
      <c r="G10051" t="n">
        <v>29.9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10103-2025</t>
        </is>
      </c>
      <c r="B10052" s="1" t="n">
        <v>45719.57978009259</v>
      </c>
      <c r="C10052" s="1" t="n">
        <v>46045</v>
      </c>
      <c r="D10052" t="inlineStr">
        <is>
          <t>JÄMTLANDS LÄN</t>
        </is>
      </c>
      <c r="E10052" t="inlineStr">
        <is>
          <t>BRÄCKE</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57416-2023</t>
        </is>
      </c>
      <c r="B10053" s="1" t="n">
        <v>45245</v>
      </c>
      <c r="C10053" s="1" t="n">
        <v>46045</v>
      </c>
      <c r="D10053" t="inlineStr">
        <is>
          <t>JÄMTLANDS LÄN</t>
        </is>
      </c>
      <c r="E10053" t="inlineStr">
        <is>
          <t>STRÖMSUND</t>
        </is>
      </c>
      <c r="F10053" t="inlineStr">
        <is>
          <t>SCA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57448-2023</t>
        </is>
      </c>
      <c r="B10054" s="1" t="n">
        <v>45246.34405092592</v>
      </c>
      <c r="C10054" s="1" t="n">
        <v>46045</v>
      </c>
      <c r="D10054" t="inlineStr">
        <is>
          <t>JÄMTLANDS LÄN</t>
        </is>
      </c>
      <c r="E10054" t="inlineStr">
        <is>
          <t>ÅRE</t>
        </is>
      </c>
      <c r="G10054" t="n">
        <v>11.9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12666-2025</t>
        </is>
      </c>
      <c r="B10055" s="1" t="n">
        <v>45733.42768518518</v>
      </c>
      <c r="C10055" s="1" t="n">
        <v>46045</v>
      </c>
      <c r="D10055" t="inlineStr">
        <is>
          <t>JÄMTLANDS LÄN</t>
        </is>
      </c>
      <c r="E10055" t="inlineStr">
        <is>
          <t>STRÖMSUND</t>
        </is>
      </c>
      <c r="F10055" t="inlineStr">
        <is>
          <t>SCA</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13350-2025</t>
        </is>
      </c>
      <c r="B10056" s="1" t="n">
        <v>45735.63578703703</v>
      </c>
      <c r="C10056" s="1" t="n">
        <v>46045</v>
      </c>
      <c r="D10056" t="inlineStr">
        <is>
          <t>JÄMTLANDS LÄN</t>
        </is>
      </c>
      <c r="E10056" t="inlineStr">
        <is>
          <t>STRÖMSUND</t>
        </is>
      </c>
      <c r="F10056" t="inlineStr">
        <is>
          <t>SCA</t>
        </is>
      </c>
      <c r="G10056" t="n">
        <v>13.7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2615-2024</t>
        </is>
      </c>
      <c r="B10057" s="1" t="n">
        <v>45313</v>
      </c>
      <c r="C10057" s="1" t="n">
        <v>46045</v>
      </c>
      <c r="D10057" t="inlineStr">
        <is>
          <t>JÄMTLANDS LÄN</t>
        </is>
      </c>
      <c r="E10057" t="inlineStr">
        <is>
          <t>ÖSTERSUND</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43789-2022</t>
        </is>
      </c>
      <c r="B10058" s="1" t="n">
        <v>44837</v>
      </c>
      <c r="C10058" s="1" t="n">
        <v>46045</v>
      </c>
      <c r="D10058" t="inlineStr">
        <is>
          <t>JÄMTLANDS LÄN</t>
        </is>
      </c>
      <c r="E10058" t="inlineStr">
        <is>
          <t>BRÄCKE</t>
        </is>
      </c>
      <c r="F10058" t="inlineStr">
        <is>
          <t>SCA</t>
        </is>
      </c>
      <c r="G10058" t="n">
        <v>6.5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30160-2022</t>
        </is>
      </c>
      <c r="B10059" s="1" t="n">
        <v>44757</v>
      </c>
      <c r="C10059" s="1" t="n">
        <v>46045</v>
      </c>
      <c r="D10059" t="inlineStr">
        <is>
          <t>JÄMTLANDS LÄN</t>
        </is>
      </c>
      <c r="E10059" t="inlineStr">
        <is>
          <t>KROKOM</t>
        </is>
      </c>
      <c r="F10059" t="inlineStr">
        <is>
          <t>SCA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37324-2022</t>
        </is>
      </c>
      <c r="B10060" s="1" t="n">
        <v>44806</v>
      </c>
      <c r="C10060" s="1" t="n">
        <v>46045</v>
      </c>
      <c r="D10060" t="inlineStr">
        <is>
          <t>JÄMTLANDS LÄN</t>
        </is>
      </c>
      <c r="E10060" t="inlineStr">
        <is>
          <t>RAGUNDA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8853-2025</t>
        </is>
      </c>
      <c r="B10061" s="1" t="n">
        <v>45713.34482638889</v>
      </c>
      <c r="C10061" s="1" t="n">
        <v>46045</v>
      </c>
      <c r="D10061" t="inlineStr">
        <is>
          <t>JÄMTLANDS LÄN</t>
        </is>
      </c>
      <c r="E10061" t="inlineStr">
        <is>
          <t>BRÄCKE</t>
        </is>
      </c>
      <c r="F10061" t="inlineStr">
        <is>
          <t>SCA</t>
        </is>
      </c>
      <c r="G10061" t="n">
        <v>15.7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9956-2025</t>
        </is>
      </c>
      <c r="B10062" s="1" t="n">
        <v>45719.35915509259</v>
      </c>
      <c r="C10062" s="1" t="n">
        <v>46045</v>
      </c>
      <c r="D10062" t="inlineStr">
        <is>
          <t>JÄMTLANDS LÄN</t>
        </is>
      </c>
      <c r="E10062" t="inlineStr">
        <is>
          <t>STRÖMSUND</t>
        </is>
      </c>
      <c r="F10062" t="inlineStr">
        <is>
          <t>Holmen skog AB</t>
        </is>
      </c>
      <c r="G10062" t="n">
        <v>21.4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1823-2025</t>
        </is>
      </c>
      <c r="B10063" s="1" t="n">
        <v>45671.53167824074</v>
      </c>
      <c r="C10063" s="1" t="n">
        <v>46045</v>
      </c>
      <c r="D10063" t="inlineStr">
        <is>
          <t>JÄMTLANDS LÄN</t>
        </is>
      </c>
      <c r="E10063" t="inlineStr">
        <is>
          <t>STRÖMSUND</t>
        </is>
      </c>
      <c r="F10063" t="inlineStr">
        <is>
          <t>SCA</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1852-2025</t>
        </is>
      </c>
      <c r="B10064" s="1" t="n">
        <v>45671.59114583334</v>
      </c>
      <c r="C10064" s="1" t="n">
        <v>46045</v>
      </c>
      <c r="D10064" t="inlineStr">
        <is>
          <t>JÄMTLANDS LÄN</t>
        </is>
      </c>
      <c r="E10064" t="inlineStr">
        <is>
          <t>KROKOM</t>
        </is>
      </c>
      <c r="G10064" t="n">
        <v>6.8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9258-2025</t>
        </is>
      </c>
      <c r="B10065" s="1" t="n">
        <v>45714.59476851852</v>
      </c>
      <c r="C10065" s="1" t="n">
        <v>46045</v>
      </c>
      <c r="D10065" t="inlineStr">
        <is>
          <t>JÄMTLANDS LÄN</t>
        </is>
      </c>
      <c r="E10065" t="inlineStr">
        <is>
          <t>STRÖMSUND</t>
        </is>
      </c>
      <c r="F10065" t="inlineStr">
        <is>
          <t>SCA</t>
        </is>
      </c>
      <c r="G10065" t="n">
        <v>15.4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9706-2025</t>
        </is>
      </c>
      <c r="B10066" s="1" t="n">
        <v>45716.3858912037</v>
      </c>
      <c r="C10066" s="1" t="n">
        <v>46045</v>
      </c>
      <c r="D10066" t="inlineStr">
        <is>
          <t>JÄMTLANDS LÄN</t>
        </is>
      </c>
      <c r="E10066" t="inlineStr">
        <is>
          <t>BRÄCKE</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8958-2023</t>
        </is>
      </c>
      <c r="B10067" s="1" t="n">
        <v>44979.47976851852</v>
      </c>
      <c r="C10067" s="1" t="n">
        <v>46045</v>
      </c>
      <c r="D10067" t="inlineStr">
        <is>
          <t>JÄMTLANDS LÄN</t>
        </is>
      </c>
      <c r="E10067" t="inlineStr">
        <is>
          <t>BRÄCKE</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36192-2024</t>
        </is>
      </c>
      <c r="B10068" s="1" t="n">
        <v>45534.42809027778</v>
      </c>
      <c r="C10068" s="1" t="n">
        <v>46045</v>
      </c>
      <c r="D10068" t="inlineStr">
        <is>
          <t>JÄMTLANDS LÄN</t>
        </is>
      </c>
      <c r="E10068" t="inlineStr">
        <is>
          <t>BERG</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20551-2025</t>
        </is>
      </c>
      <c r="B10069" s="1" t="n">
        <v>45775.63619212963</v>
      </c>
      <c r="C10069" s="1" t="n">
        <v>46045</v>
      </c>
      <c r="D10069" t="inlineStr">
        <is>
          <t>JÄMTLANDS LÄN</t>
        </is>
      </c>
      <c r="E10069" t="inlineStr">
        <is>
          <t>STRÖMSUND</t>
        </is>
      </c>
      <c r="F10069" t="inlineStr">
        <is>
          <t>SCA</t>
        </is>
      </c>
      <c r="G10069" t="n">
        <v>12.9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47098-2022</t>
        </is>
      </c>
      <c r="B10070" s="1" t="n">
        <v>44852.47255787037</v>
      </c>
      <c r="C10070" s="1" t="n">
        <v>46045</v>
      </c>
      <c r="D10070" t="inlineStr">
        <is>
          <t>JÄMTLANDS LÄN</t>
        </is>
      </c>
      <c r="E10070" t="inlineStr">
        <is>
          <t>STRÖMSUND</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44995-2023</t>
        </is>
      </c>
      <c r="B10071" s="1" t="n">
        <v>45190.95940972222</v>
      </c>
      <c r="C10071" s="1" t="n">
        <v>46045</v>
      </c>
      <c r="D10071" t="inlineStr">
        <is>
          <t>JÄMTLANDS LÄN</t>
        </is>
      </c>
      <c r="E10071" t="inlineStr">
        <is>
          <t>STRÖMSUND</t>
        </is>
      </c>
      <c r="F10071" t="inlineStr">
        <is>
          <t>SCA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47320-2022</t>
        </is>
      </c>
      <c r="B10072" s="1" t="n">
        <v>44846</v>
      </c>
      <c r="C10072" s="1" t="n">
        <v>46045</v>
      </c>
      <c r="D10072" t="inlineStr">
        <is>
          <t>JÄMTLANDS LÄN</t>
        </is>
      </c>
      <c r="E10072" t="inlineStr">
        <is>
          <t>STRÖMSUND</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53142-2023</t>
        </is>
      </c>
      <c r="B10073" s="1" t="n">
        <v>45229</v>
      </c>
      <c r="C10073" s="1" t="n">
        <v>46045</v>
      </c>
      <c r="D10073" t="inlineStr">
        <is>
          <t>JÄMTLANDS LÄN</t>
        </is>
      </c>
      <c r="E10073" t="inlineStr">
        <is>
          <t>STRÖMSUND</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18252-2025</t>
        </is>
      </c>
      <c r="B10074" s="1" t="n">
        <v>45762.34435185185</v>
      </c>
      <c r="C10074" s="1" t="n">
        <v>46045</v>
      </c>
      <c r="D10074" t="inlineStr">
        <is>
          <t>JÄMTLANDS LÄN</t>
        </is>
      </c>
      <c r="E10074" t="inlineStr">
        <is>
          <t>STRÖMSUND</t>
        </is>
      </c>
      <c r="F10074" t="inlineStr">
        <is>
          <t>SCA</t>
        </is>
      </c>
      <c r="G10074" t="n">
        <v>7.6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18253-2025</t>
        </is>
      </c>
      <c r="B10075" s="1" t="n">
        <v>45762.34449074074</v>
      </c>
      <c r="C10075" s="1" t="n">
        <v>46045</v>
      </c>
      <c r="D10075" t="inlineStr">
        <is>
          <t>JÄMTLANDS LÄN</t>
        </is>
      </c>
      <c r="E10075" t="inlineStr">
        <is>
          <t>STRÖMSUND</t>
        </is>
      </c>
      <c r="F10075" t="inlineStr">
        <is>
          <t>SCA</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18255-2025</t>
        </is>
      </c>
      <c r="B10076" s="1" t="n">
        <v>45762.3446412037</v>
      </c>
      <c r="C10076" s="1" t="n">
        <v>46045</v>
      </c>
      <c r="D10076" t="inlineStr">
        <is>
          <t>JÄMTLANDS LÄN</t>
        </is>
      </c>
      <c r="E10076" t="inlineStr">
        <is>
          <t>BRÄCKE</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21990-2022</t>
        </is>
      </c>
      <c r="B10077" s="1" t="n">
        <v>44711</v>
      </c>
      <c r="C10077" s="1" t="n">
        <v>46045</v>
      </c>
      <c r="D10077" t="inlineStr">
        <is>
          <t>JÄMTLANDS LÄN</t>
        </is>
      </c>
      <c r="E10077" t="inlineStr">
        <is>
          <t>KROKOM</t>
        </is>
      </c>
      <c r="F10077" t="inlineStr">
        <is>
          <t>Övriga Aktiebolag</t>
        </is>
      </c>
      <c r="G10077" t="n">
        <v>26.3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166-2024</t>
        </is>
      </c>
      <c r="B10078" s="1" t="n">
        <v>45294</v>
      </c>
      <c r="C10078" s="1" t="n">
        <v>46045</v>
      </c>
      <c r="D10078" t="inlineStr">
        <is>
          <t>JÄMTLANDS LÄN</t>
        </is>
      </c>
      <c r="E10078" t="inlineStr">
        <is>
          <t>BERG</t>
        </is>
      </c>
      <c r="F10078" t="inlineStr">
        <is>
          <t>Kyrkan</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8722-2024</t>
        </is>
      </c>
      <c r="B10079" s="1" t="n">
        <v>45355</v>
      </c>
      <c r="C10079" s="1" t="n">
        <v>46045</v>
      </c>
      <c r="D10079" t="inlineStr">
        <is>
          <t>JÄMTLANDS LÄN</t>
        </is>
      </c>
      <c r="E10079" t="inlineStr">
        <is>
          <t>BERG</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8726-2024</t>
        </is>
      </c>
      <c r="B10080" s="1" t="n">
        <v>45355</v>
      </c>
      <c r="C10080" s="1" t="n">
        <v>46045</v>
      </c>
      <c r="D10080" t="inlineStr">
        <is>
          <t>JÄMTLANDS LÄN</t>
        </is>
      </c>
      <c r="E10080" t="inlineStr">
        <is>
          <t>BERG</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44402-2023</t>
        </is>
      </c>
      <c r="B10081" s="1" t="n">
        <v>45188</v>
      </c>
      <c r="C10081" s="1" t="n">
        <v>46045</v>
      </c>
      <c r="D10081" t="inlineStr">
        <is>
          <t>JÄMTLANDS LÄN</t>
        </is>
      </c>
      <c r="E10081" t="inlineStr">
        <is>
          <t>STRÖMSUND</t>
        </is>
      </c>
      <c r="F10081" t="inlineStr">
        <is>
          <t>SCA</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508-2024</t>
        </is>
      </c>
      <c r="B10082" s="1" t="n">
        <v>45299</v>
      </c>
      <c r="C10082" s="1" t="n">
        <v>46045</v>
      </c>
      <c r="D10082" t="inlineStr">
        <is>
          <t>JÄMTLANDS LÄN</t>
        </is>
      </c>
      <c r="E10082" t="inlineStr">
        <is>
          <t>STRÖMSUND</t>
        </is>
      </c>
      <c r="G10082" t="n">
        <v>13.1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1159-2024</t>
        </is>
      </c>
      <c r="B10083" s="1" t="n">
        <v>45302.52006944444</v>
      </c>
      <c r="C10083" s="1" t="n">
        <v>46045</v>
      </c>
      <c r="D10083" t="inlineStr">
        <is>
          <t>JÄMTLANDS LÄN</t>
        </is>
      </c>
      <c r="E10083" t="inlineStr">
        <is>
          <t>ÖSTERSUND</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55156-2023</t>
        </is>
      </c>
      <c r="B10084" s="1" t="n">
        <v>45237</v>
      </c>
      <c r="C10084" s="1" t="n">
        <v>46045</v>
      </c>
      <c r="D10084" t="inlineStr">
        <is>
          <t>JÄMTLANDS LÄN</t>
        </is>
      </c>
      <c r="E10084" t="inlineStr">
        <is>
          <t>STRÖMSUND</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35556-2022</t>
        </is>
      </c>
      <c r="B10085" s="1" t="n">
        <v>44799</v>
      </c>
      <c r="C10085" s="1" t="n">
        <v>46045</v>
      </c>
      <c r="D10085" t="inlineStr">
        <is>
          <t>JÄMTLANDS LÄN</t>
        </is>
      </c>
      <c r="E10085" t="inlineStr">
        <is>
          <t>ÖSTERSUND</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8756-2025</t>
        </is>
      </c>
      <c r="B10086" s="1" t="n">
        <v>45712.57337962963</v>
      </c>
      <c r="C10086" s="1" t="n">
        <v>46045</v>
      </c>
      <c r="D10086" t="inlineStr">
        <is>
          <t>JÄMTLANDS LÄN</t>
        </is>
      </c>
      <c r="E10086" t="inlineStr">
        <is>
          <t>STRÖMSUND</t>
        </is>
      </c>
      <c r="F10086" t="inlineStr">
        <is>
          <t>SCA</t>
        </is>
      </c>
      <c r="G10086" t="n">
        <v>27.9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52754-2023</t>
        </is>
      </c>
      <c r="B10087" s="1" t="n">
        <v>45225.96831018518</v>
      </c>
      <c r="C10087" s="1" t="n">
        <v>46045</v>
      </c>
      <c r="D10087" t="inlineStr">
        <is>
          <t>JÄMTLANDS LÄN</t>
        </is>
      </c>
      <c r="E10087" t="inlineStr">
        <is>
          <t>BRÄCKE</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62106-2023</t>
        </is>
      </c>
      <c r="B10088" s="1" t="n">
        <v>45266.95082175926</v>
      </c>
      <c r="C10088" s="1" t="n">
        <v>46045</v>
      </c>
      <c r="D10088" t="inlineStr">
        <is>
          <t>JÄMTLANDS LÄN</t>
        </is>
      </c>
      <c r="E10088" t="inlineStr">
        <is>
          <t>RAGUNDA</t>
        </is>
      </c>
      <c r="F10088" t="inlineStr">
        <is>
          <t>SCA</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10842-2024</t>
        </is>
      </c>
      <c r="B10089" s="1" t="n">
        <v>45369</v>
      </c>
      <c r="C10089" s="1" t="n">
        <v>46045</v>
      </c>
      <c r="D10089" t="inlineStr">
        <is>
          <t>JÄMTLANDS LÄN</t>
        </is>
      </c>
      <c r="E10089" t="inlineStr">
        <is>
          <t>KROKOM</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10857-2024</t>
        </is>
      </c>
      <c r="B10090" s="1" t="n">
        <v>45370.01916666667</v>
      </c>
      <c r="C10090" s="1" t="n">
        <v>46045</v>
      </c>
      <c r="D10090" t="inlineStr">
        <is>
          <t>JÄMTLANDS LÄN</t>
        </is>
      </c>
      <c r="E10090" t="inlineStr">
        <is>
          <t>BRÄCKE</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63532-2023</t>
        </is>
      </c>
      <c r="B10091" s="1" t="n">
        <v>45274</v>
      </c>
      <c r="C10091" s="1" t="n">
        <v>46045</v>
      </c>
      <c r="D10091" t="inlineStr">
        <is>
          <t>JÄMTLANDS LÄN</t>
        </is>
      </c>
      <c r="E10091" t="inlineStr">
        <is>
          <t>KROKOM</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4592-2024</t>
        </is>
      </c>
      <c r="B10092" s="1" t="n">
        <v>45327.94443287037</v>
      </c>
      <c r="C10092" s="1" t="n">
        <v>46045</v>
      </c>
      <c r="D10092" t="inlineStr">
        <is>
          <t>JÄMTLANDS LÄN</t>
        </is>
      </c>
      <c r="E10092" t="inlineStr">
        <is>
          <t>RAGUNDA</t>
        </is>
      </c>
      <c r="F10092" t="inlineStr">
        <is>
          <t>SCA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55235-2023</t>
        </is>
      </c>
      <c r="B10093" s="1" t="n">
        <v>45231</v>
      </c>
      <c r="C10093" s="1" t="n">
        <v>46045</v>
      </c>
      <c r="D10093" t="inlineStr">
        <is>
          <t>JÄMTLANDS LÄN</t>
        </is>
      </c>
      <c r="E10093" t="inlineStr">
        <is>
          <t>ÖSTERSUND</t>
        </is>
      </c>
      <c r="F10093" t="inlineStr">
        <is>
          <t>SCA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59469-2023</t>
        </is>
      </c>
      <c r="B10094" s="1" t="n">
        <v>45254</v>
      </c>
      <c r="C10094" s="1" t="n">
        <v>46045</v>
      </c>
      <c r="D10094" t="inlineStr">
        <is>
          <t>JÄMTLANDS LÄN</t>
        </is>
      </c>
      <c r="E10094" t="inlineStr">
        <is>
          <t>STRÖMSUND</t>
        </is>
      </c>
      <c r="F10094" t="inlineStr">
        <is>
          <t>Holmen skog AB</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59476-2023</t>
        </is>
      </c>
      <c r="B10095" s="1" t="n">
        <v>45254</v>
      </c>
      <c r="C10095" s="1" t="n">
        <v>46045</v>
      </c>
      <c r="D10095" t="inlineStr">
        <is>
          <t>JÄMTLANDS LÄN</t>
        </is>
      </c>
      <c r="E10095" t="inlineStr">
        <is>
          <t>STRÖMSUND</t>
        </is>
      </c>
      <c r="F10095" t="inlineStr">
        <is>
          <t>Holmen skog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14752-2024</t>
        </is>
      </c>
      <c r="B10096" s="1" t="n">
        <v>45397.64855324074</v>
      </c>
      <c r="C10096" s="1" t="n">
        <v>46045</v>
      </c>
      <c r="D10096" t="inlineStr">
        <is>
          <t>JÄMTLANDS LÄN</t>
        </is>
      </c>
      <c r="E10096" t="inlineStr">
        <is>
          <t>HÄRJEDALEN</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39625-2022</t>
        </is>
      </c>
      <c r="B10097" s="1" t="n">
        <v>44818</v>
      </c>
      <c r="C10097" s="1" t="n">
        <v>46045</v>
      </c>
      <c r="D10097" t="inlineStr">
        <is>
          <t>JÄMTLANDS LÄN</t>
        </is>
      </c>
      <c r="E10097" t="inlineStr">
        <is>
          <t>HÄRJEDALEN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42136-2022</t>
        </is>
      </c>
      <c r="B10098" s="1" t="n">
        <v>44830</v>
      </c>
      <c r="C10098" s="1" t="n">
        <v>46045</v>
      </c>
      <c r="D10098" t="inlineStr">
        <is>
          <t>JÄMTLANDS LÄN</t>
        </is>
      </c>
      <c r="E10098" t="inlineStr">
        <is>
          <t>ÅRE</t>
        </is>
      </c>
      <c r="F10098" t="inlineStr">
        <is>
          <t>Bergvik skog öst AB</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1159-2023</t>
        </is>
      </c>
      <c r="B10099" s="1" t="n">
        <v>44935.66199074074</v>
      </c>
      <c r="C10099" s="1" t="n">
        <v>46045</v>
      </c>
      <c r="D10099" t="inlineStr">
        <is>
          <t>JÄMTLANDS LÄN</t>
        </is>
      </c>
      <c r="E10099" t="inlineStr">
        <is>
          <t>ÅRE</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7040-2024</t>
        </is>
      </c>
      <c r="B10100" s="1" t="n">
        <v>45343</v>
      </c>
      <c r="C10100" s="1" t="n">
        <v>46045</v>
      </c>
      <c r="D10100" t="inlineStr">
        <is>
          <t>JÄMTLANDS LÄN</t>
        </is>
      </c>
      <c r="E10100" t="inlineStr">
        <is>
          <t>BERG</t>
        </is>
      </c>
      <c r="G10100" t="n">
        <v>15.9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58083-2023</t>
        </is>
      </c>
      <c r="B10101" s="1" t="n">
        <v>45247</v>
      </c>
      <c r="C10101" s="1" t="n">
        <v>46045</v>
      </c>
      <c r="D10101" t="inlineStr">
        <is>
          <t>JÄMTLANDS LÄN</t>
        </is>
      </c>
      <c r="E10101" t="inlineStr">
        <is>
          <t>BRÄCKE</t>
        </is>
      </c>
      <c r="F10101" t="inlineStr">
        <is>
          <t>SCA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18984-2023</t>
        </is>
      </c>
      <c r="B10102" s="1" t="n">
        <v>45044</v>
      </c>
      <c r="C10102" s="1" t="n">
        <v>46045</v>
      </c>
      <c r="D10102" t="inlineStr">
        <is>
          <t>JÄMTLANDS LÄN</t>
        </is>
      </c>
      <c r="E10102" t="inlineStr">
        <is>
          <t>RAGUNDA</t>
        </is>
      </c>
      <c r="F10102" t="inlineStr">
        <is>
          <t>SCA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8241-2024</t>
        </is>
      </c>
      <c r="B10103" s="1" t="n">
        <v>45351.98496527778</v>
      </c>
      <c r="C10103" s="1" t="n">
        <v>46045</v>
      </c>
      <c r="D10103" t="inlineStr">
        <is>
          <t>JÄMTLANDS LÄN</t>
        </is>
      </c>
      <c r="E10103" t="inlineStr">
        <is>
          <t>RAGUNDA</t>
        </is>
      </c>
      <c r="F10103" t="inlineStr">
        <is>
          <t>SCA</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14512-2025</t>
        </is>
      </c>
      <c r="B10104" s="1" t="n">
        <v>45741.63659722222</v>
      </c>
      <c r="C10104" s="1" t="n">
        <v>46045</v>
      </c>
      <c r="D10104" t="inlineStr">
        <is>
          <t>JÄMTLANDS LÄN</t>
        </is>
      </c>
      <c r="E10104" t="inlineStr">
        <is>
          <t>RAGUNDA</t>
        </is>
      </c>
      <c r="F10104" t="inlineStr">
        <is>
          <t>SCA</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5215-2024</t>
        </is>
      </c>
      <c r="B10105" s="1" t="n">
        <v>45330</v>
      </c>
      <c r="C10105" s="1" t="n">
        <v>46045</v>
      </c>
      <c r="D10105" t="inlineStr">
        <is>
          <t>JÄMTLANDS LÄN</t>
        </is>
      </c>
      <c r="E10105" t="inlineStr">
        <is>
          <t>BERG</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5267-2024</t>
        </is>
      </c>
      <c r="B10106" s="1" t="n">
        <v>45330.96278935186</v>
      </c>
      <c r="C10106" s="1" t="n">
        <v>46045</v>
      </c>
      <c r="D10106" t="inlineStr">
        <is>
          <t>JÄMTLANDS LÄN</t>
        </is>
      </c>
      <c r="E10106" t="inlineStr">
        <is>
          <t>STRÖMSUND</t>
        </is>
      </c>
      <c r="F10106" t="inlineStr">
        <is>
          <t>SCA</t>
        </is>
      </c>
      <c r="G10106" t="n">
        <v>29.1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60794-2023</t>
        </is>
      </c>
      <c r="B10107" s="1" t="n">
        <v>45260</v>
      </c>
      <c r="C10107" s="1" t="n">
        <v>46045</v>
      </c>
      <c r="D10107" t="inlineStr">
        <is>
          <t>JÄMTLANDS LÄN</t>
        </is>
      </c>
      <c r="E10107" t="inlineStr">
        <is>
          <t>ÖSTERSUND</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42237-2022</t>
        </is>
      </c>
      <c r="B10108" s="1" t="n">
        <v>44830</v>
      </c>
      <c r="C10108" s="1" t="n">
        <v>46045</v>
      </c>
      <c r="D10108" t="inlineStr">
        <is>
          <t>JÄMTLANDS LÄN</t>
        </is>
      </c>
      <c r="E10108" t="inlineStr">
        <is>
          <t>STRÖMSUND</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57637-2024</t>
        </is>
      </c>
      <c r="B10109" s="1" t="n">
        <v>45630.5731712963</v>
      </c>
      <c r="C10109" s="1" t="n">
        <v>46045</v>
      </c>
      <c r="D10109" t="inlineStr">
        <is>
          <t>JÄMTLANDS LÄN</t>
        </is>
      </c>
      <c r="E10109" t="inlineStr">
        <is>
          <t>HÄRJEDALEN</t>
        </is>
      </c>
      <c r="F10109" t="inlineStr">
        <is>
          <t>Bergvik skog väst AB</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57638-2024</t>
        </is>
      </c>
      <c r="B10110" s="1" t="n">
        <v>45630.5733912037</v>
      </c>
      <c r="C10110" s="1" t="n">
        <v>46045</v>
      </c>
      <c r="D10110" t="inlineStr">
        <is>
          <t>JÄMTLANDS LÄN</t>
        </is>
      </c>
      <c r="E10110" t="inlineStr">
        <is>
          <t>STRÖMSUND</t>
        </is>
      </c>
      <c r="F10110" t="inlineStr">
        <is>
          <t>SCA</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14341-2025</t>
        </is>
      </c>
      <c r="B10111" s="1" t="n">
        <v>45741.26008101852</v>
      </c>
      <c r="C10111" s="1" t="n">
        <v>46045</v>
      </c>
      <c r="D10111" t="inlineStr">
        <is>
          <t>JÄMTLANDS LÄN</t>
        </is>
      </c>
      <c r="E10111" t="inlineStr">
        <is>
          <t>BERG</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57669-2024</t>
        </is>
      </c>
      <c r="B10112" s="1" t="n">
        <v>45630.62520833333</v>
      </c>
      <c r="C10112" s="1" t="n">
        <v>46045</v>
      </c>
      <c r="D10112" t="inlineStr">
        <is>
          <t>JÄMTLANDS LÄN</t>
        </is>
      </c>
      <c r="E10112" t="inlineStr">
        <is>
          <t>BERG</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20514-2024</t>
        </is>
      </c>
      <c r="B10113" s="1" t="n">
        <v>45435.94387731481</v>
      </c>
      <c r="C10113" s="1" t="n">
        <v>46045</v>
      </c>
      <c r="D10113" t="inlineStr">
        <is>
          <t>JÄMTLANDS LÄN</t>
        </is>
      </c>
      <c r="E10113" t="inlineStr">
        <is>
          <t>BRÄCKE</t>
        </is>
      </c>
      <c r="F10113" t="inlineStr">
        <is>
          <t>SCA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35278-2023</t>
        </is>
      </c>
      <c r="B10114" s="1" t="n">
        <v>45145.95423611111</v>
      </c>
      <c r="C10114" s="1" t="n">
        <v>46045</v>
      </c>
      <c r="D10114" t="inlineStr">
        <is>
          <t>JÄMTLANDS LÄN</t>
        </is>
      </c>
      <c r="E10114" t="inlineStr">
        <is>
          <t>STRÖMSUND</t>
        </is>
      </c>
      <c r="F10114" t="inlineStr">
        <is>
          <t>SCA</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32443-2024</t>
        </is>
      </c>
      <c r="B10115" s="1" t="n">
        <v>45512.95568287037</v>
      </c>
      <c r="C10115" s="1" t="n">
        <v>46045</v>
      </c>
      <c r="D10115" t="inlineStr">
        <is>
          <t>JÄMTLANDS LÄN</t>
        </is>
      </c>
      <c r="E10115" t="inlineStr">
        <is>
          <t>STRÖMSUND</t>
        </is>
      </c>
      <c r="F10115" t="inlineStr">
        <is>
          <t>SCA</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47587-2023</t>
        </is>
      </c>
      <c r="B10116" s="1" t="n">
        <v>45203.44248842593</v>
      </c>
      <c r="C10116" s="1" t="n">
        <v>46045</v>
      </c>
      <c r="D10116" t="inlineStr">
        <is>
          <t>JÄMTLANDS LÄN</t>
        </is>
      </c>
      <c r="E10116" t="inlineStr">
        <is>
          <t>KROKOM</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23779-2023</t>
        </is>
      </c>
      <c r="B10117" s="1" t="n">
        <v>45077.94695601852</v>
      </c>
      <c r="C10117" s="1" t="n">
        <v>46045</v>
      </c>
      <c r="D10117" t="inlineStr">
        <is>
          <t>JÄMTLANDS LÄN</t>
        </is>
      </c>
      <c r="E10117" t="inlineStr">
        <is>
          <t>STRÖMSUND</t>
        </is>
      </c>
      <c r="F10117" t="inlineStr">
        <is>
          <t>SCA</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23783-2023</t>
        </is>
      </c>
      <c r="B10118" s="1" t="n">
        <v>45077.94710648148</v>
      </c>
      <c r="C10118" s="1" t="n">
        <v>46045</v>
      </c>
      <c r="D10118" t="inlineStr">
        <is>
          <t>JÄMTLANDS LÄN</t>
        </is>
      </c>
      <c r="E10118" t="inlineStr">
        <is>
          <t>STRÖMSUND</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53019-2023</t>
        </is>
      </c>
      <c r="B10119" s="1" t="n">
        <v>45222</v>
      </c>
      <c r="C10119" s="1" t="n">
        <v>46045</v>
      </c>
      <c r="D10119" t="inlineStr">
        <is>
          <t>JÄMTLANDS LÄN</t>
        </is>
      </c>
      <c r="E10119" t="inlineStr">
        <is>
          <t>RAGUNDA</t>
        </is>
      </c>
      <c r="F10119" t="inlineStr">
        <is>
          <t>SCA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59996-2023</t>
        </is>
      </c>
      <c r="B10120" s="1" t="n">
        <v>45257.92826388889</v>
      </c>
      <c r="C10120" s="1" t="n">
        <v>46045</v>
      </c>
      <c r="D10120" t="inlineStr">
        <is>
          <t>JÄMTLANDS LÄN</t>
        </is>
      </c>
      <c r="E10120" t="inlineStr">
        <is>
          <t>RAGUNDA</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39930-2022</t>
        </is>
      </c>
      <c r="B10121" s="1" t="n">
        <v>44819</v>
      </c>
      <c r="C10121" s="1" t="n">
        <v>46045</v>
      </c>
      <c r="D10121" t="inlineStr">
        <is>
          <t>JÄMTLANDS LÄN</t>
        </is>
      </c>
      <c r="E10121" t="inlineStr">
        <is>
          <t>BRÄCKE</t>
        </is>
      </c>
      <c r="F10121" t="inlineStr">
        <is>
          <t>SCA</t>
        </is>
      </c>
      <c r="G10121" t="n">
        <v>7.6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1537-2024</t>
        </is>
      </c>
      <c r="B10122" s="1" t="n">
        <v>45306</v>
      </c>
      <c r="C10122" s="1" t="n">
        <v>46045</v>
      </c>
      <c r="D10122" t="inlineStr">
        <is>
          <t>JÄMTLANDS LÄN</t>
        </is>
      </c>
      <c r="E10122" t="inlineStr">
        <is>
          <t>RAGUNDA</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39127-2023</t>
        </is>
      </c>
      <c r="B10123" s="1" t="n">
        <v>45165.70483796296</v>
      </c>
      <c r="C10123" s="1" t="n">
        <v>46045</v>
      </c>
      <c r="D10123" t="inlineStr">
        <is>
          <t>JÄMTLANDS LÄN</t>
        </is>
      </c>
      <c r="E10123" t="inlineStr">
        <is>
          <t>KROKOM</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12524-2025</t>
        </is>
      </c>
      <c r="B10124" s="1" t="n">
        <v>45730.6775462963</v>
      </c>
      <c r="C10124" s="1" t="n">
        <v>46045</v>
      </c>
      <c r="D10124" t="inlineStr">
        <is>
          <t>JÄMTLANDS LÄN</t>
        </is>
      </c>
      <c r="E10124" t="inlineStr">
        <is>
          <t>BRÄCKE</t>
        </is>
      </c>
      <c r="F10124" t="inlineStr">
        <is>
          <t>SCA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12553-2025</t>
        </is>
      </c>
      <c r="B10125" s="1" t="n">
        <v>45731.34431712963</v>
      </c>
      <c r="C10125" s="1" t="n">
        <v>46045</v>
      </c>
      <c r="D10125" t="inlineStr">
        <is>
          <t>JÄMTLANDS LÄN</t>
        </is>
      </c>
      <c r="E10125" t="inlineStr">
        <is>
          <t>BRÄCKE</t>
        </is>
      </c>
      <c r="F10125" t="inlineStr">
        <is>
          <t>SCA</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63362-2023</t>
        </is>
      </c>
      <c r="B10126" s="1" t="n">
        <v>45273</v>
      </c>
      <c r="C10126" s="1" t="n">
        <v>46045</v>
      </c>
      <c r="D10126" t="inlineStr">
        <is>
          <t>JÄMTLANDS LÄN</t>
        </is>
      </c>
      <c r="E10126" t="inlineStr">
        <is>
          <t>STRÖMSUND</t>
        </is>
      </c>
      <c r="G10126" t="n">
        <v>17.9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5277-2023</t>
        </is>
      </c>
      <c r="B10127" s="1" t="n">
        <v>44959</v>
      </c>
      <c r="C10127" s="1" t="n">
        <v>46045</v>
      </c>
      <c r="D10127" t="inlineStr">
        <is>
          <t>JÄMTLANDS LÄN</t>
        </is>
      </c>
      <c r="E10127" t="inlineStr">
        <is>
          <t>STRÖMSUND</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5278-2023</t>
        </is>
      </c>
      <c r="B10128" s="1" t="n">
        <v>44959.4874537037</v>
      </c>
      <c r="C10128" s="1" t="n">
        <v>46045</v>
      </c>
      <c r="D10128" t="inlineStr">
        <is>
          <t>JÄMTLANDS LÄN</t>
        </is>
      </c>
      <c r="E10128" t="inlineStr">
        <is>
          <t>STRÖMSUND</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35308-2022</t>
        </is>
      </c>
      <c r="B10129" s="1" t="n">
        <v>44798</v>
      </c>
      <c r="C10129" s="1" t="n">
        <v>46045</v>
      </c>
      <c r="D10129" t="inlineStr">
        <is>
          <t>JÄMTLANDS LÄN</t>
        </is>
      </c>
      <c r="E10129" t="inlineStr">
        <is>
          <t>STRÖMSUND</t>
        </is>
      </c>
      <c r="F10129" t="inlineStr">
        <is>
          <t>Kommuner</t>
        </is>
      </c>
      <c r="G10129" t="n">
        <v>8.4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58508-2023</t>
        </is>
      </c>
      <c r="B10130" s="1" t="n">
        <v>45246</v>
      </c>
      <c r="C10130" s="1" t="n">
        <v>46045</v>
      </c>
      <c r="D10130" t="inlineStr">
        <is>
          <t>JÄMTLANDS LÄN</t>
        </is>
      </c>
      <c r="E10130" t="inlineStr">
        <is>
          <t>ÅRE</t>
        </is>
      </c>
      <c r="G10130" t="n">
        <v>21.8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52736-2023</t>
        </is>
      </c>
      <c r="B10131" s="1" t="n">
        <v>45225.96627314815</v>
      </c>
      <c r="C10131" s="1" t="n">
        <v>46045</v>
      </c>
      <c r="D10131" t="inlineStr">
        <is>
          <t>JÄMTLANDS LÄN</t>
        </is>
      </c>
      <c r="E10131" t="inlineStr">
        <is>
          <t>STRÖMSUND</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43785-2022</t>
        </is>
      </c>
      <c r="B10132" s="1" t="n">
        <v>44837</v>
      </c>
      <c r="C10132" s="1" t="n">
        <v>46045</v>
      </c>
      <c r="D10132" t="inlineStr">
        <is>
          <t>JÄMTLANDS LÄN</t>
        </is>
      </c>
      <c r="E10132" t="inlineStr">
        <is>
          <t>BRÄCKE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59914-2022</t>
        </is>
      </c>
      <c r="B10133" s="1" t="n">
        <v>44908.96010416667</v>
      </c>
      <c r="C10133" s="1" t="n">
        <v>46045</v>
      </c>
      <c r="D10133" t="inlineStr">
        <is>
          <t>JÄMTLANDS LÄN</t>
        </is>
      </c>
      <c r="E10133" t="inlineStr">
        <is>
          <t>BRÄCKE</t>
        </is>
      </c>
      <c r="F10133" t="inlineStr">
        <is>
          <t>SCA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5105-2024</t>
        </is>
      </c>
      <c r="B10134" s="1" t="n">
        <v>45330</v>
      </c>
      <c r="C10134" s="1" t="n">
        <v>46045</v>
      </c>
      <c r="D10134" t="inlineStr">
        <is>
          <t>JÄMTLANDS LÄN</t>
        </is>
      </c>
      <c r="E10134" t="inlineStr">
        <is>
          <t>STRÖMSUND</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22890-2024</t>
        </is>
      </c>
      <c r="B10135" s="1" t="n">
        <v>45448.67574074074</v>
      </c>
      <c r="C10135" s="1" t="n">
        <v>46045</v>
      </c>
      <c r="D10135" t="inlineStr">
        <is>
          <t>JÄMTLANDS LÄN</t>
        </is>
      </c>
      <c r="E10135" t="inlineStr">
        <is>
          <t>KROKOM</t>
        </is>
      </c>
      <c r="F10135" t="inlineStr">
        <is>
          <t>Övriga Aktiebolag</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31131-2024</t>
        </is>
      </c>
      <c r="B10136" s="1" t="n">
        <v>45502</v>
      </c>
      <c r="C10136" s="1" t="n">
        <v>46045</v>
      </c>
      <c r="D10136" t="inlineStr">
        <is>
          <t>JÄMTLANDS LÄN</t>
        </is>
      </c>
      <c r="E10136" t="inlineStr">
        <is>
          <t>BERG</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31154-2024</t>
        </is>
      </c>
      <c r="B10137" s="1" t="n">
        <v>45503.32976851852</v>
      </c>
      <c r="C10137" s="1" t="n">
        <v>46045</v>
      </c>
      <c r="D10137" t="inlineStr">
        <is>
          <t>JÄMTLANDS LÄN</t>
        </is>
      </c>
      <c r="E10137" t="inlineStr">
        <is>
          <t>BERG</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27643-2024</t>
        </is>
      </c>
      <c r="B10138" s="1" t="n">
        <v>45474.94711805556</v>
      </c>
      <c r="C10138" s="1" t="n">
        <v>46045</v>
      </c>
      <c r="D10138" t="inlineStr">
        <is>
          <t>JÄMTLANDS LÄN</t>
        </is>
      </c>
      <c r="E10138" t="inlineStr">
        <is>
          <t>STRÖMSUND</t>
        </is>
      </c>
      <c r="F10138" t="inlineStr">
        <is>
          <t>SCA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29257-2024</t>
        </is>
      </c>
      <c r="B10139" s="1" t="n">
        <v>45482.94815972223</v>
      </c>
      <c r="C10139" s="1" t="n">
        <v>46045</v>
      </c>
      <c r="D10139" t="inlineStr">
        <is>
          <t>JÄMTLANDS LÄN</t>
        </is>
      </c>
      <c r="E10139" t="inlineStr">
        <is>
          <t>RAGUNDA</t>
        </is>
      </c>
      <c r="F10139" t="inlineStr">
        <is>
          <t>SCA</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72749-2021</t>
        </is>
      </c>
      <c r="B10140" s="1" t="n">
        <v>44546</v>
      </c>
      <c r="C10140" s="1" t="n">
        <v>46045</v>
      </c>
      <c r="D10140" t="inlineStr">
        <is>
          <t>JÄMTLANDS LÄN</t>
        </is>
      </c>
      <c r="E10140" t="inlineStr">
        <is>
          <t>STRÖMSUND</t>
        </is>
      </c>
      <c r="G10140" t="n">
        <v>35.6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57789-2023</t>
        </is>
      </c>
      <c r="B10141" s="1" t="n">
        <v>45246.96806712963</v>
      </c>
      <c r="C10141" s="1" t="n">
        <v>46045</v>
      </c>
      <c r="D10141" t="inlineStr">
        <is>
          <t>JÄMTLANDS LÄN</t>
        </is>
      </c>
      <c r="E10141" t="inlineStr">
        <is>
          <t>STRÖMSUND</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55487-2023</t>
        </is>
      </c>
      <c r="B10142" s="1" t="n">
        <v>45238</v>
      </c>
      <c r="C10142" s="1" t="n">
        <v>46045</v>
      </c>
      <c r="D10142" t="inlineStr">
        <is>
          <t>JÄMTLANDS LÄN</t>
        </is>
      </c>
      <c r="E10142" t="inlineStr">
        <is>
          <t>RAGUNDA</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46753-2022</t>
        </is>
      </c>
      <c r="B10143" s="1" t="n">
        <v>44847</v>
      </c>
      <c r="C10143" s="1" t="n">
        <v>46045</v>
      </c>
      <c r="D10143" t="inlineStr">
        <is>
          <t>JÄMTLANDS LÄN</t>
        </is>
      </c>
      <c r="E10143" t="inlineStr">
        <is>
          <t>KROKOM</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46761-2022</t>
        </is>
      </c>
      <c r="B10144" s="1" t="n">
        <v>44847</v>
      </c>
      <c r="C10144" s="1" t="n">
        <v>46045</v>
      </c>
      <c r="D10144" t="inlineStr">
        <is>
          <t>JÄMTLANDS LÄN</t>
        </is>
      </c>
      <c r="E10144" t="inlineStr">
        <is>
          <t>KROKOM</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48417-2022</t>
        </is>
      </c>
      <c r="B10145" s="1" t="n">
        <v>44858</v>
      </c>
      <c r="C10145" s="1" t="n">
        <v>46045</v>
      </c>
      <c r="D10145" t="inlineStr">
        <is>
          <t>JÄMTLANDS LÄN</t>
        </is>
      </c>
      <c r="E10145" t="inlineStr">
        <is>
          <t>KROKOM</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17577-2022</t>
        </is>
      </c>
      <c r="B10146" s="1" t="n">
        <v>44679</v>
      </c>
      <c r="C10146" s="1" t="n">
        <v>46045</v>
      </c>
      <c r="D10146" t="inlineStr">
        <is>
          <t>JÄMTLANDS LÄN</t>
        </is>
      </c>
      <c r="E10146" t="inlineStr">
        <is>
          <t>BRÄCKE</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52818-2023</t>
        </is>
      </c>
      <c r="B10147" s="1" t="n">
        <v>45226.38400462963</v>
      </c>
      <c r="C10147" s="1" t="n">
        <v>46045</v>
      </c>
      <c r="D10147" t="inlineStr">
        <is>
          <t>JÄMTLANDS LÄN</t>
        </is>
      </c>
      <c r="E10147" t="inlineStr">
        <is>
          <t>STRÖMSUND</t>
        </is>
      </c>
      <c r="G10147" t="n">
        <v>9.6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19538-2023</t>
        </is>
      </c>
      <c r="B10148" s="1" t="n">
        <v>45050</v>
      </c>
      <c r="C10148" s="1" t="n">
        <v>46045</v>
      </c>
      <c r="D10148" t="inlineStr">
        <is>
          <t>JÄMTLANDS LÄN</t>
        </is>
      </c>
      <c r="E10148" t="inlineStr">
        <is>
          <t>BERG</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52826-2023</t>
        </is>
      </c>
      <c r="B10149" s="1" t="n">
        <v>45226.40184027778</v>
      </c>
      <c r="C10149" s="1" t="n">
        <v>46045</v>
      </c>
      <c r="D10149" t="inlineStr">
        <is>
          <t>JÄMTLANDS LÄN</t>
        </is>
      </c>
      <c r="E10149" t="inlineStr">
        <is>
          <t>STRÖMSUND</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30062-2024</t>
        </is>
      </c>
      <c r="B10150" s="1" t="n">
        <v>45488.94832175926</v>
      </c>
      <c r="C10150" s="1" t="n">
        <v>46045</v>
      </c>
      <c r="D10150" t="inlineStr">
        <is>
          <t>JÄMTLANDS LÄN</t>
        </is>
      </c>
      <c r="E10150" t="inlineStr">
        <is>
          <t>STRÖMSUND</t>
        </is>
      </c>
      <c r="F10150" t="inlineStr">
        <is>
          <t>SCA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20770-2024</t>
        </is>
      </c>
      <c r="B10151" s="1" t="n">
        <v>45436.94613425926</v>
      </c>
      <c r="C10151" s="1" t="n">
        <v>46045</v>
      </c>
      <c r="D10151" t="inlineStr">
        <is>
          <t>JÄMTLANDS LÄN</t>
        </is>
      </c>
      <c r="E10151" t="inlineStr">
        <is>
          <t>RAGUNDA</t>
        </is>
      </c>
      <c r="F10151" t="inlineStr">
        <is>
          <t>SCA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18146-2025</t>
        </is>
      </c>
      <c r="B10152" s="1" t="n">
        <v>45761.61534722222</v>
      </c>
      <c r="C10152" s="1" t="n">
        <v>46045</v>
      </c>
      <c r="D10152" t="inlineStr">
        <is>
          <t>JÄMTLANDS LÄN</t>
        </is>
      </c>
      <c r="E10152" t="inlineStr">
        <is>
          <t>STRÖMSUND</t>
        </is>
      </c>
      <c r="F10152" t="inlineStr">
        <is>
          <t>SCA</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13473-2025</t>
        </is>
      </c>
      <c r="B10153" s="1" t="n">
        <v>45736.40671296296</v>
      </c>
      <c r="C10153" s="1" t="n">
        <v>46045</v>
      </c>
      <c r="D10153" t="inlineStr">
        <is>
          <t>JÄMTLANDS LÄN</t>
        </is>
      </c>
      <c r="E10153" t="inlineStr">
        <is>
          <t>BERG</t>
        </is>
      </c>
      <c r="F10153" t="inlineStr">
        <is>
          <t>SCA</t>
        </is>
      </c>
      <c r="G10153" t="n">
        <v>13.7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60014-2023</t>
        </is>
      </c>
      <c r="B10154" s="1" t="n">
        <v>45257.97363425926</v>
      </c>
      <c r="C10154" s="1" t="n">
        <v>46045</v>
      </c>
      <c r="D10154" t="inlineStr">
        <is>
          <t>JÄMTLANDS LÄN</t>
        </is>
      </c>
      <c r="E10154" t="inlineStr">
        <is>
          <t>STRÖMSUND</t>
        </is>
      </c>
      <c r="F10154" t="inlineStr">
        <is>
          <t>SCA</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63099-2023</t>
        </is>
      </c>
      <c r="B10155" s="1" t="n">
        <v>45273</v>
      </c>
      <c r="C10155" s="1" t="n">
        <v>46045</v>
      </c>
      <c r="D10155" t="inlineStr">
        <is>
          <t>JÄMTLANDS LÄN</t>
        </is>
      </c>
      <c r="E10155" t="inlineStr">
        <is>
          <t>ÖSTERSUND</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40791-2024</t>
        </is>
      </c>
      <c r="B10156" s="1" t="n">
        <v>45558.50222222223</v>
      </c>
      <c r="C10156" s="1" t="n">
        <v>46045</v>
      </c>
      <c r="D10156" t="inlineStr">
        <is>
          <t>JÄMTLANDS LÄN</t>
        </is>
      </c>
      <c r="E10156" t="inlineStr">
        <is>
          <t>BRÄCKE</t>
        </is>
      </c>
      <c r="F10156" t="inlineStr">
        <is>
          <t>SCA</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31778-2023</t>
        </is>
      </c>
      <c r="B10157" s="1" t="n">
        <v>45118.3959375</v>
      </c>
      <c r="C10157" s="1" t="n">
        <v>46045</v>
      </c>
      <c r="D10157" t="inlineStr">
        <is>
          <t>JÄMTLANDS LÄN</t>
        </is>
      </c>
      <c r="E10157" t="inlineStr">
        <is>
          <t>HÄRJEDALEN</t>
        </is>
      </c>
      <c r="F10157" t="inlineStr">
        <is>
          <t>Bergvik skog väst AB</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42369-2023</t>
        </is>
      </c>
      <c r="B10158" s="1" t="n">
        <v>45180</v>
      </c>
      <c r="C10158" s="1" t="n">
        <v>46045</v>
      </c>
      <c r="D10158" t="inlineStr">
        <is>
          <t>JÄMTLANDS LÄN</t>
        </is>
      </c>
      <c r="E10158" t="inlineStr">
        <is>
          <t>KROKOM</t>
        </is>
      </c>
      <c r="F10158" t="inlineStr">
        <is>
          <t>Övriga Aktiebolag</t>
        </is>
      </c>
      <c r="G10158" t="n">
        <v>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18551-2025</t>
        </is>
      </c>
      <c r="B10159" s="1" t="n">
        <v>45763.43650462963</v>
      </c>
      <c r="C10159" s="1" t="n">
        <v>46045</v>
      </c>
      <c r="D10159" t="inlineStr">
        <is>
          <t>JÄMTLANDS LÄN</t>
        </is>
      </c>
      <c r="E10159" t="inlineStr">
        <is>
          <t>BERG</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19383-2025</t>
        </is>
      </c>
      <c r="B10160" s="1" t="n">
        <v>45769.65688657408</v>
      </c>
      <c r="C10160" s="1" t="n">
        <v>46045</v>
      </c>
      <c r="D10160" t="inlineStr">
        <is>
          <t>JÄMTLANDS LÄN</t>
        </is>
      </c>
      <c r="E10160" t="inlineStr">
        <is>
          <t>RAGUNDA</t>
        </is>
      </c>
      <c r="F10160" t="inlineStr">
        <is>
          <t>SCA</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12292-2023</t>
        </is>
      </c>
      <c r="B10161" s="1" t="n">
        <v>44998</v>
      </c>
      <c r="C10161" s="1" t="n">
        <v>46045</v>
      </c>
      <c r="D10161" t="inlineStr">
        <is>
          <t>JÄMTLANDS LÄN</t>
        </is>
      </c>
      <c r="E10161" t="inlineStr">
        <is>
          <t>ÅRE</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12294-2023</t>
        </is>
      </c>
      <c r="B10162" s="1" t="n">
        <v>44998.75266203703</v>
      </c>
      <c r="C10162" s="1" t="n">
        <v>46045</v>
      </c>
      <c r="D10162" t="inlineStr">
        <is>
          <t>JÄMTLANDS LÄN</t>
        </is>
      </c>
      <c r="E10162" t="inlineStr">
        <is>
          <t>ÅRE</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62493-2023</t>
        </is>
      </c>
      <c r="B10163" s="1" t="n">
        <v>45268.59108796297</v>
      </c>
      <c r="C10163" s="1" t="n">
        <v>46045</v>
      </c>
      <c r="D10163" t="inlineStr">
        <is>
          <t>JÄMTLANDS LÄN</t>
        </is>
      </c>
      <c r="E10163" t="inlineStr">
        <is>
          <t>STRÖMSUND</t>
        </is>
      </c>
      <c r="F10163" t="inlineStr">
        <is>
          <t>Holmen skog AB</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16225-2025</t>
        </is>
      </c>
      <c r="B10164" s="1" t="n">
        <v>45750.6447800926</v>
      </c>
      <c r="C10164" s="1" t="n">
        <v>46045</v>
      </c>
      <c r="D10164" t="inlineStr">
        <is>
          <t>JÄMTLANDS LÄN</t>
        </is>
      </c>
      <c r="E10164" t="inlineStr">
        <is>
          <t>KROKOM</t>
        </is>
      </c>
      <c r="F10164" t="inlineStr">
        <is>
          <t>Övriga Aktiebolag</t>
        </is>
      </c>
      <c r="G10164" t="n">
        <v>11.5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16491-2023</t>
        </is>
      </c>
      <c r="B10165" s="1" t="n">
        <v>45027</v>
      </c>
      <c r="C10165" s="1" t="n">
        <v>46045</v>
      </c>
      <c r="D10165" t="inlineStr">
        <is>
          <t>JÄMTLANDS LÄN</t>
        </is>
      </c>
      <c r="E10165" t="inlineStr">
        <is>
          <t>BERG</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14568-2024</t>
        </is>
      </c>
      <c r="B10166" s="1" t="n">
        <v>45394</v>
      </c>
      <c r="C10166" s="1" t="n">
        <v>46045</v>
      </c>
      <c r="D10166" t="inlineStr">
        <is>
          <t>JÄMTLANDS LÄN</t>
        </is>
      </c>
      <c r="E10166" t="inlineStr">
        <is>
          <t>STRÖMSUND</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16682-2023</t>
        </is>
      </c>
      <c r="B10167" s="1" t="n">
        <v>45028</v>
      </c>
      <c r="C10167" s="1" t="n">
        <v>46045</v>
      </c>
      <c r="D10167" t="inlineStr">
        <is>
          <t>JÄMTLANDS LÄN</t>
        </is>
      </c>
      <c r="E10167" t="inlineStr">
        <is>
          <t>ÖSTERSUND</t>
        </is>
      </c>
      <c r="G10167" t="n">
        <v>7.9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17510-2025</t>
        </is>
      </c>
      <c r="B10168" s="1" t="n">
        <v>45757.56491898148</v>
      </c>
      <c r="C10168" s="1" t="n">
        <v>46045</v>
      </c>
      <c r="D10168" t="inlineStr">
        <is>
          <t>JÄMTLANDS LÄN</t>
        </is>
      </c>
      <c r="E10168" t="inlineStr">
        <is>
          <t>KROKOM</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64034-2023</t>
        </is>
      </c>
      <c r="B10169" s="1" t="n">
        <v>45278.94321759259</v>
      </c>
      <c r="C10169" s="1" t="n">
        <v>46045</v>
      </c>
      <c r="D10169" t="inlineStr">
        <is>
          <t>JÄMTLANDS LÄN</t>
        </is>
      </c>
      <c r="E10169" t="inlineStr">
        <is>
          <t>BRÄCKE</t>
        </is>
      </c>
      <c r="F10169" t="inlineStr">
        <is>
          <t>SCA</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8239-2024</t>
        </is>
      </c>
      <c r="B10170" s="1" t="n">
        <v>45351</v>
      </c>
      <c r="C10170" s="1" t="n">
        <v>46045</v>
      </c>
      <c r="D10170" t="inlineStr">
        <is>
          <t>JÄMTLANDS LÄN</t>
        </is>
      </c>
      <c r="E10170" t="inlineStr">
        <is>
          <t>BERG</t>
        </is>
      </c>
      <c r="F10170" t="inlineStr">
        <is>
          <t>SCA</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12781-2025</t>
        </is>
      </c>
      <c r="B10171" s="1" t="n">
        <v>45733.59667824074</v>
      </c>
      <c r="C10171" s="1" t="n">
        <v>46045</v>
      </c>
      <c r="D10171" t="inlineStr">
        <is>
          <t>JÄMTLANDS LÄN</t>
        </is>
      </c>
      <c r="E10171" t="inlineStr">
        <is>
          <t>HÄRJEDALEN</t>
        </is>
      </c>
      <c r="F10171" t="inlineStr">
        <is>
          <t>Holmen skog AB</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64247-2023</t>
        </is>
      </c>
      <c r="B10172" s="1" t="n">
        <v>45279.92739583334</v>
      </c>
      <c r="C10172" s="1" t="n">
        <v>46045</v>
      </c>
      <c r="D10172" t="inlineStr">
        <is>
          <t>JÄMTLANDS LÄN</t>
        </is>
      </c>
      <c r="E10172" t="inlineStr">
        <is>
          <t>BERG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17031-2025</t>
        </is>
      </c>
      <c r="B10173" s="1" t="n">
        <v>45755.57349537037</v>
      </c>
      <c r="C10173" s="1" t="n">
        <v>46045</v>
      </c>
      <c r="D10173" t="inlineStr">
        <is>
          <t>JÄMTLANDS LÄN</t>
        </is>
      </c>
      <c r="E10173" t="inlineStr">
        <is>
          <t>STRÖMSUND</t>
        </is>
      </c>
      <c r="F10173" t="inlineStr">
        <is>
          <t>SCA</t>
        </is>
      </c>
      <c r="G10173" t="n">
        <v>10.8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27812-2023</t>
        </is>
      </c>
      <c r="B10174" s="1" t="n">
        <v>45098.48666666666</v>
      </c>
      <c r="C10174" s="1" t="n">
        <v>46045</v>
      </c>
      <c r="D10174" t="inlineStr">
        <is>
          <t>JÄMTLANDS LÄN</t>
        </is>
      </c>
      <c r="E10174" t="inlineStr">
        <is>
          <t>HÄRJEDALEN</t>
        </is>
      </c>
      <c r="F10174" t="inlineStr">
        <is>
          <t>Bergvik skog väst AB</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3389-2024</t>
        </is>
      </c>
      <c r="B10175" s="1" t="n">
        <v>45317.9409837963</v>
      </c>
      <c r="C10175" s="1" t="n">
        <v>46045</v>
      </c>
      <c r="D10175" t="inlineStr">
        <is>
          <t>JÄMTLANDS LÄN</t>
        </is>
      </c>
      <c r="E10175" t="inlineStr">
        <is>
          <t>BRÄCKE</t>
        </is>
      </c>
      <c r="F10175" t="inlineStr">
        <is>
          <t>SCA</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64266-2023</t>
        </is>
      </c>
      <c r="B10176" s="1" t="n">
        <v>45279.94579861111</v>
      </c>
      <c r="C10176" s="1" t="n">
        <v>46045</v>
      </c>
      <c r="D10176" t="inlineStr">
        <is>
          <t>JÄMTLANDS LÄN</t>
        </is>
      </c>
      <c r="E10176" t="inlineStr">
        <is>
          <t>BRÄCKE</t>
        </is>
      </c>
      <c r="F10176" t="inlineStr">
        <is>
          <t>SCA</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60435-2023</t>
        </is>
      </c>
      <c r="B10177" s="1" t="n">
        <v>45258</v>
      </c>
      <c r="C10177" s="1" t="n">
        <v>46045</v>
      </c>
      <c r="D10177" t="inlineStr">
        <is>
          <t>JÄMTLANDS LÄN</t>
        </is>
      </c>
      <c r="E10177" t="inlineStr">
        <is>
          <t>BRÄCKE</t>
        </is>
      </c>
      <c r="F10177" t="inlineStr">
        <is>
          <t>SCA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12783-2023</t>
        </is>
      </c>
      <c r="B10178" s="1" t="n">
        <v>45000</v>
      </c>
      <c r="C10178" s="1" t="n">
        <v>46045</v>
      </c>
      <c r="D10178" t="inlineStr">
        <is>
          <t>JÄMTLANDS LÄN</t>
        </is>
      </c>
      <c r="E10178" t="inlineStr">
        <is>
          <t>RAGUNDA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13054-2025</t>
        </is>
      </c>
      <c r="B10179" s="1" t="n">
        <v>45734.59476851852</v>
      </c>
      <c r="C10179" s="1" t="n">
        <v>46045</v>
      </c>
      <c r="D10179" t="inlineStr">
        <is>
          <t>JÄMTLANDS LÄN</t>
        </is>
      </c>
      <c r="E10179" t="inlineStr">
        <is>
          <t>STRÖMSUND</t>
        </is>
      </c>
      <c r="F10179" t="inlineStr">
        <is>
          <t>SCA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35153-2024</t>
        </is>
      </c>
      <c r="B10180" s="1" t="n">
        <v>45530</v>
      </c>
      <c r="C10180" s="1" t="n">
        <v>46045</v>
      </c>
      <c r="D10180" t="inlineStr">
        <is>
          <t>JÄMTLANDS LÄN</t>
        </is>
      </c>
      <c r="E10180" t="inlineStr">
        <is>
          <t>RAGUNDA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35178-2024</t>
        </is>
      </c>
      <c r="B10181" s="1" t="n">
        <v>45530.43956018519</v>
      </c>
      <c r="C10181" s="1" t="n">
        <v>46045</v>
      </c>
      <c r="D10181" t="inlineStr">
        <is>
          <t>JÄMTLANDS LÄN</t>
        </is>
      </c>
      <c r="E10181" t="inlineStr">
        <is>
          <t>STRÖMSUND</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35244-2024</t>
        </is>
      </c>
      <c r="B10182" s="1" t="n">
        <v>45530.55811342593</v>
      </c>
      <c r="C10182" s="1" t="n">
        <v>46045</v>
      </c>
      <c r="D10182" t="inlineStr">
        <is>
          <t>JÄMTLANDS LÄN</t>
        </is>
      </c>
      <c r="E10182" t="inlineStr">
        <is>
          <t>STRÖMSUND</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57417-2023</t>
        </is>
      </c>
      <c r="B10183" s="1" t="n">
        <v>45245.96966435185</v>
      </c>
      <c r="C10183" s="1" t="n">
        <v>46045</v>
      </c>
      <c r="D10183" t="inlineStr">
        <is>
          <t>JÄMTLANDS LÄN</t>
        </is>
      </c>
      <c r="E10183" t="inlineStr">
        <is>
          <t>BRÄCKE</t>
        </is>
      </c>
      <c r="F10183" t="inlineStr">
        <is>
          <t>SCA</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70256-2021</t>
        </is>
      </c>
      <c r="B10184" s="1" t="n">
        <v>44533</v>
      </c>
      <c r="C10184" s="1" t="n">
        <v>46045</v>
      </c>
      <c r="D10184" t="inlineStr">
        <is>
          <t>JÄMTLANDS LÄN</t>
        </is>
      </c>
      <c r="E10184" t="inlineStr">
        <is>
          <t>ÖSTERSUND</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57429-2023</t>
        </is>
      </c>
      <c r="B10185" s="1" t="n">
        <v>45240</v>
      </c>
      <c r="C10185" s="1" t="n">
        <v>46045</v>
      </c>
      <c r="D10185" t="inlineStr">
        <is>
          <t>JÄMTLANDS LÄN</t>
        </is>
      </c>
      <c r="E10185" t="inlineStr">
        <is>
          <t>STRÖMSUND</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15885-2023</t>
        </is>
      </c>
      <c r="B10186" s="1" t="n">
        <v>45022</v>
      </c>
      <c r="C10186" s="1" t="n">
        <v>46045</v>
      </c>
      <c r="D10186" t="inlineStr">
        <is>
          <t>JÄMTLANDS LÄN</t>
        </is>
      </c>
      <c r="E10186" t="inlineStr">
        <is>
          <t>KROKOM</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61833-2023</t>
        </is>
      </c>
      <c r="B10187" s="1" t="n">
        <v>45264</v>
      </c>
      <c r="C10187" s="1" t="n">
        <v>46045</v>
      </c>
      <c r="D10187" t="inlineStr">
        <is>
          <t>JÄMTLANDS LÄN</t>
        </is>
      </c>
      <c r="E10187" t="inlineStr">
        <is>
          <t>STRÖMSUND</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32528-2022</t>
        </is>
      </c>
      <c r="B10188" s="1" t="n">
        <v>44782.94291666667</v>
      </c>
      <c r="C10188" s="1" t="n">
        <v>46045</v>
      </c>
      <c r="D10188" t="inlineStr">
        <is>
          <t>JÄMTLANDS LÄN</t>
        </is>
      </c>
      <c r="E10188" t="inlineStr">
        <is>
          <t>STRÖMSUND</t>
        </is>
      </c>
      <c r="F10188" t="inlineStr">
        <is>
          <t>SCA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62555-2023</t>
        </is>
      </c>
      <c r="B10189" s="1" t="n">
        <v>45268.9262962963</v>
      </c>
      <c r="C10189" s="1" t="n">
        <v>46045</v>
      </c>
      <c r="D10189" t="inlineStr">
        <is>
          <t>JÄMTLANDS LÄN</t>
        </is>
      </c>
      <c r="E10189" t="inlineStr">
        <is>
          <t>BERG</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14630-2025</t>
        </is>
      </c>
      <c r="B10190" s="1" t="n">
        <v>45742.42767361111</v>
      </c>
      <c r="C10190" s="1" t="n">
        <v>46045</v>
      </c>
      <c r="D10190" t="inlineStr">
        <is>
          <t>JÄMTLANDS LÄN</t>
        </is>
      </c>
      <c r="E10190" t="inlineStr">
        <is>
          <t>BRÄCKE</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32210-2022</t>
        </is>
      </c>
      <c r="B10191" s="1" t="n">
        <v>44781</v>
      </c>
      <c r="C10191" s="1" t="n">
        <v>46045</v>
      </c>
      <c r="D10191" t="inlineStr">
        <is>
          <t>JÄMTLANDS LÄN</t>
        </is>
      </c>
      <c r="E10191" t="inlineStr">
        <is>
          <t>ÅRE</t>
        </is>
      </c>
      <c r="G10191" t="n">
        <v>17.3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36-2024</t>
        </is>
      </c>
      <c r="B10192" s="1" t="n">
        <v>45293</v>
      </c>
      <c r="C10192" s="1" t="n">
        <v>46045</v>
      </c>
      <c r="D10192" t="inlineStr">
        <is>
          <t>JÄMTLANDS LÄN</t>
        </is>
      </c>
      <c r="E10192" t="inlineStr">
        <is>
          <t>BERG</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58079-2023</t>
        </is>
      </c>
      <c r="B10193" s="1" t="n">
        <v>45247.96510416667</v>
      </c>
      <c r="C10193" s="1" t="n">
        <v>46045</v>
      </c>
      <c r="D10193" t="inlineStr">
        <is>
          <t>JÄMTLANDS LÄN</t>
        </is>
      </c>
      <c r="E10193" t="inlineStr">
        <is>
          <t>BRÄCKE</t>
        </is>
      </c>
      <c r="F10193" t="inlineStr">
        <is>
          <t>SCA</t>
        </is>
      </c>
      <c r="G10193" t="n">
        <v>6.4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8972-2022</t>
        </is>
      </c>
      <c r="B10194" s="1" t="n">
        <v>44614.91989583334</v>
      </c>
      <c r="C10194" s="1" t="n">
        <v>46045</v>
      </c>
      <c r="D10194" t="inlineStr">
        <is>
          <t>JÄMTLANDS LÄN</t>
        </is>
      </c>
      <c r="E10194" t="inlineStr">
        <is>
          <t>ÖSTERSUND</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61197-2023</t>
        </is>
      </c>
      <c r="B10195" s="1" t="n">
        <v>45260</v>
      </c>
      <c r="C10195" s="1" t="n">
        <v>46045</v>
      </c>
      <c r="D10195" t="inlineStr">
        <is>
          <t>JÄMTLANDS LÄN</t>
        </is>
      </c>
      <c r="E10195" t="inlineStr">
        <is>
          <t>RAGUNDA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71968-2021</t>
        </is>
      </c>
      <c r="B10196" s="1" t="n">
        <v>44540</v>
      </c>
      <c r="C10196" s="1" t="n">
        <v>46045</v>
      </c>
      <c r="D10196" t="inlineStr">
        <is>
          <t>JÄMTLANDS LÄN</t>
        </is>
      </c>
      <c r="E10196" t="inlineStr">
        <is>
          <t>ÅRE</t>
        </is>
      </c>
      <c r="G10196" t="n">
        <v>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39937-2022</t>
        </is>
      </c>
      <c r="B10197" s="1" t="n">
        <v>44819.9487962963</v>
      </c>
      <c r="C10197" s="1" t="n">
        <v>46045</v>
      </c>
      <c r="D10197" t="inlineStr">
        <is>
          <t>JÄMTLANDS LÄN</t>
        </is>
      </c>
      <c r="E10197" t="inlineStr">
        <is>
          <t>BRÄCKE</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62639-2022</t>
        </is>
      </c>
      <c r="B10198" s="1" t="n">
        <v>44925</v>
      </c>
      <c r="C10198" s="1" t="n">
        <v>46045</v>
      </c>
      <c r="D10198" t="inlineStr">
        <is>
          <t>JÄMTLANDS LÄN</t>
        </is>
      </c>
      <c r="E10198" t="inlineStr">
        <is>
          <t>HÄRJEDALEN</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60102-2023</t>
        </is>
      </c>
      <c r="B10199" s="1" t="n">
        <v>45257</v>
      </c>
      <c r="C10199" s="1" t="n">
        <v>46045</v>
      </c>
      <c r="D10199" t="inlineStr">
        <is>
          <t>JÄMTLANDS LÄN</t>
        </is>
      </c>
      <c r="E10199" t="inlineStr">
        <is>
          <t>KROKOM</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63140-2023</t>
        </is>
      </c>
      <c r="B10200" s="1" t="n">
        <v>45273.47074074074</v>
      </c>
      <c r="C10200" s="1" t="n">
        <v>46045</v>
      </c>
      <c r="D10200" t="inlineStr">
        <is>
          <t>JÄMTLANDS LÄN</t>
        </is>
      </c>
      <c r="E10200" t="inlineStr">
        <is>
          <t>STRÖMSUND</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7763-2024</t>
        </is>
      </c>
      <c r="B10201" s="1" t="n">
        <v>45348</v>
      </c>
      <c r="C10201" s="1" t="n">
        <v>46045</v>
      </c>
      <c r="D10201" t="inlineStr">
        <is>
          <t>JÄMTLANDS LÄN</t>
        </is>
      </c>
      <c r="E10201" t="inlineStr">
        <is>
          <t>KROKOM</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31079-2024</t>
        </is>
      </c>
      <c r="B10202" s="1" t="n">
        <v>45502.46423611111</v>
      </c>
      <c r="C10202" s="1" t="n">
        <v>46045</v>
      </c>
      <c r="D10202" t="inlineStr">
        <is>
          <t>JÄMTLANDS LÄN</t>
        </is>
      </c>
      <c r="E10202" t="inlineStr">
        <is>
          <t>BERG</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5610-2025</t>
        </is>
      </c>
      <c r="B10203" s="1" t="n">
        <v>45693.60425925926</v>
      </c>
      <c r="C10203" s="1" t="n">
        <v>46045</v>
      </c>
      <c r="D10203" t="inlineStr">
        <is>
          <t>JÄMTLANDS LÄN</t>
        </is>
      </c>
      <c r="E10203" t="inlineStr">
        <is>
          <t>ÅRE</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30744-2024</t>
        </is>
      </c>
      <c r="B10204" s="1" t="n">
        <v>45496.67342592592</v>
      </c>
      <c r="C10204" s="1" t="n">
        <v>46045</v>
      </c>
      <c r="D10204" t="inlineStr">
        <is>
          <t>JÄMTLANDS LÄN</t>
        </is>
      </c>
      <c r="E10204" t="inlineStr">
        <is>
          <t>HÄRJEDALEN</t>
        </is>
      </c>
      <c r="F10204" t="inlineStr">
        <is>
          <t>Bergvik skog väst AB</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35398-2024</t>
        </is>
      </c>
      <c r="B10205" s="1" t="n">
        <v>45531.40420138889</v>
      </c>
      <c r="C10205" s="1" t="n">
        <v>46045</v>
      </c>
      <c r="D10205" t="inlineStr">
        <is>
          <t>JÄMTLANDS LÄN</t>
        </is>
      </c>
      <c r="E10205" t="inlineStr">
        <is>
          <t>BRÄCKE</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37504-2023</t>
        </is>
      </c>
      <c r="B10206" s="1" t="n">
        <v>45157.59725694444</v>
      </c>
      <c r="C10206" s="1" t="n">
        <v>46045</v>
      </c>
      <c r="D10206" t="inlineStr">
        <is>
          <t>JÄMTLANDS LÄN</t>
        </is>
      </c>
      <c r="E10206" t="inlineStr">
        <is>
          <t>BRÄCKE</t>
        </is>
      </c>
      <c r="F10206" t="inlineStr">
        <is>
          <t>Sveaskog</t>
        </is>
      </c>
      <c r="G10206" t="n">
        <v>9.199999999999999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44512-2023</t>
        </is>
      </c>
      <c r="B10207" s="1" t="n">
        <v>45184</v>
      </c>
      <c r="C10207" s="1" t="n">
        <v>46045</v>
      </c>
      <c r="D10207" t="inlineStr">
        <is>
          <t>JÄMTLANDS LÄN</t>
        </is>
      </c>
      <c r="E10207" t="inlineStr">
        <is>
          <t>ÅRE</t>
        </is>
      </c>
      <c r="G10207" t="n">
        <v>12.5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33003-2022</t>
        </is>
      </c>
      <c r="B10208" s="1" t="n">
        <v>44784</v>
      </c>
      <c r="C10208" s="1" t="n">
        <v>46045</v>
      </c>
      <c r="D10208" t="inlineStr">
        <is>
          <t>JÄMTLANDS LÄN</t>
        </is>
      </c>
      <c r="E10208" t="inlineStr">
        <is>
          <t>ÅRE</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31747-2024</t>
        </is>
      </c>
      <c r="B10209" s="1" t="n">
        <v>45509</v>
      </c>
      <c r="C10209" s="1" t="n">
        <v>46045</v>
      </c>
      <c r="D10209" t="inlineStr">
        <is>
          <t>JÄMTLANDS LÄN</t>
        </is>
      </c>
      <c r="E10209" t="inlineStr">
        <is>
          <t>HÄRJEDALEN</t>
        </is>
      </c>
      <c r="F10209" t="inlineStr">
        <is>
          <t>Övriga statliga verk och myndigheter</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5013-2023</t>
        </is>
      </c>
      <c r="B10210" s="1" t="n">
        <v>44958</v>
      </c>
      <c r="C10210" s="1" t="n">
        <v>46045</v>
      </c>
      <c r="D10210" t="inlineStr">
        <is>
          <t>JÄMTLANDS LÄN</t>
        </is>
      </c>
      <c r="E10210" t="inlineStr">
        <is>
          <t>HÄRJEDALEN</t>
        </is>
      </c>
      <c r="F10210" t="inlineStr">
        <is>
          <t>Bergvik skog väst AB</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47627-2024</t>
        </is>
      </c>
      <c r="B10211" s="1" t="n">
        <v>45588.3440625</v>
      </c>
      <c r="C10211" s="1" t="n">
        <v>46045</v>
      </c>
      <c r="D10211" t="inlineStr">
        <is>
          <t>JÄMTLANDS LÄN</t>
        </is>
      </c>
      <c r="E10211" t="inlineStr">
        <is>
          <t>ÖSTERSUND</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47628-2024</t>
        </is>
      </c>
      <c r="B10212" s="1" t="n">
        <v>45588.34418981482</v>
      </c>
      <c r="C10212" s="1" t="n">
        <v>46045</v>
      </c>
      <c r="D10212" t="inlineStr">
        <is>
          <t>JÄMTLANDS LÄN</t>
        </is>
      </c>
      <c r="E10212" t="inlineStr">
        <is>
          <t>ÖSTERSUND</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46939-2023</t>
        </is>
      </c>
      <c r="B10213" s="1" t="n">
        <v>45195</v>
      </c>
      <c r="C10213" s="1" t="n">
        <v>46045</v>
      </c>
      <c r="D10213" t="inlineStr">
        <is>
          <t>JÄMTLANDS LÄN</t>
        </is>
      </c>
      <c r="E10213" t="inlineStr">
        <is>
          <t>BRÄCKE</t>
        </is>
      </c>
      <c r="G10213" t="n">
        <v>13.4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31135-2023</t>
        </is>
      </c>
      <c r="B10214" s="1" t="n">
        <v>45103</v>
      </c>
      <c r="C10214" s="1" t="n">
        <v>46045</v>
      </c>
      <c r="D10214" t="inlineStr">
        <is>
          <t>JÄMTLANDS LÄN</t>
        </is>
      </c>
      <c r="E10214" t="inlineStr">
        <is>
          <t>RAGUNDA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16002-2025</t>
        </is>
      </c>
      <c r="B10215" s="1" t="n">
        <v>45749.59398148148</v>
      </c>
      <c r="C10215" s="1" t="n">
        <v>46045</v>
      </c>
      <c r="D10215" t="inlineStr">
        <is>
          <t>JÄMTLANDS LÄN</t>
        </is>
      </c>
      <c r="E10215" t="inlineStr">
        <is>
          <t>BERG</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5611-2025</t>
        </is>
      </c>
      <c r="B10216" s="1" t="n">
        <v>45693.60480324074</v>
      </c>
      <c r="C10216" s="1" t="n">
        <v>46045</v>
      </c>
      <c r="D10216" t="inlineStr">
        <is>
          <t>JÄMTLANDS LÄN</t>
        </is>
      </c>
      <c r="E10216" t="inlineStr">
        <is>
          <t>ÅRE</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14837-2025</t>
        </is>
      </c>
      <c r="B10217" s="1" t="n">
        <v>45743.38449074074</v>
      </c>
      <c r="C10217" s="1" t="n">
        <v>46045</v>
      </c>
      <c r="D10217" t="inlineStr">
        <is>
          <t>JÄMTLANDS LÄN</t>
        </is>
      </c>
      <c r="E10217" t="inlineStr">
        <is>
          <t>HÄRJEDALEN</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14838-2025</t>
        </is>
      </c>
      <c r="B10218" s="1" t="n">
        <v>45743.38582175926</v>
      </c>
      <c r="C10218" s="1" t="n">
        <v>46045</v>
      </c>
      <c r="D10218" t="inlineStr">
        <is>
          <t>JÄMTLANDS LÄN</t>
        </is>
      </c>
      <c r="E10218" t="inlineStr">
        <is>
          <t>BRÄCKE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31520-2022</t>
        </is>
      </c>
      <c r="B10219" s="1" t="n">
        <v>44774.94930555556</v>
      </c>
      <c r="C10219" s="1" t="n">
        <v>46045</v>
      </c>
      <c r="D10219" t="inlineStr">
        <is>
          <t>JÄMTLANDS LÄN</t>
        </is>
      </c>
      <c r="E10219" t="inlineStr">
        <is>
          <t>BRÄCKE</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54945-2024</t>
        </is>
      </c>
      <c r="B10220" s="1" t="n">
        <v>45619.344375</v>
      </c>
      <c r="C10220" s="1" t="n">
        <v>46045</v>
      </c>
      <c r="D10220" t="inlineStr">
        <is>
          <t>JÄMTLANDS LÄN</t>
        </is>
      </c>
      <c r="E10220" t="inlineStr">
        <is>
          <t>STRÖMSUND</t>
        </is>
      </c>
      <c r="F10220" t="inlineStr">
        <is>
          <t>SCA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36392-2022</t>
        </is>
      </c>
      <c r="B10221" s="1" t="n">
        <v>44803.94673611111</v>
      </c>
      <c r="C10221" s="1" t="n">
        <v>46045</v>
      </c>
      <c r="D10221" t="inlineStr">
        <is>
          <t>JÄMTLANDS LÄN</t>
        </is>
      </c>
      <c r="E10221" t="inlineStr">
        <is>
          <t>BRÄCKE</t>
        </is>
      </c>
      <c r="F10221" t="inlineStr">
        <is>
          <t>SCA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1347-2025</t>
        </is>
      </c>
      <c r="B10222" s="1" t="n">
        <v>45667.61490740741</v>
      </c>
      <c r="C10222" s="1" t="n">
        <v>46045</v>
      </c>
      <c r="D10222" t="inlineStr">
        <is>
          <t>JÄMTLANDS LÄN</t>
        </is>
      </c>
      <c r="E10222" t="inlineStr">
        <is>
          <t>BRÄCKE</t>
        </is>
      </c>
      <c r="F10222" t="inlineStr">
        <is>
          <t>SCA</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13767-2022</t>
        </is>
      </c>
      <c r="B10223" s="1" t="n">
        <v>44649.47048611111</v>
      </c>
      <c r="C10223" s="1" t="n">
        <v>46045</v>
      </c>
      <c r="D10223" t="inlineStr">
        <is>
          <t>JÄMTLANDS LÄN</t>
        </is>
      </c>
      <c r="E10223" t="inlineStr">
        <is>
          <t>RAGUNDA</t>
        </is>
      </c>
      <c r="F10223" t="inlineStr">
        <is>
          <t>Kommuner</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4898-2025</t>
        </is>
      </c>
      <c r="B10224" s="1" t="n">
        <v>45688.67932870371</v>
      </c>
      <c r="C10224" s="1" t="n">
        <v>46045</v>
      </c>
      <c r="D10224" t="inlineStr">
        <is>
          <t>JÄMTLANDS LÄN</t>
        </is>
      </c>
      <c r="E10224" t="inlineStr">
        <is>
          <t>HÄRJEDALEN</t>
        </is>
      </c>
      <c r="F10224" t="inlineStr">
        <is>
          <t>SCA</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4904-2025</t>
        </is>
      </c>
      <c r="B10225" s="1" t="n">
        <v>45688.68020833333</v>
      </c>
      <c r="C10225" s="1" t="n">
        <v>46045</v>
      </c>
      <c r="D10225" t="inlineStr">
        <is>
          <t>JÄMTLANDS LÄN</t>
        </is>
      </c>
      <c r="E10225" t="inlineStr">
        <is>
          <t>BRÄCKE</t>
        </is>
      </c>
      <c r="F10225" t="inlineStr">
        <is>
          <t>SCA</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40313-2021</t>
        </is>
      </c>
      <c r="B10226" s="1" t="n">
        <v>44419.50186342592</v>
      </c>
      <c r="C10226" s="1" t="n">
        <v>46045</v>
      </c>
      <c r="D10226" t="inlineStr">
        <is>
          <t>JÄMTLANDS LÄN</t>
        </is>
      </c>
      <c r="E10226" t="inlineStr">
        <is>
          <t>BRÄCKE</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40341-2021</t>
        </is>
      </c>
      <c r="B10227" s="1" t="n">
        <v>44419</v>
      </c>
      <c r="C10227" s="1" t="n">
        <v>46045</v>
      </c>
      <c r="D10227" t="inlineStr">
        <is>
          <t>JÄMTLANDS LÄN</t>
        </is>
      </c>
      <c r="E10227" t="inlineStr">
        <is>
          <t>ÅRE</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42398-2024</t>
        </is>
      </c>
      <c r="B10228" s="1" t="n">
        <v>45565.33152777778</v>
      </c>
      <c r="C10228" s="1" t="n">
        <v>46045</v>
      </c>
      <c r="D10228" t="inlineStr">
        <is>
          <t>JÄMTLANDS LÄN</t>
        </is>
      </c>
      <c r="E10228" t="inlineStr">
        <is>
          <t>KROKOM</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22569-2023</t>
        </is>
      </c>
      <c r="B10229" s="1" t="n">
        <v>45069</v>
      </c>
      <c r="C10229" s="1" t="n">
        <v>46045</v>
      </c>
      <c r="D10229" t="inlineStr">
        <is>
          <t>JÄMTLANDS LÄN</t>
        </is>
      </c>
      <c r="E10229" t="inlineStr">
        <is>
          <t>RAGUNDA</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34138-2023</t>
        </is>
      </c>
      <c r="B10230" s="1" t="n">
        <v>45135</v>
      </c>
      <c r="C10230" s="1" t="n">
        <v>46045</v>
      </c>
      <c r="D10230" t="inlineStr">
        <is>
          <t>JÄMTLANDS LÄN</t>
        </is>
      </c>
      <c r="E10230" t="inlineStr">
        <is>
          <t>BRÄCKE</t>
        </is>
      </c>
      <c r="F10230" t="inlineStr">
        <is>
          <t>SCA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45004-2022</t>
        </is>
      </c>
      <c r="B10231" s="1" t="n">
        <v>44840</v>
      </c>
      <c r="C10231" s="1" t="n">
        <v>46045</v>
      </c>
      <c r="D10231" t="inlineStr">
        <is>
          <t>JÄMTLANDS LÄN</t>
        </is>
      </c>
      <c r="E10231" t="inlineStr">
        <is>
          <t>ÖSTERSUND</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57274-2022</t>
        </is>
      </c>
      <c r="B10232" s="1" t="n">
        <v>44895.94886574074</v>
      </c>
      <c r="C10232" s="1" t="n">
        <v>46045</v>
      </c>
      <c r="D10232" t="inlineStr">
        <is>
          <t>JÄMTLANDS LÄN</t>
        </is>
      </c>
      <c r="E10232" t="inlineStr">
        <is>
          <t>STRÖMSUND</t>
        </is>
      </c>
      <c r="F10232" t="inlineStr">
        <is>
          <t>SCA</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51270-2022</t>
        </is>
      </c>
      <c r="B10233" s="1" t="n">
        <v>44866</v>
      </c>
      <c r="C10233" s="1" t="n">
        <v>46045</v>
      </c>
      <c r="D10233" t="inlineStr">
        <is>
          <t>JÄMTLANDS LÄN</t>
        </is>
      </c>
      <c r="E10233" t="inlineStr">
        <is>
          <t>BRÄCKE</t>
        </is>
      </c>
      <c r="F10233" t="inlineStr">
        <is>
          <t>Kommuner</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14226-2021</t>
        </is>
      </c>
      <c r="B10234" s="1" t="n">
        <v>44277</v>
      </c>
      <c r="C10234" s="1" t="n">
        <v>46045</v>
      </c>
      <c r="D10234" t="inlineStr">
        <is>
          <t>JÄMTLANDS LÄN</t>
        </is>
      </c>
      <c r="E10234" t="inlineStr">
        <is>
          <t>BERG</t>
        </is>
      </c>
      <c r="G10234" t="n">
        <v>23.7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34720-2023</t>
        </is>
      </c>
      <c r="B10235" s="1" t="n">
        <v>45139</v>
      </c>
      <c r="C10235" s="1" t="n">
        <v>46045</v>
      </c>
      <c r="D10235" t="inlineStr">
        <is>
          <t>JÄMTLANDS LÄN</t>
        </is>
      </c>
      <c r="E10235" t="inlineStr">
        <is>
          <t>KROKOM</t>
        </is>
      </c>
      <c r="F10235" t="inlineStr">
        <is>
          <t>SCA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4212-2024</t>
        </is>
      </c>
      <c r="B10236" s="1" t="n">
        <v>45324</v>
      </c>
      <c r="C10236" s="1" t="n">
        <v>46045</v>
      </c>
      <c r="D10236" t="inlineStr">
        <is>
          <t>JÄMTLANDS LÄN</t>
        </is>
      </c>
      <c r="E10236" t="inlineStr">
        <is>
          <t>RAGUNDA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20341-2025</t>
        </is>
      </c>
      <c r="B10237" s="1" t="n">
        <v>45775.36587962963</v>
      </c>
      <c r="C10237" s="1" t="n">
        <v>46045</v>
      </c>
      <c r="D10237" t="inlineStr">
        <is>
          <t>JÄMTLANDS LÄN</t>
        </is>
      </c>
      <c r="E10237" t="inlineStr">
        <is>
          <t>HÄRJEDALEN</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20342-2025</t>
        </is>
      </c>
      <c r="B10238" s="1" t="n">
        <v>45775.36589120371</v>
      </c>
      <c r="C10238" s="1" t="n">
        <v>46045</v>
      </c>
      <c r="D10238" t="inlineStr">
        <is>
          <t>JÄMTLANDS LÄN</t>
        </is>
      </c>
      <c r="E10238" t="inlineStr">
        <is>
          <t>HÄRJEDALEN</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48599-2023</t>
        </is>
      </c>
      <c r="B10239" s="1" t="n">
        <v>45208</v>
      </c>
      <c r="C10239" s="1" t="n">
        <v>46045</v>
      </c>
      <c r="D10239" t="inlineStr">
        <is>
          <t>JÄMTLANDS LÄN</t>
        </is>
      </c>
      <c r="E10239" t="inlineStr">
        <is>
          <t>ÅRE</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15262-2025</t>
        </is>
      </c>
      <c r="B10240" s="1" t="n">
        <v>45744.65693287037</v>
      </c>
      <c r="C10240" s="1" t="n">
        <v>46045</v>
      </c>
      <c r="D10240" t="inlineStr">
        <is>
          <t>JÄMTLANDS LÄN</t>
        </is>
      </c>
      <c r="E10240" t="inlineStr">
        <is>
          <t>BRÄCKE</t>
        </is>
      </c>
      <c r="F10240" t="inlineStr">
        <is>
          <t>SCA</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58728-2022</t>
        </is>
      </c>
      <c r="B10241" s="1" t="n">
        <v>44902</v>
      </c>
      <c r="C10241" s="1" t="n">
        <v>46045</v>
      </c>
      <c r="D10241" t="inlineStr">
        <is>
          <t>JÄMTLANDS LÄN</t>
        </is>
      </c>
      <c r="E10241" t="inlineStr">
        <is>
          <t>BRÄCKE</t>
        </is>
      </c>
      <c r="G10241" t="n">
        <v>21.5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15522-2022</t>
        </is>
      </c>
      <c r="B10242" s="1" t="n">
        <v>44662</v>
      </c>
      <c r="C10242" s="1" t="n">
        <v>46045</v>
      </c>
      <c r="D10242" t="inlineStr">
        <is>
          <t>JÄMTLANDS LÄN</t>
        </is>
      </c>
      <c r="E10242" t="inlineStr">
        <is>
          <t>STRÖMSUND</t>
        </is>
      </c>
      <c r="G10242" t="n">
        <v>41.8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43405-2023</t>
        </is>
      </c>
      <c r="B10243" s="1" t="n">
        <v>45183.95563657407</v>
      </c>
      <c r="C10243" s="1" t="n">
        <v>46045</v>
      </c>
      <c r="D10243" t="inlineStr">
        <is>
          <t>JÄMTLANDS LÄN</t>
        </is>
      </c>
      <c r="E10243" t="inlineStr">
        <is>
          <t>RAGUNDA</t>
        </is>
      </c>
      <c r="F10243" t="inlineStr">
        <is>
          <t>SCA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53378-2023</t>
        </is>
      </c>
      <c r="B10244" s="1" t="n">
        <v>45223</v>
      </c>
      <c r="C10244" s="1" t="n">
        <v>46045</v>
      </c>
      <c r="D10244" t="inlineStr">
        <is>
          <t>JÄMTLANDS LÄN</t>
        </is>
      </c>
      <c r="E10244" t="inlineStr">
        <is>
          <t>ÖSTERSUND</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57373-2021</t>
        </is>
      </c>
      <c r="B10245" s="1" t="n">
        <v>44483</v>
      </c>
      <c r="C10245" s="1" t="n">
        <v>46045</v>
      </c>
      <c r="D10245" t="inlineStr">
        <is>
          <t>JÄMTLANDS LÄN</t>
        </is>
      </c>
      <c r="E10245" t="inlineStr">
        <is>
          <t>HÄRJEDALEN</t>
        </is>
      </c>
      <c r="G10245" t="n">
        <v>10.8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72064-2021</t>
        </is>
      </c>
      <c r="B10246" s="1" t="n">
        <v>44544.49326388889</v>
      </c>
      <c r="C10246" s="1" t="n">
        <v>46045</v>
      </c>
      <c r="D10246" t="inlineStr">
        <is>
          <t>JÄMTLANDS LÄN</t>
        </is>
      </c>
      <c r="E10246" t="inlineStr">
        <is>
          <t>KROKOM</t>
        </is>
      </c>
      <c r="G10246" t="n">
        <v>18.7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56984-2022</t>
        </is>
      </c>
      <c r="B10247" s="1" t="n">
        <v>44894.79018518519</v>
      </c>
      <c r="C10247" s="1" t="n">
        <v>46045</v>
      </c>
      <c r="D10247" t="inlineStr">
        <is>
          <t>JÄMTLANDS LÄN</t>
        </is>
      </c>
      <c r="E10247" t="inlineStr">
        <is>
          <t>RAGUNDA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35185-2024</t>
        </is>
      </c>
      <c r="B10248" s="1" t="n">
        <v>45530.45151620371</v>
      </c>
      <c r="C10248" s="1" t="n">
        <v>46045</v>
      </c>
      <c r="D10248" t="inlineStr">
        <is>
          <t>JÄMTLANDS LÄN</t>
        </is>
      </c>
      <c r="E10248" t="inlineStr">
        <is>
          <t>STRÖMSUND</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51195-2024</t>
        </is>
      </c>
      <c r="B10249" s="1" t="n">
        <v>45603.61532407408</v>
      </c>
      <c r="C10249" s="1" t="n">
        <v>46045</v>
      </c>
      <c r="D10249" t="inlineStr">
        <is>
          <t>JÄMTLANDS LÄN</t>
        </is>
      </c>
      <c r="E10249" t="inlineStr">
        <is>
          <t>BRÄCKE</t>
        </is>
      </c>
      <c r="F10249" t="inlineStr">
        <is>
          <t>SCA</t>
        </is>
      </c>
      <c r="G10249" t="n">
        <v>17.4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2747-2025</t>
        </is>
      </c>
      <c r="B10250" s="1" t="n">
        <v>45677.4649537037</v>
      </c>
      <c r="C10250" s="1" t="n">
        <v>46045</v>
      </c>
      <c r="D10250" t="inlineStr">
        <is>
          <t>JÄMTLANDS LÄN</t>
        </is>
      </c>
      <c r="E10250" t="inlineStr">
        <is>
          <t>ÖSTERSUND</t>
        </is>
      </c>
      <c r="F10250" t="inlineStr">
        <is>
          <t>Sveaskog</t>
        </is>
      </c>
      <c r="G10250" t="n">
        <v>6.4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45091-2023</t>
        </is>
      </c>
      <c r="B10251" s="1" t="n">
        <v>45191</v>
      </c>
      <c r="C10251" s="1" t="n">
        <v>46045</v>
      </c>
      <c r="D10251" t="inlineStr">
        <is>
          <t>JÄMTLANDS LÄN</t>
        </is>
      </c>
      <c r="E10251" t="inlineStr">
        <is>
          <t>STRÖMSUND</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33801-2022</t>
        </is>
      </c>
      <c r="B10252" s="1" t="n">
        <v>44790</v>
      </c>
      <c r="C10252" s="1" t="n">
        <v>46045</v>
      </c>
      <c r="D10252" t="inlineStr">
        <is>
          <t>JÄMTLANDS LÄN</t>
        </is>
      </c>
      <c r="E10252" t="inlineStr">
        <is>
          <t>ÖSTERSUND</t>
        </is>
      </c>
      <c r="G10252" t="n">
        <v>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35747-2024</t>
        </is>
      </c>
      <c r="B10253" s="1" t="n">
        <v>45532.55229166667</v>
      </c>
      <c r="C10253" s="1" t="n">
        <v>46045</v>
      </c>
      <c r="D10253" t="inlineStr">
        <is>
          <t>JÄMTLANDS LÄN</t>
        </is>
      </c>
      <c r="E10253" t="inlineStr">
        <is>
          <t>STRÖMSUND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576-2025</t>
        </is>
      </c>
      <c r="B10254" s="1" t="n">
        <v>45664.56502314815</v>
      </c>
      <c r="C10254" s="1" t="n">
        <v>46045</v>
      </c>
      <c r="D10254" t="inlineStr">
        <is>
          <t>JÄMTLANDS LÄN</t>
        </is>
      </c>
      <c r="E10254" t="inlineStr">
        <is>
          <t>HÄRJEDALEN</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5958-2023</t>
        </is>
      </c>
      <c r="B10255" s="1" t="n">
        <v>44963</v>
      </c>
      <c r="C10255" s="1" t="n">
        <v>46045</v>
      </c>
      <c r="D10255" t="inlineStr">
        <is>
          <t>JÄMTLANDS LÄN</t>
        </is>
      </c>
      <c r="E10255" t="inlineStr">
        <is>
          <t>RAGUNDA</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20160-2025</t>
        </is>
      </c>
      <c r="B10256" s="1" t="n">
        <v>45772.56753472222</v>
      </c>
      <c r="C10256" s="1" t="n">
        <v>46045</v>
      </c>
      <c r="D10256" t="inlineStr">
        <is>
          <t>JÄMTLANDS LÄN</t>
        </is>
      </c>
      <c r="E10256" t="inlineStr">
        <is>
          <t>ÅRE</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59003-2022</t>
        </is>
      </c>
      <c r="B10257" s="1" t="n">
        <v>44903.79608796296</v>
      </c>
      <c r="C10257" s="1" t="n">
        <v>46045</v>
      </c>
      <c r="D10257" t="inlineStr">
        <is>
          <t>JÄMTLANDS LÄN</t>
        </is>
      </c>
      <c r="E10257" t="inlineStr">
        <is>
          <t>STRÖMSUND</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11733-2025</t>
        </is>
      </c>
      <c r="B10258" s="1" t="n">
        <v>45727</v>
      </c>
      <c r="C10258" s="1" t="n">
        <v>46045</v>
      </c>
      <c r="D10258" t="inlineStr">
        <is>
          <t>JÄMTLANDS LÄN</t>
        </is>
      </c>
      <c r="E10258" t="inlineStr">
        <is>
          <t>STRÖMSUND</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29536-2024</t>
        </is>
      </c>
      <c r="B10259" s="1" t="n">
        <v>45484.48854166667</v>
      </c>
      <c r="C10259" s="1" t="n">
        <v>46045</v>
      </c>
      <c r="D10259" t="inlineStr">
        <is>
          <t>JÄMTLANDS LÄN</t>
        </is>
      </c>
      <c r="E10259" t="inlineStr">
        <is>
          <t>HÄRJEDALEN</t>
        </is>
      </c>
      <c r="F10259" t="inlineStr">
        <is>
          <t>Holmen skog AB</t>
        </is>
      </c>
      <c r="G10259" t="n">
        <v>25.2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59215-2024</t>
        </is>
      </c>
      <c r="B10260" s="1" t="n">
        <v>45636</v>
      </c>
      <c r="C10260" s="1" t="n">
        <v>46045</v>
      </c>
      <c r="D10260" t="inlineStr">
        <is>
          <t>JÄMTLANDS LÄN</t>
        </is>
      </c>
      <c r="E10260" t="inlineStr">
        <is>
          <t>ÅRE</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50521-2024</t>
        </is>
      </c>
      <c r="B10261" s="1" t="n">
        <v>45601.55331018518</v>
      </c>
      <c r="C10261" s="1" t="n">
        <v>46045</v>
      </c>
      <c r="D10261" t="inlineStr">
        <is>
          <t>JÄMTLANDS LÄN</t>
        </is>
      </c>
      <c r="E10261" t="inlineStr">
        <is>
          <t>RAGUNDA</t>
        </is>
      </c>
      <c r="F10261" t="inlineStr">
        <is>
          <t>SCA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50522-2024</t>
        </is>
      </c>
      <c r="B10262" s="1" t="n">
        <v>45601.55399305555</v>
      </c>
      <c r="C10262" s="1" t="n">
        <v>46045</v>
      </c>
      <c r="D10262" t="inlineStr">
        <is>
          <t>JÄMTLANDS LÄN</t>
        </is>
      </c>
      <c r="E10262" t="inlineStr">
        <is>
          <t>BRÄCKE</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23443-2022</t>
        </is>
      </c>
      <c r="B10263" s="1" t="n">
        <v>44720.94112268519</v>
      </c>
      <c r="C10263" s="1" t="n">
        <v>46045</v>
      </c>
      <c r="D10263" t="inlineStr">
        <is>
          <t>JÄMTLANDS LÄN</t>
        </is>
      </c>
      <c r="E10263" t="inlineStr">
        <is>
          <t>BRÄCKE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58078-2023</t>
        </is>
      </c>
      <c r="B10264" s="1" t="n">
        <v>45247.965</v>
      </c>
      <c r="C10264" s="1" t="n">
        <v>46045</v>
      </c>
      <c r="D10264" t="inlineStr">
        <is>
          <t>JÄMTLANDS LÄN</t>
        </is>
      </c>
      <c r="E10264" t="inlineStr">
        <is>
          <t>BRÄCKE</t>
        </is>
      </c>
      <c r="F10264" t="inlineStr">
        <is>
          <t>SCA</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29920-2024</t>
        </is>
      </c>
      <c r="B10265" s="1" t="n">
        <v>45487.92856481481</v>
      </c>
      <c r="C10265" s="1" t="n">
        <v>46045</v>
      </c>
      <c r="D10265" t="inlineStr">
        <is>
          <t>JÄMTLANDS LÄN</t>
        </is>
      </c>
      <c r="E10265" t="inlineStr">
        <is>
          <t>RAGUNDA</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29935-2024</t>
        </is>
      </c>
      <c r="B10266" s="1" t="n">
        <v>45488</v>
      </c>
      <c r="C10266" s="1" t="n">
        <v>46045</v>
      </c>
      <c r="D10266" t="inlineStr">
        <is>
          <t>JÄMTLANDS LÄN</t>
        </is>
      </c>
      <c r="E10266" t="inlineStr">
        <is>
          <t>HÄRJEDALEN</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62011-2022</t>
        </is>
      </c>
      <c r="B10267" s="1" t="n">
        <v>44914</v>
      </c>
      <c r="C10267" s="1" t="n">
        <v>46045</v>
      </c>
      <c r="D10267" t="inlineStr">
        <is>
          <t>JÄMTLANDS LÄN</t>
        </is>
      </c>
      <c r="E10267" t="inlineStr">
        <is>
          <t>RAGUNDA</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48438-2022</t>
        </is>
      </c>
      <c r="B10268" s="1" t="n">
        <v>44858</v>
      </c>
      <c r="C10268" s="1" t="n">
        <v>46045</v>
      </c>
      <c r="D10268" t="inlineStr">
        <is>
          <t>JÄMTLANDS LÄN</t>
        </is>
      </c>
      <c r="E10268" t="inlineStr">
        <is>
          <t>HÄRJEDALEN</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18774-2023</t>
        </is>
      </c>
      <c r="B10269" s="1" t="n">
        <v>45043.94297453704</v>
      </c>
      <c r="C10269" s="1" t="n">
        <v>46045</v>
      </c>
      <c r="D10269" t="inlineStr">
        <is>
          <t>JÄMTLANDS LÄN</t>
        </is>
      </c>
      <c r="E10269" t="inlineStr">
        <is>
          <t>STRÖMSUND</t>
        </is>
      </c>
      <c r="F10269" t="inlineStr">
        <is>
          <t>SCA</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18777-2023</t>
        </is>
      </c>
      <c r="B10270" s="1" t="n">
        <v>45043.94318287037</v>
      </c>
      <c r="C10270" s="1" t="n">
        <v>46045</v>
      </c>
      <c r="D10270" t="inlineStr">
        <is>
          <t>JÄMTLANDS LÄN</t>
        </is>
      </c>
      <c r="E10270" t="inlineStr">
        <is>
          <t>STRÖMSUND</t>
        </is>
      </c>
      <c r="F10270" t="inlineStr">
        <is>
          <t>SCA</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65150-2023</t>
        </is>
      </c>
      <c r="B10271" s="1" t="n">
        <v>45288.58685185185</v>
      </c>
      <c r="C10271" s="1" t="n">
        <v>46045</v>
      </c>
      <c r="D10271" t="inlineStr">
        <is>
          <t>JÄMTLANDS LÄN</t>
        </is>
      </c>
      <c r="E10271" t="inlineStr">
        <is>
          <t>HÄRJEDALEN</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12641-2025</t>
        </is>
      </c>
      <c r="B10272" s="1" t="n">
        <v>45733.38623842593</v>
      </c>
      <c r="C10272" s="1" t="n">
        <v>46045</v>
      </c>
      <c r="D10272" t="inlineStr">
        <is>
          <t>JÄMTLANDS LÄN</t>
        </is>
      </c>
      <c r="E10272" t="inlineStr">
        <is>
          <t>STRÖMSUND</t>
        </is>
      </c>
      <c r="F10272" t="inlineStr">
        <is>
          <t>SCA</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52983-2022</t>
        </is>
      </c>
      <c r="B10273" s="1" t="n">
        <v>44875.92745370371</v>
      </c>
      <c r="C10273" s="1" t="n">
        <v>46045</v>
      </c>
      <c r="D10273" t="inlineStr">
        <is>
          <t>JÄMTLANDS LÄN</t>
        </is>
      </c>
      <c r="E10273" t="inlineStr">
        <is>
          <t>BRÄCKE</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53019-2022</t>
        </is>
      </c>
      <c r="B10274" s="1" t="n">
        <v>44875</v>
      </c>
      <c r="C10274" s="1" t="n">
        <v>46045</v>
      </c>
      <c r="D10274" t="inlineStr">
        <is>
          <t>JÄMTLANDS LÄN</t>
        </is>
      </c>
      <c r="E10274" t="inlineStr">
        <is>
          <t>STRÖMSUND</t>
        </is>
      </c>
      <c r="F10274" t="inlineStr">
        <is>
          <t>SCA</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25428-2022</t>
        </is>
      </c>
      <c r="B10275" s="1" t="n">
        <v>44732</v>
      </c>
      <c r="C10275" s="1" t="n">
        <v>46045</v>
      </c>
      <c r="D10275" t="inlineStr">
        <is>
          <t>JÄMTLANDS LÄN</t>
        </is>
      </c>
      <c r="E10275" t="inlineStr">
        <is>
          <t>KROKOM</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60015-2021</t>
        </is>
      </c>
      <c r="B10276" s="1" t="n">
        <v>44494.94096064815</v>
      </c>
      <c r="C10276" s="1" t="n">
        <v>46045</v>
      </c>
      <c r="D10276" t="inlineStr">
        <is>
          <t>JÄMTLANDS LÄN</t>
        </is>
      </c>
      <c r="E10276" t="inlineStr">
        <is>
          <t>BRÄCKE</t>
        </is>
      </c>
      <c r="G10276" t="n">
        <v>18.7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58940-2021</t>
        </is>
      </c>
      <c r="B10277" s="1" t="n">
        <v>44489</v>
      </c>
      <c r="C10277" s="1" t="n">
        <v>46045</v>
      </c>
      <c r="D10277" t="inlineStr">
        <is>
          <t>JÄMTLANDS LÄN</t>
        </is>
      </c>
      <c r="E10277" t="inlineStr">
        <is>
          <t>ÅRE</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50302-2022</t>
        </is>
      </c>
      <c r="B10278" s="1" t="n">
        <v>44865</v>
      </c>
      <c r="C10278" s="1" t="n">
        <v>46045</v>
      </c>
      <c r="D10278" t="inlineStr">
        <is>
          <t>JÄMTLANDS LÄN</t>
        </is>
      </c>
      <c r="E10278" t="inlineStr">
        <is>
          <t>KROKOM</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44638-2024</t>
        </is>
      </c>
      <c r="B10279" s="1" t="n">
        <v>45574.51515046296</v>
      </c>
      <c r="C10279" s="1" t="n">
        <v>46045</v>
      </c>
      <c r="D10279" t="inlineStr">
        <is>
          <t>JÄMTLANDS LÄN</t>
        </is>
      </c>
      <c r="E10279" t="inlineStr">
        <is>
          <t>STRÖMSUND</t>
        </is>
      </c>
      <c r="F10279" t="inlineStr">
        <is>
          <t>SCA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38840-2024</t>
        </is>
      </c>
      <c r="B10280" s="1" t="n">
        <v>45547.59543981482</v>
      </c>
      <c r="C10280" s="1" t="n">
        <v>46045</v>
      </c>
      <c r="D10280" t="inlineStr">
        <is>
          <t>JÄMTLANDS LÄN</t>
        </is>
      </c>
      <c r="E10280" t="inlineStr">
        <is>
          <t>HÄRJEDALEN</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38862-2024</t>
        </is>
      </c>
      <c r="B10281" s="1" t="n">
        <v>45547.63063657407</v>
      </c>
      <c r="C10281" s="1" t="n">
        <v>46045</v>
      </c>
      <c r="D10281" t="inlineStr">
        <is>
          <t>JÄMTLANDS LÄN</t>
        </is>
      </c>
      <c r="E10281" t="inlineStr">
        <is>
          <t>BRÄCKE</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52022-2022</t>
        </is>
      </c>
      <c r="B10282" s="1" t="n">
        <v>44872.95662037037</v>
      </c>
      <c r="C10282" s="1" t="n">
        <v>46045</v>
      </c>
      <c r="D10282" t="inlineStr">
        <is>
          <t>JÄMTLANDS LÄN</t>
        </is>
      </c>
      <c r="E10282" t="inlineStr">
        <is>
          <t>BRÄCKE</t>
        </is>
      </c>
      <c r="F10282" t="inlineStr">
        <is>
          <t>SCA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9851-2023</t>
        </is>
      </c>
      <c r="B10283" s="1" t="n">
        <v>44984</v>
      </c>
      <c r="C10283" s="1" t="n">
        <v>46045</v>
      </c>
      <c r="D10283" t="inlineStr">
        <is>
          <t>JÄMTLANDS LÄN</t>
        </is>
      </c>
      <c r="E10283" t="inlineStr">
        <is>
          <t>STRÖMSUND</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22311-2024</t>
        </is>
      </c>
      <c r="B10284" s="1" t="n">
        <v>45446.57052083333</v>
      </c>
      <c r="C10284" s="1" t="n">
        <v>46045</v>
      </c>
      <c r="D10284" t="inlineStr">
        <is>
          <t>JÄMTLANDS LÄN</t>
        </is>
      </c>
      <c r="E10284" t="inlineStr">
        <is>
          <t>RAGUNDA</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19866-2023</t>
        </is>
      </c>
      <c r="B10285" s="1" t="n">
        <v>45053.94313657407</v>
      </c>
      <c r="C10285" s="1" t="n">
        <v>46045</v>
      </c>
      <c r="D10285" t="inlineStr">
        <is>
          <t>JÄMTLANDS LÄN</t>
        </is>
      </c>
      <c r="E10285" t="inlineStr">
        <is>
          <t>RAGUNDA</t>
        </is>
      </c>
      <c r="F10285" t="inlineStr">
        <is>
          <t>SCA</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31816-2024</t>
        </is>
      </c>
      <c r="B10286" s="1" t="n">
        <v>45509.5980787037</v>
      </c>
      <c r="C10286" s="1" t="n">
        <v>46045</v>
      </c>
      <c r="D10286" t="inlineStr">
        <is>
          <t>JÄMTLANDS LÄN</t>
        </is>
      </c>
      <c r="E10286" t="inlineStr">
        <is>
          <t>HÄRJEDALEN</t>
        </is>
      </c>
      <c r="F10286" t="inlineStr">
        <is>
          <t>Bergvik skog väst AB</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46394-2024</t>
        </is>
      </c>
      <c r="B10287" s="1" t="n">
        <v>45582.4071875</v>
      </c>
      <c r="C10287" s="1" t="n">
        <v>46045</v>
      </c>
      <c r="D10287" t="inlineStr">
        <is>
          <t>JÄMTLANDS LÄN</t>
        </is>
      </c>
      <c r="E10287" t="inlineStr">
        <is>
          <t>STRÖMSUND</t>
        </is>
      </c>
      <c r="F10287" t="inlineStr">
        <is>
          <t>SCA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49370-2024</t>
        </is>
      </c>
      <c r="B10288" s="1" t="n">
        <v>45595.6412037037</v>
      </c>
      <c r="C10288" s="1" t="n">
        <v>46045</v>
      </c>
      <c r="D10288" t="inlineStr">
        <is>
          <t>JÄMTLANDS LÄN</t>
        </is>
      </c>
      <c r="E10288" t="inlineStr">
        <is>
          <t>STRÖMSUND</t>
        </is>
      </c>
      <c r="F10288" t="inlineStr">
        <is>
          <t>SCA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53935-2022</t>
        </is>
      </c>
      <c r="B10289" s="1" t="n">
        <v>44880</v>
      </c>
      <c r="C10289" s="1" t="n">
        <v>46045</v>
      </c>
      <c r="D10289" t="inlineStr">
        <is>
          <t>JÄMTLANDS LÄN</t>
        </is>
      </c>
      <c r="E10289" t="inlineStr">
        <is>
          <t>RAGUNDA</t>
        </is>
      </c>
      <c r="F10289" t="inlineStr">
        <is>
          <t>SCA</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5422-2021</t>
        </is>
      </c>
      <c r="B10290" s="1" t="n">
        <v>44228</v>
      </c>
      <c r="C10290" s="1" t="n">
        <v>46045</v>
      </c>
      <c r="D10290" t="inlineStr">
        <is>
          <t>JÄMTLANDS LÄN</t>
        </is>
      </c>
      <c r="E10290" t="inlineStr">
        <is>
          <t>KROKOM</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8251-2023</t>
        </is>
      </c>
      <c r="B10291" s="1" t="n">
        <v>44974</v>
      </c>
      <c r="C10291" s="1" t="n">
        <v>46045</v>
      </c>
      <c r="D10291" t="inlineStr">
        <is>
          <t>JÄMTLANDS LÄN</t>
        </is>
      </c>
      <c r="E10291" t="inlineStr">
        <is>
          <t>BERG</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44753-2022</t>
        </is>
      </c>
      <c r="B10292" s="1" t="n">
        <v>44840</v>
      </c>
      <c r="C10292" s="1" t="n">
        <v>46045</v>
      </c>
      <c r="D10292" t="inlineStr">
        <is>
          <t>JÄMTLANDS LÄN</t>
        </is>
      </c>
      <c r="E10292" t="inlineStr">
        <is>
          <t>BRÄCKE</t>
        </is>
      </c>
      <c r="F10292" t="inlineStr">
        <is>
          <t>SCA</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23013-2021</t>
        </is>
      </c>
      <c r="B10293" s="1" t="n">
        <v>44328</v>
      </c>
      <c r="C10293" s="1" t="n">
        <v>46045</v>
      </c>
      <c r="D10293" t="inlineStr">
        <is>
          <t>JÄMTLANDS LÄN</t>
        </is>
      </c>
      <c r="E10293" t="inlineStr">
        <is>
          <t>BRÄCKE</t>
        </is>
      </c>
      <c r="G10293" t="n">
        <v>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15305-2021</t>
        </is>
      </c>
      <c r="B10294" s="1" t="n">
        <v>44284</v>
      </c>
      <c r="C10294" s="1" t="n">
        <v>46045</v>
      </c>
      <c r="D10294" t="inlineStr">
        <is>
          <t>JÄMTLANDS LÄN</t>
        </is>
      </c>
      <c r="E10294" t="inlineStr">
        <is>
          <t>ÅRE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18631-2024</t>
        </is>
      </c>
      <c r="B10295" s="1" t="n">
        <v>45425.96494212963</v>
      </c>
      <c r="C10295" s="1" t="n">
        <v>46045</v>
      </c>
      <c r="D10295" t="inlineStr">
        <is>
          <t>JÄMTLANDS LÄN</t>
        </is>
      </c>
      <c r="E10295" t="inlineStr">
        <is>
          <t>RAGUNDA</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27689-2024</t>
        </is>
      </c>
      <c r="B10296" s="1" t="n">
        <v>45475.3378125</v>
      </c>
      <c r="C10296" s="1" t="n">
        <v>46045</v>
      </c>
      <c r="D10296" t="inlineStr">
        <is>
          <t>JÄMTLANDS LÄN</t>
        </is>
      </c>
      <c r="E10296" t="inlineStr">
        <is>
          <t>ÖSTERSUND</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57905-2024</t>
        </is>
      </c>
      <c r="B10297" s="1" t="n">
        <v>45631.48989583334</v>
      </c>
      <c r="C10297" s="1" t="n">
        <v>46045</v>
      </c>
      <c r="D10297" t="inlineStr">
        <is>
          <t>JÄMTLANDS LÄN</t>
        </is>
      </c>
      <c r="E10297" t="inlineStr">
        <is>
          <t>BERG</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12179-2023</t>
        </is>
      </c>
      <c r="B10298" s="1" t="n">
        <v>44998</v>
      </c>
      <c r="C10298" s="1" t="n">
        <v>46045</v>
      </c>
      <c r="D10298" t="inlineStr">
        <is>
          <t>JÄMTLANDS LÄN</t>
        </is>
      </c>
      <c r="E10298" t="inlineStr">
        <is>
          <t>ÅRE</t>
        </is>
      </c>
      <c r="G10298" t="n">
        <v>8.5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34453-2021</t>
        </is>
      </c>
      <c r="B10299" s="1" t="n">
        <v>44381</v>
      </c>
      <c r="C10299" s="1" t="n">
        <v>46045</v>
      </c>
      <c r="D10299" t="inlineStr">
        <is>
          <t>JÄMTLANDS LÄN</t>
        </is>
      </c>
      <c r="E10299" t="inlineStr">
        <is>
          <t>HÄRJEDALEN</t>
        </is>
      </c>
      <c r="G10299" t="n">
        <v>12.7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19105-2025</t>
        </is>
      </c>
      <c r="B10300" s="1" t="n">
        <v>45768.30814814815</v>
      </c>
      <c r="C10300" s="1" t="n">
        <v>46045</v>
      </c>
      <c r="D10300" t="inlineStr">
        <is>
          <t>JÄMTLANDS LÄN</t>
        </is>
      </c>
      <c r="E10300" t="inlineStr">
        <is>
          <t>HÄRJEDALEN</t>
        </is>
      </c>
      <c r="F10300" t="inlineStr">
        <is>
          <t>Sveaskog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6345-2023</t>
        </is>
      </c>
      <c r="B10301" s="1" t="n">
        <v>44960</v>
      </c>
      <c r="C10301" s="1" t="n">
        <v>46045</v>
      </c>
      <c r="D10301" t="inlineStr">
        <is>
          <t>JÄMTLANDS LÄN</t>
        </is>
      </c>
      <c r="E10301" t="inlineStr">
        <is>
          <t>BRÄCKE</t>
        </is>
      </c>
      <c r="G10301" t="n">
        <v>11.4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52240-2024</t>
        </is>
      </c>
      <c r="B10302" s="1" t="n">
        <v>45608.61923611111</v>
      </c>
      <c r="C10302" s="1" t="n">
        <v>46045</v>
      </c>
      <c r="D10302" t="inlineStr">
        <is>
          <t>JÄMTLANDS LÄN</t>
        </is>
      </c>
      <c r="E10302" t="inlineStr">
        <is>
          <t>KROKOM</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28077-2024</t>
        </is>
      </c>
      <c r="B10303" s="1" t="n">
        <v>45476.58508101852</v>
      </c>
      <c r="C10303" s="1" t="n">
        <v>46045</v>
      </c>
      <c r="D10303" t="inlineStr">
        <is>
          <t>JÄMTLANDS LÄN</t>
        </is>
      </c>
      <c r="E10303" t="inlineStr">
        <is>
          <t>BRÄCKE</t>
        </is>
      </c>
      <c r="G10303" t="n">
        <v>18.3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62104-2024</t>
        </is>
      </c>
      <c r="B10304" s="1" t="n">
        <v>45656.51157407407</v>
      </c>
      <c r="C10304" s="1" t="n">
        <v>46045</v>
      </c>
      <c r="D10304" t="inlineStr">
        <is>
          <t>JÄMTLANDS LÄN</t>
        </is>
      </c>
      <c r="E10304" t="inlineStr">
        <is>
          <t>HÄRJEDALEN</t>
        </is>
      </c>
      <c r="F10304" t="inlineStr">
        <is>
          <t>SCA</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29028-2024</t>
        </is>
      </c>
      <c r="B10305" s="1" t="n">
        <v>45481.59387731482</v>
      </c>
      <c r="C10305" s="1" t="n">
        <v>46045</v>
      </c>
      <c r="D10305" t="inlineStr">
        <is>
          <t>JÄMTLANDS LÄN</t>
        </is>
      </c>
      <c r="E10305" t="inlineStr">
        <is>
          <t>BRÄCKE</t>
        </is>
      </c>
      <c r="F10305" t="inlineStr">
        <is>
          <t>Övriga Aktiebolag</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1799-2024</t>
        </is>
      </c>
      <c r="B10306" s="1" t="n">
        <v>45307</v>
      </c>
      <c r="C10306" s="1" t="n">
        <v>46045</v>
      </c>
      <c r="D10306" t="inlineStr">
        <is>
          <t>JÄMTLANDS LÄN</t>
        </is>
      </c>
      <c r="E10306" t="inlineStr">
        <is>
          <t>BRÄCKE</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50129-2024</t>
        </is>
      </c>
      <c r="B10307" s="1" t="n">
        <v>45600.433125</v>
      </c>
      <c r="C10307" s="1" t="n">
        <v>46045</v>
      </c>
      <c r="D10307" t="inlineStr">
        <is>
          <t>JÄMTLANDS LÄN</t>
        </is>
      </c>
      <c r="E10307" t="inlineStr">
        <is>
          <t>KROKOM</t>
        </is>
      </c>
      <c r="F10307" t="inlineStr">
        <is>
          <t>Övriga Aktiebolag</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13899-2025</t>
        </is>
      </c>
      <c r="B10308" s="1" t="n">
        <v>45737</v>
      </c>
      <c r="C10308" s="1" t="n">
        <v>46045</v>
      </c>
      <c r="D10308" t="inlineStr">
        <is>
          <t>JÄMTLANDS LÄN</t>
        </is>
      </c>
      <c r="E10308" t="inlineStr">
        <is>
          <t>STRÖMSUND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39785-2024</t>
        </is>
      </c>
      <c r="B10309" s="1" t="n">
        <v>45553.29927083333</v>
      </c>
      <c r="C10309" s="1" t="n">
        <v>46045</v>
      </c>
      <c r="D10309" t="inlineStr">
        <is>
          <t>JÄMTLANDS LÄN</t>
        </is>
      </c>
      <c r="E10309" t="inlineStr">
        <is>
          <t>BERG</t>
        </is>
      </c>
      <c r="G10309" t="n">
        <v>16.1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6991-2025</t>
        </is>
      </c>
      <c r="B10310" s="1" t="n">
        <v>45701.57363425926</v>
      </c>
      <c r="C10310" s="1" t="n">
        <v>46045</v>
      </c>
      <c r="D10310" t="inlineStr">
        <is>
          <t>JÄMTLANDS LÄN</t>
        </is>
      </c>
      <c r="E10310" t="inlineStr">
        <is>
          <t>KROKOM</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26918-2024</t>
        </is>
      </c>
      <c r="B10311" s="1" t="n">
        <v>45470</v>
      </c>
      <c r="C10311" s="1" t="n">
        <v>46045</v>
      </c>
      <c r="D10311" t="inlineStr">
        <is>
          <t>JÄMTLANDS LÄN</t>
        </is>
      </c>
      <c r="E10311" t="inlineStr">
        <is>
          <t>BERG</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55976-2024</t>
        </is>
      </c>
      <c r="B10312" s="1" t="n">
        <v>45623.65659722222</v>
      </c>
      <c r="C10312" s="1" t="n">
        <v>46045</v>
      </c>
      <c r="D10312" t="inlineStr">
        <is>
          <t>JÄMTLANDS LÄN</t>
        </is>
      </c>
      <c r="E10312" t="inlineStr">
        <is>
          <t>BRÄCKE</t>
        </is>
      </c>
      <c r="F10312" t="inlineStr">
        <is>
          <t>SCA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19667-2025</t>
        </is>
      </c>
      <c r="B10313" s="1" t="n">
        <v>45770.69820601852</v>
      </c>
      <c r="C10313" s="1" t="n">
        <v>46045</v>
      </c>
      <c r="D10313" t="inlineStr">
        <is>
          <t>JÄMTLANDS LÄN</t>
        </is>
      </c>
      <c r="E10313" t="inlineStr">
        <is>
          <t>BRÄCKE</t>
        </is>
      </c>
      <c r="F10313" t="inlineStr">
        <is>
          <t>Kyrkan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4910-2025</t>
        </is>
      </c>
      <c r="B10314" s="1" t="n">
        <v>45688.68138888889</v>
      </c>
      <c r="C10314" s="1" t="n">
        <v>46045</v>
      </c>
      <c r="D10314" t="inlineStr">
        <is>
          <t>JÄMTLANDS LÄN</t>
        </is>
      </c>
      <c r="E10314" t="inlineStr">
        <is>
          <t>STRÖMSUND</t>
        </is>
      </c>
      <c r="F10314" t="inlineStr">
        <is>
          <t>SCA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4966-2025</t>
        </is>
      </c>
      <c r="B10315" s="1" t="n">
        <v>45690.63628472222</v>
      </c>
      <c r="C10315" s="1" t="n">
        <v>46045</v>
      </c>
      <c r="D10315" t="inlineStr">
        <is>
          <t>JÄMTLANDS LÄN</t>
        </is>
      </c>
      <c r="E10315" t="inlineStr">
        <is>
          <t>ÖSTERSUND</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36343-2024</t>
        </is>
      </c>
      <c r="B10316" s="1" t="n">
        <v>45534.64329861111</v>
      </c>
      <c r="C10316" s="1" t="n">
        <v>46045</v>
      </c>
      <c r="D10316" t="inlineStr">
        <is>
          <t>JÄMTLANDS LÄN</t>
        </is>
      </c>
      <c r="E10316" t="inlineStr">
        <is>
          <t>STRÖMSUND</t>
        </is>
      </c>
      <c r="F10316" t="inlineStr">
        <is>
          <t>SCA</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40891-2024</t>
        </is>
      </c>
      <c r="B10317" s="1" t="n">
        <v>45558.61495370371</v>
      </c>
      <c r="C10317" s="1" t="n">
        <v>46045</v>
      </c>
      <c r="D10317" t="inlineStr">
        <is>
          <t>JÄMTLANDS LÄN</t>
        </is>
      </c>
      <c r="E10317" t="inlineStr">
        <is>
          <t>STRÖMSUND</t>
        </is>
      </c>
      <c r="F10317" t="inlineStr">
        <is>
          <t>SCA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6001-2023</t>
        </is>
      </c>
      <c r="B10318" s="1" t="n">
        <v>44964</v>
      </c>
      <c r="C10318" s="1" t="n">
        <v>46045</v>
      </c>
      <c r="D10318" t="inlineStr">
        <is>
          <t>JÄMTLANDS LÄN</t>
        </is>
      </c>
      <c r="E10318" t="inlineStr">
        <is>
          <t>HÄRJEDALEN</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62153-2022</t>
        </is>
      </c>
      <c r="B10319" s="1" t="n">
        <v>44914</v>
      </c>
      <c r="C10319" s="1" t="n">
        <v>46045</v>
      </c>
      <c r="D10319" t="inlineStr">
        <is>
          <t>JÄMTLANDS LÄN</t>
        </is>
      </c>
      <c r="E10319" t="inlineStr">
        <is>
          <t>BERG</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6877-2024</t>
        </is>
      </c>
      <c r="B10320" s="1" t="n">
        <v>45342</v>
      </c>
      <c r="C10320" s="1" t="n">
        <v>46045</v>
      </c>
      <c r="D10320" t="inlineStr">
        <is>
          <t>JÄMTLANDS LÄN</t>
        </is>
      </c>
      <c r="E10320" t="inlineStr">
        <is>
          <t>ÖSTERSUND</t>
        </is>
      </c>
      <c r="F10320" t="inlineStr">
        <is>
          <t>Kyrkan</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4034-2025</t>
        </is>
      </c>
      <c r="B10321" s="1" t="n">
        <v>45684.59953703704</v>
      </c>
      <c r="C10321" s="1" t="n">
        <v>46045</v>
      </c>
      <c r="D10321" t="inlineStr">
        <is>
          <t>JÄMTLANDS LÄN</t>
        </is>
      </c>
      <c r="E10321" t="inlineStr">
        <is>
          <t>STRÖMSUND</t>
        </is>
      </c>
      <c r="F10321" t="inlineStr">
        <is>
          <t>SCA</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13805-2024</t>
        </is>
      </c>
      <c r="B10322" s="1" t="n">
        <v>45390</v>
      </c>
      <c r="C10322" s="1" t="n">
        <v>46045</v>
      </c>
      <c r="D10322" t="inlineStr">
        <is>
          <t>JÄMTLANDS LÄN</t>
        </is>
      </c>
      <c r="E10322" t="inlineStr">
        <is>
          <t>BERG</t>
        </is>
      </c>
      <c r="G10322" t="n">
        <v>9.800000000000001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62104-2023</t>
        </is>
      </c>
      <c r="B10323" s="1" t="n">
        <v>45266.95052083334</v>
      </c>
      <c r="C10323" s="1" t="n">
        <v>46045</v>
      </c>
      <c r="D10323" t="inlineStr">
        <is>
          <t>JÄMTLANDS LÄN</t>
        </is>
      </c>
      <c r="E10323" t="inlineStr">
        <is>
          <t>BERG</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62105-2023</t>
        </is>
      </c>
      <c r="B10324" s="1" t="n">
        <v>45266.95074074074</v>
      </c>
      <c r="C10324" s="1" t="n">
        <v>46045</v>
      </c>
      <c r="D10324" t="inlineStr">
        <is>
          <t>JÄMTLANDS LÄN</t>
        </is>
      </c>
      <c r="E10324" t="inlineStr">
        <is>
          <t>BERG</t>
        </is>
      </c>
      <c r="F10324" t="inlineStr">
        <is>
          <t>SCA</t>
        </is>
      </c>
      <c r="G10324" t="n">
        <v>13.1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12805-2025</t>
        </is>
      </c>
      <c r="B10325" s="1" t="n">
        <v>45733.61497685185</v>
      </c>
      <c r="C10325" s="1" t="n">
        <v>46045</v>
      </c>
      <c r="D10325" t="inlineStr">
        <is>
          <t>JÄMTLANDS LÄN</t>
        </is>
      </c>
      <c r="E10325" t="inlineStr">
        <is>
          <t>RAGUNDA</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23832-2021</t>
        </is>
      </c>
      <c r="B10326" s="1" t="n">
        <v>44335</v>
      </c>
      <c r="C10326" s="1" t="n">
        <v>46045</v>
      </c>
      <c r="D10326" t="inlineStr">
        <is>
          <t>JÄMTLANDS LÄN</t>
        </is>
      </c>
      <c r="E10326" t="inlineStr">
        <is>
          <t>KROKOM</t>
        </is>
      </c>
      <c r="G10326" t="n">
        <v>20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27280-2024</t>
        </is>
      </c>
      <c r="B10327" s="1" t="n">
        <v>45471.92576388889</v>
      </c>
      <c r="C10327" s="1" t="n">
        <v>46045</v>
      </c>
      <c r="D10327" t="inlineStr">
        <is>
          <t>JÄMTLANDS LÄN</t>
        </is>
      </c>
      <c r="E10327" t="inlineStr">
        <is>
          <t>BRÄCKE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52268-2022</t>
        </is>
      </c>
      <c r="B10328" s="1" t="n">
        <v>44873</v>
      </c>
      <c r="C10328" s="1" t="n">
        <v>46045</v>
      </c>
      <c r="D10328" t="inlineStr">
        <is>
          <t>JÄMTLANDS LÄN</t>
        </is>
      </c>
      <c r="E10328" t="inlineStr">
        <is>
          <t>KROKOM</t>
        </is>
      </c>
      <c r="G10328" t="n">
        <v>0.7</v>
      </c>
      <c r="H10328" t="n">
        <v>0</v>
      </c>
      <c r="I10328" t="n">
        <v>0</v>
      </c>
      <c r="J10328" t="n">
        <v>0</v>
      </c>
      <c r="K10328" t="n">
        <v>0</v>
      </c>
      <c r="L10328" t="n">
        <v>0</v>
      </c>
      <c r="M10328" t="n">
        <v>0</v>
      </c>
      <c r="N10328" t="n">
        <v>0</v>
      </c>
      <c r="O10328" t="n">
        <v>0</v>
      </c>
      <c r="P10328" t="n">
        <v>0</v>
      </c>
      <c r="Q10328" t="n">
        <v>0</v>
      </c>
      <c r="R10328" s="2" t="inlineStr"/>
      <c r="U10328">
        <f>HYPERLINK("https://klasma.github.io/Logging_2309/knärot/A 52268-2022 karta knärot.png", "A 52268-2022")</f>
        <v/>
      </c>
      <c r="V10328">
        <f>HYPERLINK("https://klasma.github.io/Logging_2309/klagomål/A 52268-2022 FSC-klagomål.docx", "A 52268-2022")</f>
        <v/>
      </c>
      <c r="W10328">
        <f>HYPERLINK("https://klasma.github.io/Logging_2309/klagomålsmail/A 52268-2022 FSC-klagomål mail.docx", "A 52268-2022")</f>
        <v/>
      </c>
      <c r="X10328">
        <f>HYPERLINK("https://klasma.github.io/Logging_2309/tillsyn/A 52268-2022 tillsynsbegäran.docx", "A 52268-2022")</f>
        <v/>
      </c>
      <c r="Y10328">
        <f>HYPERLINK("https://klasma.github.io/Logging_2309/tillsynsmail/A 52268-2022 tillsynsbegäran mail.docx", "A 52268-2022")</f>
        <v/>
      </c>
    </row>
    <row r="10329" ht="15" customHeight="1">
      <c r="A10329" t="inlineStr">
        <is>
          <t>A 65433-2021</t>
        </is>
      </c>
      <c r="B10329" s="1" t="n">
        <v>44515.93875</v>
      </c>
      <c r="C10329" s="1" t="n">
        <v>46045</v>
      </c>
      <c r="D10329" t="inlineStr">
        <is>
          <t>JÄMTLANDS LÄN</t>
        </is>
      </c>
      <c r="E10329" t="inlineStr">
        <is>
          <t>BRÄCKE</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61566-2021</t>
        </is>
      </c>
      <c r="B10330" s="1" t="n">
        <v>44496</v>
      </c>
      <c r="C10330" s="1" t="n">
        <v>46045</v>
      </c>
      <c r="D10330" t="inlineStr">
        <is>
          <t>JÄMTLANDS LÄN</t>
        </is>
      </c>
      <c r="E10330" t="inlineStr">
        <is>
          <t>ÅRE</t>
        </is>
      </c>
      <c r="F10330" t="inlineStr">
        <is>
          <t>Övriga statliga verk och myndigheter</t>
        </is>
      </c>
      <c r="G10330" t="n">
        <v>10.9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11062-2023</t>
        </is>
      </c>
      <c r="B10331" s="1" t="n">
        <v>44991</v>
      </c>
      <c r="C10331" s="1" t="n">
        <v>46045</v>
      </c>
      <c r="D10331" t="inlineStr">
        <is>
          <t>JÄMTLANDS LÄN</t>
        </is>
      </c>
      <c r="E10331" t="inlineStr">
        <is>
          <t>RAGUNDA</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41314-2024</t>
        </is>
      </c>
      <c r="B10332" s="1" t="n">
        <v>45559.63613425926</v>
      </c>
      <c r="C10332" s="1" t="n">
        <v>46045</v>
      </c>
      <c r="D10332" t="inlineStr">
        <is>
          <t>JÄMTLANDS LÄN</t>
        </is>
      </c>
      <c r="E10332" t="inlineStr">
        <is>
          <t>BRÄCKE</t>
        </is>
      </c>
      <c r="F10332" t="inlineStr">
        <is>
          <t>SCA</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32147-2024</t>
        </is>
      </c>
      <c r="B10333" s="1" t="n">
        <v>45511.55600694445</v>
      </c>
      <c r="C10333" s="1" t="n">
        <v>46045</v>
      </c>
      <c r="D10333" t="inlineStr">
        <is>
          <t>JÄMTLANDS LÄN</t>
        </is>
      </c>
      <c r="E10333" t="inlineStr">
        <is>
          <t>BERG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32156-2024</t>
        </is>
      </c>
      <c r="B10334" s="1" t="n">
        <v>45511</v>
      </c>
      <c r="C10334" s="1" t="n">
        <v>46045</v>
      </c>
      <c r="D10334" t="inlineStr">
        <is>
          <t>JÄMTLANDS LÄN</t>
        </is>
      </c>
      <c r="E10334" t="inlineStr">
        <is>
          <t>BERG</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61340-2022</t>
        </is>
      </c>
      <c r="B10335" s="1" t="n">
        <v>44909</v>
      </c>
      <c r="C10335" s="1" t="n">
        <v>46045</v>
      </c>
      <c r="D10335" t="inlineStr">
        <is>
          <t>JÄMTLANDS LÄN</t>
        </is>
      </c>
      <c r="E10335" t="inlineStr">
        <is>
          <t>ÅRE</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33104-2021</t>
        </is>
      </c>
      <c r="B10336" s="1" t="n">
        <v>44376</v>
      </c>
      <c r="C10336" s="1" t="n">
        <v>46045</v>
      </c>
      <c r="D10336" t="inlineStr">
        <is>
          <t>JÄMTLANDS LÄN</t>
        </is>
      </c>
      <c r="E10336" t="inlineStr">
        <is>
          <t>STRÖMSUND</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59910-2022</t>
        </is>
      </c>
      <c r="B10337" s="1" t="n">
        <v>44908</v>
      </c>
      <c r="C10337" s="1" t="n">
        <v>46045</v>
      </c>
      <c r="D10337" t="inlineStr">
        <is>
          <t>JÄMTLANDS LÄN</t>
        </is>
      </c>
      <c r="E10337" t="inlineStr">
        <is>
          <t>BRÄCKE</t>
        </is>
      </c>
      <c r="F10337" t="inlineStr">
        <is>
          <t>SCA</t>
        </is>
      </c>
      <c r="G10337" t="n">
        <v>11.2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59915-2022</t>
        </is>
      </c>
      <c r="B10338" s="1" t="n">
        <v>44908.96019675926</v>
      </c>
      <c r="C10338" s="1" t="n">
        <v>46045</v>
      </c>
      <c r="D10338" t="inlineStr">
        <is>
          <t>JÄMTLANDS LÄN</t>
        </is>
      </c>
      <c r="E10338" t="inlineStr">
        <is>
          <t>BRÄCKE</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3027-2023</t>
        </is>
      </c>
      <c r="B10339" s="1" t="n">
        <v>44945</v>
      </c>
      <c r="C10339" s="1" t="n">
        <v>46045</v>
      </c>
      <c r="D10339" t="inlineStr">
        <is>
          <t>JÄMTLANDS LÄN</t>
        </is>
      </c>
      <c r="E10339" t="inlineStr">
        <is>
          <t>STRÖMSUND</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56641-2022</t>
        </is>
      </c>
      <c r="B10340" s="1" t="n">
        <v>44893</v>
      </c>
      <c r="C10340" s="1" t="n">
        <v>46045</v>
      </c>
      <c r="D10340" t="inlineStr">
        <is>
          <t>JÄMTLANDS LÄN</t>
        </is>
      </c>
      <c r="E10340" t="inlineStr">
        <is>
          <t>BRÄCKE</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62699-2022</t>
        </is>
      </c>
      <c r="B10341" s="1" t="n">
        <v>44925.59333333333</v>
      </c>
      <c r="C10341" s="1" t="n">
        <v>46045</v>
      </c>
      <c r="D10341" t="inlineStr">
        <is>
          <t>JÄMTLANDS LÄN</t>
        </is>
      </c>
      <c r="E10341" t="inlineStr">
        <is>
          <t>HÄRJEDALEN</t>
        </is>
      </c>
      <c r="F10341" t="inlineStr">
        <is>
          <t>Holmen skog AB</t>
        </is>
      </c>
      <c r="G10341" t="n">
        <v>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58313-2022</t>
        </is>
      </c>
      <c r="B10342" s="1" t="n">
        <v>44901.54615740741</v>
      </c>
      <c r="C10342" s="1" t="n">
        <v>46045</v>
      </c>
      <c r="D10342" t="inlineStr">
        <is>
          <t>JÄMTLANDS LÄN</t>
        </is>
      </c>
      <c r="E10342" t="inlineStr">
        <is>
          <t>KROKOM</t>
        </is>
      </c>
      <c r="F10342" t="inlineStr">
        <is>
          <t>Övriga Aktiebolag</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4136-2023</t>
        </is>
      </c>
      <c r="B10343" s="1" t="n">
        <v>44952</v>
      </c>
      <c r="C10343" s="1" t="n">
        <v>46045</v>
      </c>
      <c r="D10343" t="inlineStr">
        <is>
          <t>JÄMTLANDS LÄN</t>
        </is>
      </c>
      <c r="E10343" t="inlineStr">
        <is>
          <t>ÖSTERSUND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9553-2024</t>
        </is>
      </c>
      <c r="B10344" s="1" t="n">
        <v>45360.03491898148</v>
      </c>
      <c r="C10344" s="1" t="n">
        <v>46045</v>
      </c>
      <c r="D10344" t="inlineStr">
        <is>
          <t>JÄMTLANDS LÄN</t>
        </is>
      </c>
      <c r="E10344" t="inlineStr">
        <is>
          <t>BRÄCKE</t>
        </is>
      </c>
      <c r="F10344" t="inlineStr">
        <is>
          <t>SCA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12929-2024</t>
        </is>
      </c>
      <c r="B10345" s="1" t="n">
        <v>45385</v>
      </c>
      <c r="C10345" s="1" t="n">
        <v>46045</v>
      </c>
      <c r="D10345" t="inlineStr">
        <is>
          <t>JÄMTLANDS LÄN</t>
        </is>
      </c>
      <c r="E10345" t="inlineStr">
        <is>
          <t>HÄRJEDALEN</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39103-2024</t>
        </is>
      </c>
      <c r="B10346" s="1" t="n">
        <v>45548.57025462963</v>
      </c>
      <c r="C10346" s="1" t="n">
        <v>46045</v>
      </c>
      <c r="D10346" t="inlineStr">
        <is>
          <t>JÄMTLANDS LÄN</t>
        </is>
      </c>
      <c r="E10346" t="inlineStr">
        <is>
          <t>BERG</t>
        </is>
      </c>
      <c r="G10346" t="n">
        <v>38.4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5333-2024</t>
        </is>
      </c>
      <c r="B10347" s="1" t="n">
        <v>45331.43344907407</v>
      </c>
      <c r="C10347" s="1" t="n">
        <v>46045</v>
      </c>
      <c r="D10347" t="inlineStr">
        <is>
          <t>JÄMTLANDS LÄN</t>
        </is>
      </c>
      <c r="E10347" t="inlineStr">
        <is>
          <t>STRÖMSUND</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5350-2024</t>
        </is>
      </c>
      <c r="B10348" s="1" t="n">
        <v>45331</v>
      </c>
      <c r="C10348" s="1" t="n">
        <v>46045</v>
      </c>
      <c r="D10348" t="inlineStr">
        <is>
          <t>JÄMTLANDS LÄN</t>
        </is>
      </c>
      <c r="E10348" t="inlineStr">
        <is>
          <t>STRÖMSUND</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41782-2024</t>
        </is>
      </c>
      <c r="B10349" s="1" t="n">
        <v>45561</v>
      </c>
      <c r="C10349" s="1" t="n">
        <v>46045</v>
      </c>
      <c r="D10349" t="inlineStr">
        <is>
          <t>JÄMTLANDS LÄN</t>
        </is>
      </c>
      <c r="E10349" t="inlineStr">
        <is>
          <t>BERG</t>
        </is>
      </c>
      <c r="F10349" t="inlineStr">
        <is>
          <t>SCA</t>
        </is>
      </c>
      <c r="G10349" t="n">
        <v>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31888-2024</t>
        </is>
      </c>
      <c r="B10350" s="1" t="n">
        <v>45509</v>
      </c>
      <c r="C10350" s="1" t="n">
        <v>46045</v>
      </c>
      <c r="D10350" t="inlineStr">
        <is>
          <t>JÄMTLANDS LÄN</t>
        </is>
      </c>
      <c r="E10350" t="inlineStr">
        <is>
          <t>BRÄCKE</t>
        </is>
      </c>
      <c r="F10350" t="inlineStr">
        <is>
          <t>SCA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7964-2025</t>
        </is>
      </c>
      <c r="B10351" s="1" t="n">
        <v>45707.44858796296</v>
      </c>
      <c r="C10351" s="1" t="n">
        <v>46045</v>
      </c>
      <c r="D10351" t="inlineStr">
        <is>
          <t>JÄMTLANDS LÄN</t>
        </is>
      </c>
      <c r="E10351" t="inlineStr">
        <is>
          <t>STRÖMSUND</t>
        </is>
      </c>
      <c r="F10351" t="inlineStr">
        <is>
          <t>SCA</t>
        </is>
      </c>
      <c r="G10351" t="n">
        <v>12.4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69153-2021</t>
        </is>
      </c>
      <c r="B10352" s="1" t="n">
        <v>44530.94694444445</v>
      </c>
      <c r="C10352" s="1" t="n">
        <v>46045</v>
      </c>
      <c r="D10352" t="inlineStr">
        <is>
          <t>JÄMTLANDS LÄN</t>
        </is>
      </c>
      <c r="E10352" t="inlineStr">
        <is>
          <t>RAGUNDA</t>
        </is>
      </c>
      <c r="F10352" t="inlineStr">
        <is>
          <t>SCA</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4872-2023</t>
        </is>
      </c>
      <c r="B10353" s="1" t="n">
        <v>44957</v>
      </c>
      <c r="C10353" s="1" t="n">
        <v>46045</v>
      </c>
      <c r="D10353" t="inlineStr">
        <is>
          <t>JÄMTLANDS LÄN</t>
        </is>
      </c>
      <c r="E10353" t="inlineStr">
        <is>
          <t>ÖSTERSUND</t>
        </is>
      </c>
      <c r="G10353" t="n">
        <v>10.7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4882-2023</t>
        </is>
      </c>
      <c r="B10354" s="1" t="n">
        <v>44957.94075231482</v>
      </c>
      <c r="C10354" s="1" t="n">
        <v>46045</v>
      </c>
      <c r="D10354" t="inlineStr">
        <is>
          <t>JÄMTLANDS LÄN</t>
        </is>
      </c>
      <c r="E10354" t="inlineStr">
        <is>
          <t>RAGUNDA</t>
        </is>
      </c>
      <c r="F10354" t="inlineStr">
        <is>
          <t>SCA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15876-2025</t>
        </is>
      </c>
      <c r="B10355" s="1" t="n">
        <v>45749.38379629629</v>
      </c>
      <c r="C10355" s="1" t="n">
        <v>46045</v>
      </c>
      <c r="D10355" t="inlineStr">
        <is>
          <t>JÄMTLANDS LÄN</t>
        </is>
      </c>
      <c r="E10355" t="inlineStr">
        <is>
          <t>KROKOM</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14728-2025</t>
        </is>
      </c>
      <c r="B10356" s="1" t="n">
        <v>45742.63574074074</v>
      </c>
      <c r="C10356" s="1" t="n">
        <v>46045</v>
      </c>
      <c r="D10356" t="inlineStr">
        <is>
          <t>JÄMTLANDS LÄN</t>
        </is>
      </c>
      <c r="E10356" t="inlineStr">
        <is>
          <t>BERG</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39608-2024</t>
        </is>
      </c>
      <c r="B10357" s="1" t="n">
        <v>45552.39113425926</v>
      </c>
      <c r="C10357" s="1" t="n">
        <v>46045</v>
      </c>
      <c r="D10357" t="inlineStr">
        <is>
          <t>JÄMTLANDS LÄN</t>
        </is>
      </c>
      <c r="E10357" t="inlineStr">
        <is>
          <t>RAGUNDA</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18454-2021</t>
        </is>
      </c>
      <c r="B10358" s="1" t="n">
        <v>44305.92047453704</v>
      </c>
      <c r="C10358" s="1" t="n">
        <v>46045</v>
      </c>
      <c r="D10358" t="inlineStr">
        <is>
          <t>JÄMTLANDS LÄN</t>
        </is>
      </c>
      <c r="E10358" t="inlineStr">
        <is>
          <t>RAGUNDA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12499-2021</t>
        </is>
      </c>
      <c r="B10359" s="1" t="n">
        <v>44267</v>
      </c>
      <c r="C10359" s="1" t="n">
        <v>46045</v>
      </c>
      <c r="D10359" t="inlineStr">
        <is>
          <t>JÄMTLANDS LÄN</t>
        </is>
      </c>
      <c r="E10359" t="inlineStr">
        <is>
          <t>BERG</t>
        </is>
      </c>
      <c r="F10359" t="inlineStr">
        <is>
          <t>SCA</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10815-2022</t>
        </is>
      </c>
      <c r="B10360" s="1" t="n">
        <v>44627</v>
      </c>
      <c r="C10360" s="1" t="n">
        <v>46045</v>
      </c>
      <c r="D10360" t="inlineStr">
        <is>
          <t>JÄMTLANDS LÄN</t>
        </is>
      </c>
      <c r="E10360" t="inlineStr">
        <is>
          <t>BRÄCKE</t>
        </is>
      </c>
      <c r="G10360" t="n">
        <v>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53407-2022</t>
        </is>
      </c>
      <c r="B10361" s="1" t="n">
        <v>44874</v>
      </c>
      <c r="C10361" s="1" t="n">
        <v>46045</v>
      </c>
      <c r="D10361" t="inlineStr">
        <is>
          <t>JÄMTLANDS LÄN</t>
        </is>
      </c>
      <c r="E10361" t="inlineStr">
        <is>
          <t>BRÄCKE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60325-2021</t>
        </is>
      </c>
      <c r="B10362" s="1" t="n">
        <v>44495.94054398148</v>
      </c>
      <c r="C10362" s="1" t="n">
        <v>46045</v>
      </c>
      <c r="D10362" t="inlineStr">
        <is>
          <t>JÄMTLANDS LÄN</t>
        </is>
      </c>
      <c r="E10362" t="inlineStr">
        <is>
          <t>BRÄCKE</t>
        </is>
      </c>
      <c r="F10362" t="inlineStr">
        <is>
          <t>SCA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21093-2021</t>
        </is>
      </c>
      <c r="B10363" s="1" t="n">
        <v>44319</v>
      </c>
      <c r="C10363" s="1" t="n">
        <v>46045</v>
      </c>
      <c r="D10363" t="inlineStr">
        <is>
          <t>JÄMTLANDS LÄN</t>
        </is>
      </c>
      <c r="E10363" t="inlineStr">
        <is>
          <t>STRÖMSUND</t>
        </is>
      </c>
      <c r="F10363" t="inlineStr">
        <is>
          <t>SCA</t>
        </is>
      </c>
      <c r="G10363" t="n">
        <v>11.7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29314-2021</t>
        </is>
      </c>
      <c r="B10364" s="1" t="n">
        <v>44361</v>
      </c>
      <c r="C10364" s="1" t="n">
        <v>46045</v>
      </c>
      <c r="D10364" t="inlineStr">
        <is>
          <t>JÄMTLANDS LÄN</t>
        </is>
      </c>
      <c r="E10364" t="inlineStr">
        <is>
          <t>BRÄCKE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39517-2024</t>
        </is>
      </c>
      <c r="B10365" s="1" t="n">
        <v>45551.69829861111</v>
      </c>
      <c r="C10365" s="1" t="n">
        <v>46045</v>
      </c>
      <c r="D10365" t="inlineStr">
        <is>
          <t>JÄMTLANDS LÄN</t>
        </is>
      </c>
      <c r="E10365" t="inlineStr">
        <is>
          <t>STRÖMSUND</t>
        </is>
      </c>
      <c r="F10365" t="inlineStr">
        <is>
          <t>SCA</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46644-2022</t>
        </is>
      </c>
      <c r="B10366" s="1" t="n">
        <v>44849.8044212963</v>
      </c>
      <c r="C10366" s="1" t="n">
        <v>46045</v>
      </c>
      <c r="D10366" t="inlineStr">
        <is>
          <t>JÄMTLANDS LÄN</t>
        </is>
      </c>
      <c r="E10366" t="inlineStr">
        <is>
          <t>KROKOM</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13921-2023</t>
        </is>
      </c>
      <c r="B10367" s="1" t="n">
        <v>45008</v>
      </c>
      <c r="C10367" s="1" t="n">
        <v>46045</v>
      </c>
      <c r="D10367" t="inlineStr">
        <is>
          <t>JÄMTLANDS LÄN</t>
        </is>
      </c>
      <c r="E10367" t="inlineStr">
        <is>
          <t>ÖSTERSUND</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41439-2024</t>
        </is>
      </c>
      <c r="B10368" s="1" t="n">
        <v>45560.38056712963</v>
      </c>
      <c r="C10368" s="1" t="n">
        <v>46045</v>
      </c>
      <c r="D10368" t="inlineStr">
        <is>
          <t>JÄMTLANDS LÄN</t>
        </is>
      </c>
      <c r="E10368" t="inlineStr">
        <is>
          <t>KROKOM</t>
        </is>
      </c>
      <c r="F10368" t="inlineStr">
        <is>
          <t>Övriga Aktiebolag</t>
        </is>
      </c>
      <c r="G10368" t="n">
        <v>9.1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10014-2023</t>
        </is>
      </c>
      <c r="B10369" s="1" t="n">
        <v>44985.61403935185</v>
      </c>
      <c r="C10369" s="1" t="n">
        <v>46045</v>
      </c>
      <c r="D10369" t="inlineStr">
        <is>
          <t>JÄMTLANDS LÄN</t>
        </is>
      </c>
      <c r="E10369" t="inlineStr">
        <is>
          <t>HÄRJEDALEN</t>
        </is>
      </c>
      <c r="F10369" t="inlineStr">
        <is>
          <t>Holmen skog AB</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14178-2021</t>
        </is>
      </c>
      <c r="B10370" s="1" t="n">
        <v>44278</v>
      </c>
      <c r="C10370" s="1" t="n">
        <v>46045</v>
      </c>
      <c r="D10370" t="inlineStr">
        <is>
          <t>JÄMTLANDS LÄN</t>
        </is>
      </c>
      <c r="E10370" t="inlineStr">
        <is>
          <t>BRÄCKE</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42949-2024</t>
        </is>
      </c>
      <c r="B10371" s="1" t="n">
        <v>45567.36642361111</v>
      </c>
      <c r="C10371" s="1" t="n">
        <v>46045</v>
      </c>
      <c r="D10371" t="inlineStr">
        <is>
          <t>JÄMTLANDS LÄN</t>
        </is>
      </c>
      <c r="E10371" t="inlineStr">
        <is>
          <t>STRÖMSUND</t>
        </is>
      </c>
      <c r="F10371" t="inlineStr">
        <is>
          <t>SCA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42960-2024</t>
        </is>
      </c>
      <c r="B10372" s="1" t="n">
        <v>45567.37157407407</v>
      </c>
      <c r="C10372" s="1" t="n">
        <v>46045</v>
      </c>
      <c r="D10372" t="inlineStr">
        <is>
          <t>JÄMTLANDS LÄN</t>
        </is>
      </c>
      <c r="E10372" t="inlineStr">
        <is>
          <t>STRÖMSUND</t>
        </is>
      </c>
      <c r="F10372" t="inlineStr">
        <is>
          <t>SCA</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26455-2023</t>
        </is>
      </c>
      <c r="B10373" s="1" t="n">
        <v>45092</v>
      </c>
      <c r="C10373" s="1" t="n">
        <v>46045</v>
      </c>
      <c r="D10373" t="inlineStr">
        <is>
          <t>JÄMTLANDS LÄN</t>
        </is>
      </c>
      <c r="E10373" t="inlineStr">
        <is>
          <t>RAGUNDA</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43910-2023</t>
        </is>
      </c>
      <c r="B10374" s="1" t="n">
        <v>45182</v>
      </c>
      <c r="C10374" s="1" t="n">
        <v>46045</v>
      </c>
      <c r="D10374" t="inlineStr">
        <is>
          <t>JÄMTLANDS LÄN</t>
        </is>
      </c>
      <c r="E10374" t="inlineStr">
        <is>
          <t>BRÄCKE</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18994-2022</t>
        </is>
      </c>
      <c r="B10375" s="1" t="n">
        <v>44690.93938657407</v>
      </c>
      <c r="C10375" s="1" t="n">
        <v>46045</v>
      </c>
      <c r="D10375" t="inlineStr">
        <is>
          <t>JÄMTLANDS LÄN</t>
        </is>
      </c>
      <c r="E10375" t="inlineStr">
        <is>
          <t>STRÖMSUND</t>
        </is>
      </c>
      <c r="F10375" t="inlineStr">
        <is>
          <t>SCA</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21897-2021</t>
        </is>
      </c>
      <c r="B10376" s="1" t="n">
        <v>44322</v>
      </c>
      <c r="C10376" s="1" t="n">
        <v>46045</v>
      </c>
      <c r="D10376" t="inlineStr">
        <is>
          <t>JÄMTLANDS LÄN</t>
        </is>
      </c>
      <c r="E10376" t="inlineStr">
        <is>
          <t>ÅRE</t>
        </is>
      </c>
      <c r="G10376" t="n">
        <v>41.4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11830-2024</t>
        </is>
      </c>
      <c r="B10377" s="1" t="n">
        <v>45376.35451388889</v>
      </c>
      <c r="C10377" s="1" t="n">
        <v>46045</v>
      </c>
      <c r="D10377" t="inlineStr">
        <is>
          <t>JÄMTLANDS LÄN</t>
        </is>
      </c>
      <c r="E10377" t="inlineStr">
        <is>
          <t>BRÄCKE</t>
        </is>
      </c>
      <c r="G10377" t="n">
        <v>18.3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11877-2024</t>
        </is>
      </c>
      <c r="B10378" s="1" t="n">
        <v>45376</v>
      </c>
      <c r="C10378" s="1" t="n">
        <v>46045</v>
      </c>
      <c r="D10378" t="inlineStr">
        <is>
          <t>JÄMTLANDS LÄN</t>
        </is>
      </c>
      <c r="E10378" t="inlineStr">
        <is>
          <t>ÖSTERSUND</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26458-2022</t>
        </is>
      </c>
      <c r="B10379" s="1" t="n">
        <v>44739.34201388889</v>
      </c>
      <c r="C10379" s="1" t="n">
        <v>46045</v>
      </c>
      <c r="D10379" t="inlineStr">
        <is>
          <t>JÄMTLANDS LÄN</t>
        </is>
      </c>
      <c r="E10379" t="inlineStr">
        <is>
          <t>BRÄCKE</t>
        </is>
      </c>
      <c r="G10379" t="n">
        <v>9.300000000000001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41738-2023</t>
        </is>
      </c>
      <c r="B10380" s="1" t="n">
        <v>45176.418125</v>
      </c>
      <c r="C10380" s="1" t="n">
        <v>46045</v>
      </c>
      <c r="D10380" t="inlineStr">
        <is>
          <t>JÄMTLANDS LÄN</t>
        </is>
      </c>
      <c r="E10380" t="inlineStr">
        <is>
          <t>BRÄCKE</t>
        </is>
      </c>
      <c r="G10380" t="n">
        <v>12.7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7027-2022</t>
        </is>
      </c>
      <c r="B10381" s="1" t="n">
        <v>44603.46644675926</v>
      </c>
      <c r="C10381" s="1" t="n">
        <v>46045</v>
      </c>
      <c r="D10381" t="inlineStr">
        <is>
          <t>JÄMTLANDS LÄN</t>
        </is>
      </c>
      <c r="E10381" t="inlineStr">
        <is>
          <t>BRÄCKE</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5460-2023</t>
        </is>
      </c>
      <c r="B10382" s="1" t="n">
        <v>44960</v>
      </c>
      <c r="C10382" s="1" t="n">
        <v>46045</v>
      </c>
      <c r="D10382" t="inlineStr">
        <is>
          <t>JÄMTLANDS LÄN</t>
        </is>
      </c>
      <c r="E10382" t="inlineStr">
        <is>
          <t>ÅRE</t>
        </is>
      </c>
      <c r="G10382" t="n">
        <v>9.4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6801-2023</t>
        </is>
      </c>
      <c r="B10383" s="1" t="n">
        <v>44966.95328703704</v>
      </c>
      <c r="C10383" s="1" t="n">
        <v>46045</v>
      </c>
      <c r="D10383" t="inlineStr">
        <is>
          <t>JÄMTLANDS LÄN</t>
        </is>
      </c>
      <c r="E10383" t="inlineStr">
        <is>
          <t>RAGUNDA</t>
        </is>
      </c>
      <c r="F10383" t="inlineStr">
        <is>
          <t>SCA</t>
        </is>
      </c>
      <c r="G10383" t="n">
        <v>10.6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61653-2022</t>
        </is>
      </c>
      <c r="B10384" s="1" t="n">
        <v>44916</v>
      </c>
      <c r="C10384" s="1" t="n">
        <v>46045</v>
      </c>
      <c r="D10384" t="inlineStr">
        <is>
          <t>JÄMTLANDS LÄN</t>
        </is>
      </c>
      <c r="E10384" t="inlineStr">
        <is>
          <t>ÖSTERSUND</t>
        </is>
      </c>
      <c r="G10384" t="n">
        <v>7.6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34225-2024</t>
        </is>
      </c>
      <c r="B10385" s="1" t="n">
        <v>45524.55398148148</v>
      </c>
      <c r="C10385" s="1" t="n">
        <v>46045</v>
      </c>
      <c r="D10385" t="inlineStr">
        <is>
          <t>JÄMTLANDS LÄN</t>
        </is>
      </c>
      <c r="E10385" t="inlineStr">
        <is>
          <t>BERG</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61926-2022</t>
        </is>
      </c>
      <c r="B10386" s="1" t="n">
        <v>44917</v>
      </c>
      <c r="C10386" s="1" t="n">
        <v>46045</v>
      </c>
      <c r="D10386" t="inlineStr">
        <is>
          <t>JÄMTLANDS LÄN</t>
        </is>
      </c>
      <c r="E10386" t="inlineStr">
        <is>
          <t>ÅRE</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5967-2021</t>
        </is>
      </c>
      <c r="B10387" s="1" t="n">
        <v>44231</v>
      </c>
      <c r="C10387" s="1" t="n">
        <v>46045</v>
      </c>
      <c r="D10387" t="inlineStr">
        <is>
          <t>JÄMTLANDS LÄN</t>
        </is>
      </c>
      <c r="E10387" t="inlineStr">
        <is>
          <t>RAGUNDA</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45414-2024</t>
        </is>
      </c>
      <c r="B10388" s="1" t="n">
        <v>45576.5943287037</v>
      </c>
      <c r="C10388" s="1" t="n">
        <v>46045</v>
      </c>
      <c r="D10388" t="inlineStr">
        <is>
          <t>JÄMTLANDS LÄN</t>
        </is>
      </c>
      <c r="E10388" t="inlineStr">
        <is>
          <t>BRÄCKE</t>
        </is>
      </c>
      <c r="F10388" t="inlineStr">
        <is>
          <t>SCA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54451-2023</t>
        </is>
      </c>
      <c r="B10389" s="1" t="n">
        <v>45233.44581018519</v>
      </c>
      <c r="C10389" s="1" t="n">
        <v>46045</v>
      </c>
      <c r="D10389" t="inlineStr">
        <is>
          <t>JÄMTLANDS LÄN</t>
        </is>
      </c>
      <c r="E10389" t="inlineStr">
        <is>
          <t>BRÄCKE</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12285-2022</t>
        </is>
      </c>
      <c r="B10390" s="1" t="n">
        <v>44637</v>
      </c>
      <c r="C10390" s="1" t="n">
        <v>46045</v>
      </c>
      <c r="D10390" t="inlineStr">
        <is>
          <t>JÄMTLANDS LÄN</t>
        </is>
      </c>
      <c r="E10390" t="inlineStr">
        <is>
          <t>ÖSTERSUND</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42005-2024</t>
        </is>
      </c>
      <c r="B10391" s="1" t="n">
        <v>45561.67761574074</v>
      </c>
      <c r="C10391" s="1" t="n">
        <v>46045</v>
      </c>
      <c r="D10391" t="inlineStr">
        <is>
          <t>JÄMTLANDS LÄN</t>
        </is>
      </c>
      <c r="E10391" t="inlineStr">
        <is>
          <t>STRÖMSUND</t>
        </is>
      </c>
      <c r="F10391" t="inlineStr">
        <is>
          <t>SCA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41636-2024</t>
        </is>
      </c>
      <c r="B10392" s="1" t="n">
        <v>45560.61606481481</v>
      </c>
      <c r="C10392" s="1" t="n">
        <v>46045</v>
      </c>
      <c r="D10392" t="inlineStr">
        <is>
          <t>JÄMTLANDS LÄN</t>
        </is>
      </c>
      <c r="E10392" t="inlineStr">
        <is>
          <t>BERG</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19863-2024</t>
        </is>
      </c>
      <c r="B10393" s="1" t="n">
        <v>45433</v>
      </c>
      <c r="C10393" s="1" t="n">
        <v>46045</v>
      </c>
      <c r="D10393" t="inlineStr">
        <is>
          <t>JÄMTLANDS LÄN</t>
        </is>
      </c>
      <c r="E10393" t="inlineStr">
        <is>
          <t>HÄRJEDALEN</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18032-2024</t>
        </is>
      </c>
      <c r="B10394" s="1" t="n">
        <v>45420.34979166667</v>
      </c>
      <c r="C10394" s="1" t="n">
        <v>46045</v>
      </c>
      <c r="D10394" t="inlineStr">
        <is>
          <t>JÄMTLANDS LÄN</t>
        </is>
      </c>
      <c r="E10394" t="inlineStr">
        <is>
          <t>BERG</t>
        </is>
      </c>
      <c r="F10394" t="inlineStr">
        <is>
          <t>Holmen skog AB</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26722-2021</t>
        </is>
      </c>
      <c r="B10395" s="1" t="n">
        <v>44349</v>
      </c>
      <c r="C10395" s="1" t="n">
        <v>46045</v>
      </c>
      <c r="D10395" t="inlineStr">
        <is>
          <t>JÄMTLANDS LÄN</t>
        </is>
      </c>
      <c r="E10395" t="inlineStr">
        <is>
          <t>ÅRE</t>
        </is>
      </c>
      <c r="G10395" t="n">
        <v>11.4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14772-2021</t>
        </is>
      </c>
      <c r="B10396" s="1" t="n">
        <v>44280.62068287037</v>
      </c>
      <c r="C10396" s="1" t="n">
        <v>46045</v>
      </c>
      <c r="D10396" t="inlineStr">
        <is>
          <t>JÄMTLANDS LÄN</t>
        </is>
      </c>
      <c r="E10396" t="inlineStr">
        <is>
          <t>BERG</t>
        </is>
      </c>
      <c r="G10396" t="n">
        <v>8.800000000000001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33538-2021</t>
        </is>
      </c>
      <c r="B10397" s="1" t="n">
        <v>44377</v>
      </c>
      <c r="C10397" s="1" t="n">
        <v>46045</v>
      </c>
      <c r="D10397" t="inlineStr">
        <is>
          <t>JÄMTLANDS LÄN</t>
        </is>
      </c>
      <c r="E10397" t="inlineStr">
        <is>
          <t>BRÄCKE</t>
        </is>
      </c>
      <c r="G10397" t="n">
        <v>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56067-2022</t>
        </is>
      </c>
      <c r="B10398" s="1" t="n">
        <v>44889.59378472222</v>
      </c>
      <c r="C10398" s="1" t="n">
        <v>46045</v>
      </c>
      <c r="D10398" t="inlineStr">
        <is>
          <t>JÄMTLANDS LÄN</t>
        </is>
      </c>
      <c r="E10398" t="inlineStr">
        <is>
          <t>ÖSTERSUND</t>
        </is>
      </c>
      <c r="F10398" t="inlineStr">
        <is>
          <t>Övriga Aktiebolag</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22947-2022</t>
        </is>
      </c>
      <c r="B10399" s="1" t="n">
        <v>44715.92443287037</v>
      </c>
      <c r="C10399" s="1" t="n">
        <v>46045</v>
      </c>
      <c r="D10399" t="inlineStr">
        <is>
          <t>JÄMTLANDS LÄN</t>
        </is>
      </c>
      <c r="E10399" t="inlineStr">
        <is>
          <t>BERG</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30728-2022</t>
        </is>
      </c>
      <c r="B10400" s="1" t="n">
        <v>44764</v>
      </c>
      <c r="C10400" s="1" t="n">
        <v>46045</v>
      </c>
      <c r="D10400" t="inlineStr">
        <is>
          <t>JÄMTLANDS LÄN</t>
        </is>
      </c>
      <c r="E10400" t="inlineStr">
        <is>
          <t>KROKOM</t>
        </is>
      </c>
      <c r="G10400" t="n">
        <v>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30729-2022</t>
        </is>
      </c>
      <c r="B10401" s="1" t="n">
        <v>44764</v>
      </c>
      <c r="C10401" s="1" t="n">
        <v>46045</v>
      </c>
      <c r="D10401" t="inlineStr">
        <is>
          <t>JÄMTLANDS LÄN</t>
        </is>
      </c>
      <c r="E10401" t="inlineStr">
        <is>
          <t>KROKOM</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20265-2023</t>
        </is>
      </c>
      <c r="B10402" s="1" t="n">
        <v>45055.94337962963</v>
      </c>
      <c r="C10402" s="1" t="n">
        <v>46045</v>
      </c>
      <c r="D10402" t="inlineStr">
        <is>
          <t>JÄMTLANDS LÄN</t>
        </is>
      </c>
      <c r="E10402" t="inlineStr">
        <is>
          <t>BRÄCKE</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22981-2024</t>
        </is>
      </c>
      <c r="B10403" s="1" t="n">
        <v>45449.90369212963</v>
      </c>
      <c r="C10403" s="1" t="n">
        <v>46045</v>
      </c>
      <c r="D10403" t="inlineStr">
        <is>
          <t>JÄMTLANDS LÄN</t>
        </is>
      </c>
      <c r="E10403" t="inlineStr">
        <is>
          <t>BRÄCKE</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53771-2022</t>
        </is>
      </c>
      <c r="B10404" s="1" t="n">
        <v>44875</v>
      </c>
      <c r="C10404" s="1" t="n">
        <v>46045</v>
      </c>
      <c r="D10404" t="inlineStr">
        <is>
          <t>JÄMTLANDS LÄN</t>
        </is>
      </c>
      <c r="E10404" t="inlineStr">
        <is>
          <t>KROKOM</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53802-2022</t>
        </is>
      </c>
      <c r="B10405" s="1" t="n">
        <v>44875</v>
      </c>
      <c r="C10405" s="1" t="n">
        <v>46045</v>
      </c>
      <c r="D10405" t="inlineStr">
        <is>
          <t>JÄMTLANDS LÄN</t>
        </is>
      </c>
      <c r="E10405" t="inlineStr">
        <is>
          <t>ÖSTERSUND</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24800-2024</t>
        </is>
      </c>
      <c r="B10406" s="1" t="n">
        <v>45460.95293981482</v>
      </c>
      <c r="C10406" s="1" t="n">
        <v>46045</v>
      </c>
      <c r="D10406" t="inlineStr">
        <is>
          <t>JÄMTLANDS LÄN</t>
        </is>
      </c>
      <c r="E10406" t="inlineStr">
        <is>
          <t>STRÖMSUND</t>
        </is>
      </c>
      <c r="F10406" t="inlineStr">
        <is>
          <t>SCA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10641-2024</t>
        </is>
      </c>
      <c r="B10407" s="1" t="n">
        <v>45367.69850694444</v>
      </c>
      <c r="C10407" s="1" t="n">
        <v>46045</v>
      </c>
      <c r="D10407" t="inlineStr">
        <is>
          <t>JÄMTLANDS LÄN</t>
        </is>
      </c>
      <c r="E10407" t="inlineStr">
        <is>
          <t>RAGUNDA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10644-2024</t>
        </is>
      </c>
      <c r="B10408" s="1" t="n">
        <v>45367.71348379629</v>
      </c>
      <c r="C10408" s="1" t="n">
        <v>46045</v>
      </c>
      <c r="D10408" t="inlineStr">
        <is>
          <t>JÄMTLANDS LÄN</t>
        </is>
      </c>
      <c r="E10408" t="inlineStr">
        <is>
          <t>RAGUNDA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7630-2023</t>
        </is>
      </c>
      <c r="B10409" s="1" t="n">
        <v>44972.55690972223</v>
      </c>
      <c r="C10409" s="1" t="n">
        <v>46045</v>
      </c>
      <c r="D10409" t="inlineStr">
        <is>
          <t>JÄMTLANDS LÄN</t>
        </is>
      </c>
      <c r="E10409" t="inlineStr">
        <is>
          <t>KROKOM</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17559-2023</t>
        </is>
      </c>
      <c r="B10410" s="1" t="n">
        <v>45034</v>
      </c>
      <c r="C10410" s="1" t="n">
        <v>46045</v>
      </c>
      <c r="D10410" t="inlineStr">
        <is>
          <t>JÄMTLANDS LÄN</t>
        </is>
      </c>
      <c r="E10410" t="inlineStr">
        <is>
          <t>RAGUNDA</t>
        </is>
      </c>
      <c r="G10410" t="n">
        <v>7.5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49186-2024</t>
        </is>
      </c>
      <c r="B10411" s="1" t="n">
        <v>45595.34479166667</v>
      </c>
      <c r="C10411" s="1" t="n">
        <v>46045</v>
      </c>
      <c r="D10411" t="inlineStr">
        <is>
          <t>JÄMTLANDS LÄN</t>
        </is>
      </c>
      <c r="E10411" t="inlineStr">
        <is>
          <t>STRÖMSUND</t>
        </is>
      </c>
      <c r="F10411" t="inlineStr">
        <is>
          <t>SCA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12036-2023</t>
        </is>
      </c>
      <c r="B10412" s="1" t="n">
        <v>44995</v>
      </c>
      <c r="C10412" s="1" t="n">
        <v>46045</v>
      </c>
      <c r="D10412" t="inlineStr">
        <is>
          <t>JÄMTLANDS LÄN</t>
        </is>
      </c>
      <c r="E10412" t="inlineStr">
        <is>
          <t>BRÄCKE</t>
        </is>
      </c>
      <c r="G10412" t="n">
        <v>16.3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8423-2023</t>
        </is>
      </c>
      <c r="B10413" s="1" t="n">
        <v>44977</v>
      </c>
      <c r="C10413" s="1" t="n">
        <v>46045</v>
      </c>
      <c r="D10413" t="inlineStr">
        <is>
          <t>JÄMTLANDS LÄN</t>
        </is>
      </c>
      <c r="E10413" t="inlineStr">
        <is>
          <t>ÖSTERSUND</t>
        </is>
      </c>
      <c r="F10413" t="inlineStr">
        <is>
          <t>Övriga Aktiebolag</t>
        </is>
      </c>
      <c r="G10413" t="n">
        <v>53.1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3749-2023</t>
        </is>
      </c>
      <c r="B10414" s="1" t="n">
        <v>44949</v>
      </c>
      <c r="C10414" s="1" t="n">
        <v>46045</v>
      </c>
      <c r="D10414" t="inlineStr">
        <is>
          <t>JÄMTLANDS LÄN</t>
        </is>
      </c>
      <c r="E10414" t="inlineStr">
        <is>
          <t>ÖSTERSUND</t>
        </is>
      </c>
      <c r="G10414" t="n">
        <v>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51450-2022</t>
        </is>
      </c>
      <c r="B10415" s="1" t="n">
        <v>44869.5025</v>
      </c>
      <c r="C10415" s="1" t="n">
        <v>46045</v>
      </c>
      <c r="D10415" t="inlineStr">
        <is>
          <t>JÄMTLANDS LÄN</t>
        </is>
      </c>
      <c r="E10415" t="inlineStr">
        <is>
          <t>STRÖMSUND</t>
        </is>
      </c>
      <c r="F10415" t="inlineStr">
        <is>
          <t>Holmen skog AB</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46902-2024</t>
        </is>
      </c>
      <c r="B10416" s="1" t="n">
        <v>45583.69847222222</v>
      </c>
      <c r="C10416" s="1" t="n">
        <v>46045</v>
      </c>
      <c r="D10416" t="inlineStr">
        <is>
          <t>JÄMTLANDS LÄN</t>
        </is>
      </c>
      <c r="E10416" t="inlineStr">
        <is>
          <t>BERG</t>
        </is>
      </c>
      <c r="F10416" t="inlineStr">
        <is>
          <t>SCA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4464-2022</t>
        </is>
      </c>
      <c r="B10417" s="1" t="n">
        <v>44589</v>
      </c>
      <c r="C10417" s="1" t="n">
        <v>46045</v>
      </c>
      <c r="D10417" t="inlineStr">
        <is>
          <t>JÄMTLANDS LÄN</t>
        </is>
      </c>
      <c r="E10417" t="inlineStr">
        <is>
          <t>STRÖMSUND</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30826-2023</t>
        </is>
      </c>
      <c r="B10418" s="1" t="n">
        <v>45112</v>
      </c>
      <c r="C10418" s="1" t="n">
        <v>46045</v>
      </c>
      <c r="D10418" t="inlineStr">
        <is>
          <t>JÄMTLANDS LÄN</t>
        </is>
      </c>
      <c r="E10418" t="inlineStr">
        <is>
          <t>RAGUNDA</t>
        </is>
      </c>
      <c r="F10418" t="inlineStr">
        <is>
          <t>SCA</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30828-2023</t>
        </is>
      </c>
      <c r="B10419" s="1" t="n">
        <v>45112.94333333334</v>
      </c>
      <c r="C10419" s="1" t="n">
        <v>46045</v>
      </c>
      <c r="D10419" t="inlineStr">
        <is>
          <t>JÄMTLANDS LÄN</t>
        </is>
      </c>
      <c r="E10419" t="inlineStr">
        <is>
          <t>STRÖMSUND</t>
        </is>
      </c>
      <c r="F10419" t="inlineStr">
        <is>
          <t>SCA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39158-2023</t>
        </is>
      </c>
      <c r="B10420" s="1" t="n">
        <v>45166.34795138889</v>
      </c>
      <c r="C10420" s="1" t="n">
        <v>46045</v>
      </c>
      <c r="D10420" t="inlineStr">
        <is>
          <t>JÄMTLANDS LÄN</t>
        </is>
      </c>
      <c r="E10420" t="inlineStr">
        <is>
          <t>HÄRJEDALEN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26414-2024</t>
        </is>
      </c>
      <c r="B10421" s="1" t="n">
        <v>45469</v>
      </c>
      <c r="C10421" s="1" t="n">
        <v>46045</v>
      </c>
      <c r="D10421" t="inlineStr">
        <is>
          <t>JÄMTLANDS LÄN</t>
        </is>
      </c>
      <c r="E10421" t="inlineStr">
        <is>
          <t>KROKOM</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78-2023</t>
        </is>
      </c>
      <c r="B10422" s="1" t="n">
        <v>44928</v>
      </c>
      <c r="C10422" s="1" t="n">
        <v>46045</v>
      </c>
      <c r="D10422" t="inlineStr">
        <is>
          <t>JÄMTLANDS LÄN</t>
        </is>
      </c>
      <c r="E10422" t="inlineStr">
        <is>
          <t>HÄRJEDALEN</t>
        </is>
      </c>
      <c r="F10422" t="inlineStr">
        <is>
          <t>Holmen skog AB</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56191-2022</t>
        </is>
      </c>
      <c r="B10423" s="1" t="n">
        <v>44889.95015046297</v>
      </c>
      <c r="C10423" s="1" t="n">
        <v>46045</v>
      </c>
      <c r="D10423" t="inlineStr">
        <is>
          <t>JÄMTLANDS LÄN</t>
        </is>
      </c>
      <c r="E10423" t="inlineStr">
        <is>
          <t>RAGUNDA</t>
        </is>
      </c>
      <c r="F10423" t="inlineStr">
        <is>
          <t>Sveaskog</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45347-2023</t>
        </is>
      </c>
      <c r="B10424" s="1" t="n">
        <v>45191</v>
      </c>
      <c r="C10424" s="1" t="n">
        <v>46045</v>
      </c>
      <c r="D10424" t="inlineStr">
        <is>
          <t>JÄMTLANDS LÄN</t>
        </is>
      </c>
      <c r="E10424" t="inlineStr">
        <is>
          <t>BERG</t>
        </is>
      </c>
      <c r="F10424" t="inlineStr">
        <is>
          <t>SCA</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46860-2023</t>
        </is>
      </c>
      <c r="B10425" s="1" t="n">
        <v>45200.12724537037</v>
      </c>
      <c r="C10425" s="1" t="n">
        <v>46045</v>
      </c>
      <c r="D10425" t="inlineStr">
        <is>
          <t>JÄMTLANDS LÄN</t>
        </is>
      </c>
      <c r="E10425" t="inlineStr">
        <is>
          <t>BRÄCKE</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36079-2024</t>
        </is>
      </c>
      <c r="B10426" s="1" t="n">
        <v>45533.66685185185</v>
      </c>
      <c r="C10426" s="1" t="n">
        <v>46045</v>
      </c>
      <c r="D10426" t="inlineStr">
        <is>
          <t>JÄMTLANDS LÄN</t>
        </is>
      </c>
      <c r="E10426" t="inlineStr">
        <is>
          <t>BERG</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33621-2023</t>
        </is>
      </c>
      <c r="B10427" s="1" t="n">
        <v>45119</v>
      </c>
      <c r="C10427" s="1" t="n">
        <v>46045</v>
      </c>
      <c r="D10427" t="inlineStr">
        <is>
          <t>JÄMTLANDS LÄN</t>
        </is>
      </c>
      <c r="E10427" t="inlineStr">
        <is>
          <t>RAGUNDA</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65216-2023</t>
        </is>
      </c>
      <c r="B10428" s="1" t="n">
        <v>45289</v>
      </c>
      <c r="C10428" s="1" t="n">
        <v>46045</v>
      </c>
      <c r="D10428" t="inlineStr">
        <is>
          <t>JÄMTLANDS LÄN</t>
        </is>
      </c>
      <c r="E10428" t="inlineStr">
        <is>
          <t>RAGUNDA</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45720-2022</t>
        </is>
      </c>
      <c r="B10429" s="1" t="n">
        <v>44845.95539351852</v>
      </c>
      <c r="C10429" s="1" t="n">
        <v>46045</v>
      </c>
      <c r="D10429" t="inlineStr">
        <is>
          <t>JÄMTLANDS LÄN</t>
        </is>
      </c>
      <c r="E10429" t="inlineStr">
        <is>
          <t>STRÖMSUND</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60838-2023</t>
        </is>
      </c>
      <c r="B10430" s="1" t="n">
        <v>45260.92561342593</v>
      </c>
      <c r="C10430" s="1" t="n">
        <v>46045</v>
      </c>
      <c r="D10430" t="inlineStr">
        <is>
          <t>JÄMTLANDS LÄN</t>
        </is>
      </c>
      <c r="E10430" t="inlineStr">
        <is>
          <t>RAGUNDA</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45796-2024</t>
        </is>
      </c>
      <c r="B10431" s="1" t="n">
        <v>45579.67354166666</v>
      </c>
      <c r="C10431" s="1" t="n">
        <v>46045</v>
      </c>
      <c r="D10431" t="inlineStr">
        <is>
          <t>JÄMTLANDS LÄN</t>
        </is>
      </c>
      <c r="E10431" t="inlineStr">
        <is>
          <t>ÅRE</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2133-2023</t>
        </is>
      </c>
      <c r="B10432" s="1" t="n">
        <v>44939</v>
      </c>
      <c r="C10432" s="1" t="n">
        <v>46045</v>
      </c>
      <c r="D10432" t="inlineStr">
        <is>
          <t>JÄMTLANDS LÄN</t>
        </is>
      </c>
      <c r="E10432" t="inlineStr">
        <is>
          <t>RAGUNDA</t>
        </is>
      </c>
      <c r="F10432" t="inlineStr">
        <is>
          <t>SCA</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40394-2024</t>
        </is>
      </c>
      <c r="B10433" s="1" t="n">
        <v>45555.43584490741</v>
      </c>
      <c r="C10433" s="1" t="n">
        <v>46045</v>
      </c>
      <c r="D10433" t="inlineStr">
        <is>
          <t>JÄMTLANDS LÄN</t>
        </is>
      </c>
      <c r="E10433" t="inlineStr">
        <is>
          <t>KROKOM</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21183-2023</t>
        </is>
      </c>
      <c r="B10434" s="1" t="n">
        <v>45058</v>
      </c>
      <c r="C10434" s="1" t="n">
        <v>46045</v>
      </c>
      <c r="D10434" t="inlineStr">
        <is>
          <t>JÄMTLANDS LÄN</t>
        </is>
      </c>
      <c r="E10434" t="inlineStr">
        <is>
          <t>BRÄCKE</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53143-2022</t>
        </is>
      </c>
      <c r="B10435" s="1" t="n">
        <v>44876</v>
      </c>
      <c r="C10435" s="1" t="n">
        <v>46045</v>
      </c>
      <c r="D10435" t="inlineStr">
        <is>
          <t>JÄMTLANDS LÄN</t>
        </is>
      </c>
      <c r="E10435" t="inlineStr">
        <is>
          <t>STRÖMSUND</t>
        </is>
      </c>
      <c r="F10435" t="inlineStr">
        <is>
          <t>Holmen skog AB</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30586-2024</t>
        </is>
      </c>
      <c r="B10436" s="1" t="n">
        <v>45492</v>
      </c>
      <c r="C10436" s="1" t="n">
        <v>46045</v>
      </c>
      <c r="D10436" t="inlineStr">
        <is>
          <t>JÄMTLANDS LÄN</t>
        </is>
      </c>
      <c r="E10436" t="inlineStr">
        <is>
          <t>STRÖMSUND</t>
        </is>
      </c>
      <c r="F10436" t="inlineStr">
        <is>
          <t>SCA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2296-2023</t>
        </is>
      </c>
      <c r="B10437" s="1" t="n">
        <v>44942</v>
      </c>
      <c r="C10437" s="1" t="n">
        <v>46045</v>
      </c>
      <c r="D10437" t="inlineStr">
        <is>
          <t>JÄMTLANDS LÄN</t>
        </is>
      </c>
      <c r="E10437" t="inlineStr">
        <is>
          <t>STRÖMSUND</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10348-2023</t>
        </is>
      </c>
      <c r="B10438" s="1" t="n">
        <v>44987.35637731481</v>
      </c>
      <c r="C10438" s="1" t="n">
        <v>46045</v>
      </c>
      <c r="D10438" t="inlineStr">
        <is>
          <t>JÄMTLANDS LÄN</t>
        </is>
      </c>
      <c r="E10438" t="inlineStr">
        <is>
          <t>HÄRJEDALEN</t>
        </is>
      </c>
      <c r="F10438" t="inlineStr">
        <is>
          <t>Holmen skog AB</t>
        </is>
      </c>
      <c r="G10438" t="n">
        <v>17.8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10353-2023</t>
        </is>
      </c>
      <c r="B10439" s="1" t="n">
        <v>44987</v>
      </c>
      <c r="C10439" s="1" t="n">
        <v>46045</v>
      </c>
      <c r="D10439" t="inlineStr">
        <is>
          <t>JÄMTLANDS LÄN</t>
        </is>
      </c>
      <c r="E10439" t="inlineStr">
        <is>
          <t>HÄRJEDALEN</t>
        </is>
      </c>
      <c r="F10439" t="inlineStr">
        <is>
          <t>Holmen skog AB</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30592-2021</t>
        </is>
      </c>
      <c r="B10440" s="1" t="n">
        <v>44364.93850694445</v>
      </c>
      <c r="C10440" s="1" t="n">
        <v>46045</v>
      </c>
      <c r="D10440" t="inlineStr">
        <is>
          <t>JÄMTLANDS LÄN</t>
        </is>
      </c>
      <c r="E10440" t="inlineStr">
        <is>
          <t>BRÄCKE</t>
        </is>
      </c>
      <c r="F10440" t="inlineStr">
        <is>
          <t>SCA</t>
        </is>
      </c>
      <c r="G10440" t="n">
        <v>22.4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54907-2023</t>
        </is>
      </c>
      <c r="B10441" s="1" t="n">
        <v>45236.65784722222</v>
      </c>
      <c r="C10441" s="1" t="n">
        <v>46045</v>
      </c>
      <c r="D10441" t="inlineStr">
        <is>
          <t>JÄMTLANDS LÄN</t>
        </is>
      </c>
      <c r="E10441" t="inlineStr">
        <is>
          <t>ÅRE</t>
        </is>
      </c>
      <c r="F10441" t="inlineStr">
        <is>
          <t>Övriga Aktiebolag</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61662-2022</t>
        </is>
      </c>
      <c r="B10442" s="1" t="n">
        <v>44916.96359953703</v>
      </c>
      <c r="C10442" s="1" t="n">
        <v>46045</v>
      </c>
      <c r="D10442" t="inlineStr">
        <is>
          <t>JÄMTLANDS LÄN</t>
        </is>
      </c>
      <c r="E10442" t="inlineStr">
        <is>
          <t>BRÄCKE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52153-2024</t>
        </is>
      </c>
      <c r="B10443" s="1" t="n">
        <v>45608.5240625</v>
      </c>
      <c r="C10443" s="1" t="n">
        <v>46045</v>
      </c>
      <c r="D10443" t="inlineStr">
        <is>
          <t>JÄMTLANDS LÄN</t>
        </is>
      </c>
      <c r="E10443" t="inlineStr">
        <is>
          <t>STRÖMSUND</t>
        </is>
      </c>
      <c r="F10443" t="inlineStr">
        <is>
          <t>SCA</t>
        </is>
      </c>
      <c r="G10443" t="n">
        <v>11.4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14460-2022</t>
        </is>
      </c>
      <c r="B10444" s="1" t="n">
        <v>44654.61942129629</v>
      </c>
      <c r="C10444" s="1" t="n">
        <v>46045</v>
      </c>
      <c r="D10444" t="inlineStr">
        <is>
          <t>JÄMTLANDS LÄN</t>
        </is>
      </c>
      <c r="E10444" t="inlineStr">
        <is>
          <t>STRÖMSUND</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44969-2023</t>
        </is>
      </c>
      <c r="B10445" s="1" t="n">
        <v>45190.92511574074</v>
      </c>
      <c r="C10445" s="1" t="n">
        <v>46045</v>
      </c>
      <c r="D10445" t="inlineStr">
        <is>
          <t>JÄMTLANDS LÄN</t>
        </is>
      </c>
      <c r="E10445" t="inlineStr">
        <is>
          <t>STRÖMSUND</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21905-2021</t>
        </is>
      </c>
      <c r="B10446" s="1" t="n">
        <v>44322</v>
      </c>
      <c r="C10446" s="1" t="n">
        <v>46045</v>
      </c>
      <c r="D10446" t="inlineStr">
        <is>
          <t>JÄMTLANDS LÄN</t>
        </is>
      </c>
      <c r="E10446" t="inlineStr">
        <is>
          <t>ÅRE</t>
        </is>
      </c>
      <c r="G10446" t="n">
        <v>14.3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49647-2024</t>
        </is>
      </c>
      <c r="B10447" s="1" t="n">
        <v>45596.61533564814</v>
      </c>
      <c r="C10447" s="1" t="n">
        <v>46045</v>
      </c>
      <c r="D10447" t="inlineStr">
        <is>
          <t>JÄMTLANDS LÄN</t>
        </is>
      </c>
      <c r="E10447" t="inlineStr">
        <is>
          <t>RAGUNDA</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25674-2023</t>
        </is>
      </c>
      <c r="B10448" s="1" t="n">
        <v>45089</v>
      </c>
      <c r="C10448" s="1" t="n">
        <v>46045</v>
      </c>
      <c r="D10448" t="inlineStr">
        <is>
          <t>JÄMTLANDS LÄN</t>
        </is>
      </c>
      <c r="E10448" t="inlineStr">
        <is>
          <t>BRÄCKE</t>
        </is>
      </c>
      <c r="F10448" t="inlineStr">
        <is>
          <t>SCA</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3147-2023</t>
        </is>
      </c>
      <c r="B10449" s="1" t="n">
        <v>44946</v>
      </c>
      <c r="C10449" s="1" t="n">
        <v>46045</v>
      </c>
      <c r="D10449" t="inlineStr">
        <is>
          <t>JÄMTLANDS LÄN</t>
        </is>
      </c>
      <c r="E10449" t="inlineStr">
        <is>
          <t>ÅRE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17905-2025</t>
        </is>
      </c>
      <c r="B10450" s="1" t="n">
        <v>45758.71907407408</v>
      </c>
      <c r="C10450" s="1" t="n">
        <v>46045</v>
      </c>
      <c r="D10450" t="inlineStr">
        <is>
          <t>JÄMTLANDS LÄN</t>
        </is>
      </c>
      <c r="E10450" t="inlineStr">
        <is>
          <t>BRÄCKE</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64487-2023</t>
        </is>
      </c>
      <c r="B10451" s="1" t="n">
        <v>45280.92613425926</v>
      </c>
      <c r="C10451" s="1" t="n">
        <v>46045</v>
      </c>
      <c r="D10451" t="inlineStr">
        <is>
          <t>JÄMTLANDS LÄN</t>
        </is>
      </c>
      <c r="E10451" t="inlineStr">
        <is>
          <t>BERG</t>
        </is>
      </c>
      <c r="F10451" t="inlineStr">
        <is>
          <t>Övriga Aktiebolag</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64489-2023</t>
        </is>
      </c>
      <c r="B10452" s="1" t="n">
        <v>45280</v>
      </c>
      <c r="C10452" s="1" t="n">
        <v>46045</v>
      </c>
      <c r="D10452" t="inlineStr">
        <is>
          <t>JÄMTLANDS LÄN</t>
        </is>
      </c>
      <c r="E10452" t="inlineStr">
        <is>
          <t>BERG</t>
        </is>
      </c>
      <c r="F10452" t="inlineStr">
        <is>
          <t>Övriga Aktiebolag</t>
        </is>
      </c>
      <c r="G10452" t="n">
        <v>14.1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3263-2023</t>
        </is>
      </c>
      <c r="B10453" s="1" t="n">
        <v>44948.98751157407</v>
      </c>
      <c r="C10453" s="1" t="n">
        <v>46045</v>
      </c>
      <c r="D10453" t="inlineStr">
        <is>
          <t>JÄMTLANDS LÄN</t>
        </is>
      </c>
      <c r="E10453" t="inlineStr">
        <is>
          <t>ÅRE</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49646-2023</t>
        </is>
      </c>
      <c r="B10454" s="1" t="n">
        <v>45211</v>
      </c>
      <c r="C10454" s="1" t="n">
        <v>46045</v>
      </c>
      <c r="D10454" t="inlineStr">
        <is>
          <t>JÄMTLANDS LÄN</t>
        </is>
      </c>
      <c r="E10454" t="inlineStr">
        <is>
          <t>BRÄCKE</t>
        </is>
      </c>
      <c r="F10454" t="inlineStr">
        <is>
          <t>SCA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50270-2023</t>
        </is>
      </c>
      <c r="B10455" s="1" t="n">
        <v>45216.3965625</v>
      </c>
      <c r="C10455" s="1" t="n">
        <v>46045</v>
      </c>
      <c r="D10455" t="inlineStr">
        <is>
          <t>JÄMTLANDS LÄN</t>
        </is>
      </c>
      <c r="E10455" t="inlineStr">
        <is>
          <t>KROKOM</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57514-2023</t>
        </is>
      </c>
      <c r="B10456" s="1" t="n">
        <v>45246</v>
      </c>
      <c r="C10456" s="1" t="n">
        <v>46045</v>
      </c>
      <c r="D10456" t="inlineStr">
        <is>
          <t>JÄMTLANDS LÄN</t>
        </is>
      </c>
      <c r="E10456" t="inlineStr">
        <is>
          <t>KROKOM</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6802-2021</t>
        </is>
      </c>
      <c r="B10457" s="1" t="n">
        <v>44236</v>
      </c>
      <c r="C10457" s="1" t="n">
        <v>46045</v>
      </c>
      <c r="D10457" t="inlineStr">
        <is>
          <t>JÄMTLANDS LÄN</t>
        </is>
      </c>
      <c r="E10457" t="inlineStr">
        <is>
          <t>RAGUNDA</t>
        </is>
      </c>
      <c r="G10457" t="n">
        <v>11.2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63054-2023</t>
        </is>
      </c>
      <c r="B10458" s="1" t="n">
        <v>45272.92770833334</v>
      </c>
      <c r="C10458" s="1" t="n">
        <v>46045</v>
      </c>
      <c r="D10458" t="inlineStr">
        <is>
          <t>JÄMTLANDS LÄN</t>
        </is>
      </c>
      <c r="E10458" t="inlineStr">
        <is>
          <t>STRÖMSUND</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64415-2023</t>
        </is>
      </c>
      <c r="B10459" s="1" t="n">
        <v>45280</v>
      </c>
      <c r="C10459" s="1" t="n">
        <v>46045</v>
      </c>
      <c r="D10459" t="inlineStr">
        <is>
          <t>JÄMTLANDS LÄN</t>
        </is>
      </c>
      <c r="E10459" t="inlineStr">
        <is>
          <t>RAGUNDA</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65236-2023</t>
        </is>
      </c>
      <c r="B10460" s="1" t="n">
        <v>45289</v>
      </c>
      <c r="C10460" s="1" t="n">
        <v>46045</v>
      </c>
      <c r="D10460" t="inlineStr">
        <is>
          <t>JÄMTLANDS LÄN</t>
        </is>
      </c>
      <c r="E10460" t="inlineStr">
        <is>
          <t>KROKOM</t>
        </is>
      </c>
      <c r="G10460" t="n">
        <v>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12471-2024</t>
        </is>
      </c>
      <c r="B10461" s="1" t="n">
        <v>45378</v>
      </c>
      <c r="C10461" s="1" t="n">
        <v>46045</v>
      </c>
      <c r="D10461" t="inlineStr">
        <is>
          <t>JÄMTLANDS LÄN</t>
        </is>
      </c>
      <c r="E10461" t="inlineStr">
        <is>
          <t>KROKOM</t>
        </is>
      </c>
      <c r="G10461" t="n">
        <v>20.2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14147-2021</t>
        </is>
      </c>
      <c r="B10462" s="1" t="n">
        <v>44278</v>
      </c>
      <c r="C10462" s="1" t="n">
        <v>46045</v>
      </c>
      <c r="D10462" t="inlineStr">
        <is>
          <t>JÄMTLANDS LÄN</t>
        </is>
      </c>
      <c r="E10462" t="inlineStr">
        <is>
          <t>STRÖMSUND</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20667-2022</t>
        </is>
      </c>
      <c r="B10463" s="1" t="n">
        <v>44700.65226851852</v>
      </c>
      <c r="C10463" s="1" t="n">
        <v>46045</v>
      </c>
      <c r="D10463" t="inlineStr">
        <is>
          <t>JÄMTLANDS LÄN</t>
        </is>
      </c>
      <c r="E10463" t="inlineStr">
        <is>
          <t>BRÄCKE</t>
        </is>
      </c>
      <c r="G10463" t="n">
        <v>13.8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60002-2022</t>
        </is>
      </c>
      <c r="B10464" s="1" t="n">
        <v>44909</v>
      </c>
      <c r="C10464" s="1" t="n">
        <v>46045</v>
      </c>
      <c r="D10464" t="inlineStr">
        <is>
          <t>JÄMTLANDS LÄN</t>
        </is>
      </c>
      <c r="E10464" t="inlineStr">
        <is>
          <t>STRÖMSUND</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60068-2022</t>
        </is>
      </c>
      <c r="B10465" s="1" t="n">
        <v>44902</v>
      </c>
      <c r="C10465" s="1" t="n">
        <v>46045</v>
      </c>
      <c r="D10465" t="inlineStr">
        <is>
          <t>JÄMTLANDS LÄN</t>
        </is>
      </c>
      <c r="E10465" t="inlineStr">
        <is>
          <t>BERG</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26032-2023</t>
        </is>
      </c>
      <c r="B10466" s="1" t="n">
        <v>45091.31304398148</v>
      </c>
      <c r="C10466" s="1" t="n">
        <v>46045</v>
      </c>
      <c r="D10466" t="inlineStr">
        <is>
          <t>JÄMTLANDS LÄN</t>
        </is>
      </c>
      <c r="E10466" t="inlineStr">
        <is>
          <t>ÅRE</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26033-2023</t>
        </is>
      </c>
      <c r="B10467" s="1" t="n">
        <v>45091.31530092593</v>
      </c>
      <c r="C10467" s="1" t="n">
        <v>46045</v>
      </c>
      <c r="D10467" t="inlineStr">
        <is>
          <t>JÄMTLANDS LÄN</t>
        </is>
      </c>
      <c r="E10467" t="inlineStr">
        <is>
          <t>ÅRE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1515-2025</t>
        </is>
      </c>
      <c r="B10468" s="1" t="n">
        <v>45670.4570949074</v>
      </c>
      <c r="C10468" s="1" t="n">
        <v>46045</v>
      </c>
      <c r="D10468" t="inlineStr">
        <is>
          <t>JÄMTLANDS LÄN</t>
        </is>
      </c>
      <c r="E10468" t="inlineStr">
        <is>
          <t>HÄRJEDALEN</t>
        </is>
      </c>
      <c r="F10468" t="inlineStr">
        <is>
          <t>Bergvik skog väst AB</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2483-2025</t>
        </is>
      </c>
      <c r="B10469" s="1" t="n">
        <v>45673</v>
      </c>
      <c r="C10469" s="1" t="n">
        <v>46045</v>
      </c>
      <c r="D10469" t="inlineStr">
        <is>
          <t>JÄMTLANDS LÄN</t>
        </is>
      </c>
      <c r="E10469" t="inlineStr">
        <is>
          <t>BRÄCKE</t>
        </is>
      </c>
      <c r="G10469" t="n">
        <v>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41939-2024</t>
        </is>
      </c>
      <c r="B10470" s="1" t="n">
        <v>45561.57342592593</v>
      </c>
      <c r="C10470" s="1" t="n">
        <v>46045</v>
      </c>
      <c r="D10470" t="inlineStr">
        <is>
          <t>JÄMTLANDS LÄN</t>
        </is>
      </c>
      <c r="E10470" t="inlineStr">
        <is>
          <t>STRÖMSUND</t>
        </is>
      </c>
      <c r="F10470" t="inlineStr">
        <is>
          <t>SCA</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41971-2024</t>
        </is>
      </c>
      <c r="B10471" s="1" t="n">
        <v>45561.61509259259</v>
      </c>
      <c r="C10471" s="1" t="n">
        <v>46045</v>
      </c>
      <c r="D10471" t="inlineStr">
        <is>
          <t>JÄMTLANDS LÄN</t>
        </is>
      </c>
      <c r="E10471" t="inlineStr">
        <is>
          <t>KROKOM</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11930-2025</t>
        </is>
      </c>
      <c r="B10472" s="1" t="n">
        <v>45728.5209375</v>
      </c>
      <c r="C10472" s="1" t="n">
        <v>46045</v>
      </c>
      <c r="D10472" t="inlineStr">
        <is>
          <t>JÄMTLANDS LÄN</t>
        </is>
      </c>
      <c r="E10472" t="inlineStr">
        <is>
          <t>STRÖMSUND</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5451-2024</t>
        </is>
      </c>
      <c r="B10473" s="1" t="n">
        <v>45331.95231481481</v>
      </c>
      <c r="C10473" s="1" t="n">
        <v>46045</v>
      </c>
      <c r="D10473" t="inlineStr">
        <is>
          <t>JÄMTLANDS LÄN</t>
        </is>
      </c>
      <c r="E10473" t="inlineStr">
        <is>
          <t>STRÖMSUND</t>
        </is>
      </c>
      <c r="F10473" t="inlineStr">
        <is>
          <t>SCA</t>
        </is>
      </c>
      <c r="G10473" t="n">
        <v>13.5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38782-2021</t>
        </is>
      </c>
      <c r="B10474" s="1" t="n">
        <v>44410</v>
      </c>
      <c r="C10474" s="1" t="n">
        <v>46045</v>
      </c>
      <c r="D10474" t="inlineStr">
        <is>
          <t>JÄMTLANDS LÄN</t>
        </is>
      </c>
      <c r="E10474" t="inlineStr">
        <is>
          <t>RAGUNDA</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16250-2022</t>
        </is>
      </c>
      <c r="B10475" s="1" t="n">
        <v>44670</v>
      </c>
      <c r="C10475" s="1" t="n">
        <v>46045</v>
      </c>
      <c r="D10475" t="inlineStr">
        <is>
          <t>JÄMTLANDS LÄN</t>
        </is>
      </c>
      <c r="E10475" t="inlineStr">
        <is>
          <t>RAGUNDA</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23081-2024</t>
        </is>
      </c>
      <c r="B10476" s="1" t="n">
        <v>45450.50152777778</v>
      </c>
      <c r="C10476" s="1" t="n">
        <v>46045</v>
      </c>
      <c r="D10476" t="inlineStr">
        <is>
          <t>JÄMTLANDS LÄN</t>
        </is>
      </c>
      <c r="E10476" t="inlineStr">
        <is>
          <t>BRÄCKE</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28408-2024</t>
        </is>
      </c>
      <c r="B10477" s="1" t="n">
        <v>45477.62255787037</v>
      </c>
      <c r="C10477" s="1" t="n">
        <v>46045</v>
      </c>
      <c r="D10477" t="inlineStr">
        <is>
          <t>JÄMTLANDS LÄN</t>
        </is>
      </c>
      <c r="E10477" t="inlineStr">
        <is>
          <t>HÄRJEDALEN</t>
        </is>
      </c>
      <c r="F10477" t="inlineStr">
        <is>
          <t>Holmen skog AB</t>
        </is>
      </c>
      <c r="G10477" t="n">
        <v>8.699999999999999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61663-2022</t>
        </is>
      </c>
      <c r="B10478" s="1" t="n">
        <v>44916</v>
      </c>
      <c r="C10478" s="1" t="n">
        <v>46045</v>
      </c>
      <c r="D10478" t="inlineStr">
        <is>
          <t>JÄMTLANDS LÄN</t>
        </is>
      </c>
      <c r="E10478" t="inlineStr">
        <is>
          <t>BRÄCKE</t>
        </is>
      </c>
      <c r="F10478" t="inlineStr">
        <is>
          <t>SCA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3798-2022</t>
        </is>
      </c>
      <c r="B10479" s="1" t="n">
        <v>44586</v>
      </c>
      <c r="C10479" s="1" t="n">
        <v>46045</v>
      </c>
      <c r="D10479" t="inlineStr">
        <is>
          <t>JÄMTLANDS LÄN</t>
        </is>
      </c>
      <c r="E10479" t="inlineStr">
        <is>
          <t>BERG</t>
        </is>
      </c>
      <c r="G10479" t="n">
        <v>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44642-2023</t>
        </is>
      </c>
      <c r="B10480" s="1" t="n">
        <v>45184</v>
      </c>
      <c r="C10480" s="1" t="n">
        <v>46045</v>
      </c>
      <c r="D10480" t="inlineStr">
        <is>
          <t>JÄMTLANDS LÄN</t>
        </is>
      </c>
      <c r="E10480" t="inlineStr">
        <is>
          <t>STRÖMSUND</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40398-2023</t>
        </is>
      </c>
      <c r="B10481" s="1" t="n">
        <v>45169.93782407408</v>
      </c>
      <c r="C10481" s="1" t="n">
        <v>46045</v>
      </c>
      <c r="D10481" t="inlineStr">
        <is>
          <t>JÄMTLANDS LÄN</t>
        </is>
      </c>
      <c r="E10481" t="inlineStr">
        <is>
          <t>STRÖMSUND</t>
        </is>
      </c>
      <c r="F10481" t="inlineStr">
        <is>
          <t>SCA</t>
        </is>
      </c>
      <c r="G10481" t="n">
        <v>8.4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14202-2021</t>
        </is>
      </c>
      <c r="B10482" s="1" t="n">
        <v>44278</v>
      </c>
      <c r="C10482" s="1" t="n">
        <v>46045</v>
      </c>
      <c r="D10482" t="inlineStr">
        <is>
          <t>JÄMTLANDS LÄN</t>
        </is>
      </c>
      <c r="E10482" t="inlineStr">
        <is>
          <t>ÅRE</t>
        </is>
      </c>
      <c r="G10482" t="n">
        <v>17.8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24717-2022</t>
        </is>
      </c>
      <c r="B10483" s="1" t="n">
        <v>44727</v>
      </c>
      <c r="C10483" s="1" t="n">
        <v>46045</v>
      </c>
      <c r="D10483" t="inlineStr">
        <is>
          <t>JÄMTLANDS LÄN</t>
        </is>
      </c>
      <c r="E10483" t="inlineStr">
        <is>
          <t>BRÄCKE</t>
        </is>
      </c>
      <c r="F10483" t="inlineStr">
        <is>
          <t>SCA</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22297-2022</t>
        </is>
      </c>
      <c r="B10484" s="1" t="n">
        <v>44712</v>
      </c>
      <c r="C10484" s="1" t="n">
        <v>46045</v>
      </c>
      <c r="D10484" t="inlineStr">
        <is>
          <t>JÄMTLANDS LÄN</t>
        </is>
      </c>
      <c r="E10484" t="inlineStr">
        <is>
          <t>BERG</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13334-2024</t>
        </is>
      </c>
      <c r="B10485" s="1" t="n">
        <v>45386</v>
      </c>
      <c r="C10485" s="1" t="n">
        <v>46045</v>
      </c>
      <c r="D10485" t="inlineStr">
        <is>
          <t>JÄMTLANDS LÄN</t>
        </is>
      </c>
      <c r="E10485" t="inlineStr">
        <is>
          <t>RAGUNDA</t>
        </is>
      </c>
      <c r="G10485" t="n">
        <v>8.6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19705-2023</t>
        </is>
      </c>
      <c r="B10486" s="1" t="n">
        <v>45051</v>
      </c>
      <c r="C10486" s="1" t="n">
        <v>46045</v>
      </c>
      <c r="D10486" t="inlineStr">
        <is>
          <t>JÄMTLANDS LÄN</t>
        </is>
      </c>
      <c r="E10486" t="inlineStr">
        <is>
          <t>ÅRE</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11578-2022</t>
        </is>
      </c>
      <c r="B10487" s="1" t="n">
        <v>44631</v>
      </c>
      <c r="C10487" s="1" t="n">
        <v>46045</v>
      </c>
      <c r="D10487" t="inlineStr">
        <is>
          <t>JÄMTLANDS LÄN</t>
        </is>
      </c>
      <c r="E10487" t="inlineStr">
        <is>
          <t>STRÖMSUND</t>
        </is>
      </c>
      <c r="G10487" t="n">
        <v>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15201-2024</t>
        </is>
      </c>
      <c r="B10488" s="1" t="n">
        <v>45400.43778935185</v>
      </c>
      <c r="C10488" s="1" t="n">
        <v>46045</v>
      </c>
      <c r="D10488" t="inlineStr">
        <is>
          <t>JÄMTLANDS LÄN</t>
        </is>
      </c>
      <c r="E10488" t="inlineStr">
        <is>
          <t>BRÄCKE</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17591-2023</t>
        </is>
      </c>
      <c r="B10489" s="1" t="n">
        <v>45036</v>
      </c>
      <c r="C10489" s="1" t="n">
        <v>46045</v>
      </c>
      <c r="D10489" t="inlineStr">
        <is>
          <t>JÄMTLANDS LÄN</t>
        </is>
      </c>
      <c r="E10489" t="inlineStr">
        <is>
          <t>KROKOM</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17594-2023</t>
        </is>
      </c>
      <c r="B10490" s="1" t="n">
        <v>45036</v>
      </c>
      <c r="C10490" s="1" t="n">
        <v>46045</v>
      </c>
      <c r="D10490" t="inlineStr">
        <is>
          <t>JÄMTLANDS LÄN</t>
        </is>
      </c>
      <c r="E10490" t="inlineStr">
        <is>
          <t>KROKOM</t>
        </is>
      </c>
      <c r="G10490" t="n">
        <v>5.5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50951-2024</t>
        </is>
      </c>
      <c r="B10491" s="1" t="n">
        <v>45603.28460648148</v>
      </c>
      <c r="C10491" s="1" t="n">
        <v>46045</v>
      </c>
      <c r="D10491" t="inlineStr">
        <is>
          <t>JÄMTLANDS LÄN</t>
        </is>
      </c>
      <c r="E10491" t="inlineStr">
        <is>
          <t>KROKOM</t>
        </is>
      </c>
      <c r="F10491" t="inlineStr">
        <is>
          <t>SCA</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52666-2024</t>
        </is>
      </c>
      <c r="B10492" s="1" t="n">
        <v>45610.36561342593</v>
      </c>
      <c r="C10492" s="1" t="n">
        <v>46045</v>
      </c>
      <c r="D10492" t="inlineStr">
        <is>
          <t>JÄMTLANDS LÄN</t>
        </is>
      </c>
      <c r="E10492" t="inlineStr">
        <is>
          <t>KROKOM</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19346-2024</t>
        </is>
      </c>
      <c r="B10493" s="1" t="n">
        <v>45428.97195601852</v>
      </c>
      <c r="C10493" s="1" t="n">
        <v>46045</v>
      </c>
      <c r="D10493" t="inlineStr">
        <is>
          <t>JÄMTLANDS LÄN</t>
        </is>
      </c>
      <c r="E10493" t="inlineStr">
        <is>
          <t>STRÖMSUND</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53916-2023</t>
        </is>
      </c>
      <c r="B10494" s="1" t="n">
        <v>45231</v>
      </c>
      <c r="C10494" s="1" t="n">
        <v>46045</v>
      </c>
      <c r="D10494" t="inlineStr">
        <is>
          <t>JÄMTLANDS LÄN</t>
        </is>
      </c>
      <c r="E10494" t="inlineStr">
        <is>
          <t>KROKOM</t>
        </is>
      </c>
      <c r="G10494" t="n">
        <v>7.3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5482-2025</t>
        </is>
      </c>
      <c r="B10495" s="1" t="n">
        <v>45693.34427083333</v>
      </c>
      <c r="C10495" s="1" t="n">
        <v>46045</v>
      </c>
      <c r="D10495" t="inlineStr">
        <is>
          <t>JÄMTLANDS LÄN</t>
        </is>
      </c>
      <c r="E10495" t="inlineStr">
        <is>
          <t>BRÄCKE</t>
        </is>
      </c>
      <c r="F10495" t="inlineStr">
        <is>
          <t>SCA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55669-2023</t>
        </is>
      </c>
      <c r="B10496" s="1" t="n">
        <v>45238.96797453704</v>
      </c>
      <c r="C10496" s="1" t="n">
        <v>46045</v>
      </c>
      <c r="D10496" t="inlineStr">
        <is>
          <t>JÄMTLANDS LÄN</t>
        </is>
      </c>
      <c r="E10496" t="inlineStr">
        <is>
          <t>RAGUNDA</t>
        </is>
      </c>
      <c r="F10496" t="inlineStr">
        <is>
          <t>SCA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55678-2023</t>
        </is>
      </c>
      <c r="B10497" s="1" t="n">
        <v>45239.33032407407</v>
      </c>
      <c r="C10497" s="1" t="n">
        <v>46045</v>
      </c>
      <c r="D10497" t="inlineStr">
        <is>
          <t>JÄMTLANDS LÄN</t>
        </is>
      </c>
      <c r="E10497" t="inlineStr">
        <is>
          <t>ÖSTERSUND</t>
        </is>
      </c>
      <c r="F10497" t="inlineStr">
        <is>
          <t>Övriga Aktiebolag</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54992-2023</t>
        </is>
      </c>
      <c r="B10498" s="1" t="n">
        <v>45236.96789351852</v>
      </c>
      <c r="C10498" s="1" t="n">
        <v>46045</v>
      </c>
      <c r="D10498" t="inlineStr">
        <is>
          <t>JÄMTLANDS LÄN</t>
        </is>
      </c>
      <c r="E10498" t="inlineStr">
        <is>
          <t>BERG</t>
        </is>
      </c>
      <c r="F10498" t="inlineStr">
        <is>
          <t>SCA</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54994-2023</t>
        </is>
      </c>
      <c r="B10499" s="1" t="n">
        <v>45236</v>
      </c>
      <c r="C10499" s="1" t="n">
        <v>46045</v>
      </c>
      <c r="D10499" t="inlineStr">
        <is>
          <t>JÄMTLANDS LÄN</t>
        </is>
      </c>
      <c r="E10499" t="inlineStr">
        <is>
          <t>BERG</t>
        </is>
      </c>
      <c r="F10499" t="inlineStr">
        <is>
          <t>SCA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17016-2024</t>
        </is>
      </c>
      <c r="B10500" s="1" t="n">
        <v>45411</v>
      </c>
      <c r="C10500" s="1" t="n">
        <v>46045</v>
      </c>
      <c r="D10500" t="inlineStr">
        <is>
          <t>JÄMTLANDS LÄN</t>
        </is>
      </c>
      <c r="E10500" t="inlineStr">
        <is>
          <t>BRÄCKE</t>
        </is>
      </c>
      <c r="F10500" t="inlineStr">
        <is>
          <t>SCA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61524-2021</t>
        </is>
      </c>
      <c r="B10501" s="1" t="n">
        <v>44496</v>
      </c>
      <c r="C10501" s="1" t="n">
        <v>46045</v>
      </c>
      <c r="D10501" t="inlineStr">
        <is>
          <t>JÄMTLANDS LÄN</t>
        </is>
      </c>
      <c r="E10501" t="inlineStr">
        <is>
          <t>ÅRE</t>
        </is>
      </c>
      <c r="F10501" t="inlineStr">
        <is>
          <t>Övriga statliga verk och myndigheter</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51389-2024</t>
        </is>
      </c>
      <c r="B10502" s="1" t="n">
        <v>45604.40540509259</v>
      </c>
      <c r="C10502" s="1" t="n">
        <v>46045</v>
      </c>
      <c r="D10502" t="inlineStr">
        <is>
          <t>JÄMTLANDS LÄN</t>
        </is>
      </c>
      <c r="E10502" t="inlineStr">
        <is>
          <t>RAGUNDA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51393-2024</t>
        </is>
      </c>
      <c r="B10503" s="1" t="n">
        <v>45604.41625</v>
      </c>
      <c r="C10503" s="1" t="n">
        <v>46045</v>
      </c>
      <c r="D10503" t="inlineStr">
        <is>
          <t>JÄMTLANDS LÄN</t>
        </is>
      </c>
      <c r="E10503" t="inlineStr">
        <is>
          <t>RAGUNDA</t>
        </is>
      </c>
      <c r="G10503" t="n">
        <v>9.300000000000001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51404-2024</t>
        </is>
      </c>
      <c r="B10504" s="1" t="n">
        <v>45604.42777777778</v>
      </c>
      <c r="C10504" s="1" t="n">
        <v>46045</v>
      </c>
      <c r="D10504" t="inlineStr">
        <is>
          <t>JÄMTLANDS LÄN</t>
        </is>
      </c>
      <c r="E10504" t="inlineStr">
        <is>
          <t>STRÖMSUND</t>
        </is>
      </c>
      <c r="F10504" t="inlineStr">
        <is>
          <t>SCA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43339-2024</t>
        </is>
      </c>
      <c r="B10505" s="1" t="n">
        <v>45568.51075231482</v>
      </c>
      <c r="C10505" s="1" t="n">
        <v>46045</v>
      </c>
      <c r="D10505" t="inlineStr">
        <is>
          <t>JÄMTLANDS LÄN</t>
        </is>
      </c>
      <c r="E10505" t="inlineStr">
        <is>
          <t>RAGUNDA</t>
        </is>
      </c>
      <c r="F10505" t="inlineStr">
        <is>
          <t>SCA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38548-2024</t>
        </is>
      </c>
      <c r="B10506" s="1" t="n">
        <v>45546</v>
      </c>
      <c r="C10506" s="1" t="n">
        <v>46045</v>
      </c>
      <c r="D10506" t="inlineStr">
        <is>
          <t>JÄMTLANDS LÄN</t>
        </is>
      </c>
      <c r="E10506" t="inlineStr">
        <is>
          <t>RAGUNDA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51540-2024</t>
        </is>
      </c>
      <c r="B10507" s="1" t="n">
        <v>45604</v>
      </c>
      <c r="C10507" s="1" t="n">
        <v>46045</v>
      </c>
      <c r="D10507" t="inlineStr">
        <is>
          <t>JÄMTLANDS LÄN</t>
        </is>
      </c>
      <c r="E10507" t="inlineStr">
        <is>
          <t>BRÄCKE</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56251-2024</t>
        </is>
      </c>
      <c r="B10508" s="1" t="n">
        <v>45624.63614583333</v>
      </c>
      <c r="C10508" s="1" t="n">
        <v>46045</v>
      </c>
      <c r="D10508" t="inlineStr">
        <is>
          <t>JÄMTLANDS LÄN</t>
        </is>
      </c>
      <c r="E10508" t="inlineStr">
        <is>
          <t>HÄRJEDALEN</t>
        </is>
      </c>
      <c r="F10508" t="inlineStr">
        <is>
          <t>Holmen skog AB</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14664-2024</t>
        </is>
      </c>
      <c r="B10509" s="1" t="n">
        <v>45397.41673611111</v>
      </c>
      <c r="C10509" s="1" t="n">
        <v>46045</v>
      </c>
      <c r="D10509" t="inlineStr">
        <is>
          <t>JÄMTLANDS LÄN</t>
        </is>
      </c>
      <c r="E10509" t="inlineStr">
        <is>
          <t>BRÄCKE</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18646-2023</t>
        </is>
      </c>
      <c r="B10510" s="1" t="n">
        <v>45041</v>
      </c>
      <c r="C10510" s="1" t="n">
        <v>46045</v>
      </c>
      <c r="D10510" t="inlineStr">
        <is>
          <t>JÄMTLANDS LÄN</t>
        </is>
      </c>
      <c r="E10510" t="inlineStr">
        <is>
          <t>HÄRJEDALEN</t>
        </is>
      </c>
      <c r="G10510" t="n">
        <v>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18659-2023</t>
        </is>
      </c>
      <c r="B10511" s="1" t="n">
        <v>45041</v>
      </c>
      <c r="C10511" s="1" t="n">
        <v>46045</v>
      </c>
      <c r="D10511" t="inlineStr">
        <is>
          <t>JÄMTLANDS LÄN</t>
        </is>
      </c>
      <c r="E10511" t="inlineStr">
        <is>
          <t>HÄRJEDALEN</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58390-2021</t>
        </is>
      </c>
      <c r="B10512" s="1" t="n">
        <v>44488.47928240741</v>
      </c>
      <c r="C10512" s="1" t="n">
        <v>46045</v>
      </c>
      <c r="D10512" t="inlineStr">
        <is>
          <t>JÄMTLANDS LÄN</t>
        </is>
      </c>
      <c r="E10512" t="inlineStr">
        <is>
          <t>KROKOM</t>
        </is>
      </c>
      <c r="G10512" t="n">
        <v>9.800000000000001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16073-2021</t>
        </is>
      </c>
      <c r="B10513" s="1" t="n">
        <v>44287</v>
      </c>
      <c r="C10513" s="1" t="n">
        <v>46045</v>
      </c>
      <c r="D10513" t="inlineStr">
        <is>
          <t>JÄMTLANDS LÄN</t>
        </is>
      </c>
      <c r="E10513" t="inlineStr">
        <is>
          <t>BRÄCKE</t>
        </is>
      </c>
      <c r="F10513" t="inlineStr">
        <is>
          <t>SCA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23563-2022</t>
        </is>
      </c>
      <c r="B10514" s="1" t="n">
        <v>44721.47241898148</v>
      </c>
      <c r="C10514" s="1" t="n">
        <v>46045</v>
      </c>
      <c r="D10514" t="inlineStr">
        <is>
          <t>JÄMTLANDS LÄN</t>
        </is>
      </c>
      <c r="E10514" t="inlineStr">
        <is>
          <t>ÖSTERSUND</t>
        </is>
      </c>
      <c r="F10514" t="inlineStr">
        <is>
          <t>Övriga Aktiebolag</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73086-2021</t>
        </is>
      </c>
      <c r="B10515" s="1" t="n">
        <v>44550</v>
      </c>
      <c r="C10515" s="1" t="n">
        <v>46045</v>
      </c>
      <c r="D10515" t="inlineStr">
        <is>
          <t>JÄMTLANDS LÄN</t>
        </is>
      </c>
      <c r="E10515" t="inlineStr">
        <is>
          <t>ÅRE</t>
        </is>
      </c>
      <c r="G10515" t="n">
        <v>8.800000000000001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58729-2022</t>
        </is>
      </c>
      <c r="B10516" s="1" t="n">
        <v>44902.95266203704</v>
      </c>
      <c r="C10516" s="1" t="n">
        <v>46045</v>
      </c>
      <c r="D10516" t="inlineStr">
        <is>
          <t>JÄMTLANDS LÄN</t>
        </is>
      </c>
      <c r="E10516" t="inlineStr">
        <is>
          <t>STRÖMSUND</t>
        </is>
      </c>
      <c r="F10516" t="inlineStr">
        <is>
          <t>SCA</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26026-2024</t>
        </is>
      </c>
      <c r="B10517" s="1" t="n">
        <v>45467.96207175926</v>
      </c>
      <c r="C10517" s="1" t="n">
        <v>46045</v>
      </c>
      <c r="D10517" t="inlineStr">
        <is>
          <t>JÄMTLANDS LÄN</t>
        </is>
      </c>
      <c r="E10517" t="inlineStr">
        <is>
          <t>RAGUNDA</t>
        </is>
      </c>
      <c r="F10517" t="inlineStr">
        <is>
          <t>SCA</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53380-2023</t>
        </is>
      </c>
      <c r="B10518" s="1" t="n">
        <v>45223</v>
      </c>
      <c r="C10518" s="1" t="n">
        <v>46045</v>
      </c>
      <c r="D10518" t="inlineStr">
        <is>
          <t>JÄMTLANDS LÄN</t>
        </is>
      </c>
      <c r="E10518" t="inlineStr">
        <is>
          <t>ÖSTERSUND</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73051-2021</t>
        </is>
      </c>
      <c r="B10519" s="1" t="n">
        <v>44550.39550925926</v>
      </c>
      <c r="C10519" s="1" t="n">
        <v>46045</v>
      </c>
      <c r="D10519" t="inlineStr">
        <is>
          <t>JÄMTLANDS LÄN</t>
        </is>
      </c>
      <c r="E10519" t="inlineStr">
        <is>
          <t>HÄRJEDALEN</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5971-2025</t>
        </is>
      </c>
      <c r="B10520" s="1" t="n">
        <v>45695.51070601852</v>
      </c>
      <c r="C10520" s="1" t="n">
        <v>46045</v>
      </c>
      <c r="D10520" t="inlineStr">
        <is>
          <t>JÄMTLANDS LÄN</t>
        </is>
      </c>
      <c r="E10520" t="inlineStr">
        <is>
          <t>RAGUNDA</t>
        </is>
      </c>
      <c r="F10520" t="inlineStr">
        <is>
          <t>SCA</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23358-2025</t>
        </is>
      </c>
      <c r="B10521" s="1" t="n">
        <v>45791</v>
      </c>
      <c r="C10521" s="1" t="n">
        <v>46045</v>
      </c>
      <c r="D10521" t="inlineStr">
        <is>
          <t>JÄMTLANDS LÄN</t>
        </is>
      </c>
      <c r="E10521" t="inlineStr">
        <is>
          <t>HÄRJEDALEN</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44010-2024</t>
        </is>
      </c>
      <c r="B10522" s="1" t="n">
        <v>45572.5531712963</v>
      </c>
      <c r="C10522" s="1" t="n">
        <v>46045</v>
      </c>
      <c r="D10522" t="inlineStr">
        <is>
          <t>JÄMTLANDS LÄN</t>
        </is>
      </c>
      <c r="E10522" t="inlineStr">
        <is>
          <t>STRÖMSUND</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52137-2023</t>
        </is>
      </c>
      <c r="B10523" s="1" t="n">
        <v>45223</v>
      </c>
      <c r="C10523" s="1" t="n">
        <v>46045</v>
      </c>
      <c r="D10523" t="inlineStr">
        <is>
          <t>JÄMTLANDS LÄN</t>
        </is>
      </c>
      <c r="E10523" t="inlineStr">
        <is>
          <t>BRÄCKE</t>
        </is>
      </c>
      <c r="F10523" t="inlineStr">
        <is>
          <t>SCA</t>
        </is>
      </c>
      <c r="G10523" t="n">
        <v>9.6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29224-2023</t>
        </is>
      </c>
      <c r="B10524" s="1" t="n">
        <v>45097</v>
      </c>
      <c r="C10524" s="1" t="n">
        <v>46045</v>
      </c>
      <c r="D10524" t="inlineStr">
        <is>
          <t>JÄMTLANDS LÄN</t>
        </is>
      </c>
      <c r="E10524" t="inlineStr">
        <is>
          <t>KROKOM</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52869-2023</t>
        </is>
      </c>
      <c r="B10525" s="1" t="n">
        <v>45226</v>
      </c>
      <c r="C10525" s="1" t="n">
        <v>46045</v>
      </c>
      <c r="D10525" t="inlineStr">
        <is>
          <t>JÄMTLANDS LÄN</t>
        </is>
      </c>
      <c r="E10525" t="inlineStr">
        <is>
          <t>KROKOM</t>
        </is>
      </c>
      <c r="G10525" t="n">
        <v>0</v>
      </c>
      <c r="H10525" t="n">
        <v>0</v>
      </c>
      <c r="I10525" t="n">
        <v>0</v>
      </c>
      <c r="J10525" t="n">
        <v>0</v>
      </c>
      <c r="K10525" t="n">
        <v>0</v>
      </c>
      <c r="L10525" t="n">
        <v>0</v>
      </c>
      <c r="M10525" t="n">
        <v>0</v>
      </c>
      <c r="N10525" t="n">
        <v>0</v>
      </c>
      <c r="O10525" t="n">
        <v>0</v>
      </c>
      <c r="P10525" t="n">
        <v>0</v>
      </c>
      <c r="Q10525" t="n">
        <v>0</v>
      </c>
      <c r="R10525" s="2" t="inlineStr"/>
    </row>
    <row r="10526">
      <c r="A10526" t="inlineStr">
        <is>
          <t>A 5722-2023</t>
        </is>
      </c>
      <c r="B10526" s="1" t="n">
        <v>44961</v>
      </c>
      <c r="C10526" s="1" t="n">
        <v>46045</v>
      </c>
      <c r="D10526" t="inlineStr">
        <is>
          <t>JÄMTLANDS LÄN</t>
        </is>
      </c>
      <c r="E10526" t="inlineStr">
        <is>
          <t>KROKOM</t>
        </is>
      </c>
      <c r="G10526" t="n">
        <v>12.3</v>
      </c>
      <c r="H10526" t="n">
        <v>0</v>
      </c>
      <c r="I10526" t="n">
        <v>0</v>
      </c>
      <c r="J10526" t="n">
        <v>0</v>
      </c>
      <c r="K10526" t="n">
        <v>0</v>
      </c>
      <c r="L10526" t="n">
        <v>0</v>
      </c>
      <c r="M10526" t="n">
        <v>0</v>
      </c>
      <c r="N10526" t="n">
        <v>0</v>
      </c>
      <c r="O10526" t="n">
        <v>0</v>
      </c>
      <c r="P10526" t="n">
        <v>0</v>
      </c>
      <c r="Q10526" t="n">
        <v>0</v>
      </c>
      <c r="R10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2026-01-23T10:57:25Z</dcterms:created>
  <dcterms:modified xmlns:dcterms="http://purl.org/dc/terms/" xmlns:xsi="http://www.w3.org/2001/XMLSchema-instance" xsi:type="dcterms:W3CDTF">2026-01-23T10:57:35Z</dcterms:modified>
</cp:coreProperties>
</file>